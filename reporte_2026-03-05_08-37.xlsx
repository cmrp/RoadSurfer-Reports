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2026-04-03</t>
        </is>
      </c>
      <c r="F6" t="inlineStr">
        <is>
          <t>2026-04-10</t>
        </is>
      </c>
      <c r="G6" t="inlineStr">
        <is>
          <t xml:space="preserve"> - No hay coche</t>
        </is>
      </c>
      <c r="H6">
        <f>HYPERLINK("https://booking.roadsurfer.com/es/rally/pick?pickup_date=2026-04-03&amp;return_date=2026-04-10&amp;currency=EUR&amp;startStation=6&amp;endStation=87",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2026-03-13</t>
        </is>
      </c>
      <c r="F7" t="inlineStr">
        <is>
          <t>2026-03-20</t>
        </is>
      </c>
      <c r="G7" t="inlineStr">
        <is>
          <t xml:space="preserve"> - BEACH HOSTEL</t>
        </is>
      </c>
      <c r="H7">
        <f>HYPERLINK("https://booking.roadsurfer.com/es/rally/pick?pickup_date=2026-03-13&amp;return_date=2026-03-20&amp;currency=EUR&amp;startStation=6&amp;endStation=65",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HYPERLINK("https://booking.roadsurfer.com/es/rally/pick?pickup_date=2026-04-09&amp;return_date=2026-04-16&amp;currency=EUR&amp;startStation=55&amp;endStation=60",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2026-04-03</t>
        </is>
      </c>
      <c r="F19" t="inlineStr">
        <is>
          <t>2026-04-10</t>
        </is>
      </c>
      <c r="G19" t="inlineStr">
        <is>
          <t xml:space="preserve"> - No hay coche</t>
        </is>
      </c>
      <c r="H19">
        <f>HYPERLINK("https://booking.roadsurfer.com/es/rally/pick?pickup_date=2026-04-03&amp;return_date=2026-04-10&amp;currency=EUR&amp;startStation=52&amp;endStation=48",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2026-04-16</t>
        </is>
      </c>
      <c r="F20" t="inlineStr">
        <is>
          <t>2026-04-23</t>
        </is>
      </c>
      <c r="G20" t="inlineStr">
        <is>
          <t xml:space="preserve"> - Camper Cabin Deluxe</t>
        </is>
      </c>
      <c r="H20">
        <f>HYPERLINK("https://booking.roadsurfer.com/es/rally/pick?pickup_date=2026-04-16&amp;return_date=2026-04-23&amp;currency=EUR&amp;startStation=52&amp;endStation=48",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Family Finca</t>
        </is>
      </c>
      <c r="H21">
        <f>HYPERLINK("https://booking.roadsurfer.com/es/rally/pick?pickup_date=2026-05-02&amp;return_date=2026-05-09&amp;currency=EUR&amp;startStation=52&amp;endStation=31",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2026-04-03</t>
        </is>
      </c>
      <c r="F22" t="inlineStr">
        <is>
          <t>2026-04-10</t>
        </is>
      </c>
      <c r="G22" t="inlineStr">
        <is>
          <t xml:space="preserve"> - No hay coche</t>
        </is>
      </c>
      <c r="H22">
        <f>HYPERLINK("https://booking.roadsurfer.com/es/rally/pick?pickup_date=2026-04-03&amp;return_date=2026-04-10&amp;currency=EUR&amp;startStation=52&amp;endStation=31", "Clic para verlo en la web de RoadSurfer")</f>
        <v/>
      </c>
    </row>
    <row r="23">
      <c r="A23" t="inlineStr">
        <is>
          <t>Alemania</t>
        </is>
      </c>
      <c r="B23" t="inlineStr">
        <is>
          <t>Colonia-Düsseldorf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Surfer Suite</t>
        </is>
      </c>
      <c r="H23">
        <f>HYPERLINK("https://booking.roadsurfer.com/es/rally/pick?pickup_date=2026-04-09&amp;return_date=2026-04-16&amp;currency=EUR&amp;startStation=4&amp;endStation=31",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2026-04-09</t>
        </is>
      </c>
      <c r="F24" t="inlineStr">
        <is>
          <t>2026-04-16</t>
        </is>
      </c>
      <c r="G24" t="inlineStr">
        <is>
          <t xml:space="preserve"> - Road House</t>
        </is>
      </c>
      <c r="H24">
        <f>HYPERLINK("https://booking.roadsurfer.com/es/rally/pick?pickup_date=2026-04-09&amp;return_date=2026-04-16&amp;currency=EUR&amp;startStation=56&amp;endStation=59",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Road House</t>
        </is>
      </c>
      <c r="H25">
        <f>HYPERLINK("https://booking.roadsurfer.com/es/rally/pick?pickup_date=2026-04-07&amp;return_date=2026-04-14&amp;currency=EUR&amp;startStation=56&amp;endStation=59",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Alemania</t>
        </is>
      </c>
      <c r="D26" t="inlineStr">
        <is>
          <t>Braunschweig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No hay coche</t>
        </is>
      </c>
      <c r="H26">
        <f>HYPERLINK("https://booking.roadsurfer.com/es/rally/pick?pickup_date=2026-04-20&amp;return_date=2026-04-27&amp;currency=EUR&amp;startStation=56&amp;endStation=128",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Turín</t>
        </is>
      </c>
      <c r="E27" t="inlineStr">
        <is>
          <t>2026-04-09</t>
        </is>
      </c>
      <c r="F27" t="inlineStr">
        <is>
          <t>2026-04-16</t>
        </is>
      </c>
      <c r="G27" t="inlineStr">
        <is>
          <t xml:space="preserve"> - Surfer Suite</t>
        </is>
      </c>
      <c r="H27">
        <f>HYPERLINK("https://booking.roadsurfer.com/es/rally/pick?pickup_date=2026-04-09&amp;return_date=2026-04-16&amp;currency=EUR&amp;startStation=56&amp;endStation=58",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2026-04-10</t>
        </is>
      </c>
      <c r="F28" t="inlineStr">
        <is>
          <t>2026-04-16</t>
        </is>
      </c>
      <c r="G28" t="inlineStr">
        <is>
          <t xml:space="preserve"> - Road House</t>
        </is>
      </c>
      <c r="H28">
        <f>HYPERLINK("https://booking.roadsurfer.com/es/rally/pick?pickup_date=2026-04-10&amp;return_date=2026-04-16&amp;currency=EUR&amp;startStation=56&amp;endStation=42",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2026-04-08</t>
        </is>
      </c>
      <c r="F29" t="inlineStr">
        <is>
          <t>2026-04-15</t>
        </is>
      </c>
      <c r="G29" t="inlineStr">
        <is>
          <t xml:space="preserve"> - Sunrise Suite</t>
        </is>
      </c>
      <c r="H29">
        <f>HYPERLINK("https://booking.roadsurfer.com/es/rally/pick?pickup_date=2026-04-08&amp;return_date=2026-04-15&amp;currency=EUR&amp;startStation=56&amp;endStation=78",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2026-04-07</t>
        </is>
      </c>
      <c r="F30" t="inlineStr">
        <is>
          <t>2026-04-14</t>
        </is>
      </c>
      <c r="G30" t="inlineStr">
        <is>
          <t xml:space="preserve"> - SURFER SUITE</t>
        </is>
      </c>
      <c r="H30">
        <f>HYPERLINK("https://booking.roadsurfer.com/es/rally/pick?pickup_date=2026-04-07&amp;return_date=2026-04-14&amp;currency=EUR&amp;startStation=90&amp;endStation=48",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Road House</t>
        </is>
      </c>
      <c r="H31">
        <f>HYPERLINK("https://booking.roadsurfer.com/es/rally/pick?pickup_date=2026-04-14&amp;return_date=2026-04-21&amp;currency=EUR&amp;startStation=90&amp;endStation=77",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Estrasburgo</t>
        </is>
      </c>
      <c r="E32" t="inlineStr">
        <is>
          <t>2026-04-10</t>
        </is>
      </c>
      <c r="F32" t="inlineStr">
        <is>
          <t>2026-04-17</t>
        </is>
      </c>
      <c r="G32" t="inlineStr">
        <is>
          <t xml:space="preserve"> - Beach Hostel</t>
        </is>
      </c>
      <c r="H32">
        <f>HYPERLINK("https://booking.roadsurfer.com/es/rally/pick?pickup_date=2026-04-10&amp;return_date=2026-04-17&amp;currency=EUR&amp;startStation=90&amp;endStation=49",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2026-04-07</t>
        </is>
      </c>
      <c r="F33" t="inlineStr">
        <is>
          <t>2026-04-14</t>
        </is>
      </c>
      <c r="G33" t="inlineStr">
        <is>
          <t xml:space="preserve"> - Family Finca</t>
        </is>
      </c>
      <c r="H33">
        <f>HYPERLINK("https://booking.roadsurfer.com/es/rally/pick?pickup_date=2026-04-07&amp;return_date=2026-04-14&amp;currency=EUR&amp;startStation=90&amp;endStation=16",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Beach Hostel</t>
        </is>
      </c>
      <c r="H34">
        <f>HYPERLINK("https://booking.roadsurfer.com/es/rally/pick?pickup_date=2026-04-14&amp;return_date=2026-04-21&amp;currency=EUR&amp;startStation=90&amp;endStation=42", "Clic para verlo en la web de RoadSurfer")</f>
        <v/>
      </c>
    </row>
    <row r="35">
      <c r="A35" t="inlineStr">
        <is>
          <t>Alemania</t>
        </is>
      </c>
      <c r="B35" t="inlineStr">
        <is>
          <t>Fráncfort</t>
        </is>
      </c>
      <c r="C35" t="inlineStr">
        <is>
          <t>Alemania</t>
        </is>
      </c>
      <c r="D35" t="inlineStr">
        <is>
          <t>Braunschweig</t>
        </is>
      </c>
      <c r="E35" t="inlineStr">
        <is>
          <t>2026-04-20</t>
        </is>
      </c>
      <c r="F35" t="inlineStr">
        <is>
          <t>2026-04-27</t>
        </is>
      </c>
      <c r="G35" t="inlineStr">
        <is>
          <t xml:space="preserve"> - No hay coche</t>
        </is>
      </c>
      <c r="H35">
        <f>HYPERLINK("https://booking.roadsurfer.com/es/rally/pick?pickup_date=2026-04-20&amp;return_date=2026-04-27&amp;currency=EUR&amp;startStation=2&amp;endStation=128",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Road House</t>
        </is>
      </c>
      <c r="H36">
        <f>HYPERLINK("https://booking.roadsurfer.com/es/rally/pick?pickup_date=2026-04-14&amp;return_date=2026-04-21&amp;currency=EUR&amp;startStation=77&amp;endStation=51",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HYPERLINK("https://booking.roadsurfer.com/es/rally/pick?pickup_date=2026-04-14&amp;return_date=2026-04-21&amp;currency=EUR&amp;startStation=77&amp;endStation=90",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Karlsruhe</t>
        </is>
      </c>
      <c r="E38" t="inlineStr">
        <is>
          <t>2026-04-15</t>
        </is>
      </c>
      <c r="F38" t="inlineStr">
        <is>
          <t>2026-04-22</t>
        </is>
      </c>
      <c r="G38" t="inlineStr">
        <is>
          <t xml:space="preserve"> - Camper Castle</t>
        </is>
      </c>
      <c r="H38">
        <f>HYPERLINK("https://booking.roadsurfer.com/es/rally/pick?pickup_date=2026-04-15&amp;return_date=2026-04-22&amp;currency=EUR&amp;startStation=77&amp;endStation=110", "Clic para verlo en la web de RoadSurfer")</f>
        <v/>
      </c>
    </row>
    <row r="39">
      <c r="A39" t="inlineStr">
        <is>
          <t>Suecia</t>
        </is>
      </c>
      <c r="B39" t="inlineStr">
        <is>
          <t>Gotemburgo</t>
        </is>
      </c>
      <c r="C39" t="inlineStr">
        <is>
          <t>Alemania</t>
        </is>
      </c>
      <c r="D39" t="inlineStr">
        <is>
          <t>Maguncia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Camper Castle</t>
        </is>
      </c>
      <c r="H39">
        <f>HYPERLINK("https://booking.roadsurfer.com/es/rally/pick?pickup_date=2026-04-14&amp;return_date=2026-04-21&amp;currency=EUR&amp;startStation=77&amp;endStation=54", "Clic para verlo en la web de RoadSurfer")</f>
        <v/>
      </c>
    </row>
    <row r="40">
      <c r="A40" t="inlineStr">
        <is>
          <t>Austria</t>
        </is>
      </c>
      <c r="B40" t="inlineStr">
        <is>
          <t>Graz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Road House</t>
        </is>
      </c>
      <c r="H40">
        <f>HYPERLINK("https://booking.roadsurfer.com/es/rally/pick?pickup_date=2026-04-14&amp;return_date=2026-04-21&amp;currency=EUR&amp;startStation=37&amp;endStation=56", "Clic para verlo en la web de RoadSurfer")</f>
        <v/>
      </c>
    </row>
    <row r="41">
      <c r="A41" t="inlineStr">
        <is>
          <t>Austria</t>
        </is>
      </c>
      <c r="B41" t="inlineStr">
        <is>
          <t>Graz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2026-04-15</t>
        </is>
      </c>
      <c r="F41" t="inlineStr">
        <is>
          <t>2026-04-22</t>
        </is>
      </c>
      <c r="G41" t="inlineStr">
        <is>
          <t xml:space="preserve"> - Family Finca</t>
        </is>
      </c>
      <c r="H41">
        <f>HYPERLINK("https://booking.roadsurfer.com/es/rally/pick?pickup_date=2026-04-15&amp;return_date=2026-04-22&amp;currency=EUR&amp;startStation=37&amp;endStation=56", "Clic para verlo en la web de RoadSurfer")</f>
        <v/>
      </c>
    </row>
    <row r="42">
      <c r="A42" t="inlineStr">
        <is>
          <t>Alemania</t>
        </is>
      </c>
      <c r="B42" t="inlineStr">
        <is>
          <t>Hamburgo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2026-04-02</t>
        </is>
      </c>
      <c r="F42" t="inlineStr">
        <is>
          <t>2026-04-09</t>
        </is>
      </c>
      <c r="G42" t="inlineStr">
        <is>
          <t xml:space="preserve"> - Beach Hostel</t>
        </is>
      </c>
      <c r="H42">
        <f>HYPERLINK("https://booking.roadsurfer.com/es/rally/pick?pickup_date=2026-04-02&amp;return_date=2026-04-09&amp;currency=EUR&amp;startStation=3&amp;endStation=77", "Clic para verlo en la web de RoadSurfer")</f>
        <v/>
      </c>
    </row>
    <row r="43">
      <c r="A43" t="inlineStr">
        <is>
          <t>Alemania</t>
        </is>
      </c>
      <c r="B43" t="inlineStr">
        <is>
          <t>Hamburgo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2026-04-09</t>
        </is>
      </c>
      <c r="F43" t="inlineStr">
        <is>
          <t>2026-04-15</t>
        </is>
      </c>
      <c r="G43" t="inlineStr">
        <is>
          <t xml:space="preserve"> - Beach Hostel</t>
        </is>
      </c>
      <c r="H43">
        <f>HYPERLINK("https://booking.roadsurfer.com/es/rally/pick?pickup_date=2026-04-09&amp;return_date=2026-04-15&amp;currency=EUR&amp;startStation=3&amp;endStation=59", "Clic para verlo en la web de RoadSurfer")</f>
        <v/>
      </c>
    </row>
    <row r="44">
      <c r="A44" t="inlineStr">
        <is>
          <t>Alemania</t>
        </is>
      </c>
      <c r="B44" t="inlineStr">
        <is>
          <t>Hannover</t>
        </is>
      </c>
      <c r="C44" t="inlineStr">
        <is>
          <t>Alemania</t>
        </is>
      </c>
      <c r="D44" t="inlineStr">
        <is>
          <t>Braunschweig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No hay coche</t>
        </is>
      </c>
      <c r="H44">
        <f>HYPERLINK("https://booking.roadsurfer.com/es/rally/pick?pickup_date=2026-04-20&amp;return_date=2026-04-27&amp;currency=EUR&amp;startStation=7&amp;endStation=128",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2026-03-20</t>
        </is>
      </c>
      <c r="F45" t="inlineStr">
        <is>
          <t>2026-03-27</t>
        </is>
      </c>
      <c r="G45" t="inlineStr">
        <is>
          <t xml:space="preserve"> - Family Freedom</t>
        </is>
      </c>
      <c r="H45">
        <f>HYPERLINK("https://booking.roadsurfer.com/es/rally/pick?pickup_date=2026-03-20&amp;return_date=2026-03-27&amp;currency=EUR&amp;startStation=76&amp;endStation=107",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Seattle</t>
        </is>
      </c>
      <c r="E46" t="inlineStr">
        <is>
          <t>2026-03-27</t>
        </is>
      </c>
      <c r="F46" t="inlineStr">
        <is>
          <t>2026-04-03</t>
        </is>
      </c>
      <c r="G46" t="inlineStr">
        <is>
          <t xml:space="preserve"> - Family Freedom</t>
        </is>
      </c>
      <c r="H46">
        <f>HYPERLINK("https://booking.roadsurfer.com/es/rally/pick?pickup_date=2026-03-27&amp;return_date=2026-04-03&amp;currency=EUR&amp;startStation=76&amp;endStation=107",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Seattle</t>
        </is>
      </c>
      <c r="E47" t="inlineStr">
        <is>
          <t>2026-03-25</t>
        </is>
      </c>
      <c r="F47" t="inlineStr">
        <is>
          <t>2026-04-01</t>
        </is>
      </c>
      <c r="G47" t="inlineStr">
        <is>
          <t xml:space="preserve"> - Liberty Lodge</t>
        </is>
      </c>
      <c r="H47">
        <f>HYPERLINK("https://booking.roadsurfer.com/es/rally/pick?pickup_date=2026-03-25&amp;return_date=2026-04-01&amp;currency=EUR&amp;startStation=76&amp;endStation=107", "Clic para verlo en la web de RoadSurfer")</f>
        <v/>
      </c>
    </row>
    <row r="48">
      <c r="A48" t="inlineStr">
        <is>
          <t>EE.UU.</t>
        </is>
      </c>
      <c r="B48" t="inlineStr">
        <is>
          <t>Las Vegas</t>
        </is>
      </c>
      <c r="C48" t="inlineStr">
        <is>
          <t>EE.UU.</t>
        </is>
      </c>
      <c r="D48" t="inlineStr">
        <is>
          <t>Denver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Couple Condo</t>
        </is>
      </c>
      <c r="H48">
        <f>HYPERLINK("https://booking.roadsurfer.com/es/rally/pick?pickup_date=2026-04-20&amp;return_date=2026-04-27&amp;currency=EUR&amp;startStation=76&amp;endStation=104", "Clic para verlo en la web de RoadSurfer")</f>
        <v/>
      </c>
    </row>
    <row r="49">
      <c r="A49" t="inlineStr">
        <is>
          <t>Alemania</t>
        </is>
      </c>
      <c r="B49" t="inlineStr">
        <is>
          <t>Leipzig</t>
        </is>
      </c>
      <c r="C49" t="inlineStr">
        <is>
          <t>Alemania</t>
        </is>
      </c>
      <c r="D49" t="inlineStr">
        <is>
          <t>Braunschweig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HYPERLINK("https://booking.roadsurfer.com/es/rally/pick?pickup_date=2026-04-20&amp;return_date=2026-04-27&amp;currency=EUR&amp;startStation=8&amp;endStation=128", "Clic para verlo en la web de RoadSurfer")</f>
        <v/>
      </c>
    </row>
    <row r="50">
      <c r="A50" t="inlineStr">
        <is>
          <t>Alemania</t>
        </is>
      </c>
      <c r="B50" t="inlineStr">
        <is>
          <t>Leipzig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Family Finca</t>
        </is>
      </c>
      <c r="H50">
        <f>HYPERLINK("https://booking.roadsurfer.com/es/rally/pick?pickup_date=2026-04-13&amp;return_date=2026-04-20&amp;currency=EUR&amp;startStation=8&amp;endStation=42", "Clic para verlo en la web de RoadSurfer")</f>
        <v/>
      </c>
    </row>
    <row r="51">
      <c r="A51" t="inlineStr">
        <is>
          <t>Alemania</t>
        </is>
      </c>
      <c r="B51" t="inlineStr">
        <is>
          <t>Lindau-Wangen</t>
        </is>
      </c>
      <c r="C51" t="inlineStr">
        <is>
          <t>Francia</t>
        </is>
      </c>
      <c r="D51" t="inlineStr">
        <is>
          <t>Lyon</t>
        </is>
      </c>
      <c r="E51" t="inlineStr">
        <is>
          <t>2026-04-04</t>
        </is>
      </c>
      <c r="F51" t="inlineStr">
        <is>
          <t>2026-04-11</t>
        </is>
      </c>
      <c r="G51" t="inlineStr">
        <is>
          <t xml:space="preserve"> - Family Finca</t>
        </is>
      </c>
      <c r="H51">
        <f>HYPERLINK("https://booking.roadsurfer.com/es/rally/pick?pickup_date=2026-04-04&amp;return_date=2026-04-11&amp;currency=EUR&amp;startStation=117&amp;endStation=15",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2026-04-15</t>
        </is>
      </c>
      <c r="F52" t="inlineStr">
        <is>
          <t>2026-04-22</t>
        </is>
      </c>
      <c r="G52" t="inlineStr">
        <is>
          <t xml:space="preserve"> - Couple Cottage</t>
        </is>
      </c>
      <c r="H52">
        <f>HYPERLINK("https://booking.roadsurfer.com/es/rally/pick?pickup_date=2026-04-15&amp;return_date=2026-04-22&amp;currency=EUR&amp;startStation=20&amp;endStation=9", "Clic para verlo en la web de RoadSurfer")</f>
        <v/>
      </c>
    </row>
    <row r="53">
      <c r="A53" t="inlineStr">
        <is>
          <t>Suecia</t>
        </is>
      </c>
      <c r="B53" t="inlineStr">
        <is>
          <t>Malmö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Camper Castle</t>
        </is>
      </c>
      <c r="H53">
        <f>HYPERLINK("https://booking.roadsurfer.com/es/rally/pick?pickup_date=2026-04-20&amp;return_date=2026-04-27&amp;currency=EUR&amp;startStation=60&amp;endStation=5",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HYPERLINK("https://booking.roadsurfer.com/es/rally/pick?pickup_date=2026-04-14&amp;return_date=2026-04-21&amp;currency=EUR&amp;startStation=60&amp;endStation=6", "Clic para verlo en la web de RoadSurfer")</f>
        <v/>
      </c>
    </row>
    <row r="55">
      <c r="A55" t="inlineStr">
        <is>
          <t>Suecia</t>
        </is>
      </c>
      <c r="B55" t="inlineStr">
        <is>
          <t>Malmö</t>
        </is>
      </c>
      <c r="C55" t="inlineStr">
        <is>
          <t>Alemania</t>
        </is>
      </c>
      <c r="D55" t="inlineStr">
        <is>
          <t>Berlín-Schönefeld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Family Finca</t>
        </is>
      </c>
      <c r="H55">
        <f>HYPERLINK("https://booking.roadsurfer.com/es/rally/pick?pickup_date=2026-04-15&amp;return_date=2026-04-22&amp;currency=EUR&amp;startStation=60&amp;endStation=51", "Clic para verlo en la web de RoadSurfer")</f>
        <v/>
      </c>
    </row>
    <row r="56">
      <c r="A56" t="inlineStr">
        <is>
          <t>Suecia</t>
        </is>
      </c>
      <c r="B56" t="inlineStr">
        <is>
          <t>Malmö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2026-04-14</t>
        </is>
      </c>
      <c r="F56" t="inlineStr">
        <is>
          <t>2026-04-21</t>
        </is>
      </c>
      <c r="G56" t="inlineStr">
        <is>
          <t xml:space="preserve"> - Family Finca</t>
        </is>
      </c>
      <c r="H56">
        <f>HYPERLINK("https://booking.roadsurfer.com/es/rally/pick?pickup_date=2026-04-14&amp;return_date=2026-04-21&amp;currency=EUR&amp;startStation=60&amp;endStation=91",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2026-04-07</t>
        </is>
      </c>
      <c r="F57" t="inlineStr">
        <is>
          <t>2026-04-14</t>
        </is>
      </c>
      <c r="G57" t="inlineStr">
        <is>
          <t xml:space="preserve"> - Surfer Suite</t>
        </is>
      </c>
      <c r="H57">
        <f>HYPERLINK("https://booking.roadsurfer.com/es/rally/pick?pickup_date=2026-04-07&amp;return_date=2026-04-14&amp;currency=EUR&amp;startStation=22&amp;endStation=12",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2026-04-04</t>
        </is>
      </c>
      <c r="F58" t="inlineStr">
        <is>
          <t>2026-04-11</t>
        </is>
      </c>
      <c r="G58" t="inlineStr">
        <is>
          <t xml:space="preserve"> - No hay coche</t>
        </is>
      </c>
      <c r="H58">
        <f>HYPERLINK("https://booking.roadsurfer.com/es/rally/pick?pickup_date=2026-04-04&amp;return_date=2026-04-11&amp;currency=EUR&amp;startStation=22&amp;endStation=77",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2026-04-09</t>
        </is>
      </c>
      <c r="F59" t="inlineStr">
        <is>
          <t>2026-04-16</t>
        </is>
      </c>
      <c r="G59" t="inlineStr">
        <is>
          <t xml:space="preserve"> - Couple Cottage</t>
        </is>
      </c>
      <c r="H59">
        <f>HYPERLINK("https://booking.roadsurfer.com/es/rally/pick?pickup_date=2026-04-09&amp;return_date=2026-04-16&amp;currency=EUR&amp;startStation=22&amp;endStation=77",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Francia</t>
        </is>
      </c>
      <c r="D60" t="inlineStr">
        <is>
          <t>Burdeos</t>
        </is>
      </c>
      <c r="E60" t="inlineStr">
        <is>
          <t>2026-04-06</t>
        </is>
      </c>
      <c r="F60" t="inlineStr">
        <is>
          <t>2026-04-13</t>
        </is>
      </c>
      <c r="G60" t="inlineStr">
        <is>
          <t xml:space="preserve"> - Surfer Suite</t>
        </is>
      </c>
      <c r="H60">
        <f>HYPERLINK("https://booking.roadsurfer.com/es/rally/pick?pickup_date=2026-04-06&amp;return_date=2026-04-13&amp;currency=EUR&amp;startStation=22&amp;endStation=13", "Clic para verlo en la web de RoadSurfer")</f>
        <v/>
      </c>
    </row>
    <row r="61">
      <c r="A61" t="inlineStr">
        <is>
          <t>Alemania</t>
        </is>
      </c>
      <c r="B61" t="inlineStr">
        <is>
          <t>Múnich</t>
        </is>
      </c>
      <c r="C61" t="inlineStr">
        <is>
          <t>Alemania</t>
        </is>
      </c>
      <c r="D61" t="inlineStr">
        <is>
          <t>Braunschweig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No hay coche</t>
        </is>
      </c>
      <c r="H61">
        <f>HYPERLINK("https://booking.roadsurfer.com/es/rally/pick?pickup_date=2026-04-20&amp;return_date=2026-04-27&amp;currency=EUR&amp;startStation=1&amp;endStation=128", "Clic para verlo en la web de RoadSurfer")</f>
        <v/>
      </c>
    </row>
    <row r="62">
      <c r="A62" t="inlineStr">
        <is>
          <t>Alemania</t>
        </is>
      </c>
      <c r="B62" t="inlineStr">
        <is>
          <t>Múnich</t>
        </is>
      </c>
      <c r="C62" t="inlineStr">
        <is>
          <t>Francia</t>
        </is>
      </c>
      <c r="D62" t="inlineStr">
        <is>
          <t>Aix-Marsella</t>
        </is>
      </c>
      <c r="E62" t="inlineStr">
        <is>
          <t>2026-04-04</t>
        </is>
      </c>
      <c r="F62" t="inlineStr">
        <is>
          <t>2026-04-11</t>
        </is>
      </c>
      <c r="G62" t="inlineStr">
        <is>
          <t xml:space="preserve"> - Road House</t>
        </is>
      </c>
      <c r="H62">
        <f>HYPERLINK("https://booking.roadsurfer.com/es/rally/pick?pickup_date=2026-04-04&amp;return_date=2026-04-11&amp;currency=EUR&amp;startStation=1&amp;endStation=16", "Clic para verlo en la web de RoadSurfer")</f>
        <v/>
      </c>
    </row>
    <row r="63">
      <c r="A63" t="inlineStr">
        <is>
          <t>Francia</t>
        </is>
      </c>
      <c r="B63" t="inlineStr">
        <is>
          <t>París Aeropuerto CDG</t>
        </is>
      </c>
      <c r="C63" t="inlineStr">
        <is>
          <t>Francia</t>
        </is>
      </c>
      <c r="D63" t="inlineStr">
        <is>
          <t>Aix-Marsella</t>
        </is>
      </c>
      <c r="E63" t="inlineStr">
        <is>
          <t>2026-04-20</t>
        </is>
      </c>
      <c r="F63" t="inlineStr">
        <is>
          <t>2026-04-27</t>
        </is>
      </c>
      <c r="G63" t="inlineStr">
        <is>
          <t xml:space="preserve"> - Couple Cottage</t>
        </is>
      </c>
      <c r="H63">
        <f>HYPERLINK("https://booking.roadsurfer.com/es/rally/pick?pickup_date=2026-04-20&amp;return_date=2026-04-27&amp;currency=EUR&amp;startStation=48&amp;endStation=16", "Clic para verlo en la web de RoadSurfer")</f>
        <v/>
      </c>
    </row>
    <row r="64">
      <c r="A64" t="inlineStr">
        <is>
          <t>EE.UU.</t>
        </is>
      </c>
      <c r="B64" t="inlineStr">
        <is>
          <t>Phoenix</t>
        </is>
      </c>
      <c r="C64" t="inlineStr">
        <is>
          <t>EE.UU.</t>
        </is>
      </c>
      <c r="D64" t="inlineStr">
        <is>
          <t>Dallas</t>
        </is>
      </c>
      <c r="E64" t="inlineStr">
        <is>
          <t>2026-03-19</t>
        </is>
      </c>
      <c r="F64" t="inlineStr">
        <is>
          <t>2026-03-26</t>
        </is>
      </c>
      <c r="G64" t="inlineStr">
        <is>
          <t xml:space="preserve"> - Couple Condo</t>
        </is>
      </c>
      <c r="H64">
        <f>HYPERLINK("https://booking.roadsurfer.com/es/rally/pick?pickup_date=2026-03-19&amp;return_date=2026-03-26&amp;currency=EUR&amp;startStation=105&amp;endStation=125",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2026-04-13</t>
        </is>
      </c>
      <c r="F65" t="inlineStr">
        <is>
          <t>2026-04-20</t>
        </is>
      </c>
      <c r="G65" t="inlineStr">
        <is>
          <t xml:space="preserve"> - Road House</t>
        </is>
      </c>
      <c r="H65">
        <f>HYPERLINK("https://booking.roadsurfer.com/es/rally/pick?pickup_date=2026-04-13&amp;return_date=2026-04-20&amp;currency=EUR&amp;startStation=59&amp;endStation=91",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Road House</t>
        </is>
      </c>
      <c r="H66">
        <f>HYPERLINK("https://booking.roadsurfer.com/es/rally/pick?pickup_date=2026-04-14&amp;return_date=2026-04-21&amp;currency=EUR&amp;startStation=59&amp;endStation=91",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Couple Cottage</t>
        </is>
      </c>
      <c r="H67">
        <f>HYPERLINK("https://booking.roadsurfer.com/es/rally/pick?pickup_date=2026-04-14&amp;return_date=2026-04-21&amp;currency=EUR&amp;startStation=59&amp;endStation=90",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Road House</t>
        </is>
      </c>
      <c r="H68">
        <f>HYPERLINK("https://booking.roadsurfer.com/es/rally/pick?pickup_date=2026-04-16&amp;return_date=2026-04-23&amp;currency=EUR&amp;startStation=59&amp;endStation=90",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Berlín-Schönefeld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Family Finca</t>
        </is>
      </c>
      <c r="H69">
        <f>HYPERLINK("https://booking.roadsurfer.com/es/rally/pick?pickup_date=2026-04-14&amp;return_date=2026-04-21&amp;currency=EUR&amp;startStation=59&amp;endStation=51",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Augsburgo</t>
        </is>
      </c>
      <c r="E70" t="inlineStr">
        <is>
          <t>2026-04-15</t>
        </is>
      </c>
      <c r="F70" t="inlineStr">
        <is>
          <t>2026-04-22</t>
        </is>
      </c>
      <c r="G70" t="inlineStr">
        <is>
          <t xml:space="preserve"> - Camper Castle</t>
        </is>
      </c>
      <c r="H70">
        <f>HYPERLINK("https://booking.roadsurfer.com/es/rally/pick?pickup_date=2026-04-15&amp;return_date=2026-04-22&amp;currency=EUR&amp;startStation=59&amp;endStation=108", "Clic para verlo en la web de RoadSurfer")</f>
        <v/>
      </c>
    </row>
    <row r="71">
      <c r="A71" t="inlineStr">
        <is>
          <t>Suecia</t>
        </is>
      </c>
      <c r="B71" t="inlineStr">
        <is>
          <t>Estocolmo</t>
        </is>
      </c>
      <c r="C71" t="inlineStr">
        <is>
          <t>Alemania</t>
        </is>
      </c>
      <c r="D71" t="inlineStr">
        <is>
          <t>Karlsruhe</t>
        </is>
      </c>
      <c r="E71" t="inlineStr">
        <is>
          <t>2026-04-14</t>
        </is>
      </c>
      <c r="F71" t="inlineStr">
        <is>
          <t>2026-04-21</t>
        </is>
      </c>
      <c r="G71" t="inlineStr">
        <is>
          <t xml:space="preserve"> - Camper Castle</t>
        </is>
      </c>
      <c r="H71">
        <f>HYPERLINK("https://booking.roadsurfer.com/es/rally/pick?pickup_date=2026-04-14&amp;return_date=2026-04-21&amp;currency=EUR&amp;startStation=59&amp;endStation=110", "Clic para verlo en la web de RoadSurfer")</f>
        <v/>
      </c>
    </row>
    <row r="72">
      <c r="A72" t="inlineStr">
        <is>
          <t>Suecia</t>
        </is>
      </c>
      <c r="B72" t="inlineStr">
        <is>
          <t>Estocolmo</t>
        </is>
      </c>
      <c r="C72" t="inlineStr">
        <is>
          <t>Alemania</t>
        </is>
      </c>
      <c r="D72" t="inlineStr">
        <is>
          <t>Lindau-Wangen</t>
        </is>
      </c>
      <c r="E72" t="inlineStr">
        <is>
          <t>2026-04-15</t>
        </is>
      </c>
      <c r="F72" t="inlineStr">
        <is>
          <t>2026-04-22</t>
        </is>
      </c>
      <c r="G72" t="inlineStr">
        <is>
          <t xml:space="preserve"> - Camper Castle</t>
        </is>
      </c>
      <c r="H72">
        <f>HYPERLINK("https://booking.roadsurfer.com/es/rally/pick?pickup_date=2026-04-15&amp;return_date=2026-04-22&amp;currency=EUR&amp;startStation=59&amp;endStation=117",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Friburgo-Basilea (Alemania)</t>
        </is>
      </c>
      <c r="E73" t="inlineStr">
        <is>
          <t>2026-05-05</t>
        </is>
      </c>
      <c r="F73" t="inlineStr">
        <is>
          <t>2026-05-12</t>
        </is>
      </c>
      <c r="G73" t="inlineStr">
        <is>
          <t xml:space="preserve"> - Family Finca</t>
        </is>
      </c>
      <c r="H73">
        <f>HYPERLINK("https://booking.roadsurfer.com/es/rally/pick?pickup_date=2026-05-05&amp;return_date=2026-05-12&amp;currency=EUR&amp;startStation=30&amp;endStation=9",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Friburgo-Basilea (Alemania)</t>
        </is>
      </c>
      <c r="E74" t="inlineStr">
        <is>
          <t>2026-04-13</t>
        </is>
      </c>
      <c r="F74" t="inlineStr">
        <is>
          <t>2026-04-20</t>
        </is>
      </c>
      <c r="G74" t="inlineStr">
        <is>
          <t xml:space="preserve"> - Family Finca</t>
        </is>
      </c>
      <c r="H74">
        <f>HYPERLINK("https://booking.roadsurfer.com/es/rally/pick?pickup_date=2026-04-13&amp;return_date=2026-04-20&amp;currency=EUR&amp;startStation=30&amp;endStation=9", "Clic para verlo en la web de RoadSurfer")</f>
        <v/>
      </c>
    </row>
    <row r="75">
      <c r="A75" t="inlineStr">
        <is>
          <t>Francia</t>
        </is>
      </c>
      <c r="B75" t="inlineStr">
        <is>
          <t>Toulouse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Camper Castle</t>
        </is>
      </c>
      <c r="H75">
        <f>HYPERLINK("https://booking.roadsurfer.com/es/rally/pick?pickup_date=2026-04-13&amp;return_date=2026-04-20&amp;currency=EUR&amp;startStation=30&amp;endStation=90", "Clic para verlo en la web de RoadSurfer")</f>
        <v/>
      </c>
    </row>
    <row r="76">
      <c r="A76" t="inlineStr">
        <is>
          <t>Francia</t>
        </is>
      </c>
      <c r="B76" t="inlineStr">
        <is>
          <t>Toulouse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Road House</t>
        </is>
      </c>
      <c r="H76">
        <f>HYPERLINK("https://booking.roadsurfer.com/es/rally/pick?pickup_date=2026-04-14&amp;return_date=2026-04-21&amp;currency=EUR&amp;startStation=30&amp;endStation=90", "Clic para verlo en la web de RoadSurfer")</f>
        <v/>
      </c>
    </row>
    <row r="77">
      <c r="A77" t="inlineStr">
        <is>
          <t>Italia</t>
        </is>
      </c>
      <c r="B77" t="inlineStr">
        <is>
          <t>Turín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Family Finca</t>
        </is>
      </c>
      <c r="H77">
        <f>HYPERLINK("https://booking.roadsurfer.com/es/rally/pick?pickup_date=2026-04-20&amp;return_date=2026-04-27&amp;currency=EUR&amp;startStation=58&amp;endStation=56", "Clic para verlo en la web de RoadSurfer")</f>
        <v/>
      </c>
    </row>
    <row r="78">
      <c r="A78" t="inlineStr">
        <is>
          <t>España</t>
        </is>
      </c>
      <c r="B78" t="inlineStr">
        <is>
          <t>Valencia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Family Finca</t>
        </is>
      </c>
      <c r="H78">
        <f>HYPERLINK("https://booking.roadsurfer.com/es/rally/pick?pickup_date=2026-04-15&amp;return_date=2026-04-22&amp;currency=EUR&amp;startStation=38&amp;endStation=8",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Family Finca</t>
        </is>
      </c>
      <c r="H79">
        <f>HYPERLINK("https://booking.roadsurfer.com/es/rally/pick?pickup_date=2026-04-14&amp;return_date=2026-04-21&amp;currency=EUR&amp;startStation=78&amp;endStation=8", "Clic para verlo en la web de RoadSurfer")</f>
        <v/>
      </c>
    </row>
    <row r="80">
      <c r="A80" t="inlineStr">
        <is>
          <t>Italia</t>
        </is>
      </c>
      <c r="B80" t="inlineStr">
        <is>
          <t>Venecia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2026-04-15</t>
        </is>
      </c>
      <c r="F80" t="inlineStr">
        <is>
          <t>2026-04-22</t>
        </is>
      </c>
      <c r="G80" t="inlineStr">
        <is>
          <t xml:space="preserve"> - Family Finca</t>
        </is>
      </c>
      <c r="H80">
        <f>HYPERLINK("https://booking.roadsurfer.com/es/rally/pick?pickup_date=2026-04-15&amp;return_date=2026-04-22&amp;currency=EUR&amp;startStation=78&amp;endStation=8", "Clic para verlo en la web de RoadSurfer")</f>
        <v/>
      </c>
    </row>
    <row r="81">
      <c r="A81" t="inlineStr">
        <is>
          <t>Italia</t>
        </is>
      </c>
      <c r="B81" t="inlineStr">
        <is>
          <t>Venecia</t>
        </is>
      </c>
      <c r="C81" t="inlineStr">
        <is>
          <t>Alemania</t>
        </is>
      </c>
      <c r="D81" t="inlineStr">
        <is>
          <t>Duisburgo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Surfer Suite</t>
        </is>
      </c>
      <c r="H81">
        <f>HYPERLINK("https://booking.roadsurfer.com/es/rally/pick?pickup_date=2026-04-13&amp;return_date=2026-04-20&amp;currency=EUR&amp;startStation=78&amp;endStation=113", "Clic para verlo en la web de RoadSurfer")</f>
        <v/>
      </c>
    </row>
    <row r="82">
      <c r="A82" t="inlineStr">
        <is>
          <t>Austria</t>
        </is>
      </c>
      <c r="B82" t="inlineStr">
        <is>
          <t>Viena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2026-04-14</t>
        </is>
      </c>
      <c r="F82" t="inlineStr">
        <is>
          <t>2026-04-21</t>
        </is>
      </c>
      <c r="G82" t="inlineStr">
        <is>
          <t xml:space="preserve"> - Cozy Cottage</t>
        </is>
      </c>
      <c r="H82">
        <f>HYPERLINK("https://booking.roadsurfer.com/es/rally/pick?pickup_date=2026-04-14&amp;return_date=2026-04-21&amp;currency=EUR&amp;startStation=36&amp;endStation=8", "Clic para verlo en la web de RoadSurfer")</f>
        <v/>
      </c>
    </row>
    <row r="83">
      <c r="A83" t="inlineStr">
        <is>
          <t>Austria</t>
        </is>
      </c>
      <c r="B83" t="inlineStr">
        <is>
          <t>Viena Sur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Family Finca</t>
        </is>
      </c>
      <c r="H83">
        <f>HYPERLINK("https://booking.roadsurfer.com/es/rally/pick?pickup_date=2026-04-13&amp;return_date=2026-04-20&amp;currency=EUR&amp;startStation=45&amp;endStation=8", "Clic para verlo en la web de RoadSurfer")</f>
        <v/>
      </c>
    </row>
    <row r="84">
      <c r="A84" t="inlineStr">
        <is>
          <t>Austria</t>
        </is>
      </c>
      <c r="B84" t="inlineStr">
        <is>
          <t>Viena Sur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2026-04-14</t>
        </is>
      </c>
      <c r="F84" t="inlineStr">
        <is>
          <t>2026-04-21</t>
        </is>
      </c>
      <c r="G84" t="inlineStr">
        <is>
          <t xml:space="preserve"> - Family Finca</t>
        </is>
      </c>
      <c r="H84">
        <f>HYPERLINK("https://booking.roadsurfer.com/es/rally/pick?pickup_date=2026-04-14&amp;return_date=2026-04-21&amp;currency=EUR&amp;startStation=45&amp;endStation=8", "Clic para verlo en la web de RoadSurfer")</f>
        <v/>
      </c>
    </row>
    <row r="85">
      <c r="A85" t="inlineStr">
        <is>
          <t>Austria</t>
        </is>
      </c>
      <c r="B85" t="inlineStr">
        <is>
          <t>Viena Sur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Family Finca</t>
        </is>
      </c>
      <c r="H85">
        <f>HYPERLINK("https://booking.roadsurfer.com/es/rally/pick?pickup_date=2026-04-13&amp;return_date=2026-04-20&amp;currency=EUR&amp;startStation=45&amp;endStation=90",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2026-03-05T08:37:39Z</dcterms:created>
  <dcterms:modified xsi:type="dcterms:W3CDTF">2026-03-05T08:37:39Z</dcterms:modified>
</cp:coreProperties>
</file>