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Friburgo-Basilea (Alemania)</t>
        </is>
      </c>
      <c r="E2" t="inlineStr">
        <is>
          <t>2026-10-29</t>
        </is>
      </c>
      <c r="F2" t="inlineStr">
        <is>
          <t>2026-11-05</t>
        </is>
      </c>
      <c r="G2" t="inlineStr">
        <is>
          <t xml:space="preserve"> - Surfer Suite</t>
        </is>
      </c>
      <c r="H2">
        <f>HYPERLINK("https://booking.roadsurfer.com/es/rally/pick?pickup_date=2026-10-29&amp;return_date=2026-11-05&amp;currency=EUR&amp;startStation=16&amp;endStation=9",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Leipzig</t>
        </is>
      </c>
      <c r="E3" t="inlineStr">
        <is>
          <t>2026-10-12</t>
        </is>
      </c>
      <c r="F3" t="inlineStr">
        <is>
          <t>2026-10-19</t>
        </is>
      </c>
      <c r="G3" t="inlineStr">
        <is>
          <t xml:space="preserve"> - Beach Hostel</t>
        </is>
      </c>
      <c r="H3">
        <f>HYPERLINK("https://booking.roadsurfer.com/es/rally/pick?pickup_date=2026-10-12&amp;return_date=2026-10-19&amp;currency=EUR&amp;startStation=16&amp;endStation=8",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2026-10-30</t>
        </is>
      </c>
      <c r="F8" t="inlineStr">
        <is>
          <t>2026-11-06</t>
        </is>
      </c>
      <c r="G8" t="inlineStr">
        <is>
          <t xml:space="preserve"> - Camper Cabin Deluxe</t>
        </is>
      </c>
      <c r="H8">
        <f>HYPERLINK("https://booking.roadsurfer.com/es/rally/pick?pickup_date=2026-10-30&amp;return_date=2026-11-06&amp;currency=EUR&amp;startStation=32&amp;endStation=2",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Surfer Suite</t>
        </is>
      </c>
      <c r="H9">
        <f>HYPERLINK("https://booking.roadsurfer.com/es/rally/pick?pickup_date=2026-10-02&amp;return_date=2026-10-09&amp;currency=EUR&amp;startStation=32&amp;endStation=2",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2026-10-20</t>
        </is>
      </c>
      <c r="F11" t="inlineStr">
        <is>
          <t>2026-10-27</t>
        </is>
      </c>
      <c r="G11" t="inlineStr">
        <is>
          <t xml:space="preserve"> - Surfer Suite</t>
        </is>
      </c>
      <c r="H11">
        <f>HYPERLINK("https://booking.roadsurfer.com/es/rally/pick?pickup_date=2026-10-20&amp;return_date=2026-10-27&amp;currency=EUR&amp;startStation=32&amp;endStation=55",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Surfer Suite</t>
        </is>
      </c>
      <c r="H12">
        <f>HYPERLINK("https://booking.roadsurfer.com/es/rally/pick?pickup_date=2026-10-13&amp;return_date=2026-10-20&amp;currency=EUR&amp;startStation=32&amp;endStation=90",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2026-10-28</t>
        </is>
      </c>
      <c r="F13" t="inlineStr">
        <is>
          <t>2026-11-04</t>
        </is>
      </c>
      <c r="G13" t="inlineStr">
        <is>
          <t xml:space="preserve"> - Surfer Suite</t>
        </is>
      </c>
      <c r="H13">
        <f>HYPERLINK("https://booking.roadsurfer.com/es/rally/pick?pickup_date=2026-10-28&amp;return_date=2026-11-04&amp;currency=EUR&amp;startStation=47&amp;endStation=55",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2026-10-12</t>
        </is>
      </c>
      <c r="F14" t="inlineStr">
        <is>
          <t>2026-10-19</t>
        </is>
      </c>
      <c r="G14" t="inlineStr">
        <is>
          <t xml:space="preserve"> - Couple Cottage</t>
        </is>
      </c>
      <c r="H14">
        <f>HYPERLINK("https://booking.roadsurfer.com/es/rally/pick?pickup_date=2026-10-12&amp;return_date=2026-10-19&amp;currency=EUR&amp;startStation=47&amp;endStation=22",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2026-10-29</t>
        </is>
      </c>
      <c r="F15" t="inlineStr">
        <is>
          <t>2026-11-05</t>
        </is>
      </c>
      <c r="G15" t="inlineStr">
        <is>
          <t xml:space="preserve"> - Surfer Suite - Sunrise Suite</t>
        </is>
      </c>
      <c r="H15">
        <f>HYPERLINK("https://booking.roadsurfer.com/es/rally/pick?pickup_date=2026-10-29&amp;return_date=2026-11-05&amp;currency=EUR&amp;startStation=47&amp;endStation=22",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2026-10-13</t>
        </is>
      </c>
      <c r="F16" t="inlineStr">
        <is>
          <t>2026-10-20</t>
        </is>
      </c>
      <c r="G16" t="inlineStr">
        <is>
          <t xml:space="preserve"> - Camper Cabin</t>
        </is>
      </c>
      <c r="H16">
        <f>HYPERLINK("https://booking.roadsurfer.com/es/rally/pick?pickup_date=2026-10-13&amp;return_date=2026-10-20&amp;currency=EUR&amp;startStation=47&amp;endStation=22",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Bérgamo</t>
        </is>
      </c>
      <c r="E17" t="inlineStr">
        <is>
          <t>2026-10-26</t>
        </is>
      </c>
      <c r="F17" t="inlineStr">
        <is>
          <t>2026-11-02</t>
        </is>
      </c>
      <c r="G17" t="inlineStr">
        <is>
          <t xml:space="preserve"> - Surfer Suite</t>
        </is>
      </c>
      <c r="H17">
        <f>HYPERLINK("https://booking.roadsurfer.com/es/rally/pick?pickup_date=2026-10-26&amp;return_date=2026-11-02&amp;currency=EUR&amp;startStation=108&amp;endStation=94",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2026-09-11</t>
        </is>
      </c>
      <c r="F18" t="inlineStr">
        <is>
          <t>2026-09-18</t>
        </is>
      </c>
      <c r="G18" t="inlineStr">
        <is>
          <t xml:space="preserve"> - Surfer Suite</t>
        </is>
      </c>
      <c r="H18">
        <f>HYPERLINK("https://booking.roadsurfer.com/es/rally/pick?pickup_date=2026-09-11&amp;return_date=2026-09-18&amp;currency=EUR&amp;startStation=108&amp;endStation=29",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Múnich</t>
        </is>
      </c>
      <c r="E19" t="inlineStr">
        <is>
          <t>2026-10-26</t>
        </is>
      </c>
      <c r="F19" t="inlineStr">
        <is>
          <t>2026-11-02</t>
        </is>
      </c>
      <c r="G19" t="inlineStr">
        <is>
          <t xml:space="preserve"> - Surfer Suite</t>
        </is>
      </c>
      <c r="H19">
        <f>HYPERLINK("https://booking.roadsurfer.com/es/rally/pick?pickup_date=2026-10-26&amp;return_date=2026-11-02&amp;currency=EUR&amp;startStation=17&amp;endStation=1",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2026-10-28</t>
        </is>
      </c>
      <c r="F20" t="inlineStr">
        <is>
          <t>2026-11-04</t>
        </is>
      </c>
      <c r="G20" t="inlineStr">
        <is>
          <t xml:space="preserve"> - Travel Home - Camper Cabin Deluxe</t>
        </is>
      </c>
      <c r="H20">
        <f>HYPERLINK("https://booking.roadsurfer.com/es/rally/pick?pickup_date=2026-10-28&amp;return_date=2026-11-04&amp;currency=EUR&amp;startStation=17&amp;endStation=9",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2026-10-27</t>
        </is>
      </c>
      <c r="F21" t="inlineStr">
        <is>
          <t>2026-11-03</t>
        </is>
      </c>
      <c r="G21" t="inlineStr">
        <is>
          <t xml:space="preserve"> - Surfer Suite - CAMPER CABIN</t>
        </is>
      </c>
      <c r="H21">
        <f>HYPERLINK("https://booking.roadsurfer.com/es/rally/pick?pickup_date=2026-10-27&amp;return_date=2026-11-03&amp;currency=EUR&amp;startStation=17&amp;endStation=9",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2026-10-29</t>
        </is>
      </c>
      <c r="F22" t="inlineStr">
        <is>
          <t>2026-11-05</t>
        </is>
      </c>
      <c r="G22" t="inlineStr">
        <is>
          <t xml:space="preserve"> - Sunrise Suite</t>
        </is>
      </c>
      <c r="H22">
        <f>HYPERLINK("https://booking.roadsurfer.com/es/rally/pick?pickup_date=2026-10-29&amp;return_date=2026-11-05&amp;currency=EUR&amp;startStation=17&amp;endStation=9",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2026-10-30</t>
        </is>
      </c>
      <c r="F23" t="inlineStr">
        <is>
          <t>2026-11-06</t>
        </is>
      </c>
      <c r="G23" t="inlineStr">
        <is>
          <t xml:space="preserve"> - Beach Hostel</t>
        </is>
      </c>
      <c r="H23">
        <f>HYPERLINK("https://booking.roadsurfer.com/es/rally/pick?pickup_date=2026-10-30&amp;return_date=2026-11-06&amp;currency=EUR&amp;startStation=17&amp;endStation=9",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Leipzig</t>
        </is>
      </c>
      <c r="E24" t="inlineStr">
        <is>
          <t>2026-10-16</t>
        </is>
      </c>
      <c r="F24" t="inlineStr">
        <is>
          <t>2026-10-23</t>
        </is>
      </c>
      <c r="G24" t="inlineStr">
        <is>
          <t xml:space="preserve"> - Surfer Suite</t>
        </is>
      </c>
      <c r="H24">
        <f>HYPERLINK("https://booking.roadsurfer.com/es/rally/pick?pickup_date=2026-10-16&amp;return_date=2026-10-23&amp;currency=EUR&amp;startStation=17&amp;endStation=8",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Dresde</t>
        </is>
      </c>
      <c r="E25" t="inlineStr">
        <is>
          <t>2026-10-24</t>
        </is>
      </c>
      <c r="F25" t="inlineStr">
        <is>
          <t>2026-10-31</t>
        </is>
      </c>
      <c r="G25" t="inlineStr">
        <is>
          <t xml:space="preserve"> - No hay coche</t>
        </is>
      </c>
      <c r="H25">
        <f>HYPERLINK("https://booking.roadsurfer.com/es/rally/pick?pickup_date=2026-10-24&amp;return_date=2026-10-31&amp;currency=EUR&amp;startStation=17&amp;endStation=56",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Erfurt</t>
        </is>
      </c>
      <c r="E26" t="inlineStr">
        <is>
          <t>2026-10-23</t>
        </is>
      </c>
      <c r="F26" t="inlineStr">
        <is>
          <t>2026-10-30</t>
        </is>
      </c>
      <c r="G26" t="inlineStr">
        <is>
          <t xml:space="preserve"> - Beach Hostel</t>
        </is>
      </c>
      <c r="H26">
        <f>HYPERLINK("https://booking.roadsurfer.com/es/rally/pick?pickup_date=2026-10-23&amp;return_date=2026-10-30&amp;currency=EUR&amp;startStation=17&amp;endStation=90",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2026-10-28</t>
        </is>
      </c>
      <c r="F27" t="inlineStr">
        <is>
          <t>2026-11-04</t>
        </is>
      </c>
      <c r="G27" t="inlineStr">
        <is>
          <t xml:space="preserve"> - Surfer Suite</t>
        </is>
      </c>
      <c r="H27">
        <f>HYPERLINK("https://booking.roadsurfer.com/es/rally/pick?pickup_date=2026-10-28&amp;return_date=2026-11-04&amp;currency=EUR&amp;startStation=94&amp;endStation=22",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2026-10-27</t>
        </is>
      </c>
      <c r="F28" t="inlineStr">
        <is>
          <t>2026-11-03</t>
        </is>
      </c>
      <c r="G28" t="inlineStr">
        <is>
          <t xml:space="preserve"> - Beach Hostel - BEACH HOSTEL</t>
        </is>
      </c>
      <c r="H28">
        <f>HYPERLINK("https://booking.roadsurfer.com/es/rally/pick?pickup_date=2026-10-27&amp;return_date=2026-11-03&amp;currency=EUR&amp;startStation=94&amp;endStation=22",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Milán</t>
        </is>
      </c>
      <c r="E29" t="inlineStr">
        <is>
          <t>2026-10-17</t>
        </is>
      </c>
      <c r="F29" t="inlineStr">
        <is>
          <t>2026-10-24</t>
        </is>
      </c>
      <c r="G29" t="inlineStr">
        <is>
          <t xml:space="preserve"> - Surfer Suite</t>
        </is>
      </c>
      <c r="H29">
        <f>HYPERLINK("https://booking.roadsurfer.com/es/rally/pick?pickup_date=2026-10-17&amp;return_date=2026-10-24&amp;currency=EUR&amp;startStation=6&amp;endStation=34",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Aix-Marsella</t>
        </is>
      </c>
      <c r="E30" t="inlineStr">
        <is>
          <t>2026-10-26</t>
        </is>
      </c>
      <c r="F30" t="inlineStr">
        <is>
          <t>2026-11-02</t>
        </is>
      </c>
      <c r="G30" t="inlineStr">
        <is>
          <t xml:space="preserve"> - Surfer Suite</t>
        </is>
      </c>
      <c r="H30">
        <f>HYPERLINK("https://booking.roadsurfer.com/es/rally/pick?pickup_date=2026-10-26&amp;return_date=2026-11-02&amp;currency=EUR&amp;startStation=6&amp;endStation=16",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Italia</t>
        </is>
      </c>
      <c r="D31" t="inlineStr">
        <is>
          <t>Roma Aeropuerto Fiumicino</t>
        </is>
      </c>
      <c r="E31" t="inlineStr">
        <is>
          <t>2026-10-12</t>
        </is>
      </c>
      <c r="F31" t="inlineStr">
        <is>
          <t>2026-10-19</t>
        </is>
      </c>
      <c r="G31" t="inlineStr">
        <is>
          <t xml:space="preserve"> - Surfer Suite</t>
        </is>
      </c>
      <c r="H31">
        <f>HYPERLINK("https://booking.roadsurfer.com/es/rally/pick?pickup_date=2026-10-12&amp;return_date=2026-10-19&amp;currency=EUR&amp;startStation=6&amp;endStation=35",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Italia</t>
        </is>
      </c>
      <c r="D32" t="inlineStr">
        <is>
          <t>Roma Aeropuerto Fiumicino</t>
        </is>
      </c>
      <c r="E32" t="inlineStr">
        <is>
          <t>2026-10-26</t>
        </is>
      </c>
      <c r="F32" t="inlineStr">
        <is>
          <t>2026-11-02</t>
        </is>
      </c>
      <c r="G32" t="inlineStr">
        <is>
          <t xml:space="preserve"> - Beach Hostel</t>
        </is>
      </c>
      <c r="H32">
        <f>HYPERLINK("https://booking.roadsurfer.com/es/rally/pick?pickup_date=2026-10-26&amp;return_date=2026-11-02&amp;currency=EUR&amp;startStation=6&amp;endStation=35",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2026-10-09</t>
        </is>
      </c>
      <c r="F33" t="inlineStr">
        <is>
          <t>2026-10-16</t>
        </is>
      </c>
      <c r="G33" t="inlineStr">
        <is>
          <t xml:space="preserve"> - Surfer Suite</t>
        </is>
      </c>
      <c r="H33">
        <f>HYPERLINK("https://booking.roadsurfer.com/es/rally/pick?pickup_date=2026-10-09&amp;return_date=2026-10-16&amp;currency=EUR&amp;startStation=6&amp;endStation=12",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España</t>
        </is>
      </c>
      <c r="D34" t="inlineStr">
        <is>
          <t>Barcelona</t>
        </is>
      </c>
      <c r="E34" t="inlineStr">
        <is>
          <t>2026-10-07</t>
        </is>
      </c>
      <c r="F34" t="inlineStr">
        <is>
          <t>2026-10-14</t>
        </is>
      </c>
      <c r="G34" t="inlineStr">
        <is>
          <t xml:space="preserve"> - Sunrise Suite</t>
        </is>
      </c>
      <c r="H34">
        <f>HYPERLINK("https://booking.roadsurfer.com/es/rally/pick?pickup_date=2026-10-07&amp;return_date=2026-10-14&amp;currency=EUR&amp;startStation=6&amp;endStation=17",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Italia</t>
        </is>
      </c>
      <c r="D35" t="inlineStr">
        <is>
          <t>Bérgamo</t>
        </is>
      </c>
      <c r="E35" t="inlineStr">
        <is>
          <t>2026-10-14</t>
        </is>
      </c>
      <c r="F35" t="inlineStr">
        <is>
          <t>2026-10-21</t>
        </is>
      </c>
      <c r="G35" t="inlineStr">
        <is>
          <t xml:space="preserve"> - Surfer Suite</t>
        </is>
      </c>
      <c r="H35">
        <f>HYPERLINK("https://booking.roadsurfer.com/es/rally/pick?pickup_date=2026-10-14&amp;return_date=2026-10-21&amp;currency=EUR&amp;startStation=51&amp;endStation=94",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Bélgica</t>
        </is>
      </c>
      <c r="D36" t="inlineStr">
        <is>
          <t>Bruselas</t>
        </is>
      </c>
      <c r="E36" t="inlineStr">
        <is>
          <t>2026-10-03</t>
        </is>
      </c>
      <c r="F36" t="inlineStr">
        <is>
          <t>2026-10-10</t>
        </is>
      </c>
      <c r="G36" t="inlineStr">
        <is>
          <t xml:space="preserve"> - No hay coche</t>
        </is>
      </c>
      <c r="H36">
        <f>HYPERLINK("https://booking.roadsurfer.com/es/rally/pick?pickup_date=2026-10-03&amp;return_date=2026-10-10&amp;currency=EUR&amp;startStation=51&amp;endStation=42",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Francia</t>
        </is>
      </c>
      <c r="D37" t="inlineStr">
        <is>
          <t>Lyon</t>
        </is>
      </c>
      <c r="E37" t="inlineStr">
        <is>
          <t>2026-10-06</t>
        </is>
      </c>
      <c r="F37" t="inlineStr">
        <is>
          <t>2026-10-13</t>
        </is>
      </c>
      <c r="G37" t="inlineStr">
        <is>
          <t xml:space="preserve"> - Surfer Suite</t>
        </is>
      </c>
      <c r="H37">
        <f>HYPERLINK("https://booking.roadsurfer.com/es/rally/pick?pickup_date=2026-10-06&amp;return_date=2026-10-13&amp;currency=EUR&amp;startStation=51&amp;endStation=15",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Italia</t>
        </is>
      </c>
      <c r="D38" t="inlineStr">
        <is>
          <t>Venecia</t>
        </is>
      </c>
      <c r="E38" t="inlineStr">
        <is>
          <t>2026-10-10</t>
        </is>
      </c>
      <c r="F38" t="inlineStr">
        <is>
          <t>2026-10-17</t>
        </is>
      </c>
      <c r="G38" t="inlineStr">
        <is>
          <t xml:space="preserve"> - Surfer Suite</t>
        </is>
      </c>
      <c r="H38">
        <f>HYPERLINK("https://booking.roadsurfer.com/es/rally/pick?pickup_date=2026-10-10&amp;return_date=2026-10-17&amp;currency=EUR&amp;startStation=51&amp;endStation=78",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Italia</t>
        </is>
      </c>
      <c r="D39" t="inlineStr">
        <is>
          <t>Venecia</t>
        </is>
      </c>
      <c r="E39" t="inlineStr">
        <is>
          <t>2026-10-23</t>
        </is>
      </c>
      <c r="F39" t="inlineStr">
        <is>
          <t>2026-10-30</t>
        </is>
      </c>
      <c r="G39" t="inlineStr">
        <is>
          <t xml:space="preserve"> - Surfer Suite</t>
        </is>
      </c>
      <c r="H39">
        <f>HYPERLINK("https://booking.roadsurfer.com/es/rally/pick?pickup_date=2026-10-23&amp;return_date=2026-10-30&amp;currency=EUR&amp;startStation=51&amp;endStation=78",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España</t>
        </is>
      </c>
      <c r="D40" t="inlineStr">
        <is>
          <t>Valencia</t>
        </is>
      </c>
      <c r="E40" t="inlineStr">
        <is>
          <t>2026-10-09</t>
        </is>
      </c>
      <c r="F40" t="inlineStr">
        <is>
          <t>2026-10-16</t>
        </is>
      </c>
      <c r="G40" t="inlineStr">
        <is>
          <t xml:space="preserve"> - Surfer Suite</t>
        </is>
      </c>
      <c r="H40">
        <f>HYPERLINK("https://booking.roadsurfer.com/es/rally/pick?pickup_date=2026-10-09&amp;return_date=2026-10-16&amp;currency=EUR&amp;startStation=51&amp;endStation=38",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España</t>
        </is>
      </c>
      <c r="D41" t="inlineStr">
        <is>
          <t>Sevilla</t>
        </is>
      </c>
      <c r="E41" t="inlineStr">
        <is>
          <t>2026-10-17</t>
        </is>
      </c>
      <c r="F41" t="inlineStr">
        <is>
          <t>2026-10-24</t>
        </is>
      </c>
      <c r="G41" t="inlineStr">
        <is>
          <t xml:space="preserve"> - Surfer Suite</t>
        </is>
      </c>
      <c r="H41">
        <f>HYPERLINK("https://booking.roadsurfer.com/es/rally/pick?pickup_date=2026-10-17&amp;return_date=2026-10-24&amp;currency=EUR&amp;startStation=51&amp;endStation=39",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España</t>
        </is>
      </c>
      <c r="D42" t="inlineStr">
        <is>
          <t>Barcelona</t>
        </is>
      </c>
      <c r="E42" t="inlineStr">
        <is>
          <t>2026-10-26</t>
        </is>
      </c>
      <c r="F42" t="inlineStr">
        <is>
          <t>2026-11-02</t>
        </is>
      </c>
      <c r="G42" t="inlineStr">
        <is>
          <t xml:space="preserve"> - Camper Cabin Deluxe</t>
        </is>
      </c>
      <c r="H42">
        <f>HYPERLINK("https://booking.roadsurfer.com/es/rally/pick?pickup_date=2026-10-26&amp;return_date=2026-11-02&amp;currency=EUR&amp;startStation=51&amp;endStation=17",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España</t>
        </is>
      </c>
      <c r="D43" t="inlineStr">
        <is>
          <t>Barcelona</t>
        </is>
      </c>
      <c r="E43" t="inlineStr">
        <is>
          <t>2026-10-21</t>
        </is>
      </c>
      <c r="F43" t="inlineStr">
        <is>
          <t>2026-10-28</t>
        </is>
      </c>
      <c r="G43" t="inlineStr">
        <is>
          <t xml:space="preserve"> - Surfer Suite</t>
        </is>
      </c>
      <c r="H43">
        <f>HYPERLINK("https://booking.roadsurfer.com/es/rally/pick?pickup_date=2026-10-21&amp;return_date=2026-10-28&amp;currency=EUR&amp;startStation=51&amp;endStation=17",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Kassel</t>
        </is>
      </c>
      <c r="E44" t="inlineStr">
        <is>
          <t>2026-09-19</t>
        </is>
      </c>
      <c r="F44" t="inlineStr">
        <is>
          <t>2026-09-23</t>
        </is>
      </c>
      <c r="G44" t="inlineStr">
        <is>
          <t xml:space="preserve"> - Family Finca</t>
        </is>
      </c>
      <c r="H44">
        <f>HYPERLINK("https://booking.roadsurfer.com/es/rally/pick?pickup_date=2026-09-19&amp;return_date=2026-09-23&amp;currency=EUR&amp;startStation=51&amp;endStation=92",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Burdeos</t>
        </is>
      </c>
      <c r="E45" t="inlineStr">
        <is>
          <t>2026-10-19</t>
        </is>
      </c>
      <c r="F45" t="inlineStr">
        <is>
          <t>2026-10-26</t>
        </is>
      </c>
      <c r="G45" t="inlineStr">
        <is>
          <t xml:space="preserve"> - Surfer Suite</t>
        </is>
      </c>
      <c r="H45">
        <f>HYPERLINK("https://booking.roadsurfer.com/es/rally/pick?pickup_date=2026-10-19&amp;return_date=2026-10-26&amp;currency=EUR&amp;startStation=91&amp;endStation=13", "Clic para verlo en la web de RoadSurfer")</f>
        <v/>
      </c>
    </row>
    <row r="46">
      <c r="A46" t="inlineStr">
        <is>
          <t>España</t>
        </is>
      </c>
      <c r="B46" t="inlineStr">
        <is>
          <t>Bilbao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2026-10-28</t>
        </is>
      </c>
      <c r="F46" t="inlineStr">
        <is>
          <t>2026-11-04</t>
        </is>
      </c>
      <c r="G46" t="inlineStr">
        <is>
          <t xml:space="preserve"> - Surfer Suite</t>
        </is>
      </c>
      <c r="H46">
        <f>HYPERLINK("https://booking.roadsurfer.com/es/rally/pick?pickup_date=2026-10-28&amp;return_date=2026-11-04&amp;currency=EUR&amp;startStation=40&amp;endStation=9",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Friburgo-Basilea (Alemania)</t>
        </is>
      </c>
      <c r="E47" t="inlineStr">
        <is>
          <t>2026-10-27</t>
        </is>
      </c>
      <c r="F47" t="inlineStr">
        <is>
          <t>2026-11-03</t>
        </is>
      </c>
      <c r="G47" t="inlineStr">
        <is>
          <t xml:space="preserve"> - Sunrise Suite</t>
        </is>
      </c>
      <c r="H47">
        <f>HYPERLINK("https://booking.roadsurfer.com/es/rally/pick?pickup_date=2026-10-27&amp;return_date=2026-11-03&amp;currency=EUR&amp;startStation=40&amp;endStation=9", "Clic para verlo en la web de RoadSurfer")</f>
        <v/>
      </c>
    </row>
    <row r="48">
      <c r="A48" t="inlineStr">
        <is>
          <t>Italia</t>
        </is>
      </c>
      <c r="B48" t="inlineStr">
        <is>
          <t>Bolonia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2026-10-27</t>
        </is>
      </c>
      <c r="F48" t="inlineStr">
        <is>
          <t>2026-11-03</t>
        </is>
      </c>
      <c r="G48" t="inlineStr">
        <is>
          <t xml:space="preserve"> - Surfer Suite</t>
        </is>
      </c>
      <c r="H48">
        <f>HYPERLINK("https://booking.roadsurfer.com/es/rally/pick?pickup_date=2026-10-27&amp;return_date=2026-11-03&amp;currency=EUR&amp;startStation=57&amp;endStation=22",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2026-10-17</t>
        </is>
      </c>
      <c r="F49" t="inlineStr">
        <is>
          <t>2026-10-24</t>
        </is>
      </c>
      <c r="G49" t="inlineStr">
        <is>
          <t xml:space="preserve"> - Surfer Suite</t>
        </is>
      </c>
      <c r="H49">
        <f>HYPERLINK("https://booking.roadsurfer.com/es/rally/pick?pickup_date=2026-10-17&amp;return_date=2026-10-24&amp;currency=EUR&amp;startStation=13&amp;endStation=109",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España</t>
        </is>
      </c>
      <c r="D50" t="inlineStr">
        <is>
          <t>Valencia</t>
        </is>
      </c>
      <c r="E50" t="inlineStr">
        <is>
          <t>2026-09-14</t>
        </is>
      </c>
      <c r="F50" t="inlineStr">
        <is>
          <t>2026-09-21</t>
        </is>
      </c>
      <c r="G50" t="inlineStr">
        <is>
          <t xml:space="preserve"> - Surfer Suite</t>
        </is>
      </c>
      <c r="H50">
        <f>HYPERLINK("https://booking.roadsurfer.com/es/rally/pick?pickup_date=2026-09-14&amp;return_date=2026-09-21&amp;currency=EUR&amp;startStation=13&amp;endStation=38", "Clic para verlo en la web de RoadSurfer")</f>
        <v/>
      </c>
    </row>
    <row r="51">
      <c r="A51" t="inlineStr">
        <is>
          <t>Francia</t>
        </is>
      </c>
      <c r="B51" t="inlineStr">
        <is>
          <t>Burdeos</t>
        </is>
      </c>
      <c r="C51" t="inlineStr">
        <is>
          <t>España</t>
        </is>
      </c>
      <c r="D51" t="inlineStr">
        <is>
          <t>Madrid</t>
        </is>
      </c>
      <c r="E51" t="inlineStr">
        <is>
          <t>2026-09-14</t>
        </is>
      </c>
      <c r="F51" t="inlineStr">
        <is>
          <t>2026-09-21</t>
        </is>
      </c>
      <c r="G51" t="inlineStr">
        <is>
          <t xml:space="preserve"> - Surfer Suite</t>
        </is>
      </c>
      <c r="H51">
        <f>HYPERLINK("https://booking.roadsurfer.com/es/rally/pick?pickup_date=2026-09-14&amp;return_date=2026-09-21&amp;currency=EUR&amp;startStation=13&amp;endStation=20", "Clic para verlo en la web de RoadSurfer")</f>
        <v/>
      </c>
    </row>
    <row r="52">
      <c r="A52" t="inlineStr">
        <is>
          <t>Francia</t>
        </is>
      </c>
      <c r="B52" t="inlineStr">
        <is>
          <t>Burdeos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2026-10-26</t>
        </is>
      </c>
      <c r="F52" t="inlineStr">
        <is>
          <t>2026-11-02</t>
        </is>
      </c>
      <c r="G52" t="inlineStr">
        <is>
          <t xml:space="preserve"> - BEACH HOSTEL</t>
        </is>
      </c>
      <c r="H52">
        <f>HYPERLINK("https://booking.roadsurfer.com/es/rally/pick?pickup_date=2026-10-26&amp;return_date=2026-11-02&amp;currency=EUR&amp;startStation=13&amp;endStation=5",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Stuttgart</t>
        </is>
      </c>
      <c r="E53" t="inlineStr">
        <is>
          <t>2026-10-27</t>
        </is>
      </c>
      <c r="F53" t="inlineStr">
        <is>
          <t>2026-11-03</t>
        </is>
      </c>
      <c r="G53" t="inlineStr">
        <is>
          <t xml:space="preserve"> - Sunrise Suite</t>
        </is>
      </c>
      <c r="H53">
        <f>HYPERLINK("https://booking.roadsurfer.com/es/rally/pick?pickup_date=2026-10-27&amp;return_date=2026-11-03&amp;currency=EUR&amp;startStation=13&amp;endStation=5",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2026-10-28</t>
        </is>
      </c>
      <c r="F54" t="inlineStr">
        <is>
          <t>2026-11-04</t>
        </is>
      </c>
      <c r="G54" t="inlineStr">
        <is>
          <t xml:space="preserve"> - CAMPER CABIN</t>
        </is>
      </c>
      <c r="H54">
        <f>HYPERLINK("https://booking.roadsurfer.com/es/rally/pick?pickup_date=2026-10-28&amp;return_date=2026-11-04&amp;currency=EUR&amp;startStation=13&amp;endStation=9",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Marburg</t>
        </is>
      </c>
      <c r="E55" t="inlineStr">
        <is>
          <t>2026-10-25</t>
        </is>
      </c>
      <c r="F55" t="inlineStr">
        <is>
          <t>2026-11-02</t>
        </is>
      </c>
      <c r="G55" t="inlineStr">
        <is>
          <t xml:space="preserve"> - No hay coche</t>
        </is>
      </c>
      <c r="H55">
        <f>HYPERLINK("https://booking.roadsurfer.com/es/rally/pick?pickup_date=2026-10-25&amp;return_date=2026-11-02&amp;currency=EUR&amp;startStation=13&amp;endStation=22", "Clic para verlo en la web de RoadSurfer")</f>
        <v/>
      </c>
    </row>
    <row r="56">
      <c r="A56" t="inlineStr">
        <is>
          <t>Alemania</t>
        </is>
      </c>
      <c r="B56" t="inlineStr">
        <is>
          <t>Bremen</t>
        </is>
      </c>
      <c r="C56" t="inlineStr">
        <is>
          <t>Italia</t>
        </is>
      </c>
      <c r="D56" t="inlineStr">
        <is>
          <t>Bérgamo</t>
        </is>
      </c>
      <c r="E56" t="inlineStr">
        <is>
          <t>2026-10-27</t>
        </is>
      </c>
      <c r="F56" t="inlineStr">
        <is>
          <t>2026-11-03</t>
        </is>
      </c>
      <c r="G56" t="inlineStr">
        <is>
          <t xml:space="preserve"> - Surfer Suite</t>
        </is>
      </c>
      <c r="H56">
        <f>HYPERLINK("https://booking.roadsurfer.com/es/rally/pick?pickup_date=2026-10-27&amp;return_date=2026-11-03&amp;currency=EUR&amp;startStation=55&amp;endStation=94", "Clic para verlo en la web de RoadSurfer")</f>
        <v/>
      </c>
    </row>
    <row r="57">
      <c r="A57" t="inlineStr">
        <is>
          <t>Alemania</t>
        </is>
      </c>
      <c r="B57" t="inlineStr">
        <is>
          <t>Bremen</t>
        </is>
      </c>
      <c r="C57" t="inlineStr">
        <is>
          <t>España</t>
        </is>
      </c>
      <c r="D57" t="inlineStr">
        <is>
          <t>Barcelona</t>
        </is>
      </c>
      <c r="E57" t="inlineStr">
        <is>
          <t>2026-10-14</t>
        </is>
      </c>
      <c r="F57" t="inlineStr">
        <is>
          <t>2026-10-21</t>
        </is>
      </c>
      <c r="G57" t="inlineStr">
        <is>
          <t xml:space="preserve"> - Surfer Suite</t>
        </is>
      </c>
      <c r="H57">
        <f>HYPERLINK("https://booking.roadsurfer.com/es/rally/pick?pickup_date=2026-10-14&amp;return_date=2026-10-21&amp;currency=EUR&amp;startStation=55&amp;endStation=17", "Clic para verlo en la web de RoadSurfer")</f>
        <v/>
      </c>
    </row>
    <row r="58">
      <c r="A58" t="inlineStr">
        <is>
          <t>Alemania</t>
        </is>
      </c>
      <c r="B58" t="inlineStr">
        <is>
          <t>Bremen</t>
        </is>
      </c>
      <c r="C58" t="inlineStr">
        <is>
          <t>España</t>
        </is>
      </c>
      <c r="D58" t="inlineStr">
        <is>
          <t>Valencia</t>
        </is>
      </c>
      <c r="E58" t="inlineStr">
        <is>
          <t>2026-10-22</t>
        </is>
      </c>
      <c r="F58" t="inlineStr">
        <is>
          <t>2026-10-29</t>
        </is>
      </c>
      <c r="G58" t="inlineStr">
        <is>
          <t xml:space="preserve"> - Surfer Suite</t>
        </is>
      </c>
      <c r="H58">
        <f>HYPERLINK("https://booking.roadsurfer.com/es/rally/pick?pickup_date=2026-10-22&amp;return_date=2026-10-29&amp;currency=EUR&amp;startStation=55&amp;endStation=38", "Clic para verlo en la web de RoadSurfer")</f>
        <v/>
      </c>
    </row>
    <row r="59">
      <c r="A59" t="inlineStr">
        <is>
          <t>Alemania</t>
        </is>
      </c>
      <c r="B59" t="inlineStr">
        <is>
          <t>Bremen</t>
        </is>
      </c>
      <c r="C59" t="inlineStr">
        <is>
          <t>España</t>
        </is>
      </c>
      <c r="D59" t="inlineStr">
        <is>
          <t>Valencia</t>
        </is>
      </c>
      <c r="E59" t="inlineStr">
        <is>
          <t>2026-10-03</t>
        </is>
      </c>
      <c r="F59" t="inlineStr">
        <is>
          <t>2026-10-10</t>
        </is>
      </c>
      <c r="G59" t="inlineStr">
        <is>
          <t xml:space="preserve"> - No hay coche</t>
        </is>
      </c>
      <c r="H59">
        <f>HYPERLINK("https://booking.roadsurfer.com/es/rally/pick?pickup_date=2026-10-03&amp;return_date=2026-10-10&amp;currency=EUR&amp;startStation=55&amp;endStation=38", "Clic para verlo en la web de RoadSurfer")</f>
        <v/>
      </c>
    </row>
    <row r="60">
      <c r="A60" t="inlineStr">
        <is>
          <t>Alemania</t>
        </is>
      </c>
      <c r="B60" t="inlineStr">
        <is>
          <t>Bremen</t>
        </is>
      </c>
      <c r="C60" t="inlineStr">
        <is>
          <t>España</t>
        </is>
      </c>
      <c r="D60" t="inlineStr">
        <is>
          <t>Madrid</t>
        </is>
      </c>
      <c r="E60" t="inlineStr">
        <is>
          <t>2026-10-26</t>
        </is>
      </c>
      <c r="F60" t="inlineStr">
        <is>
          <t>2026-11-02</t>
        </is>
      </c>
      <c r="G60" t="inlineStr">
        <is>
          <t xml:space="preserve"> - No hay coche</t>
        </is>
      </c>
      <c r="H60">
        <f>HYPERLINK("https://booking.roadsurfer.com/es/rally/pick?pickup_date=2026-10-26&amp;return_date=2026-11-02&amp;currency=EUR&amp;startStation=55&amp;endStation=20", "Clic para verlo en la web de RoadSurfer")</f>
        <v/>
      </c>
    </row>
    <row r="61">
      <c r="A61" t="inlineStr">
        <is>
          <t>Alemania</t>
        </is>
      </c>
      <c r="B61" t="inlineStr">
        <is>
          <t>Bremen</t>
        </is>
      </c>
      <c r="C61" t="inlineStr">
        <is>
          <t>Francia</t>
        </is>
      </c>
      <c r="D61" t="inlineStr">
        <is>
          <t>París Aeropuerto CDG</t>
        </is>
      </c>
      <c r="E61" t="inlineStr">
        <is>
          <t>2026-10-05</t>
        </is>
      </c>
      <c r="F61" t="inlineStr">
        <is>
          <t>2026-10-12</t>
        </is>
      </c>
      <c r="G61" t="inlineStr">
        <is>
          <t xml:space="preserve"> - Beach Hostel</t>
        </is>
      </c>
      <c r="H61">
        <f>HYPERLINK("https://booking.roadsurfer.com/es/rally/pick?pickup_date=2026-10-05&amp;return_date=2026-10-12&amp;currency=EUR&amp;startStation=55&amp;endStation=48", "Clic para verlo en la web de RoadSurfer")</f>
        <v/>
      </c>
    </row>
    <row r="62">
      <c r="A62" t="inlineStr">
        <is>
          <t>Reino Unido</t>
        </is>
      </c>
      <c r="B62" t="inlineStr">
        <is>
          <t>Bristol</t>
        </is>
      </c>
      <c r="C62" t="inlineStr">
        <is>
          <t>Reino Unido</t>
        </is>
      </c>
      <c r="D62" t="inlineStr">
        <is>
          <t>Edimburgo</t>
        </is>
      </c>
      <c r="E62" t="inlineStr">
        <is>
          <t>2026-10-06</t>
        </is>
      </c>
      <c r="F62" t="inlineStr">
        <is>
          <t>2026-10-13</t>
        </is>
      </c>
      <c r="G62" t="inlineStr">
        <is>
          <t xml:space="preserve"> - Cozy Cottage</t>
        </is>
      </c>
      <c r="H62">
        <f>HYPERLINK("https://booking.roadsurfer.com/es/rally/pick?pickup_date=2026-10-06&amp;return_date=2026-10-13&amp;currency=EUR&amp;startStation=98&amp;endStation=64", "Clic para verlo en la web de RoadSurfer")</f>
        <v/>
      </c>
    </row>
    <row r="63">
      <c r="A63" t="inlineStr">
        <is>
          <t>Reino Unido</t>
        </is>
      </c>
      <c r="B63" t="inlineStr">
        <is>
          <t>Bristol</t>
        </is>
      </c>
      <c r="C63" t="inlineStr">
        <is>
          <t>Reino Unido</t>
        </is>
      </c>
      <c r="D63" t="inlineStr">
        <is>
          <t>Edimburgo</t>
        </is>
      </c>
      <c r="E63" t="inlineStr">
        <is>
          <t>2026-10-07</t>
        </is>
      </c>
      <c r="F63" t="inlineStr">
        <is>
          <t>2026-10-14</t>
        </is>
      </c>
      <c r="G63" t="inlineStr">
        <is>
          <t xml:space="preserve"> - Cozy Cottage</t>
        </is>
      </c>
      <c r="H63">
        <f>HYPERLINK("https://booking.roadsurfer.com/es/rally/pick?pickup_date=2026-10-07&amp;return_date=2026-10-14&amp;currency=EUR&amp;startStation=98&amp;endStation=64", "Clic para verlo en la web de RoadSurfer")</f>
        <v/>
      </c>
    </row>
    <row r="64">
      <c r="A64" t="inlineStr">
        <is>
          <t>Reino Unido</t>
        </is>
      </c>
      <c r="B64" t="inlineStr">
        <is>
          <t>Bristol</t>
        </is>
      </c>
      <c r="C64" t="inlineStr">
        <is>
          <t>Reino Unido</t>
        </is>
      </c>
      <c r="D64" t="inlineStr">
        <is>
          <t>Edimburgo</t>
        </is>
      </c>
      <c r="E64" t="inlineStr">
        <is>
          <t>2026-10-01</t>
        </is>
      </c>
      <c r="F64" t="inlineStr">
        <is>
          <t>2026-10-08</t>
        </is>
      </c>
      <c r="G64" t="inlineStr">
        <is>
          <t xml:space="preserve"> - Family Finca</t>
        </is>
      </c>
      <c r="H64">
        <f>HYPERLINK("https://booking.roadsurfer.com/es/rally/pick?pickup_date=2026-10-01&amp;return_date=2026-10-08&amp;currency=EUR&amp;startStation=98&amp;endStation=64", "Clic para verlo en la web de RoadSurfer")</f>
        <v/>
      </c>
    </row>
    <row r="65">
      <c r="A65" t="inlineStr">
        <is>
          <t>Reino Unido</t>
        </is>
      </c>
      <c r="B65" t="inlineStr">
        <is>
          <t>Bristol</t>
        </is>
      </c>
      <c r="C65" t="inlineStr">
        <is>
          <t>Reino Unido</t>
        </is>
      </c>
      <c r="D65" t="inlineStr">
        <is>
          <t>Edimburgo</t>
        </is>
      </c>
      <c r="E65" t="inlineStr">
        <is>
          <t>2026-10-05</t>
        </is>
      </c>
      <c r="F65" t="inlineStr">
        <is>
          <t>2026-10-12</t>
        </is>
      </c>
      <c r="G65" t="inlineStr">
        <is>
          <t xml:space="preserve"> - Family Finca</t>
        </is>
      </c>
      <c r="H65">
        <f>HYPERLINK("https://booking.roadsurfer.com/es/rally/pick?pickup_date=2026-10-05&amp;return_date=2026-10-12&amp;currency=EUR&amp;startStation=98&amp;endStation=64", "Clic para verlo en la web de RoadSurfer")</f>
        <v/>
      </c>
    </row>
    <row r="66">
      <c r="A66" t="inlineStr">
        <is>
          <t>Bélgica</t>
        </is>
      </c>
      <c r="B66" t="inlineStr">
        <is>
          <t>Bruselas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2026-10-28</t>
        </is>
      </c>
      <c r="F66" t="inlineStr">
        <is>
          <t>2026-11-04</t>
        </is>
      </c>
      <c r="G66" t="inlineStr">
        <is>
          <t xml:space="preserve"> - Camper Cabin Deluxe</t>
        </is>
      </c>
      <c r="H66">
        <f>HYPERLINK("https://booking.roadsurfer.com/es/rally/pick?pickup_date=2026-10-28&amp;return_date=2026-11-04&amp;currency=EUR&amp;startStation=42&amp;endStation=22", "Clic para verlo en la web de RoadSurfer")</f>
        <v/>
      </c>
    </row>
    <row r="67">
      <c r="A67" t="inlineStr">
        <is>
          <t>Bélgica</t>
        </is>
      </c>
      <c r="B67" t="inlineStr">
        <is>
          <t>Bruselas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2026-10-27</t>
        </is>
      </c>
      <c r="F67" t="inlineStr">
        <is>
          <t>2026-11-03</t>
        </is>
      </c>
      <c r="G67" t="inlineStr">
        <is>
          <t xml:space="preserve"> - Camper Cabin</t>
        </is>
      </c>
      <c r="H67">
        <f>HYPERLINK("https://booking.roadsurfer.com/es/rally/pick?pickup_date=2026-10-27&amp;return_date=2026-11-03&amp;currency=EUR&amp;startStation=42&amp;endStation=22", "Clic para verlo en la web de RoadSurfer")</f>
        <v/>
      </c>
    </row>
    <row r="68">
      <c r="A68" t="inlineStr">
        <is>
          <t>Bélgica</t>
        </is>
      </c>
      <c r="B68" t="inlineStr">
        <is>
          <t>Bruselas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2026-10-14</t>
        </is>
      </c>
      <c r="F68" t="inlineStr">
        <is>
          <t>2026-10-21</t>
        </is>
      </c>
      <c r="G68" t="inlineStr">
        <is>
          <t xml:space="preserve"> - Surfer Suite</t>
        </is>
      </c>
      <c r="H68">
        <f>HYPERLINK("https://booking.roadsurfer.com/es/rally/pick?pickup_date=2026-10-14&amp;return_date=2026-10-21&amp;currency=EUR&amp;startStation=42&amp;endStation=22", "Clic para verlo en la web de RoadSurfer")</f>
        <v/>
      </c>
    </row>
    <row r="69">
      <c r="A69" t="inlineStr">
        <is>
          <t>Alemania</t>
        </is>
      </c>
      <c r="B69" t="inlineStr">
        <is>
          <t>Colonia-Bonn</t>
        </is>
      </c>
      <c r="C69" t="inlineStr">
        <is>
          <t>Italia</t>
        </is>
      </c>
      <c r="D69" t="inlineStr">
        <is>
          <t>Venecia</t>
        </is>
      </c>
      <c r="E69" t="inlineStr">
        <is>
          <t>2026-10-03</t>
        </is>
      </c>
      <c r="F69" t="inlineStr">
        <is>
          <t>2026-10-10</t>
        </is>
      </c>
      <c r="G69" t="inlineStr">
        <is>
          <t xml:space="preserve"> - No hay coche</t>
        </is>
      </c>
      <c r="H69">
        <f>HYPERLINK("https://booking.roadsurfer.com/es/rally/pick?pickup_date=2026-10-03&amp;return_date=2026-10-10&amp;currency=EUR&amp;startStation=52&amp;endStation=78", "Clic para verlo en la web de RoadSurfer")</f>
        <v/>
      </c>
    </row>
    <row r="70">
      <c r="A70" t="inlineStr">
        <is>
          <t>Alemania</t>
        </is>
      </c>
      <c r="B70" t="inlineStr">
        <is>
          <t>Colonia-Bonn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2026-10-08</t>
        </is>
      </c>
      <c r="F70" t="inlineStr">
        <is>
          <t>2026-10-15</t>
        </is>
      </c>
      <c r="G70" t="inlineStr">
        <is>
          <t xml:space="preserve"> - FAMILY FINCA</t>
        </is>
      </c>
      <c r="H70">
        <f>HYPERLINK("https://booking.roadsurfer.com/es/rally/pick?pickup_date=2026-10-08&amp;return_date=2026-10-15&amp;currency=EUR&amp;startStation=52&amp;endStation=56", "Clic para verlo en la web de RoadSurfer")</f>
        <v/>
      </c>
    </row>
    <row r="71">
      <c r="A71" t="inlineStr">
        <is>
          <t>Alemania</t>
        </is>
      </c>
      <c r="B71" t="inlineStr">
        <is>
          <t>Colonia-Bonn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2026-10-05</t>
        </is>
      </c>
      <c r="F71" t="inlineStr">
        <is>
          <t>2026-10-12</t>
        </is>
      </c>
      <c r="G71" t="inlineStr">
        <is>
          <t xml:space="preserve"> - Family Finca</t>
        </is>
      </c>
      <c r="H71">
        <f>HYPERLINK("https://booking.roadsurfer.com/es/rally/pick?pickup_date=2026-10-05&amp;return_date=2026-10-12&amp;currency=EUR&amp;startStation=52&amp;endStation=56",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España</t>
        </is>
      </c>
      <c r="D72" t="inlineStr">
        <is>
          <t>Barcelona</t>
        </is>
      </c>
      <c r="E72" t="inlineStr">
        <is>
          <t>2026-10-03</t>
        </is>
      </c>
      <c r="F72" t="inlineStr">
        <is>
          <t>2026-10-10</t>
        </is>
      </c>
      <c r="G72" t="inlineStr">
        <is>
          <t xml:space="preserve"> - No hay coche</t>
        </is>
      </c>
      <c r="H72">
        <f>HYPERLINK("https://booking.roadsurfer.com/es/rally/pick?pickup_date=2026-10-03&amp;return_date=2026-10-10&amp;currency=EUR&amp;startStation=4&amp;endStation=17",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España</t>
        </is>
      </c>
      <c r="D73" t="inlineStr">
        <is>
          <t>Barcelona</t>
        </is>
      </c>
      <c r="E73" t="inlineStr">
        <is>
          <t>2026-10-14</t>
        </is>
      </c>
      <c r="F73" t="inlineStr">
        <is>
          <t>2026-10-21</t>
        </is>
      </c>
      <c r="G73" t="inlineStr">
        <is>
          <t xml:space="preserve"> - Surfer Suite</t>
        </is>
      </c>
      <c r="H73">
        <f>HYPERLINK("https://booking.roadsurfer.com/es/rally/pick?pickup_date=2026-10-14&amp;return_date=2026-10-21&amp;currency=EUR&amp;startStation=4&amp;endStation=17",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España</t>
        </is>
      </c>
      <c r="D74" t="inlineStr">
        <is>
          <t>Barcelona</t>
        </is>
      </c>
      <c r="E74" t="inlineStr">
        <is>
          <t>2026-10-08</t>
        </is>
      </c>
      <c r="F74" t="inlineStr">
        <is>
          <t>2026-10-15</t>
        </is>
      </c>
      <c r="G74" t="inlineStr">
        <is>
          <t xml:space="preserve"> - Surfer Suite</t>
        </is>
      </c>
      <c r="H74">
        <f>HYPERLINK("https://booking.roadsurfer.com/es/rally/pick?pickup_date=2026-10-08&amp;return_date=2026-10-15&amp;currency=EUR&amp;startStation=4&amp;endStation=17", "Clic para verlo en la web de RoadSurfer")</f>
        <v/>
      </c>
    </row>
    <row r="75">
      <c r="A75" t="inlineStr">
        <is>
          <t>Alemania</t>
        </is>
      </c>
      <c r="B75" t="inlineStr">
        <is>
          <t>Colonia-Düsseldorf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2026-10-27</t>
        </is>
      </c>
      <c r="F75" t="inlineStr">
        <is>
          <t>2026-11-03</t>
        </is>
      </c>
      <c r="G75" t="inlineStr">
        <is>
          <t xml:space="preserve"> - Surfer Suite</t>
        </is>
      </c>
      <c r="H75">
        <f>HYPERLINK("https://booking.roadsurfer.com/es/rally/pick?pickup_date=2026-10-27&amp;return_date=2026-11-03&amp;currency=EUR&amp;startStation=4&amp;endStation=34", "Clic para verlo en la web de RoadSurfer")</f>
        <v/>
      </c>
    </row>
    <row r="76">
      <c r="A76" t="inlineStr">
        <is>
          <t>Alemania</t>
        </is>
      </c>
      <c r="B76" t="inlineStr">
        <is>
          <t>Colonia-Düsseldorf</t>
        </is>
      </c>
      <c r="C76" t="inlineStr">
        <is>
          <t>Francia</t>
        </is>
      </c>
      <c r="D76" t="inlineStr">
        <is>
          <t>Nantes</t>
        </is>
      </c>
      <c r="E76" t="inlineStr">
        <is>
          <t>2026-10-05</t>
        </is>
      </c>
      <c r="F76" t="inlineStr">
        <is>
          <t>2026-10-12</t>
        </is>
      </c>
      <c r="G76" t="inlineStr">
        <is>
          <t xml:space="preserve"> - No hay coche</t>
        </is>
      </c>
      <c r="H76">
        <f>HYPERLINK("https://booking.roadsurfer.com/es/rally/pick?pickup_date=2026-10-05&amp;return_date=2026-10-12&amp;currency=EUR&amp;startStation=4&amp;endStation=31", "Clic para verlo en la web de RoadSurfer")</f>
        <v/>
      </c>
    </row>
    <row r="77">
      <c r="A77" t="inlineStr">
        <is>
          <t>Alemania</t>
        </is>
      </c>
      <c r="B77" t="inlineStr">
        <is>
          <t>Colonia-Düsseldorf</t>
        </is>
      </c>
      <c r="C77" t="inlineStr">
        <is>
          <t>Italia</t>
        </is>
      </c>
      <c r="D77" t="inlineStr">
        <is>
          <t>Roma Aeropuerto Fiumicino</t>
        </is>
      </c>
      <c r="E77" t="inlineStr">
        <is>
          <t>2026-10-17</t>
        </is>
      </c>
      <c r="F77" t="inlineStr">
        <is>
          <t>2026-10-24</t>
        </is>
      </c>
      <c r="G77" t="inlineStr">
        <is>
          <t xml:space="preserve"> - Surfer Suite</t>
        </is>
      </c>
      <c r="H77">
        <f>HYPERLINK("https://booking.roadsurfer.com/es/rally/pick?pickup_date=2026-10-17&amp;return_date=2026-10-24&amp;currency=EUR&amp;startStation=4&amp;endStation=35", "Clic para verlo en la web de RoadSurfer")</f>
        <v/>
      </c>
    </row>
    <row r="78">
      <c r="A78" t="inlineStr">
        <is>
          <t>Alemania</t>
        </is>
      </c>
      <c r="B78" t="inlineStr">
        <is>
          <t>Colonia-Düsseldorf</t>
        </is>
      </c>
      <c r="C78" t="inlineStr">
        <is>
          <t>España</t>
        </is>
      </c>
      <c r="D78" t="inlineStr">
        <is>
          <t>Valencia</t>
        </is>
      </c>
      <c r="E78" t="inlineStr">
        <is>
          <t>2026-10-06</t>
        </is>
      </c>
      <c r="F78" t="inlineStr">
        <is>
          <t>2026-10-13</t>
        </is>
      </c>
      <c r="G78" t="inlineStr">
        <is>
          <t xml:space="preserve"> - Beach Hostel</t>
        </is>
      </c>
      <c r="H78">
        <f>HYPERLINK("https://booking.roadsurfer.com/es/rally/pick?pickup_date=2026-10-06&amp;return_date=2026-10-13&amp;currency=EUR&amp;startStation=4&amp;endStation=38", "Clic para verlo en la web de RoadSurfer")</f>
        <v/>
      </c>
    </row>
    <row r="79">
      <c r="A79" t="inlineStr">
        <is>
          <t>Alemania</t>
        </is>
      </c>
      <c r="B79" t="inlineStr">
        <is>
          <t>Colonia-Düsseldorf</t>
        </is>
      </c>
      <c r="C79" t="inlineStr">
        <is>
          <t>España</t>
        </is>
      </c>
      <c r="D79" t="inlineStr">
        <is>
          <t>Bilbao</t>
        </is>
      </c>
      <c r="E79" t="inlineStr">
        <is>
          <t>2026-10-23</t>
        </is>
      </c>
      <c r="F79" t="inlineStr">
        <is>
          <t>2026-10-30</t>
        </is>
      </c>
      <c r="G79" t="inlineStr">
        <is>
          <t xml:space="preserve"> - No hay coche</t>
        </is>
      </c>
      <c r="H79">
        <f>HYPERLINK("https://booking.roadsurfer.com/es/rally/pick?pickup_date=2026-10-23&amp;return_date=2026-10-30&amp;currency=EUR&amp;startStation=4&amp;endStation=40", "Clic para verlo en la web de RoadSurfer")</f>
        <v/>
      </c>
    </row>
    <row r="80">
      <c r="A80" t="inlineStr">
        <is>
          <t>Alemania</t>
        </is>
      </c>
      <c r="B80" t="inlineStr">
        <is>
          <t>Colonia-Düsseldorf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2026-10-12</t>
        </is>
      </c>
      <c r="F80" t="inlineStr">
        <is>
          <t>2026-10-19</t>
        </is>
      </c>
      <c r="G80" t="inlineStr">
        <is>
          <t xml:space="preserve"> - FAMILY FINCA</t>
        </is>
      </c>
      <c r="H80">
        <f>HYPERLINK("https://booking.roadsurfer.com/es/rally/pick?pickup_date=2026-10-12&amp;return_date=2026-10-19&amp;currency=EUR&amp;startStation=4&amp;endStation=56", "Clic para verlo en la web de RoadSurfer")</f>
        <v/>
      </c>
    </row>
    <row r="81">
      <c r="A81" t="inlineStr">
        <is>
          <t>Alemania</t>
        </is>
      </c>
      <c r="B81" t="inlineStr">
        <is>
          <t>Colonia-Düsseldorf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2026-10-05</t>
        </is>
      </c>
      <c r="F81" t="inlineStr">
        <is>
          <t>2026-10-12</t>
        </is>
      </c>
      <c r="G81" t="inlineStr">
        <is>
          <t xml:space="preserve"> - FAMILY FINCA</t>
        </is>
      </c>
      <c r="H81">
        <f>HYPERLINK("https://booking.roadsurfer.com/es/rally/pick?pickup_date=2026-10-05&amp;return_date=2026-10-12&amp;currency=EUR&amp;startStation=4&amp;endStation=8", "Clic para verlo en la web de RoadSurfer")</f>
        <v/>
      </c>
    </row>
    <row r="82">
      <c r="A82" t="inlineStr">
        <is>
          <t>Alemania</t>
        </is>
      </c>
      <c r="B82" t="inlineStr">
        <is>
          <t>Constanza (Aach)</t>
        </is>
      </c>
      <c r="C82" t="inlineStr">
        <is>
          <t>Italia</t>
        </is>
      </c>
      <c r="D82" t="inlineStr">
        <is>
          <t>Bolonia</t>
        </is>
      </c>
      <c r="E82" t="inlineStr">
        <is>
          <t>2026-10-08</t>
        </is>
      </c>
      <c r="F82" t="inlineStr">
        <is>
          <t>2026-10-15</t>
        </is>
      </c>
      <c r="G82" t="inlineStr">
        <is>
          <t xml:space="preserve"> - Surfer Suite</t>
        </is>
      </c>
      <c r="H82">
        <f>HYPERLINK("https://booking.roadsurfer.com/es/rally/pick?pickup_date=2026-10-08&amp;return_date=2026-10-15&amp;currency=EUR&amp;startStation=10&amp;endStation=57", "Clic para verlo en la web de RoadSurfer")</f>
        <v/>
      </c>
    </row>
    <row r="83">
      <c r="A83" t="inlineStr">
        <is>
          <t>Alemania</t>
        </is>
      </c>
      <c r="B83" t="inlineStr">
        <is>
          <t>Constanza (Aach)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2026-11-28</t>
        </is>
      </c>
      <c r="F83" t="inlineStr">
        <is>
          <t>2026-12-05</t>
        </is>
      </c>
      <c r="G83" t="inlineStr">
        <is>
          <t xml:space="preserve"> - Surfer Suite</t>
        </is>
      </c>
      <c r="H83">
        <f>HYPERLINK("https://booking.roadsurfer.com/es/rally/pick?pickup_date=2026-11-28&amp;return_date=2026-12-05&amp;currency=EUR&amp;startStation=10&amp;endStation=12", "Clic para verlo en la web de RoadSurfer")</f>
        <v/>
      </c>
    </row>
    <row r="84">
      <c r="A84" t="inlineStr">
        <is>
          <t>Alemania</t>
        </is>
      </c>
      <c r="B84" t="inlineStr">
        <is>
          <t>Constanza (Aach)</t>
        </is>
      </c>
      <c r="C84" t="inlineStr">
        <is>
          <t>Francia</t>
        </is>
      </c>
      <c r="D84" t="inlineStr">
        <is>
          <t>Burdeos</t>
        </is>
      </c>
      <c r="E84" t="inlineStr">
        <is>
          <t>2026-10-30</t>
        </is>
      </c>
      <c r="F84" t="inlineStr">
        <is>
          <t>2026-11-06</t>
        </is>
      </c>
      <c r="G84" t="inlineStr">
        <is>
          <t xml:space="preserve"> - Beach Hostel</t>
        </is>
      </c>
      <c r="H84">
        <f>HYPERLINK("https://booking.roadsurfer.com/es/rally/pick?pickup_date=2026-10-30&amp;return_date=2026-11-06&amp;currency=EUR&amp;startStation=10&amp;endStation=13", "Clic para verlo en la web de RoadSurfer")</f>
        <v/>
      </c>
    </row>
    <row r="85">
      <c r="A85" t="inlineStr">
        <is>
          <t>Alemania</t>
        </is>
      </c>
      <c r="B85" t="inlineStr">
        <is>
          <t>Dresde</t>
        </is>
      </c>
      <c r="C85" t="inlineStr">
        <is>
          <t>Francia</t>
        </is>
      </c>
      <c r="D85" t="inlineStr">
        <is>
          <t>Lyon</t>
        </is>
      </c>
      <c r="E85" t="inlineStr">
        <is>
          <t>2026-10-10</t>
        </is>
      </c>
      <c r="F85" t="inlineStr">
        <is>
          <t>2026-10-17</t>
        </is>
      </c>
      <c r="G85" t="inlineStr">
        <is>
          <t xml:space="preserve"> - Travel Home</t>
        </is>
      </c>
      <c r="H85">
        <f>HYPERLINK("https://booking.roadsurfer.com/es/rally/pick?pickup_date=2026-10-10&amp;return_date=2026-10-17&amp;currency=EUR&amp;startStation=56&amp;endStation=15", "Clic para verlo en la web de RoadSurfer")</f>
        <v/>
      </c>
    </row>
    <row r="86">
      <c r="A86" t="inlineStr">
        <is>
          <t>Alemania</t>
        </is>
      </c>
      <c r="B86" t="inlineStr">
        <is>
          <t>Dresde</t>
        </is>
      </c>
      <c r="C86" t="inlineStr">
        <is>
          <t>Francia</t>
        </is>
      </c>
      <c r="D86" t="inlineStr">
        <is>
          <t>Ginebra-Pays de Gex (Francia)</t>
        </is>
      </c>
      <c r="E86" t="inlineStr">
        <is>
          <t>2026-10-20</t>
        </is>
      </c>
      <c r="F86" t="inlineStr">
        <is>
          <t>2026-10-27</t>
        </is>
      </c>
      <c r="G86" t="inlineStr">
        <is>
          <t xml:space="preserve"> - Beach Hostel</t>
        </is>
      </c>
      <c r="H86">
        <f>HYPERLINK("https://booking.roadsurfer.com/es/rally/pick?pickup_date=2026-10-20&amp;return_date=2026-10-27&amp;currency=EUR&amp;startStation=56&amp;endStation=29", "Clic para verlo en la web de RoadSurfer")</f>
        <v/>
      </c>
    </row>
    <row r="87">
      <c r="A87" t="inlineStr">
        <is>
          <t>Alemania</t>
        </is>
      </c>
      <c r="B87" t="inlineStr">
        <is>
          <t>Duisburgo</t>
        </is>
      </c>
      <c r="C87" t="inlineStr">
        <is>
          <t>Francia</t>
        </is>
      </c>
      <c r="D87" t="inlineStr">
        <is>
          <t>París Sur (Orly)</t>
        </is>
      </c>
      <c r="E87" t="inlineStr">
        <is>
          <t>2026-10-24</t>
        </is>
      </c>
      <c r="F87" t="inlineStr">
        <is>
          <t>2026-10-31</t>
        </is>
      </c>
      <c r="G87" t="inlineStr">
        <is>
          <t xml:space="preserve"> - Surfer Suite</t>
        </is>
      </c>
      <c r="H87">
        <f>HYPERLINK("https://booking.roadsurfer.com/es/rally/pick?pickup_date=2026-10-24&amp;return_date=2026-10-31&amp;currency=EUR&amp;startStation=113&amp;endStation=12", "Clic para verlo en la web de RoadSurfer")</f>
        <v/>
      </c>
    </row>
    <row r="88">
      <c r="A88" t="inlineStr">
        <is>
          <t>Alemania</t>
        </is>
      </c>
      <c r="B88" t="inlineStr">
        <is>
          <t>Duisburgo</t>
        </is>
      </c>
      <c r="C88" t="inlineStr">
        <is>
          <t>España</t>
        </is>
      </c>
      <c r="D88" t="inlineStr">
        <is>
          <t>Barcelona</t>
        </is>
      </c>
      <c r="E88" t="inlineStr">
        <is>
          <t>2026-10-15</t>
        </is>
      </c>
      <c r="F88" t="inlineStr">
        <is>
          <t>2026-10-22</t>
        </is>
      </c>
      <c r="G88" t="inlineStr">
        <is>
          <t xml:space="preserve"> - Surfer Suite</t>
        </is>
      </c>
      <c r="H88">
        <f>HYPERLINK("https://booking.roadsurfer.com/es/rally/pick?pickup_date=2026-10-15&amp;return_date=2026-10-22&amp;currency=EUR&amp;startStation=113&amp;endStation=17", "Clic para verlo en la web de RoadSurfer")</f>
        <v/>
      </c>
    </row>
    <row r="89">
      <c r="A89" t="inlineStr">
        <is>
          <t>Alemania</t>
        </is>
      </c>
      <c r="B89" t="inlineStr">
        <is>
          <t>Duisburgo</t>
        </is>
      </c>
      <c r="C89" t="inlineStr">
        <is>
          <t>España</t>
        </is>
      </c>
      <c r="D89" t="inlineStr">
        <is>
          <t>Barcelona</t>
        </is>
      </c>
      <c r="E89" t="inlineStr">
        <is>
          <t>2026-10-23</t>
        </is>
      </c>
      <c r="F89" t="inlineStr">
        <is>
          <t>2026-10-30</t>
        </is>
      </c>
      <c r="G89" t="inlineStr">
        <is>
          <t xml:space="preserve"> - Camper Cabin</t>
        </is>
      </c>
      <c r="H89">
        <f>HYPERLINK("https://booking.roadsurfer.com/es/rally/pick?pickup_date=2026-10-23&amp;return_date=2026-10-30&amp;currency=EUR&amp;startStation=113&amp;endStation=17", "Clic para verlo en la web de RoadSurfer")</f>
        <v/>
      </c>
    </row>
    <row r="90">
      <c r="A90" t="inlineStr">
        <is>
          <t>Alemania</t>
        </is>
      </c>
      <c r="B90" t="inlineStr">
        <is>
          <t>Duisburgo</t>
        </is>
      </c>
      <c r="C90" t="inlineStr">
        <is>
          <t>Italia</t>
        </is>
      </c>
      <c r="D90" t="inlineStr">
        <is>
          <t>Turín</t>
        </is>
      </c>
      <c r="E90" t="inlineStr">
        <is>
          <t>2026-10-29</t>
        </is>
      </c>
      <c r="F90" t="inlineStr">
        <is>
          <t>2026-11-05</t>
        </is>
      </c>
      <c r="G90" t="inlineStr">
        <is>
          <t xml:space="preserve"> - Surfer Suite</t>
        </is>
      </c>
      <c r="H90">
        <f>HYPERLINK("https://booking.roadsurfer.com/es/rally/pick?pickup_date=2026-10-29&amp;return_date=2026-11-05&amp;currency=EUR&amp;startStation=113&amp;endStation=58", "Clic para verlo en la web de RoadSurfer")</f>
        <v/>
      </c>
    </row>
    <row r="91">
      <c r="A91" t="inlineStr">
        <is>
          <t>Alemania</t>
        </is>
      </c>
      <c r="B91" t="inlineStr">
        <is>
          <t>Duisburgo</t>
        </is>
      </c>
      <c r="C91" t="inlineStr">
        <is>
          <t>Francia</t>
        </is>
      </c>
      <c r="D91" t="inlineStr">
        <is>
          <t>Lyon</t>
        </is>
      </c>
      <c r="E91" t="inlineStr">
        <is>
          <t>2026-11-03</t>
        </is>
      </c>
      <c r="F91" t="inlineStr">
        <is>
          <t>2026-11-10</t>
        </is>
      </c>
      <c r="G91" t="inlineStr">
        <is>
          <t xml:space="preserve"> - Surfer Suite</t>
        </is>
      </c>
      <c r="H91">
        <f>HYPERLINK("https://booking.roadsurfer.com/es/rally/pick?pickup_date=2026-11-03&amp;return_date=2026-11-10&amp;currency=EUR&amp;startStation=113&amp;endStation=15", "Clic para verlo en la web de RoadSurfer")</f>
        <v/>
      </c>
    </row>
    <row r="92">
      <c r="A92" t="inlineStr">
        <is>
          <t>Alemania</t>
        </is>
      </c>
      <c r="B92" t="inlineStr">
        <is>
          <t>Duisburgo</t>
        </is>
      </c>
      <c r="C92" t="inlineStr">
        <is>
          <t>Italia</t>
        </is>
      </c>
      <c r="D92" t="inlineStr">
        <is>
          <t>Bérgamo</t>
        </is>
      </c>
      <c r="E92" t="inlineStr">
        <is>
          <t>2026-10-13</t>
        </is>
      </c>
      <c r="F92" t="inlineStr">
        <is>
          <t>2026-10-20</t>
        </is>
      </c>
      <c r="G92" t="inlineStr">
        <is>
          <t xml:space="preserve"> - Surfer Suite</t>
        </is>
      </c>
      <c r="H92">
        <f>HYPERLINK("https://booking.roadsurfer.com/es/rally/pick?pickup_date=2026-10-13&amp;return_date=2026-10-20&amp;currency=EUR&amp;startStation=113&amp;endStation=94", "Clic para verlo en la web de RoadSurfer")</f>
        <v/>
      </c>
    </row>
    <row r="93">
      <c r="A93" t="inlineStr">
        <is>
          <t>Alemania</t>
        </is>
      </c>
      <c r="B93" t="inlineStr">
        <is>
          <t>Duisburgo</t>
        </is>
      </c>
      <c r="C93" t="inlineStr">
        <is>
          <t>Francia</t>
        </is>
      </c>
      <c r="D93" t="inlineStr">
        <is>
          <t>Niza</t>
        </is>
      </c>
      <c r="E93" t="inlineStr">
        <is>
          <t>2026-10-30</t>
        </is>
      </c>
      <c r="F93" t="inlineStr">
        <is>
          <t>2026-11-06</t>
        </is>
      </c>
      <c r="G93" t="inlineStr">
        <is>
          <t xml:space="preserve"> - Beach Hostel</t>
        </is>
      </c>
      <c r="H93">
        <f>HYPERLINK("https://booking.roadsurfer.com/es/rally/pick?pickup_date=2026-10-30&amp;return_date=2026-11-06&amp;currency=EUR&amp;startStation=113&amp;endStation=88", "Clic para verlo en la web de RoadSurfer")</f>
        <v/>
      </c>
    </row>
    <row r="94">
      <c r="A94" t="inlineStr">
        <is>
          <t>Alemania</t>
        </is>
      </c>
      <c r="B94" t="inlineStr">
        <is>
          <t>Duisburgo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2026-10-21</t>
        </is>
      </c>
      <c r="F94" t="inlineStr">
        <is>
          <t>2026-10-28</t>
        </is>
      </c>
      <c r="G94" t="inlineStr">
        <is>
          <t xml:space="preserve"> - Camper Cabin</t>
        </is>
      </c>
      <c r="H94">
        <f>HYPERLINK("https://booking.roadsurfer.com/es/rally/pick?pickup_date=2026-10-21&amp;return_date=2026-10-28&amp;currency=EUR&amp;startStation=113&amp;endStation=13",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Francia</t>
        </is>
      </c>
      <c r="D95" t="inlineStr">
        <is>
          <t>Aix-Marsella</t>
        </is>
      </c>
      <c r="E95" t="inlineStr">
        <is>
          <t>2026-10-14</t>
        </is>
      </c>
      <c r="F95" t="inlineStr">
        <is>
          <t>2026-10-21</t>
        </is>
      </c>
      <c r="G95" t="inlineStr">
        <is>
          <t xml:space="preserve"> - Surfer Suite</t>
        </is>
      </c>
      <c r="H95">
        <f>HYPERLINK("https://booking.roadsurfer.com/es/rally/pick?pickup_date=2026-10-14&amp;return_date=2026-10-21&amp;currency=EUR&amp;startStation=90&amp;endStation=16",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Italia</t>
        </is>
      </c>
      <c r="D96" t="inlineStr">
        <is>
          <t>Venecia</t>
        </is>
      </c>
      <c r="E96" t="inlineStr">
        <is>
          <t>2026-10-26</t>
        </is>
      </c>
      <c r="F96" t="inlineStr">
        <is>
          <t>2026-11-02</t>
        </is>
      </c>
      <c r="G96" t="inlineStr">
        <is>
          <t xml:space="preserve"> - BEACH HOSTEL</t>
        </is>
      </c>
      <c r="H96">
        <f>HYPERLINK("https://booking.roadsurfer.com/es/rally/pick?pickup_date=2026-10-26&amp;return_date=2026-11-02&amp;currency=EUR&amp;startStation=90&amp;endStation=78",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Italia</t>
        </is>
      </c>
      <c r="D97" t="inlineStr">
        <is>
          <t>Milán</t>
        </is>
      </c>
      <c r="E97" t="inlineStr">
        <is>
          <t>2026-11-17</t>
        </is>
      </c>
      <c r="F97" t="inlineStr">
        <is>
          <t>2026-11-24</t>
        </is>
      </c>
      <c r="G97" t="inlineStr">
        <is>
          <t xml:space="preserve"> - BEACH HOSTEL</t>
        </is>
      </c>
      <c r="H97">
        <f>HYPERLINK("https://booking.roadsurfer.com/es/rally/pick?pickup_date=2026-11-17&amp;return_date=2026-11-24&amp;currency=EUR&amp;startStation=90&amp;endStation=34",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Italia</t>
        </is>
      </c>
      <c r="D98" t="inlineStr">
        <is>
          <t>Florencia</t>
        </is>
      </c>
      <c r="E98" t="inlineStr">
        <is>
          <t>2026-10-27</t>
        </is>
      </c>
      <c r="F98" t="inlineStr">
        <is>
          <t>2026-11-03</t>
        </is>
      </c>
      <c r="G98" t="inlineStr">
        <is>
          <t xml:space="preserve"> - Family Finca</t>
        </is>
      </c>
      <c r="H98">
        <f>HYPERLINK("https://booking.roadsurfer.com/es/rally/pick?pickup_date=2026-10-27&amp;return_date=2026-11-03&amp;currency=EUR&amp;startStation=90&amp;endStation=80", "Clic para verlo en la web de RoadSurfer")</f>
        <v/>
      </c>
    </row>
    <row r="99">
      <c r="A99" t="inlineStr">
        <is>
          <t>Alemania</t>
        </is>
      </c>
      <c r="B99" t="inlineStr">
        <is>
          <t>Flensburgo</t>
        </is>
      </c>
      <c r="C99" t="inlineStr">
        <is>
          <t>Alemania</t>
        </is>
      </c>
      <c r="D99" t="inlineStr">
        <is>
          <t>Berlín-Schönefeld</t>
        </is>
      </c>
      <c r="E99" t="inlineStr">
        <is>
          <t>2026-10-05</t>
        </is>
      </c>
      <c r="F99" t="inlineStr">
        <is>
          <t>2026-10-12</t>
        </is>
      </c>
      <c r="G99" t="inlineStr">
        <is>
          <t xml:space="preserve"> - Family Finca</t>
        </is>
      </c>
      <c r="H99">
        <f>HYPERLINK("https://booking.roadsurfer.com/es/rally/pick?pickup_date=2026-10-05&amp;return_date=2026-10-12&amp;currency=EUR&amp;startStation=130&amp;endStation=51", "Clic para verlo en la web de RoadSurfer")</f>
        <v/>
      </c>
    </row>
    <row r="100">
      <c r="A100" t="inlineStr">
        <is>
          <t>Italia</t>
        </is>
      </c>
      <c r="B100" t="inlineStr">
        <is>
          <t>Florencia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2026-10-27</t>
        </is>
      </c>
      <c r="F100" t="inlineStr">
        <is>
          <t>2026-11-03</t>
        </is>
      </c>
      <c r="G100" t="inlineStr">
        <is>
          <t xml:space="preserve"> - Surfer Suite</t>
        </is>
      </c>
      <c r="H100">
        <f>HYPERLINK("https://booking.roadsurfer.com/es/rally/pick?pickup_date=2026-10-27&amp;return_date=2026-11-03&amp;currency=EUR&amp;startStation=80&amp;endStation=22", "Clic para verlo en la web de RoadSurfer")</f>
        <v/>
      </c>
    </row>
    <row r="101">
      <c r="A101" t="inlineStr">
        <is>
          <t>Italia</t>
        </is>
      </c>
      <c r="B101" t="inlineStr">
        <is>
          <t>Florencia</t>
        </is>
      </c>
      <c r="C101" t="inlineStr">
        <is>
          <t>Alemania</t>
        </is>
      </c>
      <c r="D101" t="inlineStr">
        <is>
          <t>Constanza (Aach)</t>
        </is>
      </c>
      <c r="E101" t="inlineStr">
        <is>
          <t>2026-10-28</t>
        </is>
      </c>
      <c r="F101" t="inlineStr">
        <is>
          <t>2026-11-04</t>
        </is>
      </c>
      <c r="G101" t="inlineStr">
        <is>
          <t xml:space="preserve"> - Beach Hostel</t>
        </is>
      </c>
      <c r="H101">
        <f>HYPERLINK("https://booking.roadsurfer.com/es/rally/pick?pickup_date=2026-10-28&amp;return_date=2026-11-04&amp;currency=EUR&amp;startStation=80&amp;endStation=10", "Clic para verlo en la web de RoadSurfer")</f>
        <v/>
      </c>
    </row>
    <row r="102">
      <c r="A102" t="inlineStr">
        <is>
          <t>Alemania</t>
        </is>
      </c>
      <c r="B102" t="inlineStr">
        <is>
          <t>Fráncfort</t>
        </is>
      </c>
      <c r="C102" t="inlineStr">
        <is>
          <t>Francia</t>
        </is>
      </c>
      <c r="D102" t="inlineStr">
        <is>
          <t>Burdeos</t>
        </is>
      </c>
      <c r="E102" t="inlineStr">
        <is>
          <t>2026-10-22</t>
        </is>
      </c>
      <c r="F102" t="inlineStr">
        <is>
          <t>2026-10-29</t>
        </is>
      </c>
      <c r="G102" t="inlineStr">
        <is>
          <t xml:space="preserve"> - Surfer Suite</t>
        </is>
      </c>
      <c r="H102">
        <f>HYPERLINK("https://booking.roadsurfer.com/es/rally/pick?pickup_date=2026-10-22&amp;return_date=2026-10-29&amp;currency=EUR&amp;startStation=2&amp;endStation=13", "Clic para verlo en la web de RoadSurfer")</f>
        <v/>
      </c>
    </row>
    <row r="103">
      <c r="A103" t="inlineStr">
        <is>
          <t>Alemania</t>
        </is>
      </c>
      <c r="B103" t="inlineStr">
        <is>
          <t>Friburgo-Basilea (Alemania)</t>
        </is>
      </c>
      <c r="C103" t="inlineStr">
        <is>
          <t>Bélgica</t>
        </is>
      </c>
      <c r="D103" t="inlineStr">
        <is>
          <t>Amberes</t>
        </is>
      </c>
      <c r="E103" t="inlineStr">
        <is>
          <t>2026-10-24</t>
        </is>
      </c>
      <c r="F103" t="inlineStr">
        <is>
          <t>2026-10-31</t>
        </is>
      </c>
      <c r="G103" t="inlineStr">
        <is>
          <t xml:space="preserve"> - Surfer Suite</t>
        </is>
      </c>
      <c r="H103">
        <f>HYPERLINK("https://booking.roadsurfer.com/es/rally/pick?pickup_date=2026-10-24&amp;return_date=2026-10-31&amp;currency=EUR&amp;startStation=9&amp;endStation=47", "Clic para verlo en la web de RoadSurfer")</f>
        <v/>
      </c>
    </row>
    <row r="104">
      <c r="A104" t="inlineStr">
        <is>
          <t>Alemania</t>
        </is>
      </c>
      <c r="B104" t="inlineStr">
        <is>
          <t>Friburgo-Basilea (Alemania)</t>
        </is>
      </c>
      <c r="C104" t="inlineStr">
        <is>
          <t>Francia</t>
        </is>
      </c>
      <c r="D104" t="inlineStr">
        <is>
          <t>París Sur (Orly)</t>
        </is>
      </c>
      <c r="E104" t="inlineStr">
        <is>
          <t>2026-10-17</t>
        </is>
      </c>
      <c r="F104" t="inlineStr">
        <is>
          <t>2026-10-24</t>
        </is>
      </c>
      <c r="G104" t="inlineStr">
        <is>
          <t xml:space="preserve"> - Surfer Suite</t>
        </is>
      </c>
      <c r="H104">
        <f>HYPERLINK("https://booking.roadsurfer.com/es/rally/pick?pickup_date=2026-10-17&amp;return_date=2026-10-24&amp;currency=EUR&amp;startStation=9&amp;endStation=12", "Clic para verlo en la web de RoadSurfer")</f>
        <v/>
      </c>
    </row>
    <row r="105">
      <c r="A105" t="inlineStr">
        <is>
          <t>Alemania</t>
        </is>
      </c>
      <c r="B105" t="inlineStr">
        <is>
          <t>Friburgo-Basilea (Alemania)</t>
        </is>
      </c>
      <c r="C105" t="inlineStr">
        <is>
          <t>España</t>
        </is>
      </c>
      <c r="D105" t="inlineStr">
        <is>
          <t>Barcelona</t>
        </is>
      </c>
      <c r="E105" t="inlineStr">
        <is>
          <t>2026-10-06</t>
        </is>
      </c>
      <c r="F105" t="inlineStr">
        <is>
          <t>2026-10-13</t>
        </is>
      </c>
      <c r="G105" t="inlineStr">
        <is>
          <t xml:space="preserve"> - Travel Home</t>
        </is>
      </c>
      <c r="H105">
        <f>HYPERLINK("https://booking.roadsurfer.com/es/rally/pick?pickup_date=2026-10-06&amp;return_date=2026-10-13&amp;currency=EUR&amp;startStation=9&amp;endStation=17", "Clic para verlo en la web de RoadSurfer")</f>
        <v/>
      </c>
    </row>
    <row r="106">
      <c r="A106" t="inlineStr">
        <is>
          <t>Alemania</t>
        </is>
      </c>
      <c r="B106" t="inlineStr">
        <is>
          <t>Friburgo-Basilea (Alemania)</t>
        </is>
      </c>
      <c r="C106" t="inlineStr">
        <is>
          <t>España</t>
        </is>
      </c>
      <c r="D106" t="inlineStr">
        <is>
          <t>Barcelona</t>
        </is>
      </c>
      <c r="E106" t="inlineStr">
        <is>
          <t>2026-10-26</t>
        </is>
      </c>
      <c r="F106" t="inlineStr">
        <is>
          <t>2026-11-02</t>
        </is>
      </c>
      <c r="G106" t="inlineStr">
        <is>
          <t xml:space="preserve"> - Surfer Suite</t>
        </is>
      </c>
      <c r="H106">
        <f>HYPERLINK("https://booking.roadsurfer.com/es/rally/pick?pickup_date=2026-10-26&amp;return_date=2026-11-02&amp;currency=EUR&amp;startStation=9&amp;endStation=17", "Clic para verlo en la web de RoadSurfer")</f>
        <v/>
      </c>
    </row>
    <row r="107">
      <c r="A107" t="inlineStr">
        <is>
          <t>Alemania</t>
        </is>
      </c>
      <c r="B107" t="inlineStr">
        <is>
          <t>Friburgo-Basilea (Alemania)</t>
        </is>
      </c>
      <c r="C107" t="inlineStr">
        <is>
          <t>Francia</t>
        </is>
      </c>
      <c r="D107" t="inlineStr">
        <is>
          <t>Ginebra-Pays de Gex (Francia)</t>
        </is>
      </c>
      <c r="E107" t="inlineStr">
        <is>
          <t>2026-09-14</t>
        </is>
      </c>
      <c r="F107" t="inlineStr">
        <is>
          <t>2026-09-21</t>
        </is>
      </c>
      <c r="G107" t="inlineStr">
        <is>
          <t xml:space="preserve"> - Beach Hostel</t>
        </is>
      </c>
      <c r="H107">
        <f>HYPERLINK("https://booking.roadsurfer.com/es/rally/pick?pickup_date=2026-09-14&amp;return_date=2026-09-21&amp;currency=EUR&amp;startStation=9&amp;endStation=29", "Clic para verlo en la web de RoadSurfer")</f>
        <v/>
      </c>
    </row>
    <row r="108">
      <c r="A108" t="inlineStr">
        <is>
          <t>Alemania</t>
        </is>
      </c>
      <c r="B108" t="inlineStr">
        <is>
          <t>Friburgo-Basilea (Alemania)</t>
        </is>
      </c>
      <c r="C108" t="inlineStr">
        <is>
          <t>España</t>
        </is>
      </c>
      <c r="D108" t="inlineStr">
        <is>
          <t>Bilbao</t>
        </is>
      </c>
      <c r="E108" t="inlineStr">
        <is>
          <t>2026-10-20</t>
        </is>
      </c>
      <c r="F108" t="inlineStr">
        <is>
          <t>2026-10-27</t>
        </is>
      </c>
      <c r="G108" t="inlineStr">
        <is>
          <t xml:space="preserve"> - Sunrise Suite</t>
        </is>
      </c>
      <c r="H108">
        <f>HYPERLINK("https://booking.roadsurfer.com/es/rally/pick?pickup_date=2026-10-20&amp;return_date=2026-10-27&amp;currency=EUR&amp;startStation=9&amp;endStation=40", "Clic para verlo en la web de RoadSurfer")</f>
        <v/>
      </c>
    </row>
    <row r="109">
      <c r="A109" t="inlineStr">
        <is>
          <t>Francia</t>
        </is>
      </c>
      <c r="B109" t="inlineStr">
        <is>
          <t>Ginebra-Pays de Gex (Francia)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2026-10-30</t>
        </is>
      </c>
      <c r="F109" t="inlineStr">
        <is>
          <t>2026-11-06</t>
        </is>
      </c>
      <c r="G109" t="inlineStr">
        <is>
          <t xml:space="preserve"> - Beach Hostel</t>
        </is>
      </c>
      <c r="H109">
        <f>HYPERLINK("https://booking.roadsurfer.com/es/rally/pick?pickup_date=2026-10-30&amp;return_date=2026-11-06&amp;currency=EUR&amp;startStation=29&amp;endStation=22", "Clic para verlo en la web de RoadSurfer")</f>
        <v/>
      </c>
    </row>
    <row r="110">
      <c r="A110" t="inlineStr">
        <is>
          <t>Francia</t>
        </is>
      </c>
      <c r="B110" t="inlineStr">
        <is>
          <t>Ginebra-Pays de Gex (Francia)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2026-10-26</t>
        </is>
      </c>
      <c r="F110" t="inlineStr">
        <is>
          <t>2026-11-02</t>
        </is>
      </c>
      <c r="G110" t="inlineStr">
        <is>
          <t xml:space="preserve"> - Surfer Suite</t>
        </is>
      </c>
      <c r="H110">
        <f>HYPERLINK("https://booking.roadsurfer.com/es/rally/pick?pickup_date=2026-10-26&amp;return_date=2026-11-02&amp;currency=EUR&amp;startStation=29&amp;endStation=22", "Clic para verlo en la web de RoadSurfer")</f>
        <v/>
      </c>
    </row>
    <row r="111">
      <c r="A111" t="inlineStr">
        <is>
          <t>Francia</t>
        </is>
      </c>
      <c r="B111" t="inlineStr">
        <is>
          <t>Ginebra-Pays de Gex (Francia)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2026-10-29</t>
        </is>
      </c>
      <c r="F111" t="inlineStr">
        <is>
          <t>2026-11-05</t>
        </is>
      </c>
      <c r="G111" t="inlineStr">
        <is>
          <t xml:space="preserve"> - Sunrise Suite</t>
        </is>
      </c>
      <c r="H111">
        <f>HYPERLINK("https://booking.roadsurfer.com/es/rally/pick?pickup_date=2026-10-29&amp;return_date=2026-11-05&amp;currency=EUR&amp;startStation=29&amp;endStation=22", "Clic para verlo en la web de RoadSurfer")</f>
        <v/>
      </c>
    </row>
    <row r="112">
      <c r="A112" t="inlineStr">
        <is>
          <t>Suecia</t>
        </is>
      </c>
      <c r="B112" t="inlineStr">
        <is>
          <t>Gotemburgo</t>
        </is>
      </c>
      <c r="C112" t="inlineStr">
        <is>
          <t>Alemania</t>
        </is>
      </c>
      <c r="D112" t="inlineStr">
        <is>
          <t>Múnich</t>
        </is>
      </c>
      <c r="E112" t="inlineStr">
        <is>
          <t>2026-10-27</t>
        </is>
      </c>
      <c r="F112" t="inlineStr">
        <is>
          <t>2026-11-03</t>
        </is>
      </c>
      <c r="G112" t="inlineStr">
        <is>
          <t xml:space="preserve"> - Surfer Suite</t>
        </is>
      </c>
      <c r="H112">
        <f>HYPERLINK("https://booking.roadsurfer.com/es/rally/pick?pickup_date=2026-10-27&amp;return_date=2026-11-03&amp;currency=EUR&amp;startStation=77&amp;endStation=1", "Clic para verlo en la web de RoadSurfer")</f>
        <v/>
      </c>
    </row>
    <row r="113">
      <c r="A113" t="inlineStr">
        <is>
          <t>Suecia</t>
        </is>
      </c>
      <c r="B113" t="inlineStr">
        <is>
          <t>Gotemburgo</t>
        </is>
      </c>
      <c r="C113" t="inlineStr">
        <is>
          <t>Alemania</t>
        </is>
      </c>
      <c r="D113" t="inlineStr">
        <is>
          <t>Stuttgart</t>
        </is>
      </c>
      <c r="E113" t="inlineStr">
        <is>
          <t>2026-09-14</t>
        </is>
      </c>
      <c r="F113" t="inlineStr">
        <is>
          <t>2026-09-21</t>
        </is>
      </c>
      <c r="G113" t="inlineStr">
        <is>
          <t xml:space="preserve"> - Couple Cottage</t>
        </is>
      </c>
      <c r="H113">
        <f>HYPERLINK("https://booking.roadsurfer.com/es/rally/pick?pickup_date=2026-09-14&amp;return_date=2026-09-21&amp;currency=EUR&amp;startStation=77&amp;endStation=5", "Clic para verlo en la web de RoadSurfer")</f>
        <v/>
      </c>
    </row>
    <row r="114">
      <c r="A114" t="inlineStr">
        <is>
          <t>Alemania</t>
        </is>
      </c>
      <c r="B114" t="inlineStr">
        <is>
          <t>Hamburgo</t>
        </is>
      </c>
      <c r="C114" t="inlineStr">
        <is>
          <t>Francia</t>
        </is>
      </c>
      <c r="D114" t="inlineStr">
        <is>
          <t>Niza</t>
        </is>
      </c>
      <c r="E114" t="inlineStr">
        <is>
          <t>2026-10-20</t>
        </is>
      </c>
      <c r="F114" t="inlineStr">
        <is>
          <t>2026-10-27</t>
        </is>
      </c>
      <c r="G114" t="inlineStr">
        <is>
          <t xml:space="preserve"> - Surfer Suite</t>
        </is>
      </c>
      <c r="H114">
        <f>HYPERLINK("https://booking.roadsurfer.com/es/rally/pick?pickup_date=2026-10-20&amp;return_date=2026-10-27&amp;currency=EUR&amp;startStation=3&amp;endStation=88", "Clic para verlo en la web de RoadSurfer")</f>
        <v/>
      </c>
    </row>
    <row r="115">
      <c r="A115" t="inlineStr">
        <is>
          <t>Alemania</t>
        </is>
      </c>
      <c r="B115" t="inlineStr">
        <is>
          <t>Hamburgo</t>
        </is>
      </c>
      <c r="C115" t="inlineStr">
        <is>
          <t>Francia</t>
        </is>
      </c>
      <c r="D115" t="inlineStr">
        <is>
          <t>Nantes</t>
        </is>
      </c>
      <c r="E115" t="inlineStr">
        <is>
          <t>2026-10-28</t>
        </is>
      </c>
      <c r="F115" t="inlineStr">
        <is>
          <t>2026-11-04</t>
        </is>
      </c>
      <c r="G115" t="inlineStr">
        <is>
          <t xml:space="preserve"> - Surfer Suite</t>
        </is>
      </c>
      <c r="H115">
        <f>HYPERLINK("https://booking.roadsurfer.com/es/rally/pick?pickup_date=2026-10-28&amp;return_date=2026-11-04&amp;currency=EUR&amp;startStation=3&amp;endStation=31", "Clic para verlo en la web de RoadSurfer")</f>
        <v/>
      </c>
    </row>
    <row r="116">
      <c r="A116" t="inlineStr">
        <is>
          <t>Alemania</t>
        </is>
      </c>
      <c r="B116" t="inlineStr">
        <is>
          <t>Hamburgo</t>
        </is>
      </c>
      <c r="C116" t="inlineStr">
        <is>
          <t>Francia</t>
        </is>
      </c>
      <c r="D116" t="inlineStr">
        <is>
          <t>Aix-Marsella</t>
        </is>
      </c>
      <c r="E116" t="inlineStr">
        <is>
          <t>2026-10-30</t>
        </is>
      </c>
      <c r="F116" t="inlineStr">
        <is>
          <t>2026-11-06</t>
        </is>
      </c>
      <c r="G116" t="inlineStr">
        <is>
          <t xml:space="preserve"> - Beach Hostel</t>
        </is>
      </c>
      <c r="H116">
        <f>HYPERLINK("https://booking.roadsurfer.com/es/rally/pick?pickup_date=2026-10-30&amp;return_date=2026-11-06&amp;currency=EUR&amp;startStation=3&amp;endStation=16", "Clic para verlo en la web de RoadSurfer")</f>
        <v/>
      </c>
    </row>
    <row r="117">
      <c r="A117" t="inlineStr">
        <is>
          <t>Alemania</t>
        </is>
      </c>
      <c r="B117" t="inlineStr">
        <is>
          <t>Hamburgo</t>
        </is>
      </c>
      <c r="C117" t="inlineStr">
        <is>
          <t>Italia</t>
        </is>
      </c>
      <c r="D117" t="inlineStr">
        <is>
          <t>Venecia</t>
        </is>
      </c>
      <c r="E117" t="inlineStr">
        <is>
          <t>2026-10-27</t>
        </is>
      </c>
      <c r="F117" t="inlineStr">
        <is>
          <t>2026-11-03</t>
        </is>
      </c>
      <c r="G117" t="inlineStr">
        <is>
          <t xml:space="preserve"> - Beach Hostel</t>
        </is>
      </c>
      <c r="H117">
        <f>HYPERLINK("https://booking.roadsurfer.com/es/rally/pick?pickup_date=2026-10-27&amp;return_date=2026-11-03&amp;currency=EUR&amp;startStation=3&amp;endStation=78", "Clic para verlo en la web de RoadSurfer")</f>
        <v/>
      </c>
    </row>
    <row r="118">
      <c r="A118" t="inlineStr">
        <is>
          <t>Alemania</t>
        </is>
      </c>
      <c r="B118" t="inlineStr">
        <is>
          <t>Hamburgo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2026-10-07</t>
        </is>
      </c>
      <c r="F118" t="inlineStr">
        <is>
          <t>2026-10-14</t>
        </is>
      </c>
      <c r="G118" t="inlineStr">
        <is>
          <t xml:space="preserve"> - Beach Hostel</t>
        </is>
      </c>
      <c r="H118">
        <f>HYPERLINK("https://booking.roadsurfer.com/es/rally/pick?pickup_date=2026-10-07&amp;return_date=2026-10-14&amp;currency=EUR&amp;startStation=3&amp;endStation=59", "Clic para verlo en la web de RoadSurfer")</f>
        <v/>
      </c>
    </row>
    <row r="119">
      <c r="A119" t="inlineStr">
        <is>
          <t>Alemania</t>
        </is>
      </c>
      <c r="B119" t="inlineStr">
        <is>
          <t>Hamburgo</t>
        </is>
      </c>
      <c r="C119" t="inlineStr">
        <is>
          <t>Suecia</t>
        </is>
      </c>
      <c r="D119" t="inlineStr">
        <is>
          <t>Gotemburgo</t>
        </is>
      </c>
      <c r="E119" t="inlineStr">
        <is>
          <t>2026-10-09</t>
        </is>
      </c>
      <c r="F119" t="inlineStr">
        <is>
          <t>2026-10-16</t>
        </is>
      </c>
      <c r="G119" t="inlineStr">
        <is>
          <t xml:space="preserve"> - Beach Hostel</t>
        </is>
      </c>
      <c r="H119">
        <f>HYPERLINK("https://booking.roadsurfer.com/es/rally/pick?pickup_date=2026-10-09&amp;return_date=2026-10-16&amp;currency=EUR&amp;startStation=3&amp;endStation=77", "Clic para verlo en la web de RoadSurfer")</f>
        <v/>
      </c>
    </row>
    <row r="120">
      <c r="A120" t="inlineStr">
        <is>
          <t>Alemania</t>
        </is>
      </c>
      <c r="B120" t="inlineStr">
        <is>
          <t>Hamburgo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2026-10-24</t>
        </is>
      </c>
      <c r="F120" t="inlineStr">
        <is>
          <t>2026-10-31</t>
        </is>
      </c>
      <c r="G120" t="inlineStr">
        <is>
          <t xml:space="preserve"> - Camper Cabin</t>
        </is>
      </c>
      <c r="H120">
        <f>HYPERLINK("https://booking.roadsurfer.com/es/rally/pick?pickup_date=2026-10-24&amp;return_date=2026-10-31&amp;currency=EUR&amp;startStation=3&amp;endStation=13", "Clic para verlo en la web de RoadSurfer")</f>
        <v/>
      </c>
    </row>
    <row r="121">
      <c r="A121" t="inlineStr">
        <is>
          <t>Alemania</t>
        </is>
      </c>
      <c r="B121" t="inlineStr">
        <is>
          <t>Hamburgo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2026-10-05</t>
        </is>
      </c>
      <c r="F121" t="inlineStr">
        <is>
          <t>2026-10-12</t>
        </is>
      </c>
      <c r="G121" t="inlineStr">
        <is>
          <t xml:space="preserve"> - Sunrise Suite</t>
        </is>
      </c>
      <c r="H121">
        <f>HYPERLINK("https://booking.roadsurfer.com/es/rally/pick?pickup_date=2026-10-05&amp;return_date=2026-10-12&amp;currency=EUR&amp;startStation=3&amp;endStation=13", "Clic para verlo en la web de RoadSurfer")</f>
        <v/>
      </c>
    </row>
    <row r="122">
      <c r="A122" t="inlineStr">
        <is>
          <t>Alemania</t>
        </is>
      </c>
      <c r="B122" t="inlineStr">
        <is>
          <t>Hamburgo</t>
        </is>
      </c>
      <c r="C122" t="inlineStr">
        <is>
          <t>Alemania</t>
        </is>
      </c>
      <c r="D122" t="inlineStr">
        <is>
          <t>Dresde</t>
        </is>
      </c>
      <c r="E122" t="inlineStr">
        <is>
          <t>2026-09-14</t>
        </is>
      </c>
      <c r="F122" t="inlineStr">
        <is>
          <t>2026-09-21</t>
        </is>
      </c>
      <c r="G122" t="inlineStr">
        <is>
          <t xml:space="preserve"> - Couple Cottage</t>
        </is>
      </c>
      <c r="H122">
        <f>HYPERLINK("https://booking.roadsurfer.com/es/rally/pick?pickup_date=2026-09-14&amp;return_date=2026-09-21&amp;currency=EUR&amp;startStation=3&amp;endStation=56", "Clic para verlo en la web de RoadSurfer")</f>
        <v/>
      </c>
    </row>
    <row r="123">
      <c r="A123" t="inlineStr">
        <is>
          <t>Alemania</t>
        </is>
      </c>
      <c r="B123" t="inlineStr">
        <is>
          <t>Hannover</t>
        </is>
      </c>
      <c r="C123" t="inlineStr">
        <is>
          <t>Italia</t>
        </is>
      </c>
      <c r="D123" t="inlineStr">
        <is>
          <t>Milán</t>
        </is>
      </c>
      <c r="E123" t="inlineStr">
        <is>
          <t>2026-10-13</t>
        </is>
      </c>
      <c r="F123" t="inlineStr">
        <is>
          <t>2026-10-20</t>
        </is>
      </c>
      <c r="G123" t="inlineStr">
        <is>
          <t xml:space="preserve"> - Surfer Suite</t>
        </is>
      </c>
      <c r="H123">
        <f>HYPERLINK("https://booking.roadsurfer.com/es/rally/pick?pickup_date=2026-10-13&amp;return_date=2026-10-20&amp;currency=EUR&amp;startStation=7&amp;endStation=34", "Clic para verlo en la web de RoadSurfer")</f>
        <v/>
      </c>
    </row>
    <row r="124">
      <c r="A124" t="inlineStr">
        <is>
          <t>Alemania</t>
        </is>
      </c>
      <c r="B124" t="inlineStr">
        <is>
          <t>Hannover</t>
        </is>
      </c>
      <c r="C124" t="inlineStr">
        <is>
          <t>Italia</t>
        </is>
      </c>
      <c r="D124" t="inlineStr">
        <is>
          <t>Turín</t>
        </is>
      </c>
      <c r="E124" t="inlineStr">
        <is>
          <t>2026-10-12</t>
        </is>
      </c>
      <c r="F124" t="inlineStr">
        <is>
          <t>2026-10-19</t>
        </is>
      </c>
      <c r="G124" t="inlineStr">
        <is>
          <t xml:space="preserve"> - Surfer Suite</t>
        </is>
      </c>
      <c r="H124">
        <f>HYPERLINK("https://booking.roadsurfer.com/es/rally/pick?pickup_date=2026-10-12&amp;return_date=2026-10-19&amp;currency=EUR&amp;startStation=7&amp;endStation=58",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Italia</t>
        </is>
      </c>
      <c r="D125" t="inlineStr">
        <is>
          <t>Roma Aeropuerto Fiumicino</t>
        </is>
      </c>
      <c r="E125" t="inlineStr">
        <is>
          <t>2026-10-26</t>
        </is>
      </c>
      <c r="F125" t="inlineStr">
        <is>
          <t>2026-11-02</t>
        </is>
      </c>
      <c r="G125" t="inlineStr">
        <is>
          <t xml:space="preserve"> - Beach Hostel</t>
        </is>
      </c>
      <c r="H125">
        <f>HYPERLINK("https://booking.roadsurfer.com/es/rally/pick?pickup_date=2026-10-26&amp;return_date=2026-11-02&amp;currency=EUR&amp;startStation=7&amp;endStation=35",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Italia</t>
        </is>
      </c>
      <c r="D126" t="inlineStr">
        <is>
          <t>Roma Aeropuerto Fiumicino</t>
        </is>
      </c>
      <c r="E126" t="inlineStr">
        <is>
          <t>2026-10-23</t>
        </is>
      </c>
      <c r="F126" t="inlineStr">
        <is>
          <t>2026-10-30</t>
        </is>
      </c>
      <c r="G126" t="inlineStr">
        <is>
          <t xml:space="preserve"> - Surfer Suite</t>
        </is>
      </c>
      <c r="H126">
        <f>HYPERLINK("https://booking.roadsurfer.com/es/rally/pick?pickup_date=2026-10-23&amp;return_date=2026-10-30&amp;currency=EUR&amp;startStation=7&amp;endStation=35",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Francia</t>
        </is>
      </c>
      <c r="D127" t="inlineStr">
        <is>
          <t>Lille</t>
        </is>
      </c>
      <c r="E127" t="inlineStr">
        <is>
          <t>2026-10-22</t>
        </is>
      </c>
      <c r="F127" t="inlineStr">
        <is>
          <t>2026-10-29</t>
        </is>
      </c>
      <c r="G127" t="inlineStr">
        <is>
          <t xml:space="preserve"> - Surfer Suite</t>
        </is>
      </c>
      <c r="H127">
        <f>HYPERLINK("https://booking.roadsurfer.com/es/rally/pick?pickup_date=2026-10-22&amp;return_date=2026-10-29&amp;currency=EUR&amp;startStation=7&amp;endStation=87", "Clic para verlo en la web de RoadSurfer")</f>
        <v/>
      </c>
    </row>
    <row r="128">
      <c r="A128" t="inlineStr">
        <is>
          <t>Alemania</t>
        </is>
      </c>
      <c r="B128" t="inlineStr">
        <is>
          <t>Hannover</t>
        </is>
      </c>
      <c r="C128" t="inlineStr">
        <is>
          <t>Francia</t>
        </is>
      </c>
      <c r="D128" t="inlineStr">
        <is>
          <t>París Sur (Orly)</t>
        </is>
      </c>
      <c r="E128" t="inlineStr">
        <is>
          <t>2026-10-21</t>
        </is>
      </c>
      <c r="F128" t="inlineStr">
        <is>
          <t>2026-10-28</t>
        </is>
      </c>
      <c r="G128" t="inlineStr">
        <is>
          <t xml:space="preserve"> - Surfer Suite</t>
        </is>
      </c>
      <c r="H128">
        <f>HYPERLINK("https://booking.roadsurfer.com/es/rally/pick?pickup_date=2026-10-21&amp;return_date=2026-10-28&amp;currency=EUR&amp;startStation=7&amp;endStation=12", "Clic para verlo en la web de RoadSurfer")</f>
        <v/>
      </c>
    </row>
    <row r="129">
      <c r="A129" t="inlineStr">
        <is>
          <t>Alemania</t>
        </is>
      </c>
      <c r="B129" t="inlineStr">
        <is>
          <t>Hannover</t>
        </is>
      </c>
      <c r="C129" t="inlineStr">
        <is>
          <t>Francia</t>
        </is>
      </c>
      <c r="D129" t="inlineStr">
        <is>
          <t>París Sur (Orly)</t>
        </is>
      </c>
      <c r="E129" t="inlineStr">
        <is>
          <t>2026-10-10</t>
        </is>
      </c>
      <c r="F129" t="inlineStr">
        <is>
          <t>2026-10-17</t>
        </is>
      </c>
      <c r="G129" t="inlineStr">
        <is>
          <t xml:space="preserve"> - No hay coche</t>
        </is>
      </c>
      <c r="H129">
        <f>HYPERLINK("https://booking.roadsurfer.com/es/rally/pick?pickup_date=2026-10-10&amp;return_date=2026-10-17&amp;currency=EUR&amp;startStation=7&amp;endStation=12", "Clic para verlo en la web de RoadSurfer")</f>
        <v/>
      </c>
    </row>
    <row r="130">
      <c r="A130" t="inlineStr">
        <is>
          <t>Alemania</t>
        </is>
      </c>
      <c r="B130" t="inlineStr">
        <is>
          <t>Hannover</t>
        </is>
      </c>
      <c r="C130" t="inlineStr">
        <is>
          <t>Francia</t>
        </is>
      </c>
      <c r="D130" t="inlineStr">
        <is>
          <t>París Sur (Orly)</t>
        </is>
      </c>
      <c r="E130" t="inlineStr">
        <is>
          <t>2026-10-12</t>
        </is>
      </c>
      <c r="F130" t="inlineStr">
        <is>
          <t>2026-10-19</t>
        </is>
      </c>
      <c r="G130" t="inlineStr">
        <is>
          <t xml:space="preserve"> - Surfer Suite</t>
        </is>
      </c>
      <c r="H130">
        <f>HYPERLINK("https://booking.roadsurfer.com/es/rally/pick?pickup_date=2026-10-12&amp;return_date=2026-10-19&amp;currency=EUR&amp;startStation=7&amp;endStation=12", "Clic para verlo en la web de RoadSurfer")</f>
        <v/>
      </c>
    </row>
    <row r="131">
      <c r="A131" t="inlineStr">
        <is>
          <t>Alemania</t>
        </is>
      </c>
      <c r="B131" t="inlineStr">
        <is>
          <t>Hannover</t>
        </is>
      </c>
      <c r="C131" t="inlineStr">
        <is>
          <t>España</t>
        </is>
      </c>
      <c r="D131" t="inlineStr">
        <is>
          <t>Barcelona</t>
        </is>
      </c>
      <c r="E131" t="inlineStr">
        <is>
          <t>2026-10-28</t>
        </is>
      </c>
      <c r="F131" t="inlineStr">
        <is>
          <t>2026-11-04</t>
        </is>
      </c>
      <c r="G131" t="inlineStr">
        <is>
          <t xml:space="preserve"> - Camper Cabin</t>
        </is>
      </c>
      <c r="H131">
        <f>HYPERLINK("https://booking.roadsurfer.com/es/rally/pick?pickup_date=2026-10-28&amp;return_date=2026-11-04&amp;currency=EUR&amp;startStation=7&amp;endStation=17", "Clic para verlo en la web de RoadSurfer")</f>
        <v/>
      </c>
    </row>
    <row r="132">
      <c r="A132" t="inlineStr">
        <is>
          <t>Alemania</t>
        </is>
      </c>
      <c r="B132" t="inlineStr">
        <is>
          <t>Hannover</t>
        </is>
      </c>
      <c r="C132" t="inlineStr">
        <is>
          <t>España</t>
        </is>
      </c>
      <c r="D132" t="inlineStr">
        <is>
          <t>Barcelona</t>
        </is>
      </c>
      <c r="E132" t="inlineStr">
        <is>
          <t>2026-10-26</t>
        </is>
      </c>
      <c r="F132" t="inlineStr">
        <is>
          <t>2026-11-02</t>
        </is>
      </c>
      <c r="G132" t="inlineStr">
        <is>
          <t xml:space="preserve"> - Beach Hostel</t>
        </is>
      </c>
      <c r="H132">
        <f>HYPERLINK("https://booking.roadsurfer.com/es/rally/pick?pickup_date=2026-10-26&amp;return_date=2026-11-02&amp;currency=EUR&amp;startStation=7&amp;endStation=17", "Clic para verlo en la web de RoadSurfer")</f>
        <v/>
      </c>
    </row>
    <row r="133">
      <c r="A133" t="inlineStr">
        <is>
          <t>Alemania</t>
        </is>
      </c>
      <c r="B133" t="inlineStr">
        <is>
          <t>Heidelberg</t>
        </is>
      </c>
      <c r="C133" t="inlineStr">
        <is>
          <t>Italia</t>
        </is>
      </c>
      <c r="D133" t="inlineStr">
        <is>
          <t>Turín</t>
        </is>
      </c>
      <c r="E133" t="inlineStr">
        <is>
          <t>2026-09-14</t>
        </is>
      </c>
      <c r="F133" t="inlineStr">
        <is>
          <t>2026-09-21</t>
        </is>
      </c>
      <c r="G133" t="inlineStr">
        <is>
          <t xml:space="preserve"> - Road House</t>
        </is>
      </c>
      <c r="H133">
        <f>HYPERLINK("https://booking.roadsurfer.com/es/rally/pick?pickup_date=2026-09-14&amp;return_date=2026-09-21&amp;currency=EUR&amp;startStation=79&amp;endStation=58", "Clic para verlo en la web de RoadSurfer")</f>
        <v/>
      </c>
    </row>
    <row r="134">
      <c r="A134" t="inlineStr">
        <is>
          <t>Alemania</t>
        </is>
      </c>
      <c r="B134" t="inlineStr">
        <is>
          <t>Karlsruhe</t>
        </is>
      </c>
      <c r="C134" t="inlineStr">
        <is>
          <t>España</t>
        </is>
      </c>
      <c r="D134" t="inlineStr">
        <is>
          <t>Barcelona</t>
        </is>
      </c>
      <c r="E134" t="inlineStr">
        <is>
          <t>2026-10-03</t>
        </is>
      </c>
      <c r="F134" t="inlineStr">
        <is>
          <t>2026-10-10</t>
        </is>
      </c>
      <c r="G134" t="inlineStr">
        <is>
          <t xml:space="preserve"> - No hay coche</t>
        </is>
      </c>
      <c r="H134">
        <f>HYPERLINK("https://booking.roadsurfer.com/es/rally/pick?pickup_date=2026-10-03&amp;return_date=2026-10-10&amp;currency=EUR&amp;startStation=110&amp;endStation=17", "Clic para verlo en la web de RoadSurfer")</f>
        <v/>
      </c>
    </row>
    <row r="135">
      <c r="A135" t="inlineStr">
        <is>
          <t>Alemania</t>
        </is>
      </c>
      <c r="B135" t="inlineStr">
        <is>
          <t>Karlsruhe</t>
        </is>
      </c>
      <c r="C135" t="inlineStr">
        <is>
          <t>Francia</t>
        </is>
      </c>
      <c r="D135" t="inlineStr">
        <is>
          <t>París Sur (Orly)</t>
        </is>
      </c>
      <c r="E135" t="inlineStr">
        <is>
          <t>2026-10-14</t>
        </is>
      </c>
      <c r="F135" t="inlineStr">
        <is>
          <t>2026-10-21</t>
        </is>
      </c>
      <c r="G135" t="inlineStr">
        <is>
          <t xml:space="preserve"> - Beach Hostel</t>
        </is>
      </c>
      <c r="H135">
        <f>HYPERLINK("https://booking.roadsurfer.com/es/rally/pick?pickup_date=2026-10-14&amp;return_date=2026-10-21&amp;currency=EUR&amp;startStation=110&amp;endStation=12", "Clic para verlo en la web de RoadSurfer")</f>
        <v/>
      </c>
    </row>
    <row r="136">
      <c r="A136" t="inlineStr">
        <is>
          <t>Alemania</t>
        </is>
      </c>
      <c r="B136" t="inlineStr">
        <is>
          <t>Leipzig</t>
        </is>
      </c>
      <c r="C136" t="inlineStr">
        <is>
          <t>Italia</t>
        </is>
      </c>
      <c r="D136" t="inlineStr">
        <is>
          <t>Bérgamo</t>
        </is>
      </c>
      <c r="E136" t="inlineStr">
        <is>
          <t>2026-10-24</t>
        </is>
      </c>
      <c r="F136" t="inlineStr">
        <is>
          <t>2026-10-31</t>
        </is>
      </c>
      <c r="G136" t="inlineStr">
        <is>
          <t xml:space="preserve"> - Surfer Suite</t>
        </is>
      </c>
      <c r="H136">
        <f>HYPERLINK("https://booking.roadsurfer.com/es/rally/pick?pickup_date=2026-10-24&amp;return_date=2026-10-31&amp;currency=EUR&amp;startStation=8&amp;endStation=94", "Clic para verlo en la web de RoadSurfer")</f>
        <v/>
      </c>
    </row>
    <row r="137">
      <c r="A137" t="inlineStr">
        <is>
          <t>Alemania</t>
        </is>
      </c>
      <c r="B137" t="inlineStr">
        <is>
          <t>Leipzig</t>
        </is>
      </c>
      <c r="C137" t="inlineStr">
        <is>
          <t>Bélgica</t>
        </is>
      </c>
      <c r="D137" t="inlineStr">
        <is>
          <t>Bruselas</t>
        </is>
      </c>
      <c r="E137" t="inlineStr">
        <is>
          <t>2026-10-03</t>
        </is>
      </c>
      <c r="F137" t="inlineStr">
        <is>
          <t>2026-10-10</t>
        </is>
      </c>
      <c r="G137" t="inlineStr">
        <is>
          <t xml:space="preserve"> - No hay coche</t>
        </is>
      </c>
      <c r="H137">
        <f>HYPERLINK("https://booking.roadsurfer.com/es/rally/pick?pickup_date=2026-10-03&amp;return_date=2026-10-10&amp;currency=EUR&amp;startStation=8&amp;endStation=42", "Clic para verlo en la web de RoadSurfer")</f>
        <v/>
      </c>
    </row>
    <row r="138">
      <c r="A138" t="inlineStr">
        <is>
          <t>Alemania</t>
        </is>
      </c>
      <c r="B138" t="inlineStr">
        <is>
          <t>Leipzig</t>
        </is>
      </c>
      <c r="C138" t="inlineStr">
        <is>
          <t>España</t>
        </is>
      </c>
      <c r="D138" t="inlineStr">
        <is>
          <t>Barcelona</t>
        </is>
      </c>
      <c r="E138" t="inlineStr">
        <is>
          <t>2026-10-20</t>
        </is>
      </c>
      <c r="F138" t="inlineStr">
        <is>
          <t>2026-10-27</t>
        </is>
      </c>
      <c r="G138" t="inlineStr">
        <is>
          <t xml:space="preserve"> - Surfer Suite</t>
        </is>
      </c>
      <c r="H138">
        <f>HYPERLINK("https://booking.roadsurfer.com/es/rally/pick?pickup_date=2026-10-20&amp;return_date=2026-10-27&amp;currency=EUR&amp;startStation=8&amp;endStation=17", "Clic para verlo en la web de RoadSurfer")</f>
        <v/>
      </c>
    </row>
    <row r="139">
      <c r="A139" t="inlineStr">
        <is>
          <t>Alemania</t>
        </is>
      </c>
      <c r="B139" t="inlineStr">
        <is>
          <t>Leipzig</t>
        </is>
      </c>
      <c r="C139" t="inlineStr">
        <is>
          <t>España</t>
        </is>
      </c>
      <c r="D139" t="inlineStr">
        <is>
          <t>Barcelona</t>
        </is>
      </c>
      <c r="E139" t="inlineStr">
        <is>
          <t>2026-10-08</t>
        </is>
      </c>
      <c r="F139" t="inlineStr">
        <is>
          <t>2026-10-15</t>
        </is>
      </c>
      <c r="G139" t="inlineStr">
        <is>
          <t xml:space="preserve"> - Surfer Suite</t>
        </is>
      </c>
      <c r="H139">
        <f>HYPERLINK("https://booking.roadsurfer.com/es/rally/pick?pickup_date=2026-10-08&amp;return_date=2026-10-15&amp;currency=EUR&amp;startStation=8&amp;endStation=17", "Clic para verlo en la web de RoadSurfer")</f>
        <v/>
      </c>
    </row>
    <row r="140">
      <c r="A140" t="inlineStr">
        <is>
          <t>Alemania</t>
        </is>
      </c>
      <c r="B140" t="inlineStr">
        <is>
          <t>Leipzig</t>
        </is>
      </c>
      <c r="C140" t="inlineStr">
        <is>
          <t>España</t>
        </is>
      </c>
      <c r="D140" t="inlineStr">
        <is>
          <t>Barcelona</t>
        </is>
      </c>
      <c r="E140" t="inlineStr">
        <is>
          <t>2026-10-29</t>
        </is>
      </c>
      <c r="F140" t="inlineStr">
        <is>
          <t>2026-11-05</t>
        </is>
      </c>
      <c r="G140" t="inlineStr">
        <is>
          <t xml:space="preserve"> - BEACH HOSTEL</t>
        </is>
      </c>
      <c r="H140">
        <f>HYPERLINK("https://booking.roadsurfer.com/es/rally/pick?pickup_date=2026-10-29&amp;return_date=2026-11-05&amp;currency=EUR&amp;startStation=8&amp;endStation=17", "Clic para verlo en la web de RoadSurfer")</f>
        <v/>
      </c>
    </row>
    <row r="141">
      <c r="A141" t="inlineStr">
        <is>
          <t>Alemania</t>
        </is>
      </c>
      <c r="B141" t="inlineStr">
        <is>
          <t>Leipzig</t>
        </is>
      </c>
      <c r="C141" t="inlineStr">
        <is>
          <t>Francia</t>
        </is>
      </c>
      <c r="D141" t="inlineStr">
        <is>
          <t>Lille</t>
        </is>
      </c>
      <c r="E141" t="inlineStr">
        <is>
          <t>2026-10-29</t>
        </is>
      </c>
      <c r="F141" t="inlineStr">
        <is>
          <t>2026-11-05</t>
        </is>
      </c>
      <c r="G141" t="inlineStr">
        <is>
          <t xml:space="preserve"> - SURFER SUITE</t>
        </is>
      </c>
      <c r="H141">
        <f>HYPERLINK("https://booking.roadsurfer.com/es/rally/pick?pickup_date=2026-10-29&amp;return_date=2026-11-05&amp;currency=EUR&amp;startStation=8&amp;endStation=87", "Clic para verlo en la web de RoadSurfer")</f>
        <v/>
      </c>
    </row>
    <row r="142">
      <c r="A142" t="inlineStr">
        <is>
          <t>Alemania</t>
        </is>
      </c>
      <c r="B142" t="inlineStr">
        <is>
          <t>Leipzig</t>
        </is>
      </c>
      <c r="C142" t="inlineStr">
        <is>
          <t>Francia</t>
        </is>
      </c>
      <c r="D142" t="inlineStr">
        <is>
          <t>Lyon</t>
        </is>
      </c>
      <c r="E142" t="inlineStr">
        <is>
          <t>2026-10-23</t>
        </is>
      </c>
      <c r="F142" t="inlineStr">
        <is>
          <t>2026-10-30</t>
        </is>
      </c>
      <c r="G142" t="inlineStr">
        <is>
          <t xml:space="preserve"> - SURFER SUITE</t>
        </is>
      </c>
      <c r="H142">
        <f>HYPERLINK("https://booking.roadsurfer.com/es/rally/pick?pickup_date=2026-10-23&amp;return_date=2026-10-30&amp;currency=EUR&amp;startStation=8&amp;endStation=15", "Clic para verlo en la web de RoadSurfer")</f>
        <v/>
      </c>
    </row>
    <row r="143">
      <c r="A143" t="inlineStr">
        <is>
          <t>Francia</t>
        </is>
      </c>
      <c r="B143" t="inlineStr">
        <is>
          <t>Lille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2026-10-24</t>
        </is>
      </c>
      <c r="F143" t="inlineStr">
        <is>
          <t>2026-10-31</t>
        </is>
      </c>
      <c r="G143" t="inlineStr">
        <is>
          <t xml:space="preserve"> - No hay coche</t>
        </is>
      </c>
      <c r="H143">
        <f>HYPERLINK("https://booking.roadsurfer.com/es/rally/pick?pickup_date=2026-10-24&amp;return_date=2026-10-31&amp;currency=EUR&amp;startStation=87&amp;endStation=22", "Clic para verlo en la web de RoadSurfer")</f>
        <v/>
      </c>
    </row>
    <row r="144">
      <c r="A144" t="inlineStr">
        <is>
          <t>Francia</t>
        </is>
      </c>
      <c r="B144" t="inlineStr">
        <is>
          <t>Lille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2026-10-27</t>
        </is>
      </c>
      <c r="F144" t="inlineStr">
        <is>
          <t>2026-11-03</t>
        </is>
      </c>
      <c r="G144" t="inlineStr">
        <is>
          <t xml:space="preserve"> - Beach Hostel</t>
        </is>
      </c>
      <c r="H144">
        <f>HYPERLINK("https://booking.roadsurfer.com/es/rally/pick?pickup_date=2026-10-27&amp;return_date=2026-11-03&amp;currency=EUR&amp;startStation=87&amp;endStation=22", "Clic para verlo en la web de RoadSurfer")</f>
        <v/>
      </c>
    </row>
    <row r="145">
      <c r="A145" t="inlineStr">
        <is>
          <t>Francia</t>
        </is>
      </c>
      <c r="B145" t="inlineStr">
        <is>
          <t>Lille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2026-10-29</t>
        </is>
      </c>
      <c r="F145" t="inlineStr">
        <is>
          <t>2026-11-05</t>
        </is>
      </c>
      <c r="G145" t="inlineStr">
        <is>
          <t xml:space="preserve"> - BEACH HOSTEL</t>
        </is>
      </c>
      <c r="H145">
        <f>HYPERLINK("https://booking.roadsurfer.com/es/rally/pick?pickup_date=2026-10-29&amp;return_date=2026-11-05&amp;currency=EUR&amp;startStation=87&amp;endStation=22", "Clic para verlo en la web de RoadSurfer")</f>
        <v/>
      </c>
    </row>
    <row r="146">
      <c r="A146" t="inlineStr">
        <is>
          <t>Francia</t>
        </is>
      </c>
      <c r="B146" t="inlineStr">
        <is>
          <t>Lille</t>
        </is>
      </c>
      <c r="C146" t="inlineStr">
        <is>
          <t>Francia</t>
        </is>
      </c>
      <c r="D146" t="inlineStr">
        <is>
          <t>Aix-Marsella</t>
        </is>
      </c>
      <c r="E146" t="inlineStr">
        <is>
          <t>2026-09-14</t>
        </is>
      </c>
      <c r="F146" t="inlineStr">
        <is>
          <t>2026-09-21</t>
        </is>
      </c>
      <c r="G146" t="inlineStr">
        <is>
          <t xml:space="preserve"> - Road House</t>
        </is>
      </c>
      <c r="H146">
        <f>HYPERLINK("https://booking.roadsurfer.com/es/rally/pick?pickup_date=2026-09-14&amp;return_date=2026-09-21&amp;currency=EUR&amp;startStation=87&amp;endStation=16", "Clic para verlo en la web de RoadSurfer")</f>
        <v/>
      </c>
    </row>
    <row r="147">
      <c r="A147" t="inlineStr">
        <is>
          <t>Reino Unido</t>
        </is>
      </c>
      <c r="B147" t="inlineStr">
        <is>
          <t>Londres</t>
        </is>
      </c>
      <c r="C147" t="inlineStr">
        <is>
          <t>Reino Unido</t>
        </is>
      </c>
      <c r="D147" t="inlineStr">
        <is>
          <t>Edimburgo</t>
        </is>
      </c>
      <c r="E147" t="inlineStr">
        <is>
          <t>2026-09-22</t>
        </is>
      </c>
      <c r="F147" t="inlineStr">
        <is>
          <t>2026-09-29</t>
        </is>
      </c>
      <c r="G147" t="inlineStr">
        <is>
          <t xml:space="preserve"> - Surfer Suite - Cozy Cottage</t>
        </is>
      </c>
      <c r="H147">
        <f>HYPERLINK("https://booking.roadsurfer.com/es/rally/pick?pickup_date=2026-09-22&amp;return_date=2026-09-29&amp;currency=EUR&amp;startStation=63&amp;endStation=64", "Clic para verlo en la web de RoadSurfer")</f>
        <v/>
      </c>
    </row>
    <row r="148">
      <c r="A148" t="inlineStr">
        <is>
          <t>Reino Unido</t>
        </is>
      </c>
      <c r="B148" t="inlineStr">
        <is>
          <t>Londres</t>
        </is>
      </c>
      <c r="C148" t="inlineStr">
        <is>
          <t>Reino Unido</t>
        </is>
      </c>
      <c r="D148" t="inlineStr">
        <is>
          <t>Edimburgo</t>
        </is>
      </c>
      <c r="E148" t="inlineStr">
        <is>
          <t>2026-09-23</t>
        </is>
      </c>
      <c r="F148" t="inlineStr">
        <is>
          <t>2026-09-30</t>
        </is>
      </c>
      <c r="G148" t="inlineStr">
        <is>
          <t xml:space="preserve"> - Cozy Cottage</t>
        </is>
      </c>
      <c r="H148">
        <f>HYPERLINK("https://booking.roadsurfer.com/es/rally/pick?pickup_date=2026-09-23&amp;return_date=2026-09-30&amp;currency=EUR&amp;startStation=63&amp;endStation=64", "Clic para verlo en la web de RoadSurfer")</f>
        <v/>
      </c>
    </row>
    <row r="149">
      <c r="A149" t="inlineStr">
        <is>
          <t>Reino Unido</t>
        </is>
      </c>
      <c r="B149" t="inlineStr">
        <is>
          <t>Londres</t>
        </is>
      </c>
      <c r="C149" t="inlineStr">
        <is>
          <t>Reino Unido</t>
        </is>
      </c>
      <c r="D149" t="inlineStr">
        <is>
          <t>Edimburgo</t>
        </is>
      </c>
      <c r="E149" t="inlineStr">
        <is>
          <t>2026-09-24</t>
        </is>
      </c>
      <c r="F149" t="inlineStr">
        <is>
          <t>2026-10-01</t>
        </is>
      </c>
      <c r="G149" t="inlineStr">
        <is>
          <t xml:space="preserve"> - Cozy Cottage</t>
        </is>
      </c>
      <c r="H149">
        <f>HYPERLINK("https://booking.roadsurfer.com/es/rally/pick?pickup_date=2026-09-24&amp;return_date=2026-10-01&amp;currency=EUR&amp;startStation=63&amp;endStation=64", "Clic para verlo en la web de RoadSurfer")</f>
        <v/>
      </c>
    </row>
    <row r="150">
      <c r="A150" t="inlineStr">
        <is>
          <t>Reino Unido</t>
        </is>
      </c>
      <c r="B150" t="inlineStr">
        <is>
          <t>Londres</t>
        </is>
      </c>
      <c r="C150" t="inlineStr">
        <is>
          <t>Reino Unido</t>
        </is>
      </c>
      <c r="D150" t="inlineStr">
        <is>
          <t>Edimburgo</t>
        </is>
      </c>
      <c r="E150" t="inlineStr">
        <is>
          <t>2026-10-05</t>
        </is>
      </c>
      <c r="F150" t="inlineStr">
        <is>
          <t>2026-10-12</t>
        </is>
      </c>
      <c r="G150" t="inlineStr">
        <is>
          <t xml:space="preserve"> - Surfer Suite</t>
        </is>
      </c>
      <c r="H150">
        <f>HYPERLINK("https://booking.roadsurfer.com/es/rally/pick?pickup_date=2026-10-05&amp;return_date=2026-10-12&amp;currency=EUR&amp;startStation=63&amp;endStation=64", "Clic para verlo en la web de RoadSurfer")</f>
        <v/>
      </c>
    </row>
    <row r="151">
      <c r="A151" t="inlineStr">
        <is>
          <t>Reino Unido</t>
        </is>
      </c>
      <c r="B151" t="inlineStr">
        <is>
          <t>Londres</t>
        </is>
      </c>
      <c r="C151" t="inlineStr">
        <is>
          <t>Reino Unido</t>
        </is>
      </c>
      <c r="D151" t="inlineStr">
        <is>
          <t>Bristol</t>
        </is>
      </c>
      <c r="E151" t="inlineStr">
        <is>
          <t>2026-09-22</t>
        </is>
      </c>
      <c r="F151" t="inlineStr">
        <is>
          <t>2026-09-29</t>
        </is>
      </c>
      <c r="G151" t="inlineStr">
        <is>
          <t xml:space="preserve"> - Cozy Cottage</t>
        </is>
      </c>
      <c r="H151">
        <f>HYPERLINK("https://booking.roadsurfer.com/es/rally/pick?pickup_date=2026-09-22&amp;return_date=2026-09-29&amp;currency=EUR&amp;startStation=63&amp;endStation=98", "Clic para verlo en la web de RoadSurfer")</f>
        <v/>
      </c>
    </row>
    <row r="152">
      <c r="A152" t="inlineStr">
        <is>
          <t>Alemania</t>
        </is>
      </c>
      <c r="B152" t="inlineStr">
        <is>
          <t>Lübeck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2026-10-23</t>
        </is>
      </c>
      <c r="F152" t="inlineStr">
        <is>
          <t>2026-10-30</t>
        </is>
      </c>
      <c r="G152" t="inlineStr">
        <is>
          <t xml:space="preserve"> - Beach Hostel</t>
        </is>
      </c>
      <c r="H152">
        <f>HYPERLINK("https://booking.roadsurfer.com/es/rally/pick?pickup_date=2026-10-23&amp;return_date=2026-10-30&amp;currency=EUR&amp;startStation=109&amp;endStation=31", "Clic para verlo en la web de RoadSurfer")</f>
        <v/>
      </c>
    </row>
    <row r="153">
      <c r="A153" t="inlineStr">
        <is>
          <t>Alemania</t>
        </is>
      </c>
      <c r="B153" t="inlineStr">
        <is>
          <t>Lübeck</t>
        </is>
      </c>
      <c r="C153" t="inlineStr">
        <is>
          <t>Italia</t>
        </is>
      </c>
      <c r="D153" t="inlineStr">
        <is>
          <t>Venecia</t>
        </is>
      </c>
      <c r="E153" t="inlineStr">
        <is>
          <t>2026-10-27</t>
        </is>
      </c>
      <c r="F153" t="inlineStr">
        <is>
          <t>2026-11-03</t>
        </is>
      </c>
      <c r="G153" t="inlineStr">
        <is>
          <t xml:space="preserve"> - Beach Hostel</t>
        </is>
      </c>
      <c r="H153">
        <f>HYPERLINK("https://booking.roadsurfer.com/es/rally/pick?pickup_date=2026-10-27&amp;return_date=2026-11-03&amp;currency=EUR&amp;startStation=109&amp;endStation=78", "Clic para verlo en la web de RoadSurfer")</f>
        <v/>
      </c>
    </row>
    <row r="154">
      <c r="A154" t="inlineStr">
        <is>
          <t>Alemania</t>
        </is>
      </c>
      <c r="B154" t="inlineStr">
        <is>
          <t>Lübeck</t>
        </is>
      </c>
      <c r="C154" t="inlineStr">
        <is>
          <t>Alemania</t>
        </is>
      </c>
      <c r="D154" t="inlineStr">
        <is>
          <t>Bremen</t>
        </is>
      </c>
      <c r="E154" t="inlineStr">
        <is>
          <t>2026-09-22</t>
        </is>
      </c>
      <c r="F154" t="inlineStr">
        <is>
          <t>2026-09-29</t>
        </is>
      </c>
      <c r="G154" t="inlineStr">
        <is>
          <t xml:space="preserve"> - Cozy Cottage</t>
        </is>
      </c>
      <c r="H154">
        <f>HYPERLINK("https://booking.roadsurfer.com/es/rally/pick?pickup_date=2026-09-22&amp;return_date=2026-09-29&amp;currency=EUR&amp;startStation=109&amp;endStation=55", "Clic para verlo en la web de RoadSurfer")</f>
        <v/>
      </c>
    </row>
    <row r="155">
      <c r="A155" t="inlineStr">
        <is>
          <t>Francia</t>
        </is>
      </c>
      <c r="B155" t="inlineStr">
        <is>
          <t>Lyon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2026-10-27</t>
        </is>
      </c>
      <c r="F155" t="inlineStr">
        <is>
          <t>2026-11-03</t>
        </is>
      </c>
      <c r="G155" t="inlineStr">
        <is>
          <t xml:space="preserve"> - Surfer Suite</t>
        </is>
      </c>
      <c r="H155">
        <f>HYPERLINK("https://booking.roadsurfer.com/es/rally/pick?pickup_date=2026-10-27&amp;return_date=2026-11-03&amp;currency=EUR&amp;startStation=15&amp;endStation=22", "Clic para verlo en la web de RoadSurfer")</f>
        <v/>
      </c>
    </row>
    <row r="156">
      <c r="A156" t="inlineStr">
        <is>
          <t>Francia</t>
        </is>
      </c>
      <c r="B156" t="inlineStr">
        <is>
          <t>Lyon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2026-10-26</t>
        </is>
      </c>
      <c r="F156" t="inlineStr">
        <is>
          <t>2026-11-02</t>
        </is>
      </c>
      <c r="G156" t="inlineStr">
        <is>
          <t xml:space="preserve"> - Camper Cabin Deluxe</t>
        </is>
      </c>
      <c r="H156">
        <f>HYPERLINK("https://booking.roadsurfer.com/es/rally/pick?pickup_date=2026-10-26&amp;return_date=2026-11-02&amp;currency=EUR&amp;startStation=15&amp;endStation=22", "Clic para verlo en la web de RoadSurfer")</f>
        <v/>
      </c>
    </row>
    <row r="157">
      <c r="A157" t="inlineStr">
        <is>
          <t>Francia</t>
        </is>
      </c>
      <c r="B157" t="inlineStr">
        <is>
          <t>Lyon</t>
        </is>
      </c>
      <c r="C157" t="inlineStr">
        <is>
          <t>Alemania</t>
        </is>
      </c>
      <c r="D157" t="inlineStr">
        <is>
          <t>Berlín-Schönefeld</t>
        </is>
      </c>
      <c r="E157" t="inlineStr">
        <is>
          <t>2026-10-17</t>
        </is>
      </c>
      <c r="F157" t="inlineStr">
        <is>
          <t>2026-10-24</t>
        </is>
      </c>
      <c r="G157" t="inlineStr">
        <is>
          <t xml:space="preserve"> - Travel Home</t>
        </is>
      </c>
      <c r="H157">
        <f>HYPERLINK("https://booking.roadsurfer.com/es/rally/pick?pickup_date=2026-10-17&amp;return_date=2026-10-24&amp;currency=EUR&amp;startStation=15&amp;endStation=51", "Clic para verlo en la web de RoadSurfer")</f>
        <v/>
      </c>
    </row>
    <row r="158">
      <c r="A158" t="inlineStr">
        <is>
          <t>España</t>
        </is>
      </c>
      <c r="B158" t="inlineStr">
        <is>
          <t>Madrid</t>
        </is>
      </c>
      <c r="C158" t="inlineStr">
        <is>
          <t>Alemania</t>
        </is>
      </c>
      <c r="D158" t="inlineStr">
        <is>
          <t>Stuttgart</t>
        </is>
      </c>
      <c r="E158" t="inlineStr">
        <is>
          <t>2026-10-27</t>
        </is>
      </c>
      <c r="F158" t="inlineStr">
        <is>
          <t>2026-11-03</t>
        </is>
      </c>
      <c r="G158" t="inlineStr">
        <is>
          <t xml:space="preserve"> - Camper Cabin</t>
        </is>
      </c>
      <c r="H158">
        <f>HYPERLINK("https://booking.roadsurfer.com/es/rally/pick?pickup_date=2026-10-27&amp;return_date=2026-11-03&amp;currency=EUR&amp;startStation=20&amp;endStation=5", "Clic para verlo en la web de RoadSurfer")</f>
        <v/>
      </c>
    </row>
    <row r="159">
      <c r="A159" t="inlineStr">
        <is>
          <t>España</t>
        </is>
      </c>
      <c r="B159" t="inlineStr">
        <is>
          <t>Madrid</t>
        </is>
      </c>
      <c r="C159" t="inlineStr">
        <is>
          <t>España</t>
        </is>
      </c>
      <c r="D159" t="inlineStr">
        <is>
          <t>Sevilla</t>
        </is>
      </c>
      <c r="E159" t="inlineStr">
        <is>
          <t>2026-09-14</t>
        </is>
      </c>
      <c r="F159" t="inlineStr">
        <is>
          <t>2026-09-21</t>
        </is>
      </c>
      <c r="G159" t="inlineStr">
        <is>
          <t xml:space="preserve"> - No hay coche</t>
        </is>
      </c>
      <c r="H159">
        <f>HYPERLINK("https://booking.roadsurfer.com/es/rally/pick?pickup_date=2026-09-14&amp;return_date=2026-09-21&amp;currency=EUR&amp;startStation=20&amp;endStation=39", "Clic para verlo en la web de RoadSurfer")</f>
        <v/>
      </c>
    </row>
    <row r="160">
      <c r="A160" t="inlineStr">
        <is>
          <t>España</t>
        </is>
      </c>
      <c r="B160" t="inlineStr">
        <is>
          <t>Málaga</t>
        </is>
      </c>
      <c r="C160" t="inlineStr">
        <is>
          <t>Alemania</t>
        </is>
      </c>
      <c r="D160" t="inlineStr">
        <is>
          <t>Múnich</t>
        </is>
      </c>
      <c r="E160" t="inlineStr">
        <is>
          <t>2026-10-27</t>
        </is>
      </c>
      <c r="F160" t="inlineStr">
        <is>
          <t>2026-11-03</t>
        </is>
      </c>
      <c r="G160" t="inlineStr">
        <is>
          <t xml:space="preserve"> - Surfer Suite</t>
        </is>
      </c>
      <c r="H160">
        <f>HYPERLINK("https://booking.roadsurfer.com/es/rally/pick?pickup_date=2026-10-27&amp;return_date=2026-11-03&amp;currency=EUR&amp;startStation=21&amp;endStation=1", "Clic para verlo en la web de RoadSurfer")</f>
        <v/>
      </c>
    </row>
    <row r="161">
      <c r="A161" t="inlineStr">
        <is>
          <t>España</t>
        </is>
      </c>
      <c r="B161" t="inlineStr">
        <is>
          <t>Málaga</t>
        </is>
      </c>
      <c r="C161" t="inlineStr">
        <is>
          <t>España</t>
        </is>
      </c>
      <c r="D161" t="inlineStr">
        <is>
          <t>Valencia</t>
        </is>
      </c>
      <c r="E161" t="inlineStr">
        <is>
          <t>2026-09-14</t>
        </is>
      </c>
      <c r="F161" t="inlineStr">
        <is>
          <t>2026-09-21</t>
        </is>
      </c>
      <c r="G161" t="inlineStr">
        <is>
          <t xml:space="preserve"> - Surfer Suite</t>
        </is>
      </c>
      <c r="H161">
        <f>HYPERLINK("https://booking.roadsurfer.com/es/rally/pick?pickup_date=2026-09-14&amp;return_date=2026-09-21&amp;currency=EUR&amp;startStation=21&amp;endStation=38", "Clic para verlo en la web de RoadSurfer")</f>
        <v/>
      </c>
    </row>
    <row r="162">
      <c r="A162" t="inlineStr">
        <is>
          <t>Suecia</t>
        </is>
      </c>
      <c r="B162" t="inlineStr">
        <is>
          <t>Malmö</t>
        </is>
      </c>
      <c r="C162" t="inlineStr">
        <is>
          <t>Alemania</t>
        </is>
      </c>
      <c r="D162" t="inlineStr">
        <is>
          <t>Colonia-Bonn</t>
        </is>
      </c>
      <c r="E162" t="inlineStr">
        <is>
          <t>2026-09-26</t>
        </is>
      </c>
      <c r="F162" t="inlineStr">
        <is>
          <t>2026-10-03</t>
        </is>
      </c>
      <c r="G162" t="inlineStr">
        <is>
          <t xml:space="preserve"> - No hay coche</t>
        </is>
      </c>
      <c r="H162">
        <f>HYPERLINK("https://booking.roadsurfer.com/es/rally/pick?pickup_date=2026-09-26&amp;return_date=2026-10-03&amp;currency=EUR&amp;startStation=60&amp;endStation=52", "Clic para verlo en la web de RoadSurfer")</f>
        <v/>
      </c>
    </row>
    <row r="163">
      <c r="A163" t="inlineStr">
        <is>
          <t>Suecia</t>
        </is>
      </c>
      <c r="B163" t="inlineStr">
        <is>
          <t>Malmö</t>
        </is>
      </c>
      <c r="C163" t="inlineStr">
        <is>
          <t>Alemania</t>
        </is>
      </c>
      <c r="D163" t="inlineStr">
        <is>
          <t>Stuttgart</t>
        </is>
      </c>
      <c r="E163" t="inlineStr">
        <is>
          <t>2026-09-14</t>
        </is>
      </c>
      <c r="F163" t="inlineStr">
        <is>
          <t>2026-09-21</t>
        </is>
      </c>
      <c r="G163" t="inlineStr">
        <is>
          <t xml:space="preserve"> - Road House</t>
        </is>
      </c>
      <c r="H163">
        <f>HYPERLINK("https://booking.roadsurfer.com/es/rally/pick?pickup_date=2026-09-14&amp;return_date=2026-09-21&amp;currency=EUR&amp;startStation=60&amp;endStation=5", "Clic para verlo en la web de RoadSurfer")</f>
        <v/>
      </c>
    </row>
    <row r="164">
      <c r="A164" t="inlineStr">
        <is>
          <t>Suecia</t>
        </is>
      </c>
      <c r="B164" t="inlineStr">
        <is>
          <t>Malmö</t>
        </is>
      </c>
      <c r="C164" t="inlineStr">
        <is>
          <t>Alemania</t>
        </is>
      </c>
      <c r="D164" t="inlineStr">
        <is>
          <t>Dresde</t>
        </is>
      </c>
      <c r="E164" t="inlineStr">
        <is>
          <t>2026-09-21</t>
        </is>
      </c>
      <c r="F164" t="inlineStr">
        <is>
          <t>2026-09-28</t>
        </is>
      </c>
      <c r="G164" t="inlineStr">
        <is>
          <t xml:space="preserve"> - Family Finca</t>
        </is>
      </c>
      <c r="H164">
        <f>HYPERLINK("https://booking.roadsurfer.com/es/rally/pick?pickup_date=2026-09-21&amp;return_date=2026-09-28&amp;currency=EUR&amp;startStation=60&amp;endStation=56", "Clic para verlo en la web de RoadSurfer")</f>
        <v/>
      </c>
    </row>
    <row r="165">
      <c r="A165" t="inlineStr">
        <is>
          <t>Suecia</t>
        </is>
      </c>
      <c r="B165" t="inlineStr">
        <is>
          <t>Malmö</t>
        </is>
      </c>
      <c r="C165" t="inlineStr">
        <is>
          <t>Alemania</t>
        </is>
      </c>
      <c r="D165" t="inlineStr">
        <is>
          <t>Lübeck</t>
        </is>
      </c>
      <c r="E165" t="inlineStr">
        <is>
          <t>2026-09-21</t>
        </is>
      </c>
      <c r="F165" t="inlineStr">
        <is>
          <t>2026-09-28</t>
        </is>
      </c>
      <c r="G165" t="inlineStr">
        <is>
          <t xml:space="preserve"> - Road House</t>
        </is>
      </c>
      <c r="H165">
        <f>HYPERLINK("https://booking.roadsurfer.com/es/rally/pick?pickup_date=2026-09-21&amp;return_date=2026-09-28&amp;currency=EUR&amp;startStation=60&amp;endStation=109", "Clic para verlo en la web de RoadSurfer")</f>
        <v/>
      </c>
    </row>
    <row r="166">
      <c r="A166" t="inlineStr">
        <is>
          <t>Suecia</t>
        </is>
      </c>
      <c r="B166" t="inlineStr">
        <is>
          <t>Malmö</t>
        </is>
      </c>
      <c r="C166" t="inlineStr">
        <is>
          <t>Alemania</t>
        </is>
      </c>
      <c r="D166" t="inlineStr">
        <is>
          <t>Colonia-Düsseldorf</t>
        </is>
      </c>
      <c r="E166" t="inlineStr">
        <is>
          <t>2026-09-17</t>
        </is>
      </c>
      <c r="F166" t="inlineStr">
        <is>
          <t>2026-09-24</t>
        </is>
      </c>
      <c r="G166" t="inlineStr">
        <is>
          <t xml:space="preserve"> - Road House</t>
        </is>
      </c>
      <c r="H166">
        <f>HYPERLINK("https://booking.roadsurfer.com/es/rally/pick?pickup_date=2026-09-17&amp;return_date=2026-09-24&amp;currency=EUR&amp;startStation=60&amp;endStation=4", "Clic para verlo en la web de RoadSurfer")</f>
        <v/>
      </c>
    </row>
    <row r="167">
      <c r="A167" t="inlineStr">
        <is>
          <t>Suecia</t>
        </is>
      </c>
      <c r="B167" t="inlineStr">
        <is>
          <t>Malmö</t>
        </is>
      </c>
      <c r="C167" t="inlineStr">
        <is>
          <t>Bélgica</t>
        </is>
      </c>
      <c r="D167" t="inlineStr">
        <is>
          <t>Bruselas</t>
        </is>
      </c>
      <c r="E167" t="inlineStr">
        <is>
          <t>2026-09-14</t>
        </is>
      </c>
      <c r="F167" t="inlineStr">
        <is>
          <t>2026-09-21</t>
        </is>
      </c>
      <c r="G167" t="inlineStr">
        <is>
          <t xml:space="preserve"> - Camper Castle</t>
        </is>
      </c>
      <c r="H167">
        <f>HYPERLINK("https://booking.roadsurfer.com/es/rally/pick?pickup_date=2026-09-14&amp;return_date=2026-09-21&amp;currency=EUR&amp;startStation=60&amp;endStation=42",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París Sur (Orly)</t>
        </is>
      </c>
      <c r="E168" t="inlineStr">
        <is>
          <t>2026-10-30</t>
        </is>
      </c>
      <c r="F168" t="inlineStr">
        <is>
          <t>2026-11-06</t>
        </is>
      </c>
      <c r="G168" t="inlineStr">
        <is>
          <t xml:space="preserve"> - Surfer Suite</t>
        </is>
      </c>
      <c r="H168">
        <f>HYPERLINK("https://booking.roadsurfer.com/es/rally/pick?pickup_date=2026-10-30&amp;return_date=2026-11-06&amp;currency=EUR&amp;startStation=22&amp;endStation=12",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París Sur (Orly)</t>
        </is>
      </c>
      <c r="E169" t="inlineStr">
        <is>
          <t>2026-10-14</t>
        </is>
      </c>
      <c r="F169" t="inlineStr">
        <is>
          <t>2026-10-21</t>
        </is>
      </c>
      <c r="G169" t="inlineStr">
        <is>
          <t xml:space="preserve"> - Camper Cabin</t>
        </is>
      </c>
      <c r="H169">
        <f>HYPERLINK("https://booking.roadsurfer.com/es/rally/pick?pickup_date=2026-10-14&amp;return_date=2026-10-21&amp;currency=EUR&amp;startStation=22&amp;endStation=12",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París Sur (Orly)</t>
        </is>
      </c>
      <c r="E170" t="inlineStr">
        <is>
          <t>2026-10-13</t>
        </is>
      </c>
      <c r="F170" t="inlineStr">
        <is>
          <t>2026-10-20</t>
        </is>
      </c>
      <c r="G170" t="inlineStr">
        <is>
          <t xml:space="preserve"> - Surfer Suite - Camper Cabin</t>
        </is>
      </c>
      <c r="H170">
        <f>HYPERLINK("https://booking.roadsurfer.com/es/rally/pick?pickup_date=2026-10-13&amp;return_date=2026-10-20&amp;currency=EUR&amp;startStation=22&amp;endStation=12",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París Sur (Orly)</t>
        </is>
      </c>
      <c r="E171" t="inlineStr">
        <is>
          <t>2026-10-07</t>
        </is>
      </c>
      <c r="F171" t="inlineStr">
        <is>
          <t>2026-10-14</t>
        </is>
      </c>
      <c r="G171" t="inlineStr">
        <is>
          <t xml:space="preserve"> - Surfer Suite</t>
        </is>
      </c>
      <c r="H171">
        <f>HYPERLINK("https://booking.roadsurfer.com/es/rally/pick?pickup_date=2026-10-07&amp;return_date=2026-10-14&amp;currency=EUR&amp;startStation=22&amp;endStation=12",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París Sur (Orly)</t>
        </is>
      </c>
      <c r="E172" t="inlineStr">
        <is>
          <t>2026-10-09</t>
        </is>
      </c>
      <c r="F172" t="inlineStr">
        <is>
          <t>2026-10-16</t>
        </is>
      </c>
      <c r="G172" t="inlineStr">
        <is>
          <t xml:space="preserve"> - Surfer Suite</t>
        </is>
      </c>
      <c r="H172">
        <f>HYPERLINK("https://booking.roadsurfer.com/es/rally/pick?pickup_date=2026-10-09&amp;return_date=2026-10-16&amp;currency=EUR&amp;startStation=22&amp;endStation=12",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París Sur (Orly)</t>
        </is>
      </c>
      <c r="E173" t="inlineStr">
        <is>
          <t>2026-10-02</t>
        </is>
      </c>
      <c r="F173" t="inlineStr">
        <is>
          <t>2026-10-09</t>
        </is>
      </c>
      <c r="G173" t="inlineStr">
        <is>
          <t xml:space="preserve"> - Surfer Suite</t>
        </is>
      </c>
      <c r="H173">
        <f>HYPERLINK("https://booking.roadsurfer.com/es/rally/pick?pickup_date=2026-10-02&amp;return_date=2026-10-09&amp;currency=EUR&amp;startStation=22&amp;endStation=12",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Italia</t>
        </is>
      </c>
      <c r="D174" t="inlineStr">
        <is>
          <t>Venecia</t>
        </is>
      </c>
      <c r="E174" t="inlineStr">
        <is>
          <t>2026-10-29</t>
        </is>
      </c>
      <c r="F174" t="inlineStr">
        <is>
          <t>2026-11-05</t>
        </is>
      </c>
      <c r="G174" t="inlineStr">
        <is>
          <t xml:space="preserve"> - Surfer Suite</t>
        </is>
      </c>
      <c r="H174">
        <f>HYPERLINK("https://booking.roadsurfer.com/es/rally/pick?pickup_date=2026-10-29&amp;return_date=2026-11-05&amp;currency=EUR&amp;startStation=22&amp;endStation=78",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Italia</t>
        </is>
      </c>
      <c r="D175" t="inlineStr">
        <is>
          <t>Venecia</t>
        </is>
      </c>
      <c r="E175" t="inlineStr">
        <is>
          <t>2026-10-26</t>
        </is>
      </c>
      <c r="F175" t="inlineStr">
        <is>
          <t>2026-11-02</t>
        </is>
      </c>
      <c r="G175" t="inlineStr">
        <is>
          <t xml:space="preserve"> - Surfer Suite</t>
        </is>
      </c>
      <c r="H175">
        <f>HYPERLINK("https://booking.roadsurfer.com/es/rally/pick?pickup_date=2026-10-26&amp;return_date=2026-11-02&amp;currency=EUR&amp;startStation=22&amp;endStation=78",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Italia</t>
        </is>
      </c>
      <c r="D176" t="inlineStr">
        <is>
          <t>Venecia</t>
        </is>
      </c>
      <c r="E176" t="inlineStr">
        <is>
          <t>2026-10-19</t>
        </is>
      </c>
      <c r="F176" t="inlineStr">
        <is>
          <t>2026-10-26</t>
        </is>
      </c>
      <c r="G176" t="inlineStr">
        <is>
          <t xml:space="preserve"> - Surfer Suite</t>
        </is>
      </c>
      <c r="H176">
        <f>HYPERLINK("https://booking.roadsurfer.com/es/rally/pick?pickup_date=2026-10-19&amp;return_date=2026-10-26&amp;currency=EUR&amp;startStation=22&amp;endStation=78",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Venecia</t>
        </is>
      </c>
      <c r="E177" t="inlineStr">
        <is>
          <t>2026-10-09</t>
        </is>
      </c>
      <c r="F177" t="inlineStr">
        <is>
          <t>2026-10-16</t>
        </is>
      </c>
      <c r="G177" t="inlineStr">
        <is>
          <t xml:space="preserve"> - Surfer Suite</t>
        </is>
      </c>
      <c r="H177">
        <f>HYPERLINK("https://booking.roadsurfer.com/es/rally/pick?pickup_date=2026-10-09&amp;return_date=2026-10-16&amp;currency=EUR&amp;startStation=22&amp;endStation=78",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Italia</t>
        </is>
      </c>
      <c r="D178" t="inlineStr">
        <is>
          <t>Venecia</t>
        </is>
      </c>
      <c r="E178" t="inlineStr">
        <is>
          <t>2026-10-12</t>
        </is>
      </c>
      <c r="F178" t="inlineStr">
        <is>
          <t>2026-10-19</t>
        </is>
      </c>
      <c r="G178" t="inlineStr">
        <is>
          <t xml:space="preserve"> - Surfer Suite</t>
        </is>
      </c>
      <c r="H178">
        <f>HYPERLINK("https://booking.roadsurfer.com/es/rally/pick?pickup_date=2026-10-12&amp;return_date=2026-10-19&amp;currency=EUR&amp;startStation=22&amp;endStation=78",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Italia</t>
        </is>
      </c>
      <c r="D179" t="inlineStr">
        <is>
          <t>Turín</t>
        </is>
      </c>
      <c r="E179" t="inlineStr">
        <is>
          <t>2026-10-13</t>
        </is>
      </c>
      <c r="F179" t="inlineStr">
        <is>
          <t>2026-10-20</t>
        </is>
      </c>
      <c r="G179" t="inlineStr">
        <is>
          <t xml:space="preserve"> - Surfer Suite</t>
        </is>
      </c>
      <c r="H179">
        <f>HYPERLINK("https://booking.roadsurfer.com/es/rally/pick?pickup_date=2026-10-13&amp;return_date=2026-10-20&amp;currency=EUR&amp;startStation=22&amp;endStation=58",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Italia</t>
        </is>
      </c>
      <c r="D180" t="inlineStr">
        <is>
          <t>Turín</t>
        </is>
      </c>
      <c r="E180" t="inlineStr">
        <is>
          <t>2026-10-01</t>
        </is>
      </c>
      <c r="F180" t="inlineStr">
        <is>
          <t>2026-10-08</t>
        </is>
      </c>
      <c r="G180" t="inlineStr">
        <is>
          <t xml:space="preserve"> - Surfer Suite</t>
        </is>
      </c>
      <c r="H180">
        <f>HYPERLINK("https://booking.roadsurfer.com/es/rally/pick?pickup_date=2026-10-01&amp;return_date=2026-10-08&amp;currency=EUR&amp;startStation=22&amp;endStation=58",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Ginebra-Pays de Gex (Francia)</t>
        </is>
      </c>
      <c r="E181" t="inlineStr">
        <is>
          <t>2026-10-29</t>
        </is>
      </c>
      <c r="F181" t="inlineStr">
        <is>
          <t>2026-11-05</t>
        </is>
      </c>
      <c r="G181" t="inlineStr">
        <is>
          <t xml:space="preserve"> - Surfer Suite</t>
        </is>
      </c>
      <c r="H181">
        <f>HYPERLINK("https://booking.roadsurfer.com/es/rally/pick?pickup_date=2026-10-29&amp;return_date=2026-11-05&amp;currency=EUR&amp;startStation=22&amp;endStation=29",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Ginebra-Pays de Gex (Francia)</t>
        </is>
      </c>
      <c r="E182" t="inlineStr">
        <is>
          <t>2026-10-13</t>
        </is>
      </c>
      <c r="F182" t="inlineStr">
        <is>
          <t>2026-10-20</t>
        </is>
      </c>
      <c r="G182" t="inlineStr">
        <is>
          <t xml:space="preserve"> - Beach Hostel</t>
        </is>
      </c>
      <c r="H182">
        <f>HYPERLINK("https://booking.roadsurfer.com/es/rally/pick?pickup_date=2026-10-13&amp;return_date=2026-10-20&amp;currency=EUR&amp;startStation=22&amp;endStation=29",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Ginebra-Pays de Gex (Francia)</t>
        </is>
      </c>
      <c r="E183" t="inlineStr">
        <is>
          <t>2026-10-08</t>
        </is>
      </c>
      <c r="F183" t="inlineStr">
        <is>
          <t>2026-10-15</t>
        </is>
      </c>
      <c r="G183" t="inlineStr">
        <is>
          <t xml:space="preserve"> - No hay coche</t>
        </is>
      </c>
      <c r="H183">
        <f>HYPERLINK("https://booking.roadsurfer.com/es/rally/pick?pickup_date=2026-10-08&amp;return_date=2026-10-15&amp;currency=EUR&amp;startStation=22&amp;endStation=29",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Italia</t>
        </is>
      </c>
      <c r="D184" t="inlineStr">
        <is>
          <t>Roma Aeropuerto Fiumicino</t>
        </is>
      </c>
      <c r="E184" t="inlineStr">
        <is>
          <t>2026-10-08</t>
        </is>
      </c>
      <c r="F184" t="inlineStr">
        <is>
          <t>2026-10-15</t>
        </is>
      </c>
      <c r="G184" t="inlineStr">
        <is>
          <t xml:space="preserve"> - Surfer Suite</t>
        </is>
      </c>
      <c r="H184">
        <f>HYPERLINK("https://booking.roadsurfer.com/es/rally/pick?pickup_date=2026-10-08&amp;return_date=2026-10-15&amp;currency=EUR&amp;startStation=22&amp;endStation=35",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2026-10-22</t>
        </is>
      </c>
      <c r="F185" t="inlineStr">
        <is>
          <t>2026-10-29</t>
        </is>
      </c>
      <c r="G185" t="inlineStr">
        <is>
          <t xml:space="preserve"> - Surfer Suite</t>
        </is>
      </c>
      <c r="H185">
        <f>HYPERLINK("https://booking.roadsurfer.com/es/rally/pick?pickup_date=2026-10-22&amp;return_date=2026-10-29&amp;currency=EUR&amp;startStation=22&amp;endStation=15",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Lyon</t>
        </is>
      </c>
      <c r="E186" t="inlineStr">
        <is>
          <t>2026-10-12</t>
        </is>
      </c>
      <c r="F186" t="inlineStr">
        <is>
          <t>2026-10-19</t>
        </is>
      </c>
      <c r="G186" t="inlineStr">
        <is>
          <t xml:space="preserve"> - No hay coche</t>
        </is>
      </c>
      <c r="H186">
        <f>HYPERLINK("https://booking.roadsurfer.com/es/rally/pick?pickup_date=2026-10-12&amp;return_date=2026-10-19&amp;currency=EUR&amp;startStation=22&amp;endStation=15",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Lyon</t>
        </is>
      </c>
      <c r="E187" t="inlineStr">
        <is>
          <t>2026-10-05</t>
        </is>
      </c>
      <c r="F187" t="inlineStr">
        <is>
          <t>2026-10-12</t>
        </is>
      </c>
      <c r="G187" t="inlineStr">
        <is>
          <t xml:space="preserve"> - BEACH HOSTEL</t>
        </is>
      </c>
      <c r="H187">
        <f>HYPERLINK("https://booking.roadsurfer.com/es/rally/pick?pickup_date=2026-10-05&amp;return_date=2026-10-12&amp;currency=EUR&amp;startStation=22&amp;endStation=15",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España</t>
        </is>
      </c>
      <c r="D188" t="inlineStr">
        <is>
          <t>Barcelona</t>
        </is>
      </c>
      <c r="E188" t="inlineStr">
        <is>
          <t>2026-10-01</t>
        </is>
      </c>
      <c r="F188" t="inlineStr">
        <is>
          <t>2026-10-08</t>
        </is>
      </c>
      <c r="G188" t="inlineStr">
        <is>
          <t xml:space="preserve"> - Surfer Suite</t>
        </is>
      </c>
      <c r="H188">
        <f>HYPERLINK("https://booking.roadsurfer.com/es/rally/pick?pickup_date=2026-10-01&amp;return_date=2026-10-08&amp;currency=EUR&amp;startStation=22&amp;endStation=17",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España</t>
        </is>
      </c>
      <c r="D189" t="inlineStr">
        <is>
          <t>Barcelona</t>
        </is>
      </c>
      <c r="E189" t="inlineStr">
        <is>
          <t>2026-10-24</t>
        </is>
      </c>
      <c r="F189" t="inlineStr">
        <is>
          <t>2026-10-31</t>
        </is>
      </c>
      <c r="G189" t="inlineStr">
        <is>
          <t xml:space="preserve"> - No hay coche</t>
        </is>
      </c>
      <c r="H189">
        <f>HYPERLINK("https://booking.roadsurfer.com/es/rally/pick?pickup_date=2026-10-24&amp;return_date=2026-10-31&amp;currency=EUR&amp;startStation=22&amp;endStation=17",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España</t>
        </is>
      </c>
      <c r="D190" t="inlineStr">
        <is>
          <t>Bilbao</t>
        </is>
      </c>
      <c r="E190" t="inlineStr">
        <is>
          <t>2026-10-14</t>
        </is>
      </c>
      <c r="F190" t="inlineStr">
        <is>
          <t>2026-10-21</t>
        </is>
      </c>
      <c r="G190" t="inlineStr">
        <is>
          <t xml:space="preserve"> - Surfer Suite</t>
        </is>
      </c>
      <c r="H190">
        <f>HYPERLINK("https://booking.roadsurfer.com/es/rally/pick?pickup_date=2026-10-14&amp;return_date=2026-10-21&amp;currency=EUR&amp;startStation=22&amp;endStation=40",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Italia</t>
        </is>
      </c>
      <c r="D191" t="inlineStr">
        <is>
          <t>Bérgamo</t>
        </is>
      </c>
      <c r="E191" t="inlineStr">
        <is>
          <t>2026-10-05</t>
        </is>
      </c>
      <c r="F191" t="inlineStr">
        <is>
          <t>2026-10-12</t>
        </is>
      </c>
      <c r="G191" t="inlineStr">
        <is>
          <t xml:space="preserve"> - Surfer Suite</t>
        </is>
      </c>
      <c r="H191">
        <f>HYPERLINK("https://booking.roadsurfer.com/es/rally/pick?pickup_date=2026-10-05&amp;return_date=2026-10-12&amp;currency=EUR&amp;startStation=22&amp;endStation=94",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Italia</t>
        </is>
      </c>
      <c r="D192" t="inlineStr">
        <is>
          <t>Bérgamo</t>
        </is>
      </c>
      <c r="E192" t="inlineStr">
        <is>
          <t>2026-10-01</t>
        </is>
      </c>
      <c r="F192" t="inlineStr">
        <is>
          <t>2026-10-08</t>
        </is>
      </c>
      <c r="G192" t="inlineStr">
        <is>
          <t xml:space="preserve"> - Surfer Suite</t>
        </is>
      </c>
      <c r="H192">
        <f>HYPERLINK("https://booking.roadsurfer.com/es/rally/pick?pickup_date=2026-10-01&amp;return_date=2026-10-08&amp;currency=EUR&amp;startStation=22&amp;endStation=94",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Italia</t>
        </is>
      </c>
      <c r="D193" t="inlineStr">
        <is>
          <t>Bérgamo</t>
        </is>
      </c>
      <c r="E193" t="inlineStr">
        <is>
          <t>2026-10-12</t>
        </is>
      </c>
      <c r="F193" t="inlineStr">
        <is>
          <t>2026-10-19</t>
        </is>
      </c>
      <c r="G193" t="inlineStr">
        <is>
          <t xml:space="preserve"> - Surfer Suite</t>
        </is>
      </c>
      <c r="H193">
        <f>HYPERLINK("https://booking.roadsurfer.com/es/rally/pick?pickup_date=2026-10-12&amp;return_date=2026-10-19&amp;currency=EUR&amp;startStation=22&amp;endStation=94",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Italia</t>
        </is>
      </c>
      <c r="D194" t="inlineStr">
        <is>
          <t>Bérgamo</t>
        </is>
      </c>
      <c r="E194" t="inlineStr">
        <is>
          <t>2026-10-30</t>
        </is>
      </c>
      <c r="F194" t="inlineStr">
        <is>
          <t>2026-11-06</t>
        </is>
      </c>
      <c r="G194" t="inlineStr">
        <is>
          <t xml:space="preserve"> - Surfer Suite</t>
        </is>
      </c>
      <c r="H194">
        <f>HYPERLINK("https://booking.roadsurfer.com/es/rally/pick?pickup_date=2026-10-30&amp;return_date=2026-11-06&amp;currency=EUR&amp;startStation=22&amp;endStation=94",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España</t>
        </is>
      </c>
      <c r="D195" t="inlineStr">
        <is>
          <t>Madrid</t>
        </is>
      </c>
      <c r="E195" t="inlineStr">
        <is>
          <t>2026-10-06</t>
        </is>
      </c>
      <c r="F195" t="inlineStr">
        <is>
          <t>2026-10-13</t>
        </is>
      </c>
      <c r="G195" t="inlineStr">
        <is>
          <t xml:space="preserve"> - BEACH HOSTEL</t>
        </is>
      </c>
      <c r="H195">
        <f>HYPERLINK("https://booking.roadsurfer.com/es/rally/pick?pickup_date=2026-10-06&amp;return_date=2026-10-13&amp;currency=EUR&amp;startStation=22&amp;endStation=20",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España</t>
        </is>
      </c>
      <c r="D196" t="inlineStr">
        <is>
          <t>Madrid</t>
        </is>
      </c>
      <c r="E196" t="inlineStr">
        <is>
          <t>2026-10-26</t>
        </is>
      </c>
      <c r="F196" t="inlineStr">
        <is>
          <t>2026-11-02</t>
        </is>
      </c>
      <c r="G196" t="inlineStr">
        <is>
          <t xml:space="preserve"> - No hay coche</t>
        </is>
      </c>
      <c r="H196">
        <f>HYPERLINK("https://booking.roadsurfer.com/es/rally/pick?pickup_date=2026-10-26&amp;return_date=2026-11-02&amp;currency=EUR&amp;startStation=22&amp;endStation=20",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España</t>
        </is>
      </c>
      <c r="D197" t="inlineStr">
        <is>
          <t>Madrid</t>
        </is>
      </c>
      <c r="E197" t="inlineStr">
        <is>
          <t>2026-10-23</t>
        </is>
      </c>
      <c r="F197" t="inlineStr">
        <is>
          <t>2026-10-30</t>
        </is>
      </c>
      <c r="G197" t="inlineStr">
        <is>
          <t xml:space="preserve"> - Surfer Suite</t>
        </is>
      </c>
      <c r="H197">
        <f>HYPERLINK("https://booking.roadsurfer.com/es/rally/pick?pickup_date=2026-10-23&amp;return_date=2026-10-30&amp;currency=EUR&amp;startStation=22&amp;endStation=20",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Francia</t>
        </is>
      </c>
      <c r="D198" t="inlineStr">
        <is>
          <t>Nantes</t>
        </is>
      </c>
      <c r="E198" t="inlineStr">
        <is>
          <t>2026-10-16</t>
        </is>
      </c>
      <c r="F198" t="inlineStr">
        <is>
          <t>2026-10-23</t>
        </is>
      </c>
      <c r="G198" t="inlineStr">
        <is>
          <t xml:space="preserve"> - Camper Cabin</t>
        </is>
      </c>
      <c r="H198">
        <f>HYPERLINK("https://booking.roadsurfer.com/es/rally/pick?pickup_date=2026-10-16&amp;return_date=2026-10-23&amp;currency=EUR&amp;startStation=22&amp;endStation=31",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2026-10-01</t>
        </is>
      </c>
      <c r="F199" t="inlineStr">
        <is>
          <t>2026-10-08</t>
        </is>
      </c>
      <c r="G199" t="inlineStr">
        <is>
          <t xml:space="preserve"> - Surfer Suite</t>
        </is>
      </c>
      <c r="H199">
        <f>HYPERLINK("https://booking.roadsurfer.com/es/rally/pick?pickup_date=2026-10-01&amp;return_date=2026-10-08&amp;currency=EUR&amp;startStation=22&amp;endStation=31",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Burdeos</t>
        </is>
      </c>
      <c r="E200" t="inlineStr">
        <is>
          <t>2026-10-12</t>
        </is>
      </c>
      <c r="F200" t="inlineStr">
        <is>
          <t>2026-10-19</t>
        </is>
      </c>
      <c r="G200" t="inlineStr">
        <is>
          <t xml:space="preserve"> - No hay coche</t>
        </is>
      </c>
      <c r="H200">
        <f>HYPERLINK("https://booking.roadsurfer.com/es/rally/pick?pickup_date=2026-10-12&amp;return_date=2026-10-19&amp;currency=EUR&amp;startStation=22&amp;endStation=13",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Francia</t>
        </is>
      </c>
      <c r="D201" t="inlineStr">
        <is>
          <t>Burdeos</t>
        </is>
      </c>
      <c r="E201" t="inlineStr">
        <is>
          <t>2026-10-21</t>
        </is>
      </c>
      <c r="F201" t="inlineStr">
        <is>
          <t>2026-10-28</t>
        </is>
      </c>
      <c r="G201" t="inlineStr">
        <is>
          <t xml:space="preserve"> - Surfer Suite</t>
        </is>
      </c>
      <c r="H201">
        <f>HYPERLINK("https://booking.roadsurfer.com/es/rally/pick?pickup_date=2026-10-21&amp;return_date=2026-10-28&amp;currency=EUR&amp;startStation=22&amp;endStation=13",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Burdeos</t>
        </is>
      </c>
      <c r="E202" t="inlineStr">
        <is>
          <t>2026-10-10</t>
        </is>
      </c>
      <c r="F202" t="inlineStr">
        <is>
          <t>2026-10-17</t>
        </is>
      </c>
      <c r="G202" t="inlineStr">
        <is>
          <t xml:space="preserve"> - No hay coche</t>
        </is>
      </c>
      <c r="H202">
        <f>HYPERLINK("https://booking.roadsurfer.com/es/rally/pick?pickup_date=2026-10-10&amp;return_date=2026-10-17&amp;currency=EUR&amp;startStation=22&amp;endStation=13",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Francia</t>
        </is>
      </c>
      <c r="D203" t="inlineStr">
        <is>
          <t>Burdeos</t>
        </is>
      </c>
      <c r="E203" t="inlineStr">
        <is>
          <t>2026-10-05</t>
        </is>
      </c>
      <c r="F203" t="inlineStr">
        <is>
          <t>2026-10-12</t>
        </is>
      </c>
      <c r="G203" t="inlineStr">
        <is>
          <t xml:space="preserve"> - Surfer Suite</t>
        </is>
      </c>
      <c r="H203">
        <f>HYPERLINK("https://booking.roadsurfer.com/es/rally/pick?pickup_date=2026-10-05&amp;return_date=2026-10-12&amp;currency=EUR&amp;startStation=22&amp;endStation=13",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2026-10-29</t>
        </is>
      </c>
      <c r="F204" t="inlineStr">
        <is>
          <t>2026-11-05</t>
        </is>
      </c>
      <c r="G204" t="inlineStr">
        <is>
          <t xml:space="preserve"> - Surfer Suite</t>
        </is>
      </c>
      <c r="H204">
        <f>HYPERLINK("https://booking.roadsurfer.com/es/rally/pick?pickup_date=2026-10-29&amp;return_date=2026-11-05&amp;currency=EUR&amp;startStation=22&amp;endStation=13",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Burdeos</t>
        </is>
      </c>
      <c r="E205" t="inlineStr">
        <is>
          <t>2026-10-14</t>
        </is>
      </c>
      <c r="F205" t="inlineStr">
        <is>
          <t>2026-10-21</t>
        </is>
      </c>
      <c r="G205" t="inlineStr">
        <is>
          <t xml:space="preserve"> - Surfer Suite</t>
        </is>
      </c>
      <c r="H205">
        <f>HYPERLINK("https://booking.roadsurfer.com/es/rally/pick?pickup_date=2026-10-14&amp;return_date=2026-10-21&amp;currency=EUR&amp;startStation=22&amp;endStation=13",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Aix-Marsella</t>
        </is>
      </c>
      <c r="E206" t="inlineStr">
        <is>
          <t>2026-10-24</t>
        </is>
      </c>
      <c r="F206" t="inlineStr">
        <is>
          <t>2026-10-31</t>
        </is>
      </c>
      <c r="G206" t="inlineStr">
        <is>
          <t xml:space="preserve"> - No hay coche</t>
        </is>
      </c>
      <c r="H206">
        <f>HYPERLINK("https://booking.roadsurfer.com/es/rally/pick?pickup_date=2026-10-24&amp;return_date=2026-10-31&amp;currency=EUR&amp;startStation=22&amp;endStation=16",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Francia</t>
        </is>
      </c>
      <c r="D207" t="inlineStr">
        <is>
          <t>Aix-Marsella</t>
        </is>
      </c>
      <c r="E207" t="inlineStr">
        <is>
          <t>2026-10-13</t>
        </is>
      </c>
      <c r="F207" t="inlineStr">
        <is>
          <t>2026-10-20</t>
        </is>
      </c>
      <c r="G207" t="inlineStr">
        <is>
          <t xml:space="preserve"> - Surfer Suite</t>
        </is>
      </c>
      <c r="H207">
        <f>HYPERLINK("https://booking.roadsurfer.com/es/rally/pick?pickup_date=2026-10-13&amp;return_date=2026-10-20&amp;currency=EUR&amp;startStation=22&amp;endStation=16", "Clic para verlo en la web de RoadSurfer")</f>
        <v/>
      </c>
    </row>
    <row r="208">
      <c r="A208" t="inlineStr">
        <is>
          <t>Alemania</t>
        </is>
      </c>
      <c r="B208" t="inlineStr">
        <is>
          <t>Marburg</t>
        </is>
      </c>
      <c r="C208" t="inlineStr">
        <is>
          <t>Francia</t>
        </is>
      </c>
      <c r="D208" t="inlineStr">
        <is>
          <t>Niza</t>
        </is>
      </c>
      <c r="E208" t="inlineStr">
        <is>
          <t>2026-10-29</t>
        </is>
      </c>
      <c r="F208" t="inlineStr">
        <is>
          <t>2026-11-05</t>
        </is>
      </c>
      <c r="G208" t="inlineStr">
        <is>
          <t xml:space="preserve"> - Surfer Suite</t>
        </is>
      </c>
      <c r="H208">
        <f>HYPERLINK("https://booking.roadsurfer.com/es/rally/pick?pickup_date=2026-10-29&amp;return_date=2026-11-05&amp;currency=EUR&amp;startStation=22&amp;endStation=88", "Clic para verlo en la web de RoadSurfer")</f>
        <v/>
      </c>
    </row>
    <row r="209">
      <c r="A209" t="inlineStr">
        <is>
          <t>Alemania</t>
        </is>
      </c>
      <c r="B209" t="inlineStr">
        <is>
          <t>Marburg</t>
        </is>
      </c>
      <c r="C209" t="inlineStr">
        <is>
          <t>Francia</t>
        </is>
      </c>
      <c r="D209" t="inlineStr">
        <is>
          <t>París Aeropuerto CDG</t>
        </is>
      </c>
      <c r="E209" t="inlineStr">
        <is>
          <t>2026-10-06</t>
        </is>
      </c>
      <c r="F209" t="inlineStr">
        <is>
          <t>2026-10-13</t>
        </is>
      </c>
      <c r="G209" t="inlineStr">
        <is>
          <t xml:space="preserve"> - Surfer Suite</t>
        </is>
      </c>
      <c r="H209">
        <f>HYPERLINK("https://booking.roadsurfer.com/es/rally/pick?pickup_date=2026-10-06&amp;return_date=2026-10-13&amp;currency=EUR&amp;startStation=22&amp;endStation=48", "Clic para verlo en la web de RoadSurfer")</f>
        <v/>
      </c>
    </row>
    <row r="210">
      <c r="A210" t="inlineStr">
        <is>
          <t>Alemania</t>
        </is>
      </c>
      <c r="B210" t="inlineStr">
        <is>
          <t>Marburg</t>
        </is>
      </c>
      <c r="C210" t="inlineStr">
        <is>
          <t>España</t>
        </is>
      </c>
      <c r="D210" t="inlineStr">
        <is>
          <t>Valencia</t>
        </is>
      </c>
      <c r="E210" t="inlineStr">
        <is>
          <t>2026-09-23</t>
        </is>
      </c>
      <c r="F210" t="inlineStr">
        <is>
          <t>2026-09-30</t>
        </is>
      </c>
      <c r="G210" t="inlineStr">
        <is>
          <t xml:space="preserve"> - BEACH HOSTEL</t>
        </is>
      </c>
      <c r="H210">
        <f>HYPERLINK("https://booking.roadsurfer.com/es/rally/pick?pickup_date=2026-09-23&amp;return_date=2026-09-30&amp;currency=EUR&amp;startStation=22&amp;endStation=38", "Clic para verlo en la web de RoadSurfer")</f>
        <v/>
      </c>
    </row>
    <row r="211">
      <c r="A211" t="inlineStr">
        <is>
          <t>Alemania</t>
        </is>
      </c>
      <c r="B211" t="inlineStr">
        <is>
          <t>Marburg</t>
        </is>
      </c>
      <c r="C211" t="inlineStr">
        <is>
          <t>España</t>
        </is>
      </c>
      <c r="D211" t="inlineStr">
        <is>
          <t>Valencia</t>
        </is>
      </c>
      <c r="E211" t="inlineStr">
        <is>
          <t>2026-10-12</t>
        </is>
      </c>
      <c r="F211" t="inlineStr">
        <is>
          <t>2026-10-19</t>
        </is>
      </c>
      <c r="G211" t="inlineStr">
        <is>
          <t xml:space="preserve"> - Surfer Suite</t>
        </is>
      </c>
      <c r="H211">
        <f>HYPERLINK("https://booking.roadsurfer.com/es/rally/pick?pickup_date=2026-10-12&amp;return_date=2026-10-19&amp;currency=EUR&amp;startStation=22&amp;endStation=38", "Clic para verlo en la web de RoadSurfer")</f>
        <v/>
      </c>
    </row>
    <row r="212">
      <c r="A212" t="inlineStr">
        <is>
          <t>Alemania</t>
        </is>
      </c>
      <c r="B212" t="inlineStr">
        <is>
          <t>Marburg</t>
        </is>
      </c>
      <c r="C212" t="inlineStr">
        <is>
          <t>Francia</t>
        </is>
      </c>
      <c r="D212" t="inlineStr">
        <is>
          <t>Lille</t>
        </is>
      </c>
      <c r="E212" t="inlineStr">
        <is>
          <t>2026-10-12</t>
        </is>
      </c>
      <c r="F212" t="inlineStr">
        <is>
          <t>2026-10-19</t>
        </is>
      </c>
      <c r="G212" t="inlineStr">
        <is>
          <t xml:space="preserve"> - No hay coche</t>
        </is>
      </c>
      <c r="H212">
        <f>HYPERLINK("https://booking.roadsurfer.com/es/rally/pick?pickup_date=2026-10-12&amp;return_date=2026-10-19&amp;currency=EUR&amp;startStation=22&amp;endStation=87", "Clic para verlo en la web de RoadSurfer")</f>
        <v/>
      </c>
    </row>
    <row r="213">
      <c r="A213" t="inlineStr">
        <is>
          <t>Alemania</t>
        </is>
      </c>
      <c r="B213" t="inlineStr">
        <is>
          <t>Marburg</t>
        </is>
      </c>
      <c r="C213" t="inlineStr">
        <is>
          <t>Italia</t>
        </is>
      </c>
      <c r="D213" t="inlineStr">
        <is>
          <t>Florencia</t>
        </is>
      </c>
      <c r="E213" t="inlineStr">
        <is>
          <t>2026-10-09</t>
        </is>
      </c>
      <c r="F213" t="inlineStr">
        <is>
          <t>2026-10-16</t>
        </is>
      </c>
      <c r="G213" t="inlineStr">
        <is>
          <t xml:space="preserve"> - Beach Hostel</t>
        </is>
      </c>
      <c r="H213">
        <f>HYPERLINK("https://booking.roadsurfer.com/es/rally/pick?pickup_date=2026-10-09&amp;return_date=2026-10-16&amp;currency=EUR&amp;startStation=22&amp;endStation=80", "Clic para verlo en la web de RoadSurfer")</f>
        <v/>
      </c>
    </row>
    <row r="214">
      <c r="A214" t="inlineStr">
        <is>
          <t>Alemania</t>
        </is>
      </c>
      <c r="B214" t="inlineStr">
        <is>
          <t>Marburg</t>
        </is>
      </c>
      <c r="C214" t="inlineStr">
        <is>
          <t>España</t>
        </is>
      </c>
      <c r="D214" t="inlineStr">
        <is>
          <t>Málaga</t>
        </is>
      </c>
      <c r="E214" t="inlineStr">
        <is>
          <t>2026-10-23</t>
        </is>
      </c>
      <c r="F214" t="inlineStr">
        <is>
          <t>2026-10-30</t>
        </is>
      </c>
      <c r="G214" t="inlineStr">
        <is>
          <t xml:space="preserve"> - Beach Hostel</t>
        </is>
      </c>
      <c r="H214">
        <f>HYPERLINK("https://booking.roadsurfer.com/es/rally/pick?pickup_date=2026-10-23&amp;return_date=2026-10-30&amp;currency=EUR&amp;startStation=22&amp;endStation=21", "Clic para verlo en la web de RoadSurfer")</f>
        <v/>
      </c>
    </row>
    <row r="215">
      <c r="A215" t="inlineStr">
        <is>
          <t>Alemania</t>
        </is>
      </c>
      <c r="B215" t="inlineStr">
        <is>
          <t>Marburg</t>
        </is>
      </c>
      <c r="C215" t="inlineStr">
        <is>
          <t>Francia</t>
        </is>
      </c>
      <c r="D215" t="inlineStr">
        <is>
          <t>Toulouse</t>
        </is>
      </c>
      <c r="E215" t="inlineStr">
        <is>
          <t>2026-10-24</t>
        </is>
      </c>
      <c r="F215" t="inlineStr">
        <is>
          <t>2026-10-31</t>
        </is>
      </c>
      <c r="G215" t="inlineStr">
        <is>
          <t xml:space="preserve"> - No hay coche</t>
        </is>
      </c>
      <c r="H215">
        <f>HYPERLINK("https://booking.roadsurfer.com/es/rally/pick?pickup_date=2026-10-24&amp;return_date=2026-10-31&amp;currency=EUR&amp;startStation=22&amp;endStation=30", "Clic para verlo en la web de RoadSurfer")</f>
        <v/>
      </c>
    </row>
    <row r="216">
      <c r="A216" t="inlineStr">
        <is>
          <t>Alemania</t>
        </is>
      </c>
      <c r="B216" t="inlineStr">
        <is>
          <t>Marburg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2026-10-29</t>
        </is>
      </c>
      <c r="F216" t="inlineStr">
        <is>
          <t>2026-11-05</t>
        </is>
      </c>
      <c r="G216" t="inlineStr">
        <is>
          <t xml:space="preserve"> - Camper Cabin</t>
        </is>
      </c>
      <c r="H216">
        <f>HYPERLINK("https://booking.roadsurfer.com/es/rally/pick?pickup_date=2026-10-29&amp;return_date=2026-11-05&amp;currency=EUR&amp;startStation=22&amp;endStation=42", "Clic para verlo en la web de RoadSurfer")</f>
        <v/>
      </c>
    </row>
    <row r="217">
      <c r="A217" t="inlineStr">
        <is>
          <t>Alemania</t>
        </is>
      </c>
      <c r="B217" t="inlineStr">
        <is>
          <t>Marburg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2026-10-14</t>
        </is>
      </c>
      <c r="F217" t="inlineStr">
        <is>
          <t>2026-10-21</t>
        </is>
      </c>
      <c r="G217" t="inlineStr">
        <is>
          <t xml:space="preserve"> - Camper Cabin Deluxe</t>
        </is>
      </c>
      <c r="H217">
        <f>HYPERLINK("https://booking.roadsurfer.com/es/rally/pick?pickup_date=2026-10-14&amp;return_date=2026-10-21&amp;currency=EUR&amp;startStation=22&amp;endStation=42", "Clic para verlo en la web de RoadSurfer")</f>
        <v/>
      </c>
    </row>
    <row r="218">
      <c r="A218" t="inlineStr">
        <is>
          <t>Alemania</t>
        </is>
      </c>
      <c r="B218" t="inlineStr">
        <is>
          <t>Marburg</t>
        </is>
      </c>
      <c r="C218" t="inlineStr">
        <is>
          <t>Italia</t>
        </is>
      </c>
      <c r="D218" t="inlineStr">
        <is>
          <t>Bolonia</t>
        </is>
      </c>
      <c r="E218" t="inlineStr">
        <is>
          <t>2026-09-16</t>
        </is>
      </c>
      <c r="F218" t="inlineStr">
        <is>
          <t>2026-09-23</t>
        </is>
      </c>
      <c r="G218" t="inlineStr">
        <is>
          <t xml:space="preserve"> - Couple Cottage</t>
        </is>
      </c>
      <c r="H218">
        <f>HYPERLINK("https://booking.roadsurfer.com/es/rally/pick?pickup_date=2026-09-16&amp;return_date=2026-09-23&amp;currency=EUR&amp;startStation=22&amp;endStation=57", "Clic para verlo en la web de RoadSurfer")</f>
        <v/>
      </c>
    </row>
    <row r="219">
      <c r="A219" t="inlineStr">
        <is>
          <t>Italia</t>
        </is>
      </c>
      <c r="B219" t="inlineStr">
        <is>
          <t>Milán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2026-10-27</t>
        </is>
      </c>
      <c r="F219" t="inlineStr">
        <is>
          <t>2026-11-03</t>
        </is>
      </c>
      <c r="G219" t="inlineStr">
        <is>
          <t xml:space="preserve"> - Surfer Suite - Beach Hostel - Sunrise Suite</t>
        </is>
      </c>
      <c r="H219">
        <f>HYPERLINK("https://booking.roadsurfer.com/es/rally/pick?pickup_date=2026-10-27&amp;return_date=2026-11-03&amp;currency=EUR&amp;startStation=34&amp;endStation=22", "Clic para verlo en la web de RoadSurfer")</f>
        <v/>
      </c>
    </row>
    <row r="220">
      <c r="A220" t="inlineStr">
        <is>
          <t>Italia</t>
        </is>
      </c>
      <c r="B220" t="inlineStr">
        <is>
          <t>Milán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2026-10-28</t>
        </is>
      </c>
      <c r="F220" t="inlineStr">
        <is>
          <t>2026-11-04</t>
        </is>
      </c>
      <c r="G220" t="inlineStr">
        <is>
          <t xml:space="preserve"> - Surfer Suite</t>
        </is>
      </c>
      <c r="H220">
        <f>HYPERLINK("https://booking.roadsurfer.com/es/rally/pick?pickup_date=2026-10-28&amp;return_date=2026-11-04&amp;currency=EUR&amp;startStation=34&amp;endStation=22", "Clic para verlo en la web de RoadSurfer")</f>
        <v/>
      </c>
    </row>
    <row r="221">
      <c r="A221" t="inlineStr">
        <is>
          <t>Alemania</t>
        </is>
      </c>
      <c r="B221" t="inlineStr">
        <is>
          <t>Múnich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2026-10-16</t>
        </is>
      </c>
      <c r="F221" t="inlineStr">
        <is>
          <t>2026-10-23</t>
        </is>
      </c>
      <c r="G221" t="inlineStr">
        <is>
          <t xml:space="preserve"> - Surfer Suite</t>
        </is>
      </c>
      <c r="H221">
        <f>HYPERLINK("https://booking.roadsurfer.com/es/rally/pick?pickup_date=2026-10-16&amp;return_date=2026-10-23&amp;currency=EUR&amp;startStation=1&amp;endStation=20", "Clic para verlo en la web de RoadSurfer")</f>
        <v/>
      </c>
    </row>
    <row r="222">
      <c r="A222" t="inlineStr">
        <is>
          <t>Alemania</t>
        </is>
      </c>
      <c r="B222" t="inlineStr">
        <is>
          <t>Múnich</t>
        </is>
      </c>
      <c r="C222" t="inlineStr">
        <is>
          <t>Francia</t>
        </is>
      </c>
      <c r="D222" t="inlineStr">
        <is>
          <t>París Aeropuerto CDG</t>
        </is>
      </c>
      <c r="E222" t="inlineStr">
        <is>
          <t>2026-10-10</t>
        </is>
      </c>
      <c r="F222" t="inlineStr">
        <is>
          <t>2026-10-17</t>
        </is>
      </c>
      <c r="G222" t="inlineStr">
        <is>
          <t xml:space="preserve"> - Surfer Suite</t>
        </is>
      </c>
      <c r="H222">
        <f>HYPERLINK("https://booking.roadsurfer.com/es/rally/pick?pickup_date=2026-10-10&amp;return_date=2026-10-17&amp;currency=EUR&amp;startStation=1&amp;endStation=48", "Clic para verlo en la web de RoadSurfer")</f>
        <v/>
      </c>
    </row>
    <row r="223">
      <c r="A223" t="inlineStr">
        <is>
          <t>Alemania</t>
        </is>
      </c>
      <c r="B223" t="inlineStr">
        <is>
          <t>Múnich</t>
        </is>
      </c>
      <c r="C223" t="inlineStr">
        <is>
          <t>Italia</t>
        </is>
      </c>
      <c r="D223" t="inlineStr">
        <is>
          <t>Bérgamo</t>
        </is>
      </c>
      <c r="E223" t="inlineStr">
        <is>
          <t>2026-10-19</t>
        </is>
      </c>
      <c r="F223" t="inlineStr">
        <is>
          <t>2026-10-26</t>
        </is>
      </c>
      <c r="G223" t="inlineStr">
        <is>
          <t xml:space="preserve"> - Surfer Suite</t>
        </is>
      </c>
      <c r="H223">
        <f>HYPERLINK("https://booking.roadsurfer.com/es/rally/pick?pickup_date=2026-10-19&amp;return_date=2026-10-26&amp;currency=EUR&amp;startStation=1&amp;endStation=94", "Clic para verlo en la web de RoadSurfer")</f>
        <v/>
      </c>
    </row>
    <row r="224">
      <c r="A224" t="inlineStr">
        <is>
          <t>Alemania</t>
        </is>
      </c>
      <c r="B224" t="inlineStr">
        <is>
          <t>Múnich</t>
        </is>
      </c>
      <c r="C224" t="inlineStr">
        <is>
          <t>Italia</t>
        </is>
      </c>
      <c r="D224" t="inlineStr">
        <is>
          <t>Florencia</t>
        </is>
      </c>
      <c r="E224" t="inlineStr">
        <is>
          <t>2026-10-22</t>
        </is>
      </c>
      <c r="F224" t="inlineStr">
        <is>
          <t>2026-10-29</t>
        </is>
      </c>
      <c r="G224" t="inlineStr">
        <is>
          <t xml:space="preserve"> - Surfer Suite</t>
        </is>
      </c>
      <c r="H224">
        <f>HYPERLINK("https://booking.roadsurfer.com/es/rally/pick?pickup_date=2026-10-22&amp;return_date=2026-10-29&amp;currency=EUR&amp;startStation=1&amp;endStation=80", "Clic para verlo en la web de RoadSurfer")</f>
        <v/>
      </c>
    </row>
    <row r="225">
      <c r="A225" t="inlineStr">
        <is>
          <t>Alemania</t>
        </is>
      </c>
      <c r="B225" t="inlineStr">
        <is>
          <t>Múnich</t>
        </is>
      </c>
      <c r="C225" t="inlineStr">
        <is>
          <t>Francia</t>
        </is>
      </c>
      <c r="D225" t="inlineStr">
        <is>
          <t>Burdeos</t>
        </is>
      </c>
      <c r="E225" t="inlineStr">
        <is>
          <t>2026-10-21</t>
        </is>
      </c>
      <c r="F225" t="inlineStr">
        <is>
          <t>2026-10-28</t>
        </is>
      </c>
      <c r="G225" t="inlineStr">
        <is>
          <t xml:space="preserve"> - Camper Cabin</t>
        </is>
      </c>
      <c r="H225">
        <f>HYPERLINK("https://booking.roadsurfer.com/es/rally/pick?pickup_date=2026-10-21&amp;return_date=2026-10-28&amp;currency=EUR&amp;startStation=1&amp;endStation=13", "Clic para verlo en la web de RoadSurfer")</f>
        <v/>
      </c>
    </row>
    <row r="226">
      <c r="A226" t="inlineStr">
        <is>
          <t>Alemania</t>
        </is>
      </c>
      <c r="B226" t="inlineStr">
        <is>
          <t>Múnich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2026-10-28</t>
        </is>
      </c>
      <c r="F226" t="inlineStr">
        <is>
          <t>2026-11-04</t>
        </is>
      </c>
      <c r="G226" t="inlineStr">
        <is>
          <t xml:space="preserve"> - Surfer Suite</t>
        </is>
      </c>
      <c r="H226">
        <f>HYPERLINK("https://booking.roadsurfer.com/es/rally/pick?pickup_date=2026-10-28&amp;return_date=2026-11-04&amp;currency=EUR&amp;startStation=1&amp;endStation=13", "Clic para verlo en la web de RoadSurfer")</f>
        <v/>
      </c>
    </row>
    <row r="227">
      <c r="A227" t="inlineStr">
        <is>
          <t>Alemania</t>
        </is>
      </c>
      <c r="B227" t="inlineStr">
        <is>
          <t>Múnich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2026-10-10</t>
        </is>
      </c>
      <c r="F227" t="inlineStr">
        <is>
          <t>2026-10-17</t>
        </is>
      </c>
      <c r="G227" t="inlineStr">
        <is>
          <t xml:space="preserve"> - Surfer Suite</t>
        </is>
      </c>
      <c r="H227">
        <f>HYPERLINK("https://booking.roadsurfer.com/es/rally/pick?pickup_date=2026-10-10&amp;return_date=2026-10-17&amp;currency=EUR&amp;startStation=1&amp;endStation=13", "Clic para verlo en la web de RoadSurfer")</f>
        <v/>
      </c>
    </row>
    <row r="228">
      <c r="A228" t="inlineStr">
        <is>
          <t>Alemania</t>
        </is>
      </c>
      <c r="B228" t="inlineStr">
        <is>
          <t>Múnich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2026-10-26</t>
        </is>
      </c>
      <c r="F228" t="inlineStr">
        <is>
          <t>2026-11-02</t>
        </is>
      </c>
      <c r="G228" t="inlineStr">
        <is>
          <t xml:space="preserve"> - Sunrise Suite</t>
        </is>
      </c>
      <c r="H228">
        <f>HYPERLINK("https://booking.roadsurfer.com/es/rally/pick?pickup_date=2026-10-26&amp;return_date=2026-11-02&amp;currency=EUR&amp;startStation=1&amp;endStation=13", "Clic para verlo en la web de RoadSurfer")</f>
        <v/>
      </c>
    </row>
    <row r="229">
      <c r="A229" t="inlineStr">
        <is>
          <t>Alemania</t>
        </is>
      </c>
      <c r="B229" t="inlineStr">
        <is>
          <t>Múnich</t>
        </is>
      </c>
      <c r="C229" t="inlineStr">
        <is>
          <t>Francia</t>
        </is>
      </c>
      <c r="D229" t="inlineStr">
        <is>
          <t>Lyon</t>
        </is>
      </c>
      <c r="E229" t="inlineStr">
        <is>
          <t>2026-10-16</t>
        </is>
      </c>
      <c r="F229" t="inlineStr">
        <is>
          <t>2026-10-23</t>
        </is>
      </c>
      <c r="G229" t="inlineStr">
        <is>
          <t xml:space="preserve"> - Surfer Suite</t>
        </is>
      </c>
      <c r="H229">
        <f>HYPERLINK("https://booking.roadsurfer.com/es/rally/pick?pickup_date=2026-10-16&amp;return_date=2026-10-23&amp;currency=EUR&amp;startStation=1&amp;endStation=15", "Clic para verlo en la web de RoadSurfer")</f>
        <v/>
      </c>
    </row>
    <row r="230">
      <c r="A230" t="inlineStr">
        <is>
          <t>Alemania</t>
        </is>
      </c>
      <c r="B230" t="inlineStr">
        <is>
          <t>Múnich</t>
        </is>
      </c>
      <c r="C230" t="inlineStr">
        <is>
          <t>Italia</t>
        </is>
      </c>
      <c r="D230" t="inlineStr">
        <is>
          <t>Bolonia</t>
        </is>
      </c>
      <c r="E230" t="inlineStr">
        <is>
          <t>2026-10-17</t>
        </is>
      </c>
      <c r="F230" t="inlineStr">
        <is>
          <t>2026-10-24</t>
        </is>
      </c>
      <c r="G230" t="inlineStr">
        <is>
          <t xml:space="preserve"> - Surfer Suite</t>
        </is>
      </c>
      <c r="H230">
        <f>HYPERLINK("https://booking.roadsurfer.com/es/rally/pick?pickup_date=2026-10-17&amp;return_date=2026-10-24&amp;currency=EUR&amp;startStation=1&amp;endStation=57", "Clic para verlo en la web de RoadSurfer")</f>
        <v/>
      </c>
    </row>
    <row r="231">
      <c r="A231" t="inlineStr">
        <is>
          <t>Alemania</t>
        </is>
      </c>
      <c r="B231" t="inlineStr">
        <is>
          <t>Múnich</t>
        </is>
      </c>
      <c r="C231" t="inlineStr">
        <is>
          <t>Francia</t>
        </is>
      </c>
      <c r="D231" t="inlineStr">
        <is>
          <t>Aix-Marsella</t>
        </is>
      </c>
      <c r="E231" t="inlineStr">
        <is>
          <t>2026-10-05</t>
        </is>
      </c>
      <c r="F231" t="inlineStr">
        <is>
          <t>2026-10-12</t>
        </is>
      </c>
      <c r="G231" t="inlineStr">
        <is>
          <t xml:space="preserve"> - Travel Home</t>
        </is>
      </c>
      <c r="H231">
        <f>HYPERLINK("https://booking.roadsurfer.com/es/rally/pick?pickup_date=2026-10-05&amp;return_date=2026-10-12&amp;currency=EUR&amp;startStation=1&amp;endStation=16", "Clic para verlo en la web de RoadSurfer")</f>
        <v/>
      </c>
    </row>
    <row r="232">
      <c r="A232" t="inlineStr">
        <is>
          <t>Alemania</t>
        </is>
      </c>
      <c r="B232" t="inlineStr">
        <is>
          <t>Múnich</t>
        </is>
      </c>
      <c r="C232" t="inlineStr">
        <is>
          <t>Francia</t>
        </is>
      </c>
      <c r="D232" t="inlineStr">
        <is>
          <t>Aix-Marsella</t>
        </is>
      </c>
      <c r="E232" t="inlineStr">
        <is>
          <t>2026-10-08</t>
        </is>
      </c>
      <c r="F232" t="inlineStr">
        <is>
          <t>2026-10-15</t>
        </is>
      </c>
      <c r="G232" t="inlineStr">
        <is>
          <t xml:space="preserve"> - BEACH HOSTEL</t>
        </is>
      </c>
      <c r="H232">
        <f>HYPERLINK("https://booking.roadsurfer.com/es/rally/pick?pickup_date=2026-10-08&amp;return_date=2026-10-15&amp;currency=EUR&amp;startStation=1&amp;endStation=16", "Clic para verlo en la web de RoadSurfer")</f>
        <v/>
      </c>
    </row>
    <row r="233">
      <c r="A233" t="inlineStr">
        <is>
          <t>Alemania</t>
        </is>
      </c>
      <c r="B233" t="inlineStr">
        <is>
          <t>Múnich</t>
        </is>
      </c>
      <c r="C233" t="inlineStr">
        <is>
          <t>Francia</t>
        </is>
      </c>
      <c r="D233" t="inlineStr">
        <is>
          <t>Aix-Marsella</t>
        </is>
      </c>
      <c r="E233" t="inlineStr">
        <is>
          <t>2026-10-09</t>
        </is>
      </c>
      <c r="F233" t="inlineStr">
        <is>
          <t>2026-10-16</t>
        </is>
      </c>
      <c r="G233" t="inlineStr">
        <is>
          <t xml:space="preserve"> - Beach Hostel</t>
        </is>
      </c>
      <c r="H233">
        <f>HYPERLINK("https://booking.roadsurfer.com/es/rally/pick?pickup_date=2026-10-09&amp;return_date=2026-10-16&amp;currency=EUR&amp;startStation=1&amp;endStation=16", "Clic para verlo en la web de RoadSurfer")</f>
        <v/>
      </c>
    </row>
    <row r="234">
      <c r="A234" t="inlineStr">
        <is>
          <t>Alemania</t>
        </is>
      </c>
      <c r="B234" t="inlineStr">
        <is>
          <t>Múnich</t>
        </is>
      </c>
      <c r="C234" t="inlineStr">
        <is>
          <t>Bélgica</t>
        </is>
      </c>
      <c r="D234" t="inlineStr">
        <is>
          <t>Amberes</t>
        </is>
      </c>
      <c r="E234" t="inlineStr">
        <is>
          <t>2026-10-13</t>
        </is>
      </c>
      <c r="F234" t="inlineStr">
        <is>
          <t>2026-10-20</t>
        </is>
      </c>
      <c r="G234" t="inlineStr">
        <is>
          <t xml:space="preserve"> - BEACH HOSTEL</t>
        </is>
      </c>
      <c r="H234">
        <f>HYPERLINK("https://booking.roadsurfer.com/es/rally/pick?pickup_date=2026-10-13&amp;return_date=2026-10-20&amp;currency=EUR&amp;startStation=1&amp;endStation=47", "Clic para verlo en la web de RoadSurfer")</f>
        <v/>
      </c>
    </row>
    <row r="235">
      <c r="A235" t="inlineStr">
        <is>
          <t>Alemania</t>
        </is>
      </c>
      <c r="B235" t="inlineStr">
        <is>
          <t>Múnich</t>
        </is>
      </c>
      <c r="C235" t="inlineStr">
        <is>
          <t>Francia</t>
        </is>
      </c>
      <c r="D235" t="inlineStr">
        <is>
          <t>Ginebra-Pays de Gex (Francia)</t>
        </is>
      </c>
      <c r="E235" t="inlineStr">
        <is>
          <t>2026-10-17</t>
        </is>
      </c>
      <c r="F235" t="inlineStr">
        <is>
          <t>2026-10-24</t>
        </is>
      </c>
      <c r="G235" t="inlineStr">
        <is>
          <t xml:space="preserve"> - Travel Home</t>
        </is>
      </c>
      <c r="H235">
        <f>HYPERLINK("https://booking.roadsurfer.com/es/rally/pick?pickup_date=2026-10-17&amp;return_date=2026-10-24&amp;currency=EUR&amp;startStation=1&amp;endStation=29", "Clic para verlo en la web de RoadSurfer")</f>
        <v/>
      </c>
    </row>
    <row r="236">
      <c r="A236" t="inlineStr">
        <is>
          <t>Francia</t>
        </is>
      </c>
      <c r="B236" t="inlineStr">
        <is>
          <t>Nantes</t>
        </is>
      </c>
      <c r="C236" t="inlineStr">
        <is>
          <t>Alemania</t>
        </is>
      </c>
      <c r="D236" t="inlineStr">
        <is>
          <t>Marburg</t>
        </is>
      </c>
      <c r="E236" t="inlineStr">
        <is>
          <t>2026-10-16</t>
        </is>
      </c>
      <c r="F236" t="inlineStr">
        <is>
          <t>2026-10-23</t>
        </is>
      </c>
      <c r="G236" t="inlineStr">
        <is>
          <t xml:space="preserve"> - Camper Cabin</t>
        </is>
      </c>
      <c r="H236">
        <f>HYPERLINK("https://booking.roadsurfer.com/es/rally/pick?pickup_date=2026-10-16&amp;return_date=2026-10-23&amp;currency=EUR&amp;startStation=31&amp;endStation=22", "Clic para verlo en la web de RoadSurfer")</f>
        <v/>
      </c>
    </row>
    <row r="237">
      <c r="A237" t="inlineStr">
        <is>
          <t>Francia</t>
        </is>
      </c>
      <c r="B237" t="inlineStr">
        <is>
          <t>Nantes</t>
        </is>
      </c>
      <c r="C237" t="inlineStr">
        <is>
          <t>Francia</t>
        </is>
      </c>
      <c r="D237" t="inlineStr">
        <is>
          <t>Ginebra-Pays de Gex (Francia)</t>
        </is>
      </c>
      <c r="E237" t="inlineStr">
        <is>
          <t>2026-09-14</t>
        </is>
      </c>
      <c r="F237" t="inlineStr">
        <is>
          <t>2026-09-21</t>
        </is>
      </c>
      <c r="G237" t="inlineStr">
        <is>
          <t xml:space="preserve"> - No hay coche</t>
        </is>
      </c>
      <c r="H237">
        <f>HYPERLINK("https://booking.roadsurfer.com/es/rally/pick?pickup_date=2026-09-14&amp;return_date=2026-09-21&amp;currency=EUR&amp;startStation=31&amp;endStation=29", "Clic para verlo en la web de RoadSurfer")</f>
        <v/>
      </c>
    </row>
    <row r="238">
      <c r="A238" t="inlineStr">
        <is>
          <t>Francia</t>
        </is>
      </c>
      <c r="B238" t="inlineStr">
        <is>
          <t>Nantes</t>
        </is>
      </c>
      <c r="C238" t="inlineStr">
        <is>
          <t>Francia</t>
        </is>
      </c>
      <c r="D238" t="inlineStr">
        <is>
          <t>Ginebra-Pays de Gex (Francia)</t>
        </is>
      </c>
      <c r="E238" t="inlineStr">
        <is>
          <t>2026-09-15</t>
        </is>
      </c>
      <c r="F238" t="inlineStr">
        <is>
          <t>2026-09-21</t>
        </is>
      </c>
      <c r="G238" t="inlineStr">
        <is>
          <t xml:space="preserve"> - No hay coche</t>
        </is>
      </c>
      <c r="H238">
        <f>HYPERLINK("https://booking.roadsurfer.com/es/rally/pick?pickup_date=2026-09-15&amp;return_date=2026-09-21&amp;currency=EUR&amp;startStation=31&amp;endStation=29", "Clic para verlo en la web de RoadSurfer")</f>
        <v/>
      </c>
    </row>
    <row r="239">
      <c r="A239" t="inlineStr">
        <is>
          <t>Francia</t>
        </is>
      </c>
      <c r="B239" t="inlineStr">
        <is>
          <t>Nantes</t>
        </is>
      </c>
      <c r="C239" t="inlineStr">
        <is>
          <t>Alemania</t>
        </is>
      </c>
      <c r="D239" t="inlineStr">
        <is>
          <t>Stuttgart</t>
        </is>
      </c>
      <c r="E239" t="inlineStr">
        <is>
          <t>2026-10-16</t>
        </is>
      </c>
      <c r="F239" t="inlineStr">
        <is>
          <t>2026-10-23</t>
        </is>
      </c>
      <c r="G239" t="inlineStr">
        <is>
          <t xml:space="preserve"> - Surfer Suite</t>
        </is>
      </c>
      <c r="H239">
        <f>HYPERLINK("https://booking.roadsurfer.com/es/rally/pick?pickup_date=2026-10-16&amp;return_date=2026-10-23&amp;currency=EUR&amp;startStation=31&amp;endStation=5", "Clic para verlo en la web de RoadSurfer")</f>
        <v/>
      </c>
    </row>
    <row r="240">
      <c r="A240" t="inlineStr">
        <is>
          <t>Francia</t>
        </is>
      </c>
      <c r="B240" t="inlineStr">
        <is>
          <t>Nantes</t>
        </is>
      </c>
      <c r="C240" t="inlineStr">
        <is>
          <t>Alemania</t>
        </is>
      </c>
      <c r="D240" t="inlineStr">
        <is>
          <t>Lübeck</t>
        </is>
      </c>
      <c r="E240" t="inlineStr">
        <is>
          <t>2026-09-25</t>
        </is>
      </c>
      <c r="F240" t="inlineStr">
        <is>
          <t>2026-10-02</t>
        </is>
      </c>
      <c r="G240" t="inlineStr">
        <is>
          <t xml:space="preserve"> - Beach Hostel</t>
        </is>
      </c>
      <c r="H240">
        <f>HYPERLINK("https://booking.roadsurfer.com/es/rally/pick?pickup_date=2026-09-25&amp;return_date=2026-10-02&amp;currency=EUR&amp;startStation=31&amp;endStation=109", "Clic para verlo en la web de RoadSurfer")</f>
        <v/>
      </c>
    </row>
    <row r="241">
      <c r="A241" t="inlineStr">
        <is>
          <t>Francia</t>
        </is>
      </c>
      <c r="B241" t="inlineStr">
        <is>
          <t>Niza</t>
        </is>
      </c>
      <c r="C241" t="inlineStr">
        <is>
          <t>Alemania</t>
        </is>
      </c>
      <c r="D241" t="inlineStr">
        <is>
          <t>Duisburgo</t>
        </is>
      </c>
      <c r="E241" t="inlineStr">
        <is>
          <t>2026-10-05</t>
        </is>
      </c>
      <c r="F241" t="inlineStr">
        <is>
          <t>2026-10-12</t>
        </is>
      </c>
      <c r="G241" t="inlineStr">
        <is>
          <t xml:space="preserve"> - Beach Hostel</t>
        </is>
      </c>
      <c r="H241">
        <f>HYPERLINK("https://booking.roadsurfer.com/es/rally/pick?pickup_date=2026-10-05&amp;return_date=2026-10-12&amp;currency=EUR&amp;startStation=88&amp;endStation=113", "Clic para verlo en la web de RoadSurfer")</f>
        <v/>
      </c>
    </row>
    <row r="242">
      <c r="A242" t="inlineStr">
        <is>
          <t>Francia</t>
        </is>
      </c>
      <c r="B242" t="inlineStr">
        <is>
          <t>Niza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2026-10-30</t>
        </is>
      </c>
      <c r="F242" t="inlineStr">
        <is>
          <t>2026-11-06</t>
        </is>
      </c>
      <c r="G242" t="inlineStr">
        <is>
          <t xml:space="preserve"> - Beach Hostel</t>
        </is>
      </c>
      <c r="H242">
        <f>HYPERLINK("https://booking.roadsurfer.com/es/rally/pick?pickup_date=2026-10-30&amp;return_date=2026-11-06&amp;currency=EUR&amp;startStation=88&amp;endStation=22", "Clic para verlo en la web de RoadSurfer")</f>
        <v/>
      </c>
    </row>
    <row r="243">
      <c r="A243" t="inlineStr">
        <is>
          <t>Francia</t>
        </is>
      </c>
      <c r="B243" t="inlineStr">
        <is>
          <t>París Sur (Orly)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2026-10-02</t>
        </is>
      </c>
      <c r="F243" t="inlineStr">
        <is>
          <t>2026-10-09</t>
        </is>
      </c>
      <c r="G243" t="inlineStr">
        <is>
          <t xml:space="preserve"> - Surfer Suite</t>
        </is>
      </c>
      <c r="H243">
        <f>HYPERLINK("https://booking.roadsurfer.com/es/rally/pick?pickup_date=2026-10-02&amp;return_date=2026-10-09&amp;currency=EUR&amp;startStation=12&amp;endStation=22", "Clic para verlo en la web de RoadSurfer")</f>
        <v/>
      </c>
    </row>
    <row r="244">
      <c r="A244" t="inlineStr">
        <is>
          <t>Francia</t>
        </is>
      </c>
      <c r="B244" t="inlineStr">
        <is>
          <t>París Sur (Orly)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2026-10-27</t>
        </is>
      </c>
      <c r="F244" t="inlineStr">
        <is>
          <t>2026-11-03</t>
        </is>
      </c>
      <c r="G244" t="inlineStr">
        <is>
          <t xml:space="preserve"> - Surfer Suite - Camper Cabin Deluxe</t>
        </is>
      </c>
      <c r="H244">
        <f>HYPERLINK("https://booking.roadsurfer.com/es/rally/pick?pickup_date=2026-10-27&amp;return_date=2026-11-03&amp;currency=EUR&amp;startStation=12&amp;endStation=22", "Clic para verlo en la web de RoadSurfer")</f>
        <v/>
      </c>
    </row>
    <row r="245">
      <c r="A245" t="inlineStr">
        <is>
          <t>Francia</t>
        </is>
      </c>
      <c r="B245" t="inlineStr">
        <is>
          <t>París Sur (Orly)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2026-10-29</t>
        </is>
      </c>
      <c r="F245" t="inlineStr">
        <is>
          <t>2026-11-05</t>
        </is>
      </c>
      <c r="G245" t="inlineStr">
        <is>
          <t xml:space="preserve"> - Sunrise Suite</t>
        </is>
      </c>
      <c r="H245">
        <f>HYPERLINK("https://booking.roadsurfer.com/es/rally/pick?pickup_date=2026-10-29&amp;return_date=2026-11-05&amp;currency=EUR&amp;startStation=12&amp;endStation=22", "Clic para verlo en la web de RoadSurfer")</f>
        <v/>
      </c>
    </row>
    <row r="246">
      <c r="A246" t="inlineStr">
        <is>
          <t>Francia</t>
        </is>
      </c>
      <c r="B246" t="inlineStr">
        <is>
          <t>París Sur (Orly)</t>
        </is>
      </c>
      <c r="C246" t="inlineStr">
        <is>
          <t>España</t>
        </is>
      </c>
      <c r="D246" t="inlineStr">
        <is>
          <t>Madrid</t>
        </is>
      </c>
      <c r="E246" t="inlineStr">
        <is>
          <t>2026-09-14</t>
        </is>
      </c>
      <c r="F246" t="inlineStr">
        <is>
          <t>2026-09-21</t>
        </is>
      </c>
      <c r="G246" t="inlineStr">
        <is>
          <t xml:space="preserve"> - Surfer Suite - Road House</t>
        </is>
      </c>
      <c r="H246">
        <f>HYPERLINK("https://booking.roadsurfer.com/es/rally/pick?pickup_date=2026-09-14&amp;return_date=2026-09-21&amp;currency=EUR&amp;startStation=12&amp;endStation=20", "Clic para verlo en la web de RoadSurfer")</f>
        <v/>
      </c>
    </row>
    <row r="247">
      <c r="A247" t="inlineStr">
        <is>
          <t>Francia</t>
        </is>
      </c>
      <c r="B247" t="inlineStr">
        <is>
          <t>París Sur (Orly)</t>
        </is>
      </c>
      <c r="C247" t="inlineStr">
        <is>
          <t>Alemania</t>
        </is>
      </c>
      <c r="D247" t="inlineStr">
        <is>
          <t>Heidelberg</t>
        </is>
      </c>
      <c r="E247" t="inlineStr">
        <is>
          <t>2026-09-21</t>
        </is>
      </c>
      <c r="F247" t="inlineStr">
        <is>
          <t>2026-09-25</t>
        </is>
      </c>
      <c r="G247" t="inlineStr">
        <is>
          <t xml:space="preserve"> - Family Finca</t>
        </is>
      </c>
      <c r="H247">
        <f>HYPERLINK("https://booking.roadsurfer.com/es/rally/pick?pickup_date=2026-09-21&amp;return_date=2026-09-25&amp;currency=EUR&amp;startStation=12&amp;endStation=79", "Clic para verlo en la web de RoadSurfer")</f>
        <v/>
      </c>
    </row>
    <row r="248">
      <c r="A248" t="inlineStr">
        <is>
          <t>Francia</t>
        </is>
      </c>
      <c r="B248" t="inlineStr">
        <is>
          <t>París Aeropuerto CDG</t>
        </is>
      </c>
      <c r="C248" t="inlineStr">
        <is>
          <t>Alemania</t>
        </is>
      </c>
      <c r="D248" t="inlineStr">
        <is>
          <t>Constanza (Aach)</t>
        </is>
      </c>
      <c r="E248" t="inlineStr">
        <is>
          <t>2026-10-07</t>
        </is>
      </c>
      <c r="F248" t="inlineStr">
        <is>
          <t>2026-10-14</t>
        </is>
      </c>
      <c r="G248" t="inlineStr">
        <is>
          <t xml:space="preserve"> - Surfer Suite</t>
        </is>
      </c>
      <c r="H248">
        <f>HYPERLINK("https://booking.roadsurfer.com/es/rally/pick?pickup_date=2026-10-07&amp;return_date=2026-10-14&amp;currency=EUR&amp;startStation=48&amp;endStation=10", "Clic para verlo en la web de RoadSurfer")</f>
        <v/>
      </c>
    </row>
    <row r="249">
      <c r="A249" t="inlineStr">
        <is>
          <t>Francia</t>
        </is>
      </c>
      <c r="B249" t="inlineStr">
        <is>
          <t>París Aeropuerto CDG</t>
        </is>
      </c>
      <c r="C249" t="inlineStr">
        <is>
          <t>Alemania</t>
        </is>
      </c>
      <c r="D249" t="inlineStr">
        <is>
          <t>Marburg</t>
        </is>
      </c>
      <c r="E249" t="inlineStr">
        <is>
          <t>2026-10-26</t>
        </is>
      </c>
      <c r="F249" t="inlineStr">
        <is>
          <t>2026-11-02</t>
        </is>
      </c>
      <c r="G249" t="inlineStr">
        <is>
          <t xml:space="preserve"> - Beach Hostel</t>
        </is>
      </c>
      <c r="H249">
        <f>HYPERLINK("https://booking.roadsurfer.com/es/rally/pick?pickup_date=2026-10-26&amp;return_date=2026-11-02&amp;currency=EUR&amp;startStation=48&amp;endStation=22", "Clic para verlo en la web de RoadSurfer")</f>
        <v/>
      </c>
    </row>
    <row r="250">
      <c r="A250" t="inlineStr">
        <is>
          <t>Francia</t>
        </is>
      </c>
      <c r="B250" t="inlineStr">
        <is>
          <t>París Aeropuerto CDG</t>
        </is>
      </c>
      <c r="C250" t="inlineStr">
        <is>
          <t>Alemania</t>
        </is>
      </c>
      <c r="D250" t="inlineStr">
        <is>
          <t>Marburg</t>
        </is>
      </c>
      <c r="E250" t="inlineStr">
        <is>
          <t>2026-10-28</t>
        </is>
      </c>
      <c r="F250" t="inlineStr">
        <is>
          <t>2026-11-04</t>
        </is>
      </c>
      <c r="G250" t="inlineStr">
        <is>
          <t xml:space="preserve"> - Surfer Suite</t>
        </is>
      </c>
      <c r="H250">
        <f>HYPERLINK("https://booking.roadsurfer.com/es/rally/pick?pickup_date=2026-10-28&amp;return_date=2026-11-04&amp;currency=EUR&amp;startStation=48&amp;endStation=22", "Clic para verlo en la web de RoadSurfer")</f>
        <v/>
      </c>
    </row>
    <row r="251">
      <c r="A251" t="inlineStr">
        <is>
          <t>Alemania</t>
        </is>
      </c>
      <c r="B251" t="inlineStr">
        <is>
          <t>Ratisbona</t>
        </is>
      </c>
      <c r="C251" t="inlineStr">
        <is>
          <t>Alemania</t>
        </is>
      </c>
      <c r="D251" t="inlineStr">
        <is>
          <t>Kassel</t>
        </is>
      </c>
      <c r="E251" t="inlineStr">
        <is>
          <t>2026-09-28</t>
        </is>
      </c>
      <c r="F251" t="inlineStr">
        <is>
          <t>2026-10-05</t>
        </is>
      </c>
      <c r="G251" t="inlineStr">
        <is>
          <t xml:space="preserve"> - Camper Castle</t>
        </is>
      </c>
      <c r="H251">
        <f>HYPERLINK("https://booking.roadsurfer.com/es/rally/pick?pickup_date=2026-09-28&amp;return_date=2026-10-05&amp;currency=EUR&amp;startStation=89&amp;endStation=92", "Clic para verlo en la web de RoadSurfer")</f>
        <v/>
      </c>
    </row>
    <row r="252">
      <c r="A252" t="inlineStr">
        <is>
          <t>Italia</t>
        </is>
      </c>
      <c r="B252" t="inlineStr">
        <is>
          <t>Roma Aeropuerto Fiumicino</t>
        </is>
      </c>
      <c r="C252" t="inlineStr">
        <is>
          <t>Alemania</t>
        </is>
      </c>
      <c r="D252" t="inlineStr">
        <is>
          <t>Constanza (Aach)</t>
        </is>
      </c>
      <c r="E252" t="inlineStr">
        <is>
          <t>2026-10-26</t>
        </is>
      </c>
      <c r="F252" t="inlineStr">
        <is>
          <t>2026-11-02</t>
        </is>
      </c>
      <c r="G252" t="inlineStr">
        <is>
          <t xml:space="preserve"> - Surfer Suite</t>
        </is>
      </c>
      <c r="H252">
        <f>HYPERLINK("https://booking.roadsurfer.com/es/rally/pick?pickup_date=2026-10-26&amp;return_date=2026-11-02&amp;currency=EUR&amp;startStation=35&amp;endStation=10", "Clic para verlo en la web de RoadSurfer")</f>
        <v/>
      </c>
    </row>
    <row r="253">
      <c r="A253" t="inlineStr">
        <is>
          <t>Italia</t>
        </is>
      </c>
      <c r="B253" t="inlineStr">
        <is>
          <t>Roma Aeropuerto Fiumicino</t>
        </is>
      </c>
      <c r="C253" t="inlineStr">
        <is>
          <t>Alemania</t>
        </is>
      </c>
      <c r="D253" t="inlineStr">
        <is>
          <t>Constanza (Aach)</t>
        </is>
      </c>
      <c r="E253" t="inlineStr">
        <is>
          <t>2026-10-27</t>
        </is>
      </c>
      <c r="F253" t="inlineStr">
        <is>
          <t>2026-11-03</t>
        </is>
      </c>
      <c r="G253" t="inlineStr">
        <is>
          <t xml:space="preserve"> - Surfer Suite</t>
        </is>
      </c>
      <c r="H253">
        <f>HYPERLINK("https://booking.roadsurfer.com/es/rally/pick?pickup_date=2026-10-27&amp;return_date=2026-11-03&amp;currency=EUR&amp;startStation=35&amp;endStation=10", "Clic para verlo en la web de RoadSurfer")</f>
        <v/>
      </c>
    </row>
    <row r="254">
      <c r="A254" t="inlineStr">
        <is>
          <t>Países Bajos</t>
        </is>
      </c>
      <c r="B254" t="inlineStr">
        <is>
          <t>Róterdam</t>
        </is>
      </c>
      <c r="C254" t="inlineStr">
        <is>
          <t>Alemania</t>
        </is>
      </c>
      <c r="D254" t="inlineStr">
        <is>
          <t>Fráncfort</t>
        </is>
      </c>
      <c r="E254" t="inlineStr">
        <is>
          <t>2026-10-10</t>
        </is>
      </c>
      <c r="F254" t="inlineStr">
        <is>
          <t>2026-10-17</t>
        </is>
      </c>
      <c r="G254" t="inlineStr">
        <is>
          <t xml:space="preserve"> - Camper Cabin</t>
        </is>
      </c>
      <c r="H254">
        <f>HYPERLINK("https://booking.roadsurfer.com/es/rally/pick?pickup_date=2026-10-10&amp;return_date=2026-10-17&amp;currency=EUR&amp;startStation=33&amp;endStation=2", "Clic para verlo en la web de RoadSurfer")</f>
        <v/>
      </c>
    </row>
    <row r="255">
      <c r="A255" t="inlineStr">
        <is>
          <t>Países Bajos</t>
        </is>
      </c>
      <c r="B255" t="inlineStr">
        <is>
          <t>Róterdam</t>
        </is>
      </c>
      <c r="C255" t="inlineStr">
        <is>
          <t>Alemania</t>
        </is>
      </c>
      <c r="D255" t="inlineStr">
        <is>
          <t>Fráncfort</t>
        </is>
      </c>
      <c r="E255" t="inlineStr">
        <is>
          <t>2026-10-24</t>
        </is>
      </c>
      <c r="F255" t="inlineStr">
        <is>
          <t>2026-10-31</t>
        </is>
      </c>
      <c r="G255" t="inlineStr">
        <is>
          <t xml:space="preserve"> - Surfer Suite - Camper Cabin - Camper Cabin Deluxe</t>
        </is>
      </c>
      <c r="H255">
        <f>HYPERLINK("https://booking.roadsurfer.com/es/rally/pick?pickup_date=2026-10-24&amp;return_date=2026-10-31&amp;currency=EUR&amp;startStation=33&amp;endStation=2", "Clic para verlo en la web de RoadSurfer")</f>
        <v/>
      </c>
    </row>
    <row r="256">
      <c r="A256" t="inlineStr">
        <is>
          <t>Países Bajos</t>
        </is>
      </c>
      <c r="B256" t="inlineStr">
        <is>
          <t>Róterdam</t>
        </is>
      </c>
      <c r="C256" t="inlineStr">
        <is>
          <t>Alemania</t>
        </is>
      </c>
      <c r="D256" t="inlineStr">
        <is>
          <t>Fráncfort</t>
        </is>
      </c>
      <c r="E256" t="inlineStr">
        <is>
          <t>2026-10-16</t>
        </is>
      </c>
      <c r="F256" t="inlineStr">
        <is>
          <t>2026-10-23</t>
        </is>
      </c>
      <c r="G256" t="inlineStr">
        <is>
          <t xml:space="preserve"> - No hay coche</t>
        </is>
      </c>
      <c r="H256">
        <f>HYPERLINK("https://booking.roadsurfer.com/es/rally/pick?pickup_date=2026-10-16&amp;return_date=2026-10-23&amp;currency=EUR&amp;startStation=33&amp;endStation=2", "Clic para verlo en la web de RoadSurfer")</f>
        <v/>
      </c>
    </row>
    <row r="257">
      <c r="A257" t="inlineStr">
        <is>
          <t>Países Bajos</t>
        </is>
      </c>
      <c r="B257" t="inlineStr">
        <is>
          <t>Róterdam</t>
        </is>
      </c>
      <c r="C257" t="inlineStr">
        <is>
          <t>Alemania</t>
        </is>
      </c>
      <c r="D257" t="inlineStr">
        <is>
          <t>Fráncfort</t>
        </is>
      </c>
      <c r="E257" t="inlineStr">
        <is>
          <t>2026-10-23</t>
        </is>
      </c>
      <c r="F257" t="inlineStr">
        <is>
          <t>2026-10-30</t>
        </is>
      </c>
      <c r="G257" t="inlineStr">
        <is>
          <t xml:space="preserve"> - Surfer Suite</t>
        </is>
      </c>
      <c r="H257">
        <f>HYPERLINK("https://booking.roadsurfer.com/es/rally/pick?pickup_date=2026-10-23&amp;return_date=2026-10-30&amp;currency=EUR&amp;startStation=33&amp;endStation=2", "Clic para verlo en la web de RoadSurfer")</f>
        <v/>
      </c>
    </row>
    <row r="258">
      <c r="A258" t="inlineStr">
        <is>
          <t>Países Bajos</t>
        </is>
      </c>
      <c r="B258" t="inlineStr">
        <is>
          <t>Róterdam</t>
        </is>
      </c>
      <c r="C258" t="inlineStr">
        <is>
          <t>Alemania</t>
        </is>
      </c>
      <c r="D258" t="inlineStr">
        <is>
          <t>Fráncfort</t>
        </is>
      </c>
      <c r="E258" t="inlineStr">
        <is>
          <t>2026-10-12</t>
        </is>
      </c>
      <c r="F258" t="inlineStr">
        <is>
          <t>2026-10-19</t>
        </is>
      </c>
      <c r="G258" t="inlineStr">
        <is>
          <t xml:space="preserve"> - Camper Cabin</t>
        </is>
      </c>
      <c r="H258">
        <f>HYPERLINK("https://booking.roadsurfer.com/es/rally/pick?pickup_date=2026-10-12&amp;return_date=2026-10-19&amp;currency=EUR&amp;startStation=33&amp;endStation=2", "Clic para verlo en la web de RoadSurfer")</f>
        <v/>
      </c>
    </row>
    <row r="259">
      <c r="A259" t="inlineStr">
        <is>
          <t>Países Bajos</t>
        </is>
      </c>
      <c r="B259" t="inlineStr">
        <is>
          <t>Róterdam</t>
        </is>
      </c>
      <c r="C259" t="inlineStr">
        <is>
          <t>Alemania</t>
        </is>
      </c>
      <c r="D259" t="inlineStr">
        <is>
          <t>Bremen</t>
        </is>
      </c>
      <c r="E259" t="inlineStr">
        <is>
          <t>2026-10-14</t>
        </is>
      </c>
      <c r="F259" t="inlineStr">
        <is>
          <t>2026-10-21</t>
        </is>
      </c>
      <c r="G259" t="inlineStr">
        <is>
          <t xml:space="preserve"> - Surfer Suite</t>
        </is>
      </c>
      <c r="H259">
        <f>HYPERLINK("https://booking.roadsurfer.com/es/rally/pick?pickup_date=2026-10-14&amp;return_date=2026-10-21&amp;currency=EUR&amp;startStation=33&amp;endStation=55", "Clic para verlo en la web de RoadSurfer")</f>
        <v/>
      </c>
    </row>
    <row r="260">
      <c r="A260" t="inlineStr">
        <is>
          <t>Países Bajos</t>
        </is>
      </c>
      <c r="B260" t="inlineStr">
        <is>
          <t>Róterdam</t>
        </is>
      </c>
      <c r="C260" t="inlineStr">
        <is>
          <t>Alemania</t>
        </is>
      </c>
      <c r="D260" t="inlineStr">
        <is>
          <t>Bremen</t>
        </is>
      </c>
      <c r="E260" t="inlineStr">
        <is>
          <t>2026-10-15</t>
        </is>
      </c>
      <c r="F260" t="inlineStr">
        <is>
          <t>2026-10-22</t>
        </is>
      </c>
      <c r="G260" t="inlineStr">
        <is>
          <t xml:space="preserve"> - Camper Cabin</t>
        </is>
      </c>
      <c r="H260">
        <f>HYPERLINK("https://booking.roadsurfer.com/es/rally/pick?pickup_date=2026-10-15&amp;return_date=2026-10-22&amp;currency=EUR&amp;startStation=33&amp;endStation=55", "Clic para verlo en la web de RoadSurfer")</f>
        <v/>
      </c>
    </row>
    <row r="261">
      <c r="A261" t="inlineStr">
        <is>
          <t>Países Bajos</t>
        </is>
      </c>
      <c r="B261" t="inlineStr">
        <is>
          <t>Róterdam</t>
        </is>
      </c>
      <c r="C261" t="inlineStr">
        <is>
          <t>Alemania</t>
        </is>
      </c>
      <c r="D261" t="inlineStr">
        <is>
          <t>Duisburgo</t>
        </is>
      </c>
      <c r="E261" t="inlineStr">
        <is>
          <t>2026-10-14</t>
        </is>
      </c>
      <c r="F261" t="inlineStr">
        <is>
          <t>2026-10-21</t>
        </is>
      </c>
      <c r="G261" t="inlineStr">
        <is>
          <t xml:space="preserve"> - Surfer Suite</t>
        </is>
      </c>
      <c r="H261">
        <f>HYPERLINK("https://booking.roadsurfer.com/es/rally/pick?pickup_date=2026-10-14&amp;return_date=2026-10-21&amp;currency=EUR&amp;startStation=33&amp;endStation=113", "Clic para verlo en la web de RoadSurfer")</f>
        <v/>
      </c>
    </row>
    <row r="262">
      <c r="A262" t="inlineStr">
        <is>
          <t>EE.UU.</t>
        </is>
      </c>
      <c r="B262" t="inlineStr">
        <is>
          <t>Seattle</t>
        </is>
      </c>
      <c r="C262" t="inlineStr">
        <is>
          <t>EE.UU.</t>
        </is>
      </c>
      <c r="D262" t="inlineStr">
        <is>
          <t>Phoenix</t>
        </is>
      </c>
      <c r="E262" t="inlineStr">
        <is>
          <t>2026-09-28</t>
        </is>
      </c>
      <c r="F262" t="inlineStr">
        <is>
          <t>2026-10-05</t>
        </is>
      </c>
      <c r="G262" t="inlineStr">
        <is>
          <t xml:space="preserve"> - No hay coche</t>
        </is>
      </c>
      <c r="H262">
        <f>HYPERLINK("https://booking.roadsurfer.com/es/rally/pick?pickup_date=2026-09-28&amp;return_date=2026-10-05&amp;currency=EUR&amp;startStation=107&amp;endStation=105", "Clic para verlo en la web de RoadSurfer")</f>
        <v/>
      </c>
    </row>
    <row r="263">
      <c r="A263" t="inlineStr">
        <is>
          <t>España</t>
        </is>
      </c>
      <c r="B263" t="inlineStr">
        <is>
          <t>Sevilla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2026-10-26</t>
        </is>
      </c>
      <c r="F263" t="inlineStr">
        <is>
          <t>2026-11-02</t>
        </is>
      </c>
      <c r="G263" t="inlineStr">
        <is>
          <t xml:space="preserve"> - Surfer Suite</t>
        </is>
      </c>
      <c r="H263">
        <f>HYPERLINK("https://booking.roadsurfer.com/es/rally/pick?pickup_date=2026-10-26&amp;return_date=2026-11-02&amp;currency=EUR&amp;startStation=39&amp;endStation=22", "Clic para verlo en la web de RoadSurfer")</f>
        <v/>
      </c>
    </row>
    <row r="264">
      <c r="A264" t="inlineStr">
        <is>
          <t>España</t>
        </is>
      </c>
      <c r="B264" t="inlineStr">
        <is>
          <t>Sevilla</t>
        </is>
      </c>
      <c r="C264" t="inlineStr">
        <is>
          <t>Alemania</t>
        </is>
      </c>
      <c r="D264" t="inlineStr">
        <is>
          <t>Friburgo-Basilea (Alemania)</t>
        </is>
      </c>
      <c r="E264" t="inlineStr">
        <is>
          <t>2026-10-29</t>
        </is>
      </c>
      <c r="F264" t="inlineStr">
        <is>
          <t>2026-11-05</t>
        </is>
      </c>
      <c r="G264" t="inlineStr">
        <is>
          <t xml:space="preserve"> - Beach Hostel</t>
        </is>
      </c>
      <c r="H264">
        <f>HYPERLINK("https://booking.roadsurfer.com/es/rally/pick?pickup_date=2026-10-29&amp;return_date=2026-11-05&amp;currency=EUR&amp;startStation=39&amp;endStation=9", "Clic para verlo en la web de RoadSurfer")</f>
        <v/>
      </c>
    </row>
    <row r="265">
      <c r="A265" t="inlineStr">
        <is>
          <t>Suecia</t>
        </is>
      </c>
      <c r="B265" t="inlineStr">
        <is>
          <t>Estocolmo</t>
        </is>
      </c>
      <c r="C265" t="inlineStr">
        <is>
          <t>Alemania</t>
        </is>
      </c>
      <c r="D265" t="inlineStr">
        <is>
          <t>Stuttgart</t>
        </is>
      </c>
      <c r="E265" t="inlineStr">
        <is>
          <t>2026-10-12</t>
        </is>
      </c>
      <c r="F265" t="inlineStr">
        <is>
          <t>2026-10-19</t>
        </is>
      </c>
      <c r="G265" t="inlineStr">
        <is>
          <t xml:space="preserve"> - Surfer Suite</t>
        </is>
      </c>
      <c r="H265">
        <f>HYPERLINK("https://booking.roadsurfer.com/es/rally/pick?pickup_date=2026-10-12&amp;return_date=2026-10-19&amp;currency=EUR&amp;startStation=59&amp;endStation=5", "Clic para verlo en la web de RoadSurfer")</f>
        <v/>
      </c>
    </row>
    <row r="266">
      <c r="A266" t="inlineStr">
        <is>
          <t>Suecia</t>
        </is>
      </c>
      <c r="B266" t="inlineStr">
        <is>
          <t>Estocolmo</t>
        </is>
      </c>
      <c r="C266" t="inlineStr">
        <is>
          <t>Alemania</t>
        </is>
      </c>
      <c r="D266" t="inlineStr">
        <is>
          <t>Colonia-Bonn</t>
        </is>
      </c>
      <c r="E266" t="inlineStr">
        <is>
          <t>2026-09-15</t>
        </is>
      </c>
      <c r="F266" t="inlineStr">
        <is>
          <t>2026-09-22</t>
        </is>
      </c>
      <c r="G266" t="inlineStr">
        <is>
          <t xml:space="preserve"> - Camper Castle</t>
        </is>
      </c>
      <c r="H266">
        <f>HYPERLINK("https://booking.roadsurfer.com/es/rally/pick?pickup_date=2026-09-15&amp;return_date=2026-09-22&amp;currency=EUR&amp;startStation=59&amp;endStation=52", "Clic para verlo en la web de RoadSurfer")</f>
        <v/>
      </c>
    </row>
    <row r="267">
      <c r="A267" t="inlineStr">
        <is>
          <t>Suecia</t>
        </is>
      </c>
      <c r="B267" t="inlineStr">
        <is>
          <t>Estocolmo</t>
        </is>
      </c>
      <c r="C267" t="inlineStr">
        <is>
          <t>Alemania</t>
        </is>
      </c>
      <c r="D267" t="inlineStr">
        <is>
          <t>Fráncfort</t>
        </is>
      </c>
      <c r="E267" t="inlineStr">
        <is>
          <t>2026-09-14</t>
        </is>
      </c>
      <c r="F267" t="inlineStr">
        <is>
          <t>2026-09-21</t>
        </is>
      </c>
      <c r="G267" t="inlineStr">
        <is>
          <t xml:space="preserve"> - Camper Castle</t>
        </is>
      </c>
      <c r="H267">
        <f>HYPERLINK("https://booking.roadsurfer.com/es/rally/pick?pickup_date=2026-09-14&amp;return_date=2026-09-21&amp;currency=EUR&amp;startStation=59&amp;endStation=2", "Clic para verlo en la web de RoadSurfer")</f>
        <v/>
      </c>
    </row>
    <row r="268">
      <c r="A268" t="inlineStr">
        <is>
          <t>Suecia</t>
        </is>
      </c>
      <c r="B268" t="inlineStr">
        <is>
          <t>Estocolmo</t>
        </is>
      </c>
      <c r="C268" t="inlineStr">
        <is>
          <t>Alemania</t>
        </is>
      </c>
      <c r="D268" t="inlineStr">
        <is>
          <t>Kassel</t>
        </is>
      </c>
      <c r="E268" t="inlineStr">
        <is>
          <t>2026-09-14</t>
        </is>
      </c>
      <c r="F268" t="inlineStr">
        <is>
          <t>2026-09-21</t>
        </is>
      </c>
      <c r="G268" t="inlineStr">
        <is>
          <t xml:space="preserve"> - Camper Castle</t>
        </is>
      </c>
      <c r="H268">
        <f>HYPERLINK("https://booking.roadsurfer.com/es/rally/pick?pickup_date=2026-09-14&amp;return_date=2026-09-21&amp;currency=EUR&amp;startStation=59&amp;endStation=92", "Clic para verlo en la web de RoadSurfer")</f>
        <v/>
      </c>
    </row>
    <row r="269">
      <c r="A269" t="inlineStr">
        <is>
          <t>Suecia</t>
        </is>
      </c>
      <c r="B269" t="inlineStr">
        <is>
          <t>Estocolmo</t>
        </is>
      </c>
      <c r="C269" t="inlineStr">
        <is>
          <t>Alemania</t>
        </is>
      </c>
      <c r="D269" t="inlineStr">
        <is>
          <t>Núremberg</t>
        </is>
      </c>
      <c r="E269" t="inlineStr">
        <is>
          <t>2026-09-14</t>
        </is>
      </c>
      <c r="F269" t="inlineStr">
        <is>
          <t>2026-09-21</t>
        </is>
      </c>
      <c r="G269" t="inlineStr">
        <is>
          <t xml:space="preserve"> - Cozy Cottage</t>
        </is>
      </c>
      <c r="H269">
        <f>HYPERLINK("https://booking.roadsurfer.com/es/rally/pick?pickup_date=2026-09-14&amp;return_date=2026-09-21&amp;currency=EUR&amp;startStation=59&amp;endStation=11", "Clic para verlo en la web de RoadSurfer")</f>
        <v/>
      </c>
    </row>
    <row r="270">
      <c r="A270" t="inlineStr">
        <is>
          <t>Suecia</t>
        </is>
      </c>
      <c r="B270" t="inlineStr">
        <is>
          <t>Estocolmo</t>
        </is>
      </c>
      <c r="C270" t="inlineStr">
        <is>
          <t>Alemania</t>
        </is>
      </c>
      <c r="D270" t="inlineStr">
        <is>
          <t>Colonia-Düsseldorf</t>
        </is>
      </c>
      <c r="E270" t="inlineStr">
        <is>
          <t>2026-10-19</t>
        </is>
      </c>
      <c r="F270" t="inlineStr">
        <is>
          <t>2026-10-26</t>
        </is>
      </c>
      <c r="G270" t="inlineStr">
        <is>
          <t xml:space="preserve"> - Sunrise Suite</t>
        </is>
      </c>
      <c r="H270">
        <f>HYPERLINK("https://booking.roadsurfer.com/es/rally/pick?pickup_date=2026-10-19&amp;return_date=2026-10-26&amp;currency=EUR&amp;startStation=59&amp;endStation=4", "Clic para verlo en la web de RoadSurfer")</f>
        <v/>
      </c>
    </row>
    <row r="271">
      <c r="A271" t="inlineStr">
        <is>
          <t>Francia</t>
        </is>
      </c>
      <c r="B271" t="inlineStr">
        <is>
          <t>Estrasburgo</t>
        </is>
      </c>
      <c r="C271" t="inlineStr">
        <is>
          <t>Alemania</t>
        </is>
      </c>
      <c r="D271" t="inlineStr">
        <is>
          <t>Karlsruhe</t>
        </is>
      </c>
      <c r="E271" t="inlineStr">
        <is>
          <t>2026-09-28</t>
        </is>
      </c>
      <c r="F271" t="inlineStr">
        <is>
          <t>2026-10-05</t>
        </is>
      </c>
      <c r="G271" t="inlineStr">
        <is>
          <t xml:space="preserve"> - Camper Castle</t>
        </is>
      </c>
      <c r="H271">
        <f>HYPERLINK("https://booking.roadsurfer.com/es/rally/pick?pickup_date=2026-09-28&amp;return_date=2026-10-05&amp;currency=EUR&amp;startStation=49&amp;endStation=110", "Clic para verlo en la web de RoadSurfer")</f>
        <v/>
      </c>
    </row>
    <row r="272">
      <c r="A272" t="inlineStr">
        <is>
          <t>Alemania</t>
        </is>
      </c>
      <c r="B272" t="inlineStr">
        <is>
          <t>Stuttgart</t>
        </is>
      </c>
      <c r="C272" t="inlineStr">
        <is>
          <t>España</t>
        </is>
      </c>
      <c r="D272" t="inlineStr">
        <is>
          <t>Málaga</t>
        </is>
      </c>
      <c r="E272" t="inlineStr">
        <is>
          <t>2026-10-09</t>
        </is>
      </c>
      <c r="F272" t="inlineStr">
        <is>
          <t>2026-10-16</t>
        </is>
      </c>
      <c r="G272" t="inlineStr">
        <is>
          <t xml:space="preserve"> - Surfer Suite</t>
        </is>
      </c>
      <c r="H272">
        <f>HYPERLINK("https://booking.roadsurfer.com/es/rally/pick?pickup_date=2026-10-09&amp;return_date=2026-10-16&amp;currency=EUR&amp;startStation=5&amp;endStation=21", "Clic para verlo en la web de RoadSurfer")</f>
        <v/>
      </c>
    </row>
    <row r="273">
      <c r="A273" t="inlineStr">
        <is>
          <t>Alemania</t>
        </is>
      </c>
      <c r="B273" t="inlineStr">
        <is>
          <t>Stuttgart</t>
        </is>
      </c>
      <c r="C273" t="inlineStr">
        <is>
          <t>España</t>
        </is>
      </c>
      <c r="D273" t="inlineStr">
        <is>
          <t>Málaga</t>
        </is>
      </c>
      <c r="E273" t="inlineStr">
        <is>
          <t>2026-10-20</t>
        </is>
      </c>
      <c r="F273" t="inlineStr">
        <is>
          <t>2026-10-27</t>
        </is>
      </c>
      <c r="G273" t="inlineStr">
        <is>
          <t xml:space="preserve"> - SURFER SUITE</t>
        </is>
      </c>
      <c r="H273">
        <f>HYPERLINK("https://booking.roadsurfer.com/es/rally/pick?pickup_date=2026-10-20&amp;return_date=2026-10-27&amp;currency=EUR&amp;startStation=5&amp;endStation=21", "Clic para verlo en la web de RoadSurfer")</f>
        <v/>
      </c>
    </row>
    <row r="274">
      <c r="A274" t="inlineStr">
        <is>
          <t>Alemania</t>
        </is>
      </c>
      <c r="B274" t="inlineStr">
        <is>
          <t>Stuttgart</t>
        </is>
      </c>
      <c r="C274" t="inlineStr">
        <is>
          <t>Italia</t>
        </is>
      </c>
      <c r="D274" t="inlineStr">
        <is>
          <t>Bérgamo</t>
        </is>
      </c>
      <c r="E274" t="inlineStr">
        <is>
          <t>2026-10-28</t>
        </is>
      </c>
      <c r="F274" t="inlineStr">
        <is>
          <t>2026-11-04</t>
        </is>
      </c>
      <c r="G274" t="inlineStr">
        <is>
          <t xml:space="preserve"> - Surfer Suite</t>
        </is>
      </c>
      <c r="H274">
        <f>HYPERLINK("https://booking.roadsurfer.com/es/rally/pick?pickup_date=2026-10-28&amp;return_date=2026-11-04&amp;currency=EUR&amp;startStation=5&amp;endStation=94", "Clic para verlo en la web de RoadSurfer")</f>
        <v/>
      </c>
    </row>
    <row r="275">
      <c r="A275" t="inlineStr">
        <is>
          <t>Alemania</t>
        </is>
      </c>
      <c r="B275" t="inlineStr">
        <is>
          <t>Stuttgart</t>
        </is>
      </c>
      <c r="C275" t="inlineStr">
        <is>
          <t>Italia</t>
        </is>
      </c>
      <c r="D275" t="inlineStr">
        <is>
          <t>Bérgamo</t>
        </is>
      </c>
      <c r="E275" t="inlineStr">
        <is>
          <t>2026-10-05</t>
        </is>
      </c>
      <c r="F275" t="inlineStr">
        <is>
          <t>2026-10-12</t>
        </is>
      </c>
      <c r="G275" t="inlineStr">
        <is>
          <t xml:space="preserve"> - Surfer Suite</t>
        </is>
      </c>
      <c r="H275">
        <f>HYPERLINK("https://booking.roadsurfer.com/es/rally/pick?pickup_date=2026-10-05&amp;return_date=2026-10-12&amp;currency=EUR&amp;startStation=5&amp;endStation=94", "Clic para verlo en la web de RoadSurfer")</f>
        <v/>
      </c>
    </row>
    <row r="276">
      <c r="A276" t="inlineStr">
        <is>
          <t>Alemania</t>
        </is>
      </c>
      <c r="B276" t="inlineStr">
        <is>
          <t>Stuttgart</t>
        </is>
      </c>
      <c r="C276" t="inlineStr">
        <is>
          <t>Italia</t>
        </is>
      </c>
      <c r="D276" t="inlineStr">
        <is>
          <t>Florencia</t>
        </is>
      </c>
      <c r="E276" t="inlineStr">
        <is>
          <t>2026-10-24</t>
        </is>
      </c>
      <c r="F276" t="inlineStr">
        <is>
          <t>2026-10-31</t>
        </is>
      </c>
      <c r="G276" t="inlineStr">
        <is>
          <t xml:space="preserve"> - Surfer Suite</t>
        </is>
      </c>
      <c r="H276">
        <f>HYPERLINK("https://booking.roadsurfer.com/es/rally/pick?pickup_date=2026-10-24&amp;return_date=2026-10-31&amp;currency=EUR&amp;startStation=5&amp;endStation=80", "Clic para verlo en la web de RoadSurfer")</f>
        <v/>
      </c>
    </row>
    <row r="277">
      <c r="A277" t="inlineStr">
        <is>
          <t>Alemania</t>
        </is>
      </c>
      <c r="B277" t="inlineStr">
        <is>
          <t>Stuttgart</t>
        </is>
      </c>
      <c r="C277" t="inlineStr">
        <is>
          <t>Italia</t>
        </is>
      </c>
      <c r="D277" t="inlineStr">
        <is>
          <t>Florencia</t>
        </is>
      </c>
      <c r="E277" t="inlineStr">
        <is>
          <t>2026-10-02</t>
        </is>
      </c>
      <c r="F277" t="inlineStr">
        <is>
          <t>2026-10-09</t>
        </is>
      </c>
      <c r="G277" t="inlineStr">
        <is>
          <t xml:space="preserve"> - Surfer Suite</t>
        </is>
      </c>
      <c r="H277">
        <f>HYPERLINK("https://booking.roadsurfer.com/es/rally/pick?pickup_date=2026-10-02&amp;return_date=2026-10-09&amp;currency=EUR&amp;startStation=5&amp;endStation=80", "Clic para verlo en la web de RoadSurfer")</f>
        <v/>
      </c>
    </row>
    <row r="278">
      <c r="A278" t="inlineStr">
        <is>
          <t>Alemania</t>
        </is>
      </c>
      <c r="B278" t="inlineStr">
        <is>
          <t>Stuttgart</t>
        </is>
      </c>
      <c r="C278" t="inlineStr">
        <is>
          <t>España</t>
        </is>
      </c>
      <c r="D278" t="inlineStr">
        <is>
          <t>Sevilla</t>
        </is>
      </c>
      <c r="E278" t="inlineStr">
        <is>
          <t>2026-10-27</t>
        </is>
      </c>
      <c r="F278" t="inlineStr">
        <is>
          <t>2026-11-03</t>
        </is>
      </c>
      <c r="G278" t="inlineStr">
        <is>
          <t xml:space="preserve"> - Surfer Suite</t>
        </is>
      </c>
      <c r="H278">
        <f>HYPERLINK("https://booking.roadsurfer.com/es/rally/pick?pickup_date=2026-10-27&amp;return_date=2026-11-03&amp;currency=EUR&amp;startStation=5&amp;endStation=39", "Clic para verlo en la web de RoadSurfer")</f>
        <v/>
      </c>
    </row>
    <row r="279">
      <c r="A279" t="inlineStr">
        <is>
          <t>Alemania</t>
        </is>
      </c>
      <c r="B279" t="inlineStr">
        <is>
          <t>Stuttgart</t>
        </is>
      </c>
      <c r="C279" t="inlineStr">
        <is>
          <t>España</t>
        </is>
      </c>
      <c r="D279" t="inlineStr">
        <is>
          <t>Sevilla</t>
        </is>
      </c>
      <c r="E279" t="inlineStr">
        <is>
          <t>2026-10-10</t>
        </is>
      </c>
      <c r="F279" t="inlineStr">
        <is>
          <t>2026-10-17</t>
        </is>
      </c>
      <c r="G279" t="inlineStr">
        <is>
          <t xml:space="preserve"> - Surfer Suite</t>
        </is>
      </c>
      <c r="H279">
        <f>HYPERLINK("https://booking.roadsurfer.com/es/rally/pick?pickup_date=2026-10-10&amp;return_date=2026-10-17&amp;currency=EUR&amp;startStation=5&amp;endStation=39", "Clic para verlo en la web de RoadSurfer")</f>
        <v/>
      </c>
    </row>
    <row r="280">
      <c r="A280" t="inlineStr">
        <is>
          <t>Alemania</t>
        </is>
      </c>
      <c r="B280" t="inlineStr">
        <is>
          <t>Stuttgart</t>
        </is>
      </c>
      <c r="C280" t="inlineStr">
        <is>
          <t>Francia</t>
        </is>
      </c>
      <c r="D280" t="inlineStr">
        <is>
          <t>Aix-Marsella</t>
        </is>
      </c>
      <c r="E280" t="inlineStr">
        <is>
          <t>2026-10-15</t>
        </is>
      </c>
      <c r="F280" t="inlineStr">
        <is>
          <t>2026-10-22</t>
        </is>
      </c>
      <c r="G280" t="inlineStr">
        <is>
          <t xml:space="preserve"> - Beach Hostel</t>
        </is>
      </c>
      <c r="H280">
        <f>HYPERLINK("https://booking.roadsurfer.com/es/rally/pick?pickup_date=2026-10-15&amp;return_date=2026-10-22&amp;currency=EUR&amp;startStation=5&amp;endStation=16", "Clic para verlo en la web de RoadSurfer")</f>
        <v/>
      </c>
    </row>
    <row r="281">
      <c r="A281" t="inlineStr">
        <is>
          <t>Alemania</t>
        </is>
      </c>
      <c r="B281" t="inlineStr">
        <is>
          <t>Stuttgart</t>
        </is>
      </c>
      <c r="C281" t="inlineStr">
        <is>
          <t>Francia</t>
        </is>
      </c>
      <c r="D281" t="inlineStr">
        <is>
          <t>Aix-Marsella</t>
        </is>
      </c>
      <c r="E281" t="inlineStr">
        <is>
          <t>2026-10-29</t>
        </is>
      </c>
      <c r="F281" t="inlineStr">
        <is>
          <t>2026-11-05</t>
        </is>
      </c>
      <c r="G281" t="inlineStr">
        <is>
          <t xml:space="preserve"> - Surfer Suite</t>
        </is>
      </c>
      <c r="H281">
        <f>HYPERLINK("https://booking.roadsurfer.com/es/rally/pick?pickup_date=2026-10-29&amp;return_date=2026-11-05&amp;currency=EUR&amp;startStation=5&amp;endStation=16", "Clic para verlo en la web de RoadSurfer")</f>
        <v/>
      </c>
    </row>
    <row r="282">
      <c r="A282" t="inlineStr">
        <is>
          <t>Alemania</t>
        </is>
      </c>
      <c r="B282" t="inlineStr">
        <is>
          <t>Stuttgart</t>
        </is>
      </c>
      <c r="C282" t="inlineStr">
        <is>
          <t>Francia</t>
        </is>
      </c>
      <c r="D282" t="inlineStr">
        <is>
          <t>Aix-Marsella</t>
        </is>
      </c>
      <c r="E282" t="inlineStr">
        <is>
          <t>2026-10-12</t>
        </is>
      </c>
      <c r="F282" t="inlineStr">
        <is>
          <t>2026-10-19</t>
        </is>
      </c>
      <c r="G282" t="inlineStr">
        <is>
          <t xml:space="preserve"> - No hay coche</t>
        </is>
      </c>
      <c r="H282">
        <f>HYPERLINK("https://booking.roadsurfer.com/es/rally/pick?pickup_date=2026-10-12&amp;return_date=2026-10-19&amp;currency=EUR&amp;startStation=5&amp;endStation=16", "Clic para verlo en la web de RoadSurfer")</f>
        <v/>
      </c>
    </row>
    <row r="283">
      <c r="A283" t="inlineStr">
        <is>
          <t>Alemania</t>
        </is>
      </c>
      <c r="B283" t="inlineStr">
        <is>
          <t>Stuttgart</t>
        </is>
      </c>
      <c r="C283" t="inlineStr">
        <is>
          <t>Alemania</t>
        </is>
      </c>
      <c r="D283" t="inlineStr">
        <is>
          <t>Bremen</t>
        </is>
      </c>
      <c r="E283" t="inlineStr">
        <is>
          <t>2026-10-26</t>
        </is>
      </c>
      <c r="F283" t="inlineStr">
        <is>
          <t>2026-11-02</t>
        </is>
      </c>
      <c r="G283" t="inlineStr">
        <is>
          <t xml:space="preserve"> - Surfer Suite</t>
        </is>
      </c>
      <c r="H283">
        <f>HYPERLINK("https://booking.roadsurfer.com/es/rally/pick?pickup_date=2026-10-26&amp;return_date=2026-11-02&amp;currency=EUR&amp;startStation=5&amp;endStation=55", "Clic para verlo en la web de RoadSurfer")</f>
        <v/>
      </c>
    </row>
    <row r="284">
      <c r="A284" t="inlineStr">
        <is>
          <t>Alemania</t>
        </is>
      </c>
      <c r="B284" t="inlineStr">
        <is>
          <t>Stuttgart</t>
        </is>
      </c>
      <c r="C284" t="inlineStr">
        <is>
          <t>Italia</t>
        </is>
      </c>
      <c r="D284" t="inlineStr">
        <is>
          <t>Milán</t>
        </is>
      </c>
      <c r="E284" t="inlineStr">
        <is>
          <t>2026-10-17</t>
        </is>
      </c>
      <c r="F284" t="inlineStr">
        <is>
          <t>2026-10-24</t>
        </is>
      </c>
      <c r="G284" t="inlineStr">
        <is>
          <t xml:space="preserve"> - Surfer Suite</t>
        </is>
      </c>
      <c r="H284">
        <f>HYPERLINK("https://booking.roadsurfer.com/es/rally/pick?pickup_date=2026-10-17&amp;return_date=2026-10-24&amp;currency=EUR&amp;startStation=5&amp;endStation=34", "Clic para verlo en la web de RoadSurfer")</f>
        <v/>
      </c>
    </row>
    <row r="285">
      <c r="A285" t="inlineStr">
        <is>
          <t>Alemania</t>
        </is>
      </c>
      <c r="B285" t="inlineStr">
        <is>
          <t>Stuttgart</t>
        </is>
      </c>
      <c r="C285" t="inlineStr">
        <is>
          <t>Italia</t>
        </is>
      </c>
      <c r="D285" t="inlineStr">
        <is>
          <t>Turín</t>
        </is>
      </c>
      <c r="E285" t="inlineStr">
        <is>
          <t>2026-10-10</t>
        </is>
      </c>
      <c r="F285" t="inlineStr">
        <is>
          <t>2026-10-17</t>
        </is>
      </c>
      <c r="G285" t="inlineStr">
        <is>
          <t xml:space="preserve"> - SURFER SUITE</t>
        </is>
      </c>
      <c r="H285">
        <f>HYPERLINK("https://booking.roadsurfer.com/es/rally/pick?pickup_date=2026-10-10&amp;return_date=2026-10-17&amp;currency=EUR&amp;startStation=5&amp;endStation=58", "Clic para verlo en la web de RoadSurfer")</f>
        <v/>
      </c>
    </row>
    <row r="286">
      <c r="A286" t="inlineStr">
        <is>
          <t>Alemania</t>
        </is>
      </c>
      <c r="B286" t="inlineStr">
        <is>
          <t>Stuttgart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2026-10-30</t>
        </is>
      </c>
      <c r="F286" t="inlineStr">
        <is>
          <t>2026-11-06</t>
        </is>
      </c>
      <c r="G286" t="inlineStr">
        <is>
          <t xml:space="preserve"> - Beach Hostel</t>
        </is>
      </c>
      <c r="H286">
        <f>HYPERLINK("https://booking.roadsurfer.com/es/rally/pick?pickup_date=2026-10-30&amp;return_date=2026-11-06&amp;currency=EUR&amp;startStation=5&amp;endStation=13", "Clic para verlo en la web de RoadSurfer")</f>
        <v/>
      </c>
    </row>
    <row r="287">
      <c r="A287" t="inlineStr">
        <is>
          <t>Alemania</t>
        </is>
      </c>
      <c r="B287" t="inlineStr">
        <is>
          <t>Stuttgart</t>
        </is>
      </c>
      <c r="C287" t="inlineStr">
        <is>
          <t>Francia</t>
        </is>
      </c>
      <c r="D287" t="inlineStr">
        <is>
          <t>París Sur (Orly)</t>
        </is>
      </c>
      <c r="E287" t="inlineStr">
        <is>
          <t>2026-12-01</t>
        </is>
      </c>
      <c r="F287" t="inlineStr">
        <is>
          <t>2026-12-08</t>
        </is>
      </c>
      <c r="G287" t="inlineStr">
        <is>
          <t xml:space="preserve"> - Beach Hostel</t>
        </is>
      </c>
      <c r="H287">
        <f>HYPERLINK("https://booking.roadsurfer.com/es/rally/pick?pickup_date=2026-12-01&amp;return_date=2026-12-08&amp;currency=EUR&amp;startStation=5&amp;endStation=12", "Clic para verlo en la web de RoadSurfer")</f>
        <v/>
      </c>
    </row>
    <row r="288">
      <c r="A288" t="inlineStr">
        <is>
          <t>Alemania</t>
        </is>
      </c>
      <c r="B288" t="inlineStr">
        <is>
          <t>Stuttgart</t>
        </is>
      </c>
      <c r="C288" t="inlineStr">
        <is>
          <t>Francia</t>
        </is>
      </c>
      <c r="D288" t="inlineStr">
        <is>
          <t>Nantes</t>
        </is>
      </c>
      <c r="E288" t="inlineStr">
        <is>
          <t>2026-10-17</t>
        </is>
      </c>
      <c r="F288" t="inlineStr">
        <is>
          <t>2026-10-24</t>
        </is>
      </c>
      <c r="G288" t="inlineStr">
        <is>
          <t xml:space="preserve"> - Beach Hostel</t>
        </is>
      </c>
      <c r="H288">
        <f>HYPERLINK("https://booking.roadsurfer.com/es/rally/pick?pickup_date=2026-10-17&amp;return_date=2026-10-24&amp;currency=EUR&amp;startStation=5&amp;endStation=31", "Clic para verlo en la web de RoadSurfer")</f>
        <v/>
      </c>
    </row>
    <row r="289">
      <c r="A289" t="inlineStr">
        <is>
          <t>Alemania</t>
        </is>
      </c>
      <c r="B289" t="inlineStr">
        <is>
          <t>Stuttgart</t>
        </is>
      </c>
      <c r="C289" t="inlineStr">
        <is>
          <t>Francia</t>
        </is>
      </c>
      <c r="D289" t="inlineStr">
        <is>
          <t>París Aeropuerto CDG</t>
        </is>
      </c>
      <c r="E289" t="inlineStr">
        <is>
          <t>2026-10-27</t>
        </is>
      </c>
      <c r="F289" t="inlineStr">
        <is>
          <t>2026-11-03</t>
        </is>
      </c>
      <c r="G289" t="inlineStr">
        <is>
          <t xml:space="preserve"> - Camper Cabin Deluxe</t>
        </is>
      </c>
      <c r="H289">
        <f>HYPERLINK("https://booking.roadsurfer.com/es/rally/pick?pickup_date=2026-10-27&amp;return_date=2026-11-03&amp;currency=EUR&amp;startStation=5&amp;endStation=48", "Clic para verlo en la web de RoadSurfer")</f>
        <v/>
      </c>
    </row>
    <row r="290">
      <c r="A290" t="inlineStr">
        <is>
          <t>Alemania</t>
        </is>
      </c>
      <c r="B290" t="inlineStr">
        <is>
          <t>Stuttgart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2026-10-19</t>
        </is>
      </c>
      <c r="F290" t="inlineStr">
        <is>
          <t>2026-10-26</t>
        </is>
      </c>
      <c r="G290" t="inlineStr">
        <is>
          <t xml:space="preserve"> - Camper Cabin Deluxe</t>
        </is>
      </c>
      <c r="H290">
        <f>HYPERLINK("https://booking.roadsurfer.com/es/rally/pick?pickup_date=2026-10-19&amp;return_date=2026-10-26&amp;currency=EUR&amp;startStation=5&amp;endStation=29", "Clic para verlo en la web de RoadSurfer")</f>
        <v/>
      </c>
    </row>
    <row r="291">
      <c r="A291" t="inlineStr">
        <is>
          <t>Francia</t>
        </is>
      </c>
      <c r="B291" t="inlineStr">
        <is>
          <t>Toulouse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2026-10-06</t>
        </is>
      </c>
      <c r="F291" t="inlineStr">
        <is>
          <t>2026-10-13</t>
        </is>
      </c>
      <c r="G291" t="inlineStr">
        <is>
          <t xml:space="preserve"> - Surfer Suite</t>
        </is>
      </c>
      <c r="H291">
        <f>HYPERLINK("https://booking.roadsurfer.com/es/rally/pick?pickup_date=2026-10-06&amp;return_date=2026-10-13&amp;currency=EUR&amp;startStation=30&amp;endStation=22", "Clic para verlo en la web de RoadSurfer")</f>
        <v/>
      </c>
    </row>
    <row r="292">
      <c r="A292" t="inlineStr">
        <is>
          <t>Francia</t>
        </is>
      </c>
      <c r="B292" t="inlineStr">
        <is>
          <t>Toulouse</t>
        </is>
      </c>
      <c r="C292" t="inlineStr">
        <is>
          <t>Alemania</t>
        </is>
      </c>
      <c r="D292" t="inlineStr">
        <is>
          <t>Stuttgart</t>
        </is>
      </c>
      <c r="E292" t="inlineStr">
        <is>
          <t>2026-10-29</t>
        </is>
      </c>
      <c r="F292" t="inlineStr">
        <is>
          <t>2026-11-05</t>
        </is>
      </c>
      <c r="G292" t="inlineStr">
        <is>
          <t xml:space="preserve"> - Surfer Suite</t>
        </is>
      </c>
      <c r="H292">
        <f>HYPERLINK("https://booking.roadsurfer.com/es/rally/pick?pickup_date=2026-10-29&amp;return_date=2026-11-05&amp;currency=EUR&amp;startStation=30&amp;endStation=5", "Clic para verlo en la web de RoadSurfer")</f>
        <v/>
      </c>
    </row>
    <row r="293">
      <c r="A293" t="inlineStr">
        <is>
          <t>Italia</t>
        </is>
      </c>
      <c r="B293" t="inlineStr">
        <is>
          <t>Turín</t>
        </is>
      </c>
      <c r="C293" t="inlineStr">
        <is>
          <t>Alemania</t>
        </is>
      </c>
      <c r="D293" t="inlineStr">
        <is>
          <t>Múnich</t>
        </is>
      </c>
      <c r="E293" t="inlineStr">
        <is>
          <t>2026-10-28</t>
        </is>
      </c>
      <c r="F293" t="inlineStr">
        <is>
          <t>2026-11-04</t>
        </is>
      </c>
      <c r="G293" t="inlineStr">
        <is>
          <t xml:space="preserve"> - Beach Hostel</t>
        </is>
      </c>
      <c r="H293">
        <f>HYPERLINK("https://booking.roadsurfer.com/es/rally/pick?pickup_date=2026-10-28&amp;return_date=2026-11-04&amp;currency=EUR&amp;startStation=58&amp;endStation=1", "Clic para verlo en la web de RoadSurfer")</f>
        <v/>
      </c>
    </row>
    <row r="294">
      <c r="A294" t="inlineStr">
        <is>
          <t>Italia</t>
        </is>
      </c>
      <c r="B294" t="inlineStr">
        <is>
          <t>Turín</t>
        </is>
      </c>
      <c r="C294" t="inlineStr">
        <is>
          <t>Alemania</t>
        </is>
      </c>
      <c r="D294" t="inlineStr">
        <is>
          <t>Múnich</t>
        </is>
      </c>
      <c r="E294" t="inlineStr">
        <is>
          <t>2026-10-27</t>
        </is>
      </c>
      <c r="F294" t="inlineStr">
        <is>
          <t>2026-11-03</t>
        </is>
      </c>
      <c r="G294" t="inlineStr">
        <is>
          <t xml:space="preserve"> - Surfer Suite</t>
        </is>
      </c>
      <c r="H294">
        <f>HYPERLINK("https://booking.roadsurfer.com/es/rally/pick?pickup_date=2026-10-27&amp;return_date=2026-11-03&amp;currency=EUR&amp;startStation=58&amp;endStation=1", "Clic para verlo en la web de RoadSurfer")</f>
        <v/>
      </c>
    </row>
    <row r="295">
      <c r="A295" t="inlineStr">
        <is>
          <t>España</t>
        </is>
      </c>
      <c r="B295" t="inlineStr">
        <is>
          <t>Valencia</t>
        </is>
      </c>
      <c r="C295" t="inlineStr">
        <is>
          <t>Alemania</t>
        </is>
      </c>
      <c r="D295" t="inlineStr">
        <is>
          <t>Stuttgart</t>
        </is>
      </c>
      <c r="E295" t="inlineStr">
        <is>
          <t>2026-10-26</t>
        </is>
      </c>
      <c r="F295" t="inlineStr">
        <is>
          <t>2026-11-02</t>
        </is>
      </c>
      <c r="G295" t="inlineStr">
        <is>
          <t xml:space="preserve"> - Surfer Suite</t>
        </is>
      </c>
      <c r="H295">
        <f>HYPERLINK("https://booking.roadsurfer.com/es/rally/pick?pickup_date=2026-10-26&amp;return_date=2026-11-02&amp;currency=EUR&amp;startStation=38&amp;endStation=5", "Clic para verlo en la web de RoadSurfer")</f>
        <v/>
      </c>
    </row>
    <row r="296">
      <c r="A296" t="inlineStr">
        <is>
          <t>España</t>
        </is>
      </c>
      <c r="B296" t="inlineStr">
        <is>
          <t>Valencia</t>
        </is>
      </c>
      <c r="C296" t="inlineStr">
        <is>
          <t>Alemania</t>
        </is>
      </c>
      <c r="D296" t="inlineStr">
        <is>
          <t>Stuttgart</t>
        </is>
      </c>
      <c r="E296" t="inlineStr">
        <is>
          <t>2026-10-29</t>
        </is>
      </c>
      <c r="F296" t="inlineStr">
        <is>
          <t>2026-11-05</t>
        </is>
      </c>
      <c r="G296" t="inlineStr">
        <is>
          <t xml:space="preserve"> - Beach Hostel</t>
        </is>
      </c>
      <c r="H296">
        <f>HYPERLINK("https://booking.roadsurfer.com/es/rally/pick?pickup_date=2026-10-29&amp;return_date=2026-11-05&amp;currency=EUR&amp;startStation=38&amp;endStation=5", "Clic para verlo en la web de RoadSurfer")</f>
        <v/>
      </c>
    </row>
    <row r="297">
      <c r="A297" t="inlineStr">
        <is>
          <t>España</t>
        </is>
      </c>
      <c r="B297" t="inlineStr">
        <is>
          <t>Valencia</t>
        </is>
      </c>
      <c r="C297" t="inlineStr">
        <is>
          <t>Alemania</t>
        </is>
      </c>
      <c r="D297" t="inlineStr">
        <is>
          <t>Múnich</t>
        </is>
      </c>
      <c r="E297" t="inlineStr">
        <is>
          <t>2026-10-29</t>
        </is>
      </c>
      <c r="F297" t="inlineStr">
        <is>
          <t>2026-11-05</t>
        </is>
      </c>
      <c r="G297" t="inlineStr">
        <is>
          <t xml:space="preserve"> - Surfer Suite</t>
        </is>
      </c>
      <c r="H297">
        <f>HYPERLINK("https://booking.roadsurfer.com/es/rally/pick?pickup_date=2026-10-29&amp;return_date=2026-11-05&amp;currency=EUR&amp;startStation=38&amp;endStation=1", "Clic para verlo en la web de RoadSurfer")</f>
        <v/>
      </c>
    </row>
    <row r="298">
      <c r="A298" t="inlineStr">
        <is>
          <t>España</t>
        </is>
      </c>
      <c r="B298" t="inlineStr">
        <is>
          <t>Valencia</t>
        </is>
      </c>
      <c r="C298" t="inlineStr">
        <is>
          <t>Alemania</t>
        </is>
      </c>
      <c r="D298" t="inlineStr">
        <is>
          <t>Marburg</t>
        </is>
      </c>
      <c r="E298" t="inlineStr">
        <is>
          <t>2026-10-30</t>
        </is>
      </c>
      <c r="F298" t="inlineStr">
        <is>
          <t>2026-11-06</t>
        </is>
      </c>
      <c r="G298" t="inlineStr">
        <is>
          <t xml:space="preserve"> - Family Finca</t>
        </is>
      </c>
      <c r="H298">
        <f>HYPERLINK("https://booking.roadsurfer.com/es/rally/pick?pickup_date=2026-10-30&amp;return_date=2026-11-06&amp;currency=EUR&amp;startStation=38&amp;endStation=22", "Clic para verlo en la web de RoadSurfer")</f>
        <v/>
      </c>
    </row>
    <row r="299">
      <c r="A299" t="inlineStr">
        <is>
          <t>España</t>
        </is>
      </c>
      <c r="B299" t="inlineStr">
        <is>
          <t>Valencia</t>
        </is>
      </c>
      <c r="C299" t="inlineStr">
        <is>
          <t>Alemania</t>
        </is>
      </c>
      <c r="D299" t="inlineStr">
        <is>
          <t>Marburg</t>
        </is>
      </c>
      <c r="E299" t="inlineStr">
        <is>
          <t>2026-10-29</t>
        </is>
      </c>
      <c r="F299" t="inlineStr">
        <is>
          <t>2026-11-05</t>
        </is>
      </c>
      <c r="G299" t="inlineStr">
        <is>
          <t xml:space="preserve"> - Family Finca</t>
        </is>
      </c>
      <c r="H299">
        <f>HYPERLINK("https://booking.roadsurfer.com/es/rally/pick?pickup_date=2026-10-29&amp;return_date=2026-11-05&amp;currency=EUR&amp;startStation=38&amp;endStation=22", "Clic para verlo en la web de RoadSurfer")</f>
        <v/>
      </c>
    </row>
    <row r="300">
      <c r="A300" t="inlineStr">
        <is>
          <t>Italia</t>
        </is>
      </c>
      <c r="B300" t="inlineStr">
        <is>
          <t>Venecia</t>
        </is>
      </c>
      <c r="C300" t="inlineStr">
        <is>
          <t>Alemania</t>
        </is>
      </c>
      <c r="D300" t="inlineStr">
        <is>
          <t>Múnich</t>
        </is>
      </c>
      <c r="E300" t="inlineStr">
        <is>
          <t>2026-10-28</t>
        </is>
      </c>
      <c r="F300" t="inlineStr">
        <is>
          <t>2026-11-04</t>
        </is>
      </c>
      <c r="G300" t="inlineStr">
        <is>
          <t xml:space="preserve"> - Camper Cabin</t>
        </is>
      </c>
      <c r="H300">
        <f>HYPERLINK("https://booking.roadsurfer.com/es/rally/pick?pickup_date=2026-10-28&amp;return_date=2026-11-04&amp;currency=EUR&amp;startStation=78&amp;endStation=1", "Clic para verlo en la web de RoadSurfer")</f>
        <v/>
      </c>
    </row>
    <row r="301">
      <c r="A301" t="inlineStr">
        <is>
          <t>Italia</t>
        </is>
      </c>
      <c r="B301" t="inlineStr">
        <is>
          <t>Venecia</t>
        </is>
      </c>
      <c r="C301" t="inlineStr">
        <is>
          <t>Alemania</t>
        </is>
      </c>
      <c r="D301" t="inlineStr">
        <is>
          <t>Múnich</t>
        </is>
      </c>
      <c r="E301" t="inlineStr">
        <is>
          <t>2026-10-29</t>
        </is>
      </c>
      <c r="F301" t="inlineStr">
        <is>
          <t>2026-11-05</t>
        </is>
      </c>
      <c r="G301" t="inlineStr">
        <is>
          <t xml:space="preserve"> - Camper Cabin Deluxe</t>
        </is>
      </c>
      <c r="H301">
        <f>HYPERLINK("https://booking.roadsurfer.com/es/rally/pick?pickup_date=2026-10-29&amp;return_date=2026-11-05&amp;currency=EUR&amp;startStation=78&amp;endStation=1", "Clic para verlo en la web de RoadSurfer")</f>
        <v/>
      </c>
    </row>
    <row r="302">
      <c r="A302" t="inlineStr">
        <is>
          <t>Italia</t>
        </is>
      </c>
      <c r="B302" t="inlineStr">
        <is>
          <t>Venecia</t>
        </is>
      </c>
      <c r="C302" t="inlineStr">
        <is>
          <t>Alemania</t>
        </is>
      </c>
      <c r="D302" t="inlineStr">
        <is>
          <t>Múnich</t>
        </is>
      </c>
      <c r="E302" t="inlineStr">
        <is>
          <t>2026-10-27</t>
        </is>
      </c>
      <c r="F302" t="inlineStr">
        <is>
          <t>2026-11-03</t>
        </is>
      </c>
      <c r="G302" t="inlineStr">
        <is>
          <t xml:space="preserve"> - Sunrise Suite</t>
        </is>
      </c>
      <c r="H302">
        <f>HYPERLINK("https://booking.roadsurfer.com/es/rally/pick?pickup_date=2026-10-27&amp;return_date=2026-11-03&amp;currency=EUR&amp;startStation=78&amp;endStation=1", "Clic para verlo en la web de RoadSurfer")</f>
        <v/>
      </c>
    </row>
    <row r="303">
      <c r="A303" t="inlineStr">
        <is>
          <t>Italia</t>
        </is>
      </c>
      <c r="B303" t="inlineStr">
        <is>
          <t>Venecia</t>
        </is>
      </c>
      <c r="C303" t="inlineStr">
        <is>
          <t>Alemania</t>
        </is>
      </c>
      <c r="D303" t="inlineStr">
        <is>
          <t>Hamburgo</t>
        </is>
      </c>
      <c r="E303" t="inlineStr">
        <is>
          <t>2026-10-22</t>
        </is>
      </c>
      <c r="F303" t="inlineStr">
        <is>
          <t>2026-10-29</t>
        </is>
      </c>
      <c r="G303" t="inlineStr">
        <is>
          <t xml:space="preserve"> - Surfer Suite</t>
        </is>
      </c>
      <c r="H303">
        <f>HYPERLINK("https://booking.roadsurfer.com/es/rally/pick?pickup_date=2026-10-22&amp;return_date=2026-10-29&amp;currency=EUR&amp;startStation=78&amp;endStation=3", "Clic para verlo en la web de RoadSurfer")</f>
        <v/>
      </c>
    </row>
    <row r="304">
      <c r="A304" t="inlineStr">
        <is>
          <t>Italia</t>
        </is>
      </c>
      <c r="B304" t="inlineStr">
        <is>
          <t>Venecia</t>
        </is>
      </c>
      <c r="C304" t="inlineStr">
        <is>
          <t>Alemania</t>
        </is>
      </c>
      <c r="D304" t="inlineStr">
        <is>
          <t>Bielefeld</t>
        </is>
      </c>
      <c r="E304" t="inlineStr">
        <is>
          <t>2026-10-13</t>
        </is>
      </c>
      <c r="F304" t="inlineStr">
        <is>
          <t>2026-10-20</t>
        </is>
      </c>
      <c r="G304" t="inlineStr">
        <is>
          <t xml:space="preserve"> - No hay coche</t>
        </is>
      </c>
      <c r="H304">
        <f>HYPERLINK("https://booking.roadsurfer.com/es/rally/pick?pickup_date=2026-10-13&amp;return_date=2026-10-20&amp;currency=EUR&amp;startStation=78&amp;endStation=91", "Clic para verlo en la web de RoadSurfer")</f>
        <v/>
      </c>
    </row>
    <row r="305">
      <c r="A305" t="inlineStr">
        <is>
          <t>Alemania</t>
        </is>
      </c>
      <c r="B305" t="inlineStr">
        <is>
          <t>Wurzburgo</t>
        </is>
      </c>
      <c r="C305" t="inlineStr">
        <is>
          <t>Francia</t>
        </is>
      </c>
      <c r="D305" t="inlineStr">
        <is>
          <t>Burdeos</t>
        </is>
      </c>
      <c r="E305" t="inlineStr">
        <is>
          <t>2026-10-30</t>
        </is>
      </c>
      <c r="F305" t="inlineStr">
        <is>
          <t>2026-11-06</t>
        </is>
      </c>
      <c r="G305" t="inlineStr">
        <is>
          <t xml:space="preserve"> - Surfer Suite</t>
        </is>
      </c>
      <c r="H305">
        <f>HYPERLINK("https://booking.roadsurfer.com/es/rally/pick?pickup_date=2026-10-30&amp;return_date=2026-11-06&amp;currency=EUR&amp;startStation=115&amp;endStation=13", "Clic para verlo en la web de RoadSurfer")</f>
        <v/>
      </c>
    </row>
    <row r="306">
      <c r="A306" t="inlineStr">
        <is>
          <t>Alemania</t>
        </is>
      </c>
      <c r="B306" t="inlineStr">
        <is>
          <t>Wurzburgo</t>
        </is>
      </c>
      <c r="C306" t="inlineStr">
        <is>
          <t>Italia</t>
        </is>
      </c>
      <c r="D306" t="inlineStr">
        <is>
          <t>Venecia</t>
        </is>
      </c>
      <c r="E306" t="inlineStr">
        <is>
          <t>2026-10-02</t>
        </is>
      </c>
      <c r="F306" t="inlineStr">
        <is>
          <t>2026-10-09</t>
        </is>
      </c>
      <c r="G306" t="inlineStr">
        <is>
          <t xml:space="preserve"> - Surfer Suite</t>
        </is>
      </c>
      <c r="H306">
        <f>HYPERLINK("https://booking.roadsurfer.com/es/rally/pick?pickup_date=2026-10-02&amp;return_date=2026-10-09&amp;currency=EUR&amp;startStation=115&amp;endStation=78", "Clic para verlo en la web de RoadSurfer")</f>
        <v/>
      </c>
    </row>
    <row r="307">
      <c r="A307" t="inlineStr">
        <is>
          <t>Alemania</t>
        </is>
      </c>
      <c r="B307" t="inlineStr">
        <is>
          <t>Wurzburgo</t>
        </is>
      </c>
      <c r="C307" t="inlineStr">
        <is>
          <t>Italia</t>
        </is>
      </c>
      <c r="D307" t="inlineStr">
        <is>
          <t>Roma Aeropuerto Fiumicino</t>
        </is>
      </c>
      <c r="E307" t="inlineStr">
        <is>
          <t>2026-10-19</t>
        </is>
      </c>
      <c r="F307" t="inlineStr">
        <is>
          <t>2026-10-26</t>
        </is>
      </c>
      <c r="G307" t="inlineStr">
        <is>
          <t xml:space="preserve"> - Surfer Suite</t>
        </is>
      </c>
      <c r="H307">
        <f>HYPERLINK("https://booking.roadsurfer.com/es/rally/pick?pickup_date=2026-10-19&amp;return_date=2026-10-26&amp;currency=EUR&amp;startStation=115&amp;endStation=35", "Clic para verlo en la web de RoadSurfer")</f>
        <v/>
      </c>
    </row>
    <row r="308">
      <c r="A308" t="inlineStr">
        <is>
          <t>Alemania</t>
        </is>
      </c>
      <c r="B308" t="inlineStr">
        <is>
          <t>Wurzburgo</t>
        </is>
      </c>
      <c r="C308" t="inlineStr">
        <is>
          <t>Bélgica</t>
        </is>
      </c>
      <c r="D308" t="inlineStr">
        <is>
          <t>Amberes</t>
        </is>
      </c>
      <c r="E308" t="inlineStr">
        <is>
          <t>2026-10-14</t>
        </is>
      </c>
      <c r="F308" t="inlineStr">
        <is>
          <t>2026-10-21</t>
        </is>
      </c>
      <c r="G308" t="inlineStr">
        <is>
          <t xml:space="preserve"> - Beach Hostel</t>
        </is>
      </c>
      <c r="H308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2026-09-10T22:18:51Z</dcterms:created>
  <dcterms:modified xsi:type="dcterms:W3CDTF">2026-09-10T22:18:51Z</dcterms:modified>
</cp:coreProperties>
</file>