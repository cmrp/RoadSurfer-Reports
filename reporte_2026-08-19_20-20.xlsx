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2026-08-21</t>
        </is>
      </c>
      <c r="F5" t="inlineStr">
        <is>
          <t>2026-08-28</t>
        </is>
      </c>
      <c r="G5" t="inlineStr">
        <is>
          <t xml:space="preserve"> - Surfer Suite</t>
        </is>
      </c>
      <c r="H5">
        <f>HYPERLINK("https://booking.roadsurfer.com/es/rally/pick?pickup_date=2026-08-21&amp;return_date=2026-08-28&amp;currency=EUR&amp;startStation=24&amp;endStation=30",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Surfer Suite</t>
        </is>
      </c>
      <c r="H7">
        <f>HYPERLINK("https://booking.roadsurfer.com/es/rally/pick?pickup_date=2026-09-15&amp;return_date=2026-09-22&amp;currency=EUR&amp;startStation=13&amp;endStation=3",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2026-10-07</t>
        </is>
      </c>
      <c r="F8" t="inlineStr">
        <is>
          <t>2026-10-14</t>
        </is>
      </c>
      <c r="G8" t="inlineStr">
        <is>
          <t xml:space="preserve"> - Road House</t>
        </is>
      </c>
      <c r="H8">
        <f>HYPERLINK("https://booking.roadsurfer.com/es/rally/pick?pickup_date=2026-10-07&amp;return_date=2026-10-14&amp;currency=EUR&amp;startStation=13&amp;endStation=22",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2026-10-25</t>
        </is>
      </c>
      <c r="F9" t="inlineStr">
        <is>
          <t>2026-11-02</t>
        </is>
      </c>
      <c r="G9" t="inlineStr">
        <is>
          <t xml:space="preserve"> - No hay coche</t>
        </is>
      </c>
      <c r="H9">
        <f>HYPERLINK("https://booking.roadsurfer.com/es/rally/pick?pickup_date=2026-10-25&amp;return_date=2026-11-02&amp;currency=EUR&amp;startStation=13&amp;endStation=22",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2026-09-24</t>
        </is>
      </c>
      <c r="F10" t="inlineStr">
        <is>
          <t>2026-10-01</t>
        </is>
      </c>
      <c r="G10" t="inlineStr">
        <is>
          <t xml:space="preserve"> - Road House</t>
        </is>
      </c>
      <c r="H10">
        <f>HYPERLINK("https://booking.roadsurfer.com/es/rally/pick?pickup_date=2026-09-24&amp;return_date=2026-10-01&amp;currency=EUR&amp;startStation=13&amp;endStation=22",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Road House</t>
        </is>
      </c>
      <c r="H14">
        <f>HYPERLINK("https://booking.roadsurfer.com/es/rally/pick?pickup_date=2026-09-25&amp;return_date=2026-10-02&amp;currency=EUR&amp;startStation=13&amp;endStation=22",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2026-10-01</t>
        </is>
      </c>
      <c r="F15" t="inlineStr">
        <is>
          <t>2026-10-08</t>
        </is>
      </c>
      <c r="G15" t="inlineStr">
        <is>
          <t xml:space="preserve"> - Surfer Suite</t>
        </is>
      </c>
      <c r="H15">
        <f>HYPERLINK("https://booking.roadsurfer.com/es/rally/pick?pickup_date=2026-10-01&amp;return_date=2026-10-08&amp;currency=EUR&amp;startStation=13&amp;endStation=2",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Lübeck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HYPERLINK("https://booking.roadsurfer.com/es/rally/pick?pickup_date=2026-09-15&amp;return_date=2026-09-22&amp;currency=EUR&amp;startStation=13&amp;endStation=109",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Constanza (Aach)</t>
        </is>
      </c>
      <c r="E17" t="inlineStr">
        <is>
          <t>2026-10-02</t>
        </is>
      </c>
      <c r="F17" t="inlineStr">
        <is>
          <t>2026-10-09</t>
        </is>
      </c>
      <c r="G17" t="inlineStr">
        <is>
          <t xml:space="preserve"> - Beach Hostel</t>
        </is>
      </c>
      <c r="H17">
        <f>HYPERLINK("https://booking.roadsurfer.com/es/rally/pick?pickup_date=2026-10-02&amp;return_date=2026-10-09&amp;currency=EUR&amp;startStation=13&amp;endStation=10",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Alemania</t>
        </is>
      </c>
      <c r="D18" t="inlineStr">
        <is>
          <t>Wurzburgo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No hay coche</t>
        </is>
      </c>
      <c r="H18">
        <f>HYPERLINK("https://booking.roadsurfer.com/es/rally/pick?pickup_date=2026-09-25&amp;return_date=2026-10-02&amp;currency=EUR&amp;startStation=42&amp;endStation=115", "Clic para verlo en la web de RoadSurfer")</f>
        <v/>
      </c>
    </row>
    <row r="19">
      <c r="A19" t="inlineStr">
        <is>
          <t>Francia</t>
        </is>
      </c>
      <c r="B19" t="inlineStr">
        <is>
          <t>Lille</t>
        </is>
      </c>
      <c r="C19" t="inlineStr">
        <is>
          <t>Alemania</t>
        </is>
      </c>
      <c r="D19" t="inlineStr">
        <is>
          <t>Hannover</t>
        </is>
      </c>
      <c r="E19" t="inlineStr">
        <is>
          <t>2026-09-24</t>
        </is>
      </c>
      <c r="F19" t="inlineStr">
        <is>
          <t>2026-10-01</t>
        </is>
      </c>
      <c r="G19" t="inlineStr">
        <is>
          <t xml:space="preserve"> - Surfer Suite</t>
        </is>
      </c>
      <c r="H19">
        <f>HYPERLINK("https://booking.roadsurfer.com/es/rally/pick?pickup_date=2026-09-24&amp;return_date=2026-10-01&amp;currency=EUR&amp;startStation=87&amp;endStation=7", "Clic para verlo en la web de RoadSurfer")</f>
        <v/>
      </c>
    </row>
    <row r="20">
      <c r="A20" t="inlineStr">
        <is>
          <t>Francia</t>
        </is>
      </c>
      <c r="B20" t="inlineStr">
        <is>
          <t>Lyon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2026-10-12</t>
        </is>
      </c>
      <c r="F20" t="inlineStr">
        <is>
          <t>2026-10-19</t>
        </is>
      </c>
      <c r="G20" t="inlineStr">
        <is>
          <t xml:space="preserve"> - Couple Cottage</t>
        </is>
      </c>
      <c r="H20">
        <f>HYPERLINK("https://booking.roadsurfer.com/es/rally/pick?pickup_date=2026-10-12&amp;return_date=2026-10-19&amp;currency=EUR&amp;startStation=15&amp;endStation=22", "Clic para verlo en la web de RoadSurfer")</f>
        <v/>
      </c>
    </row>
    <row r="21">
      <c r="A21" t="inlineStr">
        <is>
          <t>España</t>
        </is>
      </c>
      <c r="B21" t="inlineStr">
        <is>
          <t>Madrid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2026-10-05</t>
        </is>
      </c>
      <c r="F21" t="inlineStr">
        <is>
          <t>2026-10-12</t>
        </is>
      </c>
      <c r="G21" t="inlineStr">
        <is>
          <t xml:space="preserve"> - No hay coche</t>
        </is>
      </c>
      <c r="H21">
        <f>HYPERLINK("https://booking.roadsurfer.com/es/rally/pick?pickup_date=2026-10-05&amp;return_date=2026-10-12&amp;currency=EUR&amp;startStation=20&amp;endStation=22", "Clic para verlo en la web de RoadSurfer")</f>
        <v/>
      </c>
    </row>
    <row r="22">
      <c r="A22" t="inlineStr">
        <is>
          <t>España</t>
        </is>
      </c>
      <c r="B22" t="inlineStr">
        <is>
          <t>Madrid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Surfer Suite - Couple Cottage - COUPLE COTTAGE</t>
        </is>
      </c>
      <c r="H22">
        <f>HYPERLINK("https://booking.roadsurfer.com/es/rally/pick?pickup_date=2026-09-25&amp;return_date=2026-10-02&amp;currency=EUR&amp;startStation=20&amp;endStation=22", "Clic para verlo en la web de RoadSurfer")</f>
        <v/>
      </c>
    </row>
    <row r="23">
      <c r="A23" t="inlineStr">
        <is>
          <t>España</t>
        </is>
      </c>
      <c r="B23" t="inlineStr">
        <is>
          <t>Madrid</t>
        </is>
      </c>
      <c r="C23" t="inlineStr">
        <is>
          <t>Alemania</t>
        </is>
      </c>
      <c r="D23" t="inlineStr">
        <is>
          <t>Bremen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Beach Hostel</t>
        </is>
      </c>
      <c r="H23">
        <f>HYPERLINK("https://booking.roadsurfer.com/es/rally/pick?pickup_date=2026-09-28&amp;return_date=2026-10-05&amp;currency=EUR&amp;startStation=20&amp;endStation=55", "Clic para verlo en la web de RoadSurfer")</f>
        <v/>
      </c>
    </row>
    <row r="24">
      <c r="A24" t="inlineStr">
        <is>
          <t>España</t>
        </is>
      </c>
      <c r="B24" t="inlineStr">
        <is>
          <t>Madrid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2026-10-20</t>
        </is>
      </c>
      <c r="F24" t="inlineStr">
        <is>
          <t>2026-10-27</t>
        </is>
      </c>
      <c r="G24" t="inlineStr">
        <is>
          <t xml:space="preserve"> - Surfer Suite</t>
        </is>
      </c>
      <c r="H24">
        <f>HYPERLINK("https://booking.roadsurfer.com/es/rally/pick?pickup_date=2026-10-20&amp;return_date=2026-10-27&amp;currency=EUR&amp;startStation=20&amp;endStation=8", "Clic para verlo en la web de RoadSurfer")</f>
        <v/>
      </c>
    </row>
    <row r="25">
      <c r="A25" t="inlineStr">
        <is>
          <t>España</t>
        </is>
      </c>
      <c r="B25" t="inlineStr">
        <is>
          <t>Madrid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2026-10-03</t>
        </is>
      </c>
      <c r="F25" t="inlineStr">
        <is>
          <t>2026-10-10</t>
        </is>
      </c>
      <c r="G25" t="inlineStr">
        <is>
          <t xml:space="preserve"> - Road House</t>
        </is>
      </c>
      <c r="H25">
        <f>HYPERLINK("https://booking.roadsurfer.com/es/rally/pick?pickup_date=2026-10-03&amp;return_date=2026-10-10&amp;currency=EUR&amp;startStation=20&amp;endStation=8", "Clic para verlo en la web de RoadSurfer")</f>
        <v/>
      </c>
    </row>
    <row r="26">
      <c r="A26" t="inlineStr">
        <is>
          <t>Francia</t>
        </is>
      </c>
      <c r="B26" t="inlineStr">
        <is>
          <t>Nantes</t>
        </is>
      </c>
      <c r="C26" t="inlineStr">
        <is>
          <t>Alemania</t>
        </is>
      </c>
      <c r="D26" t="inlineStr">
        <is>
          <t>Hamburgo</t>
        </is>
      </c>
      <c r="E26" t="inlineStr">
        <is>
          <t>2026-09-30</t>
        </is>
      </c>
      <c r="F26" t="inlineStr">
        <is>
          <t>2026-10-07</t>
        </is>
      </c>
      <c r="G26" t="inlineStr">
        <is>
          <t xml:space="preserve"> - Surfer Suite</t>
        </is>
      </c>
      <c r="H26">
        <f>HYPERLINK("https://booking.roadsurfer.com/es/rally/pick?pickup_date=2026-09-30&amp;return_date=2026-10-07&amp;currency=EUR&amp;startStation=31&amp;endStation=3", "Clic para verlo en la web de RoadSurfer")</f>
        <v/>
      </c>
    </row>
    <row r="27">
      <c r="A27" t="inlineStr">
        <is>
          <t>Francia</t>
        </is>
      </c>
      <c r="B27" t="inlineStr">
        <is>
          <t>Nantes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Beach Hostel</t>
        </is>
      </c>
      <c r="H27">
        <f>HYPERLINK("https://booking.roadsurfer.com/es/rally/pick?pickup_date=2026-09-25&amp;return_date=2026-10-02&amp;currency=EUR&amp;startStation=31&amp;endStation=109", "Clic para verlo en la web de RoadSurfer")</f>
        <v/>
      </c>
    </row>
    <row r="28">
      <c r="A28" t="inlineStr">
        <is>
          <t>Francia</t>
        </is>
      </c>
      <c r="B28" t="inlineStr">
        <is>
          <t>París Sur (Orly)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Travel Home</t>
        </is>
      </c>
      <c r="H28">
        <f>HYPERLINK("https://booking.roadsurfer.com/es/rally/pick?pickup_date=2026-09-28&amp;return_date=2026-10-05&amp;currency=EUR&amp;startStation=12&amp;endStation=22",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HYPERLINK("https://booking.roadsurfer.com/es/rally/pick?pickup_date=2026-09-26&amp;return_date=2026-10-03&amp;currency=EUR&amp;startStation=12&amp;endStation=22", "Clic para verlo en la web de RoadSurfer")</f>
        <v/>
      </c>
    </row>
    <row r="30">
      <c r="A30" t="inlineStr">
        <is>
          <t>Francia</t>
        </is>
      </c>
      <c r="B30" t="inlineStr">
        <is>
          <t>París Aeropuerto CDG</t>
        </is>
      </c>
      <c r="C30" t="inlineStr">
        <is>
          <t>Alemania</t>
        </is>
      </c>
      <c r="D30" t="inlineStr">
        <is>
          <t>Hannover</t>
        </is>
      </c>
      <c r="E30" t="inlineStr">
        <is>
          <t>2026-10-10</t>
        </is>
      </c>
      <c r="F30" t="inlineStr">
        <is>
          <t>2026-10-17</t>
        </is>
      </c>
      <c r="G30" t="inlineStr">
        <is>
          <t xml:space="preserve"> - Family Finca</t>
        </is>
      </c>
      <c r="H30">
        <f>HYPERLINK("https://booking.roadsurfer.com/es/rally/pick?pickup_date=2026-10-10&amp;return_date=2026-10-17&amp;currency=EUR&amp;startStation=48&amp;endStation=7", "Clic para verlo en la web de RoadSurfer")</f>
        <v/>
      </c>
    </row>
    <row r="31">
      <c r="A31" t="inlineStr">
        <is>
          <t>EE.UU.</t>
        </is>
      </c>
      <c r="B31" t="inlineStr">
        <is>
          <t>Seattle</t>
        </is>
      </c>
      <c r="C31" t="inlineStr">
        <is>
          <t>EE.UU.</t>
        </is>
      </c>
      <c r="D31" t="inlineStr">
        <is>
          <t>Los Ángeles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Liberty Lodge</t>
        </is>
      </c>
      <c r="H31">
        <f>HYPERLINK("https://booking.roadsurfer.com/es/rally/pick?pickup_date=2026-09-28&amp;return_date=2026-10-05&amp;currency=EUR&amp;startStation=107&amp;endStation=72", "Clic para verlo en la web de RoadSurfer")</f>
        <v/>
      </c>
    </row>
    <row r="32">
      <c r="A32" t="inlineStr">
        <is>
          <t>EE.UU.</t>
        </is>
      </c>
      <c r="B32" t="inlineStr">
        <is>
          <t>Seattle</t>
        </is>
      </c>
      <c r="C32" t="inlineStr">
        <is>
          <t>EE.UU.</t>
        </is>
      </c>
      <c r="D32" t="inlineStr">
        <is>
          <t>Los Ángeles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Liberty Lodge</t>
        </is>
      </c>
      <c r="H32">
        <f>HYPERLINK("https://booking.roadsurfer.com/es/rally/pick?pickup_date=2026-09-15&amp;return_date=2026-09-22&amp;currency=EUR&amp;startStation=107&amp;endStation=72", "Clic para verlo en la web de RoadSurfer")</f>
        <v/>
      </c>
    </row>
    <row r="33">
      <c r="A33" t="inlineStr">
        <is>
          <t>EE.UU.</t>
        </is>
      </c>
      <c r="B33" t="inlineStr">
        <is>
          <t>Seattle</t>
        </is>
      </c>
      <c r="C33" t="inlineStr">
        <is>
          <t>EE.UU.</t>
        </is>
      </c>
      <c r="D33" t="inlineStr">
        <is>
          <t>San Francisco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Liberty Lodge</t>
        </is>
      </c>
      <c r="H33">
        <f>HYPERLINK("https://booking.roadsurfer.com/es/rally/pick?pickup_date=2026-09-28&amp;return_date=2026-10-05&amp;currency=EUR&amp;startStation=107&amp;endStation=75", "Clic para verlo en la web de RoadSurfer")</f>
        <v/>
      </c>
    </row>
    <row r="34">
      <c r="A34" t="inlineStr">
        <is>
          <t>EE.UU.</t>
        </is>
      </c>
      <c r="B34" t="inlineStr">
        <is>
          <t>Seattle</t>
        </is>
      </c>
      <c r="C34" t="inlineStr">
        <is>
          <t>EE.UU.</t>
        </is>
      </c>
      <c r="D34" t="inlineStr">
        <is>
          <t>Phoenix</t>
        </is>
      </c>
      <c r="E34" t="inlineStr">
        <is>
          <t>2026-09-28</t>
        </is>
      </c>
      <c r="F34" t="inlineStr">
        <is>
          <t>2026-10-05</t>
        </is>
      </c>
      <c r="G34" t="inlineStr">
        <is>
          <t xml:space="preserve"> - Liberty Lodge</t>
        </is>
      </c>
      <c r="H34">
        <f>HYPERLINK("https://booking.roadsurfer.com/es/rally/pick?pickup_date=2026-09-28&amp;return_date=2026-10-05&amp;currency=EUR&amp;startStation=107&amp;endStation=105", "Clic para verlo en la web de RoadSurfer")</f>
        <v/>
      </c>
    </row>
    <row r="35">
      <c r="A35" t="inlineStr">
        <is>
          <t>Francia</t>
        </is>
      </c>
      <c r="B35" t="inlineStr">
        <is>
          <t>Toulouse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2026-09-24</t>
        </is>
      </c>
      <c r="F35" t="inlineStr">
        <is>
          <t>2026-10-01</t>
        </is>
      </c>
      <c r="G35" t="inlineStr">
        <is>
          <t xml:space="preserve"> - ROAD HOUSE</t>
        </is>
      </c>
      <c r="H35">
        <f>HYPERLINK("https://booking.roadsurfer.com/es/rally/pick?pickup_date=2026-09-24&amp;return_date=2026-10-01&amp;currency=EUR&amp;startStation=30&amp;endStation=109", "Clic para verlo en la web de RoadSurfer")</f>
        <v/>
      </c>
    </row>
    <row r="36">
      <c r="A36" t="inlineStr">
        <is>
          <t>España</t>
        </is>
      </c>
      <c r="B36" t="inlineStr">
        <is>
          <t>Valencia</t>
        </is>
      </c>
      <c r="C36" t="inlineStr">
        <is>
          <t>Alemania</t>
        </is>
      </c>
      <c r="D36" t="inlineStr">
        <is>
          <t>Bremen</t>
        </is>
      </c>
      <c r="E36" t="inlineStr">
        <is>
          <t>2026-10-21</t>
        </is>
      </c>
      <c r="F36" t="inlineStr">
        <is>
          <t>2026-10-28</t>
        </is>
      </c>
      <c r="G36" t="inlineStr">
        <is>
          <t xml:space="preserve"> - Surfer Suite</t>
        </is>
      </c>
      <c r="H36">
        <f>HYPERLINK("https://booking.roadsurfer.com/es/rally/pick?pickup_date=2026-10-21&amp;return_date=2026-10-28&amp;currency=EUR&amp;startStation=38&amp;endStation=55", "Clic para verlo en la web de RoadSurfer")</f>
        <v/>
      </c>
    </row>
    <row r="37">
      <c r="A37" t="inlineStr">
        <is>
          <t>España</t>
        </is>
      </c>
      <c r="B37" t="inlineStr">
        <is>
          <t>Valencia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2026-10-07</t>
        </is>
      </c>
      <c r="F37" t="inlineStr">
        <is>
          <t>2026-10-14</t>
        </is>
      </c>
      <c r="G37" t="inlineStr">
        <is>
          <t xml:space="preserve"> - No hay coche</t>
        </is>
      </c>
      <c r="H37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2026-08-19T20:20:23Z</dcterms:created>
  <dcterms:modified xsi:type="dcterms:W3CDTF">2026-08-19T20:20:23Z</dcterms:modified>
</cp:coreProperties>
</file>