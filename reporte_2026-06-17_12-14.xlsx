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2026-06-23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HYPERLINK("https://booking.roadsurfer.com/es/rally/pick?pickup_date=2026-06-23&amp;return_date=2026-06-30&amp;currency=EUR&amp;startStation=6&amp;endStation=59",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2026-06-23</t>
        </is>
      </c>
      <c r="F4" t="inlineStr">
        <is>
          <t>2026-06-30</t>
        </is>
      </c>
      <c r="G4" t="inlineStr">
        <is>
          <t xml:space="preserve"> - Sunrise Suite</t>
        </is>
      </c>
      <c r="H4">
        <f>HYPERLINK("https://booking.roadsurfer.com/es/rally/pick?pickup_date=2026-06-23&amp;return_date=2026-06-30&amp;currency=EUR&amp;startStation=91&amp;endStation=12",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Family Finca</t>
        </is>
      </c>
      <c r="H5">
        <f>HYPERLINK("https://booking.roadsurfer.com/es/rally/pick?pickup_date=2026-07-06&amp;return_date=2026-07-13&amp;currency=EUR&amp;startStation=40&amp;endStation=22",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Couple Cottage</t>
        </is>
      </c>
      <c r="H6">
        <f>HYPERLINK("https://booking.roadsurfer.com/es/rally/pick?pickup_date=2026-06-23&amp;return_date=2026-06-30&amp;currency=EUR&amp;startStation=24&amp;endStation=29",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Couple Cottage</t>
        </is>
      </c>
      <c r="H7">
        <f>HYPERLINK("https://booking.roadsurfer.com/es/rally/pick?pickup_date=2026-06-19&amp;return_date=2026-06-26&amp;currency=EUR&amp;startStation=24&amp;endStation=48",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Surfer Suite</t>
        </is>
      </c>
      <c r="H8">
        <f>HYPERLINK("https://booking.roadsurfer.com/es/rally/pick?pickup_date=2026-06-24&amp;return_date=2026-07-01&amp;currency=EUR&amp;startStation=13&amp;endStation=22",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2026-06-18</t>
        </is>
      </c>
      <c r="F9" t="inlineStr">
        <is>
          <t>2026-06-25</t>
        </is>
      </c>
      <c r="G9" t="inlineStr">
        <is>
          <t xml:space="preserve"> - Surfer Suite</t>
        </is>
      </c>
      <c r="H9">
        <f>HYPERLINK("https://booking.roadsurfer.com/es/rally/pick?pickup_date=2026-06-18&amp;return_date=2026-06-25&amp;currency=EUR&amp;startStation=13&amp;endStation=22",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2026-06-20</t>
        </is>
      </c>
      <c r="F10" t="inlineStr">
        <is>
          <t>2026-06-27</t>
        </is>
      </c>
      <c r="G10" t="inlineStr">
        <is>
          <t xml:space="preserve"> - Beach Hostel</t>
        </is>
      </c>
      <c r="H10">
        <f>HYPERLINK("https://booking.roadsurfer.com/es/rally/pick?pickup_date=2026-06-20&amp;return_date=2026-06-27&amp;currency=EUR&amp;startStation=55&amp;endStation=87",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Países Bajos</t>
        </is>
      </c>
      <c r="D11" t="inlineStr">
        <is>
          <t>Ámsterdam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Road House</t>
        </is>
      </c>
      <c r="H11">
        <f>HYPERLINK("https://booking.roadsurfer.com/es/rally/pick?pickup_date=2026-06-22&amp;return_date=2026-06-29&amp;currency=EUR&amp;startStation=55&amp;endStation=32",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Francia</t>
        </is>
      </c>
      <c r="D12" t="inlineStr">
        <is>
          <t>París Aeropuerto CDG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Couple Cottage</t>
        </is>
      </c>
      <c r="H12">
        <f>HYPERLINK("https://booking.roadsurfer.com/es/rally/pick?pickup_date=2026-06-23&amp;return_date=2026-06-30&amp;currency=EUR&amp;startStation=55&amp;endStation=48",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Camper Cabin</t>
        </is>
      </c>
      <c r="H13">
        <f>HYPERLINK("https://booking.roadsurfer.com/es/rally/pick?pickup_date=2026-06-24&amp;return_date=2026-07-01&amp;currency=EUR&amp;startStation=55&amp;endStation=42", "Clic para verlo en la web de RoadSurfer")</f>
        <v/>
      </c>
    </row>
    <row r="14">
      <c r="A14" t="inlineStr">
        <is>
          <t>Reino Unido</t>
        </is>
      </c>
      <c r="B14" t="inlineStr">
        <is>
          <t>Bristol</t>
        </is>
      </c>
      <c r="C14" t="inlineStr">
        <is>
          <t>Reino Unido</t>
        </is>
      </c>
      <c r="D14" t="inlineStr">
        <is>
          <t>Edimburgo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Cozy Cottage</t>
        </is>
      </c>
      <c r="H14">
        <f>HYPERLINK("https://booking.roadsurfer.com/es/rally/pick?pickup_date=2026-06-22&amp;return_date=2026-06-29&amp;currency=EUR&amp;startStation=98&amp;endStation=64", "Clic para verlo en la web de RoadSurfer")</f>
        <v/>
      </c>
    </row>
    <row r="15">
      <c r="A15" t="inlineStr">
        <is>
          <t>Alemania</t>
        </is>
      </c>
      <c r="B15" t="inlineStr">
        <is>
          <t>Colonia-Bonn</t>
        </is>
      </c>
      <c r="C15" t="inlineStr">
        <is>
          <t>España</t>
        </is>
      </c>
      <c r="D15" t="inlineStr">
        <is>
          <t>Bilbao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Sunrise Suite</t>
        </is>
      </c>
      <c r="H15">
        <f>HYPERLINK("https://booking.roadsurfer.com/es/rally/pick?pickup_date=2026-06-24&amp;return_date=2026-07-01&amp;currency=EUR&amp;startStation=52&amp;endStation=40", "Clic para verlo en la web de RoadSurfer")</f>
        <v/>
      </c>
    </row>
    <row r="16">
      <c r="A16" t="inlineStr">
        <is>
          <t>Alemania</t>
        </is>
      </c>
      <c r="B16" t="inlineStr">
        <is>
          <t>Colonia-Düsseldorf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Sunrise Suite</t>
        </is>
      </c>
      <c r="H16">
        <f>HYPERLINK("https://booking.roadsurfer.com/es/rally/pick?pickup_date=2026-06-23&amp;return_date=2026-06-30&amp;currency=EUR&amp;startStation=4&amp;endStation=13",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2026-06-26</t>
        </is>
      </c>
      <c r="F17" t="inlineStr">
        <is>
          <t>2026-07-03</t>
        </is>
      </c>
      <c r="G17" t="inlineStr"/>
      <c r="H17">
        <f>HYPERLINK("https://booking.roadsurfer.com/es/rally/pick?pickup_date=2026-06-26&amp;return_date=2026-07-03&amp;currency=EUR&amp;startStation=56&amp;endStation=15",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2026-06-20</t>
        </is>
      </c>
      <c r="F18" t="inlineStr">
        <is>
          <t>2026-06-27</t>
        </is>
      </c>
      <c r="G18" t="inlineStr">
        <is>
          <t xml:space="preserve"> - Beach Hostel</t>
        </is>
      </c>
      <c r="H18">
        <f>HYPERLINK("https://booking.roadsurfer.com/es/rally/pick?pickup_date=2026-06-20&amp;return_date=2026-06-27&amp;currency=EUR&amp;startStation=56&amp;endStation=59",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Camper Castle</t>
        </is>
      </c>
      <c r="H19">
        <f>HYPERLINK("https://booking.roadsurfer.com/es/rally/pick?pickup_date=2026-06-23&amp;return_date=2026-06-30&amp;currency=EUR&amp;startStation=56&amp;endStation=59",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Camper Castle</t>
        </is>
      </c>
      <c r="H20">
        <f>HYPERLINK("https://booking.roadsurfer.com/es/rally/pick?pickup_date=2026-06-22&amp;return_date=2026-06-29&amp;currency=EUR&amp;startStation=56&amp;endStation=59", "Clic para verlo en la web de RoadSurfer")</f>
        <v/>
      </c>
    </row>
    <row r="21">
      <c r="A21" t="inlineStr">
        <is>
          <t>Alemania</t>
        </is>
      </c>
      <c r="B21" t="inlineStr">
        <is>
          <t>Duisburgo</t>
        </is>
      </c>
      <c r="C21" t="inlineStr">
        <is>
          <t>Alemania</t>
        </is>
      </c>
      <c r="D21" t="inlineStr">
        <is>
          <t>Berlín-Schönefeld</t>
        </is>
      </c>
      <c r="E21" t="inlineStr">
        <is>
          <t>2026-06-25</t>
        </is>
      </c>
      <c r="F21" t="inlineStr">
        <is>
          <t>2026-07-02</t>
        </is>
      </c>
      <c r="G21" t="inlineStr">
        <is>
          <t xml:space="preserve"> - Road House</t>
        </is>
      </c>
      <c r="H21">
        <f>HYPERLINK("https://booking.roadsurfer.com/es/rally/pick?pickup_date=2026-06-25&amp;return_date=2026-07-02&amp;currency=EUR&amp;startStation=113&amp;endStation=51",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2026-06-29</t>
        </is>
      </c>
      <c r="F22" t="inlineStr">
        <is>
          <t>2026-07-06</t>
        </is>
      </c>
      <c r="G22" t="inlineStr">
        <is>
          <t xml:space="preserve"> - Camper Cabin</t>
        </is>
      </c>
      <c r="H22">
        <f>HYPERLINK("https://booking.roadsurfer.com/es/rally/pick?pickup_date=2026-06-29&amp;return_date=2026-07-06&amp;currency=EUR&amp;startStation=90&amp;endStation=15", "Clic para verlo en la web de RoadSurfer")</f>
        <v/>
      </c>
    </row>
    <row r="23">
      <c r="A23" t="inlineStr">
        <is>
          <t>Alemania</t>
        </is>
      </c>
      <c r="B23" t="inlineStr">
        <is>
          <t>Hannover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Travel Home</t>
        </is>
      </c>
      <c r="H23">
        <f>HYPERLINK("https://booking.roadsurfer.com/es/rally/pick?pickup_date=2026-06-22&amp;return_date=2026-06-29&amp;currency=EUR&amp;startStation=7&amp;endStation=12", "Clic para verlo en la web de RoadSurfer")</f>
        <v/>
      </c>
    </row>
    <row r="24">
      <c r="A24" t="inlineStr">
        <is>
          <t>Alemania</t>
        </is>
      </c>
      <c r="B24" t="inlineStr">
        <is>
          <t>Heidelberg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Surfer Suite</t>
        </is>
      </c>
      <c r="H24">
        <f>HYPERLINK("https://booking.roadsurfer.com/es/rally/pick?pickup_date=2026-06-24&amp;return_date=2026-07-01&amp;currency=EUR&amp;startStation=79&amp;endStation=20", "Clic para verlo en la web de RoadSurfer")</f>
        <v/>
      </c>
    </row>
    <row r="25">
      <c r="A25" t="inlineStr">
        <is>
          <t>Alemania</t>
        </is>
      </c>
      <c r="B25" t="inlineStr">
        <is>
          <t>Heidelberg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HYPERLINK("https://booking.roadsurfer.com/es/rally/pick?pickup_date=2026-06-22&amp;return_date=2026-06-29&amp;currency=EUR&amp;startStation=79&amp;endStation=130", "Clic para verlo en la web de RoadSurfer")</f>
        <v/>
      </c>
    </row>
    <row r="26">
      <c r="A26" t="inlineStr">
        <is>
          <t>Alemania</t>
        </is>
      </c>
      <c r="B26" t="inlineStr">
        <is>
          <t>Kassel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2026-06-24</t>
        </is>
      </c>
      <c r="F26" t="inlineStr">
        <is>
          <t>2026-07-01</t>
        </is>
      </c>
      <c r="G26" t="inlineStr">
        <is>
          <t xml:space="preserve"> - Surfer Suite</t>
        </is>
      </c>
      <c r="H26">
        <f>HYPERLINK("https://booking.roadsurfer.com/es/rally/pick?pickup_date=2026-06-24&amp;return_date=2026-07-01&amp;currency=EUR&amp;startStation=92&amp;endStation=30", "Clic para verlo en la web de RoadSurfer")</f>
        <v/>
      </c>
    </row>
    <row r="27">
      <c r="A27" t="inlineStr">
        <is>
          <t>Alemania</t>
        </is>
      </c>
      <c r="B27" t="inlineStr">
        <is>
          <t>Kassel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Beach Hostel</t>
        </is>
      </c>
      <c r="H27">
        <f>HYPERLINK("https://booking.roadsurfer.com/es/rally/pick?pickup_date=2026-06-19&amp;return_date=2026-06-26&amp;currency=EUR&amp;startStation=92&amp;endStation=13", "Clic para verlo en la web de RoadSurfer")</f>
        <v/>
      </c>
    </row>
    <row r="28">
      <c r="A28" t="inlineStr">
        <is>
          <t>Alemania</t>
        </is>
      </c>
      <c r="B28" t="inlineStr">
        <is>
          <t>Kiel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Sunrise Suite</t>
        </is>
      </c>
      <c r="H28">
        <f>HYPERLINK("https://booking.roadsurfer.com/es/rally/pick?pickup_date=2026-06-17&amp;return_date=2026-06-24&amp;currency=EUR&amp;startStation=111&amp;endStation=29", "Clic para verlo en la web de RoadSurfer")</f>
        <v/>
      </c>
    </row>
    <row r="29">
      <c r="A29" t="inlineStr">
        <is>
          <t>EE.UU.</t>
        </is>
      </c>
      <c r="B29" t="inlineStr">
        <is>
          <t>Las Vegas</t>
        </is>
      </c>
      <c r="C29" t="inlineStr">
        <is>
          <t>EE.UU.</t>
        </is>
      </c>
      <c r="D29" t="inlineStr">
        <is>
          <t>Dallas</t>
        </is>
      </c>
      <c r="E29" t="inlineStr">
        <is>
          <t>2026-07-06</t>
        </is>
      </c>
      <c r="F29" t="inlineStr">
        <is>
          <t>2026-07-13</t>
        </is>
      </c>
      <c r="G29" t="inlineStr">
        <is>
          <t xml:space="preserve"> - Couple Condo</t>
        </is>
      </c>
      <c r="H29">
        <f>HYPERLINK("https://booking.roadsurfer.com/es/rally/pick?pickup_date=2026-07-06&amp;return_date=2026-07-13&amp;currency=EUR&amp;startStation=76&amp;endStation=125",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2026-06-25</t>
        </is>
      </c>
      <c r="F30" t="inlineStr">
        <is>
          <t>2026-07-02</t>
        </is>
      </c>
      <c r="G30" t="inlineStr">
        <is>
          <t xml:space="preserve"> - No hay coche</t>
        </is>
      </c>
      <c r="H30">
        <f>HYPERLINK("https://booking.roadsurfer.com/es/rally/pick?pickup_date=2026-06-25&amp;return_date=2026-07-02&amp;currency=EUR&amp;startStation=8&amp;endStation=13", "Clic para verlo en la web de RoadSurfer")</f>
        <v/>
      </c>
    </row>
    <row r="31">
      <c r="A31" t="inlineStr">
        <is>
          <t>Alemania</t>
        </is>
      </c>
      <c r="B31" t="inlineStr">
        <is>
          <t>Leipzig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2026-06-24</t>
        </is>
      </c>
      <c r="F31" t="inlineStr">
        <is>
          <t>2026-07-01</t>
        </is>
      </c>
      <c r="G31" t="inlineStr">
        <is>
          <t xml:space="preserve"> - Road House</t>
        </is>
      </c>
      <c r="H31">
        <f>HYPERLINK("https://booking.roadsurfer.com/es/rally/pick?pickup_date=2026-06-24&amp;return_date=2026-07-01&amp;currency=EUR&amp;startStation=8&amp;endStation=13", "Clic para verlo en la web de RoadSurfer")</f>
        <v/>
      </c>
    </row>
    <row r="32">
      <c r="A32" t="inlineStr">
        <is>
          <t>Alemania</t>
        </is>
      </c>
      <c r="B32" t="inlineStr">
        <is>
          <t>Leipzig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No hay coche</t>
        </is>
      </c>
      <c r="H32">
        <f>HYPERLINK("https://booking.roadsurfer.com/es/rally/pick?pickup_date=2026-06-22&amp;return_date=2026-06-29&amp;currency=EUR&amp;startStation=8&amp;endStation=60", "Clic para verlo en la web de RoadSurfer")</f>
        <v/>
      </c>
    </row>
    <row r="33">
      <c r="A33" t="inlineStr">
        <is>
          <t>Alemania</t>
        </is>
      </c>
      <c r="B33" t="inlineStr">
        <is>
          <t>Lindau-Wangen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Surfer Suite</t>
        </is>
      </c>
      <c r="H33">
        <f>HYPERLINK("https://booking.roadsurfer.com/es/rally/pick?pickup_date=2026-06-25&amp;return_date=2026-07-02&amp;currency=EUR&amp;startStation=117&amp;endStation=31", "Clic para verlo en la web de RoadSurfer")</f>
        <v/>
      </c>
    </row>
    <row r="34">
      <c r="A34" t="inlineStr">
        <is>
          <t>Alemania</t>
        </is>
      </c>
      <c r="B34" t="inlineStr">
        <is>
          <t>Lindau-Wangen</t>
        </is>
      </c>
      <c r="C34" t="inlineStr">
        <is>
          <t>Francia</t>
        </is>
      </c>
      <c r="D34" t="inlineStr">
        <is>
          <t>Toulouse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Travel Home</t>
        </is>
      </c>
      <c r="H34">
        <f>HYPERLINK("https://booking.roadsurfer.com/es/rally/pick?pickup_date=2026-06-22&amp;return_date=2026-06-29&amp;currency=EUR&amp;startStation=117&amp;endStation=30", "Clic para verlo en la web de RoadSurfer")</f>
        <v/>
      </c>
    </row>
    <row r="35">
      <c r="A35" t="inlineStr">
        <is>
          <t>Alemania</t>
        </is>
      </c>
      <c r="B35" t="inlineStr">
        <is>
          <t>Lindau-Wangen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2026-06-29</t>
        </is>
      </c>
      <c r="F35" t="inlineStr">
        <is>
          <t>2026-07-06</t>
        </is>
      </c>
      <c r="G35" t="inlineStr">
        <is>
          <t xml:space="preserve"> - Family Finca</t>
        </is>
      </c>
      <c r="H35">
        <f>HYPERLINK("https://booking.roadsurfer.com/es/rally/pick?pickup_date=2026-06-29&amp;return_date=2026-07-06&amp;currency=EUR&amp;startStation=117&amp;endStation=30", "Clic para verlo en la web de RoadSurfer")</f>
        <v/>
      </c>
    </row>
    <row r="36">
      <c r="A36" t="inlineStr">
        <is>
          <t>Reino Unido</t>
        </is>
      </c>
      <c r="B36" t="inlineStr">
        <is>
          <t>Londres</t>
        </is>
      </c>
      <c r="C36" t="inlineStr">
        <is>
          <t>Reino Unido</t>
        </is>
      </c>
      <c r="D36" t="inlineStr">
        <is>
          <t>Mánchester</t>
        </is>
      </c>
      <c r="E36" t="inlineStr">
        <is>
          <t>2026-06-29</t>
        </is>
      </c>
      <c r="F36" t="inlineStr">
        <is>
          <t>2026-07-06</t>
        </is>
      </c>
      <c r="G36" t="inlineStr">
        <is>
          <t xml:space="preserve"> - No hay coche</t>
        </is>
      </c>
      <c r="H36">
        <f>HYPERLINK("https://booking.roadsurfer.com/es/rally/pick?pickup_date=2026-06-29&amp;return_date=2026-07-06&amp;currency=EUR&amp;startStation=63&amp;endStation=99", "Clic para verlo en la web de RoadSurfer")</f>
        <v/>
      </c>
    </row>
    <row r="37">
      <c r="A37" t="inlineStr">
        <is>
          <t>Alemania</t>
        </is>
      </c>
      <c r="B37" t="inlineStr">
        <is>
          <t>Maguncia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2026-06-24</t>
        </is>
      </c>
      <c r="F37" t="inlineStr">
        <is>
          <t>2026-07-01</t>
        </is>
      </c>
      <c r="G37" t="inlineStr">
        <is>
          <t xml:space="preserve"> - Surfer Suite</t>
        </is>
      </c>
      <c r="H37">
        <f>HYPERLINK("https://booking.roadsurfer.com/es/rally/pick?pickup_date=2026-06-24&amp;return_date=2026-07-01&amp;currency=EUR&amp;startStation=54&amp;endStation=59", "Clic para verlo en la web de RoadSurfer")</f>
        <v/>
      </c>
    </row>
    <row r="38">
      <c r="A38" t="inlineStr">
        <is>
          <t>Alemania</t>
        </is>
      </c>
      <c r="B38" t="inlineStr">
        <is>
          <t>Maguncia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Sunrise Suite</t>
        </is>
      </c>
      <c r="H38">
        <f>HYPERLINK("https://booking.roadsurfer.com/es/rally/pick?pickup_date=2026-06-22&amp;return_date=2026-06-29&amp;currency=EUR&amp;startStation=54&amp;endStation=13", "Clic para verlo en la web de RoadSurfer")</f>
        <v/>
      </c>
    </row>
    <row r="39">
      <c r="A39" t="inlineStr">
        <is>
          <t>Alemania</t>
        </is>
      </c>
      <c r="B39" t="inlineStr">
        <is>
          <t>Maguncia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Camper Castle</t>
        </is>
      </c>
      <c r="H39">
        <f>HYPERLINK("https://booking.roadsurfer.com/es/rally/pick?pickup_date=2026-06-17&amp;return_date=2026-06-24&amp;currency=EUR&amp;startStation=54&amp;endStation=20",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Surfer Suite</t>
        </is>
      </c>
      <c r="H40">
        <f>HYPERLINK("https://booking.roadsurfer.com/es/rally/pick?pickup_date=2026-06-29&amp;return_date=2026-07-06&amp;currency=EUR&amp;startStation=21&amp;endStation=78",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2026-06-29</t>
        </is>
      </c>
      <c r="F41" t="inlineStr">
        <is>
          <t>2026-07-06</t>
        </is>
      </c>
      <c r="G41" t="inlineStr">
        <is>
          <t xml:space="preserve"> - Road House</t>
        </is>
      </c>
      <c r="H41">
        <f>HYPERLINK("https://booking.roadsurfer.com/es/rally/pick?pickup_date=2026-06-29&amp;return_date=2026-07-06&amp;currency=EUR&amp;startStation=21&amp;endStation=5", "Clic para verlo en la web de RoadSurfer")</f>
        <v/>
      </c>
    </row>
    <row r="42">
      <c r="A42" t="inlineStr">
        <is>
          <t>Reino Unido</t>
        </is>
      </c>
      <c r="B42" t="inlineStr">
        <is>
          <t>Mánchester</t>
        </is>
      </c>
      <c r="C42" t="inlineStr">
        <is>
          <t>Reino Unido</t>
        </is>
      </c>
      <c r="D42" t="inlineStr">
        <is>
          <t>Londres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No hay coche</t>
        </is>
      </c>
      <c r="H42">
        <f>HYPERLINK("https://booking.roadsurfer.com/es/rally/pick?pickup_date=2026-06-22&amp;return_date=2026-06-29&amp;currency=EUR&amp;startStation=99&amp;endStation=63",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2026-06-19</t>
        </is>
      </c>
      <c r="F43" t="inlineStr">
        <is>
          <t>2026-06-26</t>
        </is>
      </c>
      <c r="G43" t="inlineStr">
        <is>
          <t xml:space="preserve"> - Surfer Suite - Camper Cabin Deluxe</t>
        </is>
      </c>
      <c r="H43">
        <f>HYPERLINK("https://booking.roadsurfer.com/es/rally/pick?pickup_date=2026-06-19&amp;return_date=2026-06-26&amp;currency=EUR&amp;startStation=22&amp;endStation=59",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Surfer Suite</t>
        </is>
      </c>
      <c r="H44">
        <f>HYPERLINK("https://booking.roadsurfer.com/es/rally/pick?pickup_date=2026-06-22&amp;return_date=2026-06-29&amp;currency=EUR&amp;startStation=22&amp;endStation=59",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Francia</t>
        </is>
      </c>
      <c r="D45" t="inlineStr">
        <is>
          <t>Ginebra-Pays de Gex (Francia)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Travel Home</t>
        </is>
      </c>
      <c r="H45">
        <f>HYPERLINK("https://booking.roadsurfer.com/es/rally/pick?pickup_date=2026-06-22&amp;return_date=2026-06-29&amp;currency=EUR&amp;startStation=22&amp;endStation=29",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2026-06-23</t>
        </is>
      </c>
      <c r="F46" t="inlineStr">
        <is>
          <t>2026-06-30</t>
        </is>
      </c>
      <c r="G46" t="inlineStr">
        <is>
          <t xml:space="preserve"> - Surfer Suite</t>
        </is>
      </c>
      <c r="H46">
        <f>HYPERLINK("https://booking.roadsurfer.com/es/rally/pick?pickup_date=2026-06-23&amp;return_date=2026-06-30&amp;currency=EUR&amp;startStation=22&amp;endStation=29",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Ginebra-Pays de Gex (Francia)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Sunrise Suite</t>
        </is>
      </c>
      <c r="H47">
        <f>HYPERLINK("https://booking.roadsurfer.com/es/rally/pick?pickup_date=2026-06-25&amp;return_date=2026-07-02&amp;currency=EUR&amp;startStation=22&amp;endStation=29",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2026-06-19</t>
        </is>
      </c>
      <c r="F48" t="inlineStr">
        <is>
          <t>2026-06-26</t>
        </is>
      </c>
      <c r="G48" t="inlineStr">
        <is>
          <t xml:space="preserve"> - Camper Cabin</t>
        </is>
      </c>
      <c r="H48">
        <f>HYPERLINK("https://booking.roadsurfer.com/es/rally/pick?pickup_date=2026-06-19&amp;return_date=2026-06-26&amp;currency=EUR&amp;startStation=22&amp;endStation=13",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2026-06-23</t>
        </is>
      </c>
      <c r="F49" t="inlineStr">
        <is>
          <t>2026-06-30</t>
        </is>
      </c>
      <c r="G49" t="inlineStr">
        <is>
          <t xml:space="preserve"> - Surfer Suite</t>
        </is>
      </c>
      <c r="H49">
        <f>HYPERLINK("https://booking.roadsurfer.com/es/rally/pick?pickup_date=2026-06-23&amp;return_date=2026-06-30&amp;currency=EUR&amp;startStation=22&amp;endStation=13",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2026-07-09</t>
        </is>
      </c>
      <c r="F50" t="inlineStr">
        <is>
          <t>2026-07-16</t>
        </is>
      </c>
      <c r="G50" t="inlineStr">
        <is>
          <t xml:space="preserve"> - Beach Hostel</t>
        </is>
      </c>
      <c r="H50">
        <f>HYPERLINK("https://booking.roadsurfer.com/es/rally/pick?pickup_date=2026-07-09&amp;return_date=2026-07-16&amp;currency=EUR&amp;startStation=22&amp;endStation=13",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2026-06-25</t>
        </is>
      </c>
      <c r="F51" t="inlineStr">
        <is>
          <t>2026-07-02</t>
        </is>
      </c>
      <c r="G51" t="inlineStr">
        <is>
          <t xml:space="preserve"> - Camper Cabin</t>
        </is>
      </c>
      <c r="H51">
        <f>HYPERLINK("https://booking.roadsurfer.com/es/rally/pick?pickup_date=2026-06-25&amp;return_date=2026-07-02&amp;currency=EUR&amp;startStation=22&amp;endStation=13",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Surfer Suite</t>
        </is>
      </c>
      <c r="H52">
        <f>HYPERLINK("https://booking.roadsurfer.com/es/rally/pick?pickup_date=2026-06-22&amp;return_date=2026-06-29&amp;currency=EUR&amp;startStation=22&amp;endStation=15",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2026-07-21</t>
        </is>
      </c>
      <c r="F53" t="inlineStr">
        <is>
          <t>2026-07-28</t>
        </is>
      </c>
      <c r="G53" t="inlineStr">
        <is>
          <t xml:space="preserve"> - Family Finca</t>
        </is>
      </c>
      <c r="H53">
        <f>HYPERLINK("https://booking.roadsurfer.com/es/rally/pick?pickup_date=2026-07-21&amp;return_date=2026-07-28&amp;currency=EUR&amp;startStation=22&amp;endStation=40",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2026-06-19</t>
        </is>
      </c>
      <c r="F54" t="inlineStr">
        <is>
          <t>2026-06-26</t>
        </is>
      </c>
      <c r="G54" t="inlineStr">
        <is>
          <t xml:space="preserve"> - Camper Cabin Deluxe</t>
        </is>
      </c>
      <c r="H54">
        <f>HYPERLINK("https://booking.roadsurfer.com/es/rally/pick?pickup_date=2026-06-19&amp;return_date=2026-06-26&amp;currency=EUR&amp;startStation=22&amp;endStation=12",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España</t>
        </is>
      </c>
      <c r="D55" t="inlineStr">
        <is>
          <t>Málaga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Surfer Suite</t>
        </is>
      </c>
      <c r="H55">
        <f>HYPERLINK("https://booking.roadsurfer.com/es/rally/pick?pickup_date=2026-06-22&amp;return_date=2026-06-29&amp;currency=EUR&amp;startStation=1&amp;endStation=21",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2026-06-19</t>
        </is>
      </c>
      <c r="F56" t="inlineStr">
        <is>
          <t>2026-06-26</t>
        </is>
      </c>
      <c r="G56" t="inlineStr">
        <is>
          <t xml:space="preserve"> - Travel Home</t>
        </is>
      </c>
      <c r="H56">
        <f>HYPERLINK("https://booking.roadsurfer.com/es/rally/pick?pickup_date=2026-06-19&amp;return_date=2026-06-26&amp;currency=EUR&amp;startStation=31&amp;endStation=15",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Francia</t>
        </is>
      </c>
      <c r="D57" t="inlineStr">
        <is>
          <t>Estrasburgo</t>
        </is>
      </c>
      <c r="E57" t="inlineStr">
        <is>
          <t>2026-07-02</t>
        </is>
      </c>
      <c r="F57" t="inlineStr">
        <is>
          <t>2026-07-09</t>
        </is>
      </c>
      <c r="G57" t="inlineStr">
        <is>
          <t xml:space="preserve"> - Road House</t>
        </is>
      </c>
      <c r="H57">
        <f>HYPERLINK("https://booking.roadsurfer.com/es/rally/pick?pickup_date=2026-07-02&amp;return_date=2026-07-09&amp;currency=EUR&amp;startStation=31&amp;endStation=49", "Clic para verlo en la web de RoadSurfer")</f>
        <v/>
      </c>
    </row>
    <row r="58">
      <c r="A58" t="inlineStr">
        <is>
          <t>Alemania</t>
        </is>
      </c>
      <c r="B58" t="inlineStr">
        <is>
          <t>Núremberg</t>
        </is>
      </c>
      <c r="C58" t="inlineStr">
        <is>
          <t>España</t>
        </is>
      </c>
      <c r="D58" t="inlineStr">
        <is>
          <t>Madrid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Couple Cottage</t>
        </is>
      </c>
      <c r="H58">
        <f>HYPERLINK("https://booking.roadsurfer.com/es/rally/pick?pickup_date=2026-06-22&amp;return_date=2026-06-29&amp;currency=EUR&amp;startStation=11&amp;endStation=20", "Clic para verlo en la web de RoadSurfer")</f>
        <v/>
      </c>
    </row>
    <row r="59">
      <c r="A59" t="inlineStr">
        <is>
          <t>Alemania</t>
        </is>
      </c>
      <c r="B59" t="inlineStr">
        <is>
          <t>Núremberg</t>
        </is>
      </c>
      <c r="C59" t="inlineStr">
        <is>
          <t>España</t>
        </is>
      </c>
      <c r="D59" t="inlineStr">
        <is>
          <t>Madrid</t>
        </is>
      </c>
      <c r="E59" t="inlineStr">
        <is>
          <t>2026-06-25</t>
        </is>
      </c>
      <c r="F59" t="inlineStr">
        <is>
          <t>2026-07-02</t>
        </is>
      </c>
      <c r="G59" t="inlineStr">
        <is>
          <t xml:space="preserve"> - Sunrise Suite</t>
        </is>
      </c>
      <c r="H59">
        <f>HYPERLINK("https://booking.roadsurfer.com/es/rally/pick?pickup_date=2026-06-25&amp;return_date=2026-07-02&amp;currency=EUR&amp;startStation=11&amp;endStation=20", "Clic para verlo en la web de RoadSurfer")</f>
        <v/>
      </c>
    </row>
    <row r="60">
      <c r="A60" t="inlineStr">
        <is>
          <t>Alemania</t>
        </is>
      </c>
      <c r="B60" t="inlineStr">
        <is>
          <t>Núremberg</t>
        </is>
      </c>
      <c r="C60" t="inlineStr">
        <is>
          <t>Francia</t>
        </is>
      </c>
      <c r="D60" t="inlineStr">
        <is>
          <t>Estrasburgo</t>
        </is>
      </c>
      <c r="E60" t="inlineStr">
        <is>
          <t>2026-06-19</t>
        </is>
      </c>
      <c r="F60" t="inlineStr">
        <is>
          <t>2026-06-26</t>
        </is>
      </c>
      <c r="G60" t="inlineStr">
        <is>
          <t xml:space="preserve"> - Camper Castle</t>
        </is>
      </c>
      <c r="H60">
        <f>HYPERLINK("https://booking.roadsurfer.com/es/rally/pick?pickup_date=2026-06-19&amp;return_date=2026-06-26&amp;currency=EUR&amp;startStation=11&amp;endStation=49", "Clic para verlo en la web de RoadSurfer")</f>
        <v/>
      </c>
    </row>
    <row r="61">
      <c r="A61" t="inlineStr">
        <is>
          <t>Italia</t>
        </is>
      </c>
      <c r="B61" t="inlineStr">
        <is>
          <t>Roma Aeropuerto Fiumicino</t>
        </is>
      </c>
      <c r="C61" t="inlineStr">
        <is>
          <t>Italia</t>
        </is>
      </c>
      <c r="D61" t="inlineStr">
        <is>
          <t>Turín</t>
        </is>
      </c>
      <c r="E61" t="inlineStr">
        <is>
          <t>2026-06-17</t>
        </is>
      </c>
      <c r="F61" t="inlineStr">
        <is>
          <t>2026-06-24</t>
        </is>
      </c>
      <c r="G61" t="inlineStr">
        <is>
          <t xml:space="preserve"> - No hay coche</t>
        </is>
      </c>
      <c r="H61">
        <f>HYPERLINK("https://booking.roadsurfer.com/es/rally/pick?pickup_date=2026-06-17&amp;return_date=2026-06-24&amp;currency=EUR&amp;startStation=35&amp;endStation=58", "Clic para verlo en la web de RoadSurfer")</f>
        <v/>
      </c>
    </row>
    <row r="62">
      <c r="A62" t="inlineStr">
        <is>
          <t>EE.UU.</t>
        </is>
      </c>
      <c r="B62" t="inlineStr">
        <is>
          <t>Seattle</t>
        </is>
      </c>
      <c r="C62" t="inlineStr">
        <is>
          <t>EE.UU.</t>
        </is>
      </c>
      <c r="D62" t="inlineStr">
        <is>
          <t>Phoenix</t>
        </is>
      </c>
      <c r="E62" t="inlineStr">
        <is>
          <t>2026-07-06</t>
        </is>
      </c>
      <c r="F62" t="inlineStr">
        <is>
          <t>2026-07-13</t>
        </is>
      </c>
      <c r="G62" t="inlineStr">
        <is>
          <t xml:space="preserve"> - Couple Condo</t>
        </is>
      </c>
      <c r="H62">
        <f>HYPERLINK("https://booking.roadsurfer.com/es/rally/pick?pickup_date=2026-07-06&amp;return_date=2026-07-13&amp;currency=EUR&amp;startStation=107&amp;endStation=105", "Clic para verlo en la web de RoadSurfer")</f>
        <v/>
      </c>
    </row>
    <row r="63">
      <c r="A63" t="inlineStr">
        <is>
          <t>España</t>
        </is>
      </c>
      <c r="B63" t="inlineStr">
        <is>
          <t>Sevilla</t>
        </is>
      </c>
      <c r="C63" t="inlineStr">
        <is>
          <t>Italia</t>
        </is>
      </c>
      <c r="D63" t="inlineStr">
        <is>
          <t>Turín</t>
        </is>
      </c>
      <c r="E63" t="inlineStr">
        <is>
          <t>2026-06-25</t>
        </is>
      </c>
      <c r="F63" t="inlineStr">
        <is>
          <t>2026-07-02</t>
        </is>
      </c>
      <c r="G63" t="inlineStr">
        <is>
          <t xml:space="preserve"> - Road House</t>
        </is>
      </c>
      <c r="H63">
        <f>HYPERLINK("https://booking.roadsurfer.com/es/rally/pick?pickup_date=2026-06-25&amp;return_date=2026-07-02&amp;currency=EUR&amp;startStation=39&amp;endStation=58",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2026-06-17T12:14:00Z</dcterms:created>
  <dcterms:modified xsi:type="dcterms:W3CDTF">2026-06-17T12:14:00Z</dcterms:modified>
</cp:coreProperties>
</file>