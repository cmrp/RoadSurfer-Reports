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2026-04-06</t>
        </is>
      </c>
      <c r="F6" t="inlineStr">
        <is>
          <t>2026-04-13</t>
        </is>
      </c>
      <c r="G6" t="inlineStr">
        <is>
          <t xml:space="preserve"> - No hay coche</t>
        </is>
      </c>
      <c r="H6">
        <f>HYPERLINK("https://booking.roadsurfer.com/es/rally/pick?pickup_date=2026-04-06&amp;return_date=2026-04-13&amp;currency=EUR&amp;startStation=108&amp;endStation=12",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Múnich</t>
        </is>
      </c>
      <c r="E7" t="inlineStr">
        <is>
          <t>2026-05-04</t>
        </is>
      </c>
      <c r="F7" t="inlineStr">
        <is>
          <t>2026-05-11</t>
        </is>
      </c>
      <c r="G7" t="inlineStr">
        <is>
          <t xml:space="preserve"> - No hay coche</t>
        </is>
      </c>
      <c r="H7">
        <f>HYPERLINK("https://booking.roadsurfer.com/es/rally/pick?pickup_date=2026-05-04&amp;return_date=2026-05-11&amp;currency=EUR&amp;startStation=17&amp;endStation=1",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2026-04-15</t>
        </is>
      </c>
      <c r="F8" t="inlineStr">
        <is>
          <t>2026-04-22</t>
        </is>
      </c>
      <c r="G8" t="inlineStr">
        <is>
          <t xml:space="preserve"> - Beach Hostel</t>
        </is>
      </c>
      <c r="H8">
        <f>HYPERLINK("https://booking.roadsurfer.com/es/rally/pick?pickup_date=2026-04-15&amp;return_date=2026-04-22&amp;currency=EUR&amp;startStation=17&amp;endStation=9",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HYPERLINK("https://booking.roadsurfer.com/es/rally/pick?pickup_date=2026-04-13&amp;return_date=2026-04-20&amp;currency=EUR&amp;startStation=17&amp;endStation=5",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Alemania</t>
        </is>
      </c>
      <c r="D10" t="inlineStr">
        <is>
          <t>Flensburgo</t>
        </is>
      </c>
      <c r="E10" t="inlineStr">
        <is>
          <t>2026-04-16</t>
        </is>
      </c>
      <c r="F10" t="inlineStr">
        <is>
          <t>2026-04-23</t>
        </is>
      </c>
      <c r="G10" t="inlineStr">
        <is>
          <t xml:space="preserve"> - No hay coche</t>
        </is>
      </c>
      <c r="H10">
        <f>HYPERLINK("https://booking.roadsurfer.com/es/rally/pick?pickup_date=2026-04-16&amp;return_date=2026-04-23&amp;currency=EUR&amp;startStation=6&amp;endStation=130",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Austria</t>
        </is>
      </c>
      <c r="D11" t="inlineStr">
        <is>
          <t>Linz</t>
        </is>
      </c>
      <c r="E11" t="inlineStr">
        <is>
          <t>2026-03-26</t>
        </is>
      </c>
      <c r="F11" t="inlineStr">
        <is>
          <t>2026-04-02</t>
        </is>
      </c>
      <c r="G11" t="inlineStr">
        <is>
          <t xml:space="preserve"> - FAMILY FINCA</t>
        </is>
      </c>
      <c r="H11">
        <f>HYPERLINK("https://booking.roadsurfer.com/es/rally/pick?pickup_date=2026-03-26&amp;return_date=2026-04-02&amp;currency=EUR&amp;startStation=6&amp;endStation=116",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Austria</t>
        </is>
      </c>
      <c r="D12" t="inlineStr">
        <is>
          <t>Viena</t>
        </is>
      </c>
      <c r="E12" t="inlineStr">
        <is>
          <t>2026-03-23</t>
        </is>
      </c>
      <c r="F12" t="inlineStr">
        <is>
          <t>2026-03-30</t>
        </is>
      </c>
      <c r="G12" t="inlineStr">
        <is>
          <t xml:space="preserve"> - Couple Cottage</t>
        </is>
      </c>
      <c r="H12">
        <f>HYPERLINK("https://booking.roadsurfer.com/es/rally/pick?pickup_date=2026-03-23&amp;return_date=2026-03-30&amp;currency=EUR&amp;startStation=6&amp;endStation=36",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Lille</t>
        </is>
      </c>
      <c r="E13" t="inlineStr">
        <is>
          <t>2026-04-10</t>
        </is>
      </c>
      <c r="F13" t="inlineStr">
        <is>
          <t>2026-04-17</t>
        </is>
      </c>
      <c r="G13" t="inlineStr">
        <is>
          <t xml:space="preserve"> - Surfer Suite</t>
        </is>
      </c>
      <c r="H13">
        <f>HYPERLINK("https://booking.roadsurfer.com/es/rally/pick?pickup_date=2026-04-10&amp;return_date=2026-04-17&amp;currency=EUR&amp;startStation=6&amp;endStation=87",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2026-03-23</t>
        </is>
      </c>
      <c r="F14" t="inlineStr">
        <is>
          <t>2026-03-30</t>
        </is>
      </c>
      <c r="G14" t="inlineStr">
        <is>
          <t xml:space="preserve"> - Surfer Suite</t>
        </is>
      </c>
      <c r="H14">
        <f>HYPERLINK("https://booking.roadsurfer.com/es/rally/pick?pickup_date=2026-03-23&amp;return_date=2026-03-30&amp;currency=EUR&amp;startStation=6&amp;endStation=45",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Países Bajos</t>
        </is>
      </c>
      <c r="D15" t="inlineStr">
        <is>
          <t>Róterdam</t>
        </is>
      </c>
      <c r="E15" t="inlineStr">
        <is>
          <t>2026-04-27</t>
        </is>
      </c>
      <c r="F15" t="inlineStr">
        <is>
          <t>2026-05-04</t>
        </is>
      </c>
      <c r="G15" t="inlineStr">
        <is>
          <t xml:space="preserve"> - Camper Castle</t>
        </is>
      </c>
      <c r="H15">
        <f>HYPERLINK("https://booking.roadsurfer.com/es/rally/pick?pickup_date=2026-04-27&amp;return_date=2026-05-04&amp;currency=EUR&amp;startStation=6&amp;endStation=33",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Austria</t>
        </is>
      </c>
      <c r="D16" t="inlineStr">
        <is>
          <t>Graz</t>
        </is>
      </c>
      <c r="E16" t="inlineStr">
        <is>
          <t>2026-04-27</t>
        </is>
      </c>
      <c r="F16" t="inlineStr">
        <is>
          <t>2026-05-04</t>
        </is>
      </c>
      <c r="G16" t="inlineStr">
        <is>
          <t xml:space="preserve"> - Family Finca</t>
        </is>
      </c>
      <c r="H16">
        <f>HYPERLINK("https://booking.roadsurfer.com/es/rally/pick?pickup_date=2026-04-27&amp;return_date=2026-05-04&amp;currency=EUR&amp;startStation=6&amp;endStation=37",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2026-04-13</t>
        </is>
      </c>
      <c r="F17" t="inlineStr">
        <is>
          <t>2026-04-20</t>
        </is>
      </c>
      <c r="G17" t="inlineStr">
        <is>
          <t xml:space="preserve"> - Cozy Cottage</t>
        </is>
      </c>
      <c r="H17">
        <f>HYPERLINK("https://booking.roadsurfer.com/es/rally/pick?pickup_date=2026-04-13&amp;return_date=2026-04-20&amp;currency=EUR&amp;startStation=6&amp;endStation=15",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Suecia</t>
        </is>
      </c>
      <c r="D18" t="inlineStr">
        <is>
          <t>Malmö</t>
        </is>
      </c>
      <c r="E18" t="inlineStr">
        <is>
          <t>2026-04-17</t>
        </is>
      </c>
      <c r="F18" t="inlineStr">
        <is>
          <t>2026-04-24</t>
        </is>
      </c>
      <c r="G18" t="inlineStr">
        <is>
          <t xml:space="preserve"> - Beach Hostel</t>
        </is>
      </c>
      <c r="H18">
        <f>HYPERLINK("https://booking.roadsurfer.com/es/rally/pick?pickup_date=2026-04-17&amp;return_date=2026-04-24&amp;currency=EUR&amp;startStation=51&amp;endStation=60",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2026-04-11</t>
        </is>
      </c>
      <c r="F19" t="inlineStr">
        <is>
          <t>2026-04-18</t>
        </is>
      </c>
      <c r="G19" t="inlineStr">
        <is>
          <t xml:space="preserve"> - Road House</t>
        </is>
      </c>
      <c r="H19">
        <f>HYPERLINK("https://booking.roadsurfer.com/es/rally/pick?pickup_date=2026-04-11&amp;return_date=2026-04-18&amp;currency=EUR&amp;startStation=51&amp;endStation=59",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2026-04-15</t>
        </is>
      </c>
      <c r="F20" t="inlineStr">
        <is>
          <t>2026-04-22</t>
        </is>
      </c>
      <c r="G20" t="inlineStr">
        <is>
          <t xml:space="preserve"> - Sunrise Suite</t>
        </is>
      </c>
      <c r="H20">
        <f>HYPERLINK("https://booking.roadsurfer.com/es/rally/pick?pickup_date=2026-04-15&amp;return_date=2026-04-22&amp;currency=EUR&amp;startStation=51&amp;endStation=59",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2026-04-17</t>
        </is>
      </c>
      <c r="F21" t="inlineStr">
        <is>
          <t>2026-04-24</t>
        </is>
      </c>
      <c r="G21" t="inlineStr">
        <is>
          <t xml:space="preserve"> - No hay coche</t>
        </is>
      </c>
      <c r="H21">
        <f>HYPERLINK("https://booking.roadsurfer.com/es/rally/pick?pickup_date=2026-04-17&amp;return_date=2026-04-24&amp;currency=EUR&amp;startStation=51&amp;endStation=130",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2026-04-07</t>
        </is>
      </c>
      <c r="F22" t="inlineStr">
        <is>
          <t>2026-04-14</t>
        </is>
      </c>
      <c r="G22" t="inlineStr">
        <is>
          <t xml:space="preserve"> - Couple Cottage</t>
        </is>
      </c>
      <c r="H22">
        <f>HYPERLINK("https://booking.roadsurfer.com/es/rally/pick?pickup_date=2026-04-07&amp;return_date=2026-04-14&amp;currency=EUR&amp;startStation=51&amp;endStation=77",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Italia</t>
        </is>
      </c>
      <c r="D23" t="inlineStr">
        <is>
          <t>Florencia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SURFER SUITE</t>
        </is>
      </c>
      <c r="H23">
        <f>HYPERLINK("https://booking.roadsurfer.com/es/rally/pick?pickup_date=2026-05-04&amp;return_date=2026-05-11&amp;currency=EUR&amp;startStation=51&amp;endStation=80",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Francia</t>
        </is>
      </c>
      <c r="D24" t="inlineStr">
        <is>
          <t>Ginebra-Pays de Gex (Francia)</t>
        </is>
      </c>
      <c r="E24" t="inlineStr">
        <is>
          <t>2026-04-21</t>
        </is>
      </c>
      <c r="F24" t="inlineStr">
        <is>
          <t>2026-04-28</t>
        </is>
      </c>
      <c r="G24" t="inlineStr">
        <is>
          <t xml:space="preserve"> - Travel Home</t>
        </is>
      </c>
      <c r="H24">
        <f>HYPERLINK("https://booking.roadsurfer.com/es/rally/pick?pickup_date=2026-04-21&amp;return_date=2026-04-28&amp;currency=EUR&amp;startStation=51&amp;endStation=29",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2026-04-14</t>
        </is>
      </c>
      <c r="F25" t="inlineStr">
        <is>
          <t>2026-04-21</t>
        </is>
      </c>
      <c r="G25" t="inlineStr">
        <is>
          <t xml:space="preserve"> - Surfer Suite</t>
        </is>
      </c>
      <c r="H25">
        <f>HYPERLINK("https://booking.roadsurfer.com/es/rally/pick?pickup_date=2026-04-14&amp;return_date=2026-04-21&amp;currency=EUR&amp;startStation=51&amp;endStation=117",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Lindau-Wangen</t>
        </is>
      </c>
      <c r="E26" t="inlineStr">
        <is>
          <t>2026-04-23</t>
        </is>
      </c>
      <c r="F26" t="inlineStr">
        <is>
          <t>2026-04-30</t>
        </is>
      </c>
      <c r="G26" t="inlineStr">
        <is>
          <t xml:space="preserve"> - Road House</t>
        </is>
      </c>
      <c r="H26">
        <f>HYPERLINK("https://booking.roadsurfer.com/es/rally/pick?pickup_date=2026-04-23&amp;return_date=2026-04-30&amp;currency=EUR&amp;startStation=51&amp;endStation=117",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2026-04-27</t>
        </is>
      </c>
      <c r="F27" t="inlineStr">
        <is>
          <t>2026-05-04</t>
        </is>
      </c>
      <c r="G27" t="inlineStr">
        <is>
          <t xml:space="preserve"> - Road House</t>
        </is>
      </c>
      <c r="H27">
        <f>HYPERLINK("https://booking.roadsurfer.com/es/rally/pick?pickup_date=2026-04-27&amp;return_date=2026-05-04&amp;currency=EUR&amp;startStation=51&amp;endStation=117",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Heidelberg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Road House</t>
        </is>
      </c>
      <c r="H28">
        <f>HYPERLINK("https://booking.roadsurfer.com/es/rally/pick?pickup_date=2026-04-23&amp;return_date=2026-04-30&amp;currency=EUR&amp;startStation=51&amp;endStation=79",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HYPERLINK("https://booking.roadsurfer.com/es/rally/pick?pickup_date=2026-04-23&amp;return_date=2026-04-30&amp;currency=EUR&amp;startStation=51&amp;endStation=8",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Alemania</t>
        </is>
      </c>
      <c r="D30" t="inlineStr">
        <is>
          <t>Hamburgo Aeropuerto</t>
        </is>
      </c>
      <c r="E30" t="inlineStr">
        <is>
          <t>2026-04-20</t>
        </is>
      </c>
      <c r="F30" t="inlineStr">
        <is>
          <t>2026-04-27</t>
        </is>
      </c>
      <c r="G30" t="inlineStr">
        <is>
          <t xml:space="preserve"> - Family Finca</t>
        </is>
      </c>
      <c r="H30">
        <f>HYPERLINK("https://booking.roadsurfer.com/es/rally/pick?pickup_date=2026-04-20&amp;return_date=2026-04-27&amp;currency=EUR&amp;startStation=91&amp;endStation=65",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2026-03-23</t>
        </is>
      </c>
      <c r="F31" t="inlineStr">
        <is>
          <t>2026-03-30</t>
        </is>
      </c>
      <c r="G31" t="inlineStr">
        <is>
          <t xml:space="preserve"> - Surfer Suite</t>
        </is>
      </c>
      <c r="H31">
        <f>HYPERLINK("https://booking.roadsurfer.com/es/rally/pick?pickup_date=2026-03-23&amp;return_date=2026-03-30&amp;currency=EUR&amp;startStation=91&amp;endStation=47",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2026-04-04</t>
        </is>
      </c>
      <c r="F32" t="inlineStr">
        <is>
          <t>2026-04-11</t>
        </is>
      </c>
      <c r="G32" t="inlineStr">
        <is>
          <t xml:space="preserve"> - No hay coche</t>
        </is>
      </c>
      <c r="H32">
        <f>HYPERLINK("https://booking.roadsurfer.com/es/rally/pick?pickup_date=2026-04-04&amp;return_date=2026-04-11&amp;currency=EUR&amp;startStation=91&amp;endStation=12",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2026-04-18</t>
        </is>
      </c>
      <c r="F33" t="inlineStr">
        <is>
          <t>2026-04-25</t>
        </is>
      </c>
      <c r="G33" t="inlineStr">
        <is>
          <t xml:space="preserve"> - Surfer Suite</t>
        </is>
      </c>
      <c r="H33">
        <f>HYPERLINK("https://booking.roadsurfer.com/es/rally/pick?pickup_date=2026-04-18&amp;return_date=2026-04-25&amp;currency=EUR&amp;startStation=91&amp;endStation=12",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2026-03-23</t>
        </is>
      </c>
      <c r="F34" t="inlineStr">
        <is>
          <t>2026-03-30</t>
        </is>
      </c>
      <c r="G34" t="inlineStr">
        <is>
          <t xml:space="preserve"> - Road House</t>
        </is>
      </c>
      <c r="H34">
        <f>HYPERLINK("https://booking.roadsurfer.com/es/rally/pick?pickup_date=2026-03-23&amp;return_date=2026-03-30&amp;currency=EUR&amp;startStation=91&amp;endStation=48",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2026-04-09</t>
        </is>
      </c>
      <c r="F35" t="inlineStr">
        <is>
          <t>2026-04-16</t>
        </is>
      </c>
      <c r="G35" t="inlineStr">
        <is>
          <t xml:space="preserve"> - Surfer Suite</t>
        </is>
      </c>
      <c r="H35">
        <f>HYPERLINK("https://booking.roadsurfer.com/es/rally/pick?pickup_date=2026-04-09&amp;return_date=2026-04-16&amp;currency=EUR&amp;startStation=91&amp;endStation=48",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2026-04-21</t>
        </is>
      </c>
      <c r="F36" t="inlineStr">
        <is>
          <t>2026-04-28</t>
        </is>
      </c>
      <c r="G36" t="inlineStr">
        <is>
          <t xml:space="preserve"> - Beach Hostel</t>
        </is>
      </c>
      <c r="H36">
        <f>HYPERLINK("https://booking.roadsurfer.com/es/rally/pick?pickup_date=2026-04-21&amp;return_date=2026-04-28&amp;currency=EUR&amp;startStation=91&amp;endStation=31",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2026-04-17</t>
        </is>
      </c>
      <c r="F37" t="inlineStr">
        <is>
          <t>2026-04-24</t>
        </is>
      </c>
      <c r="G37" t="inlineStr">
        <is>
          <t xml:space="preserve"> - Beach Hostel</t>
        </is>
      </c>
      <c r="H37">
        <f>HYPERLINK("https://booking.roadsurfer.com/es/rally/pick?pickup_date=2026-04-17&amp;return_date=2026-04-24&amp;currency=EUR&amp;startStation=91&amp;endStation=42",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Beach Hostel</t>
        </is>
      </c>
      <c r="H38">
        <f>HYPERLINK("https://booking.roadsurfer.com/es/rally/pick?pickup_date=2026-04-21&amp;return_date=2026-04-28&amp;currency=EUR&amp;startStation=91&amp;endStation=59",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Alemania</t>
        </is>
      </c>
      <c r="D39" t="inlineStr">
        <is>
          <t>Heidelberg</t>
        </is>
      </c>
      <c r="E39" t="inlineStr">
        <is>
          <t>2026-04-07</t>
        </is>
      </c>
      <c r="F39" t="inlineStr">
        <is>
          <t>2026-04-14</t>
        </is>
      </c>
      <c r="G39" t="inlineStr">
        <is>
          <t xml:space="preserve"> - Surfer Suite</t>
        </is>
      </c>
      <c r="H39">
        <f>HYPERLINK("https://booking.roadsurfer.com/es/rally/pick?pickup_date=2026-04-07&amp;return_date=2026-04-14&amp;currency=EUR&amp;startStation=91&amp;endStation=79",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Alemania</t>
        </is>
      </c>
      <c r="D40" t="inlineStr">
        <is>
          <t>Constanza (Aach)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Surfer Suite</t>
        </is>
      </c>
      <c r="H40">
        <f>HYPERLINK("https://booking.roadsurfer.com/es/rally/pick?pickup_date=2026-05-06&amp;return_date=2026-05-13&amp;currency=EUR&amp;startStation=91&amp;endStation=10",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2026-04-22</t>
        </is>
      </c>
      <c r="F41" t="inlineStr">
        <is>
          <t>2026-04-29</t>
        </is>
      </c>
      <c r="G41" t="inlineStr">
        <is>
          <t xml:space="preserve"> - Surfer Suite</t>
        </is>
      </c>
      <c r="H41">
        <f>HYPERLINK("https://booking.roadsurfer.com/es/rally/pick?pickup_date=2026-04-22&amp;return_date=2026-04-29&amp;currency=EUR&amp;startStation=91&amp;endStation=77",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2026-04-21</t>
        </is>
      </c>
      <c r="F42" t="inlineStr">
        <is>
          <t>2026-04-28</t>
        </is>
      </c>
      <c r="G42" t="inlineStr">
        <is>
          <t xml:space="preserve"> - Family Finca</t>
        </is>
      </c>
      <c r="H42">
        <f>HYPERLINK("https://booking.roadsurfer.com/es/rally/pick?pickup_date=2026-04-21&amp;return_date=2026-04-28&amp;currency=EUR&amp;startStation=91&amp;endStation=77",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2026-05-05</t>
        </is>
      </c>
      <c r="F43" t="inlineStr">
        <is>
          <t>2026-05-12</t>
        </is>
      </c>
      <c r="G43" t="inlineStr">
        <is>
          <t xml:space="preserve"> - Camper Castle</t>
        </is>
      </c>
      <c r="H43">
        <f>HYPERLINK("https://booking.roadsurfer.com/es/rally/pick?pickup_date=2026-05-05&amp;return_date=2026-05-12&amp;currency=EUR&amp;startStation=91&amp;endStation=77",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2026-05-12</t>
        </is>
      </c>
      <c r="F44" t="inlineStr">
        <is>
          <t>2026-05-19</t>
        </is>
      </c>
      <c r="G44" t="inlineStr">
        <is>
          <t xml:space="preserve"> - Sunrise Suite</t>
        </is>
      </c>
      <c r="H44">
        <f>HYPERLINK("https://booking.roadsurfer.com/es/rally/pick?pickup_date=2026-05-12&amp;return_date=2026-05-19&amp;currency=EUR&amp;startStation=91&amp;endStation=77",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Road House</t>
        </is>
      </c>
      <c r="H45">
        <f>HYPERLINK("https://booking.roadsurfer.com/es/rally/pick?pickup_date=2026-05-04&amp;return_date=2026-05-11&amp;currency=EUR&amp;startStation=91&amp;endStation=32",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Surfer Suite</t>
        </is>
      </c>
      <c r="H46">
        <f>HYPERLINK("https://booking.roadsurfer.com/es/rally/pick?pickup_date=2026-04-20&amp;return_date=2026-04-27&amp;currency=EUR&amp;startStation=91&amp;endStation=60",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2026-03-26</t>
        </is>
      </c>
      <c r="F47" t="inlineStr">
        <is>
          <t>2026-04-02</t>
        </is>
      </c>
      <c r="G47" t="inlineStr">
        <is>
          <t xml:space="preserve"> - Surfer Suite</t>
        </is>
      </c>
      <c r="H47">
        <f>HYPERLINK("https://booking.roadsurfer.com/es/rally/pick?pickup_date=2026-03-26&amp;return_date=2026-04-02&amp;currency=EUR&amp;startStation=40&amp;endStation=22",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Road House</t>
        </is>
      </c>
      <c r="H48">
        <f>HYPERLINK("https://booking.roadsurfer.com/es/rally/pick?pickup_date=2026-04-13&amp;return_date=2026-04-20&amp;currency=EUR&amp;startStation=40&amp;endStation=5",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2026-04-06</t>
        </is>
      </c>
      <c r="F49" t="inlineStr">
        <is>
          <t>2026-04-13</t>
        </is>
      </c>
      <c r="G49" t="inlineStr">
        <is>
          <t xml:space="preserve"> - No hay coche</t>
        </is>
      </c>
      <c r="H49">
        <f>HYPERLINK("https://booking.roadsurfer.com/es/rally/pick?pickup_date=2026-04-06&amp;return_date=2026-04-13&amp;currency=EUR&amp;startStation=40&amp;endStation=52",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Camper Castle</t>
        </is>
      </c>
      <c r="H50">
        <f>HYPERLINK("https://booking.roadsurfer.com/es/rally/pick?pickup_date=2026-05-04&amp;return_date=2026-05-11&amp;currency=EUR&amp;startStation=40&amp;endStation=28", "Clic para verlo en la web de RoadSurfer")</f>
        <v/>
      </c>
    </row>
    <row r="51">
      <c r="A51" t="inlineStr">
        <is>
          <t>Alemania</t>
        </is>
      </c>
      <c r="B51" t="inlineStr">
        <is>
          <t>Bochum</t>
        </is>
      </c>
      <c r="C51" t="inlineStr">
        <is>
          <t>Países Bajos</t>
        </is>
      </c>
      <c r="D51" t="inlineStr">
        <is>
          <t>Ámsterdam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No hay coche</t>
        </is>
      </c>
      <c r="H51">
        <f>HYPERLINK("https://booking.roadsurfer.com/es/rally/pick?pickup_date=2026-04-20&amp;return_date=2026-04-27&amp;currency=EUR&amp;startStation=24&amp;endStation=32", "Clic para verlo en la web de RoadSurfer")</f>
        <v/>
      </c>
    </row>
    <row r="52">
      <c r="A52" t="inlineStr">
        <is>
          <t>Italia</t>
        </is>
      </c>
      <c r="B52" t="inlineStr">
        <is>
          <t>Bolonia</t>
        </is>
      </c>
      <c r="C52" t="inlineStr">
        <is>
          <t>Italia</t>
        </is>
      </c>
      <c r="D52" t="inlineStr">
        <is>
          <t>Venecia</t>
        </is>
      </c>
      <c r="E52" t="inlineStr">
        <is>
          <t>2026-04-27</t>
        </is>
      </c>
      <c r="F52" t="inlineStr">
        <is>
          <t>2026-05-04</t>
        </is>
      </c>
      <c r="G52" t="inlineStr">
        <is>
          <t xml:space="preserve"> - Beach Hostel</t>
        </is>
      </c>
      <c r="H52">
        <f>HYPERLINK("https://booking.roadsurfer.com/es/rally/pick?pickup_date=2026-04-27&amp;return_date=2026-05-04&amp;currency=EUR&amp;startStation=57&amp;endStation=78",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2026-04-15</t>
        </is>
      </c>
      <c r="F53" t="inlineStr">
        <is>
          <t>2026-04-22</t>
        </is>
      </c>
      <c r="G53" t="inlineStr">
        <is>
          <t xml:space="preserve"> - Family Finca</t>
        </is>
      </c>
      <c r="H53">
        <f>HYPERLINK("https://booking.roadsurfer.com/es/rally/pick?pickup_date=2026-04-15&amp;return_date=2026-04-22&amp;currency=EUR&amp;startStation=13&amp;endStation=4",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2026-03-24</t>
        </is>
      </c>
      <c r="F54" t="inlineStr">
        <is>
          <t>2026-03-31</t>
        </is>
      </c>
      <c r="G54" t="inlineStr">
        <is>
          <t xml:space="preserve"> - Travel Home</t>
        </is>
      </c>
      <c r="H54">
        <f>HYPERLINK("https://booking.roadsurfer.com/es/rally/pick?pickup_date=2026-03-24&amp;return_date=2026-03-31&amp;currency=EUR&amp;startStation=13&amp;endStation=2",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Lübeck</t>
        </is>
      </c>
      <c r="E55" t="inlineStr">
        <is>
          <t>2026-04-02</t>
        </is>
      </c>
      <c r="F55" t="inlineStr">
        <is>
          <t>2026-04-09</t>
        </is>
      </c>
      <c r="G55" t="inlineStr">
        <is>
          <t xml:space="preserve"> - Beach Hostel</t>
        </is>
      </c>
      <c r="H55">
        <f>HYPERLINK("https://booking.roadsurfer.com/es/rally/pick?pickup_date=2026-04-02&amp;return_date=2026-04-09&amp;currency=EUR&amp;startStation=13&amp;endStation=109",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Surfer Suite</t>
        </is>
      </c>
      <c r="H56">
        <f>HYPERLINK("https://booking.roadsurfer.com/es/rally/pick?pickup_date=2026-04-16&amp;return_date=2026-04-23&amp;currency=EUR&amp;startStation=13&amp;endStation=29",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Ratisbona</t>
        </is>
      </c>
      <c r="E57" t="inlineStr">
        <is>
          <t>2026-03-26</t>
        </is>
      </c>
      <c r="F57" t="inlineStr">
        <is>
          <t>2026-04-02</t>
        </is>
      </c>
      <c r="G57" t="inlineStr">
        <is>
          <t xml:space="preserve"> - Family Finca</t>
        </is>
      </c>
      <c r="H57">
        <f>HYPERLINK("https://booking.roadsurfer.com/es/rally/pick?pickup_date=2026-03-26&amp;return_date=2026-04-02&amp;currency=EUR&amp;startStation=13&amp;endStation=89",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Dresde</t>
        </is>
      </c>
      <c r="E58" t="inlineStr">
        <is>
          <t>2026-05-04</t>
        </is>
      </c>
      <c r="F58" t="inlineStr">
        <is>
          <t>2026-05-11</t>
        </is>
      </c>
      <c r="G58" t="inlineStr">
        <is>
          <t xml:space="preserve"> - Road House</t>
        </is>
      </c>
      <c r="H58">
        <f>HYPERLINK("https://booking.roadsurfer.com/es/rally/pick?pickup_date=2026-05-04&amp;return_date=2026-05-11&amp;currency=EUR&amp;startStation=13&amp;endStation=56",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Tréveris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Road House</t>
        </is>
      </c>
      <c r="H59">
        <f>HYPERLINK("https://booking.roadsurfer.com/es/rally/pick?pickup_date=2026-04-13&amp;return_date=2026-04-20&amp;currency=EUR&amp;startStation=13&amp;endStation=28",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Ulm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Road House</t>
        </is>
      </c>
      <c r="H60">
        <f>HYPERLINK("https://booking.roadsurfer.com/es/rally/pick?pickup_date=2026-04-16&amp;return_date=2026-04-23&amp;currency=EUR&amp;startStation=13&amp;endStation=112",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2026-03-20</t>
        </is>
      </c>
      <c r="F61" t="inlineStr">
        <is>
          <t>2026-03-27</t>
        </is>
      </c>
      <c r="G61" t="inlineStr">
        <is>
          <t xml:space="preserve"> - Surfer Suite</t>
        </is>
      </c>
      <c r="H61">
        <f>HYPERLINK("https://booking.roadsurfer.com/es/rally/pick?pickup_date=2026-03-20&amp;return_date=2026-03-27&amp;currency=EUR&amp;startStation=13&amp;endStation=22",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2026-04-21</t>
        </is>
      </c>
      <c r="F62" t="inlineStr">
        <is>
          <t>2026-04-28</t>
        </is>
      </c>
      <c r="G62" t="inlineStr">
        <is>
          <t xml:space="preserve"> - Family Finca</t>
        </is>
      </c>
      <c r="H62">
        <f>HYPERLINK("https://booking.roadsurfer.com/es/rally/pick?pickup_date=2026-04-21&amp;return_date=2026-04-28&amp;currency=EUR&amp;startStation=55&amp;endStation=77",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2026-04-17</t>
        </is>
      </c>
      <c r="F63" t="inlineStr">
        <is>
          <t>2026-04-24</t>
        </is>
      </c>
      <c r="G63" t="inlineStr">
        <is>
          <t xml:space="preserve"> - Surfer Suite</t>
        </is>
      </c>
      <c r="H63">
        <f>HYPERLINK("https://booking.roadsurfer.com/es/rally/pick?pickup_date=2026-04-17&amp;return_date=2026-04-24&amp;currency=EUR&amp;startStation=55&amp;endStation=77",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2026-04-23</t>
        </is>
      </c>
      <c r="F64" t="inlineStr">
        <is>
          <t>2026-04-30</t>
        </is>
      </c>
      <c r="G64" t="inlineStr">
        <is>
          <t xml:space="preserve"> - Road House</t>
        </is>
      </c>
      <c r="H64">
        <f>HYPERLINK("https://booking.roadsurfer.com/es/rally/pick?pickup_date=2026-04-23&amp;return_date=2026-04-30&amp;currency=EUR&amp;startStation=55&amp;endStation=77",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BEACH HOSTEL</t>
        </is>
      </c>
      <c r="H65">
        <f>HYPERLINK("https://booking.roadsurfer.com/es/rally/pick?pickup_date=2026-04-15&amp;return_date=2026-04-22&amp;currency=EUR&amp;startStation=55&amp;endStation=59",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2026-04-13</t>
        </is>
      </c>
      <c r="F66" t="inlineStr">
        <is>
          <t>2026-04-20</t>
        </is>
      </c>
      <c r="G66" t="inlineStr">
        <is>
          <t xml:space="preserve"> - Cozy Cottage</t>
        </is>
      </c>
      <c r="H66">
        <f>HYPERLINK("https://booking.roadsurfer.com/es/rally/pick?pickup_date=2026-04-13&amp;return_date=2026-04-20&amp;currency=EUR&amp;startStation=55&amp;endStation=59",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2026-05-04</t>
        </is>
      </c>
      <c r="F67" t="inlineStr">
        <is>
          <t>2026-05-11</t>
        </is>
      </c>
      <c r="G67" t="inlineStr">
        <is>
          <t xml:space="preserve"> - Camper Castle</t>
        </is>
      </c>
      <c r="H67">
        <f>HYPERLINK("https://booking.roadsurfer.com/es/rally/pick?pickup_date=2026-05-04&amp;return_date=2026-05-11&amp;currency=EUR&amp;startStation=55&amp;endStation=33",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Camper Cabin Deluxe</t>
        </is>
      </c>
      <c r="H68">
        <f>HYPERLINK("https://booking.roadsurfer.com/es/rally/pick?pickup_date=2026-04-16&amp;return_date=2026-04-23&amp;currency=EUR&amp;startStation=55&amp;endStation=42",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Surfer Suite - Sunrise Suite</t>
        </is>
      </c>
      <c r="H69">
        <f>HYPERLINK("https://booking.roadsurfer.com/es/rally/pick?pickup_date=2026-04-20&amp;return_date=2026-04-27&amp;currency=EUR&amp;startStation=55&amp;endStation=34",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2026-04-23</t>
        </is>
      </c>
      <c r="F70" t="inlineStr">
        <is>
          <t>2026-04-30</t>
        </is>
      </c>
      <c r="G70" t="inlineStr">
        <is>
          <t xml:space="preserve"> - Sunrise Suite</t>
        </is>
      </c>
      <c r="H70">
        <f>HYPERLINK("https://booking.roadsurfer.com/es/rally/pick?pickup_date=2026-04-23&amp;return_date=2026-04-30&amp;currency=EUR&amp;startStation=55&amp;endStation=34",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Alemania</t>
        </is>
      </c>
      <c r="D71" t="inlineStr">
        <is>
          <t>Aquisgrán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</t>
        </is>
      </c>
      <c r="H71">
        <f>HYPERLINK("https://booking.roadsurfer.com/es/rally/pick?pickup_date=2026-04-20&amp;return_date=2026-04-27&amp;currency=EUR&amp;startStation=55&amp;endStation=114",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Flensburgo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No hay coche</t>
        </is>
      </c>
      <c r="H72">
        <f>HYPERLINK("https://booking.roadsurfer.com/es/rally/pick?pickup_date=2026-04-20&amp;return_date=2026-04-27&amp;currency=EUR&amp;startStation=55&amp;endStation=130",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2026-04-22</t>
        </is>
      </c>
      <c r="F73" t="inlineStr">
        <is>
          <t>2026-04-29</t>
        </is>
      </c>
      <c r="G73" t="inlineStr">
        <is>
          <t xml:space="preserve"> - Beach Hostel</t>
        </is>
      </c>
      <c r="H73">
        <f>HYPERLINK("https://booking.roadsurfer.com/es/rally/pick?pickup_date=2026-04-22&amp;return_date=2026-04-29&amp;currency=EUR&amp;startStation=42&amp;endStation=48",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Camper Castle</t>
        </is>
      </c>
      <c r="H74">
        <f>HYPERLINK("https://booking.roadsurfer.com/es/rally/pick?pickup_date=2026-05-04&amp;return_date=2026-05-11&amp;currency=EUR&amp;startStation=42&amp;endStation=6",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Amberes</t>
        </is>
      </c>
      <c r="E75" t="inlineStr">
        <is>
          <t>2026-03-23</t>
        </is>
      </c>
      <c r="F75" t="inlineStr">
        <is>
          <t>2026-03-30</t>
        </is>
      </c>
      <c r="G75" t="inlineStr">
        <is>
          <t xml:space="preserve"> - Camper Cabin</t>
        </is>
      </c>
      <c r="H75">
        <f>HYPERLINK("https://booking.roadsurfer.com/es/rally/pick?pickup_date=2026-03-23&amp;return_date=2026-03-30&amp;currency=EUR&amp;startStation=52&amp;endStation=47",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Surfer Suite</t>
        </is>
      </c>
      <c r="H76">
        <f>HYPERLINK("https://booking.roadsurfer.com/es/rally/pick?pickup_date=2026-04-16&amp;return_date=2026-04-23&amp;currency=EUR&amp;startStation=52&amp;endStation=47",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Ginebra-Pays de Gex (Francia)</t>
        </is>
      </c>
      <c r="E77" t="inlineStr">
        <is>
          <t>2026-04-18</t>
        </is>
      </c>
      <c r="F77" t="inlineStr">
        <is>
          <t>2026-04-25</t>
        </is>
      </c>
      <c r="G77" t="inlineStr">
        <is>
          <t xml:space="preserve"> - Beach Hostel</t>
        </is>
      </c>
      <c r="H77">
        <f>HYPERLINK("https://booking.roadsurfer.com/es/rally/pick?pickup_date=2026-04-18&amp;return_date=2026-04-25&amp;currency=EUR&amp;startStation=52&amp;endStation=29",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2026-04-23</t>
        </is>
      </c>
      <c r="F78" t="inlineStr">
        <is>
          <t>2026-04-30</t>
        </is>
      </c>
      <c r="G78" t="inlineStr">
        <is>
          <t xml:space="preserve"> - No hay coche</t>
        </is>
      </c>
      <c r="H78">
        <f>HYPERLINK("https://booking.roadsurfer.com/es/rally/pick?pickup_date=2026-04-23&amp;return_date=2026-04-30&amp;currency=EUR&amp;startStation=52&amp;endStation=130",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Flensburgo</t>
        </is>
      </c>
      <c r="E79" t="inlineStr">
        <is>
          <t>2026-04-16</t>
        </is>
      </c>
      <c r="F79" t="inlineStr">
        <is>
          <t>2026-04-23</t>
        </is>
      </c>
      <c r="G79" t="inlineStr">
        <is>
          <t xml:space="preserve"> - No hay coche</t>
        </is>
      </c>
      <c r="H79">
        <f>HYPERLINK("https://booking.roadsurfer.com/es/rally/pick?pickup_date=2026-04-16&amp;return_date=2026-04-23&amp;currency=EUR&amp;startStation=52&amp;endStation=130",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2026-04-20</t>
        </is>
      </c>
      <c r="F80" t="inlineStr">
        <is>
          <t>2026-04-27</t>
        </is>
      </c>
      <c r="G80" t="inlineStr">
        <is>
          <t xml:space="preserve"> - No hay coche</t>
        </is>
      </c>
      <c r="H80">
        <f>HYPERLINK("https://booking.roadsurfer.com/es/rally/pick?pickup_date=2026-04-20&amp;return_date=2026-04-27&amp;currency=EUR&amp;startStation=52&amp;endStation=130",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Berlín-Schönefeld</t>
        </is>
      </c>
      <c r="E81" t="inlineStr">
        <is>
          <t>2026-04-13</t>
        </is>
      </c>
      <c r="F81" t="inlineStr">
        <is>
          <t>2026-04-20</t>
        </is>
      </c>
      <c r="G81" t="inlineStr">
        <is>
          <t xml:space="preserve"> - Travel Home</t>
        </is>
      </c>
      <c r="H81">
        <f>HYPERLINK("https://booking.roadsurfer.com/es/rally/pick?pickup_date=2026-04-13&amp;return_date=2026-04-20&amp;currency=EUR&amp;startStation=52&amp;endStation=51",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Camper Cabin</t>
        </is>
      </c>
      <c r="H82">
        <f>HYPERLINK("https://booking.roadsurfer.com/es/rally/pick?pickup_date=2026-04-13&amp;return_date=2026-04-20&amp;currency=EUR&amp;startStation=52&amp;endStation=13",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Heidelberg</t>
        </is>
      </c>
      <c r="E83" t="inlineStr">
        <is>
          <t>2026-04-09</t>
        </is>
      </c>
      <c r="F83" t="inlineStr">
        <is>
          <t>2026-04-16</t>
        </is>
      </c>
      <c r="G83" t="inlineStr">
        <is>
          <t xml:space="preserve"> - Camper Cabin</t>
        </is>
      </c>
      <c r="H83">
        <f>HYPERLINK("https://booking.roadsurfer.com/es/rally/pick?pickup_date=2026-04-09&amp;return_date=2026-04-16&amp;currency=EUR&amp;startStation=52&amp;endStation=79",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2026-04-09</t>
        </is>
      </c>
      <c r="F84" t="inlineStr">
        <is>
          <t>2026-04-16</t>
        </is>
      </c>
      <c r="G84" t="inlineStr">
        <is>
          <t xml:space="preserve"> - Road House</t>
        </is>
      </c>
      <c r="H84">
        <f>HYPERLINK("https://booking.roadsurfer.com/es/rally/pick?pickup_date=2026-04-09&amp;return_date=2026-04-16&amp;currency=EUR&amp;startStation=52&amp;endStation=42",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Family Finca</t>
        </is>
      </c>
      <c r="H85">
        <f>HYPERLINK("https://booking.roadsurfer.com/es/rally/pick?pickup_date=2026-04-13&amp;return_date=2026-04-20&amp;currency=EUR&amp;startStation=52&amp;endStation=42",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2026-04-10</t>
        </is>
      </c>
      <c r="F86" t="inlineStr">
        <is>
          <t>2026-04-17</t>
        </is>
      </c>
      <c r="G86" t="inlineStr">
        <is>
          <t xml:space="preserve"> - Sunrise Suite</t>
        </is>
      </c>
      <c r="H86">
        <f>HYPERLINK("https://booking.roadsurfer.com/es/rally/pick?pickup_date=2026-04-10&amp;return_date=2026-04-17&amp;currency=EUR&amp;startStation=52&amp;endStation=42",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España</t>
        </is>
      </c>
      <c r="D87" t="inlineStr">
        <is>
          <t>Valencia</t>
        </is>
      </c>
      <c r="E87" t="inlineStr">
        <is>
          <t>2026-04-06</t>
        </is>
      </c>
      <c r="F87" t="inlineStr">
        <is>
          <t>2026-04-13</t>
        </is>
      </c>
      <c r="G87" t="inlineStr">
        <is>
          <t xml:space="preserve"> - No hay coche</t>
        </is>
      </c>
      <c r="H87">
        <f>HYPERLINK("https://booking.roadsurfer.com/es/rally/pick?pickup_date=2026-04-06&amp;return_date=2026-04-13&amp;currency=EUR&amp;startStation=52&amp;endStation=38",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Francia</t>
        </is>
      </c>
      <c r="D88" t="inlineStr">
        <is>
          <t>París Aeropuerto CDG</t>
        </is>
      </c>
      <c r="E88" t="inlineStr">
        <is>
          <t>2026-03-24</t>
        </is>
      </c>
      <c r="F88" t="inlineStr">
        <is>
          <t>2026-03-31</t>
        </is>
      </c>
      <c r="G88" t="inlineStr">
        <is>
          <t xml:space="preserve"> - Camper Cabin Deluxe</t>
        </is>
      </c>
      <c r="H88">
        <f>HYPERLINK("https://booking.roadsurfer.com/es/rally/pick?pickup_date=2026-03-24&amp;return_date=2026-03-31&amp;currency=EUR&amp;startStation=52&amp;endStation=48",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2026-05-02</t>
        </is>
      </c>
      <c r="F89" t="inlineStr">
        <is>
          <t>2026-05-09</t>
        </is>
      </c>
      <c r="G89" t="inlineStr">
        <is>
          <t xml:space="preserve"> - Camper Castle</t>
        </is>
      </c>
      <c r="H89">
        <f>HYPERLINK("https://booking.roadsurfer.com/es/rally/pick?pickup_date=2026-05-02&amp;return_date=2026-05-09&amp;currency=EUR&amp;startStation=52&amp;endStation=48",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2026-04-16</t>
        </is>
      </c>
      <c r="F90" t="inlineStr">
        <is>
          <t>2026-04-23</t>
        </is>
      </c>
      <c r="G90" t="inlineStr">
        <is>
          <t xml:space="preserve"> - Camper Castle</t>
        </is>
      </c>
      <c r="H90">
        <f>HYPERLINK("https://booking.roadsurfer.com/es/rally/pick?pickup_date=2026-04-16&amp;return_date=2026-04-23&amp;currency=EUR&amp;startStation=52&amp;endStation=90",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Alemania</t>
        </is>
      </c>
      <c r="D91" t="inlineStr">
        <is>
          <t>Núremberg</t>
        </is>
      </c>
      <c r="E91" t="inlineStr">
        <is>
          <t>2026-04-16</t>
        </is>
      </c>
      <c r="F91" t="inlineStr">
        <is>
          <t>2026-04-23</t>
        </is>
      </c>
      <c r="G91" t="inlineStr">
        <is>
          <t xml:space="preserve"> - Camper Castle</t>
        </is>
      </c>
      <c r="H91">
        <f>HYPERLINK("https://booking.roadsurfer.com/es/rally/pick?pickup_date=2026-04-16&amp;return_date=2026-04-23&amp;currency=EUR&amp;startStation=52&amp;endStation=11",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Alemania</t>
        </is>
      </c>
      <c r="D92" t="inlineStr">
        <is>
          <t>Núremberg</t>
        </is>
      </c>
      <c r="E92" t="inlineStr">
        <is>
          <t>2026-04-27</t>
        </is>
      </c>
      <c r="F92" t="inlineStr">
        <is>
          <t>2026-05-04</t>
        </is>
      </c>
      <c r="G92" t="inlineStr">
        <is>
          <t xml:space="preserve"> - Sunrise Suite</t>
        </is>
      </c>
      <c r="H92">
        <f>HYPERLINK("https://booking.roadsurfer.com/es/rally/pick?pickup_date=2026-04-27&amp;return_date=2026-05-04&amp;currency=EUR&amp;startStation=52&amp;endStation=11",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2026-04-18</t>
        </is>
      </c>
      <c r="F93" t="inlineStr">
        <is>
          <t>2026-04-25</t>
        </is>
      </c>
      <c r="G93" t="inlineStr">
        <is>
          <t xml:space="preserve"> - Sunrise Suite</t>
        </is>
      </c>
      <c r="H93">
        <f>HYPERLINK("https://booking.roadsurfer.com/es/rally/pick?pickup_date=2026-04-18&amp;return_date=2026-04-25&amp;currency=EUR&amp;startStation=52&amp;endStation=12",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2026-04-20</t>
        </is>
      </c>
      <c r="F94" t="inlineStr">
        <is>
          <t>2026-04-27</t>
        </is>
      </c>
      <c r="G94" t="inlineStr">
        <is>
          <t xml:space="preserve"> - Sunrise Suite</t>
        </is>
      </c>
      <c r="H94">
        <f>HYPERLINK("https://booking.roadsurfer.com/es/rally/pick?pickup_date=2026-04-20&amp;return_date=2026-04-27&amp;currency=EUR&amp;startStation=52&amp;endStation=5",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Flensburgo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No hay coche</t>
        </is>
      </c>
      <c r="H95">
        <f>HYPERLINK("https://booking.roadsurfer.com/es/rally/pick?pickup_date=2026-04-20&amp;return_date=2026-04-27&amp;currency=EUR&amp;startStation=4&amp;endStation=130",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Alemania</t>
        </is>
      </c>
      <c r="D96" t="inlineStr">
        <is>
          <t>Hamburgo Aeropuerto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Road House</t>
        </is>
      </c>
      <c r="H96">
        <f>HYPERLINK("https://booking.roadsurfer.com/es/rally/pick?pickup_date=2026-03-23&amp;return_date=2026-03-30&amp;currency=EUR&amp;startStation=4&amp;endStation=65",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2026-04-17</t>
        </is>
      </c>
      <c r="F97" t="inlineStr">
        <is>
          <t>2026-04-24</t>
        </is>
      </c>
      <c r="G97" t="inlineStr">
        <is>
          <t xml:space="preserve"> - Travel Home</t>
        </is>
      </c>
      <c r="H97">
        <f>HYPERLINK("https://booking.roadsurfer.com/es/rally/pick?pickup_date=2026-04-17&amp;return_date=2026-04-24&amp;currency=EUR&amp;startStation=4&amp;endStation=13",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Surfer Suite</t>
        </is>
      </c>
      <c r="H98">
        <f>HYPERLINK("https://booking.roadsurfer.com/es/rally/pick?pickup_date=2026-03-20&amp;return_date=2026-03-27&amp;currency=EUR&amp;startStation=4&amp;endStation=31",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Ginebra-Pays de Gex (Francia)</t>
        </is>
      </c>
      <c r="E99" t="inlineStr">
        <is>
          <t>2026-04-20</t>
        </is>
      </c>
      <c r="F99" t="inlineStr">
        <is>
          <t>2026-04-27</t>
        </is>
      </c>
      <c r="G99" t="inlineStr">
        <is>
          <t xml:space="preserve"> - Surfer Suite</t>
        </is>
      </c>
      <c r="H99">
        <f>HYPERLINK("https://booking.roadsurfer.com/es/rally/pick?pickup_date=2026-04-20&amp;return_date=2026-04-27&amp;currency=EUR&amp;startStation=4&amp;endStation=29",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2026-04-04</t>
        </is>
      </c>
      <c r="F100" t="inlineStr">
        <is>
          <t>2026-04-11</t>
        </is>
      </c>
      <c r="G100" t="inlineStr">
        <is>
          <t xml:space="preserve"> - Camper Cabin</t>
        </is>
      </c>
      <c r="H100">
        <f>HYPERLINK("https://booking.roadsurfer.com/es/rally/pick?pickup_date=2026-04-04&amp;return_date=2026-04-11&amp;currency=EUR&amp;startStation=4&amp;endStation=12",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Alemania</t>
        </is>
      </c>
      <c r="D101" t="inlineStr">
        <is>
          <t>Berlín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Camper Castle</t>
        </is>
      </c>
      <c r="H101">
        <f>HYPERLINK("https://booking.roadsurfer.com/es/rally/pick?pickup_date=2026-05-04&amp;return_date=2026-05-11&amp;currency=EUR&amp;startStation=4&amp;endStation=6",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Austria</t>
        </is>
      </c>
      <c r="D102" t="inlineStr">
        <is>
          <t>Salzburgo</t>
        </is>
      </c>
      <c r="E102" t="inlineStr">
        <is>
          <t>2026-04-13</t>
        </is>
      </c>
      <c r="F102" t="inlineStr">
        <is>
          <t>2026-04-20</t>
        </is>
      </c>
      <c r="G102" t="inlineStr">
        <is>
          <t xml:space="preserve"> - Camper Castle</t>
        </is>
      </c>
      <c r="H102">
        <f>HYPERLINK("https://booking.roadsurfer.com/es/rally/pick?pickup_date=2026-04-13&amp;return_date=2026-04-20&amp;currency=EUR&amp;startStation=10&amp;endStation=85",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Lyon</t>
        </is>
      </c>
      <c r="E103" t="inlineStr">
        <is>
          <t>2026-03-20</t>
        </is>
      </c>
      <c r="F103" t="inlineStr">
        <is>
          <t>2026-03-27</t>
        </is>
      </c>
      <c r="G103" t="inlineStr">
        <is>
          <t xml:space="preserve"> - Road House</t>
        </is>
      </c>
      <c r="H103">
        <f>HYPERLINK("https://booking.roadsurfer.com/es/rally/pick?pickup_date=2026-03-20&amp;return_date=2026-03-27&amp;currency=EUR&amp;startStation=10&amp;endStation=15",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2026-04-04</t>
        </is>
      </c>
      <c r="F104" t="inlineStr">
        <is>
          <t>2026-04-11</t>
        </is>
      </c>
      <c r="G104" t="inlineStr">
        <is>
          <t xml:space="preserve"> - Surfer Suite</t>
        </is>
      </c>
      <c r="H104">
        <f>HYPERLINK("https://booking.roadsurfer.com/es/rally/pick?pickup_date=2026-04-04&amp;return_date=2026-04-11&amp;currency=EUR&amp;startStation=10&amp;endStation=13",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Alemania</t>
        </is>
      </c>
      <c r="D105" t="inlineStr">
        <is>
          <t>Tréveris</t>
        </is>
      </c>
      <c r="E105" t="inlineStr">
        <is>
          <t>2026-04-13</t>
        </is>
      </c>
      <c r="F105" t="inlineStr">
        <is>
          <t>2026-04-20</t>
        </is>
      </c>
      <c r="G105" t="inlineStr">
        <is>
          <t xml:space="preserve"> - Road House</t>
        </is>
      </c>
      <c r="H105">
        <f>HYPERLINK("https://booking.roadsurfer.com/es/rally/pick?pickup_date=2026-04-13&amp;return_date=2026-04-20&amp;currency=EUR&amp;startStation=10&amp;endStation=28",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Italia</t>
        </is>
      </c>
      <c r="D106" t="inlineStr">
        <is>
          <t>Bolonia</t>
        </is>
      </c>
      <c r="E106" t="inlineStr">
        <is>
          <t>2026-03-24</t>
        </is>
      </c>
      <c r="F106" t="inlineStr">
        <is>
          <t>2026-03-31</t>
        </is>
      </c>
      <c r="G106" t="inlineStr">
        <is>
          <t xml:space="preserve"> - Couple Cottage</t>
        </is>
      </c>
      <c r="H106">
        <f>HYPERLINK("https://booking.roadsurfer.com/es/rally/pick?pickup_date=2026-03-24&amp;return_date=2026-03-31&amp;currency=EUR&amp;startStation=10&amp;endStation=57",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Austria</t>
        </is>
      </c>
      <c r="D107" t="inlineStr">
        <is>
          <t>Graz</t>
        </is>
      </c>
      <c r="E107" t="inlineStr">
        <is>
          <t>2026-03-26</t>
        </is>
      </c>
      <c r="F107" t="inlineStr">
        <is>
          <t>2026-04-02</t>
        </is>
      </c>
      <c r="G107" t="inlineStr">
        <is>
          <t xml:space="preserve"> - Road House</t>
        </is>
      </c>
      <c r="H107">
        <f>HYPERLINK("https://booking.roadsurfer.com/es/rally/pick?pickup_date=2026-03-26&amp;return_date=2026-04-02&amp;currency=EUR&amp;startStation=56&amp;endStation=37",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Austria</t>
        </is>
      </c>
      <c r="D108" t="inlineStr">
        <is>
          <t>Graz</t>
        </is>
      </c>
      <c r="E108" t="inlineStr">
        <is>
          <t>2026-04-21</t>
        </is>
      </c>
      <c r="F108" t="inlineStr">
        <is>
          <t>2026-04-28</t>
        </is>
      </c>
      <c r="G108" t="inlineStr">
        <is>
          <t xml:space="preserve"> - Road House</t>
        </is>
      </c>
      <c r="H108">
        <f>HYPERLINK("https://booking.roadsurfer.com/es/rally/pick?pickup_date=2026-04-21&amp;return_date=2026-04-28&amp;currency=EUR&amp;startStation=56&amp;endStation=37",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Austria</t>
        </is>
      </c>
      <c r="D109" t="inlineStr">
        <is>
          <t>Graz</t>
        </is>
      </c>
      <c r="E109" t="inlineStr">
        <is>
          <t>2026-04-22</t>
        </is>
      </c>
      <c r="F109" t="inlineStr">
        <is>
          <t>2026-04-29</t>
        </is>
      </c>
      <c r="G109" t="inlineStr">
        <is>
          <t xml:space="preserve"> - Family Finca</t>
        </is>
      </c>
      <c r="H109">
        <f>HYPERLINK("https://booking.roadsurfer.com/es/rally/pick?pickup_date=2026-04-22&amp;return_date=2026-04-29&amp;currency=EUR&amp;startStation=56&amp;endStation=37",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2026-04-20</t>
        </is>
      </c>
      <c r="F110" t="inlineStr">
        <is>
          <t>2026-04-27</t>
        </is>
      </c>
      <c r="G110" t="inlineStr">
        <is>
          <t xml:space="preserve"> - Family Finca</t>
        </is>
      </c>
      <c r="H110">
        <f>HYPERLINK("https://booking.roadsurfer.com/es/rally/pick?pickup_date=2026-04-20&amp;return_date=2026-04-27&amp;currency=EUR&amp;startStation=56&amp;endStation=77",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2026-04-23</t>
        </is>
      </c>
      <c r="F111" t="inlineStr">
        <is>
          <t>2026-04-30</t>
        </is>
      </c>
      <c r="G111" t="inlineStr">
        <is>
          <t xml:space="preserve"> - Road House</t>
        </is>
      </c>
      <c r="H111">
        <f>HYPERLINK("https://booking.roadsurfer.com/es/rally/pick?pickup_date=2026-04-23&amp;return_date=2026-04-30&amp;currency=EUR&amp;startStation=56&amp;endStation=59",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2026-04-21</t>
        </is>
      </c>
      <c r="F112" t="inlineStr">
        <is>
          <t>2026-04-28</t>
        </is>
      </c>
      <c r="G112" t="inlineStr">
        <is>
          <t xml:space="preserve"> - Road House</t>
        </is>
      </c>
      <c r="H112">
        <f>HYPERLINK("https://booking.roadsurfer.com/es/rally/pick?pickup_date=2026-04-21&amp;return_date=2026-04-28&amp;currency=EUR&amp;startStation=56&amp;endStation=59",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Países Bajos</t>
        </is>
      </c>
      <c r="D113" t="inlineStr">
        <is>
          <t>Róterdam</t>
        </is>
      </c>
      <c r="E113" t="inlineStr">
        <is>
          <t>2026-04-09</t>
        </is>
      </c>
      <c r="F113" t="inlineStr">
        <is>
          <t>2026-04-16</t>
        </is>
      </c>
      <c r="G113" t="inlineStr">
        <is>
          <t xml:space="preserve"> - Road House</t>
        </is>
      </c>
      <c r="H113">
        <f>HYPERLINK("https://booking.roadsurfer.com/es/rally/pick?pickup_date=2026-04-09&amp;return_date=2026-04-16&amp;currency=EUR&amp;startStation=56&amp;endStation=33",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2026-04-27</t>
        </is>
      </c>
      <c r="F114" t="inlineStr">
        <is>
          <t>2026-05-04</t>
        </is>
      </c>
      <c r="G114" t="inlineStr">
        <is>
          <t xml:space="preserve"> - Surfer Suite</t>
        </is>
      </c>
      <c r="H114">
        <f>HYPERLINK("https://booking.roadsurfer.com/es/rally/pick?pickup_date=2026-04-27&amp;return_date=2026-05-04&amp;currency=EUR&amp;startStation=56&amp;endStation=33",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Francia</t>
        </is>
      </c>
      <c r="D115" t="inlineStr">
        <is>
          <t>Lille</t>
        </is>
      </c>
      <c r="E115" t="inlineStr">
        <is>
          <t>2026-04-25</t>
        </is>
      </c>
      <c r="F115" t="inlineStr">
        <is>
          <t>2026-05-02</t>
        </is>
      </c>
      <c r="G115" t="inlineStr">
        <is>
          <t xml:space="preserve"> - Surfer Suite</t>
        </is>
      </c>
      <c r="H115">
        <f>HYPERLINK("https://booking.roadsurfer.com/es/rally/pick?pickup_date=2026-04-25&amp;return_date=2026-05-02&amp;currency=EUR&amp;startStation=56&amp;endStation=87",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Nantes</t>
        </is>
      </c>
      <c r="E116" t="inlineStr">
        <is>
          <t>2026-04-30</t>
        </is>
      </c>
      <c r="F116" t="inlineStr">
        <is>
          <t>2026-05-07</t>
        </is>
      </c>
      <c r="G116" t="inlineStr">
        <is>
          <t xml:space="preserve"> - Camper Castle</t>
        </is>
      </c>
      <c r="H116">
        <f>HYPERLINK("https://booking.roadsurfer.com/es/rally/pick?pickup_date=2026-04-30&amp;return_date=2026-05-07&amp;currency=EUR&amp;startStation=56&amp;endStation=31",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2026-03-21</t>
        </is>
      </c>
      <c r="F117" t="inlineStr">
        <is>
          <t>2026-03-28</t>
        </is>
      </c>
      <c r="G117" t="inlineStr">
        <is>
          <t xml:space="preserve"> - Camper Cabin Deluxe</t>
        </is>
      </c>
      <c r="H117">
        <f>HYPERLINK("https://booking.roadsurfer.com/es/rally/pick?pickup_date=2026-03-21&amp;return_date=2026-03-28&amp;currency=EUR&amp;startStation=56&amp;endStation=32",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Bélgica</t>
        </is>
      </c>
      <c r="D118" t="inlineStr">
        <is>
          <t>Amberes</t>
        </is>
      </c>
      <c r="E118" t="inlineStr">
        <is>
          <t>2026-04-16</t>
        </is>
      </c>
      <c r="F118" t="inlineStr">
        <is>
          <t>2026-04-23</t>
        </is>
      </c>
      <c r="G118" t="inlineStr">
        <is>
          <t xml:space="preserve"> - Beach Hostel</t>
        </is>
      </c>
      <c r="H118">
        <f>HYPERLINK("https://booking.roadsurfer.com/es/rally/pick?pickup_date=2026-04-16&amp;return_date=2026-04-23&amp;currency=EUR&amp;startStation=56&amp;endStation=47",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Italia</t>
        </is>
      </c>
      <c r="D119" t="inlineStr">
        <is>
          <t>Turín</t>
        </is>
      </c>
      <c r="E119" t="inlineStr">
        <is>
          <t>2026-04-23</t>
        </is>
      </c>
      <c r="F119" t="inlineStr">
        <is>
          <t>2026-04-30</t>
        </is>
      </c>
      <c r="G119" t="inlineStr">
        <is>
          <t xml:space="preserve"> - Surfer Suite</t>
        </is>
      </c>
      <c r="H119">
        <f>HYPERLINK("https://booking.roadsurfer.com/es/rally/pick?pickup_date=2026-04-23&amp;return_date=2026-04-30&amp;currency=EUR&amp;startStation=56&amp;endStation=58",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2026-04-17</t>
        </is>
      </c>
      <c r="F120" t="inlineStr">
        <is>
          <t>2026-04-24</t>
        </is>
      </c>
      <c r="G120" t="inlineStr">
        <is>
          <t xml:space="preserve"> - Road House</t>
        </is>
      </c>
      <c r="H120">
        <f>HYPERLINK("https://booking.roadsurfer.com/es/rally/pick?pickup_date=2026-04-17&amp;return_date=2026-04-24&amp;currency=EUR&amp;startStation=56&amp;endStation=42",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Italia</t>
        </is>
      </c>
      <c r="D121" t="inlineStr">
        <is>
          <t>Venecia</t>
        </is>
      </c>
      <c r="E121" t="inlineStr">
        <is>
          <t>2026-04-22</t>
        </is>
      </c>
      <c r="F121" t="inlineStr">
        <is>
          <t>2026-04-29</t>
        </is>
      </c>
      <c r="G121" t="inlineStr">
        <is>
          <t xml:space="preserve"> - Sunrise Suite</t>
        </is>
      </c>
      <c r="H121">
        <f>HYPERLINK("https://booking.roadsurfer.com/es/rally/pick?pickup_date=2026-04-22&amp;return_date=2026-04-29&amp;currency=EUR&amp;startStation=56&amp;endStation=78",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París Aeropuerto CDG</t>
        </is>
      </c>
      <c r="E122" t="inlineStr">
        <is>
          <t>2026-04-23</t>
        </is>
      </c>
      <c r="F122" t="inlineStr">
        <is>
          <t>2026-04-30</t>
        </is>
      </c>
      <c r="G122" t="inlineStr">
        <is>
          <t xml:space="preserve"> - Surfer Suite</t>
        </is>
      </c>
      <c r="H122">
        <f>HYPERLINK("https://booking.roadsurfer.com/es/rally/pick?pickup_date=2026-04-23&amp;return_date=2026-04-30&amp;currency=EUR&amp;startStation=56&amp;endStation=48",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Países Bajos</t>
        </is>
      </c>
      <c r="D123" t="inlineStr">
        <is>
          <t>Róterdam</t>
        </is>
      </c>
      <c r="E123" t="inlineStr">
        <is>
          <t>2026-03-20</t>
        </is>
      </c>
      <c r="F123" t="inlineStr">
        <is>
          <t>2026-03-27</t>
        </is>
      </c>
      <c r="G123" t="inlineStr">
        <is>
          <t xml:space="preserve"> - Surfer Suite</t>
        </is>
      </c>
      <c r="H123">
        <f>HYPERLINK("https://booking.roadsurfer.com/es/rally/pick?pickup_date=2026-03-20&amp;return_date=2026-03-27&amp;currency=EUR&amp;startStation=113&amp;endStation=33",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Surfer Suite - Beach Hostel</t>
        </is>
      </c>
      <c r="H124">
        <f>HYPERLINK("https://booking.roadsurfer.com/es/rally/pick?pickup_date=2026-04-20&amp;return_date=2026-04-27&amp;currency=EUR&amp;startStation=113&amp;endStation=34",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No hay coche</t>
        </is>
      </c>
      <c r="H125">
        <f>HYPERLINK("https://booking.roadsurfer.com/es/rally/pick?pickup_date=2026-04-23&amp;return_date=2026-04-30&amp;currency=EUR&amp;startStation=113&amp;endStation=34",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2026-04-27</t>
        </is>
      </c>
      <c r="F126" t="inlineStr">
        <is>
          <t>2026-05-04</t>
        </is>
      </c>
      <c r="G126" t="inlineStr">
        <is>
          <t xml:space="preserve"> - Surfer Suite</t>
        </is>
      </c>
      <c r="H126">
        <f>HYPERLINK("https://booking.roadsurfer.com/es/rally/pick?pickup_date=2026-04-27&amp;return_date=2026-05-04&amp;currency=EUR&amp;startStation=113&amp;endStation=34",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2026-04-20</t>
        </is>
      </c>
      <c r="F127" t="inlineStr">
        <is>
          <t>2026-04-27</t>
        </is>
      </c>
      <c r="G127" t="inlineStr">
        <is>
          <t xml:space="preserve"> - Surfer Suite</t>
        </is>
      </c>
      <c r="H127">
        <f>HYPERLINK("https://booking.roadsurfer.com/es/rally/pick?pickup_date=2026-04-20&amp;return_date=2026-04-27&amp;currency=EUR&amp;startStation=113&amp;endStation=94",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Bérgamo</t>
        </is>
      </c>
      <c r="E128" t="inlineStr">
        <is>
          <t>2026-04-23</t>
        </is>
      </c>
      <c r="F128" t="inlineStr">
        <is>
          <t>2026-04-30</t>
        </is>
      </c>
      <c r="G128" t="inlineStr">
        <is>
          <t xml:space="preserve"> - No hay coche</t>
        </is>
      </c>
      <c r="H128">
        <f>HYPERLINK("https://booking.roadsurfer.com/es/rally/pick?pickup_date=2026-04-23&amp;return_date=2026-04-30&amp;currency=EUR&amp;startStation=113&amp;endStation=94",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España</t>
        </is>
      </c>
      <c r="D129" t="inlineStr">
        <is>
          <t>Bilbao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Surfer Suite</t>
        </is>
      </c>
      <c r="H129">
        <f>HYPERLINK("https://booking.roadsurfer.com/es/rally/pick?pickup_date=2026-04-20&amp;return_date=2026-04-27&amp;currency=EUR&amp;startStation=113&amp;endStation=40",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Amberes</t>
        </is>
      </c>
      <c r="E130" t="inlineStr">
        <is>
          <t>2026-04-13</t>
        </is>
      </c>
      <c r="F130" t="inlineStr">
        <is>
          <t>2026-04-20</t>
        </is>
      </c>
      <c r="G130" t="inlineStr">
        <is>
          <t xml:space="preserve"> - Surfer Suite</t>
        </is>
      </c>
      <c r="H130">
        <f>HYPERLINK("https://booking.roadsurfer.com/es/rally/pick?pickup_date=2026-04-13&amp;return_date=2026-04-20&amp;currency=EUR&amp;startStation=90&amp;endStation=47",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2026-03-25</t>
        </is>
      </c>
      <c r="F131" t="inlineStr">
        <is>
          <t>2026-04-01</t>
        </is>
      </c>
      <c r="G131" t="inlineStr">
        <is>
          <t xml:space="preserve"> - SURFER SUITE</t>
        </is>
      </c>
      <c r="H131">
        <f>HYPERLINK("https://booking.roadsurfer.com/es/rally/pick?pickup_date=2026-03-25&amp;return_date=2026-04-01&amp;currency=EUR&amp;startStation=90&amp;endStation=42",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2026-04-14</t>
        </is>
      </c>
      <c r="F132" t="inlineStr">
        <is>
          <t>2026-04-21</t>
        </is>
      </c>
      <c r="G132" t="inlineStr">
        <is>
          <t xml:space="preserve"> - Beach Hostel</t>
        </is>
      </c>
      <c r="H132">
        <f>HYPERLINK("https://booking.roadsurfer.com/es/rally/pick?pickup_date=2026-04-14&amp;return_date=2026-04-21&amp;currency=EUR&amp;startStation=90&amp;endStation=42",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Austria</t>
        </is>
      </c>
      <c r="D133" t="inlineStr">
        <is>
          <t>Linz</t>
        </is>
      </c>
      <c r="E133" t="inlineStr">
        <is>
          <t>2026-03-23</t>
        </is>
      </c>
      <c r="F133" t="inlineStr">
        <is>
          <t>2026-03-30</t>
        </is>
      </c>
      <c r="G133" t="inlineStr">
        <is>
          <t xml:space="preserve"> - Surfer Suite</t>
        </is>
      </c>
      <c r="H133">
        <f>HYPERLINK("https://booking.roadsurfer.com/es/rally/pick?pickup_date=2026-03-23&amp;return_date=2026-03-30&amp;currency=EUR&amp;startStation=90&amp;endStation=116",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Italia</t>
        </is>
      </c>
      <c r="D134" t="inlineStr">
        <is>
          <t>Milán</t>
        </is>
      </c>
      <c r="E134" t="inlineStr">
        <is>
          <t>2026-03-26</t>
        </is>
      </c>
      <c r="F134" t="inlineStr">
        <is>
          <t>2026-04-02</t>
        </is>
      </c>
      <c r="G134" t="inlineStr">
        <is>
          <t xml:space="preserve"> - No hay coche</t>
        </is>
      </c>
      <c r="H134">
        <f>HYPERLINK("https://booking.roadsurfer.com/es/rally/pick?pickup_date=2026-03-26&amp;return_date=2026-04-02&amp;currency=EUR&amp;startStation=90&amp;endStation=34",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2026-04-21</t>
        </is>
      </c>
      <c r="F135" t="inlineStr">
        <is>
          <t>2026-04-28</t>
        </is>
      </c>
      <c r="G135" t="inlineStr">
        <is>
          <t xml:space="preserve"> - Sunrise Suite</t>
        </is>
      </c>
      <c r="H135">
        <f>HYPERLINK("https://booking.roadsurfer.com/es/rally/pick?pickup_date=2026-04-21&amp;return_date=2026-04-28&amp;currency=EUR&amp;startStation=90&amp;endStation=59",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Suecia</t>
        </is>
      </c>
      <c r="D136" t="inlineStr">
        <is>
          <t>Gotemburgo</t>
        </is>
      </c>
      <c r="E136" t="inlineStr">
        <is>
          <t>2026-04-14</t>
        </is>
      </c>
      <c r="F136" t="inlineStr">
        <is>
          <t>2026-04-21</t>
        </is>
      </c>
      <c r="G136" t="inlineStr">
        <is>
          <t xml:space="preserve"> - Road House</t>
        </is>
      </c>
      <c r="H136">
        <f>HYPERLINK("https://booking.roadsurfer.com/es/rally/pick?pickup_date=2026-04-14&amp;return_date=2026-04-21&amp;currency=EUR&amp;startStation=90&amp;endStation=77",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Estrasburgo</t>
        </is>
      </c>
      <c r="E137" t="inlineStr">
        <is>
          <t>2026-05-08</t>
        </is>
      </c>
      <c r="F137" t="inlineStr">
        <is>
          <t>2026-05-15</t>
        </is>
      </c>
      <c r="G137" t="inlineStr">
        <is>
          <t xml:space="preserve"> - Beach Hostel</t>
        </is>
      </c>
      <c r="H137">
        <f>HYPERLINK("https://booking.roadsurfer.com/es/rally/pick?pickup_date=2026-05-08&amp;return_date=2026-05-15&amp;currency=EUR&amp;startStation=90&amp;endStation=49",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Estrasburgo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Beach Hostel</t>
        </is>
      </c>
      <c r="H138">
        <f>HYPERLINK("https://booking.roadsurfer.com/es/rally/pick?pickup_date=2026-04-13&amp;return_date=2026-04-20&amp;currency=EUR&amp;startStation=90&amp;endStation=49",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2026-05-05</t>
        </is>
      </c>
      <c r="F139" t="inlineStr">
        <is>
          <t>2026-05-12</t>
        </is>
      </c>
      <c r="G139" t="inlineStr">
        <is>
          <t xml:space="preserve"> - Travel Home</t>
        </is>
      </c>
      <c r="H139">
        <f>HYPERLINK("https://booking.roadsurfer.com/es/rally/pick?pickup_date=2026-05-05&amp;return_date=2026-05-12&amp;currency=EUR&amp;startStation=90&amp;endStation=13",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Beach Hostel</t>
        </is>
      </c>
      <c r="H140">
        <f>HYPERLINK("https://booking.roadsurfer.com/es/rally/pick?pickup_date=2026-04-13&amp;return_date=2026-04-20&amp;currency=EUR&amp;startStation=90&amp;endStation=15", "Clic para verlo en la web de RoadSurfer")</f>
        <v/>
      </c>
    </row>
    <row r="141">
      <c r="A141" t="inlineStr">
        <is>
          <t>Italia</t>
        </is>
      </c>
      <c r="B141" t="inlineStr">
        <is>
          <t>Florencia</t>
        </is>
      </c>
      <c r="C141" t="inlineStr">
        <is>
          <t>Alemania</t>
        </is>
      </c>
      <c r="D141" t="inlineStr">
        <is>
          <t>Bochum</t>
        </is>
      </c>
      <c r="E141" t="inlineStr">
        <is>
          <t>2026-03-26</t>
        </is>
      </c>
      <c r="F141" t="inlineStr">
        <is>
          <t>2026-04-02</t>
        </is>
      </c>
      <c r="G141" t="inlineStr">
        <is>
          <t xml:space="preserve"> - Surfer Suite</t>
        </is>
      </c>
      <c r="H141">
        <f>HYPERLINK("https://booking.roadsurfer.com/es/rally/pick?pickup_date=2026-03-26&amp;return_date=2026-04-02&amp;currency=EUR&amp;startStation=80&amp;endStation=24",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Alemania</t>
        </is>
      </c>
      <c r="D142" t="inlineStr">
        <is>
          <t>Braunschweig</t>
        </is>
      </c>
      <c r="E142" t="inlineStr">
        <is>
          <t>2026-04-20</t>
        </is>
      </c>
      <c r="F142" t="inlineStr">
        <is>
          <t>2026-04-27</t>
        </is>
      </c>
      <c r="G142" t="inlineStr">
        <is>
          <t xml:space="preserve"> - No hay coche</t>
        </is>
      </c>
      <c r="H142">
        <f>HYPERLINK("https://booking.roadsurfer.com/es/rally/pick?pickup_date=2026-04-20&amp;return_date=2026-04-27&amp;currency=EUR&amp;startStation=2&amp;endStation=128",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Italia</t>
        </is>
      </c>
      <c r="D143" t="inlineStr">
        <is>
          <t>Venecia</t>
        </is>
      </c>
      <c r="E143" t="inlineStr">
        <is>
          <t>2026-04-17</t>
        </is>
      </c>
      <c r="F143" t="inlineStr">
        <is>
          <t>2026-04-24</t>
        </is>
      </c>
      <c r="G143" t="inlineStr">
        <is>
          <t xml:space="preserve"> - Surfer Suite</t>
        </is>
      </c>
      <c r="H143">
        <f>HYPERLINK("https://booking.roadsurfer.com/es/rally/pick?pickup_date=2026-04-17&amp;return_date=2026-04-24&amp;currency=EUR&amp;startStation=2&amp;endStation=78",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París Aeropuerto CDG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Surfer Suite</t>
        </is>
      </c>
      <c r="H144">
        <f>HYPERLINK("https://booking.roadsurfer.com/es/rally/pick?pickup_date=2026-04-14&amp;return_date=2026-04-21&amp;currency=EUR&amp;startStation=2&amp;endStation=48",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2026-04-11</t>
        </is>
      </c>
      <c r="F145" t="inlineStr">
        <is>
          <t>2026-04-18</t>
        </is>
      </c>
      <c r="G145" t="inlineStr">
        <is>
          <t xml:space="preserve"> - Sunrise Suite</t>
        </is>
      </c>
      <c r="H145">
        <f>HYPERLINK("https://booking.roadsurfer.com/es/rally/pick?pickup_date=2026-04-11&amp;return_date=2026-04-18&amp;currency=EUR&amp;startStation=2&amp;endStation=29",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Sunrise Suite</t>
        </is>
      </c>
      <c r="H146">
        <f>HYPERLINK("https://booking.roadsurfer.com/es/rally/pick?pickup_date=2026-04-13&amp;return_date=2026-04-20&amp;currency=EUR&amp;startStation=2&amp;endStation=29",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2026-04-20</t>
        </is>
      </c>
      <c r="F147" t="inlineStr">
        <is>
          <t>2026-04-27</t>
        </is>
      </c>
      <c r="G147" t="inlineStr">
        <is>
          <t xml:space="preserve"> - Surfer Suite</t>
        </is>
      </c>
      <c r="H147">
        <f>HYPERLINK("https://booking.roadsurfer.com/es/rally/pick?pickup_date=2026-04-20&amp;return_date=2026-04-27&amp;currency=EUR&amp;startStation=2&amp;endStation=29",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Italia</t>
        </is>
      </c>
      <c r="D148" t="inlineStr">
        <is>
          <t>Milán</t>
        </is>
      </c>
      <c r="E148" t="inlineStr">
        <is>
          <t>2026-04-10</t>
        </is>
      </c>
      <c r="F148" t="inlineStr">
        <is>
          <t>2026-04-17</t>
        </is>
      </c>
      <c r="G148" t="inlineStr">
        <is>
          <t xml:space="preserve"> - Surfer Suite</t>
        </is>
      </c>
      <c r="H148">
        <f>HYPERLINK("https://booking.roadsurfer.com/es/rally/pick?pickup_date=2026-04-10&amp;return_date=2026-04-17&amp;currency=EUR&amp;startStation=2&amp;endStation=34",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Burdeos</t>
        </is>
      </c>
      <c r="E149" t="inlineStr">
        <is>
          <t>2026-03-20</t>
        </is>
      </c>
      <c r="F149" t="inlineStr">
        <is>
          <t>2026-03-27</t>
        </is>
      </c>
      <c r="G149" t="inlineStr">
        <is>
          <t xml:space="preserve"> - Surfer Suite</t>
        </is>
      </c>
      <c r="H149">
        <f>HYPERLINK("https://booking.roadsurfer.com/es/rally/pick?pickup_date=2026-03-20&amp;return_date=2026-03-27&amp;currency=EUR&amp;startStation=2&amp;endStation=13",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Italia</t>
        </is>
      </c>
      <c r="D150" t="inlineStr">
        <is>
          <t>Bérgamo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Surfer Suite</t>
        </is>
      </c>
      <c r="H150">
        <f>HYPERLINK("https://booking.roadsurfer.com/es/rally/pick?pickup_date=2026-04-20&amp;return_date=2026-04-27&amp;currency=EUR&amp;startStation=2&amp;endStation=94",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2026-04-27</t>
        </is>
      </c>
      <c r="F151" t="inlineStr">
        <is>
          <t>2026-05-04</t>
        </is>
      </c>
      <c r="G151" t="inlineStr">
        <is>
          <t xml:space="preserve"> - CAMPER CASTLE</t>
        </is>
      </c>
      <c r="H151">
        <f>HYPERLINK("https://booking.roadsurfer.com/es/rally/pick?pickup_date=2026-04-27&amp;return_date=2026-05-04&amp;currency=EUR&amp;startStation=2&amp;endStation=40",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2026-03-21</t>
        </is>
      </c>
      <c r="F152" t="inlineStr">
        <is>
          <t>2026-03-28</t>
        </is>
      </c>
      <c r="G152" t="inlineStr">
        <is>
          <t xml:space="preserve"> - No hay coche</t>
        </is>
      </c>
      <c r="H152">
        <f>HYPERLINK("https://booking.roadsurfer.com/es/rally/pick?pickup_date=2026-03-21&amp;return_date=2026-03-28&amp;currency=EUR&amp;startStation=2&amp;endStation=40",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Surfer Suite</t>
        </is>
      </c>
      <c r="H153">
        <f>HYPERLINK("https://booking.roadsurfer.com/es/rally/pick?pickup_date=2026-05-06&amp;return_date=2026-05-13&amp;currency=EUR&amp;startStation=2&amp;endStation=40",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Couple Cottage</t>
        </is>
      </c>
      <c r="H154">
        <f>HYPERLINK("https://booking.roadsurfer.com/es/rally/pick?pickup_date=2026-04-20&amp;return_date=2026-04-27&amp;currency=EUR&amp;startStation=2&amp;endStation=17",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2026-04-05</t>
        </is>
      </c>
      <c r="F155" t="inlineStr">
        <is>
          <t>2026-04-12</t>
        </is>
      </c>
      <c r="G155" t="inlineStr">
        <is>
          <t xml:space="preserve"> - No hay coche</t>
        </is>
      </c>
      <c r="H155">
        <f>HYPERLINK("https://booking.roadsurfer.com/es/rally/pick?pickup_date=2026-04-05&amp;return_date=2026-04-12&amp;currency=EUR&amp;startStation=2&amp;endStation=17",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BEACH HOSTEL</t>
        </is>
      </c>
      <c r="H156">
        <f>HYPERLINK("https://booking.roadsurfer.com/es/rally/pick?pickup_date=2026-04-15&amp;return_date=2026-04-22&amp;currency=EUR&amp;startStation=2&amp;endStation=15",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Países Bajos</t>
        </is>
      </c>
      <c r="D157" t="inlineStr">
        <is>
          <t>Róterdam</t>
        </is>
      </c>
      <c r="E157" t="inlineStr">
        <is>
          <t>2026-03-30</t>
        </is>
      </c>
      <c r="F157" t="inlineStr">
        <is>
          <t>2026-04-06</t>
        </is>
      </c>
      <c r="G157" t="inlineStr">
        <is>
          <t xml:space="preserve"> - No hay coche</t>
        </is>
      </c>
      <c r="H157">
        <f>HYPERLINK("https://booking.roadsurfer.com/es/rally/pick?pickup_date=2026-03-30&amp;return_date=2026-04-06&amp;currency=EUR&amp;startStation=2&amp;endStation=33",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Países Bajos</t>
        </is>
      </c>
      <c r="D158" t="inlineStr">
        <is>
          <t>Róterdam</t>
        </is>
      </c>
      <c r="E158" t="inlineStr">
        <is>
          <t>2026-04-07</t>
        </is>
      </c>
      <c r="F158" t="inlineStr">
        <is>
          <t>2026-04-14</t>
        </is>
      </c>
      <c r="G158" t="inlineStr">
        <is>
          <t xml:space="preserve"> - Camper Cabin</t>
        </is>
      </c>
      <c r="H158">
        <f>HYPERLINK("https://booking.roadsurfer.com/es/rally/pick?pickup_date=2026-04-07&amp;return_date=2026-04-14&amp;currency=EUR&amp;startStation=2&amp;endStation=33",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Alemania</t>
        </is>
      </c>
      <c r="D159" t="inlineStr">
        <is>
          <t>Ulm</t>
        </is>
      </c>
      <c r="E159" t="inlineStr">
        <is>
          <t>2026-03-31</t>
        </is>
      </c>
      <c r="F159" t="inlineStr">
        <is>
          <t>2026-04-07</t>
        </is>
      </c>
      <c r="G159" t="inlineStr">
        <is>
          <t xml:space="preserve"> - Camper Cabin</t>
        </is>
      </c>
      <c r="H159">
        <f>HYPERLINK("https://booking.roadsurfer.com/es/rally/pick?pickup_date=2026-03-31&amp;return_date=2026-04-07&amp;currency=EUR&amp;startStation=2&amp;endStation=112",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Francia</t>
        </is>
      </c>
      <c r="D160" t="inlineStr">
        <is>
          <t>Estrasburgo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No hay coche</t>
        </is>
      </c>
      <c r="H160">
        <f>HYPERLINK("https://booking.roadsurfer.com/es/rally/pick?pickup_date=2026-04-13&amp;return_date=2026-04-20&amp;currency=EUR&amp;startStation=2&amp;endStation=49",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Madrid</t>
        </is>
      </c>
      <c r="E161" t="inlineStr">
        <is>
          <t>2026-04-08</t>
        </is>
      </c>
      <c r="F161" t="inlineStr">
        <is>
          <t>2026-04-15</t>
        </is>
      </c>
      <c r="G161" t="inlineStr">
        <is>
          <t xml:space="preserve"> - Camper Castle</t>
        </is>
      </c>
      <c r="H161">
        <f>HYPERLINK("https://booking.roadsurfer.com/es/rally/pick?pickup_date=2026-04-08&amp;return_date=2026-04-15&amp;currency=EUR&amp;startStation=2&amp;endStation=20",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Málaga</t>
        </is>
      </c>
      <c r="E162" t="inlineStr">
        <is>
          <t>2026-04-28</t>
        </is>
      </c>
      <c r="F162" t="inlineStr">
        <is>
          <t>2026-05-05</t>
        </is>
      </c>
      <c r="G162" t="inlineStr">
        <is>
          <t xml:space="preserve"> - No hay coche</t>
        </is>
      </c>
      <c r="H162">
        <f>HYPERLINK("https://booking.roadsurfer.com/es/rally/pick?pickup_date=2026-04-28&amp;return_date=2026-05-05&amp;currency=EUR&amp;startStation=2&amp;endStation=21",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Francia</t>
        </is>
      </c>
      <c r="D163" t="inlineStr">
        <is>
          <t>Toulouse</t>
        </is>
      </c>
      <c r="E163" t="inlineStr">
        <is>
          <t>2026-03-23</t>
        </is>
      </c>
      <c r="F163" t="inlineStr">
        <is>
          <t>2026-03-30</t>
        </is>
      </c>
      <c r="G163" t="inlineStr">
        <is>
          <t xml:space="preserve"> - Family Finca</t>
        </is>
      </c>
      <c r="H163">
        <f>HYPERLINK("https://booking.roadsurfer.com/es/rally/pick?pickup_date=2026-03-23&amp;return_date=2026-03-30&amp;currency=EUR&amp;startStation=2&amp;endStation=30",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No hay coche</t>
        </is>
      </c>
      <c r="H164">
        <f>HYPERLINK("https://booking.roadsurfer.com/es/rally/pick?pickup_date=2026-04-20&amp;return_date=2026-04-27&amp;currency=EUR&amp;startStation=2&amp;endStation=32",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Alemania</t>
        </is>
      </c>
      <c r="D165" t="inlineStr">
        <is>
          <t>Constanza (Aach)</t>
        </is>
      </c>
      <c r="E165" t="inlineStr">
        <is>
          <t>2026-04-02</t>
        </is>
      </c>
      <c r="F165" t="inlineStr">
        <is>
          <t>2026-04-09</t>
        </is>
      </c>
      <c r="G165" t="inlineStr">
        <is>
          <t xml:space="preserve"> - Couple Cottage</t>
        </is>
      </c>
      <c r="H165">
        <f>HYPERLINK("https://booking.roadsurfer.com/es/rally/pick?pickup_date=2026-04-02&amp;return_date=2026-04-09&amp;currency=EUR&amp;startStation=2&amp;endStation=10",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Italia</t>
        </is>
      </c>
      <c r="D166" t="inlineStr">
        <is>
          <t>Turín</t>
        </is>
      </c>
      <c r="E166" t="inlineStr">
        <is>
          <t>2026-04-15</t>
        </is>
      </c>
      <c r="F166" t="inlineStr">
        <is>
          <t>2026-04-22</t>
        </is>
      </c>
      <c r="G166" t="inlineStr">
        <is>
          <t xml:space="preserve"> - Cozy Cottage</t>
        </is>
      </c>
      <c r="H166">
        <f>HYPERLINK("https://booking.roadsurfer.com/es/rally/pick?pickup_date=2026-04-15&amp;return_date=2026-04-22&amp;currency=EUR&amp;startStation=2&amp;endStation=58",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2026-04-13</t>
        </is>
      </c>
      <c r="F167" t="inlineStr">
        <is>
          <t>2026-04-20</t>
        </is>
      </c>
      <c r="G167" t="inlineStr">
        <is>
          <t xml:space="preserve"> - Surfer Suite</t>
        </is>
      </c>
      <c r="H167">
        <f>HYPERLINK("https://booking.roadsurfer.com/es/rally/pick?pickup_date=2026-04-13&amp;return_date=2026-04-20&amp;currency=EUR&amp;startStation=9&amp;endStation=29",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No hay coche</t>
        </is>
      </c>
      <c r="H168">
        <f>HYPERLINK("https://booking.roadsurfer.com/es/rally/pick?pickup_date=2026-04-20&amp;return_date=2026-04-27&amp;currency=EUR&amp;startStation=9&amp;endStation=15",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2026-04-01</t>
        </is>
      </c>
      <c r="F169" t="inlineStr">
        <is>
          <t>2026-04-08</t>
        </is>
      </c>
      <c r="G169" t="inlineStr">
        <is>
          <t xml:space="preserve"> - Surfer Suite</t>
        </is>
      </c>
      <c r="H169">
        <f>HYPERLINK("https://booking.roadsurfer.com/es/rally/pick?pickup_date=2026-04-01&amp;return_date=2026-04-08&amp;currency=EUR&amp;startStation=9&amp;endStation=13",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Barcelona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Surfer Suite</t>
        </is>
      </c>
      <c r="H170">
        <f>HYPERLINK("https://booking.roadsurfer.com/es/rally/pick?pickup_date=2026-04-20&amp;return_date=2026-04-27&amp;currency=EUR&amp;startStation=9&amp;endStation=17",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Camper Cabin</t>
        </is>
      </c>
      <c r="H171">
        <f>HYPERLINK("https://booking.roadsurfer.com/es/rally/pick?pickup_date=2026-04-13&amp;return_date=2026-04-20&amp;currency=EUR&amp;startStation=9&amp;endStation=40",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Francia</t>
        </is>
      </c>
      <c r="D172" t="inlineStr">
        <is>
          <t>Aix-Marsella</t>
        </is>
      </c>
      <c r="E172" t="inlineStr">
        <is>
          <t>2026-05-07</t>
        </is>
      </c>
      <c r="F172" t="inlineStr">
        <is>
          <t>2026-05-14</t>
        </is>
      </c>
      <c r="G172" t="inlineStr">
        <is>
          <t xml:space="preserve"> - No hay coche</t>
        </is>
      </c>
      <c r="H172">
        <f>HYPERLINK("https://booking.roadsurfer.com/es/rally/pick?pickup_date=2026-05-07&amp;return_date=2026-05-14&amp;currency=EUR&amp;startStation=9&amp;endStation=16", "Clic para verlo en la web de RoadSurfer")</f>
        <v/>
      </c>
    </row>
    <row r="173">
      <c r="A173" t="inlineStr">
        <is>
          <t>Francia</t>
        </is>
      </c>
      <c r="B173" t="inlineStr">
        <is>
          <t>Ginebra-Pays de Gex (Francia)</t>
        </is>
      </c>
      <c r="C173" t="inlineStr">
        <is>
          <t>Alemania</t>
        </is>
      </c>
      <c r="D173" t="inlineStr">
        <is>
          <t>Dresde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Road House</t>
        </is>
      </c>
      <c r="H173">
        <f>HYPERLINK("https://booking.roadsurfer.com/es/rally/pick?pickup_date=2026-05-04&amp;return_date=2026-05-11&amp;currency=EUR&amp;startStation=29&amp;endStation=56",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Fráncfort</t>
        </is>
      </c>
      <c r="E174" t="inlineStr">
        <is>
          <t>2026-03-20</t>
        </is>
      </c>
      <c r="F174" t="inlineStr">
        <is>
          <t>2026-03-27</t>
        </is>
      </c>
      <c r="G174" t="inlineStr">
        <is>
          <t xml:space="preserve"> - Family Finca</t>
        </is>
      </c>
      <c r="H174">
        <f>HYPERLINK("https://booking.roadsurfer.com/es/rally/pick?pickup_date=2026-03-20&amp;return_date=2026-03-27&amp;currency=EUR&amp;startStation=29&amp;endStation=2",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Hamburgo Aeropuerto</t>
        </is>
      </c>
      <c r="E175" t="inlineStr">
        <is>
          <t>2026-04-23</t>
        </is>
      </c>
      <c r="F175" t="inlineStr">
        <is>
          <t>2026-04-30</t>
        </is>
      </c>
      <c r="G175" t="inlineStr">
        <is>
          <t xml:space="preserve"> - Surfer Suite</t>
        </is>
      </c>
      <c r="H175">
        <f>HYPERLINK("https://booking.roadsurfer.com/es/rally/pick?pickup_date=2026-04-23&amp;return_date=2026-04-30&amp;currency=EUR&amp;startStation=77&amp;endStation=65",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Berlín-Schönefeld</t>
        </is>
      </c>
      <c r="E176" t="inlineStr">
        <is>
          <t>2026-04-14</t>
        </is>
      </c>
      <c r="F176" t="inlineStr">
        <is>
          <t>2026-04-21</t>
        </is>
      </c>
      <c r="G176" t="inlineStr">
        <is>
          <t xml:space="preserve"> - Road House</t>
        </is>
      </c>
      <c r="H176">
        <f>HYPERLINK("https://booking.roadsurfer.com/es/rally/pick?pickup_date=2026-04-14&amp;return_date=2026-04-21&amp;currency=EUR&amp;startStation=77&amp;endStation=51",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Road House</t>
        </is>
      </c>
      <c r="H177">
        <f>HYPERLINK("https://booking.roadsurfer.com/es/rally/pick?pickup_date=2026-04-14&amp;return_date=2026-04-21&amp;currency=EUR&amp;startStation=77&amp;endStation=90",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2026-04-22</t>
        </is>
      </c>
      <c r="F178" t="inlineStr">
        <is>
          <t>2026-04-29</t>
        </is>
      </c>
      <c r="G178" t="inlineStr">
        <is>
          <t xml:space="preserve"> - Family Finca</t>
        </is>
      </c>
      <c r="H178">
        <f>HYPERLINK("https://booking.roadsurfer.com/es/rally/pick?pickup_date=2026-04-22&amp;return_date=2026-04-29&amp;currency=EUR&amp;startStation=77&amp;endStation=90",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Karlsruhe</t>
        </is>
      </c>
      <c r="E179" t="inlineStr">
        <is>
          <t>2026-04-15</t>
        </is>
      </c>
      <c r="F179" t="inlineStr">
        <is>
          <t>2026-04-22</t>
        </is>
      </c>
      <c r="G179" t="inlineStr">
        <is>
          <t xml:space="preserve"> - Camper Castle</t>
        </is>
      </c>
      <c r="H179">
        <f>HYPERLINK("https://booking.roadsurfer.com/es/rally/pick?pickup_date=2026-04-15&amp;return_date=2026-04-22&amp;currency=EUR&amp;startStation=77&amp;endStation=110",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Maguncia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Camper Castle</t>
        </is>
      </c>
      <c r="H180">
        <f>HYPERLINK("https://booking.roadsurfer.com/es/rally/pick?pickup_date=2026-04-14&amp;return_date=2026-04-21&amp;currency=EUR&amp;startStation=77&amp;endStation=54",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Berlín</t>
        </is>
      </c>
      <c r="E181" t="inlineStr">
        <is>
          <t>2026-04-24</t>
        </is>
      </c>
      <c r="F181" t="inlineStr">
        <is>
          <t>2026-05-01</t>
        </is>
      </c>
      <c r="G181" t="inlineStr">
        <is>
          <t xml:space="preserve"> - No hay coche</t>
        </is>
      </c>
      <c r="H181">
        <f>HYPERLINK("https://booking.roadsurfer.com/es/rally/pick?pickup_date=2026-04-24&amp;return_date=2026-05-01&amp;currency=EUR&amp;startStation=77&amp;endStation=6",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2026-04-08</t>
        </is>
      </c>
      <c r="F182" t="inlineStr">
        <is>
          <t>2026-04-15</t>
        </is>
      </c>
      <c r="G182" t="inlineStr">
        <is>
          <t xml:space="preserve"> - Camper Castle</t>
        </is>
      </c>
      <c r="H182">
        <f>HYPERLINK("https://booking.roadsurfer.com/es/rally/pick?pickup_date=2026-04-08&amp;return_date=2026-04-15&amp;currency=EUR&amp;startStation=77&amp;endStation=6",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2026-03-24</t>
        </is>
      </c>
      <c r="F183" t="inlineStr">
        <is>
          <t>2026-03-31</t>
        </is>
      </c>
      <c r="G183" t="inlineStr">
        <is>
          <t xml:space="preserve"> - Surfer Suite</t>
        </is>
      </c>
      <c r="H183">
        <f>HYPERLINK("https://booking.roadsurfer.com/es/rally/pick?pickup_date=2026-03-24&amp;return_date=2026-03-31&amp;currency=EUR&amp;startStation=77&amp;endStation=22",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2026-03-26</t>
        </is>
      </c>
      <c r="F184" t="inlineStr">
        <is>
          <t>2026-04-02</t>
        </is>
      </c>
      <c r="G184" t="inlineStr">
        <is>
          <t xml:space="preserve"> - Couple Cottage</t>
        </is>
      </c>
      <c r="H184">
        <f>HYPERLINK("https://booking.roadsurfer.com/es/rally/pick?pickup_date=2026-03-26&amp;return_date=2026-04-02&amp;currency=EUR&amp;startStation=77&amp;endStation=22",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2026-03-25</t>
        </is>
      </c>
      <c r="F185" t="inlineStr">
        <is>
          <t>2026-04-01</t>
        </is>
      </c>
      <c r="G185" t="inlineStr">
        <is>
          <t xml:space="preserve"> - Surfer Suite - Family Finca</t>
        </is>
      </c>
      <c r="H185">
        <f>HYPERLINK("https://booking.roadsurfer.com/es/rally/pick?pickup_date=2026-03-25&amp;return_date=2026-04-01&amp;currency=EUR&amp;startStation=77&amp;endStation=91",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2026-04-07</t>
        </is>
      </c>
      <c r="F186" t="inlineStr">
        <is>
          <t>2026-04-14</t>
        </is>
      </c>
      <c r="G186" t="inlineStr">
        <is>
          <t xml:space="preserve"> - Camper Castle</t>
        </is>
      </c>
      <c r="H186">
        <f>HYPERLINK("https://booking.roadsurfer.com/es/rally/pick?pickup_date=2026-04-07&amp;return_date=2026-04-14&amp;currency=EUR&amp;startStation=77&amp;endStation=91",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2026-04-14</t>
        </is>
      </c>
      <c r="F187" t="inlineStr">
        <is>
          <t>2026-04-21</t>
        </is>
      </c>
      <c r="G187" t="inlineStr">
        <is>
          <t xml:space="preserve"> - Sunrise Suite</t>
        </is>
      </c>
      <c r="H187">
        <f>HYPERLINK("https://booking.roadsurfer.com/es/rally/pick?pickup_date=2026-04-14&amp;return_date=2026-04-21&amp;currency=EUR&amp;startStation=77&amp;endStation=91",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Hamburgo Aeropuerto</t>
        </is>
      </c>
      <c r="E188" t="inlineStr">
        <is>
          <t>2026-04-17</t>
        </is>
      </c>
      <c r="F188" t="inlineStr">
        <is>
          <t>2026-04-24</t>
        </is>
      </c>
      <c r="G188" t="inlineStr">
        <is>
          <t xml:space="preserve"> - Camper Castle</t>
        </is>
      </c>
      <c r="H188">
        <f>HYPERLINK("https://booking.roadsurfer.com/es/rally/pick?pickup_date=2026-04-17&amp;return_date=2026-04-24&amp;currency=EUR&amp;startStation=37&amp;endStation=65",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Erfurt</t>
        </is>
      </c>
      <c r="E189" t="inlineStr">
        <is>
          <t>2026-03-23</t>
        </is>
      </c>
      <c r="F189" t="inlineStr">
        <is>
          <t>2026-03-30</t>
        </is>
      </c>
      <c r="G189" t="inlineStr">
        <is>
          <t xml:space="preserve"> - Family Finca</t>
        </is>
      </c>
      <c r="H189">
        <f>HYPERLINK("https://booking.roadsurfer.com/es/rally/pick?pickup_date=2026-03-23&amp;return_date=2026-03-30&amp;currency=EUR&amp;startStation=37&amp;endStation=90",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Road House</t>
        </is>
      </c>
      <c r="H190">
        <f>HYPERLINK("https://booking.roadsurfer.com/es/rally/pick?pickup_date=2026-04-14&amp;return_date=2026-04-21&amp;currency=EUR&amp;startStation=37&amp;endStation=56",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Dresde</t>
        </is>
      </c>
      <c r="E191" t="inlineStr">
        <is>
          <t>2026-04-15</t>
        </is>
      </c>
      <c r="F191" t="inlineStr">
        <is>
          <t>2026-04-22</t>
        </is>
      </c>
      <c r="G191" t="inlineStr">
        <is>
          <t xml:space="preserve"> - Family Finca</t>
        </is>
      </c>
      <c r="H191">
        <f>HYPERLINK("https://booking.roadsurfer.com/es/rally/pick?pickup_date=2026-04-15&amp;return_date=2026-04-22&amp;currency=EUR&amp;startStation=37&amp;endStation=56", "Clic para verlo en la web de RoadSurfer")</f>
        <v/>
      </c>
    </row>
    <row r="192">
      <c r="A192" t="inlineStr">
        <is>
          <t>Austria</t>
        </is>
      </c>
      <c r="B192" t="inlineStr">
        <is>
          <t>Graz</t>
        </is>
      </c>
      <c r="C192" t="inlineStr">
        <is>
          <t>Alemania</t>
        </is>
      </c>
      <c r="D192" t="inlineStr">
        <is>
          <t>Ratisbona</t>
        </is>
      </c>
      <c r="E192" t="inlineStr">
        <is>
          <t>2026-04-27</t>
        </is>
      </c>
      <c r="F192" t="inlineStr">
        <is>
          <t>2026-05-04</t>
        </is>
      </c>
      <c r="G192" t="inlineStr">
        <is>
          <t xml:space="preserve"> - SURFER SUITE</t>
        </is>
      </c>
      <c r="H192">
        <f>HYPERLINK("https://booking.roadsurfer.com/es/rally/pick?pickup_date=2026-04-27&amp;return_date=2026-05-04&amp;currency=EUR&amp;startStation=37&amp;endStation=89", "Clic para verlo en la web de RoadSurfer")</f>
        <v/>
      </c>
    </row>
    <row r="193">
      <c r="A193" t="inlineStr">
        <is>
          <t>Austria</t>
        </is>
      </c>
      <c r="B193" t="inlineStr">
        <is>
          <t>Graz</t>
        </is>
      </c>
      <c r="C193" t="inlineStr">
        <is>
          <t>Alemania</t>
        </is>
      </c>
      <c r="D193" t="inlineStr">
        <is>
          <t>Leipzig</t>
        </is>
      </c>
      <c r="E193" t="inlineStr">
        <is>
          <t>2026-04-22</t>
        </is>
      </c>
      <c r="F193" t="inlineStr">
        <is>
          <t>2026-04-29</t>
        </is>
      </c>
      <c r="G193" t="inlineStr">
        <is>
          <t xml:space="preserve"> - Camper Cabin</t>
        </is>
      </c>
      <c r="H193">
        <f>HYPERLINK("https://booking.roadsurfer.com/es/rally/pick?pickup_date=2026-04-22&amp;return_date=2026-04-29&amp;currency=EUR&amp;startStation=37&amp;endStation=8",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Austria</t>
        </is>
      </c>
      <c r="D194" t="inlineStr">
        <is>
          <t>Salzburgo</t>
        </is>
      </c>
      <c r="E194" t="inlineStr">
        <is>
          <t>2026-04-27</t>
        </is>
      </c>
      <c r="F194" t="inlineStr">
        <is>
          <t>2026-05-04</t>
        </is>
      </c>
      <c r="G194" t="inlineStr">
        <is>
          <t xml:space="preserve"> - Camper Cabin</t>
        </is>
      </c>
      <c r="H194">
        <f>HYPERLINK("https://booking.roadsurfer.com/es/rally/pick?pickup_date=2026-04-27&amp;return_date=2026-05-04&amp;currency=EUR&amp;startStation=37&amp;endStation=85",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Flensburgo</t>
        </is>
      </c>
      <c r="E195" t="inlineStr">
        <is>
          <t>2026-04-17</t>
        </is>
      </c>
      <c r="F195" t="inlineStr">
        <is>
          <t>2026-04-24</t>
        </is>
      </c>
      <c r="G195" t="inlineStr">
        <is>
          <t xml:space="preserve"> - No hay coche</t>
        </is>
      </c>
      <c r="H195">
        <f>HYPERLINK("https://booking.roadsurfer.com/es/rally/pick?pickup_date=2026-04-17&amp;return_date=2026-04-24&amp;currency=EUR&amp;startStation=3&amp;endStation=130",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Flensburgo</t>
        </is>
      </c>
      <c r="E196" t="inlineStr">
        <is>
          <t>2026-04-16</t>
        </is>
      </c>
      <c r="F196" t="inlineStr">
        <is>
          <t>2026-04-23</t>
        </is>
      </c>
      <c r="G196" t="inlineStr">
        <is>
          <t xml:space="preserve"> - No hay coche</t>
        </is>
      </c>
      <c r="H196">
        <f>HYPERLINK("https://booking.roadsurfer.com/es/rally/pick?pickup_date=2026-04-16&amp;return_date=2026-04-23&amp;currency=EUR&amp;startStation=3&amp;endStation=130",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Alemania</t>
        </is>
      </c>
      <c r="D197" t="inlineStr">
        <is>
          <t>Dresde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Cozy Cottage</t>
        </is>
      </c>
      <c r="H197">
        <f>HYPERLINK("https://booking.roadsurfer.com/es/rally/pick?pickup_date=2026-04-20&amp;return_date=2026-04-27&amp;currency=EUR&amp;startStation=3&amp;endStation=56",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Alemania</t>
        </is>
      </c>
      <c r="D198" t="inlineStr">
        <is>
          <t>Colonia-Düsseldorf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Sunrise Suite</t>
        </is>
      </c>
      <c r="H198">
        <f>HYPERLINK("https://booking.roadsurfer.com/es/rally/pick?pickup_date=2026-05-04&amp;return_date=2026-05-11&amp;currency=EUR&amp;startStation=3&amp;endStation=4",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Núremberg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Sunrise Suite</t>
        </is>
      </c>
      <c r="H199">
        <f>HYPERLINK("https://booking.roadsurfer.com/es/rally/pick?pickup_date=2026-05-04&amp;return_date=2026-05-11&amp;currency=EUR&amp;startStation=3&amp;endStation=11",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Suecia</t>
        </is>
      </c>
      <c r="D200" t="inlineStr">
        <is>
          <t>Estocolmo</t>
        </is>
      </c>
      <c r="E200" t="inlineStr">
        <is>
          <t>2026-03-30</t>
        </is>
      </c>
      <c r="F200" t="inlineStr">
        <is>
          <t>2026-04-06</t>
        </is>
      </c>
      <c r="G200" t="inlineStr">
        <is>
          <t xml:space="preserve"> - No hay coche</t>
        </is>
      </c>
      <c r="H200">
        <f>HYPERLINK("https://booking.roadsurfer.com/es/rally/pick?pickup_date=2026-03-30&amp;return_date=2026-04-06&amp;currency=EUR&amp;startStation=3&amp;endStation=59", "Clic para verlo en la web de RoadSurfer")</f>
        <v/>
      </c>
    </row>
    <row r="201">
      <c r="A201" t="inlineStr">
        <is>
          <t>Alemania</t>
        </is>
      </c>
      <c r="B201" t="inlineStr">
        <is>
          <t>Hamburgo</t>
        </is>
      </c>
      <c r="C201" t="inlineStr">
        <is>
          <t>España</t>
        </is>
      </c>
      <c r="D201" t="inlineStr">
        <is>
          <t>Sevilla</t>
        </is>
      </c>
      <c r="E201" t="inlineStr">
        <is>
          <t>2026-04-14</t>
        </is>
      </c>
      <c r="F201" t="inlineStr">
        <is>
          <t>2026-04-21</t>
        </is>
      </c>
      <c r="G201" t="inlineStr">
        <is>
          <t xml:space="preserve"> - CAMPER CASTLE</t>
        </is>
      </c>
      <c r="H201">
        <f>HYPERLINK("https://booking.roadsurfer.com/es/rally/pick?pickup_date=2026-04-14&amp;return_date=2026-04-21&amp;currency=EUR&amp;startStation=3&amp;endStation=39",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Alemania</t>
        </is>
      </c>
      <c r="D202" t="inlineStr">
        <is>
          <t>Braunschweig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No hay coche</t>
        </is>
      </c>
      <c r="H202">
        <f>HYPERLINK("https://booking.roadsurfer.com/es/rally/pick?pickup_date=2026-04-20&amp;return_date=2026-04-27&amp;currency=EUR&amp;startStation=7&amp;endStation=128",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Alemania</t>
        </is>
      </c>
      <c r="D203" t="inlineStr">
        <is>
          <t>Braunschweig</t>
        </is>
      </c>
      <c r="E203" t="inlineStr">
        <is>
          <t>2026-04-17</t>
        </is>
      </c>
      <c r="F203" t="inlineStr">
        <is>
          <t>2026-04-24</t>
        </is>
      </c>
      <c r="G203" t="inlineStr">
        <is>
          <t xml:space="preserve"> - No hay coche</t>
        </is>
      </c>
      <c r="H203">
        <f>HYPERLINK("https://booking.roadsurfer.com/es/rally/pick?pickup_date=2026-04-17&amp;return_date=2026-04-24&amp;currency=EUR&amp;startStation=7&amp;endStation=128", "Clic para verlo en la web de RoadSurfer")</f>
        <v/>
      </c>
    </row>
    <row r="204">
      <c r="A204" t="inlineStr">
        <is>
          <t>Alemania</t>
        </is>
      </c>
      <c r="B204" t="inlineStr">
        <is>
          <t>Hannover</t>
        </is>
      </c>
      <c r="C204" t="inlineStr">
        <is>
          <t>Italia</t>
        </is>
      </c>
      <c r="D204" t="inlineStr">
        <is>
          <t>Milán</t>
        </is>
      </c>
      <c r="E204" t="inlineStr">
        <is>
          <t>2026-04-16</t>
        </is>
      </c>
      <c r="F204" t="inlineStr">
        <is>
          <t>2026-04-23</t>
        </is>
      </c>
      <c r="G204" t="inlineStr">
        <is>
          <t xml:space="preserve"> - Road House</t>
        </is>
      </c>
      <c r="H204">
        <f>HYPERLINK("https://booking.roadsurfer.com/es/rally/pick?pickup_date=2026-04-16&amp;return_date=2026-04-23&amp;currency=EUR&amp;startStation=7&amp;endStation=34", "Clic para verlo en la web de RoadSurfer")</f>
        <v/>
      </c>
    </row>
    <row r="205">
      <c r="A205" t="inlineStr">
        <is>
          <t>Alemania</t>
        </is>
      </c>
      <c r="B205" t="inlineStr">
        <is>
          <t>Hannover</t>
        </is>
      </c>
      <c r="C205" t="inlineStr">
        <is>
          <t>España</t>
        </is>
      </c>
      <c r="D205" t="inlineStr">
        <is>
          <t>Málaga</t>
        </is>
      </c>
      <c r="E205" t="inlineStr">
        <is>
          <t>2026-03-25</t>
        </is>
      </c>
      <c r="F205" t="inlineStr">
        <is>
          <t>2026-04-01</t>
        </is>
      </c>
      <c r="G205" t="inlineStr">
        <is>
          <t xml:space="preserve"> - Camper Castle</t>
        </is>
      </c>
      <c r="H205">
        <f>HYPERLINK("https://booking.roadsurfer.com/es/rally/pick?pickup_date=2026-03-25&amp;return_date=2026-04-01&amp;currency=EUR&amp;startStation=7&amp;endStation=21", "Clic para verlo en la web de RoadSurfer")</f>
        <v/>
      </c>
    </row>
    <row r="206">
      <c r="A206" t="inlineStr">
        <is>
          <t>Alemania</t>
        </is>
      </c>
      <c r="B206" t="inlineStr">
        <is>
          <t>Heidelberg</t>
        </is>
      </c>
      <c r="C206" t="inlineStr">
        <is>
          <t>España</t>
        </is>
      </c>
      <c r="D206" t="inlineStr">
        <is>
          <t>Bilbao</t>
        </is>
      </c>
      <c r="E206" t="inlineStr">
        <is>
          <t>2026-04-08</t>
        </is>
      </c>
      <c r="F206" t="inlineStr">
        <is>
          <t>2026-04-15</t>
        </is>
      </c>
      <c r="G206" t="inlineStr">
        <is>
          <t xml:space="preserve"> - Surfer Suite</t>
        </is>
      </c>
      <c r="H206">
        <f>HYPERLINK("https://booking.roadsurfer.com/es/rally/pick?pickup_date=2026-04-08&amp;return_date=2026-04-15&amp;currency=EUR&amp;startStation=79&amp;endStation=40", "Clic para verlo en la web de RoadSurfer")</f>
        <v/>
      </c>
    </row>
    <row r="207">
      <c r="A207" t="inlineStr">
        <is>
          <t>Alemania</t>
        </is>
      </c>
      <c r="B207" t="inlineStr">
        <is>
          <t>Heidelberg</t>
        </is>
      </c>
      <c r="C207" t="inlineStr">
        <is>
          <t>Austria</t>
        </is>
      </c>
      <c r="D207" t="inlineStr">
        <is>
          <t>Innsbruck-Wiesing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Camper Cabin</t>
        </is>
      </c>
      <c r="H207">
        <f>HYPERLINK("https://booking.roadsurfer.com/es/rally/pick?pickup_date=2026-05-04&amp;return_date=2026-05-11&amp;currency=EUR&amp;startStation=79&amp;endStation=46", "Clic para verlo en la web de RoadSurfer")</f>
        <v/>
      </c>
    </row>
    <row r="208">
      <c r="A208" t="inlineStr">
        <is>
          <t>Alemania</t>
        </is>
      </c>
      <c r="B208" t="inlineStr">
        <is>
          <t>Heidelberg</t>
        </is>
      </c>
      <c r="C208" t="inlineStr">
        <is>
          <t>Austria</t>
        </is>
      </c>
      <c r="D208" t="inlineStr">
        <is>
          <t>Viena</t>
        </is>
      </c>
      <c r="E208" t="inlineStr">
        <is>
          <t>2026-03-25</t>
        </is>
      </c>
      <c r="F208" t="inlineStr">
        <is>
          <t>2026-04-01</t>
        </is>
      </c>
      <c r="G208" t="inlineStr">
        <is>
          <t xml:space="preserve"> - Camper Castle</t>
        </is>
      </c>
      <c r="H208">
        <f>HYPERLINK("https://booking.roadsurfer.com/es/rally/pick?pickup_date=2026-03-25&amp;return_date=2026-04-01&amp;currency=EUR&amp;startStation=79&amp;endStation=36", "Clic para verlo en la web de RoadSurfer")</f>
        <v/>
      </c>
    </row>
    <row r="209">
      <c r="A209" t="inlineStr">
        <is>
          <t>Alemania</t>
        </is>
      </c>
      <c r="B209" t="inlineStr">
        <is>
          <t>Heidelberg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2026-04-27</t>
        </is>
      </c>
      <c r="F209" t="inlineStr">
        <is>
          <t>2026-05-04</t>
        </is>
      </c>
      <c r="G209" t="inlineStr">
        <is>
          <t xml:space="preserve"> - Beach Hostel</t>
        </is>
      </c>
      <c r="H209">
        <f>HYPERLINK("https://booking.roadsurfer.com/es/rally/pick?pickup_date=2026-04-27&amp;return_date=2026-05-04&amp;currency=EUR&amp;startStation=79&amp;endStation=94", "Clic para verlo en la web de RoadSurfer")</f>
        <v/>
      </c>
    </row>
    <row r="210">
      <c r="A210" t="inlineStr">
        <is>
          <t>Alemania</t>
        </is>
      </c>
      <c r="B210" t="inlineStr">
        <is>
          <t>Heidelberg</t>
        </is>
      </c>
      <c r="C210" t="inlineStr">
        <is>
          <t>Alemania</t>
        </is>
      </c>
      <c r="D210" t="inlineStr">
        <is>
          <t>Stuttgart</t>
        </is>
      </c>
      <c r="E210" t="inlineStr">
        <is>
          <t>2026-04-09</t>
        </is>
      </c>
      <c r="F210" t="inlineStr">
        <is>
          <t>2026-04-16</t>
        </is>
      </c>
      <c r="G210" t="inlineStr">
        <is>
          <t xml:space="preserve"> - Surfer Suite</t>
        </is>
      </c>
      <c r="H210">
        <f>HYPERLINK("https://booking.roadsurfer.com/es/rally/pick?pickup_date=2026-04-09&amp;return_date=2026-04-16&amp;currency=EUR&amp;startStation=79&amp;endStation=5", "Clic para verlo en la web de RoadSurfer")</f>
        <v/>
      </c>
    </row>
    <row r="211">
      <c r="A211" t="inlineStr">
        <is>
          <t>Alemania</t>
        </is>
      </c>
      <c r="B211" t="inlineStr">
        <is>
          <t>Karlsruhe</t>
        </is>
      </c>
      <c r="C211" t="inlineStr">
        <is>
          <t>Alemania</t>
        </is>
      </c>
      <c r="D211" t="inlineStr">
        <is>
          <t>Heidelberg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Surfer Suite</t>
        </is>
      </c>
      <c r="H211">
        <f>HYPERLINK("https://booking.roadsurfer.com/es/rally/pick?pickup_date=2026-03-16&amp;return_date=2026-03-23&amp;currency=EUR&amp;startStation=110&amp;endStation=79", "Clic para verlo en la web de RoadSurfer")</f>
        <v/>
      </c>
    </row>
    <row r="212">
      <c r="A212" t="inlineStr">
        <is>
          <t>Alemania</t>
        </is>
      </c>
      <c r="B212" t="inlineStr">
        <is>
          <t>Karlsruhe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2026-04-07</t>
        </is>
      </c>
      <c r="F212" t="inlineStr">
        <is>
          <t>2026-04-14</t>
        </is>
      </c>
      <c r="G212" t="inlineStr">
        <is>
          <t xml:space="preserve"> - Road House</t>
        </is>
      </c>
      <c r="H212">
        <f>HYPERLINK("https://booking.roadsurfer.com/es/rally/pick?pickup_date=2026-04-07&amp;return_date=2026-04-14&amp;currency=EUR&amp;startStation=110&amp;endStation=31", "Clic para verlo en la web de RoadSurfer")</f>
        <v/>
      </c>
    </row>
    <row r="213">
      <c r="A213" t="inlineStr">
        <is>
          <t>Alemania</t>
        </is>
      </c>
      <c r="B213" t="inlineStr">
        <is>
          <t>Karlsruhe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2026-04-01</t>
        </is>
      </c>
      <c r="F213" t="inlineStr">
        <is>
          <t>2026-04-08</t>
        </is>
      </c>
      <c r="G213" t="inlineStr">
        <is>
          <t xml:space="preserve"> - Surfer Suite - Family Finca</t>
        </is>
      </c>
      <c r="H213">
        <f>HYPERLINK("https://booking.roadsurfer.com/es/rally/pick?pickup_date=2026-04-01&amp;return_date=2026-04-08&amp;currency=EUR&amp;startStation=110&amp;endStation=31", "Clic para verlo en la web de RoadSurfer")</f>
        <v/>
      </c>
    </row>
    <row r="214">
      <c r="A214" t="inlineStr">
        <is>
          <t>Alemania</t>
        </is>
      </c>
      <c r="B214" t="inlineStr">
        <is>
          <t>Kiel</t>
        </is>
      </c>
      <c r="C214" t="inlineStr">
        <is>
          <t>Alemania</t>
        </is>
      </c>
      <c r="D214" t="inlineStr">
        <is>
          <t>Flensburgo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No hay coche</t>
        </is>
      </c>
      <c r="H214">
        <f>HYPERLINK("https://booking.roadsurfer.com/es/rally/pick?pickup_date=2026-04-20&amp;return_date=2026-04-27&amp;currency=EUR&amp;startStation=111&amp;endStation=130",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Seattle</t>
        </is>
      </c>
      <c r="E215" t="inlineStr">
        <is>
          <t>2026-03-20</t>
        </is>
      </c>
      <c r="F215" t="inlineStr">
        <is>
          <t>2026-03-27</t>
        </is>
      </c>
      <c r="G215" t="inlineStr">
        <is>
          <t xml:space="preserve"> - Family Freedom</t>
        </is>
      </c>
      <c r="H215">
        <f>HYPERLINK("https://booking.roadsurfer.com/es/rally/pick?pickup_date=2026-03-20&amp;return_date=2026-03-27&amp;currency=EUR&amp;startStation=76&amp;endStation=107", "Clic para verlo en la web de RoadSurfer")</f>
        <v/>
      </c>
    </row>
    <row r="216">
      <c r="A216" t="inlineStr">
        <is>
          <t>EE.UU.</t>
        </is>
      </c>
      <c r="B216" t="inlineStr">
        <is>
          <t>Las Vegas</t>
        </is>
      </c>
      <c r="C216" t="inlineStr">
        <is>
          <t>EE.UU.</t>
        </is>
      </c>
      <c r="D216" t="inlineStr">
        <is>
          <t>Seattle</t>
        </is>
      </c>
      <c r="E216" t="inlineStr">
        <is>
          <t>2026-03-27</t>
        </is>
      </c>
      <c r="F216" t="inlineStr">
        <is>
          <t>2026-04-03</t>
        </is>
      </c>
      <c r="G216" t="inlineStr">
        <is>
          <t xml:space="preserve"> - Family Freedom</t>
        </is>
      </c>
      <c r="H216">
        <f>HYPERLINK("https://booking.roadsurfer.com/es/rally/pick?pickup_date=2026-03-27&amp;return_date=2026-04-03&amp;currency=EUR&amp;startStation=76&amp;endStation=107", "Clic para verlo en la web de RoadSurfer")</f>
        <v/>
      </c>
    </row>
    <row r="217">
      <c r="A217" t="inlineStr">
        <is>
          <t>EE.UU.</t>
        </is>
      </c>
      <c r="B217" t="inlineStr">
        <is>
          <t>Las Vegas</t>
        </is>
      </c>
      <c r="C217" t="inlineStr">
        <is>
          <t>EE.UU.</t>
        </is>
      </c>
      <c r="D217" t="inlineStr">
        <is>
          <t>Seattle</t>
        </is>
      </c>
      <c r="E217" t="inlineStr">
        <is>
          <t>2026-03-25</t>
        </is>
      </c>
      <c r="F217" t="inlineStr">
        <is>
          <t>2026-04-01</t>
        </is>
      </c>
      <c r="G217" t="inlineStr">
        <is>
          <t xml:space="preserve"> - Liberty Lodge</t>
        </is>
      </c>
      <c r="H217">
        <f>HYPERLINK("https://booking.roadsurfer.com/es/rally/pick?pickup_date=2026-03-25&amp;return_date=2026-04-01&amp;currency=EUR&amp;startStation=76&amp;endStation=107", "Clic para verlo en la web de RoadSurfer")</f>
        <v/>
      </c>
    </row>
    <row r="218">
      <c r="A218" t="inlineStr">
        <is>
          <t>EE.UU.</t>
        </is>
      </c>
      <c r="B218" t="inlineStr">
        <is>
          <t>Las Vegas</t>
        </is>
      </c>
      <c r="C218" t="inlineStr">
        <is>
          <t>EE.UU.</t>
        </is>
      </c>
      <c r="D218" t="inlineStr">
        <is>
          <t>Denver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Couple Condo</t>
        </is>
      </c>
      <c r="H218">
        <f>HYPERLINK("https://booking.roadsurfer.com/es/rally/pick?pickup_date=2026-04-20&amp;return_date=2026-04-27&amp;currency=EUR&amp;startStation=76&amp;endStation=104",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Países Bajos</t>
        </is>
      </c>
      <c r="D219" t="inlineStr">
        <is>
          <t>Ámsterdam</t>
        </is>
      </c>
      <c r="E219" t="inlineStr">
        <is>
          <t>2026-03-27</t>
        </is>
      </c>
      <c r="F219" t="inlineStr">
        <is>
          <t>2026-04-03</t>
        </is>
      </c>
      <c r="G219" t="inlineStr">
        <is>
          <t xml:space="preserve"> - No hay coche</t>
        </is>
      </c>
      <c r="H219">
        <f>HYPERLINK("https://booking.roadsurfer.com/es/rally/pick?pickup_date=2026-03-27&amp;return_date=2026-04-03&amp;currency=EUR&amp;startStation=8&amp;endStation=32",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Países Bajos</t>
        </is>
      </c>
      <c r="D220" t="inlineStr">
        <is>
          <t>Ámsterdam</t>
        </is>
      </c>
      <c r="E220" t="inlineStr">
        <is>
          <t>2026-04-13</t>
        </is>
      </c>
      <c r="F220" t="inlineStr">
        <is>
          <t>2026-04-20</t>
        </is>
      </c>
      <c r="G220" t="inlineStr">
        <is>
          <t xml:space="preserve"> - No hay coche</t>
        </is>
      </c>
      <c r="H220">
        <f>HYPERLINK("https://booking.roadsurfer.com/es/rally/pick?pickup_date=2026-04-13&amp;return_date=2026-04-20&amp;currency=EUR&amp;startStation=8&amp;endStation=32",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Países Bajos</t>
        </is>
      </c>
      <c r="D221" t="inlineStr">
        <is>
          <t>Róterdam</t>
        </is>
      </c>
      <c r="E221" t="inlineStr">
        <is>
          <t>2026-03-24</t>
        </is>
      </c>
      <c r="F221" t="inlineStr">
        <is>
          <t>2026-03-31</t>
        </is>
      </c>
      <c r="G221" t="inlineStr">
        <is>
          <t xml:space="preserve"> - Road House</t>
        </is>
      </c>
      <c r="H221">
        <f>HYPERLINK("https://booking.roadsurfer.com/es/rally/pick?pickup_date=2026-03-24&amp;return_date=2026-03-31&amp;currency=EUR&amp;startStation=8&amp;endStation=33",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Alemania</t>
        </is>
      </c>
      <c r="D222" t="inlineStr">
        <is>
          <t>Braunschweig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No hay coche</t>
        </is>
      </c>
      <c r="H222">
        <f>HYPERLINK("https://booking.roadsurfer.com/es/rally/pick?pickup_date=2026-04-20&amp;return_date=2026-04-27&amp;currency=EUR&amp;startStation=8&amp;endStation=128",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Austria</t>
        </is>
      </c>
      <c r="D223" t="inlineStr">
        <is>
          <t>Graz</t>
        </is>
      </c>
      <c r="E223" t="inlineStr">
        <is>
          <t>2026-04-20</t>
        </is>
      </c>
      <c r="F223" t="inlineStr">
        <is>
          <t>2026-04-27</t>
        </is>
      </c>
      <c r="G223" t="inlineStr">
        <is>
          <t xml:space="preserve"> - FAMILY FINCA</t>
        </is>
      </c>
      <c r="H223">
        <f>HYPERLINK("https://booking.roadsurfer.com/es/rally/pick?pickup_date=2026-04-20&amp;return_date=2026-04-27&amp;currency=EUR&amp;startStation=8&amp;endStation=37",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2026-03-20</t>
        </is>
      </c>
      <c r="F224" t="inlineStr">
        <is>
          <t>2026-03-27</t>
        </is>
      </c>
      <c r="G224" t="inlineStr">
        <is>
          <t xml:space="preserve"> - Road House - Camper Castle</t>
        </is>
      </c>
      <c r="H224">
        <f>HYPERLINK("https://booking.roadsurfer.com/es/rally/pick?pickup_date=2026-03-20&amp;return_date=2026-03-27&amp;currency=EUR&amp;startStation=8&amp;endStation=45",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Italia</t>
        </is>
      </c>
      <c r="D225" t="inlineStr">
        <is>
          <t>Bérgamo</t>
        </is>
      </c>
      <c r="E225" t="inlineStr">
        <is>
          <t>2026-03-20</t>
        </is>
      </c>
      <c r="F225" t="inlineStr">
        <is>
          <t>2026-03-27</t>
        </is>
      </c>
      <c r="G225" t="inlineStr">
        <is>
          <t xml:space="preserve"> - Road House</t>
        </is>
      </c>
      <c r="H225">
        <f>HYPERLINK("https://booking.roadsurfer.com/es/rally/pick?pickup_date=2026-03-20&amp;return_date=2026-03-27&amp;currency=EUR&amp;startStation=8&amp;endStation=94", "Clic para verlo en la web de RoadSurfer")</f>
        <v/>
      </c>
    </row>
    <row r="226">
      <c r="A226" t="inlineStr">
        <is>
          <t>Francia</t>
        </is>
      </c>
      <c r="B226" t="inlineStr">
        <is>
          <t>Lille</t>
        </is>
      </c>
      <c r="C226" t="inlineStr">
        <is>
          <t>Alemania</t>
        </is>
      </c>
      <c r="D226" t="inlineStr">
        <is>
          <t>Bielefeld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Family Finca</t>
        </is>
      </c>
      <c r="H226">
        <f>HYPERLINK("https://booking.roadsurfer.com/es/rally/pick?pickup_date=2026-05-04&amp;return_date=2026-05-11&amp;currency=EUR&amp;startStation=87&amp;endStation=91", "Clic para verlo en la web de RoadSurfer")</f>
        <v/>
      </c>
    </row>
    <row r="227">
      <c r="A227" t="inlineStr">
        <is>
          <t>Francia</t>
        </is>
      </c>
      <c r="B227" t="inlineStr">
        <is>
          <t>Lille</t>
        </is>
      </c>
      <c r="C227" t="inlineStr">
        <is>
          <t>Alemania</t>
        </is>
      </c>
      <c r="D227" t="inlineStr">
        <is>
          <t>Braunschweig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No hay coche</t>
        </is>
      </c>
      <c r="H227">
        <f>HYPERLINK("https://booking.roadsurfer.com/es/rally/pick?pickup_date=2026-04-20&amp;return_date=2026-04-27&amp;currency=EUR&amp;startStation=87&amp;endStation=128", "Clic para verlo en la web de RoadSurfer")</f>
        <v/>
      </c>
    </row>
    <row r="228">
      <c r="A228" t="inlineStr">
        <is>
          <t>Alemania</t>
        </is>
      </c>
      <c r="B228" t="inlineStr">
        <is>
          <t>Lindau-Wangen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2026-03-23</t>
        </is>
      </c>
      <c r="F228" t="inlineStr">
        <is>
          <t>2026-03-30</t>
        </is>
      </c>
      <c r="G228" t="inlineStr">
        <is>
          <t xml:space="preserve"> - Road House</t>
        </is>
      </c>
      <c r="H228">
        <f>HYPERLINK("https://booking.roadsurfer.com/es/rally/pick?pickup_date=2026-03-23&amp;return_date=2026-03-30&amp;currency=EUR&amp;startStation=117&amp;endStation=13",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Alemania</t>
        </is>
      </c>
      <c r="D229" t="inlineStr">
        <is>
          <t>Berlín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Cozy Cottage</t>
        </is>
      </c>
      <c r="H229">
        <f>HYPERLINK("https://booking.roadsurfer.com/es/rally/pick?pickup_date=2026-04-27&amp;return_date=2026-05-04&amp;currency=EUR&amp;startStation=117&amp;endStation=6", "Clic para verlo en la web de RoadSurfer")</f>
        <v/>
      </c>
    </row>
    <row r="230">
      <c r="A230" t="inlineStr">
        <is>
          <t>Alemania</t>
        </is>
      </c>
      <c r="B230" t="inlineStr">
        <is>
          <t>Lübeck</t>
        </is>
      </c>
      <c r="C230" t="inlineStr">
        <is>
          <t>Alemania</t>
        </is>
      </c>
      <c r="D230" t="inlineStr">
        <is>
          <t>Bremen</t>
        </is>
      </c>
      <c r="E230" t="inlineStr">
        <is>
          <t>2026-05-04</t>
        </is>
      </c>
      <c r="F230" t="inlineStr">
        <is>
          <t>2026-05-11</t>
        </is>
      </c>
      <c r="G230" t="inlineStr">
        <is>
          <t xml:space="preserve"> - Road House</t>
        </is>
      </c>
      <c r="H230">
        <f>HYPERLINK("https://booking.roadsurfer.com/es/rally/pick?pickup_date=2026-05-04&amp;return_date=2026-05-11&amp;currency=EUR&amp;startStation=109&amp;endStation=55", "Clic para verlo en la web de RoadSurfer")</f>
        <v/>
      </c>
    </row>
    <row r="231">
      <c r="A231" t="inlineStr">
        <is>
          <t>Alemania</t>
        </is>
      </c>
      <c r="B231" t="inlineStr">
        <is>
          <t>Lübeck</t>
        </is>
      </c>
      <c r="C231" t="inlineStr">
        <is>
          <t>España</t>
        </is>
      </c>
      <c r="D231" t="inlineStr">
        <is>
          <t>Bilbao</t>
        </is>
      </c>
      <c r="E231" t="inlineStr">
        <is>
          <t>2026-04-27</t>
        </is>
      </c>
      <c r="F231" t="inlineStr">
        <is>
          <t>2026-05-04</t>
        </is>
      </c>
      <c r="G231" t="inlineStr">
        <is>
          <t xml:space="preserve"> - Surfer Suite</t>
        </is>
      </c>
      <c r="H231">
        <f>HYPERLINK("https://booking.roadsurfer.com/es/rally/pick?pickup_date=2026-04-27&amp;return_date=2026-05-04&amp;currency=EUR&amp;startStation=109&amp;endStation=40", "Clic para verlo en la web de RoadSurfer")</f>
        <v/>
      </c>
    </row>
    <row r="232">
      <c r="A232" t="inlineStr">
        <is>
          <t>Alemania</t>
        </is>
      </c>
      <c r="B232" t="inlineStr">
        <is>
          <t>Lübeck</t>
        </is>
      </c>
      <c r="C232" t="inlineStr">
        <is>
          <t>Italia</t>
        </is>
      </c>
      <c r="D232" t="inlineStr">
        <is>
          <t>Milán</t>
        </is>
      </c>
      <c r="E232" t="inlineStr">
        <is>
          <t>2026-04-27</t>
        </is>
      </c>
      <c r="F232" t="inlineStr">
        <is>
          <t>2026-05-04</t>
        </is>
      </c>
      <c r="G232" t="inlineStr">
        <is>
          <t xml:space="preserve"> - Surfer Suite</t>
        </is>
      </c>
      <c r="H232">
        <f>HYPERLINK("https://booking.roadsurfer.com/es/rally/pick?pickup_date=2026-04-27&amp;return_date=2026-05-04&amp;currency=EUR&amp;startStation=109&amp;endStation=34",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Constanza (Aach)</t>
        </is>
      </c>
      <c r="E233" t="inlineStr">
        <is>
          <t>2026-03-24</t>
        </is>
      </c>
      <c r="F233" t="inlineStr">
        <is>
          <t>2026-03-31</t>
        </is>
      </c>
      <c r="G233" t="inlineStr">
        <is>
          <t xml:space="preserve"> - No hay coche</t>
        </is>
      </c>
      <c r="H233">
        <f>HYPERLINK("https://booking.roadsurfer.com/es/rally/pick?pickup_date=2026-03-24&amp;return_date=2026-03-31&amp;currency=EUR&amp;startStation=15&amp;endStation=10",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Múnich</t>
        </is>
      </c>
      <c r="E234" t="inlineStr">
        <is>
          <t>2026-04-11</t>
        </is>
      </c>
      <c r="F234" t="inlineStr">
        <is>
          <t>2026-04-18</t>
        </is>
      </c>
      <c r="G234" t="inlineStr">
        <is>
          <t xml:space="preserve"> - Camper Cabin</t>
        </is>
      </c>
      <c r="H234">
        <f>HYPERLINK("https://booking.roadsurfer.com/es/rally/pick?pickup_date=2026-04-11&amp;return_date=2026-04-18&amp;currency=EUR&amp;startStation=15&amp;endStation=1",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Friburgo-Basilea (Alemania)</t>
        </is>
      </c>
      <c r="E235" t="inlineStr">
        <is>
          <t>2026-04-15</t>
        </is>
      </c>
      <c r="F235" t="inlineStr">
        <is>
          <t>2026-04-22</t>
        </is>
      </c>
      <c r="G235" t="inlineStr">
        <is>
          <t xml:space="preserve"> - Couple Cottage</t>
        </is>
      </c>
      <c r="H235">
        <f>HYPERLINK("https://booking.roadsurfer.com/es/rally/pick?pickup_date=2026-04-15&amp;return_date=2026-04-22&amp;currency=EUR&amp;startStation=20&amp;endStation=9",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Maguncia</t>
        </is>
      </c>
      <c r="E236" t="inlineStr">
        <is>
          <t>2026-05-04</t>
        </is>
      </c>
      <c r="F236" t="inlineStr">
        <is>
          <t>2026-05-11</t>
        </is>
      </c>
      <c r="G236" t="inlineStr">
        <is>
          <t xml:space="preserve"> - Couple Cottage</t>
        </is>
      </c>
      <c r="H236">
        <f>HYPERLINK("https://booking.roadsurfer.com/es/rally/pick?pickup_date=2026-05-04&amp;return_date=2026-05-11&amp;currency=EUR&amp;startStation=20&amp;endStation=54",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Karlsruhe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No hay coche</t>
        </is>
      </c>
      <c r="H237">
        <f>HYPERLINK("https://booking.roadsurfer.com/es/rally/pick?pickup_date=2026-05-04&amp;return_date=2026-05-11&amp;currency=EUR&amp;startStation=20&amp;endStation=110",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Lindau-Wangen</t>
        </is>
      </c>
      <c r="E238" t="inlineStr">
        <is>
          <t>2026-04-23</t>
        </is>
      </c>
      <c r="F238" t="inlineStr">
        <is>
          <t>2026-04-30</t>
        </is>
      </c>
      <c r="G238" t="inlineStr">
        <is>
          <t xml:space="preserve"> - Family Finca</t>
        </is>
      </c>
      <c r="H238">
        <f>HYPERLINK("https://booking.roadsurfer.com/es/rally/pick?pickup_date=2026-04-23&amp;return_date=2026-04-30&amp;currency=EUR&amp;startStation=20&amp;endStation=117", "Clic para verlo en la web de RoadSurfer")</f>
        <v/>
      </c>
    </row>
    <row r="239">
      <c r="A239" t="inlineStr">
        <is>
          <t>Alemania</t>
        </is>
      </c>
      <c r="B239" t="inlineStr">
        <is>
          <t>Maguncia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2026-03-23</t>
        </is>
      </c>
      <c r="F239" t="inlineStr">
        <is>
          <t>2026-03-30</t>
        </is>
      </c>
      <c r="G239" t="inlineStr">
        <is>
          <t xml:space="preserve"> - Couple Cottage</t>
        </is>
      </c>
      <c r="H239">
        <f>HYPERLINK("https://booking.roadsurfer.com/es/rally/pick?pickup_date=2026-03-23&amp;return_date=2026-03-30&amp;currency=EUR&amp;startStation=54&amp;endStation=13", "Clic para verlo en la web de RoadSurfer")</f>
        <v/>
      </c>
    </row>
    <row r="240">
      <c r="A240" t="inlineStr">
        <is>
          <t>Alemania</t>
        </is>
      </c>
      <c r="B240" t="inlineStr">
        <is>
          <t>Maguncia</t>
        </is>
      </c>
      <c r="C240" t="inlineStr">
        <is>
          <t>Francia</t>
        </is>
      </c>
      <c r="D240" t="inlineStr">
        <is>
          <t>Toulouse</t>
        </is>
      </c>
      <c r="E240" t="inlineStr">
        <is>
          <t>2026-04-09</t>
        </is>
      </c>
      <c r="F240" t="inlineStr">
        <is>
          <t>2026-04-16</t>
        </is>
      </c>
      <c r="G240" t="inlineStr">
        <is>
          <t xml:space="preserve"> - Family Finca</t>
        </is>
      </c>
      <c r="H240">
        <f>HYPERLINK("https://booking.roadsurfer.com/es/rally/pick?pickup_date=2026-04-09&amp;return_date=2026-04-16&amp;currency=EUR&amp;startStation=54&amp;endStation=30", "Clic para verlo en la web de RoadSurfer")</f>
        <v/>
      </c>
    </row>
    <row r="241">
      <c r="A241" t="inlineStr">
        <is>
          <t>Alemania</t>
        </is>
      </c>
      <c r="B241" t="inlineStr">
        <is>
          <t>Maguncia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2026-04-13</t>
        </is>
      </c>
      <c r="F241" t="inlineStr">
        <is>
          <t>2026-04-20</t>
        </is>
      </c>
      <c r="G241" t="inlineStr">
        <is>
          <t xml:space="preserve"> - No hay coche</t>
        </is>
      </c>
      <c r="H241">
        <f>HYPERLINK("https://booking.roadsurfer.com/es/rally/pick?pickup_date=2026-04-13&amp;return_date=2026-04-20&amp;currency=EUR&amp;startStation=54&amp;endStation=29", "Clic para verlo en la web de RoadSurfer")</f>
        <v/>
      </c>
    </row>
    <row r="242">
      <c r="A242" t="inlineStr">
        <is>
          <t>España</t>
        </is>
      </c>
      <c r="B242" t="inlineStr">
        <is>
          <t>Málaga</t>
        </is>
      </c>
      <c r="C242" t="inlineStr">
        <is>
          <t>Alemania</t>
        </is>
      </c>
      <c r="D242" t="inlineStr">
        <is>
          <t>Berlín-Schönefeld</t>
        </is>
      </c>
      <c r="E242" t="inlineStr">
        <is>
          <t>2026-04-09</t>
        </is>
      </c>
      <c r="F242" t="inlineStr">
        <is>
          <t>2026-04-16</t>
        </is>
      </c>
      <c r="G242" t="inlineStr">
        <is>
          <t xml:space="preserve"> - Travel Home</t>
        </is>
      </c>
      <c r="H242">
        <f>HYPERLINK("https://booking.roadsurfer.com/es/rally/pick?pickup_date=2026-04-09&amp;return_date=2026-04-16&amp;currency=EUR&amp;startStation=21&amp;endStation=51",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Road House</t>
        </is>
      </c>
      <c r="H243">
        <f>HYPERLINK("https://booking.roadsurfer.com/es/rally/pick?pickup_date=2026-03-24&amp;return_date=2026-03-31&amp;currency=EUR&amp;startStation=60&amp;endStation=55",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2026-04-16</t>
        </is>
      </c>
      <c r="F244" t="inlineStr">
        <is>
          <t>2026-04-23</t>
        </is>
      </c>
      <c r="G244" t="inlineStr">
        <is>
          <t xml:space="preserve"> - Cozy Cottage</t>
        </is>
      </c>
      <c r="H244">
        <f>HYPERLINK("https://booking.roadsurfer.com/es/rally/pick?pickup_date=2026-04-16&amp;return_date=2026-04-23&amp;currency=EUR&amp;startStation=60&amp;endStation=55",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Flensburgo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No hay coche</t>
        </is>
      </c>
      <c r="H245">
        <f>HYPERLINK("https://booking.roadsurfer.com/es/rally/pick?pickup_date=2026-04-20&amp;return_date=2026-04-27&amp;currency=EUR&amp;startStation=60&amp;endStation=130",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Hamburgo</t>
        </is>
      </c>
      <c r="E246" t="inlineStr">
        <is>
          <t>2026-03-21</t>
        </is>
      </c>
      <c r="F246" t="inlineStr">
        <is>
          <t>2026-03-28</t>
        </is>
      </c>
      <c r="G246" t="inlineStr">
        <is>
          <t xml:space="preserve"> - CAMPER CABIN DELUXE</t>
        </is>
      </c>
      <c r="H246">
        <f>HYPERLINK("https://booking.roadsurfer.com/es/rally/pick?pickup_date=2026-03-21&amp;return_date=2026-03-28&amp;currency=EUR&amp;startStation=60&amp;endStation=3",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Stuttgart</t>
        </is>
      </c>
      <c r="E247" t="inlineStr">
        <is>
          <t>2026-04-20</t>
        </is>
      </c>
      <c r="F247" t="inlineStr">
        <is>
          <t>2026-04-27</t>
        </is>
      </c>
      <c r="G247" t="inlineStr">
        <is>
          <t xml:space="preserve"> - Camper Castle</t>
        </is>
      </c>
      <c r="H247">
        <f>HYPERLINK("https://booking.roadsurfer.com/es/rally/pick?pickup_date=2026-04-20&amp;return_date=2026-04-27&amp;currency=EUR&amp;startStation=60&amp;endStation=5",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Berlín-Schönefeld</t>
        </is>
      </c>
      <c r="E248" t="inlineStr">
        <is>
          <t>2026-03-20</t>
        </is>
      </c>
      <c r="F248" t="inlineStr">
        <is>
          <t>2026-03-27</t>
        </is>
      </c>
      <c r="G248" t="inlineStr">
        <is>
          <t xml:space="preserve"> - Beach Hostel</t>
        </is>
      </c>
      <c r="H248">
        <f>HYPERLINK("https://booking.roadsurfer.com/es/rally/pick?pickup_date=2026-03-20&amp;return_date=2026-03-27&amp;currency=EUR&amp;startStation=60&amp;endStation=51",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Berlín-Schönefeld</t>
        </is>
      </c>
      <c r="E249" t="inlineStr">
        <is>
          <t>2026-04-15</t>
        </is>
      </c>
      <c r="F249" t="inlineStr">
        <is>
          <t>2026-04-22</t>
        </is>
      </c>
      <c r="G249" t="inlineStr">
        <is>
          <t xml:space="preserve"> - Family Finca</t>
        </is>
      </c>
      <c r="H249">
        <f>HYPERLINK("https://booking.roadsurfer.com/es/rally/pick?pickup_date=2026-04-15&amp;return_date=2026-04-22&amp;currency=EUR&amp;startStation=60&amp;endStation=51",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2026-04-14</t>
        </is>
      </c>
      <c r="F250" t="inlineStr">
        <is>
          <t>2026-04-21</t>
        </is>
      </c>
      <c r="G250" t="inlineStr">
        <is>
          <t xml:space="preserve"> - Family Finca</t>
        </is>
      </c>
      <c r="H250">
        <f>HYPERLINK("https://booking.roadsurfer.com/es/rally/pick?pickup_date=2026-04-14&amp;return_date=2026-04-21&amp;currency=EUR&amp;startStation=60&amp;endStation=91",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Bielefeld</t>
        </is>
      </c>
      <c r="E251" t="inlineStr">
        <is>
          <t>2026-03-21</t>
        </is>
      </c>
      <c r="F251" t="inlineStr">
        <is>
          <t>2026-03-28</t>
        </is>
      </c>
      <c r="G251" t="inlineStr">
        <is>
          <t xml:space="preserve"> - Surfer Suite</t>
        </is>
      </c>
      <c r="H251">
        <f>HYPERLINK("https://booking.roadsurfer.com/es/rally/pick?pickup_date=2026-03-21&amp;return_date=2026-03-28&amp;currency=EUR&amp;startStation=60&amp;endStation=91",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Hannover</t>
        </is>
      </c>
      <c r="E252" t="inlineStr">
        <is>
          <t>2026-04-09</t>
        </is>
      </c>
      <c r="F252" t="inlineStr">
        <is>
          <t>2026-04-16</t>
        </is>
      </c>
      <c r="G252" t="inlineStr">
        <is>
          <t xml:space="preserve"> - Surfer Suite</t>
        </is>
      </c>
      <c r="H252">
        <f>HYPERLINK("https://booking.roadsurfer.com/es/rally/pick?pickup_date=2026-04-09&amp;return_date=2026-04-16&amp;currency=EUR&amp;startStation=60&amp;endStation=7",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Colonia-Bonn</t>
        </is>
      </c>
      <c r="E253" t="inlineStr">
        <is>
          <t>2026-03-30</t>
        </is>
      </c>
      <c r="F253" t="inlineStr">
        <is>
          <t>2026-04-06</t>
        </is>
      </c>
      <c r="G253" t="inlineStr">
        <is>
          <t xml:space="preserve"> - No hay coche</t>
        </is>
      </c>
      <c r="H253">
        <f>HYPERLINK("https://booking.roadsurfer.com/es/rally/pick?pickup_date=2026-03-30&amp;return_date=2026-04-06&amp;currency=EUR&amp;startStation=60&amp;endStation=52",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2026-04-07</t>
        </is>
      </c>
      <c r="F254" t="inlineStr">
        <is>
          <t>2026-04-14</t>
        </is>
      </c>
      <c r="G254" t="inlineStr">
        <is>
          <t xml:space="preserve"> - COZY COTTAGE</t>
        </is>
      </c>
      <c r="H254">
        <f>HYPERLINK("https://booking.roadsurfer.com/es/rally/pick?pickup_date=2026-04-07&amp;return_date=2026-04-14&amp;currency=EUR&amp;startStation=60&amp;endStation=90", "Clic para verlo en la web de RoadSurfer")</f>
        <v/>
      </c>
    </row>
    <row r="255">
      <c r="A255" t="inlineStr">
        <is>
          <t>Reino Unido</t>
        </is>
      </c>
      <c r="B255" t="inlineStr">
        <is>
          <t>Mánchester</t>
        </is>
      </c>
      <c r="C255" t="inlineStr">
        <is>
          <t>Reino Unido</t>
        </is>
      </c>
      <c r="D255" t="inlineStr">
        <is>
          <t>Londres</t>
        </is>
      </c>
      <c r="E255" t="inlineStr">
        <is>
          <t>2026-04-20</t>
        </is>
      </c>
      <c r="F255" t="inlineStr">
        <is>
          <t>2026-04-27</t>
        </is>
      </c>
      <c r="G255" t="inlineStr">
        <is>
          <t xml:space="preserve"> - Couple Cottage</t>
        </is>
      </c>
      <c r="H255">
        <f>HYPERLINK("https://booking.roadsurfer.com/es/rally/pick?pickup_date=2026-04-20&amp;return_date=2026-04-27&amp;currency=EUR&amp;startStation=99&amp;endStation=63",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Italia</t>
        </is>
      </c>
      <c r="D256" t="inlineStr">
        <is>
          <t>Milán</t>
        </is>
      </c>
      <c r="E256" t="inlineStr">
        <is>
          <t>2026-03-23</t>
        </is>
      </c>
      <c r="F256" t="inlineStr">
        <is>
          <t>2026-03-30</t>
        </is>
      </c>
      <c r="G256" t="inlineStr">
        <is>
          <t xml:space="preserve"> - Surfer Suite</t>
        </is>
      </c>
      <c r="H256">
        <f>HYPERLINK("https://booking.roadsurfer.com/es/rally/pick?pickup_date=2026-03-23&amp;return_date=2026-03-30&amp;currency=EUR&amp;startStation=22&amp;endStation=34",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Italia</t>
        </is>
      </c>
      <c r="D257" t="inlineStr">
        <is>
          <t>Milán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No hay coche</t>
        </is>
      </c>
      <c r="H257">
        <f>HYPERLINK("https://booking.roadsurfer.com/es/rally/pick?pickup_date=2026-03-27&amp;return_date=2026-04-03&amp;currency=EUR&amp;startStation=22&amp;endStation=34",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Nantes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HYPERLINK("https://booking.roadsurfer.com/es/rally/pick?pickup_date=2026-03-30&amp;return_date=2026-04-06&amp;currency=EUR&amp;startStation=22&amp;endStation=31",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2026-04-16</t>
        </is>
      </c>
      <c r="F259" t="inlineStr">
        <is>
          <t>2026-04-23</t>
        </is>
      </c>
      <c r="G259" t="inlineStr">
        <is>
          <t xml:space="preserve"> - SURFER SUITE</t>
        </is>
      </c>
      <c r="H259">
        <f>HYPERLINK("https://booking.roadsurfer.com/es/rally/pick?pickup_date=2026-04-16&amp;return_date=2026-04-23&amp;currency=EUR&amp;startStation=22&amp;endStation=31",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2026-04-30</t>
        </is>
      </c>
      <c r="F260" t="inlineStr">
        <is>
          <t>2026-05-07</t>
        </is>
      </c>
      <c r="G260" t="inlineStr">
        <is>
          <t xml:space="preserve"> - Surfer Suite</t>
        </is>
      </c>
      <c r="H260">
        <f>HYPERLINK("https://booking.roadsurfer.com/es/rally/pick?pickup_date=2026-04-30&amp;return_date=2026-05-07&amp;currency=EUR&amp;startStation=22&amp;endStation=31",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2026-03-20</t>
        </is>
      </c>
      <c r="F261" t="inlineStr">
        <is>
          <t>2026-03-27</t>
        </is>
      </c>
      <c r="G261" t="inlineStr">
        <is>
          <t xml:space="preserve"> - Beach Hostel</t>
        </is>
      </c>
      <c r="H261">
        <f>HYPERLINK("https://booking.roadsurfer.com/es/rally/pick?pickup_date=2026-03-20&amp;return_date=2026-03-27&amp;currency=EUR&amp;startStation=22&amp;endStation=31",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2026-04-20</t>
        </is>
      </c>
      <c r="F262" t="inlineStr">
        <is>
          <t>2026-04-27</t>
        </is>
      </c>
      <c r="G262" t="inlineStr">
        <is>
          <t xml:space="preserve"> - Surfer Suite</t>
        </is>
      </c>
      <c r="H262">
        <f>HYPERLINK("https://booking.roadsurfer.com/es/rally/pick?pickup_date=2026-04-20&amp;return_date=2026-04-27&amp;currency=EUR&amp;startStation=22&amp;endStation=31",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París Aeropuerto CDG</t>
        </is>
      </c>
      <c r="E263" t="inlineStr">
        <is>
          <t>2026-03-25</t>
        </is>
      </c>
      <c r="F263" t="inlineStr">
        <is>
          <t>2026-04-01</t>
        </is>
      </c>
      <c r="G263" t="inlineStr">
        <is>
          <t xml:space="preserve"> - Surfer Suite</t>
        </is>
      </c>
      <c r="H263">
        <f>HYPERLINK("https://booking.roadsurfer.com/es/rally/pick?pickup_date=2026-03-25&amp;return_date=2026-04-01&amp;currency=EUR&amp;startStation=22&amp;endStation=48",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Gotemburgo</t>
        </is>
      </c>
      <c r="E264" t="inlineStr">
        <is>
          <t>2026-03-26</t>
        </is>
      </c>
      <c r="F264" t="inlineStr">
        <is>
          <t>2026-04-02</t>
        </is>
      </c>
      <c r="G264" t="inlineStr">
        <is>
          <t xml:space="preserve"> - Surfer Suite</t>
        </is>
      </c>
      <c r="H264">
        <f>HYPERLINK("https://booking.roadsurfer.com/es/rally/pick?pickup_date=2026-03-26&amp;return_date=2026-04-02&amp;currency=EUR&amp;startStation=22&amp;endStation=77",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2026-04-07</t>
        </is>
      </c>
      <c r="F265" t="inlineStr">
        <is>
          <t>2026-04-14</t>
        </is>
      </c>
      <c r="G265" t="inlineStr">
        <is>
          <t xml:space="preserve"> - Camper Castle</t>
        </is>
      </c>
      <c r="H265">
        <f>HYPERLINK("https://booking.roadsurfer.com/es/rally/pick?pickup_date=2026-04-07&amp;return_date=2026-04-14&amp;currency=EUR&amp;startStation=22&amp;endStation=77",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2026-04-23</t>
        </is>
      </c>
      <c r="F266" t="inlineStr">
        <is>
          <t>2026-04-30</t>
        </is>
      </c>
      <c r="G266" t="inlineStr">
        <is>
          <t xml:space="preserve"> - Couple Cottage</t>
        </is>
      </c>
      <c r="H266">
        <f>HYPERLINK("https://booking.roadsurfer.com/es/rally/pick?pickup_date=2026-04-23&amp;return_date=2026-04-30&amp;currency=EUR&amp;startStation=22&amp;endStation=77",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Malmö</t>
        </is>
      </c>
      <c r="E267" t="inlineStr">
        <is>
          <t>2026-03-27</t>
        </is>
      </c>
      <c r="F267" t="inlineStr">
        <is>
          <t>2026-04-03</t>
        </is>
      </c>
      <c r="G267" t="inlineStr">
        <is>
          <t xml:space="preserve"> - No hay coche</t>
        </is>
      </c>
      <c r="H267">
        <f>HYPERLINK("https://booking.roadsurfer.com/es/rally/pick?pickup_date=2026-03-27&amp;return_date=2026-04-03&amp;currency=EUR&amp;startStation=22&amp;endStation=60",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2026-04-02</t>
        </is>
      </c>
      <c r="F268" t="inlineStr">
        <is>
          <t>2026-04-09</t>
        </is>
      </c>
      <c r="G268" t="inlineStr">
        <is>
          <t xml:space="preserve"> - Family Finca</t>
        </is>
      </c>
      <c r="H268">
        <f>HYPERLINK("https://booking.roadsurfer.com/es/rally/pick?pickup_date=2026-04-02&amp;return_date=2026-04-09&amp;currency=EUR&amp;startStation=22&amp;endStation=60",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2026-03-23</t>
        </is>
      </c>
      <c r="F269" t="inlineStr">
        <is>
          <t>2026-03-30</t>
        </is>
      </c>
      <c r="G269" t="inlineStr">
        <is>
          <t xml:space="preserve"> - Surfer Suite</t>
        </is>
      </c>
      <c r="H269">
        <f>HYPERLINK("https://booking.roadsurfer.com/es/rally/pick?pickup_date=2026-03-23&amp;return_date=2026-03-30&amp;currency=EUR&amp;startStation=22&amp;endStation=60",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2026-04-06</t>
        </is>
      </c>
      <c r="F270" t="inlineStr">
        <is>
          <t>2026-04-13</t>
        </is>
      </c>
      <c r="G270" t="inlineStr">
        <is>
          <t xml:space="preserve"> - Beach Hostel</t>
        </is>
      </c>
      <c r="H270">
        <f>HYPERLINK("https://booking.roadsurfer.com/es/rally/pick?pickup_date=2026-04-06&amp;return_date=2026-04-13&amp;currency=EUR&amp;startStation=22&amp;endStation=60",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2026-03-25</t>
        </is>
      </c>
      <c r="F271" t="inlineStr">
        <is>
          <t>2026-04-01</t>
        </is>
      </c>
      <c r="G271" t="inlineStr">
        <is>
          <t xml:space="preserve"> - Surfer Suite</t>
        </is>
      </c>
      <c r="H271">
        <f>HYPERLINK("https://booking.roadsurfer.com/es/rally/pick?pickup_date=2026-03-25&amp;return_date=2026-04-01&amp;currency=EUR&amp;startStation=22&amp;endStation=60",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2026-03-24</t>
        </is>
      </c>
      <c r="F272" t="inlineStr">
        <is>
          <t>2026-03-31</t>
        </is>
      </c>
      <c r="G272" t="inlineStr">
        <is>
          <t xml:space="preserve"> - Surfer Suite</t>
        </is>
      </c>
      <c r="H272">
        <f>HYPERLINK("https://booking.roadsurfer.com/es/rally/pick?pickup_date=2026-03-24&amp;return_date=2026-03-31&amp;currency=EUR&amp;startStation=22&amp;endStation=60",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París Sur (Orly)</t>
        </is>
      </c>
      <c r="E273" t="inlineStr">
        <is>
          <t>2026-04-02</t>
        </is>
      </c>
      <c r="F273" t="inlineStr">
        <is>
          <t>2026-04-09</t>
        </is>
      </c>
      <c r="G273" t="inlineStr">
        <is>
          <t xml:space="preserve"> - Surfer Suite</t>
        </is>
      </c>
      <c r="H273">
        <f>HYPERLINK("https://booking.roadsurfer.com/es/rally/pick?pickup_date=2026-04-02&amp;return_date=2026-04-09&amp;currency=EUR&amp;startStation=22&amp;endStation=12",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Italia</t>
        </is>
      </c>
      <c r="D274" t="inlineStr">
        <is>
          <t>Bérgamo</t>
        </is>
      </c>
      <c r="E274" t="inlineStr">
        <is>
          <t>2026-03-26</t>
        </is>
      </c>
      <c r="F274" t="inlineStr">
        <is>
          <t>2026-04-02</t>
        </is>
      </c>
      <c r="G274" t="inlineStr">
        <is>
          <t xml:space="preserve"> - Surfer Suite - Beach Hostel</t>
        </is>
      </c>
      <c r="H274">
        <f>HYPERLINK("https://booking.roadsurfer.com/es/rally/pick?pickup_date=2026-03-26&amp;return_date=2026-04-02&amp;currency=EUR&amp;startStation=22&amp;endStation=94",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Italia</t>
        </is>
      </c>
      <c r="D275" t="inlineStr">
        <is>
          <t>Bérgamo</t>
        </is>
      </c>
      <c r="E275" t="inlineStr">
        <is>
          <t>2026-03-23</t>
        </is>
      </c>
      <c r="F275" t="inlineStr">
        <is>
          <t>2026-03-30</t>
        </is>
      </c>
      <c r="G275" t="inlineStr">
        <is>
          <t xml:space="preserve"> - Surfer Suite</t>
        </is>
      </c>
      <c r="H275">
        <f>HYPERLINK("https://booking.roadsurfer.com/es/rally/pick?pickup_date=2026-03-23&amp;return_date=2026-03-30&amp;currency=EUR&amp;startStation=22&amp;endStation=94",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Italia</t>
        </is>
      </c>
      <c r="D276" t="inlineStr">
        <is>
          <t>Bérgamo</t>
        </is>
      </c>
      <c r="E276" t="inlineStr">
        <is>
          <t>2026-04-08</t>
        </is>
      </c>
      <c r="F276" t="inlineStr">
        <is>
          <t>2026-04-15</t>
        </is>
      </c>
      <c r="G276" t="inlineStr">
        <is>
          <t xml:space="preserve"> - Surfer Suite</t>
        </is>
      </c>
      <c r="H276">
        <f>HYPERLINK("https://booking.roadsurfer.com/es/rally/pick?pickup_date=2026-04-08&amp;return_date=2026-04-15&amp;currency=EUR&amp;startStation=22&amp;endStation=94",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Italia</t>
        </is>
      </c>
      <c r="D277" t="inlineStr">
        <is>
          <t>Turín</t>
        </is>
      </c>
      <c r="E277" t="inlineStr">
        <is>
          <t>2026-03-23</t>
        </is>
      </c>
      <c r="F277" t="inlineStr">
        <is>
          <t>2026-03-30</t>
        </is>
      </c>
      <c r="G277" t="inlineStr">
        <is>
          <t xml:space="preserve"> - Surfer Suite</t>
        </is>
      </c>
      <c r="H277">
        <f>HYPERLINK("https://booking.roadsurfer.com/es/rally/pick?pickup_date=2026-03-23&amp;return_date=2026-03-30&amp;currency=EUR&amp;startStation=22&amp;endStation=58",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Italia</t>
        </is>
      </c>
      <c r="D278" t="inlineStr">
        <is>
          <t>Turín</t>
        </is>
      </c>
      <c r="E278" t="inlineStr">
        <is>
          <t>2026-04-07</t>
        </is>
      </c>
      <c r="F278" t="inlineStr">
        <is>
          <t>2026-04-14</t>
        </is>
      </c>
      <c r="G278" t="inlineStr">
        <is>
          <t xml:space="preserve"> - Family Finca</t>
        </is>
      </c>
      <c r="H278">
        <f>HYPERLINK("https://booking.roadsurfer.com/es/rally/pick?pickup_date=2026-04-07&amp;return_date=2026-04-14&amp;currency=EUR&amp;startStation=22&amp;endStation=58",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2026-03-27</t>
        </is>
      </c>
      <c r="F279" t="inlineStr">
        <is>
          <t>2026-04-03</t>
        </is>
      </c>
      <c r="G279" t="inlineStr">
        <is>
          <t xml:space="preserve"> - No hay coche</t>
        </is>
      </c>
      <c r="H279">
        <f>HYPERLINK("https://booking.roadsurfer.com/es/rally/pick?pickup_date=2026-03-27&amp;return_date=2026-04-03&amp;currency=EUR&amp;startStation=22&amp;endStation=16",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Aix-Marsella</t>
        </is>
      </c>
      <c r="E280" t="inlineStr">
        <is>
          <t>2026-03-26</t>
        </is>
      </c>
      <c r="F280" t="inlineStr">
        <is>
          <t>2026-04-02</t>
        </is>
      </c>
      <c r="G280" t="inlineStr">
        <is>
          <t xml:space="preserve"> - Surfer Suite</t>
        </is>
      </c>
      <c r="H280">
        <f>HYPERLINK("https://booking.roadsurfer.com/es/rally/pick?pickup_date=2026-03-26&amp;return_date=2026-04-02&amp;currency=EUR&amp;startStation=22&amp;endStation=16",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2026-03-28</t>
        </is>
      </c>
      <c r="F281" t="inlineStr">
        <is>
          <t>2026-04-04</t>
        </is>
      </c>
      <c r="G281" t="inlineStr">
        <is>
          <t xml:space="preserve"> - No hay coche</t>
        </is>
      </c>
      <c r="H281">
        <f>HYPERLINK("https://booking.roadsurfer.com/es/rally/pick?pickup_date=2026-03-28&amp;return_date=2026-04-04&amp;currency=EUR&amp;startStation=22&amp;endStation=40",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2026-03-20</t>
        </is>
      </c>
      <c r="F282" t="inlineStr">
        <is>
          <t>2026-03-27</t>
        </is>
      </c>
      <c r="G282" t="inlineStr">
        <is>
          <t xml:space="preserve"> - Surfer Suite</t>
        </is>
      </c>
      <c r="H282">
        <f>HYPERLINK("https://booking.roadsurfer.com/es/rally/pick?pickup_date=2026-03-20&amp;return_date=2026-03-27&amp;currency=EUR&amp;startStation=22&amp;endStation=40",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2026-04-06</t>
        </is>
      </c>
      <c r="F283" t="inlineStr">
        <is>
          <t>2026-04-13</t>
        </is>
      </c>
      <c r="G283" t="inlineStr">
        <is>
          <t xml:space="preserve"> - Surfer Suite</t>
        </is>
      </c>
      <c r="H283">
        <f>HYPERLINK("https://booking.roadsurfer.com/es/rally/pick?pickup_date=2026-04-06&amp;return_date=2026-04-13&amp;currency=EUR&amp;startStation=22&amp;endStation=40",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Niza</t>
        </is>
      </c>
      <c r="E284" t="inlineStr">
        <is>
          <t>2026-03-20</t>
        </is>
      </c>
      <c r="F284" t="inlineStr">
        <is>
          <t>2026-03-27</t>
        </is>
      </c>
      <c r="G284" t="inlineStr">
        <is>
          <t xml:space="preserve"> - Surfer Suite</t>
        </is>
      </c>
      <c r="H284">
        <f>HYPERLINK("https://booking.roadsurfer.com/es/rally/pick?pickup_date=2026-03-20&amp;return_date=2026-03-27&amp;currency=EUR&amp;startStation=22&amp;endStation=88",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Toulouse</t>
        </is>
      </c>
      <c r="E285" t="inlineStr">
        <is>
          <t>2026-03-23</t>
        </is>
      </c>
      <c r="F285" t="inlineStr">
        <is>
          <t>2026-03-30</t>
        </is>
      </c>
      <c r="G285" t="inlineStr">
        <is>
          <t xml:space="preserve"> - Surfer Suite - Beach Hostel</t>
        </is>
      </c>
      <c r="H285">
        <f>HYPERLINK("https://booking.roadsurfer.com/es/rally/pick?pickup_date=2026-03-23&amp;return_date=2026-03-30&amp;currency=EUR&amp;startStation=22&amp;endStation=30",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Toulouse</t>
        </is>
      </c>
      <c r="E286" t="inlineStr">
        <is>
          <t>2026-03-20</t>
        </is>
      </c>
      <c r="F286" t="inlineStr">
        <is>
          <t>2026-03-27</t>
        </is>
      </c>
      <c r="G286" t="inlineStr">
        <is>
          <t xml:space="preserve"> - Surfer Suite</t>
        </is>
      </c>
      <c r="H286">
        <f>HYPERLINK("https://booking.roadsurfer.com/es/rally/pick?pickup_date=2026-03-20&amp;return_date=2026-03-27&amp;currency=EUR&amp;startStation=22&amp;endStation=30",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2026-03-30</t>
        </is>
      </c>
      <c r="F287" t="inlineStr">
        <is>
          <t>2026-04-06</t>
        </is>
      </c>
      <c r="G287" t="inlineStr">
        <is>
          <t xml:space="preserve"> - No hay coche</t>
        </is>
      </c>
      <c r="H287">
        <f>HYPERLINK("https://booking.roadsurfer.com/es/rally/pick?pickup_date=2026-03-30&amp;return_date=2026-04-06&amp;currency=EUR&amp;startStation=22&amp;endStation=29",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Italia</t>
        </is>
      </c>
      <c r="D288" t="inlineStr">
        <is>
          <t>Roma Aeropuerto Fiumicino</t>
        </is>
      </c>
      <c r="E288" t="inlineStr">
        <is>
          <t>2026-03-26</t>
        </is>
      </c>
      <c r="F288" t="inlineStr">
        <is>
          <t>2026-04-02</t>
        </is>
      </c>
      <c r="G288" t="inlineStr">
        <is>
          <t xml:space="preserve"> - Surfer Suite</t>
        </is>
      </c>
      <c r="H288">
        <f>HYPERLINK("https://booking.roadsurfer.com/es/rally/pick?pickup_date=2026-03-26&amp;return_date=2026-04-02&amp;currency=EUR&amp;startStation=22&amp;endStation=35",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Lyon</t>
        </is>
      </c>
      <c r="E289" t="inlineStr">
        <is>
          <t>2026-03-27</t>
        </is>
      </c>
      <c r="F289" t="inlineStr">
        <is>
          <t>2026-04-03</t>
        </is>
      </c>
      <c r="G289" t="inlineStr">
        <is>
          <t xml:space="preserve"> - Surfer Suite</t>
        </is>
      </c>
      <c r="H289">
        <f>HYPERLINK("https://booking.roadsurfer.com/es/rally/pick?pickup_date=2026-03-27&amp;return_date=2026-04-03&amp;currency=EUR&amp;startStation=22&amp;endStation=15",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2026-03-25</t>
        </is>
      </c>
      <c r="F290" t="inlineStr">
        <is>
          <t>2026-04-01</t>
        </is>
      </c>
      <c r="G290" t="inlineStr">
        <is>
          <t xml:space="preserve"> - Surfer Suite</t>
        </is>
      </c>
      <c r="H290">
        <f>HYPERLINK("https://booking.roadsurfer.com/es/rally/pick?pickup_date=2026-03-25&amp;return_date=2026-04-01&amp;currency=EUR&amp;startStation=22&amp;endStation=45",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2026-04-22</t>
        </is>
      </c>
      <c r="F291" t="inlineStr">
        <is>
          <t>2026-04-29</t>
        </is>
      </c>
      <c r="G291" t="inlineStr">
        <is>
          <t xml:space="preserve"> - Surfer Suite</t>
        </is>
      </c>
      <c r="H291">
        <f>HYPERLINK("https://booking.roadsurfer.com/es/rally/pick?pickup_date=2026-04-22&amp;return_date=2026-04-29&amp;currency=EUR&amp;startStation=22&amp;endStation=47",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2026-03-29</t>
        </is>
      </c>
      <c r="F292" t="inlineStr">
        <is>
          <t>2026-04-05</t>
        </is>
      </c>
      <c r="G292" t="inlineStr">
        <is>
          <t xml:space="preserve"> - No hay coche</t>
        </is>
      </c>
      <c r="H292">
        <f>HYPERLINK("https://booking.roadsurfer.com/es/rally/pick?pickup_date=2026-03-29&amp;return_date=2026-04-05&amp;currency=EUR&amp;startStation=22&amp;endStation=47",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Málaga</t>
        </is>
      </c>
      <c r="E293" t="inlineStr">
        <is>
          <t>2026-03-23</t>
        </is>
      </c>
      <c r="F293" t="inlineStr">
        <is>
          <t>2026-03-30</t>
        </is>
      </c>
      <c r="G293" t="inlineStr">
        <is>
          <t xml:space="preserve"> - Surfer Suite</t>
        </is>
      </c>
      <c r="H293">
        <f>HYPERLINK("https://booking.roadsurfer.com/es/rally/pick?pickup_date=2026-03-23&amp;return_date=2026-03-30&amp;currency=EUR&amp;startStation=22&amp;endStation=21",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2026-03-26</t>
        </is>
      </c>
      <c r="F294" t="inlineStr">
        <is>
          <t>2026-04-02</t>
        </is>
      </c>
      <c r="G294" t="inlineStr">
        <is>
          <t xml:space="preserve"> - Road House - Family Finca</t>
        </is>
      </c>
      <c r="H294">
        <f>HYPERLINK("https://booking.roadsurfer.com/es/rally/pick?pickup_date=2026-03-26&amp;return_date=2026-04-02&amp;currency=EUR&amp;startStation=22&amp;endStation=59",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2026-03-27</t>
        </is>
      </c>
      <c r="F295" t="inlineStr">
        <is>
          <t>2026-04-03</t>
        </is>
      </c>
      <c r="G295" t="inlineStr">
        <is>
          <t xml:space="preserve"> - No hay coche</t>
        </is>
      </c>
      <c r="H295">
        <f>HYPERLINK("https://booking.roadsurfer.com/es/rally/pick?pickup_date=2026-03-27&amp;return_date=2026-04-03&amp;currency=EUR&amp;startStation=22&amp;endStation=59",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2026-03-30</t>
        </is>
      </c>
      <c r="F296" t="inlineStr">
        <is>
          <t>2026-04-06</t>
        </is>
      </c>
      <c r="G296" t="inlineStr">
        <is>
          <t xml:space="preserve"> - No hay coche</t>
        </is>
      </c>
      <c r="H296">
        <f>HYPERLINK("https://booking.roadsurfer.com/es/rally/pick?pickup_date=2026-03-30&amp;return_date=2026-04-06&amp;currency=EUR&amp;startStation=22&amp;endStation=59",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2026-03-23</t>
        </is>
      </c>
      <c r="F297" t="inlineStr">
        <is>
          <t>2026-03-30</t>
        </is>
      </c>
      <c r="G297" t="inlineStr">
        <is>
          <t xml:space="preserve"> - Surfer Suite</t>
        </is>
      </c>
      <c r="H297">
        <f>HYPERLINK("https://booking.roadsurfer.com/es/rally/pick?pickup_date=2026-03-23&amp;return_date=2026-03-30&amp;currency=EUR&amp;startStation=22&amp;endStation=59",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2026-05-18</t>
        </is>
      </c>
      <c r="F298" t="inlineStr">
        <is>
          <t>2026-05-25</t>
        </is>
      </c>
      <c r="G298" t="inlineStr">
        <is>
          <t xml:space="preserve"> - Camper Castle</t>
        </is>
      </c>
      <c r="H298">
        <f>HYPERLINK("https://booking.roadsurfer.com/es/rally/pick?pickup_date=2026-05-18&amp;return_date=2026-05-25&amp;currency=EUR&amp;startStation=22&amp;endStation=59",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Barcelona</t>
        </is>
      </c>
      <c r="E299" t="inlineStr">
        <is>
          <t>2026-03-23</t>
        </is>
      </c>
      <c r="F299" t="inlineStr">
        <is>
          <t>2026-03-30</t>
        </is>
      </c>
      <c r="G299" t="inlineStr">
        <is>
          <t xml:space="preserve"> - BEACH HOSTEL</t>
        </is>
      </c>
      <c r="H299">
        <f>HYPERLINK("https://booking.roadsurfer.com/es/rally/pick?pickup_date=2026-03-23&amp;return_date=2026-03-30&amp;currency=EUR&amp;startStation=22&amp;endStation=17",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Barcelona</t>
        </is>
      </c>
      <c r="E300" t="inlineStr">
        <is>
          <t>2026-04-13</t>
        </is>
      </c>
      <c r="F300" t="inlineStr">
        <is>
          <t>2026-04-20</t>
        </is>
      </c>
      <c r="G300" t="inlineStr">
        <is>
          <t xml:space="preserve"> - Sunrise Suite</t>
        </is>
      </c>
      <c r="H300">
        <f>HYPERLINK("https://booking.roadsurfer.com/es/rally/pick?pickup_date=2026-04-13&amp;return_date=2026-04-20&amp;currency=EUR&amp;startStation=22&amp;endStation=17",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España</t>
        </is>
      </c>
      <c r="D301" t="inlineStr">
        <is>
          <t>Barcelona</t>
        </is>
      </c>
      <c r="E301" t="inlineStr">
        <is>
          <t>2026-04-12</t>
        </is>
      </c>
      <c r="F301" t="inlineStr">
        <is>
          <t>2026-04-19</t>
        </is>
      </c>
      <c r="G301" t="inlineStr">
        <is>
          <t xml:space="preserve"> - No hay coche</t>
        </is>
      </c>
      <c r="H301">
        <f>HYPERLINK("https://booking.roadsurfer.com/es/rally/pick?pickup_date=2026-04-12&amp;return_date=2026-04-19&amp;currency=EUR&amp;startStation=22&amp;endStation=17",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España</t>
        </is>
      </c>
      <c r="D302" t="inlineStr">
        <is>
          <t>Barcelona</t>
        </is>
      </c>
      <c r="E302" t="inlineStr">
        <is>
          <t>2026-03-26</t>
        </is>
      </c>
      <c r="F302" t="inlineStr">
        <is>
          <t>2026-04-02</t>
        </is>
      </c>
      <c r="G302" t="inlineStr">
        <is>
          <t xml:space="preserve"> - No hay coche</t>
        </is>
      </c>
      <c r="H302">
        <f>HYPERLINK("https://booking.roadsurfer.com/es/rally/pick?pickup_date=2026-03-26&amp;return_date=2026-04-02&amp;currency=EUR&amp;startStation=22&amp;endStation=17",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Barcelona</t>
        </is>
      </c>
      <c r="E303" t="inlineStr">
        <is>
          <t>2026-04-16</t>
        </is>
      </c>
      <c r="F303" t="inlineStr">
        <is>
          <t>2026-04-23</t>
        </is>
      </c>
      <c r="G303" t="inlineStr">
        <is>
          <t xml:space="preserve"> - Surfer Suite</t>
        </is>
      </c>
      <c r="H303">
        <f>HYPERLINK("https://booking.roadsurfer.com/es/rally/pick?pickup_date=2026-04-16&amp;return_date=2026-04-23&amp;currency=EUR&amp;startStation=22&amp;endStation=17",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Lille</t>
        </is>
      </c>
      <c r="E304" t="inlineStr">
        <is>
          <t>2026-03-26</t>
        </is>
      </c>
      <c r="F304" t="inlineStr">
        <is>
          <t>2026-04-02</t>
        </is>
      </c>
      <c r="G304" t="inlineStr">
        <is>
          <t xml:space="preserve"> - Beach Hostel</t>
        </is>
      </c>
      <c r="H304">
        <f>HYPERLINK("https://booking.roadsurfer.com/es/rally/pick?pickup_date=2026-03-26&amp;return_date=2026-04-02&amp;currency=EUR&amp;startStation=22&amp;endStation=87",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Austria</t>
        </is>
      </c>
      <c r="D305" t="inlineStr">
        <is>
          <t>Viena</t>
        </is>
      </c>
      <c r="E305" t="inlineStr">
        <is>
          <t>2026-04-27</t>
        </is>
      </c>
      <c r="F305" t="inlineStr">
        <is>
          <t>2026-05-04</t>
        </is>
      </c>
      <c r="G305" t="inlineStr">
        <is>
          <t xml:space="preserve"> - Camper Cabin Deluxe</t>
        </is>
      </c>
      <c r="H305">
        <f>HYPERLINK("https://booking.roadsurfer.com/es/rally/pick?pickup_date=2026-04-27&amp;return_date=2026-05-04&amp;currency=EUR&amp;startStation=22&amp;endStation=36",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Austria</t>
        </is>
      </c>
      <c r="D306" t="inlineStr">
        <is>
          <t>Viena</t>
        </is>
      </c>
      <c r="E306" t="inlineStr">
        <is>
          <t>2026-04-08</t>
        </is>
      </c>
      <c r="F306" t="inlineStr">
        <is>
          <t>2026-04-15</t>
        </is>
      </c>
      <c r="G306" t="inlineStr">
        <is>
          <t xml:space="preserve"> - Beach Hostel</t>
        </is>
      </c>
      <c r="H306">
        <f>HYPERLINK("https://booking.roadsurfer.com/es/rally/pick?pickup_date=2026-04-08&amp;return_date=2026-04-15&amp;currency=EUR&amp;startStation=22&amp;endStation=36",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Italia</t>
        </is>
      </c>
      <c r="D307" t="inlineStr">
        <is>
          <t>Florencia</t>
        </is>
      </c>
      <c r="E307" t="inlineStr">
        <is>
          <t>2026-04-17</t>
        </is>
      </c>
      <c r="F307" t="inlineStr">
        <is>
          <t>2026-04-24</t>
        </is>
      </c>
      <c r="G307" t="inlineStr">
        <is>
          <t xml:space="preserve"> - Road House</t>
        </is>
      </c>
      <c r="H307">
        <f>HYPERLINK("https://booking.roadsurfer.com/es/rally/pick?pickup_date=2026-04-17&amp;return_date=2026-04-24&amp;currency=EUR&amp;startStation=22&amp;endStation=80",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Italia</t>
        </is>
      </c>
      <c r="D308" t="inlineStr">
        <is>
          <t>Florencia</t>
        </is>
      </c>
      <c r="E308" t="inlineStr">
        <is>
          <t>2026-04-06</t>
        </is>
      </c>
      <c r="F308" t="inlineStr">
        <is>
          <t>2026-04-13</t>
        </is>
      </c>
      <c r="G308" t="inlineStr">
        <is>
          <t xml:space="preserve"> - Beach Hostel</t>
        </is>
      </c>
      <c r="H308">
        <f>HYPERLINK("https://booking.roadsurfer.com/es/rally/pick?pickup_date=2026-04-06&amp;return_date=2026-04-13&amp;currency=EUR&amp;startStation=22&amp;endStation=80",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Burdeos</t>
        </is>
      </c>
      <c r="E309" t="inlineStr">
        <is>
          <t>2026-03-20</t>
        </is>
      </c>
      <c r="F309" t="inlineStr">
        <is>
          <t>2026-03-27</t>
        </is>
      </c>
      <c r="G309" t="inlineStr">
        <is>
          <t xml:space="preserve"> - Camper Cabin</t>
        </is>
      </c>
      <c r="H309">
        <f>HYPERLINK("https://booking.roadsurfer.com/es/rally/pick?pickup_date=2026-03-20&amp;return_date=2026-03-27&amp;currency=EUR&amp;startStation=22&amp;endStation=13",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España</t>
        </is>
      </c>
      <c r="D310" t="inlineStr">
        <is>
          <t>Sevilla</t>
        </is>
      </c>
      <c r="E310" t="inlineStr">
        <is>
          <t>2026-03-23</t>
        </is>
      </c>
      <c r="F310" t="inlineStr">
        <is>
          <t>2026-03-30</t>
        </is>
      </c>
      <c r="G310" t="inlineStr">
        <is>
          <t xml:space="preserve"> - Road House</t>
        </is>
      </c>
      <c r="H310">
        <f>HYPERLINK("https://booking.roadsurfer.com/es/rally/pick?pickup_date=2026-03-23&amp;return_date=2026-03-30&amp;currency=EUR&amp;startStation=22&amp;endStation=39", "Clic para verlo en la web de RoadSurfer")</f>
        <v/>
      </c>
    </row>
    <row r="311">
      <c r="A311" t="inlineStr">
        <is>
          <t>Italia</t>
        </is>
      </c>
      <c r="B311" t="inlineStr">
        <is>
          <t>Milán</t>
        </is>
      </c>
      <c r="C311" t="inlineStr">
        <is>
          <t>Alemania</t>
        </is>
      </c>
      <c r="D311" t="inlineStr">
        <is>
          <t>Wurzburgo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No hay coche</t>
        </is>
      </c>
      <c r="H311">
        <f>HYPERLINK("https://booking.roadsurfer.com/es/rally/pick?pickup_date=2026-05-04&amp;return_date=2026-05-11&amp;currency=EUR&amp;startStation=34&amp;endStation=115", "Clic para verlo en la web de RoadSurfer")</f>
        <v/>
      </c>
    </row>
    <row r="312">
      <c r="A312" t="inlineStr">
        <is>
          <t>Italia</t>
        </is>
      </c>
      <c r="B312" t="inlineStr">
        <is>
          <t>Milán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Camper Castle</t>
        </is>
      </c>
      <c r="H312">
        <f>HYPERLINK("https://booking.roadsurfer.com/es/rally/pick?pickup_date=2026-05-04&amp;return_date=2026-05-11&amp;currency=EUR&amp;startStation=34&amp;endStation=8", "Clic para verlo en la web de RoadSurfer")</f>
        <v/>
      </c>
    </row>
    <row r="313">
      <c r="A313" t="inlineStr">
        <is>
          <t>Italia</t>
        </is>
      </c>
      <c r="B313" t="inlineStr">
        <is>
          <t>Milán</t>
        </is>
      </c>
      <c r="C313" t="inlineStr">
        <is>
          <t>Alemania</t>
        </is>
      </c>
      <c r="D313" t="inlineStr">
        <is>
          <t>Stuttgart</t>
        </is>
      </c>
      <c r="E313" t="inlineStr">
        <is>
          <t>2026-04-13</t>
        </is>
      </c>
      <c r="F313" t="inlineStr">
        <is>
          <t>2026-04-20</t>
        </is>
      </c>
      <c r="G313" t="inlineStr">
        <is>
          <t xml:space="preserve"> - Cozy Cottage</t>
        </is>
      </c>
      <c r="H313">
        <f>HYPERLINK("https://booking.roadsurfer.com/es/rally/pick?pickup_date=2026-04-13&amp;return_date=2026-04-20&amp;currency=EUR&amp;startStation=34&amp;endStation=5",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Francia</t>
        </is>
      </c>
      <c r="D314" t="inlineStr">
        <is>
          <t>Niza</t>
        </is>
      </c>
      <c r="E314" t="inlineStr">
        <is>
          <t>2026-04-23</t>
        </is>
      </c>
      <c r="F314" t="inlineStr">
        <is>
          <t>2026-04-30</t>
        </is>
      </c>
      <c r="G314" t="inlineStr">
        <is>
          <t xml:space="preserve"> - Surfer Suite</t>
        </is>
      </c>
      <c r="H314">
        <f>HYPERLINK("https://booking.roadsurfer.com/es/rally/pick?pickup_date=2026-04-23&amp;return_date=2026-04-30&amp;currency=EUR&amp;startStation=1&amp;endStation=88",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Alemania</t>
        </is>
      </c>
      <c r="D315" t="inlineStr">
        <is>
          <t>Braunschweig</t>
        </is>
      </c>
      <c r="E315" t="inlineStr">
        <is>
          <t>2026-04-20</t>
        </is>
      </c>
      <c r="F315" t="inlineStr">
        <is>
          <t>2026-04-27</t>
        </is>
      </c>
      <c r="G315" t="inlineStr">
        <is>
          <t xml:space="preserve"> - No hay coche</t>
        </is>
      </c>
      <c r="H315">
        <f>HYPERLINK("https://booking.roadsurfer.com/es/rally/pick?pickup_date=2026-04-20&amp;return_date=2026-04-27&amp;currency=EUR&amp;startStation=1&amp;endStation=128",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Alemania</t>
        </is>
      </c>
      <c r="D316" t="inlineStr">
        <is>
          <t>Braunschweig</t>
        </is>
      </c>
      <c r="E316" t="inlineStr">
        <is>
          <t>2026-04-16</t>
        </is>
      </c>
      <c r="F316" t="inlineStr">
        <is>
          <t>2026-04-23</t>
        </is>
      </c>
      <c r="G316" t="inlineStr">
        <is>
          <t xml:space="preserve"> - No hay coche</t>
        </is>
      </c>
      <c r="H316">
        <f>HYPERLINK("https://booking.roadsurfer.com/es/rally/pick?pickup_date=2026-04-16&amp;return_date=2026-04-23&amp;currency=EUR&amp;startStation=1&amp;endStation=128",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Austria</t>
        </is>
      </c>
      <c r="D317" t="inlineStr">
        <is>
          <t>Linz</t>
        </is>
      </c>
      <c r="E317" t="inlineStr">
        <is>
          <t>2026-04-20</t>
        </is>
      </c>
      <c r="F317" t="inlineStr">
        <is>
          <t>2026-04-27</t>
        </is>
      </c>
      <c r="G317" t="inlineStr">
        <is>
          <t xml:space="preserve"> - Surfer Suite</t>
        </is>
      </c>
      <c r="H317">
        <f>HYPERLINK("https://booking.roadsurfer.com/es/rally/pick?pickup_date=2026-04-20&amp;return_date=2026-04-27&amp;currency=EUR&amp;startStation=1&amp;endStation=116",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Italia</t>
        </is>
      </c>
      <c r="D318" t="inlineStr">
        <is>
          <t>Bérgamo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Couple Cottage</t>
        </is>
      </c>
      <c r="H318">
        <f>HYPERLINK("https://booking.roadsurfer.com/es/rally/pick?pickup_date=2026-05-04&amp;return_date=2026-05-11&amp;currency=EUR&amp;startStation=1&amp;endStation=94",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Italia</t>
        </is>
      </c>
      <c r="D319" t="inlineStr">
        <is>
          <t>Bérgamo</t>
        </is>
      </c>
      <c r="E319" t="inlineStr">
        <is>
          <t>2026-05-02</t>
        </is>
      </c>
      <c r="F319" t="inlineStr">
        <is>
          <t>2026-05-09</t>
        </is>
      </c>
      <c r="G319" t="inlineStr">
        <is>
          <t xml:space="preserve"> - Road House</t>
        </is>
      </c>
      <c r="H319">
        <f>HYPERLINK("https://booking.roadsurfer.com/es/rally/pick?pickup_date=2026-05-02&amp;return_date=2026-05-09&amp;currency=EUR&amp;startStation=1&amp;endStation=94",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Alemania</t>
        </is>
      </c>
      <c r="D320" t="inlineStr">
        <is>
          <t>Lindau-Wangen</t>
        </is>
      </c>
      <c r="E320" t="inlineStr">
        <is>
          <t>2026-03-20</t>
        </is>
      </c>
      <c r="F320" t="inlineStr">
        <is>
          <t>2026-03-27</t>
        </is>
      </c>
      <c r="G320" t="inlineStr">
        <is>
          <t xml:space="preserve"> - Road House</t>
        </is>
      </c>
      <c r="H320">
        <f>HYPERLINK("https://booking.roadsurfer.com/es/rally/pick?pickup_date=2026-03-20&amp;return_date=2026-03-27&amp;currency=EUR&amp;startStation=1&amp;endStation=117",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Austria</t>
        </is>
      </c>
      <c r="D321" t="inlineStr">
        <is>
          <t>Graz</t>
        </is>
      </c>
      <c r="E321" t="inlineStr">
        <is>
          <t>2026-03-20</t>
        </is>
      </c>
      <c r="F321" t="inlineStr">
        <is>
          <t>2026-03-27</t>
        </is>
      </c>
      <c r="G321" t="inlineStr">
        <is>
          <t xml:space="preserve"> - Road House</t>
        </is>
      </c>
      <c r="H321">
        <f>HYPERLINK("https://booking.roadsurfer.com/es/rally/pick?pickup_date=2026-03-20&amp;return_date=2026-03-27&amp;currency=EUR&amp;startStation=1&amp;endStation=37",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Francia</t>
        </is>
      </c>
      <c r="D322" t="inlineStr">
        <is>
          <t>Lille</t>
        </is>
      </c>
      <c r="E322" t="inlineStr">
        <is>
          <t>2026-04-09</t>
        </is>
      </c>
      <c r="F322" t="inlineStr">
        <is>
          <t>2026-04-16</t>
        </is>
      </c>
      <c r="G322" t="inlineStr">
        <is>
          <t xml:space="preserve"> - COZY COTTAGE</t>
        </is>
      </c>
      <c r="H322">
        <f>HYPERLINK("https://booking.roadsurfer.com/es/rally/pick?pickup_date=2026-04-09&amp;return_date=2026-04-16&amp;currency=EUR&amp;startStation=1&amp;endStation=87",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Francia</t>
        </is>
      </c>
      <c r="D323" t="inlineStr">
        <is>
          <t>Lille</t>
        </is>
      </c>
      <c r="E323" t="inlineStr">
        <is>
          <t>2026-03-20</t>
        </is>
      </c>
      <c r="F323" t="inlineStr">
        <is>
          <t>2026-03-27</t>
        </is>
      </c>
      <c r="G323" t="inlineStr">
        <is>
          <t xml:space="preserve"> - Road House</t>
        </is>
      </c>
      <c r="H323">
        <f>HYPERLINK("https://booking.roadsurfer.com/es/rally/pick?pickup_date=2026-03-20&amp;return_date=2026-03-27&amp;currency=EUR&amp;startStation=1&amp;endStation=87",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Francia</t>
        </is>
      </c>
      <c r="D324" t="inlineStr">
        <is>
          <t>Estrasburgo</t>
        </is>
      </c>
      <c r="E324" t="inlineStr">
        <is>
          <t>2026-03-24</t>
        </is>
      </c>
      <c r="F324" t="inlineStr">
        <is>
          <t>2026-03-31</t>
        </is>
      </c>
      <c r="G324" t="inlineStr">
        <is>
          <t xml:space="preserve"> - Camper Castle</t>
        </is>
      </c>
      <c r="H324">
        <f>HYPERLINK("https://booking.roadsurfer.com/es/rally/pick?pickup_date=2026-03-24&amp;return_date=2026-03-31&amp;currency=EUR&amp;startStation=1&amp;endStation=49",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Francia</t>
        </is>
      </c>
      <c r="D325" t="inlineStr">
        <is>
          <t>Nantes</t>
        </is>
      </c>
      <c r="E325" t="inlineStr">
        <is>
          <t>2026-04-16</t>
        </is>
      </c>
      <c r="F325" t="inlineStr">
        <is>
          <t>2026-04-23</t>
        </is>
      </c>
      <c r="G325" t="inlineStr">
        <is>
          <t xml:space="preserve"> - Camper Castle</t>
        </is>
      </c>
      <c r="H325">
        <f>HYPERLINK("https://booking.roadsurfer.com/es/rally/pick?pickup_date=2026-04-16&amp;return_date=2026-04-23&amp;currency=EUR&amp;startStation=1&amp;endStation=31",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Austria</t>
        </is>
      </c>
      <c r="D326" t="inlineStr">
        <is>
          <t>Viena Sur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Camper Castle</t>
        </is>
      </c>
      <c r="H326">
        <f>HYPERLINK("https://booking.roadsurfer.com/es/rally/pick?pickup_date=2026-04-13&amp;return_date=2026-04-20&amp;currency=EUR&amp;startStation=1&amp;endStation=45",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Austria</t>
        </is>
      </c>
      <c r="D327" t="inlineStr">
        <is>
          <t>Viena Sur</t>
        </is>
      </c>
      <c r="E327" t="inlineStr">
        <is>
          <t>2026-03-20</t>
        </is>
      </c>
      <c r="F327" t="inlineStr">
        <is>
          <t>2026-03-27</t>
        </is>
      </c>
      <c r="G327" t="inlineStr">
        <is>
          <t xml:space="preserve"> - Couple Cottage</t>
        </is>
      </c>
      <c r="H327">
        <f>HYPERLINK("https://booking.roadsurfer.com/es/rally/pick?pickup_date=2026-03-20&amp;return_date=2026-03-27&amp;currency=EUR&amp;startStation=1&amp;endStation=45",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Francia</t>
        </is>
      </c>
      <c r="D328" t="inlineStr">
        <is>
          <t>Toulouse</t>
        </is>
      </c>
      <c r="E328" t="inlineStr">
        <is>
          <t>2026-04-16</t>
        </is>
      </c>
      <c r="F328" t="inlineStr">
        <is>
          <t>2026-04-23</t>
        </is>
      </c>
      <c r="G328" t="inlineStr">
        <is>
          <t xml:space="preserve"> - Family Finca</t>
        </is>
      </c>
      <c r="H328">
        <f>HYPERLINK("https://booking.roadsurfer.com/es/rally/pick?pickup_date=2026-04-16&amp;return_date=2026-04-23&amp;currency=EUR&amp;startStation=1&amp;endStation=30",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Bélgica</t>
        </is>
      </c>
      <c r="D329" t="inlineStr">
        <is>
          <t>Amberes</t>
        </is>
      </c>
      <c r="E329" t="inlineStr">
        <is>
          <t>2026-04-09</t>
        </is>
      </c>
      <c r="F329" t="inlineStr">
        <is>
          <t>2026-04-16</t>
        </is>
      </c>
      <c r="G329" t="inlineStr">
        <is>
          <t xml:space="preserve"> - Couple Cottage</t>
        </is>
      </c>
      <c r="H329">
        <f>HYPERLINK("https://booking.roadsurfer.com/es/rally/pick?pickup_date=2026-04-09&amp;return_date=2026-04-16&amp;currency=EUR&amp;startStation=1&amp;endStation=47",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Alemania</t>
        </is>
      </c>
      <c r="D330" t="inlineStr">
        <is>
          <t>Bochum</t>
        </is>
      </c>
      <c r="E330" t="inlineStr">
        <is>
          <t>2026-03-20</t>
        </is>
      </c>
      <c r="F330" t="inlineStr">
        <is>
          <t>2026-03-27</t>
        </is>
      </c>
      <c r="G330" t="inlineStr">
        <is>
          <t xml:space="preserve"> - Couple Cottage</t>
        </is>
      </c>
      <c r="H330">
        <f>HYPERLINK("https://booking.roadsurfer.com/es/rally/pick?pickup_date=2026-03-20&amp;return_date=2026-03-27&amp;currency=EUR&amp;startStation=1&amp;endStation=24",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Italia</t>
        </is>
      </c>
      <c r="D331" t="inlineStr">
        <is>
          <t>Venecia</t>
        </is>
      </c>
      <c r="E331" t="inlineStr">
        <is>
          <t>2026-03-17</t>
        </is>
      </c>
      <c r="F331" t="inlineStr">
        <is>
          <t>2026-03-24</t>
        </is>
      </c>
      <c r="G331" t="inlineStr">
        <is>
          <t xml:space="preserve"> - Couple Cottage</t>
        </is>
      </c>
      <c r="H331">
        <f>HYPERLINK("https://booking.roadsurfer.com/es/rally/pick?pickup_date=2026-03-17&amp;return_date=2026-03-24&amp;currency=EUR&amp;startStation=1&amp;endStation=78",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Francia</t>
        </is>
      </c>
      <c r="D332" t="inlineStr">
        <is>
          <t>Burdeos</t>
        </is>
      </c>
      <c r="E332" t="inlineStr">
        <is>
          <t>2026-04-17</t>
        </is>
      </c>
      <c r="F332" t="inlineStr">
        <is>
          <t>2026-04-24</t>
        </is>
      </c>
      <c r="G332" t="inlineStr">
        <is>
          <t xml:space="preserve"> - Sunrise Suite</t>
        </is>
      </c>
      <c r="H332">
        <f>HYPERLINK("https://booking.roadsurfer.com/es/rally/pick?pickup_date=2026-04-17&amp;return_date=2026-04-24&amp;currency=EUR&amp;startStation=1&amp;endStation=13", "Clic para verlo en la web de RoadSurfer")</f>
        <v/>
      </c>
    </row>
    <row r="333">
      <c r="A333" t="inlineStr">
        <is>
          <t>Francia</t>
        </is>
      </c>
      <c r="B333" t="inlineStr">
        <is>
          <t>Nantes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2026-03-24</t>
        </is>
      </c>
      <c r="F333" t="inlineStr">
        <is>
          <t>2026-03-31</t>
        </is>
      </c>
      <c r="G333" t="inlineStr">
        <is>
          <t xml:space="preserve"> - Beach Hostel</t>
        </is>
      </c>
      <c r="H333">
        <f>HYPERLINK("https://booking.roadsurfer.com/es/rally/pick?pickup_date=2026-03-24&amp;return_date=2026-03-31&amp;currency=EUR&amp;startStation=31&amp;endStation=91", "Clic para verlo en la web de RoadSurfer")</f>
        <v/>
      </c>
    </row>
    <row r="334">
      <c r="A334" t="inlineStr">
        <is>
          <t>Francia</t>
        </is>
      </c>
      <c r="B334" t="inlineStr">
        <is>
          <t>Nantes</t>
        </is>
      </c>
      <c r="C334" t="inlineStr">
        <is>
          <t>Alemania</t>
        </is>
      </c>
      <c r="D334" t="inlineStr">
        <is>
          <t>Ulm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Beach Hostel</t>
        </is>
      </c>
      <c r="H334">
        <f>HYPERLINK("https://booking.roadsurfer.com/es/rally/pick?pickup_date=2026-04-14&amp;return_date=2026-04-21&amp;currency=EUR&amp;startStation=31&amp;endStation=112", "Clic para verlo en la web de RoadSurfer")</f>
        <v/>
      </c>
    </row>
    <row r="335">
      <c r="A335" t="inlineStr">
        <is>
          <t>Francia</t>
        </is>
      </c>
      <c r="B335" t="inlineStr">
        <is>
          <t>Nantes</t>
        </is>
      </c>
      <c r="C335" t="inlineStr">
        <is>
          <t>Alemania</t>
        </is>
      </c>
      <c r="D335" t="inlineStr">
        <is>
          <t>Constanza (Aach)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Family Finca</t>
        </is>
      </c>
      <c r="H335">
        <f>HYPERLINK("https://booking.roadsurfer.com/es/rally/pick?pickup_date=2026-05-04&amp;return_date=2026-05-11&amp;currency=EUR&amp;startStation=31&amp;endStation=10", "Clic para verlo en la web de RoadSurfer")</f>
        <v/>
      </c>
    </row>
    <row r="336">
      <c r="A336" t="inlineStr">
        <is>
          <t>Francia</t>
        </is>
      </c>
      <c r="B336" t="inlineStr">
        <is>
          <t>Nantes</t>
        </is>
      </c>
      <c r="C336" t="inlineStr">
        <is>
          <t>Alemania</t>
        </is>
      </c>
      <c r="D336" t="inlineStr">
        <is>
          <t>Aquisgrán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Travel Home</t>
        </is>
      </c>
      <c r="H336">
        <f>HYPERLINK("https://booking.roadsurfer.com/es/rally/pick?pickup_date=2026-04-13&amp;return_date=2026-04-20&amp;currency=EUR&amp;startStation=31&amp;endStation=114", "Clic para verlo en la web de RoadSurfer")</f>
        <v/>
      </c>
    </row>
    <row r="337">
      <c r="A337" t="inlineStr">
        <is>
          <t>Francia</t>
        </is>
      </c>
      <c r="B337" t="inlineStr">
        <is>
          <t>Niza</t>
        </is>
      </c>
      <c r="C337" t="inlineStr">
        <is>
          <t>Alemania</t>
        </is>
      </c>
      <c r="D337" t="inlineStr">
        <is>
          <t>Tréveris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Surfer Suite</t>
        </is>
      </c>
      <c r="H337">
        <f>HYPERLINK("https://booking.roadsurfer.com/es/rally/pick?pickup_date=2026-05-04&amp;return_date=2026-05-11&amp;currency=EUR&amp;startStation=88&amp;endStation=28", "Clic para verlo en la web de RoadSurfer")</f>
        <v/>
      </c>
    </row>
    <row r="338">
      <c r="A338" t="inlineStr">
        <is>
          <t>Alemania</t>
        </is>
      </c>
      <c r="B338" t="inlineStr">
        <is>
          <t>Núremberg</t>
        </is>
      </c>
      <c r="C338" t="inlineStr">
        <is>
          <t>Francia</t>
        </is>
      </c>
      <c r="D338" t="inlineStr">
        <is>
          <t>Toulouse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Camper Castle</t>
        </is>
      </c>
      <c r="H338">
        <f>HYPERLINK("https://booking.roadsurfer.com/es/rally/pick?pickup_date=2026-04-14&amp;return_date=2026-04-21&amp;currency=EUR&amp;startStation=11&amp;endStation=30", "Clic para verlo en la web de RoadSurfer")</f>
        <v/>
      </c>
    </row>
    <row r="339">
      <c r="A339" t="inlineStr">
        <is>
          <t>Francia</t>
        </is>
      </c>
      <c r="B339" t="inlineStr">
        <is>
          <t>París Sur (Orly)</t>
        </is>
      </c>
      <c r="C339" t="inlineStr">
        <is>
          <t>Alemania</t>
        </is>
      </c>
      <c r="D339" t="inlineStr">
        <is>
          <t>Berlín</t>
        </is>
      </c>
      <c r="E339" t="inlineStr">
        <is>
          <t>2026-04-20</t>
        </is>
      </c>
      <c r="F339" t="inlineStr">
        <is>
          <t>2026-04-27</t>
        </is>
      </c>
      <c r="G339" t="inlineStr">
        <is>
          <t xml:space="preserve"> - Surfer Suite</t>
        </is>
      </c>
      <c r="H339">
        <f>HYPERLINK("https://booking.roadsurfer.com/es/rally/pick?pickup_date=2026-04-20&amp;return_date=2026-04-27&amp;currency=EUR&amp;startStation=12&amp;endStation=6", "Clic para verlo en la web de RoadSurfer")</f>
        <v/>
      </c>
    </row>
    <row r="340">
      <c r="A340" t="inlineStr">
        <is>
          <t>Francia</t>
        </is>
      </c>
      <c r="B340" t="inlineStr">
        <is>
          <t>París Sur (Orly)</t>
        </is>
      </c>
      <c r="C340" t="inlineStr">
        <is>
          <t>Alemania</t>
        </is>
      </c>
      <c r="D340" t="inlineStr">
        <is>
          <t>Augsburgo</t>
        </is>
      </c>
      <c r="E340" t="inlineStr">
        <is>
          <t>2026-03-26</t>
        </is>
      </c>
      <c r="F340" t="inlineStr">
        <is>
          <t>2026-04-02</t>
        </is>
      </c>
      <c r="G340" t="inlineStr">
        <is>
          <t xml:space="preserve"> - Beach Hostel</t>
        </is>
      </c>
      <c r="H340">
        <f>HYPERLINK("https://booking.roadsurfer.com/es/rally/pick?pickup_date=2026-03-26&amp;return_date=2026-04-02&amp;currency=EUR&amp;startStation=12&amp;endStation=108", "Clic para verlo en la web de RoadSurfer")</f>
        <v/>
      </c>
    </row>
    <row r="341">
      <c r="A341" t="inlineStr">
        <is>
          <t>Francia</t>
        </is>
      </c>
      <c r="B341" t="inlineStr">
        <is>
          <t>París Sur (Orly)</t>
        </is>
      </c>
      <c r="C341" t="inlineStr">
        <is>
          <t>Alemania</t>
        </is>
      </c>
      <c r="D341" t="inlineStr">
        <is>
          <t>Aquisgrán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Camper Cabin</t>
        </is>
      </c>
      <c r="H341">
        <f>HYPERLINK("https://booking.roadsurfer.com/es/rally/pick?pickup_date=2026-05-04&amp;return_date=2026-05-11&amp;currency=EUR&amp;startStation=12&amp;endStation=114", "Clic para verlo en la web de RoadSurfer")</f>
        <v/>
      </c>
    </row>
    <row r="342">
      <c r="A342" t="inlineStr">
        <is>
          <t>Francia</t>
        </is>
      </c>
      <c r="B342" t="inlineStr">
        <is>
          <t>París Sur (Orly)</t>
        </is>
      </c>
      <c r="C342" t="inlineStr">
        <is>
          <t>Alemania</t>
        </is>
      </c>
      <c r="D342" t="inlineStr">
        <is>
          <t>Karlsruhe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Camper Cabin</t>
        </is>
      </c>
      <c r="H342">
        <f>HYPERLINK("https://booking.roadsurfer.com/es/rally/pick?pickup_date=2026-05-04&amp;return_date=2026-05-11&amp;currency=EUR&amp;startStation=12&amp;endStation=110", "Clic para verlo en la web de RoadSurfer")</f>
        <v/>
      </c>
    </row>
    <row r="343">
      <c r="A343" t="inlineStr">
        <is>
          <t>Francia</t>
        </is>
      </c>
      <c r="B343" t="inlineStr">
        <is>
          <t>París Sur (Orly)</t>
        </is>
      </c>
      <c r="C343" t="inlineStr">
        <is>
          <t>Alemania</t>
        </is>
      </c>
      <c r="D343" t="inlineStr">
        <is>
          <t>Braunschweig</t>
        </is>
      </c>
      <c r="E343" t="inlineStr">
        <is>
          <t>2026-04-16</t>
        </is>
      </c>
      <c r="F343" t="inlineStr">
        <is>
          <t>2026-04-23</t>
        </is>
      </c>
      <c r="G343" t="inlineStr">
        <is>
          <t xml:space="preserve"> - No hay coche</t>
        </is>
      </c>
      <c r="H343">
        <f>HYPERLINK("https://booking.roadsurfer.com/es/rally/pick?pickup_date=2026-04-16&amp;return_date=2026-04-23&amp;currency=EUR&amp;startStation=12&amp;endStation=128", "Clic para verlo en la web de RoadSurfer")</f>
        <v/>
      </c>
    </row>
    <row r="344">
      <c r="A344" t="inlineStr">
        <is>
          <t>Francia</t>
        </is>
      </c>
      <c r="B344" t="inlineStr">
        <is>
          <t>París Aeropuerto CDG</t>
        </is>
      </c>
      <c r="C344" t="inlineStr">
        <is>
          <t>Francia</t>
        </is>
      </c>
      <c r="D344" t="inlineStr">
        <is>
          <t>Aix-Marsella</t>
        </is>
      </c>
      <c r="E344" t="inlineStr">
        <is>
          <t>2026-04-20</t>
        </is>
      </c>
      <c r="F344" t="inlineStr">
        <is>
          <t>2026-04-27</t>
        </is>
      </c>
      <c r="G344" t="inlineStr">
        <is>
          <t xml:space="preserve"> - Couple Cottage</t>
        </is>
      </c>
      <c r="H344">
        <f>HYPERLINK("https://booking.roadsurfer.com/es/rally/pick?pickup_date=2026-04-20&amp;return_date=2026-04-27&amp;currency=EUR&amp;startStation=48&amp;endStation=16", "Clic para verlo en la web de RoadSurfer")</f>
        <v/>
      </c>
    </row>
    <row r="345">
      <c r="A345" t="inlineStr">
        <is>
          <t>Francia</t>
        </is>
      </c>
      <c r="B345" t="inlineStr">
        <is>
          <t>París Aeropuerto CDG</t>
        </is>
      </c>
      <c r="C345" t="inlineStr">
        <is>
          <t>Alemania</t>
        </is>
      </c>
      <c r="D345" t="inlineStr">
        <is>
          <t>Aquisgrán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Road House</t>
        </is>
      </c>
      <c r="H345">
        <f>HYPERLINK("https://booking.roadsurfer.com/es/rally/pick?pickup_date=2026-05-04&amp;return_date=2026-05-11&amp;currency=EUR&amp;startStation=48&amp;endStation=114", "Clic para verlo en la web de RoadSurfer")</f>
        <v/>
      </c>
    </row>
    <row r="346">
      <c r="A346" t="inlineStr">
        <is>
          <t>Francia</t>
        </is>
      </c>
      <c r="B346" t="inlineStr">
        <is>
          <t>París Aeropuerto CDG</t>
        </is>
      </c>
      <c r="C346" t="inlineStr">
        <is>
          <t>Alemania</t>
        </is>
      </c>
      <c r="D346" t="inlineStr">
        <is>
          <t>Stuttgart</t>
        </is>
      </c>
      <c r="E346" t="inlineStr">
        <is>
          <t>2026-04-13</t>
        </is>
      </c>
      <c r="F346" t="inlineStr">
        <is>
          <t>2026-04-20</t>
        </is>
      </c>
      <c r="G346" t="inlineStr">
        <is>
          <t xml:space="preserve"> - Family Finca</t>
        </is>
      </c>
      <c r="H346">
        <f>HYPERLINK("https://booking.roadsurfer.com/es/rally/pick?pickup_date=2026-04-13&amp;return_date=2026-04-20&amp;currency=EUR&amp;startStation=48&amp;endStation=5", "Clic para verlo en la web de RoadSurfer")</f>
        <v/>
      </c>
    </row>
    <row r="347">
      <c r="A347" t="inlineStr">
        <is>
          <t>EE.UU.</t>
        </is>
      </c>
      <c r="B347" t="inlineStr">
        <is>
          <t>Phoenix</t>
        </is>
      </c>
      <c r="C347" t="inlineStr">
        <is>
          <t>EE.UU.</t>
        </is>
      </c>
      <c r="D347" t="inlineStr">
        <is>
          <t>Dallas</t>
        </is>
      </c>
      <c r="E347" t="inlineStr">
        <is>
          <t>2026-03-31</t>
        </is>
      </c>
      <c r="F347" t="inlineStr">
        <is>
          <t>2026-04-07</t>
        </is>
      </c>
      <c r="G347" t="inlineStr">
        <is>
          <t xml:space="preserve"> - Couple Condo</t>
        </is>
      </c>
      <c r="H347">
        <f>HYPERLINK("https://booking.roadsurfer.com/es/rally/pick?pickup_date=2026-03-31&amp;return_date=2026-04-07&amp;currency=EUR&amp;startStation=105&amp;endStation=125", "Clic para verlo en la web de RoadSurfer")</f>
        <v/>
      </c>
    </row>
    <row r="348">
      <c r="A348" t="inlineStr">
        <is>
          <t>Alemania</t>
        </is>
      </c>
      <c r="B348" t="inlineStr">
        <is>
          <t>Ratisbona</t>
        </is>
      </c>
      <c r="C348" t="inlineStr">
        <is>
          <t>Alemania</t>
        </is>
      </c>
      <c r="D348" t="inlineStr">
        <is>
          <t>Bremen</t>
        </is>
      </c>
      <c r="E348" t="inlineStr">
        <is>
          <t>2026-03-23</t>
        </is>
      </c>
      <c r="F348" t="inlineStr">
        <is>
          <t>2026-03-30</t>
        </is>
      </c>
      <c r="G348" t="inlineStr">
        <is>
          <t xml:space="preserve"> - Travel Home</t>
        </is>
      </c>
      <c r="H348">
        <f>HYPERLINK("https://booking.roadsurfer.com/es/rally/pick?pickup_date=2026-03-23&amp;return_date=2026-03-30&amp;currency=EUR&amp;startStation=89&amp;endStation=55", "Clic para verlo en la web de RoadSurfer")</f>
        <v/>
      </c>
    </row>
    <row r="349">
      <c r="A349" t="inlineStr">
        <is>
          <t>Alemania</t>
        </is>
      </c>
      <c r="B349" t="inlineStr">
        <is>
          <t>Ratisbona</t>
        </is>
      </c>
      <c r="C349" t="inlineStr">
        <is>
          <t>Alemania</t>
        </is>
      </c>
      <c r="D349" t="inlineStr">
        <is>
          <t>Karlsruhe</t>
        </is>
      </c>
      <c r="E349" t="inlineStr">
        <is>
          <t>2026-04-27</t>
        </is>
      </c>
      <c r="F349" t="inlineStr">
        <is>
          <t>2026-05-04</t>
        </is>
      </c>
      <c r="G349" t="inlineStr">
        <is>
          <t xml:space="preserve"> - Surfer Suite</t>
        </is>
      </c>
      <c r="H349">
        <f>HYPERLINK("https://booking.roadsurfer.com/es/rally/pick?pickup_date=2026-04-27&amp;return_date=2026-05-04&amp;currency=EUR&amp;startStation=89&amp;endStation=110", "Clic para verlo en la web de RoadSurfer")</f>
        <v/>
      </c>
    </row>
    <row r="350">
      <c r="A350" t="inlineStr">
        <is>
          <t>Italia</t>
        </is>
      </c>
      <c r="B350" t="inlineStr">
        <is>
          <t>Roma Aeropuerto Fiumicino</t>
        </is>
      </c>
      <c r="C350" t="inlineStr">
        <is>
          <t>Italia</t>
        </is>
      </c>
      <c r="D350" t="inlineStr">
        <is>
          <t>Bolonia</t>
        </is>
      </c>
      <c r="E350" t="inlineStr">
        <is>
          <t>2026-03-23</t>
        </is>
      </c>
      <c r="F350" t="inlineStr">
        <is>
          <t>2026-03-30</t>
        </is>
      </c>
      <c r="G350" t="inlineStr">
        <is>
          <t xml:space="preserve"> - Beach Hostel</t>
        </is>
      </c>
      <c r="H350">
        <f>HYPERLINK("https://booking.roadsurfer.com/es/rally/pick?pickup_date=2026-03-23&amp;return_date=2026-03-30&amp;currency=EUR&amp;startStation=35&amp;endStation=57",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2026-03-24</t>
        </is>
      </c>
      <c r="F351" t="inlineStr">
        <is>
          <t>2026-03-31</t>
        </is>
      </c>
      <c r="G351" t="inlineStr">
        <is>
          <t xml:space="preserve"> - Surfer Suite</t>
        </is>
      </c>
      <c r="H351">
        <f>HYPERLINK("https://booking.roadsurfer.com/es/rally/pick?pickup_date=2026-03-24&amp;return_date=2026-03-31&amp;currency=EUR&amp;startStation=59&amp;endStation=22",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Núremberg</t>
        </is>
      </c>
      <c r="E352" t="inlineStr">
        <is>
          <t>2026-04-02</t>
        </is>
      </c>
      <c r="F352" t="inlineStr">
        <is>
          <t>2026-04-09</t>
        </is>
      </c>
      <c r="G352" t="inlineStr">
        <is>
          <t xml:space="preserve"> - Surfer Suite</t>
        </is>
      </c>
      <c r="H352">
        <f>HYPERLINK("https://booking.roadsurfer.com/es/rally/pick?pickup_date=2026-04-02&amp;return_date=2026-04-09&amp;currency=EUR&amp;startStation=59&amp;endStation=11",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Núremberg</t>
        </is>
      </c>
      <c r="E353" t="inlineStr">
        <is>
          <t>2026-03-30</t>
        </is>
      </c>
      <c r="F353" t="inlineStr">
        <is>
          <t>2026-04-06</t>
        </is>
      </c>
      <c r="G353" t="inlineStr">
        <is>
          <t xml:space="preserve"> - No hay coche</t>
        </is>
      </c>
      <c r="H353">
        <f>HYPERLINK("https://booking.roadsurfer.com/es/rally/pick?pickup_date=2026-03-30&amp;return_date=2026-04-06&amp;currency=EUR&amp;startStation=59&amp;endStation=11",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Ratisbona</t>
        </is>
      </c>
      <c r="E354" t="inlineStr">
        <is>
          <t>2026-03-21</t>
        </is>
      </c>
      <c r="F354" t="inlineStr">
        <is>
          <t>2026-03-28</t>
        </is>
      </c>
      <c r="G354" t="inlineStr">
        <is>
          <t xml:space="preserve"> - Surfer Suite</t>
        </is>
      </c>
      <c r="H354">
        <f>HYPERLINK("https://booking.roadsurfer.com/es/rally/pick?pickup_date=2026-03-21&amp;return_date=2026-03-28&amp;currency=EUR&amp;startStation=59&amp;endStation=89",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2026-04-14</t>
        </is>
      </c>
      <c r="F355" t="inlineStr">
        <is>
          <t>2026-04-21</t>
        </is>
      </c>
      <c r="G355" t="inlineStr">
        <is>
          <t xml:space="preserve"> - Couple Cottage</t>
        </is>
      </c>
      <c r="H355">
        <f>HYPERLINK("https://booking.roadsurfer.com/es/rally/pick?pickup_date=2026-04-14&amp;return_date=2026-04-21&amp;currency=EUR&amp;startStation=59&amp;endStation=90",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2026-03-24</t>
        </is>
      </c>
      <c r="F356" t="inlineStr">
        <is>
          <t>2026-03-31</t>
        </is>
      </c>
      <c r="G356" t="inlineStr">
        <is>
          <t xml:space="preserve"> - Sunrise Suite</t>
        </is>
      </c>
      <c r="H356">
        <f>HYPERLINK("https://booking.roadsurfer.com/es/rally/pick?pickup_date=2026-03-24&amp;return_date=2026-03-31&amp;currency=EUR&amp;startStation=59&amp;endStation=90",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2026-04-16</t>
        </is>
      </c>
      <c r="F357" t="inlineStr">
        <is>
          <t>2026-04-23</t>
        </is>
      </c>
      <c r="G357" t="inlineStr">
        <is>
          <t xml:space="preserve"> - Road House</t>
        </is>
      </c>
      <c r="H357">
        <f>HYPERLINK("https://booking.roadsurfer.com/es/rally/pick?pickup_date=2026-04-16&amp;return_date=2026-04-23&amp;currency=EUR&amp;startStation=59&amp;endStation=90",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2026-03-25</t>
        </is>
      </c>
      <c r="F358" t="inlineStr">
        <is>
          <t>2026-04-01</t>
        </is>
      </c>
      <c r="G358" t="inlineStr">
        <is>
          <t xml:space="preserve"> - Surfer Suite</t>
        </is>
      </c>
      <c r="H358">
        <f>HYPERLINK("https://booking.roadsurfer.com/es/rally/pick?pickup_date=2026-03-25&amp;return_date=2026-04-01&amp;currency=EUR&amp;startStation=59&amp;endStation=90",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Berlín</t>
        </is>
      </c>
      <c r="E359" t="inlineStr">
        <is>
          <t>2026-03-20</t>
        </is>
      </c>
      <c r="F359" t="inlineStr">
        <is>
          <t>2026-03-27</t>
        </is>
      </c>
      <c r="G359" t="inlineStr">
        <is>
          <t xml:space="preserve"> - Surfer Suite</t>
        </is>
      </c>
      <c r="H359">
        <f>HYPERLINK("https://booking.roadsurfer.com/es/rally/pick?pickup_date=2026-03-20&amp;return_date=2026-03-27&amp;currency=EUR&amp;startStation=59&amp;endStation=6",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Bielefeld</t>
        </is>
      </c>
      <c r="E360" t="inlineStr">
        <is>
          <t>2026-04-14</t>
        </is>
      </c>
      <c r="F360" t="inlineStr">
        <is>
          <t>2026-04-21</t>
        </is>
      </c>
      <c r="G360" t="inlineStr">
        <is>
          <t xml:space="preserve"> - Road House</t>
        </is>
      </c>
      <c r="H360">
        <f>HYPERLINK("https://booking.roadsurfer.com/es/rally/pick?pickup_date=2026-04-14&amp;return_date=2026-04-21&amp;currency=EUR&amp;startStation=59&amp;endStation=91",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Bielefeld</t>
        </is>
      </c>
      <c r="E361" t="inlineStr">
        <is>
          <t>2026-03-24</t>
        </is>
      </c>
      <c r="F361" t="inlineStr">
        <is>
          <t>2026-03-31</t>
        </is>
      </c>
      <c r="G361" t="inlineStr">
        <is>
          <t xml:space="preserve"> - Beach Hostel</t>
        </is>
      </c>
      <c r="H361">
        <f>HYPERLINK("https://booking.roadsurfer.com/es/rally/pick?pickup_date=2026-03-24&amp;return_date=2026-03-31&amp;currency=EUR&amp;startStation=59&amp;endStation=91",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Bielefeld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Sunrise Suite</t>
        </is>
      </c>
      <c r="H362">
        <f>HYPERLINK("https://booking.roadsurfer.com/es/rally/pick?pickup_date=2026-05-04&amp;return_date=2026-05-11&amp;currency=EUR&amp;startStation=59&amp;endStation=91",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Bielefeld</t>
        </is>
      </c>
      <c r="E363" t="inlineStr">
        <is>
          <t>2026-04-06</t>
        </is>
      </c>
      <c r="F363" t="inlineStr">
        <is>
          <t>2026-04-13</t>
        </is>
      </c>
      <c r="G363" t="inlineStr">
        <is>
          <t xml:space="preserve"> - No hay coche</t>
        </is>
      </c>
      <c r="H363">
        <f>HYPERLINK("https://booking.roadsurfer.com/es/rally/pick?pickup_date=2026-04-06&amp;return_date=2026-04-13&amp;currency=EUR&amp;startStation=59&amp;endStation=91",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2026-04-13</t>
        </is>
      </c>
      <c r="F364" t="inlineStr">
        <is>
          <t>2026-04-20</t>
        </is>
      </c>
      <c r="G364" t="inlineStr">
        <is>
          <t xml:space="preserve"> - Road House</t>
        </is>
      </c>
      <c r="H364">
        <f>HYPERLINK("https://booking.roadsurfer.com/es/rally/pick?pickup_date=2026-04-13&amp;return_date=2026-04-20&amp;currency=EUR&amp;startStation=59&amp;endStation=91",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Bremen</t>
        </is>
      </c>
      <c r="E365" t="inlineStr">
        <is>
          <t>2026-03-25</t>
        </is>
      </c>
      <c r="F365" t="inlineStr">
        <is>
          <t>2026-04-01</t>
        </is>
      </c>
      <c r="G365" t="inlineStr">
        <is>
          <t xml:space="preserve"> - BEACH HOSTEL</t>
        </is>
      </c>
      <c r="H365">
        <f>HYPERLINK("https://booking.roadsurfer.com/es/rally/pick?pickup_date=2026-03-25&amp;return_date=2026-04-01&amp;currency=EUR&amp;startStation=59&amp;endStation=55",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Dresde</t>
        </is>
      </c>
      <c r="E366" t="inlineStr">
        <is>
          <t>2026-03-24</t>
        </is>
      </c>
      <c r="F366" t="inlineStr">
        <is>
          <t>2026-03-31</t>
        </is>
      </c>
      <c r="G366" t="inlineStr">
        <is>
          <t xml:space="preserve"> - Road House</t>
        </is>
      </c>
      <c r="H366">
        <f>HYPERLINK("https://booking.roadsurfer.com/es/rally/pick?pickup_date=2026-03-24&amp;return_date=2026-03-31&amp;currency=EUR&amp;startStation=59&amp;endStation=56",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Colonia-Bonn</t>
        </is>
      </c>
      <c r="E367" t="inlineStr">
        <is>
          <t>2026-04-06</t>
        </is>
      </c>
      <c r="F367" t="inlineStr">
        <is>
          <t>2026-04-13</t>
        </is>
      </c>
      <c r="G367" t="inlineStr">
        <is>
          <t xml:space="preserve"> - No hay coche</t>
        </is>
      </c>
      <c r="H367">
        <f>HYPERLINK("https://booking.roadsurfer.com/es/rally/pick?pickup_date=2026-04-06&amp;return_date=2026-04-13&amp;currency=EUR&amp;startStation=59&amp;endStation=52",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Augsburgo</t>
        </is>
      </c>
      <c r="E368" t="inlineStr">
        <is>
          <t>2026-03-26</t>
        </is>
      </c>
      <c r="F368" t="inlineStr">
        <is>
          <t>2026-04-02</t>
        </is>
      </c>
      <c r="G368" t="inlineStr">
        <is>
          <t xml:space="preserve"> - Camper Castle</t>
        </is>
      </c>
      <c r="H368">
        <f>HYPERLINK("https://booking.roadsurfer.com/es/rally/pick?pickup_date=2026-03-26&amp;return_date=2026-04-02&amp;currency=EUR&amp;startStation=59&amp;endStation=108",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Augsburgo</t>
        </is>
      </c>
      <c r="E369" t="inlineStr">
        <is>
          <t>2026-04-15</t>
        </is>
      </c>
      <c r="F369" t="inlineStr">
        <is>
          <t>2026-04-22</t>
        </is>
      </c>
      <c r="G369" t="inlineStr">
        <is>
          <t xml:space="preserve"> - Camper Castle</t>
        </is>
      </c>
      <c r="H369">
        <f>HYPERLINK("https://booking.roadsurfer.com/es/rally/pick?pickup_date=2026-04-15&amp;return_date=2026-04-22&amp;currency=EUR&amp;startStation=59&amp;endStation=108",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Karlsruhe</t>
        </is>
      </c>
      <c r="E370" t="inlineStr">
        <is>
          <t>2026-04-14</t>
        </is>
      </c>
      <c r="F370" t="inlineStr">
        <is>
          <t>2026-04-21</t>
        </is>
      </c>
      <c r="G370" t="inlineStr">
        <is>
          <t xml:space="preserve"> - Camper Castle</t>
        </is>
      </c>
      <c r="H370">
        <f>HYPERLINK("https://booking.roadsurfer.com/es/rally/pick?pickup_date=2026-04-14&amp;return_date=2026-04-21&amp;currency=EUR&amp;startStation=59&amp;endStation=110",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Lindau-Wangen</t>
        </is>
      </c>
      <c r="E371" t="inlineStr">
        <is>
          <t>2026-04-15</t>
        </is>
      </c>
      <c r="F371" t="inlineStr">
        <is>
          <t>2026-04-22</t>
        </is>
      </c>
      <c r="G371" t="inlineStr">
        <is>
          <t xml:space="preserve"> - Camper Castle</t>
        </is>
      </c>
      <c r="H371">
        <f>HYPERLINK("https://booking.roadsurfer.com/es/rally/pick?pickup_date=2026-04-15&amp;return_date=2026-04-22&amp;currency=EUR&amp;startStation=59&amp;endStation=117",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Berlín-Schönefeld</t>
        </is>
      </c>
      <c r="E372" t="inlineStr">
        <is>
          <t>2026-04-14</t>
        </is>
      </c>
      <c r="F372" t="inlineStr">
        <is>
          <t>2026-04-21</t>
        </is>
      </c>
      <c r="G372" t="inlineStr">
        <is>
          <t xml:space="preserve"> - Family Finca</t>
        </is>
      </c>
      <c r="H372">
        <f>HYPERLINK("https://booking.roadsurfer.com/es/rally/pick?pickup_date=2026-04-14&amp;return_date=2026-04-21&amp;currency=EUR&amp;startStation=59&amp;endStation=51",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Flensburgo</t>
        </is>
      </c>
      <c r="E373" t="inlineStr">
        <is>
          <t>2026-04-20</t>
        </is>
      </c>
      <c r="F373" t="inlineStr">
        <is>
          <t>2026-04-27</t>
        </is>
      </c>
      <c r="G373" t="inlineStr">
        <is>
          <t xml:space="preserve"> - No hay coche</t>
        </is>
      </c>
      <c r="H373">
        <f>HYPERLINK("https://booking.roadsurfer.com/es/rally/pick?pickup_date=2026-04-20&amp;return_date=2026-04-27&amp;currency=EUR&amp;startStation=59&amp;endStation=130", "Clic para verlo en la web de RoadSurfer")</f>
        <v/>
      </c>
    </row>
    <row r="374">
      <c r="A374" t="inlineStr">
        <is>
          <t>Francia</t>
        </is>
      </c>
      <c r="B374" t="inlineStr">
        <is>
          <t>Estrasburgo</t>
        </is>
      </c>
      <c r="C374" t="inlineStr">
        <is>
          <t>Alemania</t>
        </is>
      </c>
      <c r="D374" t="inlineStr">
        <is>
          <t>Fráncfort</t>
        </is>
      </c>
      <c r="E374" t="inlineStr">
        <is>
          <t>2026-03-25</t>
        </is>
      </c>
      <c r="F374" t="inlineStr">
        <is>
          <t>2026-04-01</t>
        </is>
      </c>
      <c r="G374" t="inlineStr">
        <is>
          <t xml:space="preserve"> - Beach Hostel</t>
        </is>
      </c>
      <c r="H374">
        <f>HYPERLINK("https://booking.roadsurfer.com/es/rally/pick?pickup_date=2026-03-25&amp;return_date=2026-04-01&amp;currency=EUR&amp;startStation=49&amp;endStation=2",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Francia</t>
        </is>
      </c>
      <c r="D375" t="inlineStr">
        <is>
          <t>Nantes</t>
        </is>
      </c>
      <c r="E375" t="inlineStr">
        <is>
          <t>2026-04-15</t>
        </is>
      </c>
      <c r="F375" t="inlineStr">
        <is>
          <t>2026-04-22</t>
        </is>
      </c>
      <c r="G375" t="inlineStr">
        <is>
          <t xml:space="preserve"> - Family Finca</t>
        </is>
      </c>
      <c r="H375">
        <f>HYPERLINK("https://booking.roadsurfer.com/es/rally/pick?pickup_date=2026-04-15&amp;return_date=2026-04-22&amp;currency=EUR&amp;startStation=5&amp;endStation=31",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Francia</t>
        </is>
      </c>
      <c r="D376" t="inlineStr">
        <is>
          <t>Nantes</t>
        </is>
      </c>
      <c r="E376" t="inlineStr">
        <is>
          <t>2026-04-13</t>
        </is>
      </c>
      <c r="F376" t="inlineStr">
        <is>
          <t>2026-04-20</t>
        </is>
      </c>
      <c r="G376" t="inlineStr">
        <is>
          <t xml:space="preserve"> - Camper Cabin</t>
        </is>
      </c>
      <c r="H376">
        <f>HYPERLINK("https://booking.roadsurfer.com/es/rally/pick?pickup_date=2026-04-13&amp;return_date=2026-04-20&amp;currency=EUR&amp;startStation=5&amp;endStation=31", "Clic para verlo en la web de RoadSurfer")</f>
        <v/>
      </c>
    </row>
    <row r="377">
      <c r="A377" t="inlineStr">
        <is>
          <t>Alemania</t>
        </is>
      </c>
      <c r="B377" t="inlineStr">
        <is>
          <t>Stuttgart</t>
        </is>
      </c>
      <c r="C377" t="inlineStr">
        <is>
          <t>Francia</t>
        </is>
      </c>
      <c r="D377" t="inlineStr">
        <is>
          <t>Lille</t>
        </is>
      </c>
      <c r="E377" t="inlineStr">
        <is>
          <t>2026-04-20</t>
        </is>
      </c>
      <c r="F377" t="inlineStr">
        <is>
          <t>2026-04-27</t>
        </is>
      </c>
      <c r="G377" t="inlineStr">
        <is>
          <t xml:space="preserve"> - No hay coche</t>
        </is>
      </c>
      <c r="H377">
        <f>HYPERLINK("https://booking.roadsurfer.com/es/rally/pick?pickup_date=2026-04-20&amp;return_date=2026-04-27&amp;currency=EUR&amp;startStation=5&amp;endStation=87",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Alemania</t>
        </is>
      </c>
      <c r="D378" t="inlineStr">
        <is>
          <t>Aquisgrán</t>
        </is>
      </c>
      <c r="E378" t="inlineStr">
        <is>
          <t>2026-04-23</t>
        </is>
      </c>
      <c r="F378" t="inlineStr">
        <is>
          <t>2026-04-30</t>
        </is>
      </c>
      <c r="G378" t="inlineStr">
        <is>
          <t xml:space="preserve"> - No hay coche</t>
        </is>
      </c>
      <c r="H378">
        <f>HYPERLINK("https://booking.roadsurfer.com/es/rally/pick?pickup_date=2026-04-23&amp;return_date=2026-04-30&amp;currency=EUR&amp;startStation=5&amp;endStation=114",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Austria</t>
        </is>
      </c>
      <c r="D379" t="inlineStr">
        <is>
          <t>Viena Sur</t>
        </is>
      </c>
      <c r="E379" t="inlineStr">
        <is>
          <t>2026-04-15</t>
        </is>
      </c>
      <c r="F379" t="inlineStr">
        <is>
          <t>2026-04-22</t>
        </is>
      </c>
      <c r="G379" t="inlineStr">
        <is>
          <t xml:space="preserve"> - Family Finca</t>
        </is>
      </c>
      <c r="H379">
        <f>HYPERLINK("https://booking.roadsurfer.com/es/rally/pick?pickup_date=2026-04-15&amp;return_date=2026-04-22&amp;currency=EUR&amp;startStation=5&amp;endStation=45",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España</t>
        </is>
      </c>
      <c r="D380" t="inlineStr">
        <is>
          <t>Valencia</t>
        </is>
      </c>
      <c r="E380" t="inlineStr">
        <is>
          <t>2026-04-09</t>
        </is>
      </c>
      <c r="F380" t="inlineStr">
        <is>
          <t>2026-04-16</t>
        </is>
      </c>
      <c r="G380" t="inlineStr">
        <is>
          <t xml:space="preserve"> - Surfer Suite</t>
        </is>
      </c>
      <c r="H380">
        <f>HYPERLINK("https://booking.roadsurfer.com/es/rally/pick?pickup_date=2026-04-09&amp;return_date=2026-04-16&amp;currency=EUR&amp;startStation=5&amp;endStation=38",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Alemania</t>
        </is>
      </c>
      <c r="D381" t="inlineStr">
        <is>
          <t>Berlín-Schönefeld</t>
        </is>
      </c>
      <c r="E381" t="inlineStr">
        <is>
          <t>2026-04-27</t>
        </is>
      </c>
      <c r="F381" t="inlineStr">
        <is>
          <t>2026-05-04</t>
        </is>
      </c>
      <c r="G381" t="inlineStr">
        <is>
          <t xml:space="preserve"> - Van Villa</t>
        </is>
      </c>
      <c r="H381">
        <f>HYPERLINK("https://booking.roadsurfer.com/es/rally/pick?pickup_date=2026-04-27&amp;return_date=2026-05-04&amp;currency=EUR&amp;startStation=5&amp;endStation=51", "Clic para verlo en la web de RoadSurfer")</f>
        <v/>
      </c>
    </row>
    <row r="382">
      <c r="A382" t="inlineStr">
        <is>
          <t>EE.UU.</t>
        </is>
      </c>
      <c r="B382" t="inlineStr">
        <is>
          <t>Thor Industries, Elkhart</t>
        </is>
      </c>
      <c r="C382" t="inlineStr">
        <is>
          <t>EE.UU.</t>
        </is>
      </c>
      <c r="D382" t="inlineStr">
        <is>
          <t>Salt Lake City</t>
        </is>
      </c>
      <c r="E382" t="inlineStr">
        <is>
          <t>2026-04-22</t>
        </is>
      </c>
      <c r="F382" t="inlineStr">
        <is>
          <t>2026-05-06</t>
        </is>
      </c>
      <c r="G382" t="inlineStr">
        <is>
          <t xml:space="preserve"> - Family Freedom</t>
        </is>
      </c>
      <c r="H382">
        <f>HYPERLINK("https://booking.roadsurfer.com/es/rally/pick?pickup_date=2026-04-22&amp;return_date=2026-05-06&amp;currency=EUR&amp;startStation=74&amp;endStation=106", "Clic para verlo en la web de RoadSurfer")</f>
        <v/>
      </c>
    </row>
    <row r="383">
      <c r="A383" t="inlineStr">
        <is>
          <t>EE.UU.</t>
        </is>
      </c>
      <c r="B383" t="inlineStr">
        <is>
          <t>Thor Industries, Elkhart</t>
        </is>
      </c>
      <c r="C383" t="inlineStr">
        <is>
          <t>EE.UU.</t>
        </is>
      </c>
      <c r="D383" t="inlineStr">
        <is>
          <t>Salt Lake City</t>
        </is>
      </c>
      <c r="E383" t="inlineStr">
        <is>
          <t>2026-04-20</t>
        </is>
      </c>
      <c r="F383" t="inlineStr">
        <is>
          <t>2026-05-04</t>
        </is>
      </c>
      <c r="G383" t="inlineStr">
        <is>
          <t xml:space="preserve"> - Family Freedom</t>
        </is>
      </c>
      <c r="H383">
        <f>HYPERLINK("https://booking.roadsurfer.com/es/rally/pick?pickup_date=2026-04-20&amp;return_date=2026-05-04&amp;currency=EUR&amp;startStation=74&amp;endStation=106", "Clic para verlo en la web de RoadSurfer")</f>
        <v/>
      </c>
    </row>
    <row r="384">
      <c r="A384" t="inlineStr">
        <is>
          <t>EE.UU.</t>
        </is>
      </c>
      <c r="B384" t="inlineStr">
        <is>
          <t>Thor Industries, Elkhart</t>
        </is>
      </c>
      <c r="C384" t="inlineStr">
        <is>
          <t>EE.UU.</t>
        </is>
      </c>
      <c r="D384" t="inlineStr">
        <is>
          <t>Seattle</t>
        </is>
      </c>
      <c r="E384" t="inlineStr">
        <is>
          <t>2026-04-21</t>
        </is>
      </c>
      <c r="F384" t="inlineStr">
        <is>
          <t>2026-05-05</t>
        </is>
      </c>
      <c r="G384" t="inlineStr">
        <is>
          <t xml:space="preserve"> - Family Freedom</t>
        </is>
      </c>
      <c r="H384">
        <f>HYPERLINK("https://booking.roadsurfer.com/es/rally/pick?pickup_date=2026-04-21&amp;return_date=2026-05-05&amp;currency=EUR&amp;startStation=74&amp;endStation=107", "Clic para verlo en la web de RoadSurfer")</f>
        <v/>
      </c>
    </row>
    <row r="385">
      <c r="A385" t="inlineStr">
        <is>
          <t>EE.UU.</t>
        </is>
      </c>
      <c r="B385" t="inlineStr">
        <is>
          <t>Thor Industries, Elkhart</t>
        </is>
      </c>
      <c r="C385" t="inlineStr">
        <is>
          <t>EE.UU.</t>
        </is>
      </c>
      <c r="D385" t="inlineStr">
        <is>
          <t>Seattle</t>
        </is>
      </c>
      <c r="E385" t="inlineStr">
        <is>
          <t>2026-04-23</t>
        </is>
      </c>
      <c r="F385" t="inlineStr">
        <is>
          <t>2026-05-07</t>
        </is>
      </c>
      <c r="G385" t="inlineStr">
        <is>
          <t xml:space="preserve"> - Family Freedom</t>
        </is>
      </c>
      <c r="H385">
        <f>HYPERLINK("https://booking.roadsurfer.com/es/rally/pick?pickup_date=2026-04-23&amp;return_date=2026-05-07&amp;currency=EUR&amp;startStation=74&amp;endStation=107", "Clic para verlo en la web de RoadSurfer")</f>
        <v/>
      </c>
    </row>
    <row r="386">
      <c r="A386" t="inlineStr">
        <is>
          <t>EE.UU.</t>
        </is>
      </c>
      <c r="B386" t="inlineStr">
        <is>
          <t>Thor Industries, Elkhart</t>
        </is>
      </c>
      <c r="C386" t="inlineStr">
        <is>
          <t>EE.UU.</t>
        </is>
      </c>
      <c r="D386" t="inlineStr">
        <is>
          <t>Las Vegas</t>
        </is>
      </c>
      <c r="E386" t="inlineStr">
        <is>
          <t>2026-04-20</t>
        </is>
      </c>
      <c r="F386" t="inlineStr">
        <is>
          <t>2026-05-04</t>
        </is>
      </c>
      <c r="G386" t="inlineStr">
        <is>
          <t xml:space="preserve"> - Family Freedom</t>
        </is>
      </c>
      <c r="H386">
        <f>HYPERLINK("https://booking.roadsurfer.com/es/rally/pick?pickup_date=2026-04-20&amp;return_date=2026-05-04&amp;currency=EUR&amp;startStation=74&amp;endStation=76", "Clic para verlo en la web de RoadSurfer")</f>
        <v/>
      </c>
    </row>
    <row r="387">
      <c r="A387" t="inlineStr">
        <is>
          <t>EE.UU.</t>
        </is>
      </c>
      <c r="B387" t="inlineStr">
        <is>
          <t>Thor Industries, Elkhart</t>
        </is>
      </c>
      <c r="C387" t="inlineStr">
        <is>
          <t>EE.UU.</t>
        </is>
      </c>
      <c r="D387" t="inlineStr">
        <is>
          <t>Las Vegas</t>
        </is>
      </c>
      <c r="E387" t="inlineStr">
        <is>
          <t>2026-04-21</t>
        </is>
      </c>
      <c r="F387" t="inlineStr">
        <is>
          <t>2026-05-05</t>
        </is>
      </c>
      <c r="G387" t="inlineStr">
        <is>
          <t xml:space="preserve"> - Family Freedom</t>
        </is>
      </c>
      <c r="H387">
        <f>HYPERLINK("https://booking.roadsurfer.com/es/rally/pick?pickup_date=2026-04-21&amp;return_date=2026-05-05&amp;currency=EUR&amp;startStation=74&amp;endStation=76", "Clic para verlo en la web de RoadSurfer")</f>
        <v/>
      </c>
    </row>
    <row r="388">
      <c r="A388" t="inlineStr">
        <is>
          <t>EE.UU.</t>
        </is>
      </c>
      <c r="B388" t="inlineStr">
        <is>
          <t>Thor Industries, Elkhart</t>
        </is>
      </c>
      <c r="C388" t="inlineStr">
        <is>
          <t>EE.UU.</t>
        </is>
      </c>
      <c r="D388" t="inlineStr">
        <is>
          <t>Las Vegas</t>
        </is>
      </c>
      <c r="E388" t="inlineStr">
        <is>
          <t>2026-04-22</t>
        </is>
      </c>
      <c r="F388" t="inlineStr">
        <is>
          <t>2026-05-06</t>
        </is>
      </c>
      <c r="G388" t="inlineStr">
        <is>
          <t xml:space="preserve"> - Family Freedom</t>
        </is>
      </c>
      <c r="H388">
        <f>HYPERLINK("https://booking.roadsurfer.com/es/rally/pick?pickup_date=2026-04-22&amp;return_date=2026-05-06&amp;currency=EUR&amp;startStation=74&amp;endStation=76", "Clic para verlo en la web de RoadSurfer")</f>
        <v/>
      </c>
    </row>
    <row r="389">
      <c r="A389" t="inlineStr">
        <is>
          <t>EE.UU.</t>
        </is>
      </c>
      <c r="B389" t="inlineStr">
        <is>
          <t>Thor Industries, Elkhart</t>
        </is>
      </c>
      <c r="C389" t="inlineStr">
        <is>
          <t>EE.UU.</t>
        </is>
      </c>
      <c r="D389" t="inlineStr">
        <is>
          <t>Las Vegas</t>
        </is>
      </c>
      <c r="E389" t="inlineStr">
        <is>
          <t>2026-04-23</t>
        </is>
      </c>
      <c r="F389" t="inlineStr">
        <is>
          <t>2026-05-07</t>
        </is>
      </c>
      <c r="G389" t="inlineStr">
        <is>
          <t xml:space="preserve"> - Family Freedom</t>
        </is>
      </c>
      <c r="H389">
        <f>HYPERLINK("https://booking.roadsurfer.com/es/rally/pick?pickup_date=2026-04-23&amp;return_date=2026-05-07&amp;currency=EUR&amp;startStation=74&amp;endStation=76", "Clic para verlo en la web de RoadSurfer")</f>
        <v/>
      </c>
    </row>
    <row r="390">
      <c r="A390" t="inlineStr">
        <is>
          <t>EE.UU.</t>
        </is>
      </c>
      <c r="B390" t="inlineStr">
        <is>
          <t>Thor Industries, Elkhart</t>
        </is>
      </c>
      <c r="C390" t="inlineStr">
        <is>
          <t>EE.UU.</t>
        </is>
      </c>
      <c r="D390" t="inlineStr">
        <is>
          <t>Denver</t>
        </is>
      </c>
      <c r="E390" t="inlineStr">
        <is>
          <t>2026-04-20</t>
        </is>
      </c>
      <c r="F390" t="inlineStr">
        <is>
          <t>2026-05-04</t>
        </is>
      </c>
      <c r="G390" t="inlineStr">
        <is>
          <t xml:space="preserve"> - Family Freedom</t>
        </is>
      </c>
      <c r="H390">
        <f>HYPERLINK("https://booking.roadsurfer.com/es/rally/pick?pickup_date=2026-04-20&amp;return_date=2026-05-04&amp;currency=EUR&amp;startStation=74&amp;endStation=104", "Clic para verlo en la web de RoadSurfer")</f>
        <v/>
      </c>
    </row>
    <row r="391">
      <c r="A391" t="inlineStr">
        <is>
          <t>EE.UU.</t>
        </is>
      </c>
      <c r="B391" t="inlineStr">
        <is>
          <t>Thor Industries, Elkhart</t>
        </is>
      </c>
      <c r="C391" t="inlineStr">
        <is>
          <t>EE.UU.</t>
        </is>
      </c>
      <c r="D391" t="inlineStr">
        <is>
          <t>Denver</t>
        </is>
      </c>
      <c r="E391" t="inlineStr">
        <is>
          <t>2026-04-21</t>
        </is>
      </c>
      <c r="F391" t="inlineStr">
        <is>
          <t>2026-05-05</t>
        </is>
      </c>
      <c r="G391" t="inlineStr">
        <is>
          <t xml:space="preserve"> - Family Freedom</t>
        </is>
      </c>
      <c r="H391">
        <f>HYPERLINK("https://booking.roadsurfer.com/es/rally/pick?pickup_date=2026-04-21&amp;return_date=2026-05-05&amp;currency=EUR&amp;startStation=74&amp;endStation=104", "Clic para verlo en la web de RoadSurfer")</f>
        <v/>
      </c>
    </row>
    <row r="392">
      <c r="A392" t="inlineStr">
        <is>
          <t>EE.UU.</t>
        </is>
      </c>
      <c r="B392" t="inlineStr">
        <is>
          <t>Thor Industries, Elkhart</t>
        </is>
      </c>
      <c r="C392" t="inlineStr">
        <is>
          <t>EE.UU.</t>
        </is>
      </c>
      <c r="D392" t="inlineStr">
        <is>
          <t>Denver</t>
        </is>
      </c>
      <c r="E392" t="inlineStr">
        <is>
          <t>2026-04-22</t>
        </is>
      </c>
      <c r="F392" t="inlineStr">
        <is>
          <t>2026-05-06</t>
        </is>
      </c>
      <c r="G392" t="inlineStr">
        <is>
          <t xml:space="preserve"> - Family Freedom</t>
        </is>
      </c>
      <c r="H392">
        <f>HYPERLINK("https://booking.roadsurfer.com/es/rally/pick?pickup_date=2026-04-22&amp;return_date=2026-05-06&amp;currency=EUR&amp;startStation=74&amp;endStation=104", "Clic para verlo en la web de RoadSurfer")</f>
        <v/>
      </c>
    </row>
    <row r="393">
      <c r="A393" t="inlineStr">
        <is>
          <t>EE.UU.</t>
        </is>
      </c>
      <c r="B393" t="inlineStr">
        <is>
          <t>Thor Industries, Elkhart</t>
        </is>
      </c>
      <c r="C393" t="inlineStr">
        <is>
          <t>EE.UU.</t>
        </is>
      </c>
      <c r="D393" t="inlineStr">
        <is>
          <t>Dallas</t>
        </is>
      </c>
      <c r="E393" t="inlineStr">
        <is>
          <t>2026-04-20</t>
        </is>
      </c>
      <c r="F393" t="inlineStr">
        <is>
          <t>2026-05-04</t>
        </is>
      </c>
      <c r="G393" t="inlineStr">
        <is>
          <t xml:space="preserve"> - Family Freedom</t>
        </is>
      </c>
      <c r="H393">
        <f>HYPERLINK("https://booking.roadsurfer.com/es/rally/pick?pickup_date=2026-04-20&amp;return_date=2026-05-04&amp;currency=EUR&amp;startStation=74&amp;endStation=125", "Clic para verlo en la web de RoadSurfer")</f>
        <v/>
      </c>
    </row>
    <row r="394">
      <c r="A394" t="inlineStr">
        <is>
          <t>EE.UU.</t>
        </is>
      </c>
      <c r="B394" t="inlineStr">
        <is>
          <t>Thor Industries, Elkhart</t>
        </is>
      </c>
      <c r="C394" t="inlineStr">
        <is>
          <t>EE.UU.</t>
        </is>
      </c>
      <c r="D394" t="inlineStr">
        <is>
          <t>San Francisco</t>
        </is>
      </c>
      <c r="E394" t="inlineStr">
        <is>
          <t>2026-04-21</t>
        </is>
      </c>
      <c r="F394" t="inlineStr">
        <is>
          <t>2026-05-05</t>
        </is>
      </c>
      <c r="G394" t="inlineStr">
        <is>
          <t xml:space="preserve"> - Family Freedom</t>
        </is>
      </c>
      <c r="H394">
        <f>HYPERLINK("https://booking.roadsurfer.com/es/rally/pick?pickup_date=2026-04-21&amp;return_date=2026-05-05&amp;currency=EUR&amp;startStation=74&amp;endStation=75", "Clic para verlo en la web de RoadSurfer")</f>
        <v/>
      </c>
    </row>
    <row r="395">
      <c r="A395" t="inlineStr">
        <is>
          <t>Francia</t>
        </is>
      </c>
      <c r="B395" t="inlineStr">
        <is>
          <t>Toulouse</t>
        </is>
      </c>
      <c r="C395" t="inlineStr">
        <is>
          <t>Alemania</t>
        </is>
      </c>
      <c r="D395" t="inlineStr">
        <is>
          <t>Erfurt</t>
        </is>
      </c>
      <c r="E395" t="inlineStr">
        <is>
          <t>2026-04-13</t>
        </is>
      </c>
      <c r="F395" t="inlineStr">
        <is>
          <t>2026-04-20</t>
        </is>
      </c>
      <c r="G395" t="inlineStr">
        <is>
          <t xml:space="preserve"> - Camper Castle</t>
        </is>
      </c>
      <c r="H395">
        <f>HYPERLINK("https://booking.roadsurfer.com/es/rally/pick?pickup_date=2026-04-13&amp;return_date=2026-04-20&amp;currency=EUR&amp;startStation=30&amp;endStation=90", "Clic para verlo en la web de RoadSurfer")</f>
        <v/>
      </c>
    </row>
    <row r="396">
      <c r="A396" t="inlineStr">
        <is>
          <t>Francia</t>
        </is>
      </c>
      <c r="B396" t="inlineStr">
        <is>
          <t>Toulouse</t>
        </is>
      </c>
      <c r="C396" t="inlineStr">
        <is>
          <t>Alemania</t>
        </is>
      </c>
      <c r="D396" t="inlineStr">
        <is>
          <t>Erfurt</t>
        </is>
      </c>
      <c r="E396" t="inlineStr">
        <is>
          <t>2026-04-14</t>
        </is>
      </c>
      <c r="F396" t="inlineStr">
        <is>
          <t>2026-04-21</t>
        </is>
      </c>
      <c r="G396" t="inlineStr">
        <is>
          <t xml:space="preserve"> - Road House</t>
        </is>
      </c>
      <c r="H396">
        <f>HYPERLINK("https://booking.roadsurfer.com/es/rally/pick?pickup_date=2026-04-14&amp;return_date=2026-04-21&amp;currency=EUR&amp;startStation=30&amp;endStation=90", "Clic para verlo en la web de RoadSurfer")</f>
        <v/>
      </c>
    </row>
    <row r="397">
      <c r="A397" t="inlineStr">
        <is>
          <t>Francia</t>
        </is>
      </c>
      <c r="B397" t="inlineStr">
        <is>
          <t>Toulouse</t>
        </is>
      </c>
      <c r="C397" t="inlineStr">
        <is>
          <t>Alemania</t>
        </is>
      </c>
      <c r="D397" t="inlineStr">
        <is>
          <t>Berlín</t>
        </is>
      </c>
      <c r="E397" t="inlineStr">
        <is>
          <t>2026-03-25</t>
        </is>
      </c>
      <c r="F397" t="inlineStr">
        <is>
          <t>2026-04-01</t>
        </is>
      </c>
      <c r="G397" t="inlineStr">
        <is>
          <t xml:space="preserve"> - Surfer Suite</t>
        </is>
      </c>
      <c r="H397">
        <f>HYPERLINK("https://booking.roadsurfer.com/es/rally/pick?pickup_date=2026-03-25&amp;return_date=2026-04-01&amp;currency=EUR&amp;startStation=30&amp;endStation=6", "Clic para verlo en la web de RoadSurfer")</f>
        <v/>
      </c>
    </row>
    <row r="398">
      <c r="A398" t="inlineStr">
        <is>
          <t>Francia</t>
        </is>
      </c>
      <c r="B398" t="inlineStr">
        <is>
          <t>Toulouse</t>
        </is>
      </c>
      <c r="C398" t="inlineStr">
        <is>
          <t>Alemania</t>
        </is>
      </c>
      <c r="D398" t="inlineStr">
        <is>
          <t>Constanza (Aach)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Surfer Suite</t>
        </is>
      </c>
      <c r="H398">
        <f>HYPERLINK("https://booking.roadsurfer.com/es/rally/pick?pickup_date=2026-05-04&amp;return_date=2026-05-11&amp;currency=EUR&amp;startStation=30&amp;endStation=10", "Clic para verlo en la web de RoadSurfer")</f>
        <v/>
      </c>
    </row>
    <row r="399">
      <c r="A399" t="inlineStr">
        <is>
          <t>Alemania</t>
        </is>
      </c>
      <c r="B399" t="inlineStr">
        <is>
          <t>Tréveris</t>
        </is>
      </c>
      <c r="C399" t="inlineStr">
        <is>
          <t>Alemania</t>
        </is>
      </c>
      <c r="D399" t="inlineStr">
        <is>
          <t>Augsburgo</t>
        </is>
      </c>
      <c r="E399" t="inlineStr">
        <is>
          <t>2026-03-23</t>
        </is>
      </c>
      <c r="F399" t="inlineStr">
        <is>
          <t>2026-03-30</t>
        </is>
      </c>
      <c r="G399" t="inlineStr">
        <is>
          <t xml:space="preserve"> - Camper Cabin</t>
        </is>
      </c>
      <c r="H399">
        <f>HYPERLINK("https://booking.roadsurfer.com/es/rally/pick?pickup_date=2026-03-23&amp;return_date=2026-03-30&amp;currency=EUR&amp;startStation=28&amp;endStation=108", "Clic para verlo en la web de RoadSurfer")</f>
        <v/>
      </c>
    </row>
    <row r="400">
      <c r="A400" t="inlineStr">
        <is>
          <t>Italia</t>
        </is>
      </c>
      <c r="B400" t="inlineStr">
        <is>
          <t>Turín</t>
        </is>
      </c>
      <c r="C400" t="inlineStr">
        <is>
          <t>Alemania</t>
        </is>
      </c>
      <c r="D400" t="inlineStr">
        <is>
          <t>Núremberg</t>
        </is>
      </c>
      <c r="E400" t="inlineStr">
        <is>
          <t>2026-04-16</t>
        </is>
      </c>
      <c r="F400" t="inlineStr">
        <is>
          <t>2026-04-23</t>
        </is>
      </c>
      <c r="G400" t="inlineStr">
        <is>
          <t xml:space="preserve"> - Road House</t>
        </is>
      </c>
      <c r="H400">
        <f>HYPERLINK("https://booking.roadsurfer.com/es/rally/pick?pickup_date=2026-04-16&amp;return_date=2026-04-23&amp;currency=EUR&amp;startStation=58&amp;endStation=11", "Clic para verlo en la web de RoadSurfer")</f>
        <v/>
      </c>
    </row>
    <row r="401">
      <c r="A401" t="inlineStr">
        <is>
          <t>Italia</t>
        </is>
      </c>
      <c r="B401" t="inlineStr">
        <is>
          <t>Turín</t>
        </is>
      </c>
      <c r="C401" t="inlineStr">
        <is>
          <t>Alemania</t>
        </is>
      </c>
      <c r="D401" t="inlineStr">
        <is>
          <t>Dresde</t>
        </is>
      </c>
      <c r="E401" t="inlineStr">
        <is>
          <t>2026-04-20</t>
        </is>
      </c>
      <c r="F401" t="inlineStr">
        <is>
          <t>2026-04-27</t>
        </is>
      </c>
      <c r="G401" t="inlineStr">
        <is>
          <t xml:space="preserve"> - Family Finca</t>
        </is>
      </c>
      <c r="H401">
        <f>HYPERLINK("https://booking.roadsurfer.com/es/rally/pick?pickup_date=2026-04-20&amp;return_date=2026-04-27&amp;currency=EUR&amp;startStation=58&amp;endStation=56", "Clic para verlo en la web de RoadSurfer")</f>
        <v/>
      </c>
    </row>
    <row r="402">
      <c r="A402" t="inlineStr">
        <is>
          <t>Italia</t>
        </is>
      </c>
      <c r="B402" t="inlineStr">
        <is>
          <t>Turín</t>
        </is>
      </c>
      <c r="C402" t="inlineStr">
        <is>
          <t>Alemania</t>
        </is>
      </c>
      <c r="D402" t="inlineStr">
        <is>
          <t>Múnich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CAMPER CASTLE</t>
        </is>
      </c>
      <c r="H402">
        <f>HYPERLINK("https://booking.roadsurfer.com/es/rally/pick?pickup_date=2026-05-04&amp;return_date=2026-05-11&amp;currency=EUR&amp;startStation=58&amp;endStation=1", "Clic para verlo en la web de RoadSurfer")</f>
        <v/>
      </c>
    </row>
    <row r="403">
      <c r="A403" t="inlineStr">
        <is>
          <t>Alemania</t>
        </is>
      </c>
      <c r="B403" t="inlineStr">
        <is>
          <t>Ulm</t>
        </is>
      </c>
      <c r="C403" t="inlineStr">
        <is>
          <t>Austria</t>
        </is>
      </c>
      <c r="D403" t="inlineStr">
        <is>
          <t>Graz</t>
        </is>
      </c>
      <c r="E403" t="inlineStr">
        <is>
          <t>2026-04-03</t>
        </is>
      </c>
      <c r="F403" t="inlineStr">
        <is>
          <t>2026-04-10</t>
        </is>
      </c>
      <c r="G403" t="inlineStr">
        <is>
          <t xml:space="preserve"> - No hay coche</t>
        </is>
      </c>
      <c r="H403">
        <f>HYPERLINK("https://booking.roadsurfer.com/es/rally/pick?pickup_date=2026-04-03&amp;return_date=2026-04-10&amp;currency=EUR&amp;startStation=112&amp;endStation=37", "Clic para verlo en la web de RoadSurfer")</f>
        <v/>
      </c>
    </row>
    <row r="404">
      <c r="A404" t="inlineStr">
        <is>
          <t>Alemania</t>
        </is>
      </c>
      <c r="B404" t="inlineStr">
        <is>
          <t>Ulm</t>
        </is>
      </c>
      <c r="C404" t="inlineStr">
        <is>
          <t>Italia</t>
        </is>
      </c>
      <c r="D404" t="inlineStr">
        <is>
          <t>Venecia</t>
        </is>
      </c>
      <c r="E404" t="inlineStr">
        <is>
          <t>2026-04-24</t>
        </is>
      </c>
      <c r="F404" t="inlineStr">
        <is>
          <t>2026-05-01</t>
        </is>
      </c>
      <c r="G404" t="inlineStr">
        <is>
          <t xml:space="preserve"> - No hay coche</t>
        </is>
      </c>
      <c r="H404">
        <f>HYPERLINK("https://booking.roadsurfer.com/es/rally/pick?pickup_date=2026-04-24&amp;return_date=2026-05-01&amp;currency=EUR&amp;startStation=112&amp;endStation=78", "Clic para verlo en la web de RoadSurfer")</f>
        <v/>
      </c>
    </row>
    <row r="405">
      <c r="A405" t="inlineStr">
        <is>
          <t>Italia</t>
        </is>
      </c>
      <c r="B405" t="inlineStr">
        <is>
          <t>Venecia</t>
        </is>
      </c>
      <c r="C405" t="inlineStr">
        <is>
          <t>Alemania</t>
        </is>
      </c>
      <c r="D405" t="inlineStr">
        <is>
          <t>Fráncfort</t>
        </is>
      </c>
      <c r="E405" t="inlineStr">
        <is>
          <t>2026-03-20</t>
        </is>
      </c>
      <c r="F405" t="inlineStr">
        <is>
          <t>2026-03-27</t>
        </is>
      </c>
      <c r="G405" t="inlineStr">
        <is>
          <t xml:space="preserve"> - Surfer Suite</t>
        </is>
      </c>
      <c r="H405">
        <f>HYPERLINK("https://booking.roadsurfer.com/es/rally/pick?pickup_date=2026-03-20&amp;return_date=2026-03-27&amp;currency=EUR&amp;startStation=78&amp;endStation=2", "Clic para verlo en la web de RoadSurfer")</f>
        <v/>
      </c>
    </row>
    <row r="406">
      <c r="A406" t="inlineStr">
        <is>
          <t>Italia</t>
        </is>
      </c>
      <c r="B406" t="inlineStr">
        <is>
          <t>Venecia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2026-03-25</t>
        </is>
      </c>
      <c r="F406" t="inlineStr">
        <is>
          <t>2026-04-01</t>
        </is>
      </c>
      <c r="G406" t="inlineStr">
        <is>
          <t xml:space="preserve"> - Surfer Suite</t>
        </is>
      </c>
      <c r="H406">
        <f>HYPERLINK("https://booking.roadsurfer.com/es/rally/pick?pickup_date=2026-03-25&amp;return_date=2026-04-01&amp;currency=EUR&amp;startStation=78&amp;endStation=22", "Clic para verlo en la web de RoadSurfer")</f>
        <v/>
      </c>
    </row>
    <row r="407">
      <c r="A407" t="inlineStr">
        <is>
          <t>Italia</t>
        </is>
      </c>
      <c r="B407" t="inlineStr">
        <is>
          <t>Venecia</t>
        </is>
      </c>
      <c r="C407" t="inlineStr">
        <is>
          <t>Alemania</t>
        </is>
      </c>
      <c r="D407" t="inlineStr">
        <is>
          <t>Maguncia</t>
        </is>
      </c>
      <c r="E407" t="inlineStr">
        <is>
          <t>2026-03-26</t>
        </is>
      </c>
      <c r="F407" t="inlineStr">
        <is>
          <t>2026-04-02</t>
        </is>
      </c>
      <c r="G407" t="inlineStr">
        <is>
          <t xml:space="preserve"> - Beach Hostel</t>
        </is>
      </c>
      <c r="H407">
        <f>HYPERLINK("https://booking.roadsurfer.com/es/rally/pick?pickup_date=2026-03-26&amp;return_date=2026-04-02&amp;currency=EUR&amp;startStation=78&amp;endStation=54", "Clic para verlo en la web de RoadSurfer")</f>
        <v/>
      </c>
    </row>
    <row r="408">
      <c r="A408" t="inlineStr">
        <is>
          <t>Italia</t>
        </is>
      </c>
      <c r="B408" t="inlineStr">
        <is>
          <t>Venecia</t>
        </is>
      </c>
      <c r="C408" t="inlineStr">
        <is>
          <t>Italia</t>
        </is>
      </c>
      <c r="D408" t="inlineStr">
        <is>
          <t>Bérgamo</t>
        </is>
      </c>
      <c r="E408" t="inlineStr">
        <is>
          <t>2026-03-16</t>
        </is>
      </c>
      <c r="F408" t="inlineStr">
        <is>
          <t>2026-03-23</t>
        </is>
      </c>
      <c r="G408" t="inlineStr">
        <is>
          <t xml:space="preserve"> - Family Finca</t>
        </is>
      </c>
      <c r="H408">
        <f>HYPERLINK("https://booking.roadsurfer.com/es/rally/pick?pickup_date=2026-03-16&amp;return_date=2026-03-23&amp;currency=EUR&amp;startStation=78&amp;endStation=94", "Clic para verlo en la web de RoadSurfer")</f>
        <v/>
      </c>
    </row>
    <row r="409">
      <c r="A409" t="inlineStr">
        <is>
          <t>Italia</t>
        </is>
      </c>
      <c r="B409" t="inlineStr">
        <is>
          <t>Venecia</t>
        </is>
      </c>
      <c r="C409" t="inlineStr">
        <is>
          <t>Italia</t>
        </is>
      </c>
      <c r="D409" t="inlineStr">
        <is>
          <t>Bérgamo</t>
        </is>
      </c>
      <c r="E409" t="inlineStr">
        <is>
          <t>2026-04-13</t>
        </is>
      </c>
      <c r="F409" t="inlineStr">
        <is>
          <t>2026-04-20</t>
        </is>
      </c>
      <c r="G409" t="inlineStr">
        <is>
          <t xml:space="preserve"> - Surfer Suite</t>
        </is>
      </c>
      <c r="H409">
        <f>HYPERLINK("https://booking.roadsurfer.com/es/rally/pick?pickup_date=2026-04-13&amp;return_date=2026-04-20&amp;currency=EUR&amp;startStation=78&amp;endStation=94", "Clic para verlo en la web de RoadSurfer")</f>
        <v/>
      </c>
    </row>
    <row r="410">
      <c r="A410" t="inlineStr">
        <is>
          <t>Italia</t>
        </is>
      </c>
      <c r="B410" t="inlineStr">
        <is>
          <t>Venecia</t>
        </is>
      </c>
      <c r="C410" t="inlineStr">
        <is>
          <t>Italia</t>
        </is>
      </c>
      <c r="D410" t="inlineStr">
        <is>
          <t>Bérgamo</t>
        </is>
      </c>
      <c r="E410" t="inlineStr">
        <is>
          <t>2026-04-16</t>
        </is>
      </c>
      <c r="F410" t="inlineStr">
        <is>
          <t>2026-04-23</t>
        </is>
      </c>
      <c r="G410" t="inlineStr">
        <is>
          <t xml:space="preserve"> - Surfer Suite</t>
        </is>
      </c>
      <c r="H410">
        <f>HYPERLINK("https://booking.roadsurfer.com/es/rally/pick?pickup_date=2026-04-16&amp;return_date=2026-04-23&amp;currency=EUR&amp;startStation=78&amp;endStation=94", "Clic para verlo en la web de RoadSurfer")</f>
        <v/>
      </c>
    </row>
    <row r="411">
      <c r="A411" t="inlineStr">
        <is>
          <t>Austria</t>
        </is>
      </c>
      <c r="B411" t="inlineStr">
        <is>
          <t>Viena</t>
        </is>
      </c>
      <c r="C411" t="inlineStr">
        <is>
          <t>Alemania</t>
        </is>
      </c>
      <c r="D411" t="inlineStr">
        <is>
          <t>Leipzig</t>
        </is>
      </c>
      <c r="E411" t="inlineStr">
        <is>
          <t>2026-04-14</t>
        </is>
      </c>
      <c r="F411" t="inlineStr">
        <is>
          <t>2026-04-21</t>
        </is>
      </c>
      <c r="G411" t="inlineStr">
        <is>
          <t xml:space="preserve"> - Cozy Cottage</t>
        </is>
      </c>
      <c r="H411">
        <f>HYPERLINK("https://booking.roadsurfer.com/es/rally/pick?pickup_date=2026-04-14&amp;return_date=2026-04-21&amp;currency=EUR&amp;startStation=36&amp;endStation=8", "Clic para verlo en la web de RoadSurfer")</f>
        <v/>
      </c>
    </row>
    <row r="412">
      <c r="A412" t="inlineStr">
        <is>
          <t>Austria</t>
        </is>
      </c>
      <c r="B412" t="inlineStr">
        <is>
          <t>Viena</t>
        </is>
      </c>
      <c r="C412" t="inlineStr">
        <is>
          <t>Alemania</t>
        </is>
      </c>
      <c r="D412" t="inlineStr">
        <is>
          <t>Dresde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Road House</t>
        </is>
      </c>
      <c r="H412">
        <f>HYPERLINK("https://booking.roadsurfer.com/es/rally/pick?pickup_date=2026-05-04&amp;return_date=2026-05-11&amp;currency=EUR&amp;startStation=36&amp;endStation=56", "Clic para verlo en la web de RoadSurfer")</f>
        <v/>
      </c>
    </row>
    <row r="413">
      <c r="A413" t="inlineStr">
        <is>
          <t>Austria</t>
        </is>
      </c>
      <c r="B413" t="inlineStr">
        <is>
          <t>Viena Sur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2026-03-26</t>
        </is>
      </c>
      <c r="F413" t="inlineStr">
        <is>
          <t>2026-04-02</t>
        </is>
      </c>
      <c r="G413" t="inlineStr">
        <is>
          <t xml:space="preserve"> - Surfer Suite</t>
        </is>
      </c>
      <c r="H413">
        <f>HYPERLINK("https://booking.roadsurfer.com/es/rally/pick?pickup_date=2026-03-26&amp;return_date=2026-04-02&amp;currency=EUR&amp;startStation=45&amp;endStation=22", "Clic para verlo en la web de RoadSurfer")</f>
        <v/>
      </c>
    </row>
    <row r="414">
      <c r="A414" t="inlineStr">
        <is>
          <t>Austria</t>
        </is>
      </c>
      <c r="B414" t="inlineStr">
        <is>
          <t>Viena Sur</t>
        </is>
      </c>
      <c r="C414" t="inlineStr">
        <is>
          <t>Alemania</t>
        </is>
      </c>
      <c r="D414" t="inlineStr">
        <is>
          <t>Erfurt</t>
        </is>
      </c>
      <c r="E414" t="inlineStr">
        <is>
          <t>2026-03-25</t>
        </is>
      </c>
      <c r="F414" t="inlineStr">
        <is>
          <t>2026-04-01</t>
        </is>
      </c>
      <c r="G414" t="inlineStr">
        <is>
          <t xml:space="preserve"> - SURFER SUITE</t>
        </is>
      </c>
      <c r="H414">
        <f>HYPERLINK("https://booking.roadsurfer.com/es/rally/pick?pickup_date=2026-03-25&amp;return_date=2026-04-01&amp;currency=EUR&amp;startStation=45&amp;endStation=90", "Clic para verlo en la web de RoadSurfer")</f>
        <v/>
      </c>
    </row>
    <row r="415">
      <c r="A415" t="inlineStr">
        <is>
          <t>Austria</t>
        </is>
      </c>
      <c r="B415" t="inlineStr">
        <is>
          <t>Viena Sur</t>
        </is>
      </c>
      <c r="C415" t="inlineStr">
        <is>
          <t>Alemania</t>
        </is>
      </c>
      <c r="D415" t="inlineStr">
        <is>
          <t>Leipzig</t>
        </is>
      </c>
      <c r="E415" t="inlineStr">
        <is>
          <t>2026-04-13</t>
        </is>
      </c>
      <c r="F415" t="inlineStr">
        <is>
          <t>2026-04-20</t>
        </is>
      </c>
      <c r="G415" t="inlineStr">
        <is>
          <t xml:space="preserve"> - Family Finca</t>
        </is>
      </c>
      <c r="H415">
        <f>HYPERLINK("https://booking.roadsurfer.com/es/rally/pick?pickup_date=2026-04-13&amp;return_date=2026-04-20&amp;currency=EUR&amp;startStation=45&amp;endStation=8", "Clic para verlo en la web de RoadSurfer")</f>
        <v/>
      </c>
    </row>
    <row r="416">
      <c r="A416" t="inlineStr">
        <is>
          <t>Austria</t>
        </is>
      </c>
      <c r="B416" t="inlineStr">
        <is>
          <t>Viena Sur</t>
        </is>
      </c>
      <c r="C416" t="inlineStr">
        <is>
          <t>Alemania</t>
        </is>
      </c>
      <c r="D416" t="inlineStr">
        <is>
          <t>Leipzig</t>
        </is>
      </c>
      <c r="E416" t="inlineStr">
        <is>
          <t>2026-04-14</t>
        </is>
      </c>
      <c r="F416" t="inlineStr">
        <is>
          <t>2026-04-21</t>
        </is>
      </c>
      <c r="G416" t="inlineStr">
        <is>
          <t xml:space="preserve"> - Family Finca</t>
        </is>
      </c>
      <c r="H416">
        <f>HYPERLINK("https://booking.roadsurfer.com/es/rally/pick?pickup_date=2026-04-14&amp;return_date=2026-04-21&amp;currency=EUR&amp;startStation=45&amp;endStation=8", "Clic para verlo en la web de RoadSurfer")</f>
        <v/>
      </c>
    </row>
    <row r="417">
      <c r="A417" t="inlineStr">
        <is>
          <t>Austria</t>
        </is>
      </c>
      <c r="B417" t="inlineStr">
        <is>
          <t>Viena Sur</t>
        </is>
      </c>
      <c r="C417" t="inlineStr">
        <is>
          <t>Alemania</t>
        </is>
      </c>
      <c r="D417" t="inlineStr">
        <is>
          <t>Núremberg</t>
        </is>
      </c>
      <c r="E417" t="inlineStr">
        <is>
          <t>2026-04-09</t>
        </is>
      </c>
      <c r="F417" t="inlineStr">
        <is>
          <t>2026-04-16</t>
        </is>
      </c>
      <c r="G417" t="inlineStr">
        <is>
          <t xml:space="preserve"> - Camper Castle</t>
        </is>
      </c>
      <c r="H417">
        <f>HYPERLINK("https://booking.roadsurfer.com/es/rally/pick?pickup_date=2026-04-09&amp;return_date=2026-04-16&amp;currency=EUR&amp;startStation=45&amp;endStation=11", "Clic para verlo en la web de RoadSurfer")</f>
        <v/>
      </c>
    </row>
    <row r="418">
      <c r="A418" t="inlineStr">
        <is>
          <t>Austria</t>
        </is>
      </c>
      <c r="B418" t="inlineStr">
        <is>
          <t>Viena Sur</t>
        </is>
      </c>
      <c r="C418" t="inlineStr">
        <is>
          <t>Alemania</t>
        </is>
      </c>
      <c r="D418" t="inlineStr">
        <is>
          <t>Núremberg</t>
        </is>
      </c>
      <c r="E418" t="inlineStr">
        <is>
          <t>2026-04-15</t>
        </is>
      </c>
      <c r="F418" t="inlineStr">
        <is>
          <t>2026-04-22</t>
        </is>
      </c>
      <c r="G418" t="inlineStr">
        <is>
          <t xml:space="preserve"> - Cozy Cottage</t>
        </is>
      </c>
      <c r="H418">
        <f>HYPERLINK("https://booking.roadsurfer.com/es/rally/pick?pickup_date=2026-04-15&amp;return_date=2026-04-22&amp;currency=EUR&amp;startStation=45&amp;endStation=11", "Clic para verlo en la web de RoadSurfer")</f>
        <v/>
      </c>
    </row>
    <row r="419">
      <c r="A419" t="inlineStr">
        <is>
          <t>Austria</t>
        </is>
      </c>
      <c r="B419" t="inlineStr">
        <is>
          <t>Viena Sur</t>
        </is>
      </c>
      <c r="C419" t="inlineStr">
        <is>
          <t>Alemania</t>
        </is>
      </c>
      <c r="D419" t="inlineStr">
        <is>
          <t>Núremberg</t>
        </is>
      </c>
      <c r="E419" t="inlineStr">
        <is>
          <t>2026-03-23</t>
        </is>
      </c>
      <c r="F419" t="inlineStr">
        <is>
          <t>2026-03-30</t>
        </is>
      </c>
      <c r="G419" t="inlineStr">
        <is>
          <t xml:space="preserve"> - Couple Cottage</t>
        </is>
      </c>
      <c r="H419">
        <f>HYPERLINK("https://booking.roadsurfer.com/es/rally/pick?pickup_date=2026-03-23&amp;return_date=2026-03-30&amp;currency=EUR&amp;startStation=45&amp;endStation=11",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Denver</t>
        </is>
      </c>
      <c r="E420" t="inlineStr">
        <is>
          <t>2026-03-26</t>
        </is>
      </c>
      <c r="F420" t="inlineStr">
        <is>
          <t>2026-04-09</t>
        </is>
      </c>
      <c r="G420" t="inlineStr">
        <is>
          <t xml:space="preserve"> - Liberty Lodge</t>
        </is>
      </c>
      <c r="H420">
        <f>HYPERLINK("https://booking.roadsurfer.com/es/rally/pick?pickup_date=2026-03-26&amp;return_date=2026-04-09&amp;currency=EUR&amp;startStation=81&amp;endStation=104",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Denver</t>
        </is>
      </c>
      <c r="E421" t="inlineStr">
        <is>
          <t>2026-03-27</t>
        </is>
      </c>
      <c r="F421" t="inlineStr">
        <is>
          <t>2026-04-10</t>
        </is>
      </c>
      <c r="G421" t="inlineStr">
        <is>
          <t xml:space="preserve"> - Liberty Lodge - Couple Condo</t>
        </is>
      </c>
      <c r="H421">
        <f>HYPERLINK("https://booking.roadsurfer.com/es/rally/pick?pickup_date=2026-03-27&amp;return_date=2026-04-10&amp;currency=EUR&amp;startStation=81&amp;endStation=104",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Denver</t>
        </is>
      </c>
      <c r="E422" t="inlineStr">
        <is>
          <t>2026-03-31</t>
        </is>
      </c>
      <c r="F422" t="inlineStr">
        <is>
          <t>2026-04-14</t>
        </is>
      </c>
      <c r="G422" t="inlineStr">
        <is>
          <t xml:space="preserve"> - Liberty Lodge - Couple Condo</t>
        </is>
      </c>
      <c r="H422">
        <f>HYPERLINK("https://booking.roadsurfer.com/es/rally/pick?pickup_date=2026-03-31&amp;return_date=2026-04-14&amp;currency=EUR&amp;startStation=81&amp;endStation=104",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Denver</t>
        </is>
      </c>
      <c r="E423" t="inlineStr">
        <is>
          <t>2026-03-30</t>
        </is>
      </c>
      <c r="F423" t="inlineStr">
        <is>
          <t>2026-04-13</t>
        </is>
      </c>
      <c r="G423" t="inlineStr">
        <is>
          <t xml:space="preserve"> - Liberty Lodge</t>
        </is>
      </c>
      <c r="H423">
        <f>HYPERLINK("https://booking.roadsurfer.com/es/rally/pick?pickup_date=2026-03-30&amp;return_date=2026-04-13&amp;currency=EUR&amp;startStation=81&amp;endStation=104",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San Francisco</t>
        </is>
      </c>
      <c r="E424" t="inlineStr">
        <is>
          <t>2026-03-30</t>
        </is>
      </c>
      <c r="F424" t="inlineStr">
        <is>
          <t>2026-04-13</t>
        </is>
      </c>
      <c r="G424" t="inlineStr">
        <is>
          <t xml:space="preserve"> - Liberty Lodge - Couple Condo</t>
        </is>
      </c>
      <c r="H424">
        <f>HYPERLINK("https://booking.roadsurfer.com/es/rally/pick?pickup_date=2026-03-30&amp;return_date=2026-04-13&amp;currency=EUR&amp;startStation=81&amp;endStation=75",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San Francisco</t>
        </is>
      </c>
      <c r="E425" t="inlineStr">
        <is>
          <t>2026-03-26</t>
        </is>
      </c>
      <c r="F425" t="inlineStr">
        <is>
          <t>2026-04-09</t>
        </is>
      </c>
      <c r="G425" t="inlineStr">
        <is>
          <t xml:space="preserve"> - Liberty Lodge - Couple Condo</t>
        </is>
      </c>
      <c r="H425">
        <f>HYPERLINK("https://booking.roadsurfer.com/es/rally/pick?pickup_date=2026-03-26&amp;return_date=2026-04-09&amp;currency=EUR&amp;startStation=81&amp;endStation=75",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San Francisco</t>
        </is>
      </c>
      <c r="E426" t="inlineStr">
        <is>
          <t>2026-04-01</t>
        </is>
      </c>
      <c r="F426" t="inlineStr">
        <is>
          <t>2026-04-15</t>
        </is>
      </c>
      <c r="G426" t="inlineStr">
        <is>
          <t xml:space="preserve"> - Liberty Lodge - Couple Condo</t>
        </is>
      </c>
      <c r="H426">
        <f>HYPERLINK("https://booking.roadsurfer.com/es/rally/pick?pickup_date=2026-04-01&amp;return_date=2026-04-15&amp;currency=EUR&amp;startStation=81&amp;endStation=75",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San Francisco</t>
        </is>
      </c>
      <c r="E427" t="inlineStr">
        <is>
          <t>2026-03-27</t>
        </is>
      </c>
      <c r="F427" t="inlineStr">
        <is>
          <t>2026-04-10</t>
        </is>
      </c>
      <c r="G427" t="inlineStr">
        <is>
          <t xml:space="preserve"> - Liberty Lodge - Couple Condo</t>
        </is>
      </c>
      <c r="H427">
        <f>HYPERLINK("https://booking.roadsurfer.com/es/rally/pick?pickup_date=2026-03-27&amp;return_date=2026-04-10&amp;currency=EUR&amp;startStation=81&amp;endStation=75",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San Francisco</t>
        </is>
      </c>
      <c r="E428" t="inlineStr">
        <is>
          <t>2026-03-26</t>
        </is>
      </c>
      <c r="F428" t="inlineStr">
        <is>
          <t>2026-04-07</t>
        </is>
      </c>
      <c r="G428" t="inlineStr">
        <is>
          <t xml:space="preserve"> - Liberty Lodge - Couple Condo</t>
        </is>
      </c>
      <c r="H428">
        <f>HYPERLINK("https://booking.roadsurfer.com/es/rally/pick?pickup_date=2026-03-26&amp;return_date=2026-04-07&amp;currency=EUR&amp;startStation=81&amp;endStation=75",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San Francisco</t>
        </is>
      </c>
      <c r="E429" t="inlineStr">
        <is>
          <t>2026-04-02</t>
        </is>
      </c>
      <c r="F429" t="inlineStr">
        <is>
          <t>2026-04-16</t>
        </is>
      </c>
      <c r="G429" t="inlineStr">
        <is>
          <t xml:space="preserve"> - Couple Condo</t>
        </is>
      </c>
      <c r="H429">
        <f>HYPERLINK("https://booking.roadsurfer.com/es/rally/pick?pickup_date=2026-04-02&amp;return_date=2026-04-16&amp;currency=EUR&amp;startStation=81&amp;endStation=75",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Las Vegas</t>
        </is>
      </c>
      <c r="E430" t="inlineStr">
        <is>
          <t>2026-03-27</t>
        </is>
      </c>
      <c r="F430" t="inlineStr">
        <is>
          <t>2026-04-10</t>
        </is>
      </c>
      <c r="G430" t="inlineStr">
        <is>
          <t xml:space="preserve"> - Liberty Lodge</t>
        </is>
      </c>
      <c r="H430">
        <f>HYPERLINK("https://booking.roadsurfer.com/es/rally/pick?pickup_date=2026-03-27&amp;return_date=2026-04-10&amp;currency=EUR&amp;startStation=81&amp;endStation=76",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Las Vegas</t>
        </is>
      </c>
      <c r="E431" t="inlineStr">
        <is>
          <t>2026-03-26</t>
        </is>
      </c>
      <c r="F431" t="inlineStr">
        <is>
          <t>2026-04-09</t>
        </is>
      </c>
      <c r="G431" t="inlineStr">
        <is>
          <t xml:space="preserve"> - Liberty Lodge</t>
        </is>
      </c>
      <c r="H431">
        <f>HYPERLINK("https://booking.roadsurfer.com/es/rally/pick?pickup_date=2026-03-26&amp;return_date=2026-04-09&amp;currency=EUR&amp;startStation=81&amp;endStation=76",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Las Vegas</t>
        </is>
      </c>
      <c r="E432" t="inlineStr">
        <is>
          <t>2026-04-03</t>
        </is>
      </c>
      <c r="F432" t="inlineStr">
        <is>
          <t>2026-04-17</t>
        </is>
      </c>
      <c r="G432" t="inlineStr">
        <is>
          <t xml:space="preserve"> - Liberty Lodge</t>
        </is>
      </c>
      <c r="H432">
        <f>HYPERLINK("https://booking.roadsurfer.com/es/rally/pick?pickup_date=2026-04-03&amp;return_date=2026-04-17&amp;currency=EUR&amp;startStation=81&amp;endStation=76",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Las Vegas</t>
        </is>
      </c>
      <c r="E433" t="inlineStr">
        <is>
          <t>2026-03-30</t>
        </is>
      </c>
      <c r="F433" t="inlineStr">
        <is>
          <t>2026-04-13</t>
        </is>
      </c>
      <c r="G433" t="inlineStr">
        <is>
          <t xml:space="preserve"> - Liberty Lodge</t>
        </is>
      </c>
      <c r="H433">
        <f>HYPERLINK("https://booking.roadsurfer.com/es/rally/pick?pickup_date=2026-03-30&amp;return_date=2026-04-13&amp;currency=EUR&amp;startStation=81&amp;endStation=76",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Salt Lake City</t>
        </is>
      </c>
      <c r="E434" t="inlineStr">
        <is>
          <t>2026-03-30</t>
        </is>
      </c>
      <c r="F434" t="inlineStr">
        <is>
          <t>2026-04-13</t>
        </is>
      </c>
      <c r="G434" t="inlineStr">
        <is>
          <t xml:space="preserve"> - Liberty Lodge</t>
        </is>
      </c>
      <c r="H434">
        <f>HYPERLINK("https://booking.roadsurfer.com/es/rally/pick?pickup_date=2026-03-30&amp;return_date=2026-04-13&amp;currency=EUR&amp;startStation=81&amp;endStation=106",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Salt Lake City</t>
        </is>
      </c>
      <c r="E435" t="inlineStr">
        <is>
          <t>2026-03-31</t>
        </is>
      </c>
      <c r="F435" t="inlineStr">
        <is>
          <t>2026-04-14</t>
        </is>
      </c>
      <c r="G435" t="inlineStr">
        <is>
          <t xml:space="preserve"> - Liberty Lodge</t>
        </is>
      </c>
      <c r="H435">
        <f>HYPERLINK("https://booking.roadsurfer.com/es/rally/pick?pickup_date=2026-03-31&amp;return_date=2026-04-14&amp;currency=EUR&amp;startStation=81&amp;endStation=106",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Salt Lake City</t>
        </is>
      </c>
      <c r="E436" t="inlineStr">
        <is>
          <t>2026-04-03</t>
        </is>
      </c>
      <c r="F436" t="inlineStr">
        <is>
          <t>2026-04-17</t>
        </is>
      </c>
      <c r="G436" t="inlineStr">
        <is>
          <t xml:space="preserve"> - Liberty Lodge</t>
        </is>
      </c>
      <c r="H436">
        <f>HYPERLINK("https://booking.roadsurfer.com/es/rally/pick?pickup_date=2026-04-03&amp;return_date=2026-04-17&amp;currency=EUR&amp;startStation=81&amp;endStation=106",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Salt Lake City</t>
        </is>
      </c>
      <c r="E437" t="inlineStr">
        <is>
          <t>2026-03-26</t>
        </is>
      </c>
      <c r="F437" t="inlineStr">
        <is>
          <t>2026-04-09</t>
        </is>
      </c>
      <c r="G437" t="inlineStr">
        <is>
          <t xml:space="preserve"> - Liberty Lodge</t>
        </is>
      </c>
      <c r="H437">
        <f>HYPERLINK("https://booking.roadsurfer.com/es/rally/pick?pickup_date=2026-03-26&amp;return_date=2026-04-09&amp;currency=EUR&amp;startStation=81&amp;endStation=106",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Salt Lake City</t>
        </is>
      </c>
      <c r="E438" t="inlineStr">
        <is>
          <t>2026-04-02</t>
        </is>
      </c>
      <c r="F438" t="inlineStr">
        <is>
          <t>2026-04-16</t>
        </is>
      </c>
      <c r="G438" t="inlineStr">
        <is>
          <t xml:space="preserve"> - Couple Condo</t>
        </is>
      </c>
      <c r="H438">
        <f>HYPERLINK("https://booking.roadsurfer.com/es/rally/pick?pickup_date=2026-04-02&amp;return_date=2026-04-16&amp;currency=EUR&amp;startStation=81&amp;endStation=106",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Dallas</t>
        </is>
      </c>
      <c r="E439" t="inlineStr">
        <is>
          <t>2026-03-27</t>
        </is>
      </c>
      <c r="F439" t="inlineStr">
        <is>
          <t>2026-04-10</t>
        </is>
      </c>
      <c r="G439" t="inlineStr">
        <is>
          <t xml:space="preserve"> - Liberty Lodge</t>
        </is>
      </c>
      <c r="H439">
        <f>HYPERLINK("https://booking.roadsurfer.com/es/rally/pick?pickup_date=2026-03-27&amp;return_date=2026-04-10&amp;currency=EUR&amp;startStation=81&amp;endStation=125",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Dallas</t>
        </is>
      </c>
      <c r="E440" t="inlineStr">
        <is>
          <t>2026-03-26</t>
        </is>
      </c>
      <c r="F440" t="inlineStr">
        <is>
          <t>2026-04-09</t>
        </is>
      </c>
      <c r="G440" t="inlineStr">
        <is>
          <t xml:space="preserve"> - Liberty Lodge</t>
        </is>
      </c>
      <c r="H440">
        <f>HYPERLINK("https://booking.roadsurfer.com/es/rally/pick?pickup_date=2026-03-26&amp;return_date=2026-04-09&amp;currency=EUR&amp;startStation=81&amp;endStation=125", "Clic para verlo en la web de RoadSurfer")</f>
        <v/>
      </c>
    </row>
    <row r="441">
      <c r="A441" t="inlineStr">
        <is>
          <t>EE.UU.</t>
        </is>
      </c>
      <c r="B441" t="inlineStr">
        <is>
          <t>Winnebago Industries</t>
        </is>
      </c>
      <c r="C441" t="inlineStr">
        <is>
          <t>EE.UU.</t>
        </is>
      </c>
      <c r="D441" t="inlineStr">
        <is>
          <t>Seattle</t>
        </is>
      </c>
      <c r="E441" t="inlineStr">
        <is>
          <t>2026-04-01</t>
        </is>
      </c>
      <c r="F441" t="inlineStr">
        <is>
          <t>2026-04-15</t>
        </is>
      </c>
      <c r="G441" t="inlineStr">
        <is>
          <t xml:space="preserve"> - Liberty Lodge</t>
        </is>
      </c>
      <c r="H441">
        <f>HYPERLINK("https://booking.roadsurfer.com/es/rally/pick?pickup_date=2026-04-01&amp;return_date=2026-04-15&amp;currency=EUR&amp;startStation=81&amp;endStation=107", "Clic para verlo en la web de RoadSurfer")</f>
        <v/>
      </c>
    </row>
    <row r="442">
      <c r="A442" t="inlineStr">
        <is>
          <t>EE.UU.</t>
        </is>
      </c>
      <c r="B442" t="inlineStr">
        <is>
          <t>Winnebago Industries</t>
        </is>
      </c>
      <c r="C442" t="inlineStr">
        <is>
          <t>EE.UU.</t>
        </is>
      </c>
      <c r="D442" t="inlineStr">
        <is>
          <t>Seattle</t>
        </is>
      </c>
      <c r="E442" t="inlineStr">
        <is>
          <t>2026-03-26</t>
        </is>
      </c>
      <c r="F442" t="inlineStr">
        <is>
          <t>2026-04-09</t>
        </is>
      </c>
      <c r="G442" t="inlineStr">
        <is>
          <t xml:space="preserve"> - Liberty Lodge</t>
        </is>
      </c>
      <c r="H442">
        <f>HYPERLINK("https://booking.roadsurfer.com/es/rally/pick?pickup_date=2026-03-26&amp;return_date=2026-04-09&amp;currency=EUR&amp;startStation=81&amp;endStation=107", "Clic para verlo en la web de RoadSurfer")</f>
        <v/>
      </c>
    </row>
    <row r="443">
      <c r="A443" t="inlineStr">
        <is>
          <t>EE.UU.</t>
        </is>
      </c>
      <c r="B443" t="inlineStr">
        <is>
          <t>Winnebago Industries</t>
        </is>
      </c>
      <c r="C443" t="inlineStr">
        <is>
          <t>EE.UU.</t>
        </is>
      </c>
      <c r="D443" t="inlineStr">
        <is>
          <t>Seattle</t>
        </is>
      </c>
      <c r="E443" t="inlineStr">
        <is>
          <t>2026-03-27</t>
        </is>
      </c>
      <c r="F443" t="inlineStr">
        <is>
          <t>2026-04-10</t>
        </is>
      </c>
      <c r="G443" t="inlineStr">
        <is>
          <t xml:space="preserve"> - Liberty Lodge - Couple Condo</t>
        </is>
      </c>
      <c r="H443">
        <f>HYPERLINK("https://booking.roadsurfer.com/es/rally/pick?pickup_date=2026-03-27&amp;return_date=2026-04-10&amp;currency=EUR&amp;startStation=81&amp;endStation=107", "Clic para verlo en la web de RoadSurfer")</f>
        <v/>
      </c>
    </row>
    <row r="444">
      <c r="A444" t="inlineStr">
        <is>
          <t>EE.UU.</t>
        </is>
      </c>
      <c r="B444" t="inlineStr">
        <is>
          <t>Winnebago Industries</t>
        </is>
      </c>
      <c r="C444" t="inlineStr">
        <is>
          <t>EE.UU.</t>
        </is>
      </c>
      <c r="D444" t="inlineStr">
        <is>
          <t>Phoenix</t>
        </is>
      </c>
      <c r="E444" t="inlineStr">
        <is>
          <t>2026-04-01</t>
        </is>
      </c>
      <c r="F444" t="inlineStr">
        <is>
          <t>2026-04-15</t>
        </is>
      </c>
      <c r="G444" t="inlineStr">
        <is>
          <t xml:space="preserve"> - No hay coche</t>
        </is>
      </c>
      <c r="H444">
        <f>HYPERLINK("https://booking.roadsurfer.com/es/rally/pick?pickup_date=2026-04-01&amp;return_date=2026-04-15&amp;currency=EUR&amp;startStation=81&amp;endStation=105", "Clic para verlo en la web de RoadSurfer")</f>
        <v/>
      </c>
    </row>
    <row r="445">
      <c r="A445" t="inlineStr">
        <is>
          <t>EE.UU.</t>
        </is>
      </c>
      <c r="B445" t="inlineStr">
        <is>
          <t>Winnebago Industries</t>
        </is>
      </c>
      <c r="C445" t="inlineStr">
        <is>
          <t>EE.UU.</t>
        </is>
      </c>
      <c r="D445" t="inlineStr">
        <is>
          <t>Phoenix</t>
        </is>
      </c>
      <c r="E445" t="inlineStr">
        <is>
          <t>2026-03-26</t>
        </is>
      </c>
      <c r="F445" t="inlineStr">
        <is>
          <t>2026-04-09</t>
        </is>
      </c>
      <c r="G445" t="inlineStr">
        <is>
          <t xml:space="preserve"> - Liberty Lodge - Couple Condo</t>
        </is>
      </c>
      <c r="H445">
        <f>HYPERLINK("https://booking.roadsurfer.com/es/rally/pick?pickup_date=2026-03-26&amp;return_date=2026-04-09&amp;currency=EUR&amp;startStation=81&amp;endStation=105", "Clic para verlo en la web de RoadSurfer")</f>
        <v/>
      </c>
    </row>
    <row r="446">
      <c r="A446" t="inlineStr">
        <is>
          <t>EE.UU.</t>
        </is>
      </c>
      <c r="B446" t="inlineStr">
        <is>
          <t>Winnebago Industries</t>
        </is>
      </c>
      <c r="C446" t="inlineStr">
        <is>
          <t>EE.UU.</t>
        </is>
      </c>
      <c r="D446" t="inlineStr">
        <is>
          <t>Phoenix</t>
        </is>
      </c>
      <c r="E446" t="inlineStr">
        <is>
          <t>2026-03-31</t>
        </is>
      </c>
      <c r="F446" t="inlineStr">
        <is>
          <t>2026-04-14</t>
        </is>
      </c>
      <c r="G446" t="inlineStr">
        <is>
          <t xml:space="preserve"> - Liberty Lodge</t>
        </is>
      </c>
      <c r="H446">
        <f>HYPERLINK("https://booking.roadsurfer.com/es/rally/pick?pickup_date=2026-03-31&amp;return_date=2026-04-14&amp;currency=EUR&amp;startStation=81&amp;endStation=105", "Clic para verlo en la web de RoadSurfer")</f>
        <v/>
      </c>
    </row>
    <row r="447">
      <c r="A447" t="inlineStr">
        <is>
          <t>Alemania</t>
        </is>
      </c>
      <c r="B447" t="inlineStr">
        <is>
          <t>Wurzburgo</t>
        </is>
      </c>
      <c r="C447" t="inlineStr">
        <is>
          <t>Alemania</t>
        </is>
      </c>
      <c r="D447" t="inlineStr">
        <is>
          <t>Augsburgo</t>
        </is>
      </c>
      <c r="E447" t="inlineStr">
        <is>
          <t>2026-04-30</t>
        </is>
      </c>
      <c r="F447" t="inlineStr">
        <is>
          <t>2026-05-07</t>
        </is>
      </c>
      <c r="G447" t="inlineStr">
        <is>
          <t xml:space="preserve"> - Road House</t>
        </is>
      </c>
      <c r="H447">
        <f>HYPERLINK("https://booking.roadsurfer.com/es/rally/pick?pickup_date=2026-04-30&amp;return_date=2026-05-07&amp;currency=EUR&amp;startStation=115&amp;endStation=108", "Clic para verlo en la web de RoadSurfer")</f>
        <v/>
      </c>
    </row>
    <row r="448">
      <c r="A448" t="inlineStr">
        <is>
          <t>Alemania</t>
        </is>
      </c>
      <c r="B448" t="inlineStr">
        <is>
          <t>Wurzburgo</t>
        </is>
      </c>
      <c r="C448" t="inlineStr">
        <is>
          <t>Italia</t>
        </is>
      </c>
      <c r="D448" t="inlineStr">
        <is>
          <t>Milán</t>
        </is>
      </c>
      <c r="E448" t="inlineStr">
        <is>
          <t>2026-04-20</t>
        </is>
      </c>
      <c r="F448" t="inlineStr">
        <is>
          <t>2026-04-27</t>
        </is>
      </c>
      <c r="G448" t="inlineStr">
        <is>
          <t xml:space="preserve"> - Road House</t>
        </is>
      </c>
      <c r="H448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2026-03-18T08:54:32Z</dcterms:created>
  <dcterms:modified xsi:type="dcterms:W3CDTF">2026-03-18T08:54:32Z</dcterms:modified>
</cp:coreProperties>
</file>