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Francia</t>
        </is>
      </c>
      <c r="D2" t="inlineStr">
        <is>
          <t>Burdeos</t>
        </is>
      </c>
      <c r="E2" t="inlineStr">
        <is>
          <t>2026-07-10</t>
        </is>
      </c>
      <c r="F2" t="inlineStr">
        <is>
          <t>2026-07-17</t>
        </is>
      </c>
      <c r="G2" t="inlineStr">
        <is>
          <t xml:space="preserve"> - Road House</t>
        </is>
      </c>
      <c r="H2">
        <f>HYPERLINK("https://booking.roadsurfer.com/es/rally/pick?pickup_date=2026-07-10&amp;return_date=2026-07-17&amp;currency=EUR&amp;startStation=108&amp;endStation=13",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2026-06-17</t>
        </is>
      </c>
      <c r="F4" t="inlineStr">
        <is>
          <t>2026-06-24</t>
        </is>
      </c>
      <c r="G4" t="inlineStr">
        <is>
          <t xml:space="preserve"> - Family Finca</t>
        </is>
      </c>
      <c r="H4">
        <f>HYPERLINK("https://booking.roadsurfer.com/es/rally/pick?pickup_date=2026-06-17&amp;return_date=2026-06-24&amp;currency=EUR&amp;startStation=91&amp;endStation=87",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2026-06-20</t>
        </is>
      </c>
      <c r="F5" t="inlineStr">
        <is>
          <t>2026-06-27</t>
        </is>
      </c>
      <c r="G5" t="inlineStr"/>
      <c r="H5">
        <f>HYPERLINK("https://booking.roadsurfer.com/es/rally/pick?pickup_date=2026-06-20&amp;return_date=2026-06-27&amp;currency=EUR&amp;startStation=91&amp;endStation=12",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Sunrise Suite</t>
        </is>
      </c>
      <c r="H6">
        <f>HYPERLINK("https://booking.roadsurfer.com/es/rally/pick?pickup_date=2026-06-16&amp;return_date=2026-06-23&amp;currency=EUR&amp;startStation=91&amp;endStation=12",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Wurzburgo</t>
        </is>
      </c>
      <c r="E7" t="inlineStr">
        <is>
          <t>2026-06-16</t>
        </is>
      </c>
      <c r="F7" t="inlineStr">
        <is>
          <t>2026-06-23</t>
        </is>
      </c>
      <c r="G7" t="inlineStr">
        <is>
          <t xml:space="preserve"> - Road House</t>
        </is>
      </c>
      <c r="H7">
        <f>HYPERLINK("https://booking.roadsurfer.com/es/rally/pick?pickup_date=2026-06-16&amp;return_date=2026-06-23&amp;currency=EUR&amp;startStation=40&amp;endStation=115",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HYPERLINK("https://booking.roadsurfer.com/es/rally/pick?pickup_date=2026-06-23&amp;return_date=2026-06-30&amp;currency=EUR&amp;startStation=24&amp;endStation=29",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Cozy Cottage</t>
        </is>
      </c>
      <c r="H9">
        <f>HYPERLINK("https://booking.roadsurfer.com/es/rally/pick?pickup_date=2026-06-23&amp;return_date=2026-06-30&amp;currency=EUR&amp;startStation=24&amp;endStation=15",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Family Finca</t>
        </is>
      </c>
      <c r="H10">
        <f>HYPERLINK("https://booking.roadsurfer.com/es/rally/pick?pickup_date=2026-06-22&amp;return_date=2026-06-29&amp;currency=EUR&amp;startStation=24&amp;endStation=15",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París Aeropuerto CDG</t>
        </is>
      </c>
      <c r="E11" t="inlineStr">
        <is>
          <t>2026-06-19</t>
        </is>
      </c>
      <c r="F11" t="inlineStr">
        <is>
          <t>2026-06-26</t>
        </is>
      </c>
      <c r="G11" t="inlineStr">
        <is>
          <t xml:space="preserve"> - Couple Cottage</t>
        </is>
      </c>
      <c r="H11">
        <f>HYPERLINK("https://booking.roadsurfer.com/es/rally/pick?pickup_date=2026-06-19&amp;return_date=2026-06-26&amp;currency=EUR&amp;startStation=24&amp;endStation=48",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2026-06-18</t>
        </is>
      </c>
      <c r="F12" t="inlineStr">
        <is>
          <t>2026-06-25</t>
        </is>
      </c>
      <c r="G12" t="inlineStr">
        <is>
          <t xml:space="preserve"> - Surfer Suite - Sunrise Suite</t>
        </is>
      </c>
      <c r="H12">
        <f>HYPERLINK("https://booking.roadsurfer.com/es/rally/pick?pickup_date=2026-06-18&amp;return_date=2026-06-25&amp;currency=EUR&amp;startStation=13&amp;endStation=22",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2026-06-17</t>
        </is>
      </c>
      <c r="F13" t="inlineStr">
        <is>
          <t>2026-06-24</t>
        </is>
      </c>
      <c r="G13" t="inlineStr">
        <is>
          <t xml:space="preserve"> - Surfer Suite</t>
        </is>
      </c>
      <c r="H13">
        <f>HYPERLINK("https://booking.roadsurfer.com/es/rally/pick?pickup_date=2026-06-17&amp;return_date=2026-06-24&amp;currency=EUR&amp;startStation=13&amp;endStation=22",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Beach Hostel - Sunrise Suite</t>
        </is>
      </c>
      <c r="H14">
        <f>HYPERLINK("https://booking.roadsurfer.com/es/rally/pick?pickup_date=2026-06-12&amp;return_date=2026-06-19&amp;currency=EUR&amp;startStation=13&amp;endStation=22",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2026-06-20</t>
        </is>
      </c>
      <c r="F15" t="inlineStr">
        <is>
          <t>2026-06-27</t>
        </is>
      </c>
      <c r="G15" t="inlineStr">
        <is>
          <t xml:space="preserve"> - Beach Hostel</t>
        </is>
      </c>
      <c r="H15">
        <f>HYPERLINK("https://booking.roadsurfer.com/es/rally/pick?pickup_date=2026-06-20&amp;return_date=2026-06-27&amp;currency=EUR&amp;startStation=55&amp;endStation=87",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Países Bajos</t>
        </is>
      </c>
      <c r="D16" t="inlineStr">
        <is>
          <t>Ámsterdam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Road House</t>
        </is>
      </c>
      <c r="H16">
        <f>HYPERLINK("https://booking.roadsurfer.com/es/rally/pick?pickup_date=2026-06-22&amp;return_date=2026-06-29&amp;currency=EUR&amp;startStation=55&amp;endStation=32",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Países Bajos</t>
        </is>
      </c>
      <c r="D17" t="inlineStr">
        <is>
          <t>Róterdam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Road House</t>
        </is>
      </c>
      <c r="H17">
        <f>HYPERLINK("https://booking.roadsurfer.com/es/rally/pick?pickup_date=2026-06-22&amp;return_date=2026-06-29&amp;currency=EUR&amp;startStation=55&amp;endStation=33",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HYPERLINK("https://booking.roadsurfer.com/es/rally/pick?pickup_date=2026-06-23&amp;return_date=2026-06-30&amp;currency=EUR&amp;startStation=55&amp;endStation=15",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Couple Cottage</t>
        </is>
      </c>
      <c r="H19">
        <f>HYPERLINK("https://booking.roadsurfer.com/es/rally/pick?pickup_date=2026-06-23&amp;return_date=2026-06-30&amp;currency=EUR&amp;startStation=55&amp;endStation=12",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HYPERLINK("https://booking.roadsurfer.com/es/rally/pick?pickup_date=2026-06-23&amp;return_date=2026-06-30&amp;currency=EUR&amp;startStation=55&amp;endStation=48",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2026-06-17</t>
        </is>
      </c>
      <c r="F21" t="inlineStr">
        <is>
          <t>2026-06-24</t>
        </is>
      </c>
      <c r="G21" t="inlineStr">
        <is>
          <t xml:space="preserve"> - Camper Cabin</t>
        </is>
      </c>
      <c r="H21">
        <f>HYPERLINK("https://booking.roadsurfer.com/es/rally/pick?pickup_date=2026-06-17&amp;return_date=2026-06-24&amp;currency=EUR&amp;startStation=55&amp;endStation=42",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2026-06-27</t>
        </is>
      </c>
      <c r="F22" t="inlineStr">
        <is>
          <t>2026-07-04</t>
        </is>
      </c>
      <c r="G22" t="inlineStr">
        <is>
          <t xml:space="preserve"> - No hay coche</t>
        </is>
      </c>
      <c r="H22">
        <f>HYPERLINK("https://booking.roadsurfer.com/es/rally/pick?pickup_date=2026-06-27&amp;return_date=2026-07-04&amp;currency=EUR&amp;startStation=55&amp;endStation=60", "Clic para verlo en la web de RoadSurfer")</f>
        <v/>
      </c>
    </row>
    <row r="23">
      <c r="A23" t="inlineStr">
        <is>
          <t>Reino Unido</t>
        </is>
      </c>
      <c r="B23" t="inlineStr">
        <is>
          <t>Bristol</t>
        </is>
      </c>
      <c r="C23" t="inlineStr">
        <is>
          <t>Reino Unido</t>
        </is>
      </c>
      <c r="D23" t="inlineStr">
        <is>
          <t>Edimburgo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No hay coche</t>
        </is>
      </c>
      <c r="H23">
        <f>HYPERLINK("https://booking.roadsurfer.com/es/rally/pick?pickup_date=2026-06-22&amp;return_date=2026-06-29&amp;currency=EUR&amp;startStation=98&amp;endStation=64", "Clic para verlo en la web de RoadSurfer")</f>
        <v/>
      </c>
    </row>
    <row r="24">
      <c r="A24" t="inlineStr">
        <is>
          <t>Canadá</t>
        </is>
      </c>
      <c r="B24" t="inlineStr">
        <is>
          <t>Calgary</t>
        </is>
      </c>
      <c r="C24" t="inlineStr">
        <is>
          <t>Canadá</t>
        </is>
      </c>
      <c r="D24" t="inlineStr">
        <is>
          <t>Vancouver</t>
        </is>
      </c>
      <c r="E24" t="inlineStr">
        <is>
          <t>2026-07-03</t>
        </is>
      </c>
      <c r="F24" t="inlineStr">
        <is>
          <t>2026-07-10</t>
        </is>
      </c>
      <c r="G24" t="inlineStr">
        <is>
          <t xml:space="preserve"> - Liberty Lodge</t>
        </is>
      </c>
      <c r="H24">
        <f>HYPERLINK("https://booking.roadsurfer.com/es/rally/pick?pickup_date=2026-07-03&amp;return_date=2026-07-10&amp;currency=EUR&amp;startStation=84&amp;endStation=83",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Francia</t>
        </is>
      </c>
      <c r="D25" t="inlineStr">
        <is>
          <t>Lyon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No hay coche</t>
        </is>
      </c>
      <c r="H25">
        <f>HYPERLINK("https://booking.roadsurfer.com/es/rally/pick?pickup_date=2026-06-15&amp;return_date=2026-06-22&amp;currency=EUR&amp;startStation=52&amp;endStation=15",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2026-06-17</t>
        </is>
      </c>
      <c r="F26" t="inlineStr">
        <is>
          <t>2026-06-24</t>
        </is>
      </c>
      <c r="G26" t="inlineStr">
        <is>
          <t xml:space="preserve"> - Sunrise Suite</t>
        </is>
      </c>
      <c r="H26">
        <f>HYPERLINK("https://booking.roadsurfer.com/es/rally/pick?pickup_date=2026-06-17&amp;return_date=2026-06-24&amp;currency=EUR&amp;startStation=52&amp;endStation=40",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No hay coche</t>
        </is>
      </c>
      <c r="H27">
        <f>HYPERLINK("https://booking.roadsurfer.com/es/rally/pick?pickup_date=2026-06-22&amp;return_date=2026-06-29&amp;currency=EUR&amp;startStation=52&amp;endStation=12",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Francia</t>
        </is>
      </c>
      <c r="D28" t="inlineStr">
        <is>
          <t>Lyon</t>
        </is>
      </c>
      <c r="E28" t="inlineStr">
        <is>
          <t>2026-06-30</t>
        </is>
      </c>
      <c r="F28" t="inlineStr">
        <is>
          <t>2026-07-07</t>
        </is>
      </c>
      <c r="G28" t="inlineStr"/>
      <c r="H28">
        <f>HYPERLINK("https://booking.roadsurfer.com/es/rally/pick?pickup_date=2026-06-30&amp;return_date=2026-07-07&amp;currency=EUR&amp;startStation=4&amp;endStation=15",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Francia</t>
        </is>
      </c>
      <c r="D29" t="inlineStr">
        <is>
          <t>Toulouse</t>
        </is>
      </c>
      <c r="E29" t="inlineStr">
        <is>
          <t>2026-06-18</t>
        </is>
      </c>
      <c r="F29" t="inlineStr">
        <is>
          <t>2026-06-25</t>
        </is>
      </c>
      <c r="G29" t="inlineStr">
        <is>
          <t xml:space="preserve"> - Family Finca</t>
        </is>
      </c>
      <c r="H29">
        <f>HYPERLINK("https://booking.roadsurfer.com/es/rally/pick?pickup_date=2026-06-18&amp;return_date=2026-06-25&amp;currency=EUR&amp;startStation=4&amp;endStation=30",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Sunrise Suite</t>
        </is>
      </c>
      <c r="H30">
        <f>HYPERLINK("https://booking.roadsurfer.com/es/rally/pick?pickup_date=2026-06-23&amp;return_date=2026-06-30&amp;currency=EUR&amp;startStation=4&amp;endStation=13", "Clic para verlo en la web de RoadSurfer")</f>
        <v/>
      </c>
    </row>
    <row r="31">
      <c r="A31" t="inlineStr">
        <is>
          <t>Alemania</t>
        </is>
      </c>
      <c r="B31" t="inlineStr">
        <is>
          <t>Constanza (Aach)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2026-06-20</t>
        </is>
      </c>
      <c r="F31" t="inlineStr">
        <is>
          <t>2026-06-27</t>
        </is>
      </c>
      <c r="G31" t="inlineStr">
        <is>
          <t xml:space="preserve"> - Surfer Suite</t>
        </is>
      </c>
      <c r="H31">
        <f>HYPERLINK("https://booking.roadsurfer.com/es/rally/pick?pickup_date=2026-06-20&amp;return_date=2026-06-27&amp;currency=EUR&amp;startStation=10&amp;endStation=90",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Austria</t>
        </is>
      </c>
      <c r="D32" t="inlineStr">
        <is>
          <t>Graz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No hay coche</t>
        </is>
      </c>
      <c r="H32">
        <f>HYPERLINK("https://booking.roadsurfer.com/es/rally/pick?pickup_date=2026-06-29&amp;return_date=2026-07-06&amp;currency=EUR&amp;startStation=10&amp;endStation=37", "Clic para verlo en la web de RoadSurfer")</f>
        <v/>
      </c>
    </row>
    <row r="33">
      <c r="A33" t="inlineStr">
        <is>
          <t>Alemania</t>
        </is>
      </c>
      <c r="B33" t="inlineStr">
        <is>
          <t>Dresde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2026-06-26</t>
        </is>
      </c>
      <c r="F33" t="inlineStr">
        <is>
          <t>2026-07-03</t>
        </is>
      </c>
      <c r="G33" t="inlineStr"/>
      <c r="H33">
        <f>HYPERLINK("https://booking.roadsurfer.com/es/rally/pick?pickup_date=2026-06-26&amp;return_date=2026-07-03&amp;currency=EUR&amp;startStation=56&amp;endStation=15", "Clic para verlo en la web de RoadSurfer")</f>
        <v/>
      </c>
    </row>
    <row r="34">
      <c r="A34" t="inlineStr">
        <is>
          <t>Alemania</t>
        </is>
      </c>
      <c r="B34" t="inlineStr">
        <is>
          <t>Dresde</t>
        </is>
      </c>
      <c r="C34" t="inlineStr">
        <is>
          <t>Austria</t>
        </is>
      </c>
      <c r="D34" t="inlineStr">
        <is>
          <t>Linz</t>
        </is>
      </c>
      <c r="E34" t="inlineStr">
        <is>
          <t>2026-06-17</t>
        </is>
      </c>
      <c r="F34" t="inlineStr">
        <is>
          <t>2026-06-24</t>
        </is>
      </c>
      <c r="G34" t="inlineStr">
        <is>
          <t xml:space="preserve"> - Road House</t>
        </is>
      </c>
      <c r="H34">
        <f>HYPERLINK("https://booking.roadsurfer.com/es/rally/pick?pickup_date=2026-06-17&amp;return_date=2026-06-24&amp;currency=EUR&amp;startStation=56&amp;endStation=116",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2026-06-16</t>
        </is>
      </c>
      <c r="F35" t="inlineStr">
        <is>
          <t>2026-06-23</t>
        </is>
      </c>
      <c r="G35" t="inlineStr">
        <is>
          <t xml:space="preserve"> - Camper Castle</t>
        </is>
      </c>
      <c r="H35">
        <f>HYPERLINK("https://booking.roadsurfer.com/es/rally/pick?pickup_date=2026-06-16&amp;return_date=2026-06-23&amp;currency=EUR&amp;startStation=56&amp;endStation=59",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No hay coche</t>
        </is>
      </c>
      <c r="H36">
        <f>HYPERLINK("https://booking.roadsurfer.com/es/rally/pick?pickup_date=2026-06-22&amp;return_date=2026-06-29&amp;currency=EUR&amp;startStation=56&amp;endStation=59",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2026-06-20</t>
        </is>
      </c>
      <c r="F37" t="inlineStr">
        <is>
          <t>2026-06-27</t>
        </is>
      </c>
      <c r="G37" t="inlineStr">
        <is>
          <t xml:space="preserve"> - Beach Hostel</t>
        </is>
      </c>
      <c r="H37">
        <f>HYPERLINK("https://booking.roadsurfer.com/es/rally/pick?pickup_date=2026-06-20&amp;return_date=2026-06-27&amp;currency=EUR&amp;startStation=56&amp;endStation=59",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2026-06-19</t>
        </is>
      </c>
      <c r="F38" t="inlineStr">
        <is>
          <t>2026-06-26</t>
        </is>
      </c>
      <c r="G38" t="inlineStr">
        <is>
          <t xml:space="preserve"> - No hay coche</t>
        </is>
      </c>
      <c r="H38">
        <f>HYPERLINK("https://booking.roadsurfer.com/es/rally/pick?pickup_date=2026-06-19&amp;return_date=2026-06-26&amp;currency=EUR&amp;startStation=56&amp;endStation=12",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Road House</t>
        </is>
      </c>
      <c r="H39">
        <f>HYPERLINK("https://booking.roadsurfer.com/es/rally/pick?pickup_date=2026-06-15&amp;return_date=2026-06-22&amp;currency=EUR&amp;startStation=56&amp;endStation=3", "Clic para verlo en la web de RoadSurfer")</f>
        <v/>
      </c>
    </row>
    <row r="40">
      <c r="A40" t="inlineStr">
        <is>
          <t>Alemania</t>
        </is>
      </c>
      <c r="B40" t="inlineStr">
        <is>
          <t>Erfurt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Surfer Suite</t>
        </is>
      </c>
      <c r="H40">
        <f>HYPERLINK("https://booking.roadsurfer.com/es/rally/pick?pickup_date=2026-06-18&amp;return_date=2026-06-25&amp;currency=EUR&amp;startStation=90&amp;endStation=42", "Clic para verlo en la web de RoadSurfer")</f>
        <v/>
      </c>
    </row>
    <row r="41">
      <c r="A41" t="inlineStr">
        <is>
          <t>Alemania</t>
        </is>
      </c>
      <c r="B41" t="inlineStr">
        <is>
          <t>Erfurt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2026-06-18</t>
        </is>
      </c>
      <c r="F41" t="inlineStr">
        <is>
          <t>2026-06-25</t>
        </is>
      </c>
      <c r="G41" t="inlineStr"/>
      <c r="H41">
        <f>HYPERLINK("https://booking.roadsurfer.com/es/rally/pick?pickup_date=2026-06-18&amp;return_date=2026-06-25&amp;currency=EUR&amp;startStation=90&amp;endStation=60", "Clic para verlo en la web de RoadSurfer")</f>
        <v/>
      </c>
    </row>
    <row r="42">
      <c r="A42" t="inlineStr">
        <is>
          <t>Alemania</t>
        </is>
      </c>
      <c r="B42" t="inlineStr">
        <is>
          <t>Erfurt</t>
        </is>
      </c>
      <c r="C42" t="inlineStr">
        <is>
          <t>Francia</t>
        </is>
      </c>
      <c r="D42" t="inlineStr">
        <is>
          <t>Ginebra-Pays de Gex (Francia)</t>
        </is>
      </c>
      <c r="E42" t="inlineStr">
        <is>
          <t>2026-06-19</t>
        </is>
      </c>
      <c r="F42" t="inlineStr">
        <is>
          <t>2026-06-26</t>
        </is>
      </c>
      <c r="G42" t="inlineStr">
        <is>
          <t xml:space="preserve"> - Surfer Suite</t>
        </is>
      </c>
      <c r="H42">
        <f>HYPERLINK("https://booking.roadsurfer.com/es/rally/pick?pickup_date=2026-06-19&amp;return_date=2026-06-26&amp;currency=EUR&amp;startStation=90&amp;endStation=29", "Clic para verlo en la web de RoadSurfer")</f>
        <v/>
      </c>
    </row>
    <row r="43">
      <c r="A43" t="inlineStr">
        <is>
          <t>Alemania</t>
        </is>
      </c>
      <c r="B43" t="inlineStr">
        <is>
          <t>Erfurt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Beach Hostel</t>
        </is>
      </c>
      <c r="H43">
        <f>HYPERLINK("https://booking.roadsurfer.com/es/rally/pick?pickup_date=2026-06-15&amp;return_date=2026-06-22&amp;currency=EUR&amp;startStation=90&amp;endStation=77", "Clic para verlo en la web de RoadSurfer")</f>
        <v/>
      </c>
    </row>
    <row r="44">
      <c r="A44" t="inlineStr">
        <is>
          <t>Alemania</t>
        </is>
      </c>
      <c r="B44" t="inlineStr">
        <is>
          <t>Erfurt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No hay coche</t>
        </is>
      </c>
      <c r="H44">
        <f>HYPERLINK("https://booking.roadsurfer.com/es/rally/pick?pickup_date=2026-06-15&amp;return_date=2026-06-22&amp;currency=EUR&amp;startStation=90&amp;endStation=59",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Bélgica</t>
        </is>
      </c>
      <c r="D45" t="inlineStr">
        <is>
          <t>Amberes</t>
        </is>
      </c>
      <c r="E45" t="inlineStr">
        <is>
          <t>2026-06-22</t>
        </is>
      </c>
      <c r="F45" t="inlineStr">
        <is>
          <t>2026-06-29</t>
        </is>
      </c>
      <c r="G45" t="inlineStr">
        <is>
          <t xml:space="preserve"> - Camper Cabin</t>
        </is>
      </c>
      <c r="H45">
        <f>HYPERLINK("https://booking.roadsurfer.com/es/rally/pick?pickup_date=2026-06-22&amp;return_date=2026-06-29&amp;currency=EUR&amp;startStation=90&amp;endStation=47",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Francia</t>
        </is>
      </c>
      <c r="D46" t="inlineStr">
        <is>
          <t>Lyon</t>
        </is>
      </c>
      <c r="E46" t="inlineStr">
        <is>
          <t>2026-06-29</t>
        </is>
      </c>
      <c r="F46" t="inlineStr">
        <is>
          <t>2026-07-06</t>
        </is>
      </c>
      <c r="G46" t="inlineStr">
        <is>
          <t xml:space="preserve"> - Camper Cabin</t>
        </is>
      </c>
      <c r="H46">
        <f>HYPERLINK("https://booking.roadsurfer.com/es/rally/pick?pickup_date=2026-06-29&amp;return_date=2026-07-06&amp;currency=EUR&amp;startStation=90&amp;endStation=15",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Couple Cottage</t>
        </is>
      </c>
      <c r="H47">
        <f>HYPERLINK("https://booking.roadsurfer.com/es/rally/pick?pickup_date=2026-06-22&amp;return_date=2026-06-29&amp;currency=EUR&amp;startStation=90&amp;endStation=38", "Clic para verlo en la web de RoadSurfer")</f>
        <v/>
      </c>
    </row>
    <row r="48">
      <c r="A48" t="inlineStr">
        <is>
          <t>Alemania</t>
        </is>
      </c>
      <c r="B48" t="inlineStr">
        <is>
          <t>Flensburgo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2026-06-20</t>
        </is>
      </c>
      <c r="F48" t="inlineStr">
        <is>
          <t>2026-06-27</t>
        </is>
      </c>
      <c r="G48" t="inlineStr">
        <is>
          <t xml:space="preserve"> - Road House</t>
        </is>
      </c>
      <c r="H48">
        <f>HYPERLINK("https://booking.roadsurfer.com/es/rally/pick?pickup_date=2026-06-20&amp;return_date=2026-06-27&amp;currency=EUR&amp;startStation=130&amp;endStation=13", "Clic para verlo en la web de RoadSurfer")</f>
        <v/>
      </c>
    </row>
    <row r="49">
      <c r="A49" t="inlineStr">
        <is>
          <t>Alemania</t>
        </is>
      </c>
      <c r="B49" t="inlineStr">
        <is>
          <t>Fráncfort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2026-06-30</t>
        </is>
      </c>
      <c r="F49" t="inlineStr">
        <is>
          <t>2026-07-07</t>
        </is>
      </c>
      <c r="G49" t="inlineStr">
        <is>
          <t xml:space="preserve"> - Camper Cabin</t>
        </is>
      </c>
      <c r="H49">
        <f>HYPERLINK("https://booking.roadsurfer.com/es/rally/pick?pickup_date=2026-06-30&amp;return_date=2026-07-07&amp;currency=EUR&amp;startStation=2&amp;endStation=12", "Clic para verlo en la web de RoadSurfer")</f>
        <v/>
      </c>
    </row>
    <row r="50">
      <c r="A50" t="inlineStr">
        <is>
          <t>Alemania</t>
        </is>
      </c>
      <c r="B50" t="inlineStr">
        <is>
          <t>Fráncfort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2026-07-06</t>
        </is>
      </c>
      <c r="F50" t="inlineStr">
        <is>
          <t>2026-07-13</t>
        </is>
      </c>
      <c r="G50" t="inlineStr">
        <is>
          <t xml:space="preserve"> - Road House</t>
        </is>
      </c>
      <c r="H50">
        <f>HYPERLINK("https://booking.roadsurfer.com/es/rally/pick?pickup_date=2026-07-06&amp;return_date=2026-07-13&amp;currency=EUR&amp;startStation=2&amp;endStation=48", "Clic para verlo en la web de RoadSurfer")</f>
        <v/>
      </c>
    </row>
    <row r="51">
      <c r="A51" t="inlineStr">
        <is>
          <t>Alemania</t>
        </is>
      </c>
      <c r="B51" t="inlineStr">
        <is>
          <t>Fráncfort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2026-06-26</t>
        </is>
      </c>
      <c r="F51" t="inlineStr">
        <is>
          <t>2026-07-03</t>
        </is>
      </c>
      <c r="G51" t="inlineStr">
        <is>
          <t xml:space="preserve"> - Camper Castle</t>
        </is>
      </c>
      <c r="H51">
        <f>HYPERLINK("https://booking.roadsurfer.com/es/rally/pick?pickup_date=2026-06-26&amp;return_date=2026-07-03&amp;currency=EUR&amp;startStation=2&amp;endStation=42", "Clic para verlo en la web de RoadSurfer")</f>
        <v/>
      </c>
    </row>
    <row r="52">
      <c r="A52" t="inlineStr">
        <is>
          <t>Alemania</t>
        </is>
      </c>
      <c r="B52" t="inlineStr">
        <is>
          <t>Fráncfort</t>
        </is>
      </c>
      <c r="C52" t="inlineStr">
        <is>
          <t>España</t>
        </is>
      </c>
      <c r="D52" t="inlineStr">
        <is>
          <t>Sevilla</t>
        </is>
      </c>
      <c r="E52" t="inlineStr">
        <is>
          <t>2026-07-07</t>
        </is>
      </c>
      <c r="F52" t="inlineStr">
        <is>
          <t>2026-07-14</t>
        </is>
      </c>
      <c r="G52" t="inlineStr"/>
      <c r="H52">
        <f>HYPERLINK("https://booking.roadsurfer.com/es/rally/pick?pickup_date=2026-07-07&amp;return_date=2026-07-14&amp;currency=EUR&amp;startStation=2&amp;endStation=39", "Clic para verlo en la web de RoadSurfer")</f>
        <v/>
      </c>
    </row>
    <row r="53">
      <c r="A53" t="inlineStr">
        <is>
          <t>Alemania</t>
        </is>
      </c>
      <c r="B53" t="inlineStr">
        <is>
          <t>Friburgo-Basilea (Alemania)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2026-07-02</t>
        </is>
      </c>
      <c r="F53" t="inlineStr">
        <is>
          <t>2026-07-09</t>
        </is>
      </c>
      <c r="G53" t="inlineStr">
        <is>
          <t xml:space="preserve"> - Camper Cabin</t>
        </is>
      </c>
      <c r="H53">
        <f>HYPERLINK("https://booking.roadsurfer.com/es/rally/pick?pickup_date=2026-07-02&amp;return_date=2026-07-09&amp;currency=EUR&amp;startStation=9&amp;endStation=47", "Clic para verlo en la web de RoadSurfer")</f>
        <v/>
      </c>
    </row>
    <row r="54">
      <c r="A54" t="inlineStr">
        <is>
          <t>Alemania</t>
        </is>
      </c>
      <c r="B54" t="inlineStr">
        <is>
          <t>Friburgo-Basilea (Alemania)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2026-06-25</t>
        </is>
      </c>
      <c r="F54" t="inlineStr">
        <is>
          <t>2026-07-02</t>
        </is>
      </c>
      <c r="G54" t="inlineStr">
        <is>
          <t xml:space="preserve"> - Road House</t>
        </is>
      </c>
      <c r="H54">
        <f>HYPERLINK("https://booking.roadsurfer.com/es/rally/pick?pickup_date=2026-06-25&amp;return_date=2026-07-02&amp;currency=EUR&amp;startStation=9&amp;endStation=40",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Camper Cabin Deluxe</t>
        </is>
      </c>
      <c r="H55">
        <f>HYPERLINK("https://booking.roadsurfer.com/es/rally/pick?pickup_date=2026-06-18&amp;return_date=2026-06-25&amp;currency=EUR&amp;startStation=29&amp;endStation=8", "Clic para verlo en la web de RoadSurfer")</f>
        <v/>
      </c>
    </row>
    <row r="56">
      <c r="A56" t="inlineStr">
        <is>
          <t>Francia</t>
        </is>
      </c>
      <c r="B56" t="inlineStr">
        <is>
          <t>Ginebra-Pays de Gex (Francia)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Family Finca</t>
        </is>
      </c>
      <c r="H56">
        <f>HYPERLINK("https://booking.roadsurfer.com/es/rally/pick?pickup_date=2026-06-17&amp;return_date=2026-06-24&amp;currency=EUR&amp;startStation=29&amp;endStation=91", "Clic para verlo en la web de RoadSurfer")</f>
        <v/>
      </c>
    </row>
    <row r="57">
      <c r="A57" t="inlineStr">
        <is>
          <t>Alemania</t>
        </is>
      </c>
      <c r="B57" t="inlineStr">
        <is>
          <t>Hamburgo</t>
        </is>
      </c>
      <c r="C57" t="inlineStr">
        <is>
          <t>Francia</t>
        </is>
      </c>
      <c r="D57" t="inlineStr">
        <is>
          <t>Lyon</t>
        </is>
      </c>
      <c r="E57" t="inlineStr">
        <is>
          <t>2026-06-17</t>
        </is>
      </c>
      <c r="F57" t="inlineStr">
        <is>
          <t>2026-06-24</t>
        </is>
      </c>
      <c r="G57" t="inlineStr">
        <is>
          <t xml:space="preserve"> - Travel Home</t>
        </is>
      </c>
      <c r="H57">
        <f>HYPERLINK("https://booking.roadsurfer.com/es/rally/pick?pickup_date=2026-06-17&amp;return_date=2026-06-24&amp;currency=EUR&amp;startStation=3&amp;endStation=15", "Clic para verlo en la web de RoadSurfer")</f>
        <v/>
      </c>
    </row>
    <row r="58">
      <c r="A58" t="inlineStr">
        <is>
          <t>Alemania</t>
        </is>
      </c>
      <c r="B58" t="inlineStr">
        <is>
          <t>Hamburgo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Family Finca</t>
        </is>
      </c>
      <c r="H58">
        <f>HYPERLINK("https://booking.roadsurfer.com/es/rally/pick?pickup_date=2026-06-22&amp;return_date=2026-06-29&amp;currency=EUR&amp;startStation=3&amp;endStation=13", "Clic para verlo en la web de RoadSurfer")</f>
        <v/>
      </c>
    </row>
    <row r="59">
      <c r="A59" t="inlineStr">
        <is>
          <t>Alemania</t>
        </is>
      </c>
      <c r="B59" t="inlineStr">
        <is>
          <t>Hannover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Travel Home</t>
        </is>
      </c>
      <c r="H59">
        <f>HYPERLINK("https://booking.roadsurfer.com/es/rally/pick?pickup_date=2026-06-22&amp;return_date=2026-06-29&amp;currency=EUR&amp;startStation=7&amp;endStation=12", "Clic para verlo en la web de RoadSurfer")</f>
        <v/>
      </c>
    </row>
    <row r="60">
      <c r="A60" t="inlineStr">
        <is>
          <t>Alemania</t>
        </is>
      </c>
      <c r="B60" t="inlineStr">
        <is>
          <t>Hannover</t>
        </is>
      </c>
      <c r="C60" t="inlineStr">
        <is>
          <t>Francia</t>
        </is>
      </c>
      <c r="D60" t="inlineStr">
        <is>
          <t>Toulouse</t>
        </is>
      </c>
      <c r="E60" t="inlineStr">
        <is>
          <t>2026-06-18</t>
        </is>
      </c>
      <c r="F60" t="inlineStr">
        <is>
          <t>2026-06-25</t>
        </is>
      </c>
      <c r="G60" t="inlineStr">
        <is>
          <t xml:space="preserve"> - Surfer Suite</t>
        </is>
      </c>
      <c r="H60">
        <f>HYPERLINK("https://booking.roadsurfer.com/es/rally/pick?pickup_date=2026-06-18&amp;return_date=2026-06-25&amp;currency=EUR&amp;startStation=7&amp;endStation=30", "Clic para verlo en la web de RoadSurfer")</f>
        <v/>
      </c>
    </row>
    <row r="61">
      <c r="A61" t="inlineStr">
        <is>
          <t>Alemania</t>
        </is>
      </c>
      <c r="B61" t="inlineStr">
        <is>
          <t>Hannover</t>
        </is>
      </c>
      <c r="C61" t="inlineStr">
        <is>
          <t>Italia</t>
        </is>
      </c>
      <c r="D61" t="inlineStr">
        <is>
          <t>Turín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Beach Hostel</t>
        </is>
      </c>
      <c r="H61">
        <f>HYPERLINK("https://booking.roadsurfer.com/es/rally/pick?pickup_date=2026-06-15&amp;return_date=2026-06-22&amp;currency=EUR&amp;startStation=7&amp;endStation=58", "Clic para verlo en la web de RoadSurfer")</f>
        <v/>
      </c>
    </row>
    <row r="62">
      <c r="A62" t="inlineStr">
        <is>
          <t>Alemania</t>
        </is>
      </c>
      <c r="B62" t="inlineStr">
        <is>
          <t>Hannover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2026-06-18</t>
        </is>
      </c>
      <c r="F62" t="inlineStr">
        <is>
          <t>2026-06-25</t>
        </is>
      </c>
      <c r="G62" t="inlineStr">
        <is>
          <t xml:space="preserve"> - Beach Hostel</t>
        </is>
      </c>
      <c r="H62">
        <f>HYPERLINK("https://booking.roadsurfer.com/es/rally/pick?pickup_date=2026-06-18&amp;return_date=2026-06-25&amp;currency=EUR&amp;startStation=7&amp;endStation=34", "Clic para verlo en la web de RoadSurfer")</f>
        <v/>
      </c>
    </row>
    <row r="63">
      <c r="A63" t="inlineStr">
        <is>
          <t>Alemania</t>
        </is>
      </c>
      <c r="B63" t="inlineStr">
        <is>
          <t>Hannover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2026-06-24</t>
        </is>
      </c>
      <c r="F63" t="inlineStr">
        <is>
          <t>2026-07-01</t>
        </is>
      </c>
      <c r="G63" t="inlineStr">
        <is>
          <t xml:space="preserve"> - Sunrise Suite</t>
        </is>
      </c>
      <c r="H63">
        <f>HYPERLINK("https://booking.roadsurfer.com/es/rally/pick?pickup_date=2026-06-24&amp;return_date=2026-07-01&amp;currency=EUR&amp;startStation=7&amp;endStation=34", "Clic para verlo en la web de RoadSurfer")</f>
        <v/>
      </c>
    </row>
    <row r="64">
      <c r="A64" t="inlineStr">
        <is>
          <t>Alemania</t>
        </is>
      </c>
      <c r="B64" t="inlineStr">
        <is>
          <t>Hannover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2026-06-24</t>
        </is>
      </c>
      <c r="F64" t="inlineStr">
        <is>
          <t>2026-07-01</t>
        </is>
      </c>
      <c r="G64" t="inlineStr">
        <is>
          <t xml:space="preserve"> - Sunrise Suite</t>
        </is>
      </c>
      <c r="H64">
        <f>HYPERLINK("https://booking.roadsurfer.com/es/rally/pick?pickup_date=2026-06-24&amp;return_date=2026-07-01&amp;currency=EUR&amp;startStation=7&amp;endStation=42", "Clic para verlo en la web de RoadSurfer")</f>
        <v/>
      </c>
    </row>
    <row r="65">
      <c r="A65" t="inlineStr">
        <is>
          <t>Alemania</t>
        </is>
      </c>
      <c r="B65" t="inlineStr">
        <is>
          <t>Heidelberg</t>
        </is>
      </c>
      <c r="C65" t="inlineStr">
        <is>
          <t>España</t>
        </is>
      </c>
      <c r="D65" t="inlineStr">
        <is>
          <t>Madrid</t>
        </is>
      </c>
      <c r="E65" t="inlineStr">
        <is>
          <t>2026-06-17</t>
        </is>
      </c>
      <c r="F65" t="inlineStr">
        <is>
          <t>2026-06-24</t>
        </is>
      </c>
      <c r="G65" t="inlineStr">
        <is>
          <t xml:space="preserve"> - Surfer Suite</t>
        </is>
      </c>
      <c r="H65">
        <f>HYPERLINK("https://booking.roadsurfer.com/es/rally/pick?pickup_date=2026-06-17&amp;return_date=2026-06-24&amp;currency=EUR&amp;startStation=79&amp;endStation=20", "Clic para verlo en la web de RoadSurfer")</f>
        <v/>
      </c>
    </row>
    <row r="66">
      <c r="A66" t="inlineStr">
        <is>
          <t>Alemania</t>
        </is>
      </c>
      <c r="B66" t="inlineStr">
        <is>
          <t>Heidelberg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2026-06-22</t>
        </is>
      </c>
      <c r="F66" t="inlineStr">
        <is>
          <t>2026-06-29</t>
        </is>
      </c>
      <c r="G66" t="inlineStr">
        <is>
          <t xml:space="preserve"> - No hay coche</t>
        </is>
      </c>
      <c r="H66">
        <f>HYPERLINK("https://booking.roadsurfer.com/es/rally/pick?pickup_date=2026-06-22&amp;return_date=2026-06-29&amp;currency=EUR&amp;startStation=79&amp;endStation=130", "Clic para verlo en la web de RoadSurfer")</f>
        <v/>
      </c>
    </row>
    <row r="67">
      <c r="A67" t="inlineStr">
        <is>
          <t>Austria</t>
        </is>
      </c>
      <c r="B67" t="inlineStr">
        <is>
          <t>Innsbruck-Wiesing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2026-06-18</t>
        </is>
      </c>
      <c r="F67" t="inlineStr">
        <is>
          <t>2026-06-25</t>
        </is>
      </c>
      <c r="G67" t="inlineStr">
        <is>
          <t xml:space="preserve"> - Surfer Suite</t>
        </is>
      </c>
      <c r="H67">
        <f>HYPERLINK("https://booking.roadsurfer.com/es/rally/pick?pickup_date=2026-06-18&amp;return_date=2026-06-25&amp;currency=EUR&amp;startStation=46&amp;endStation=42", "Clic para verlo en la web de RoadSurfer")</f>
        <v/>
      </c>
    </row>
    <row r="68">
      <c r="A68" t="inlineStr">
        <is>
          <t>Alemania</t>
        </is>
      </c>
      <c r="B68" t="inlineStr">
        <is>
          <t>Kassel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2026-06-19</t>
        </is>
      </c>
      <c r="F68" t="inlineStr">
        <is>
          <t>2026-06-26</t>
        </is>
      </c>
      <c r="G68" t="inlineStr">
        <is>
          <t xml:space="preserve"> - Beach Hostel</t>
        </is>
      </c>
      <c r="H68">
        <f>HYPERLINK("https://booking.roadsurfer.com/es/rally/pick?pickup_date=2026-06-19&amp;return_date=2026-06-26&amp;currency=EUR&amp;startStation=92&amp;endStation=13", "Clic para verlo en la web de RoadSurfer")</f>
        <v/>
      </c>
    </row>
    <row r="69">
      <c r="A69" t="inlineStr">
        <is>
          <t>Alemania</t>
        </is>
      </c>
      <c r="B69" t="inlineStr">
        <is>
          <t>Kassel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2026-06-17</t>
        </is>
      </c>
      <c r="F69" t="inlineStr">
        <is>
          <t>2026-06-24</t>
        </is>
      </c>
      <c r="G69" t="inlineStr">
        <is>
          <t xml:space="preserve"> - Surfer Suite</t>
        </is>
      </c>
      <c r="H69">
        <f>HYPERLINK("https://booking.roadsurfer.com/es/rally/pick?pickup_date=2026-06-17&amp;return_date=2026-06-24&amp;currency=EUR&amp;startStation=92&amp;endStation=30", "Clic para verlo en la web de RoadSurfer")</f>
        <v/>
      </c>
    </row>
    <row r="70">
      <c r="A70" t="inlineStr">
        <is>
          <t>Alemania</t>
        </is>
      </c>
      <c r="B70" t="inlineStr">
        <is>
          <t>Kassel</t>
        </is>
      </c>
      <c r="C70" t="inlineStr">
        <is>
          <t>Italia</t>
        </is>
      </c>
      <c r="D70" t="inlineStr">
        <is>
          <t>Bérgamo</t>
        </is>
      </c>
      <c r="E70" t="inlineStr">
        <is>
          <t>2026-06-22</t>
        </is>
      </c>
      <c r="F70" t="inlineStr">
        <is>
          <t>2026-06-29</t>
        </is>
      </c>
      <c r="G70" t="inlineStr">
        <is>
          <t xml:space="preserve"> - Surfer Suite</t>
        </is>
      </c>
      <c r="H70">
        <f>HYPERLINK("https://booking.roadsurfer.com/es/rally/pick?pickup_date=2026-06-22&amp;return_date=2026-06-29&amp;currency=EUR&amp;startStation=92&amp;endStation=94", "Clic para verlo en la web de RoadSurfer")</f>
        <v/>
      </c>
    </row>
    <row r="71">
      <c r="A71" t="inlineStr">
        <is>
          <t>Alemania</t>
        </is>
      </c>
      <c r="B71" t="inlineStr">
        <is>
          <t>Kiel</t>
        </is>
      </c>
      <c r="C71" t="inlineStr">
        <is>
          <t>Francia</t>
        </is>
      </c>
      <c r="D71" t="inlineStr">
        <is>
          <t>Ginebra-Pays de Gex (Francia)</t>
        </is>
      </c>
      <c r="E71" t="inlineStr">
        <is>
          <t>2026-06-17</t>
        </is>
      </c>
      <c r="F71" t="inlineStr">
        <is>
          <t>2026-06-24</t>
        </is>
      </c>
      <c r="G71" t="inlineStr">
        <is>
          <t xml:space="preserve"> - Sunrise Suite</t>
        </is>
      </c>
      <c r="H71">
        <f>HYPERLINK("https://booking.roadsurfer.com/es/rally/pick?pickup_date=2026-06-17&amp;return_date=2026-06-24&amp;currency=EUR&amp;startStation=111&amp;endStation=29", "Clic para verlo en la web de RoadSurfer")</f>
        <v/>
      </c>
    </row>
    <row r="72">
      <c r="A72" t="inlineStr">
        <is>
          <t>EE.UU.</t>
        </is>
      </c>
      <c r="B72" t="inlineStr">
        <is>
          <t>Las Vegas</t>
        </is>
      </c>
      <c r="C72" t="inlineStr">
        <is>
          <t>EE.UU.</t>
        </is>
      </c>
      <c r="D72" t="inlineStr">
        <is>
          <t>Dallas</t>
        </is>
      </c>
      <c r="E72" t="inlineStr">
        <is>
          <t>2026-07-06</t>
        </is>
      </c>
      <c r="F72" t="inlineStr">
        <is>
          <t>2026-07-13</t>
        </is>
      </c>
      <c r="G72" t="inlineStr">
        <is>
          <t xml:space="preserve"> - Liberty Lodge - Couple Condo</t>
        </is>
      </c>
      <c r="H72">
        <f>HYPERLINK("https://booking.roadsurfer.com/es/rally/pick?pickup_date=2026-07-06&amp;return_date=2026-07-13&amp;currency=EUR&amp;startStation=76&amp;endStation=125", "Clic para verlo en la web de RoadSurfer")</f>
        <v/>
      </c>
    </row>
    <row r="73">
      <c r="A73" t="inlineStr">
        <is>
          <t>Alemania</t>
        </is>
      </c>
      <c r="B73" t="inlineStr">
        <is>
          <t>Leipzig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2026-06-18</t>
        </is>
      </c>
      <c r="F73" t="inlineStr">
        <is>
          <t>2026-06-25</t>
        </is>
      </c>
      <c r="G73" t="inlineStr">
        <is>
          <t xml:space="preserve"> - Surfer Suite</t>
        </is>
      </c>
      <c r="H73">
        <f>HYPERLINK("https://booking.roadsurfer.com/es/rally/pick?pickup_date=2026-06-18&amp;return_date=2026-06-25&amp;currency=EUR&amp;startStation=8&amp;endStation=13", "Clic para verlo en la web de RoadSurfer")</f>
        <v/>
      </c>
    </row>
    <row r="74">
      <c r="A74" t="inlineStr">
        <is>
          <t>Alemania</t>
        </is>
      </c>
      <c r="B74" t="inlineStr">
        <is>
          <t>Leipzig</t>
        </is>
      </c>
      <c r="C74" t="inlineStr">
        <is>
          <t>Francia</t>
        </is>
      </c>
      <c r="D74" t="inlineStr">
        <is>
          <t>Burdeos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Road House</t>
        </is>
      </c>
      <c r="H74">
        <f>HYPERLINK("https://booking.roadsurfer.com/es/rally/pick?pickup_date=2026-06-17&amp;return_date=2026-06-24&amp;currency=EUR&amp;startStation=8&amp;endStation=13", "Clic para verlo en la web de RoadSurfer")</f>
        <v/>
      </c>
    </row>
    <row r="75">
      <c r="A75" t="inlineStr">
        <is>
          <t>Alemania</t>
        </is>
      </c>
      <c r="B75" t="inlineStr">
        <is>
          <t>Leipzig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No hay coche</t>
        </is>
      </c>
      <c r="H75">
        <f>HYPERLINK("https://booking.roadsurfer.com/es/rally/pick?pickup_date=2026-06-22&amp;return_date=2026-06-29&amp;currency=EUR&amp;startStation=8&amp;endStation=60", "Clic para verlo en la web de RoadSurfer")</f>
        <v/>
      </c>
    </row>
    <row r="76">
      <c r="A76" t="inlineStr">
        <is>
          <t>Alemania</t>
        </is>
      </c>
      <c r="B76" t="inlineStr">
        <is>
          <t>Lindau-Wangen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2026-06-18</t>
        </is>
      </c>
      <c r="F76" t="inlineStr">
        <is>
          <t>2026-06-25</t>
        </is>
      </c>
      <c r="G76" t="inlineStr">
        <is>
          <t xml:space="preserve"> - Surfer Suite</t>
        </is>
      </c>
      <c r="H76">
        <f>HYPERLINK("https://booking.roadsurfer.com/es/rally/pick?pickup_date=2026-06-18&amp;return_date=2026-06-25&amp;currency=EUR&amp;startStation=117&amp;endStation=31", "Clic para verlo en la web de RoadSurfer")</f>
        <v/>
      </c>
    </row>
    <row r="77">
      <c r="A77" t="inlineStr">
        <is>
          <t>Alemania</t>
        </is>
      </c>
      <c r="B77" t="inlineStr">
        <is>
          <t>Lindau-Wangen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2026-06-22</t>
        </is>
      </c>
      <c r="F77" t="inlineStr">
        <is>
          <t>2026-06-29</t>
        </is>
      </c>
      <c r="G77" t="inlineStr">
        <is>
          <t xml:space="preserve"> - Travel Home</t>
        </is>
      </c>
      <c r="H77">
        <f>HYPERLINK("https://booking.roadsurfer.com/es/rally/pick?pickup_date=2026-06-22&amp;return_date=2026-06-29&amp;currency=EUR&amp;startStation=117&amp;endStation=30", "Clic para verlo en la web de RoadSurfer")</f>
        <v/>
      </c>
    </row>
    <row r="78">
      <c r="A78" t="inlineStr">
        <is>
          <t>Alemania</t>
        </is>
      </c>
      <c r="B78" t="inlineStr">
        <is>
          <t>Lindau-Wangen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2026-06-29</t>
        </is>
      </c>
      <c r="F78" t="inlineStr">
        <is>
          <t>2026-07-06</t>
        </is>
      </c>
      <c r="G78" t="inlineStr">
        <is>
          <t xml:space="preserve"> - No hay coche</t>
        </is>
      </c>
      <c r="H78">
        <f>HYPERLINK("https://booking.roadsurfer.com/es/rally/pick?pickup_date=2026-06-29&amp;return_date=2026-07-06&amp;currency=EUR&amp;startStation=117&amp;endStation=30", "Clic para verlo en la web de RoadSurfer")</f>
        <v/>
      </c>
    </row>
    <row r="79">
      <c r="A79" t="inlineStr">
        <is>
          <t>Alemania</t>
        </is>
      </c>
      <c r="B79" t="inlineStr">
        <is>
          <t>Lindau-Wangen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2026-07-13</t>
        </is>
      </c>
      <c r="F79" t="inlineStr">
        <is>
          <t>2026-07-20</t>
        </is>
      </c>
      <c r="G79" t="inlineStr"/>
      <c r="H79">
        <f>HYPERLINK("https://booking.roadsurfer.com/es/rally/pick?pickup_date=2026-07-13&amp;return_date=2026-07-20&amp;currency=EUR&amp;startStation=117&amp;endStation=91", "Clic para verlo en la web de RoadSurfer")</f>
        <v/>
      </c>
    </row>
    <row r="80">
      <c r="A80" t="inlineStr">
        <is>
          <t>Alemania</t>
        </is>
      </c>
      <c r="B80" t="inlineStr">
        <is>
          <t>Lindau-Wangen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2026-07-02</t>
        </is>
      </c>
      <c r="F80" t="inlineStr">
        <is>
          <t>2026-07-09</t>
        </is>
      </c>
      <c r="G80" t="inlineStr">
        <is>
          <t xml:space="preserve"> - Cozy Cottage</t>
        </is>
      </c>
      <c r="H80">
        <f>HYPERLINK("https://booking.roadsurfer.com/es/rally/pick?pickup_date=2026-07-02&amp;return_date=2026-07-09&amp;currency=EUR&amp;startStation=117&amp;endStation=55", "Clic para verlo en la web de RoadSurfer")</f>
        <v/>
      </c>
    </row>
    <row r="81">
      <c r="A81" t="inlineStr">
        <is>
          <t>Reino Unido</t>
        </is>
      </c>
      <c r="B81" t="inlineStr">
        <is>
          <t>Londres</t>
        </is>
      </c>
      <c r="C81" t="inlineStr">
        <is>
          <t>Reino Unido</t>
        </is>
      </c>
      <c r="D81" t="inlineStr">
        <is>
          <t>Mánchester</t>
        </is>
      </c>
      <c r="E81" t="inlineStr">
        <is>
          <t>2026-06-29</t>
        </is>
      </c>
      <c r="F81" t="inlineStr">
        <is>
          <t>2026-07-06</t>
        </is>
      </c>
      <c r="G81" t="inlineStr">
        <is>
          <t xml:space="preserve"> - No hay coche</t>
        </is>
      </c>
      <c r="H81">
        <f>HYPERLINK("https://booking.roadsurfer.com/es/rally/pick?pickup_date=2026-06-29&amp;return_date=2026-07-06&amp;currency=EUR&amp;startStation=63&amp;endStation=99", "Clic para verlo en la web de RoadSurfer")</f>
        <v/>
      </c>
    </row>
    <row r="82">
      <c r="A82" t="inlineStr">
        <is>
          <t>Reino Unido</t>
        </is>
      </c>
      <c r="B82" t="inlineStr">
        <is>
          <t>Londres</t>
        </is>
      </c>
      <c r="C82" t="inlineStr">
        <is>
          <t>Reino Unido</t>
        </is>
      </c>
      <c r="D82" t="inlineStr">
        <is>
          <t>Edimburgo</t>
        </is>
      </c>
      <c r="E82" t="inlineStr">
        <is>
          <t>2026-06-24</t>
        </is>
      </c>
      <c r="F82" t="inlineStr">
        <is>
          <t>2026-07-01</t>
        </is>
      </c>
      <c r="G82" t="inlineStr">
        <is>
          <t xml:space="preserve"> - No hay coche</t>
        </is>
      </c>
      <c r="H82">
        <f>HYPERLINK("https://booking.roadsurfer.com/es/rally/pick?pickup_date=2026-06-24&amp;return_date=2026-07-01&amp;currency=EUR&amp;startStation=63&amp;endStation=64", "Clic para verlo en la web de RoadSurfer")</f>
        <v/>
      </c>
    </row>
    <row r="83">
      <c r="A83" t="inlineStr">
        <is>
          <t>EE.UU.</t>
        </is>
      </c>
      <c r="B83" t="inlineStr">
        <is>
          <t>Los Ángeles</t>
        </is>
      </c>
      <c r="C83" t="inlineStr">
        <is>
          <t>EE.UU.</t>
        </is>
      </c>
      <c r="D83" t="inlineStr">
        <is>
          <t>San Francisco</t>
        </is>
      </c>
      <c r="E83" t="inlineStr">
        <is>
          <t>2026-07-21</t>
        </is>
      </c>
      <c r="F83" t="inlineStr">
        <is>
          <t>2026-07-28</t>
        </is>
      </c>
      <c r="G83" t="inlineStr">
        <is>
          <t xml:space="preserve"> - Couple Condo</t>
        </is>
      </c>
      <c r="H83">
        <f>HYPERLINK("https://booking.roadsurfer.com/es/rally/pick?pickup_date=2026-07-21&amp;return_date=2026-07-28&amp;currency=EUR&amp;startStation=72&amp;endStation=75", "Clic para verlo en la web de RoadSurfer")</f>
        <v/>
      </c>
    </row>
    <row r="84">
      <c r="A84" t="inlineStr">
        <is>
          <t>Alemania</t>
        </is>
      </c>
      <c r="B84" t="inlineStr">
        <is>
          <t>Lübeck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2026-06-22</t>
        </is>
      </c>
      <c r="F84" t="inlineStr">
        <is>
          <t>2026-06-29</t>
        </is>
      </c>
      <c r="G84" t="inlineStr">
        <is>
          <t xml:space="preserve"> - Surfer Suite</t>
        </is>
      </c>
      <c r="H84">
        <f>HYPERLINK("https://booking.roadsurfer.com/es/rally/pick?pickup_date=2026-06-22&amp;return_date=2026-06-29&amp;currency=EUR&amp;startStation=109&amp;endStation=4", "Clic para verlo en la web de RoadSurfer")</f>
        <v/>
      </c>
    </row>
    <row r="85">
      <c r="A85" t="inlineStr">
        <is>
          <t>Alemania</t>
        </is>
      </c>
      <c r="B85" t="inlineStr">
        <is>
          <t>Lübeck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Camper Castle</t>
        </is>
      </c>
      <c r="H85">
        <f>HYPERLINK("https://booking.roadsurfer.com/es/rally/pick?pickup_date=2026-06-15&amp;return_date=2026-06-22&amp;currency=EUR&amp;startStation=109&amp;endStation=59", "Clic para verlo en la web de RoadSurfer")</f>
        <v/>
      </c>
    </row>
    <row r="86">
      <c r="A86" t="inlineStr">
        <is>
          <t>España</t>
        </is>
      </c>
      <c r="B86" t="inlineStr">
        <is>
          <t>Madrid</t>
        </is>
      </c>
      <c r="C86" t="inlineStr">
        <is>
          <t>Alemania</t>
        </is>
      </c>
      <c r="D86" t="inlineStr">
        <is>
          <t>Heidelberg</t>
        </is>
      </c>
      <c r="E86" t="inlineStr">
        <is>
          <t>2026-06-13</t>
        </is>
      </c>
      <c r="F86" t="inlineStr">
        <is>
          <t>2026-06-20</t>
        </is>
      </c>
      <c r="G86" t="inlineStr">
        <is>
          <t xml:space="preserve"> - Travel Home</t>
        </is>
      </c>
      <c r="H86">
        <f>HYPERLINK("https://booking.roadsurfer.com/es/rally/pick?pickup_date=2026-06-13&amp;return_date=2026-06-20&amp;currency=EUR&amp;startStation=20&amp;endStation=79", "Clic para verlo en la web de RoadSurfer")</f>
        <v/>
      </c>
    </row>
    <row r="87">
      <c r="A87" t="inlineStr">
        <is>
          <t>Alemania</t>
        </is>
      </c>
      <c r="B87" t="inlineStr">
        <is>
          <t>Maguncia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2026-06-18</t>
        </is>
      </c>
      <c r="F87" t="inlineStr">
        <is>
          <t>2026-06-25</t>
        </is>
      </c>
      <c r="G87" t="inlineStr">
        <is>
          <t xml:space="preserve"> - Beach Hostel</t>
        </is>
      </c>
      <c r="H87">
        <f>HYPERLINK("https://booking.roadsurfer.com/es/rally/pick?pickup_date=2026-06-18&amp;return_date=2026-06-25&amp;currency=EUR&amp;startStation=54&amp;endStation=48", "Clic para verlo en la web de RoadSurfer")</f>
        <v/>
      </c>
    </row>
    <row r="88">
      <c r="A88" t="inlineStr">
        <is>
          <t>Alemania</t>
        </is>
      </c>
      <c r="B88" t="inlineStr">
        <is>
          <t>Maguncia</t>
        </is>
      </c>
      <c r="C88" t="inlineStr">
        <is>
          <t>Francia</t>
        </is>
      </c>
      <c r="D88" t="inlineStr">
        <is>
          <t>Lille</t>
        </is>
      </c>
      <c r="E88" t="inlineStr">
        <is>
          <t>2026-06-16</t>
        </is>
      </c>
      <c r="F88" t="inlineStr">
        <is>
          <t>2026-06-23</t>
        </is>
      </c>
      <c r="G88" t="inlineStr">
        <is>
          <t xml:space="preserve"> - Cozy Cottage</t>
        </is>
      </c>
      <c r="H88">
        <f>HYPERLINK("https://booking.roadsurfer.com/es/rally/pick?pickup_date=2026-06-16&amp;return_date=2026-06-23&amp;currency=EUR&amp;startStation=54&amp;endStation=87", "Clic para verlo en la web de RoadSurfer")</f>
        <v/>
      </c>
    </row>
    <row r="89">
      <c r="A89" t="inlineStr">
        <is>
          <t>Alemania</t>
        </is>
      </c>
      <c r="B89" t="inlineStr">
        <is>
          <t>Maguncia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2026-06-17</t>
        </is>
      </c>
      <c r="F89" t="inlineStr">
        <is>
          <t>2026-06-24</t>
        </is>
      </c>
      <c r="G89" t="inlineStr">
        <is>
          <t xml:space="preserve"> - Surfer Suite</t>
        </is>
      </c>
      <c r="H89">
        <f>HYPERLINK("https://booking.roadsurfer.com/es/rally/pick?pickup_date=2026-06-17&amp;return_date=2026-06-24&amp;currency=EUR&amp;startStation=54&amp;endStation=59", "Clic para verlo en la web de RoadSurfer")</f>
        <v/>
      </c>
    </row>
    <row r="90">
      <c r="A90" t="inlineStr">
        <is>
          <t>Alemania</t>
        </is>
      </c>
      <c r="B90" t="inlineStr">
        <is>
          <t>Maguncia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Surfer Suite</t>
        </is>
      </c>
      <c r="H90">
        <f>HYPERLINK("https://booking.roadsurfer.com/es/rally/pick?pickup_date=2026-06-22&amp;return_date=2026-06-29&amp;currency=EUR&amp;startStation=54&amp;endStation=32", "Clic para verlo en la web de RoadSurfer")</f>
        <v/>
      </c>
    </row>
    <row r="91">
      <c r="A91" t="inlineStr">
        <is>
          <t>Alemania</t>
        </is>
      </c>
      <c r="B91" t="inlineStr">
        <is>
          <t>Maguncia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2026-06-22</t>
        </is>
      </c>
      <c r="F91" t="inlineStr">
        <is>
          <t>2026-06-29</t>
        </is>
      </c>
      <c r="G91" t="inlineStr">
        <is>
          <t xml:space="preserve"> - Sunrise Suite</t>
        </is>
      </c>
      <c r="H91">
        <f>HYPERLINK("https://booking.roadsurfer.com/es/rally/pick?pickup_date=2026-06-22&amp;return_date=2026-06-29&amp;currency=EUR&amp;startStation=54&amp;endStation=13", "Clic para verlo en la web de RoadSurfer")</f>
        <v/>
      </c>
    </row>
    <row r="92">
      <c r="A92" t="inlineStr">
        <is>
          <t>Alemania</t>
        </is>
      </c>
      <c r="B92" t="inlineStr">
        <is>
          <t>Maguncia</t>
        </is>
      </c>
      <c r="C92" t="inlineStr">
        <is>
          <t>España</t>
        </is>
      </c>
      <c r="D92" t="inlineStr">
        <is>
          <t>Madrid</t>
        </is>
      </c>
      <c r="E92" t="inlineStr">
        <is>
          <t>2026-06-16</t>
        </is>
      </c>
      <c r="F92" t="inlineStr">
        <is>
          <t>2026-06-23</t>
        </is>
      </c>
      <c r="G92" t="inlineStr">
        <is>
          <t xml:space="preserve"> - Camper Castle</t>
        </is>
      </c>
      <c r="H92">
        <f>HYPERLINK("https://booking.roadsurfer.com/es/rally/pick?pickup_date=2026-06-16&amp;return_date=2026-06-23&amp;currency=EUR&amp;startStation=54&amp;endStation=20", "Clic para verlo en la web de RoadSurfer")</f>
        <v/>
      </c>
    </row>
    <row r="93">
      <c r="A93" t="inlineStr">
        <is>
          <t>España</t>
        </is>
      </c>
      <c r="B93" t="inlineStr">
        <is>
          <t>Málaga</t>
        </is>
      </c>
      <c r="C93" t="inlineStr">
        <is>
          <t>Italia</t>
        </is>
      </c>
      <c r="D93" t="inlineStr">
        <is>
          <t>Venecia</t>
        </is>
      </c>
      <c r="E93" t="inlineStr">
        <is>
          <t>2026-06-29</t>
        </is>
      </c>
      <c r="F93" t="inlineStr">
        <is>
          <t>2026-07-06</t>
        </is>
      </c>
      <c r="G93" t="inlineStr">
        <is>
          <t xml:space="preserve"> - Surfer Suite</t>
        </is>
      </c>
      <c r="H93">
        <f>HYPERLINK("https://booking.roadsurfer.com/es/rally/pick?pickup_date=2026-06-29&amp;return_date=2026-07-06&amp;currency=EUR&amp;startStation=21&amp;endStation=78", "Clic para verlo en la web de RoadSurfer")</f>
        <v/>
      </c>
    </row>
    <row r="94">
      <c r="A94" t="inlineStr">
        <is>
          <t>España</t>
        </is>
      </c>
      <c r="B94" t="inlineStr">
        <is>
          <t>Málaga</t>
        </is>
      </c>
      <c r="C94" t="inlineStr">
        <is>
          <t>Italia</t>
        </is>
      </c>
      <c r="D94" t="inlineStr">
        <is>
          <t>Bérgamo</t>
        </is>
      </c>
      <c r="E94" t="inlineStr">
        <is>
          <t>2026-06-22</t>
        </is>
      </c>
      <c r="F94" t="inlineStr">
        <is>
          <t>2026-06-29</t>
        </is>
      </c>
      <c r="G94" t="inlineStr">
        <is>
          <t xml:space="preserve"> - Surfer Suite</t>
        </is>
      </c>
      <c r="H94">
        <f>HYPERLINK("https://booking.roadsurfer.com/es/rally/pick?pickup_date=2026-06-22&amp;return_date=2026-06-29&amp;currency=EUR&amp;startStation=21&amp;endStation=94", "Clic para verlo en la web de RoadSurfer")</f>
        <v/>
      </c>
    </row>
    <row r="95">
      <c r="A95" t="inlineStr">
        <is>
          <t>España</t>
        </is>
      </c>
      <c r="B95" t="inlineStr">
        <is>
          <t>Málaga</t>
        </is>
      </c>
      <c r="C95" t="inlineStr">
        <is>
          <t>Alemania</t>
        </is>
      </c>
      <c r="D95" t="inlineStr">
        <is>
          <t>Ulm</t>
        </is>
      </c>
      <c r="E95" t="inlineStr">
        <is>
          <t>2026-06-29</t>
        </is>
      </c>
      <c r="F95" t="inlineStr">
        <is>
          <t>2026-07-06</t>
        </is>
      </c>
      <c r="G95" t="inlineStr">
        <is>
          <t xml:space="preserve"> - No hay coche</t>
        </is>
      </c>
      <c r="H95">
        <f>HYPERLINK("https://booking.roadsurfer.com/es/rally/pick?pickup_date=2026-06-29&amp;return_date=2026-07-06&amp;currency=EUR&amp;startStation=21&amp;endStation=112", "Clic para verlo en la web de RoadSurfer")</f>
        <v/>
      </c>
    </row>
    <row r="96">
      <c r="A96" t="inlineStr">
        <is>
          <t>España</t>
        </is>
      </c>
      <c r="B96" t="inlineStr">
        <is>
          <t>Málaga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2026-06-29</t>
        </is>
      </c>
      <c r="F96" t="inlineStr">
        <is>
          <t>2026-07-06</t>
        </is>
      </c>
      <c r="G96" t="inlineStr">
        <is>
          <t xml:space="preserve"> - No hay coche</t>
        </is>
      </c>
      <c r="H96">
        <f>HYPERLINK("https://booking.roadsurfer.com/es/rally/pick?pickup_date=2026-06-29&amp;return_date=2026-07-06&amp;currency=EUR&amp;startStation=21&amp;endStation=5", "Clic para verlo en la web de RoadSurfer")</f>
        <v/>
      </c>
    </row>
    <row r="97">
      <c r="A97" t="inlineStr">
        <is>
          <t>España</t>
        </is>
      </c>
      <c r="B97" t="inlineStr">
        <is>
          <t>Málaga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2026-06-19</t>
        </is>
      </c>
      <c r="F97" t="inlineStr">
        <is>
          <t>2026-06-26</t>
        </is>
      </c>
      <c r="G97" t="inlineStr">
        <is>
          <t xml:space="preserve"> - Surfer Suite</t>
        </is>
      </c>
      <c r="H97">
        <f>HYPERLINK("https://booking.roadsurfer.com/es/rally/pick?pickup_date=2026-06-19&amp;return_date=2026-06-26&amp;currency=EUR&amp;startStation=21&amp;endStation=34", "Clic para verlo en la web de RoadSurfer")</f>
        <v/>
      </c>
    </row>
    <row r="98">
      <c r="A98" t="inlineStr">
        <is>
          <t>Reino Unido</t>
        </is>
      </c>
      <c r="B98" t="inlineStr">
        <is>
          <t>Mánchester</t>
        </is>
      </c>
      <c r="C98" t="inlineStr">
        <is>
          <t>Reino Unido</t>
        </is>
      </c>
      <c r="D98" t="inlineStr">
        <is>
          <t>Londres</t>
        </is>
      </c>
      <c r="E98" t="inlineStr">
        <is>
          <t>2026-06-22</t>
        </is>
      </c>
      <c r="F98" t="inlineStr">
        <is>
          <t>2026-06-29</t>
        </is>
      </c>
      <c r="G98" t="inlineStr">
        <is>
          <t xml:space="preserve"> - No hay coche</t>
        </is>
      </c>
      <c r="H98">
        <f>HYPERLINK("https://booking.roadsurfer.com/es/rally/pick?pickup_date=2026-06-22&amp;return_date=2026-06-29&amp;currency=EUR&amp;startStation=99&amp;endStation=63",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2026-06-17</t>
        </is>
      </c>
      <c r="F99" t="inlineStr">
        <is>
          <t>2026-06-24</t>
        </is>
      </c>
      <c r="G99" t="inlineStr">
        <is>
          <t xml:space="preserve"> - Surfer Suite</t>
        </is>
      </c>
      <c r="H99">
        <f>HYPERLINK("https://booking.roadsurfer.com/es/rally/pick?pickup_date=2026-06-17&amp;return_date=2026-06-24&amp;currency=EUR&amp;startStation=22&amp;endStation=15",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2026-06-19</t>
        </is>
      </c>
      <c r="F100" t="inlineStr">
        <is>
          <t>2026-06-26</t>
        </is>
      </c>
      <c r="G100" t="inlineStr">
        <is>
          <t xml:space="preserve"> - Surfer Suite</t>
        </is>
      </c>
      <c r="H100">
        <f>HYPERLINK("https://booking.roadsurfer.com/es/rally/pick?pickup_date=2026-06-19&amp;return_date=2026-06-26&amp;currency=EUR&amp;startStation=22&amp;endStation=59",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2026-06-16</t>
        </is>
      </c>
      <c r="F101" t="inlineStr">
        <is>
          <t>2026-06-23</t>
        </is>
      </c>
      <c r="G101" t="inlineStr">
        <is>
          <t xml:space="preserve"> - Surfer Suite</t>
        </is>
      </c>
      <c r="H101">
        <f>HYPERLINK("https://booking.roadsurfer.com/es/rally/pick?pickup_date=2026-06-16&amp;return_date=2026-06-23&amp;currency=EUR&amp;startStation=22&amp;endStation=59",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2026-06-22</t>
        </is>
      </c>
      <c r="F102" t="inlineStr">
        <is>
          <t>2026-06-29</t>
        </is>
      </c>
      <c r="G102" t="inlineStr">
        <is>
          <t xml:space="preserve"> - Surfer Suite</t>
        </is>
      </c>
      <c r="H102">
        <f>HYPERLINK("https://booking.roadsurfer.com/es/rally/pick?pickup_date=2026-06-22&amp;return_date=2026-06-29&amp;currency=EUR&amp;startStation=22&amp;endStation=59",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2026-06-22</t>
        </is>
      </c>
      <c r="F103" t="inlineStr">
        <is>
          <t>2026-06-29</t>
        </is>
      </c>
      <c r="G103" t="inlineStr">
        <is>
          <t xml:space="preserve"> - Travel Home</t>
        </is>
      </c>
      <c r="H103">
        <f>HYPERLINK("https://booking.roadsurfer.com/es/rally/pick?pickup_date=2026-06-22&amp;return_date=2026-06-29&amp;currency=EUR&amp;startStation=22&amp;endStation=29",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2026-06-16</t>
        </is>
      </c>
      <c r="F104" t="inlineStr">
        <is>
          <t>2026-06-23</t>
        </is>
      </c>
      <c r="G104" t="inlineStr">
        <is>
          <t xml:space="preserve"> - Surfer Suite</t>
        </is>
      </c>
      <c r="H104">
        <f>HYPERLINK("https://booking.roadsurfer.com/es/rally/pick?pickup_date=2026-06-16&amp;return_date=2026-06-23&amp;currency=EUR&amp;startStation=22&amp;endStation=29",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Ginebra-Pays de Gex (Francia)</t>
        </is>
      </c>
      <c r="E105" t="inlineStr">
        <is>
          <t>2026-06-25</t>
        </is>
      </c>
      <c r="F105" t="inlineStr">
        <is>
          <t>2026-07-02</t>
        </is>
      </c>
      <c r="G105" t="inlineStr">
        <is>
          <t xml:space="preserve"> - Sunrise Suite</t>
        </is>
      </c>
      <c r="H105">
        <f>HYPERLINK("https://booking.roadsurfer.com/es/rally/pick?pickup_date=2026-06-25&amp;return_date=2026-07-02&amp;currency=EUR&amp;startStation=22&amp;endStation=29",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2026-06-19</t>
        </is>
      </c>
      <c r="F106" t="inlineStr">
        <is>
          <t>2026-06-26</t>
        </is>
      </c>
      <c r="G106" t="inlineStr">
        <is>
          <t xml:space="preserve"> - Camper Cabin</t>
        </is>
      </c>
      <c r="H106">
        <f>HYPERLINK("https://booking.roadsurfer.com/es/rally/pick?pickup_date=2026-06-19&amp;return_date=2026-06-26&amp;currency=EUR&amp;startStation=22&amp;endStation=13",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2026-07-15</t>
        </is>
      </c>
      <c r="F107" t="inlineStr">
        <is>
          <t>2026-07-22</t>
        </is>
      </c>
      <c r="G107" t="inlineStr">
        <is>
          <t xml:space="preserve"> - Surfer Suite - Sunrise Suite</t>
        </is>
      </c>
      <c r="H107">
        <f>HYPERLINK("https://booking.roadsurfer.com/es/rally/pick?pickup_date=2026-07-15&amp;return_date=2026-07-22&amp;currency=EUR&amp;startStation=22&amp;endStation=13",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2026-06-23</t>
        </is>
      </c>
      <c r="F108" t="inlineStr">
        <is>
          <t>2026-06-30</t>
        </is>
      </c>
      <c r="G108" t="inlineStr">
        <is>
          <t xml:space="preserve"> - Surfer Suite</t>
        </is>
      </c>
      <c r="H108">
        <f>HYPERLINK("https://booking.roadsurfer.com/es/rally/pick?pickup_date=2026-06-23&amp;return_date=2026-06-30&amp;currency=EUR&amp;startStation=22&amp;endStation=13",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2026-07-13</t>
        </is>
      </c>
      <c r="F109" t="inlineStr">
        <is>
          <t>2026-07-20</t>
        </is>
      </c>
      <c r="G109" t="inlineStr">
        <is>
          <t xml:space="preserve"> - Surfer Suite</t>
        </is>
      </c>
      <c r="H109">
        <f>HYPERLINK("https://booking.roadsurfer.com/es/rally/pick?pickup_date=2026-07-13&amp;return_date=2026-07-20&amp;currency=EUR&amp;startStation=22&amp;endStation=13",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2026-07-09</t>
        </is>
      </c>
      <c r="F110" t="inlineStr">
        <is>
          <t>2026-07-16</t>
        </is>
      </c>
      <c r="G110" t="inlineStr">
        <is>
          <t xml:space="preserve"> - Beach Hostel</t>
        </is>
      </c>
      <c r="H110">
        <f>HYPERLINK("https://booking.roadsurfer.com/es/rally/pick?pickup_date=2026-07-09&amp;return_date=2026-07-16&amp;currency=EUR&amp;startStation=22&amp;endStation=13",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Couple Cottage</t>
        </is>
      </c>
      <c r="H111">
        <f>HYPERLINK("https://booking.roadsurfer.com/es/rally/pick?pickup_date=2026-06-15&amp;return_date=2026-06-22&amp;currency=EUR&amp;startStation=22&amp;endStation=13",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2026-06-16</t>
        </is>
      </c>
      <c r="F112" t="inlineStr">
        <is>
          <t>2026-06-23</t>
        </is>
      </c>
      <c r="G112" t="inlineStr"/>
      <c r="H112">
        <f>HYPERLINK("https://booking.roadsurfer.com/es/rally/pick?pickup_date=2026-06-16&amp;return_date=2026-06-23&amp;currency=EUR&amp;startStation=22&amp;endStation=13",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2026-06-18</t>
        </is>
      </c>
      <c r="F113" t="inlineStr">
        <is>
          <t>2026-06-25</t>
        </is>
      </c>
      <c r="G113" t="inlineStr">
        <is>
          <t xml:space="preserve"> - Camper Cabin</t>
        </is>
      </c>
      <c r="H113">
        <f>HYPERLINK("https://booking.roadsurfer.com/es/rally/pick?pickup_date=2026-06-18&amp;return_date=2026-06-25&amp;currency=EUR&amp;startStation=22&amp;endStation=13",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España</t>
        </is>
      </c>
      <c r="D114" t="inlineStr">
        <is>
          <t>Sevilla</t>
        </is>
      </c>
      <c r="E114" t="inlineStr">
        <is>
          <t>2026-07-09</t>
        </is>
      </c>
      <c r="F114" t="inlineStr">
        <is>
          <t>2026-07-16</t>
        </is>
      </c>
      <c r="G114" t="inlineStr">
        <is>
          <t xml:space="preserve"> - Beach Hostel</t>
        </is>
      </c>
      <c r="H114">
        <f>HYPERLINK("https://booking.roadsurfer.com/es/rally/pick?pickup_date=2026-07-09&amp;return_date=2026-07-16&amp;currency=EUR&amp;startStation=22&amp;endStation=39",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2026-07-01</t>
        </is>
      </c>
      <c r="F115" t="inlineStr">
        <is>
          <t>2026-07-08</t>
        </is>
      </c>
      <c r="G115" t="inlineStr">
        <is>
          <t xml:space="preserve"> - Road House</t>
        </is>
      </c>
      <c r="H115">
        <f>HYPERLINK("https://booking.roadsurfer.com/es/rally/pick?pickup_date=2026-07-01&amp;return_date=2026-07-08&amp;currency=EUR&amp;startStation=22&amp;endStation=31",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España</t>
        </is>
      </c>
      <c r="D116" t="inlineStr">
        <is>
          <t>Barcelona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Camper Castle</t>
        </is>
      </c>
      <c r="H116">
        <f>HYPERLINK("https://booking.roadsurfer.com/es/rally/pick?pickup_date=2026-06-16&amp;return_date=2026-06-23&amp;currency=EUR&amp;startStation=22&amp;endStation=17",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No hay coche</t>
        </is>
      </c>
      <c r="H117">
        <f>HYPERLINK("https://booking.roadsurfer.com/es/rally/pick?pickup_date=2026-06-17&amp;return_date=2026-06-24&amp;currency=EUR&amp;startStation=22&amp;endStation=17",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2026-06-23</t>
        </is>
      </c>
      <c r="F118" t="inlineStr">
        <is>
          <t>2026-06-30</t>
        </is>
      </c>
      <c r="G118" t="inlineStr">
        <is>
          <t xml:space="preserve"> - Camper Castle</t>
        </is>
      </c>
      <c r="H118">
        <f>HYPERLINK("https://booking.roadsurfer.com/es/rally/pick?pickup_date=2026-06-23&amp;return_date=2026-06-30&amp;currency=EUR&amp;startStation=22&amp;endStation=47", "Clic para verlo en la web de RoadSurfer")</f>
        <v/>
      </c>
    </row>
    <row r="119">
      <c r="A119" t="inlineStr">
        <is>
          <t>Alemania</t>
        </is>
      </c>
      <c r="B119" t="inlineStr">
        <is>
          <t>Múnich</t>
        </is>
      </c>
      <c r="C119" t="inlineStr">
        <is>
          <t>España</t>
        </is>
      </c>
      <c r="D119" t="inlineStr">
        <is>
          <t>Málaga</t>
        </is>
      </c>
      <c r="E119" t="inlineStr">
        <is>
          <t>2026-06-22</t>
        </is>
      </c>
      <c r="F119" t="inlineStr">
        <is>
          <t>2026-06-29</t>
        </is>
      </c>
      <c r="G119" t="inlineStr">
        <is>
          <t xml:space="preserve"> - Surfer Suite</t>
        </is>
      </c>
      <c r="H119">
        <f>HYPERLINK("https://booking.roadsurfer.com/es/rally/pick?pickup_date=2026-06-22&amp;return_date=2026-06-29&amp;currency=EUR&amp;startStation=1&amp;endStation=21", "Clic para verlo en la web de RoadSurfer")</f>
        <v/>
      </c>
    </row>
    <row r="120">
      <c r="A120" t="inlineStr">
        <is>
          <t>Alemania</t>
        </is>
      </c>
      <c r="B120" t="inlineStr">
        <is>
          <t>Múnich</t>
        </is>
      </c>
      <c r="C120" t="inlineStr">
        <is>
          <t>Alemania</t>
        </is>
      </c>
      <c r="D120" t="inlineStr">
        <is>
          <t>Bochum</t>
        </is>
      </c>
      <c r="E120" t="inlineStr">
        <is>
          <t>2026-06-30</t>
        </is>
      </c>
      <c r="F120" t="inlineStr">
        <is>
          <t>2026-07-07</t>
        </is>
      </c>
      <c r="G120" t="inlineStr">
        <is>
          <t xml:space="preserve"> - Sunrise Suite</t>
        </is>
      </c>
      <c r="H120">
        <f>HYPERLINK("https://booking.roadsurfer.com/es/rally/pick?pickup_date=2026-06-30&amp;return_date=2026-07-07&amp;currency=EUR&amp;startStation=1&amp;endStation=24", "Clic para verlo en la web de RoadSurfer")</f>
        <v/>
      </c>
    </row>
    <row r="121">
      <c r="A121" t="inlineStr">
        <is>
          <t>Francia</t>
        </is>
      </c>
      <c r="B121" t="inlineStr">
        <is>
          <t>Nantes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2026-06-19</t>
        </is>
      </c>
      <c r="F121" t="inlineStr">
        <is>
          <t>2026-06-26</t>
        </is>
      </c>
      <c r="G121" t="inlineStr">
        <is>
          <t xml:space="preserve"> - Travel Home</t>
        </is>
      </c>
      <c r="H121">
        <f>HYPERLINK("https://booking.roadsurfer.com/es/rally/pick?pickup_date=2026-06-19&amp;return_date=2026-06-26&amp;currency=EUR&amp;startStation=31&amp;endStation=15", "Clic para verlo en la web de RoadSurfer")</f>
        <v/>
      </c>
    </row>
    <row r="122">
      <c r="A122" t="inlineStr">
        <is>
          <t>Francia</t>
        </is>
      </c>
      <c r="B122" t="inlineStr">
        <is>
          <t>Nantes</t>
        </is>
      </c>
      <c r="C122" t="inlineStr">
        <is>
          <t>Francia</t>
        </is>
      </c>
      <c r="D122" t="inlineStr">
        <is>
          <t>Estrasburgo</t>
        </is>
      </c>
      <c r="E122" t="inlineStr">
        <is>
          <t>2026-06-29</t>
        </is>
      </c>
      <c r="F122" t="inlineStr">
        <is>
          <t>2026-07-06</t>
        </is>
      </c>
      <c r="G122" t="inlineStr">
        <is>
          <t xml:space="preserve"> - Road House</t>
        </is>
      </c>
      <c r="H122">
        <f>HYPERLINK("https://booking.roadsurfer.com/es/rally/pick?pickup_date=2026-06-29&amp;return_date=2026-07-06&amp;currency=EUR&amp;startStation=31&amp;endStation=49", "Clic para verlo en la web de RoadSurfer")</f>
        <v/>
      </c>
    </row>
    <row r="123">
      <c r="A123" t="inlineStr">
        <is>
          <t>Francia</t>
        </is>
      </c>
      <c r="B123" t="inlineStr">
        <is>
          <t>Nantes</t>
        </is>
      </c>
      <c r="C123" t="inlineStr">
        <is>
          <t>Francia</t>
        </is>
      </c>
      <c r="D123" t="inlineStr">
        <is>
          <t>Estrasburgo</t>
        </is>
      </c>
      <c r="E123" t="inlineStr">
        <is>
          <t>2026-07-02</t>
        </is>
      </c>
      <c r="F123" t="inlineStr">
        <is>
          <t>2026-07-09</t>
        </is>
      </c>
      <c r="G123" t="inlineStr">
        <is>
          <t xml:space="preserve"> - Road House</t>
        </is>
      </c>
      <c r="H123">
        <f>HYPERLINK("https://booking.roadsurfer.com/es/rally/pick?pickup_date=2026-07-02&amp;return_date=2026-07-09&amp;currency=EUR&amp;startStation=31&amp;endStation=49", "Clic para verlo en la web de RoadSurfer")</f>
        <v/>
      </c>
    </row>
    <row r="124">
      <c r="A124" t="inlineStr">
        <is>
          <t>Alemania</t>
        </is>
      </c>
      <c r="B124" t="inlineStr">
        <is>
          <t>Núremberg</t>
        </is>
      </c>
      <c r="C124" t="inlineStr">
        <is>
          <t>España</t>
        </is>
      </c>
      <c r="D124" t="inlineStr">
        <is>
          <t>Madrid</t>
        </is>
      </c>
      <c r="E124" t="inlineStr">
        <is>
          <t>2026-06-18</t>
        </is>
      </c>
      <c r="F124" t="inlineStr">
        <is>
          <t>2026-06-25</t>
        </is>
      </c>
      <c r="G124" t="inlineStr">
        <is>
          <t xml:space="preserve"> - Sunrise Suite</t>
        </is>
      </c>
      <c r="H124">
        <f>HYPERLINK("https://booking.roadsurfer.com/es/rally/pick?pickup_date=2026-06-18&amp;return_date=2026-06-25&amp;currency=EUR&amp;startStation=11&amp;endStation=20", "Clic para verlo en la web de RoadSurfer")</f>
        <v/>
      </c>
    </row>
    <row r="125">
      <c r="A125" t="inlineStr">
        <is>
          <t>Alemania</t>
        </is>
      </c>
      <c r="B125" t="inlineStr">
        <is>
          <t>Núremberg</t>
        </is>
      </c>
      <c r="C125" t="inlineStr">
        <is>
          <t>España</t>
        </is>
      </c>
      <c r="D125" t="inlineStr">
        <is>
          <t>Madrid</t>
        </is>
      </c>
      <c r="E125" t="inlineStr">
        <is>
          <t>2026-07-06</t>
        </is>
      </c>
      <c r="F125" t="inlineStr">
        <is>
          <t>2026-07-13</t>
        </is>
      </c>
      <c r="G125" t="inlineStr">
        <is>
          <t xml:space="preserve"> - No hay coche</t>
        </is>
      </c>
      <c r="H125">
        <f>HYPERLINK("https://booking.roadsurfer.com/es/rally/pick?pickup_date=2026-07-06&amp;return_date=2026-07-13&amp;currency=EUR&amp;startStation=11&amp;endStation=20", "Clic para verlo en la web de RoadSurfer")</f>
        <v/>
      </c>
    </row>
    <row r="126">
      <c r="A126" t="inlineStr">
        <is>
          <t>Alemania</t>
        </is>
      </c>
      <c r="B126" t="inlineStr">
        <is>
          <t>Núremberg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2026-07-04</t>
        </is>
      </c>
      <c r="F126" t="inlineStr">
        <is>
          <t>2026-07-11</t>
        </is>
      </c>
      <c r="G126" t="inlineStr">
        <is>
          <t xml:space="preserve"> - Road House</t>
        </is>
      </c>
      <c r="H126">
        <f>HYPERLINK("https://booking.roadsurfer.com/es/rally/pick?pickup_date=2026-07-04&amp;return_date=2026-07-11&amp;currency=EUR&amp;startStation=11&amp;endStation=31", "Clic para verlo en la web de RoadSurfer")</f>
        <v/>
      </c>
    </row>
    <row r="127">
      <c r="A127" t="inlineStr">
        <is>
          <t>EE.UU.</t>
        </is>
      </c>
      <c r="B127" t="inlineStr">
        <is>
          <t>Seattle</t>
        </is>
      </c>
      <c r="C127" t="inlineStr">
        <is>
          <t>EE.UU.</t>
        </is>
      </c>
      <c r="D127" t="inlineStr">
        <is>
          <t>Phoenix</t>
        </is>
      </c>
      <c r="E127" t="inlineStr">
        <is>
          <t>2026-07-06</t>
        </is>
      </c>
      <c r="F127" t="inlineStr">
        <is>
          <t>2026-07-13</t>
        </is>
      </c>
      <c r="G127" t="inlineStr">
        <is>
          <t xml:space="preserve"> - Couple Condo</t>
        </is>
      </c>
      <c r="H127">
        <f>HYPERLINK("https://booking.roadsurfer.com/es/rally/pick?pickup_date=2026-07-06&amp;return_date=2026-07-13&amp;currency=EUR&amp;startStation=107&amp;endStation=105", "Clic para verlo en la web de RoadSurfer")</f>
        <v/>
      </c>
    </row>
    <row r="128">
      <c r="A128" t="inlineStr">
        <is>
          <t>España</t>
        </is>
      </c>
      <c r="B128" t="inlineStr">
        <is>
          <t>Sevilla</t>
        </is>
      </c>
      <c r="C128" t="inlineStr">
        <is>
          <t>Italia</t>
        </is>
      </c>
      <c r="D128" t="inlineStr">
        <is>
          <t>Venecia</t>
        </is>
      </c>
      <c r="E128" t="inlineStr">
        <is>
          <t>2026-06-15</t>
        </is>
      </c>
      <c r="F128" t="inlineStr">
        <is>
          <t>2026-06-22</t>
        </is>
      </c>
      <c r="G128" t="inlineStr"/>
      <c r="H128">
        <f>HYPERLINK("https://booking.roadsurfer.com/es/rally/pick?pickup_date=2026-06-15&amp;return_date=2026-06-22&amp;currency=EUR&amp;startStation=39&amp;endStation=78", "Clic para verlo en la web de RoadSurfer")</f>
        <v/>
      </c>
    </row>
    <row r="129">
      <c r="A129" t="inlineStr">
        <is>
          <t>España</t>
        </is>
      </c>
      <c r="B129" t="inlineStr">
        <is>
          <t>Sevilla</t>
        </is>
      </c>
      <c r="C129" t="inlineStr">
        <is>
          <t>Italia</t>
        </is>
      </c>
      <c r="D129" t="inlineStr">
        <is>
          <t>Venecia</t>
        </is>
      </c>
      <c r="E129" t="inlineStr">
        <is>
          <t>2026-06-22</t>
        </is>
      </c>
      <c r="F129" t="inlineStr">
        <is>
          <t>2026-06-29</t>
        </is>
      </c>
      <c r="G129" t="inlineStr">
        <is>
          <t xml:space="preserve"> - Surfer Suite</t>
        </is>
      </c>
      <c r="H129">
        <f>HYPERLINK("https://booking.roadsurfer.com/es/rally/pick?pickup_date=2026-06-22&amp;return_date=2026-06-29&amp;currency=EUR&amp;startStation=39&amp;endStation=78", "Clic para verlo en la web de RoadSurfer")</f>
        <v/>
      </c>
    </row>
    <row r="130">
      <c r="A130" t="inlineStr">
        <is>
          <t>España</t>
        </is>
      </c>
      <c r="B130" t="inlineStr">
        <is>
          <t>Sevilla</t>
        </is>
      </c>
      <c r="C130" t="inlineStr">
        <is>
          <t>Italia</t>
        </is>
      </c>
      <c r="D130" t="inlineStr">
        <is>
          <t>Turín</t>
        </is>
      </c>
      <c r="E130" t="inlineStr">
        <is>
          <t>2026-06-25</t>
        </is>
      </c>
      <c r="F130" t="inlineStr">
        <is>
          <t>2026-07-02</t>
        </is>
      </c>
      <c r="G130" t="inlineStr">
        <is>
          <t xml:space="preserve"> - Road House</t>
        </is>
      </c>
      <c r="H130">
        <f>HYPERLINK("https://booking.roadsurfer.com/es/rally/pick?pickup_date=2026-06-25&amp;return_date=2026-07-02&amp;currency=EUR&amp;startStation=39&amp;endStation=58", "Clic para verlo en la web de RoadSurfer")</f>
        <v/>
      </c>
    </row>
    <row r="131">
      <c r="A131" t="inlineStr">
        <is>
          <t>España</t>
        </is>
      </c>
      <c r="B131" t="inlineStr">
        <is>
          <t>Sevilla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2026-06-16</t>
        </is>
      </c>
      <c r="F131" t="inlineStr">
        <is>
          <t>2026-06-23</t>
        </is>
      </c>
      <c r="G131" t="inlineStr"/>
      <c r="H131">
        <f>HYPERLINK("https://booking.roadsurfer.com/es/rally/pick?pickup_date=2026-06-16&amp;return_date=2026-06-23&amp;currency=EUR&amp;startStation=39&amp;endStation=2", "Clic para verlo en la web de RoadSurfer")</f>
        <v/>
      </c>
    </row>
    <row r="132">
      <c r="A132" t="inlineStr">
        <is>
          <t>España</t>
        </is>
      </c>
      <c r="B132" t="inlineStr">
        <is>
          <t>Sevilla</t>
        </is>
      </c>
      <c r="C132" t="inlineStr">
        <is>
          <t>Italia</t>
        </is>
      </c>
      <c r="D132" t="inlineStr">
        <is>
          <t>Bolonia</t>
        </is>
      </c>
      <c r="E132" t="inlineStr">
        <is>
          <t>2026-07-14</t>
        </is>
      </c>
      <c r="F132" t="inlineStr">
        <is>
          <t>2026-07-21</t>
        </is>
      </c>
      <c r="G132" t="inlineStr">
        <is>
          <t xml:space="preserve"> - Camper Castle</t>
        </is>
      </c>
      <c r="H132">
        <f>HYPERLINK("https://booking.roadsurfer.com/es/rally/pick?pickup_date=2026-07-14&amp;return_date=2026-07-21&amp;currency=EUR&amp;startStation=39&amp;endStation=57", "Clic para verlo en la web de RoadSurfer")</f>
        <v/>
      </c>
    </row>
    <row r="133">
      <c r="A133" t="inlineStr">
        <is>
          <t>Suecia</t>
        </is>
      </c>
      <c r="B133" t="inlineStr">
        <is>
          <t>Estocolmo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2026-06-15</t>
        </is>
      </c>
      <c r="F133" t="inlineStr">
        <is>
          <t>2026-06-22</t>
        </is>
      </c>
      <c r="G133" t="inlineStr">
        <is>
          <t xml:space="preserve"> - Surfer Suite</t>
        </is>
      </c>
      <c r="H133">
        <f>HYPERLINK("https://booking.roadsurfer.com/es/rally/pick?pickup_date=2026-06-15&amp;return_date=2026-06-22&amp;currency=EUR&amp;startStation=59&amp;endStation=130", "Clic para verlo en la web de RoadSurfer")</f>
        <v/>
      </c>
    </row>
    <row r="134">
      <c r="A134" t="inlineStr">
        <is>
          <t>Suecia</t>
        </is>
      </c>
      <c r="B134" t="inlineStr">
        <is>
          <t>Estocolmo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2026-06-15</t>
        </is>
      </c>
      <c r="F134" t="inlineStr">
        <is>
          <t>2026-06-22</t>
        </is>
      </c>
      <c r="G134" t="inlineStr">
        <is>
          <t xml:space="preserve"> - Surfer Suite</t>
        </is>
      </c>
      <c r="H134">
        <f>HYPERLINK("https://booking.roadsurfer.com/es/rally/pick?pickup_date=2026-06-15&amp;return_date=2026-06-22&amp;currency=EUR&amp;startStation=59&amp;endStation=89", "Clic para verlo en la web de RoadSurfer")</f>
        <v/>
      </c>
    </row>
    <row r="135">
      <c r="A135" t="inlineStr">
        <is>
          <t>Suecia</t>
        </is>
      </c>
      <c r="B135" t="inlineStr">
        <is>
          <t>Estocolmo</t>
        </is>
      </c>
      <c r="C135" t="inlineStr">
        <is>
          <t>Alemania</t>
        </is>
      </c>
      <c r="D135" t="inlineStr">
        <is>
          <t>Núremberg</t>
        </is>
      </c>
      <c r="E135" t="inlineStr">
        <is>
          <t>2026-06-16</t>
        </is>
      </c>
      <c r="F135" t="inlineStr">
        <is>
          <t>2026-06-23</t>
        </is>
      </c>
      <c r="G135" t="inlineStr">
        <is>
          <t xml:space="preserve"> - Beach Hostel</t>
        </is>
      </c>
      <c r="H135">
        <f>HYPERLINK("https://booking.roadsurfer.com/es/rally/pick?pickup_date=2026-06-16&amp;return_date=2026-06-23&amp;currency=EUR&amp;startStation=59&amp;endStation=11", "Clic para verlo en la web de RoadSurfer")</f>
        <v/>
      </c>
    </row>
    <row r="136">
      <c r="A136" t="inlineStr">
        <is>
          <t>Suecia</t>
        </is>
      </c>
      <c r="B136" t="inlineStr">
        <is>
          <t>Estocolmo</t>
        </is>
      </c>
      <c r="C136" t="inlineStr">
        <is>
          <t>Alemania</t>
        </is>
      </c>
      <c r="D136" t="inlineStr">
        <is>
          <t>Lindau-Wangen</t>
        </is>
      </c>
      <c r="E136" t="inlineStr">
        <is>
          <t>2026-06-19</t>
        </is>
      </c>
      <c r="F136" t="inlineStr">
        <is>
          <t>2026-06-26</t>
        </is>
      </c>
      <c r="G136" t="inlineStr">
        <is>
          <t xml:space="preserve"> - No hay coche</t>
        </is>
      </c>
      <c r="H136">
        <f>HYPERLINK("https://booking.roadsurfer.com/es/rally/pick?pickup_date=2026-06-19&amp;return_date=2026-06-26&amp;currency=EUR&amp;startStation=59&amp;endStation=117", "Clic para verlo en la web de RoadSurfer")</f>
        <v/>
      </c>
    </row>
    <row r="137">
      <c r="A137" t="inlineStr">
        <is>
          <t>Alemania</t>
        </is>
      </c>
      <c r="B137" t="inlineStr">
        <is>
          <t>Stuttgart</t>
        </is>
      </c>
      <c r="C137" t="inlineStr">
        <is>
          <t>Alemania</t>
        </is>
      </c>
      <c r="D137" t="inlineStr">
        <is>
          <t>Bielefeld</t>
        </is>
      </c>
      <c r="E137" t="inlineStr">
        <is>
          <t>2026-06-22</t>
        </is>
      </c>
      <c r="F137" t="inlineStr">
        <is>
          <t>2026-06-29</t>
        </is>
      </c>
      <c r="G137" t="inlineStr">
        <is>
          <t xml:space="preserve"> - No hay coche</t>
        </is>
      </c>
      <c r="H137">
        <f>HYPERLINK("https://booking.roadsurfer.com/es/rally/pick?pickup_date=2026-06-22&amp;return_date=2026-06-29&amp;currency=EUR&amp;startStation=5&amp;endStation=91", "Clic para verlo en la web de RoadSurfer")</f>
        <v/>
      </c>
    </row>
    <row r="138">
      <c r="A138" t="inlineStr">
        <is>
          <t>Italia</t>
        </is>
      </c>
      <c r="B138" t="inlineStr">
        <is>
          <t>Venecia</t>
        </is>
      </c>
      <c r="C138" t="inlineStr">
        <is>
          <t>Italia</t>
        </is>
      </c>
      <c r="D138" t="inlineStr">
        <is>
          <t>Turín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Surfer Suite</t>
        </is>
      </c>
      <c r="H138">
        <f>HYPERLINK("https://booking.roadsurfer.com/es/rally/pick?pickup_date=2026-06-29&amp;return_date=2026-07-06&amp;currency=EUR&amp;startStation=78&amp;endStation=58", "Clic para verlo en la web de RoadSurfer")</f>
        <v/>
      </c>
    </row>
    <row r="139">
      <c r="A139" t="inlineStr">
        <is>
          <t>Italia</t>
        </is>
      </c>
      <c r="B139" t="inlineStr">
        <is>
          <t>Venecia</t>
        </is>
      </c>
      <c r="C139" t="inlineStr">
        <is>
          <t>Italia</t>
        </is>
      </c>
      <c r="D139" t="inlineStr">
        <is>
          <t>Turín</t>
        </is>
      </c>
      <c r="E139" t="inlineStr">
        <is>
          <t>2026-07-06</t>
        </is>
      </c>
      <c r="F139" t="inlineStr">
        <is>
          <t>2026-07-13</t>
        </is>
      </c>
      <c r="G139" t="inlineStr">
        <is>
          <t xml:space="preserve"> - Surfer Suite</t>
        </is>
      </c>
      <c r="H139">
        <f>HYPERLINK("https://booking.roadsurfer.com/es/rally/pick?pickup_date=2026-07-06&amp;return_date=2026-07-13&amp;currency=EUR&amp;startStation=78&amp;endStation=58",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2026-06-12T11:43:39Z</dcterms:created>
  <dcterms:modified xsi:type="dcterms:W3CDTF">2026-06-12T11:43:39Z</dcterms:modified>
</cp:coreProperties>
</file>