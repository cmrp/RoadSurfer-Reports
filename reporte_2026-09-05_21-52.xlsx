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Italia</t>
        </is>
      </c>
      <c r="B16" t="inlineStr">
        <is>
          <t>Bolonia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SURFER SUITE</t>
        </is>
      </c>
      <c r="H16">
        <f>HYPERLINK("https://booking.roadsurfer.com/es/rally/pick?pickup_date=2026-10-05&amp;return_date=2026-10-12&amp;currency=EUR&amp;startStation=57&amp;endStation=3",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Surfer Suite</t>
        </is>
      </c>
      <c r="H19">
        <f>HYPERLINK("https://booking.roadsurfer.com/es/rally/pick?pickup_date=2026-10-07&amp;return_date=2026-10-14&amp;currency=EUR&amp;startStation=13&amp;endStation=3",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2026-10-17</t>
        </is>
      </c>
      <c r="F20" t="inlineStr">
        <is>
          <t>2026-10-24</t>
        </is>
      </c>
      <c r="G20" t="inlineStr">
        <is>
          <t xml:space="preserve"> - Surfer Suite</t>
        </is>
      </c>
      <c r="H20">
        <f>HYPERLINK("https://booking.roadsurfer.com/es/rally/pick?pickup_date=2026-10-17&amp;return_date=2026-10-24&amp;currency=EUR&amp;startStation=13&amp;endStation=109",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2026-10-29</t>
        </is>
      </c>
      <c r="F40" t="inlineStr">
        <is>
          <t>2026-11-05</t>
        </is>
      </c>
      <c r="G40" t="inlineStr">
        <is>
          <t xml:space="preserve"> - No hay coche</t>
        </is>
      </c>
      <c r="H40">
        <f>HYPERLINK("https://booking.roadsurfer.com/es/rally/pick?pickup_date=2026-10-29&amp;return_date=2026-11-05&amp;currency=EUR&amp;startStation=21&amp;endStation=1",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Surfer Suite</t>
        </is>
      </c>
      <c r="H41">
        <f>HYPERLINK("https://booking.roadsurfer.com/es/rally/pick?pickup_date=2026-10-27&amp;return_date=2026-11-03&amp;currency=EUR&amp;startStation=21&amp;endStation=1",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HYPERLINK("https://booking.roadsurfer.com/es/rally/pick?pickup_date=2026-09-25&amp;return_date=2026-10-02&amp;currency=EUR&amp;startStation=21&amp;endStation=22", "Clic para verlo en la web de RoadSurfer")</f>
        <v/>
      </c>
    </row>
    <row r="43">
      <c r="A43" t="inlineStr">
        <is>
          <t>Italia</t>
        </is>
      </c>
      <c r="B43" t="inlineStr">
        <is>
          <t>Milán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Family Finca</t>
        </is>
      </c>
      <c r="H43">
        <f>HYPERLINK("https://booking.roadsurfer.com/es/rally/pick?pickup_date=2026-10-12&amp;return_date=2026-10-19&amp;currency=EUR&amp;startStation=34&amp;endStation=6", "Clic para verlo en la web de RoadSurfer")</f>
        <v/>
      </c>
    </row>
    <row r="44">
      <c r="A44" t="inlineStr">
        <is>
          <t>Italia</t>
        </is>
      </c>
      <c r="B44" t="inlineStr">
        <is>
          <t>Milán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2026-10-15</t>
        </is>
      </c>
      <c r="F44" t="inlineStr">
        <is>
          <t>2026-10-22</t>
        </is>
      </c>
      <c r="G44" t="inlineStr">
        <is>
          <t xml:space="preserve"> - Family Finca</t>
        </is>
      </c>
      <c r="H44">
        <f>HYPERLINK("https://booking.roadsurfer.com/es/rally/pick?pickup_date=2026-10-15&amp;return_date=2026-10-22&amp;currency=EUR&amp;startStation=34&amp;endStation=91", "Clic para verlo en la web de RoadSurfer")</f>
        <v/>
      </c>
    </row>
    <row r="45">
      <c r="A45" t="inlineStr">
        <is>
          <t>Italia</t>
        </is>
      </c>
      <c r="B45" t="inlineStr">
        <is>
          <t>Milán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2026-10-13</t>
        </is>
      </c>
      <c r="F45" t="inlineStr">
        <is>
          <t>2026-10-20</t>
        </is>
      </c>
      <c r="G45" t="inlineStr">
        <is>
          <t xml:space="preserve"> - Family Finca</t>
        </is>
      </c>
      <c r="H45">
        <f>HYPERLINK("https://booking.roadsurfer.com/es/rally/pick?pickup_date=2026-10-13&amp;return_date=2026-10-20&amp;currency=EUR&amp;startStation=34&amp;endStation=56",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2026-10-16</t>
        </is>
      </c>
      <c r="F46" t="inlineStr">
        <is>
          <t>2026-10-23</t>
        </is>
      </c>
      <c r="G46" t="inlineStr">
        <is>
          <t xml:space="preserve"> - Camper Cabin</t>
        </is>
      </c>
      <c r="H46">
        <f>HYPERLINK("https://booking.roadsurfer.com/es/rally/pick?pickup_date=2026-10-16&amp;return_date=2026-10-23&amp;currency=EUR&amp;startStation=31&amp;endStation=22",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Travel Home</t>
        </is>
      </c>
      <c r="H47">
        <f>HYPERLINK("https://booking.roadsurfer.com/es/rally/pick?pickup_date=2026-10-12&amp;return_date=2026-10-19&amp;currency=EUR&amp;startStation=31&amp;endStation=1", "Clic para verlo en la web de RoadSurfer")</f>
        <v/>
      </c>
    </row>
    <row r="48">
      <c r="A48" t="inlineStr">
        <is>
          <t>Francia</t>
        </is>
      </c>
      <c r="B48" t="inlineStr">
        <is>
          <t>Nantes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2026-10-16</t>
        </is>
      </c>
      <c r="F48" t="inlineStr">
        <is>
          <t>2026-10-23</t>
        </is>
      </c>
      <c r="G48" t="inlineStr">
        <is>
          <t xml:space="preserve"> - Surfer Suite</t>
        </is>
      </c>
      <c r="H48">
        <f>HYPERLINK("https://booking.roadsurfer.com/es/rally/pick?pickup_date=2026-10-16&amp;return_date=2026-10-23&amp;currency=EUR&amp;startStation=31&amp;endStation=5",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Beach Hostel</t>
        </is>
      </c>
      <c r="H49">
        <f>HYPERLINK("https://booking.roadsurfer.com/es/rally/pick?pickup_date=2026-09-25&amp;return_date=2026-10-02&amp;currency=EUR&amp;startStation=31&amp;endStation=109", "Clic para verlo en la web de RoadSurfer")</f>
        <v/>
      </c>
    </row>
    <row r="50">
      <c r="A50" t="inlineStr">
        <is>
          <t>Francia</t>
        </is>
      </c>
      <c r="B50" t="inlineStr">
        <is>
          <t>París Sur (Orly)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COZY COTTAGE</t>
        </is>
      </c>
      <c r="H50">
        <f>HYPERLINK("https://booking.roadsurfer.com/es/rally/pick?pickup_date=2026-09-22&amp;return_date=2026-09-29&amp;currency=EUR&amp;startStation=12&amp;endStation=22", "Clic para verlo en la web de RoadSurfer")</f>
        <v/>
      </c>
    </row>
    <row r="51">
      <c r="A51" t="inlineStr">
        <is>
          <t>Países Bajos</t>
        </is>
      </c>
      <c r="B51" t="inlineStr">
        <is>
          <t>Róterdam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2026-10-24</t>
        </is>
      </c>
      <c r="F51" t="inlineStr">
        <is>
          <t>2026-10-31</t>
        </is>
      </c>
      <c r="G51" t="inlineStr">
        <is>
          <t xml:space="preserve"> - Surfer Suite - Road House - Camper Cabin Deluxe</t>
        </is>
      </c>
      <c r="H51">
        <f>HYPERLINK("https://booking.roadsurfer.com/es/rally/pick?pickup_date=2026-10-24&amp;return_date=2026-10-31&amp;currency=EUR&amp;startStation=33&amp;endStation=2", "Clic para verlo en la web de RoadSurfer")</f>
        <v/>
      </c>
    </row>
    <row r="52">
      <c r="A52" t="inlineStr">
        <is>
          <t>EE.UU.</t>
        </is>
      </c>
      <c r="B52" t="inlineStr">
        <is>
          <t>San Francisco</t>
        </is>
      </c>
      <c r="C52" t="inlineStr">
        <is>
          <t>EE.UU.</t>
        </is>
      </c>
      <c r="D52" t="inlineStr">
        <is>
          <t>Denver</t>
        </is>
      </c>
      <c r="E52" t="inlineStr">
        <is>
          <t>2026-09-17</t>
        </is>
      </c>
      <c r="F52" t="inlineStr">
        <is>
          <t>2026-09-25</t>
        </is>
      </c>
      <c r="G52" t="inlineStr">
        <is>
          <t xml:space="preserve"> - No hay coche</t>
        </is>
      </c>
      <c r="H52">
        <f>HYPERLINK("https://booking.roadsurfer.com/es/rally/pick?pickup_date=2026-09-17&amp;return_date=2026-09-25&amp;currency=EUR&amp;startStation=75&amp;endStation=104", "Clic para verlo en la web de RoadSurfer")</f>
        <v/>
      </c>
    </row>
    <row r="53">
      <c r="A53" t="inlineStr">
        <is>
          <t>EE.UU.</t>
        </is>
      </c>
      <c r="B53" t="inlineStr">
        <is>
          <t>Seattle</t>
        </is>
      </c>
      <c r="C53" t="inlineStr">
        <is>
          <t>EE.UU.</t>
        </is>
      </c>
      <c r="D53" t="inlineStr">
        <is>
          <t>Phoenix</t>
        </is>
      </c>
      <c r="E53" t="inlineStr">
        <is>
          <t>2026-09-28</t>
        </is>
      </c>
      <c r="F53" t="inlineStr">
        <is>
          <t>2026-10-05</t>
        </is>
      </c>
      <c r="G53" t="inlineStr">
        <is>
          <t xml:space="preserve"> - Liberty Lodge</t>
        </is>
      </c>
      <c r="H53">
        <f>HYPERLINK("https://booking.roadsurfer.com/es/rally/pick?pickup_date=2026-09-28&amp;return_date=2026-10-05&amp;currency=EUR&amp;startStation=107&amp;endStation=105",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2026-10-26</t>
        </is>
      </c>
      <c r="F54" t="inlineStr">
        <is>
          <t>2026-11-02</t>
        </is>
      </c>
      <c r="G54" t="inlineStr">
        <is>
          <t xml:space="preserve"> - Surfer Suite</t>
        </is>
      </c>
      <c r="H54">
        <f>HYPERLINK("https://booking.roadsurfer.com/es/rally/pick?pickup_date=2026-10-26&amp;return_date=2026-11-02&amp;currency=EUR&amp;startStation=39&amp;endStation=22", "Clic para verlo en la web de RoadSurfer")</f>
        <v/>
      </c>
    </row>
    <row r="55">
      <c r="A55" t="inlineStr">
        <is>
          <t>España</t>
        </is>
      </c>
      <c r="B55" t="inlineStr">
        <is>
          <t>Sevilla</t>
        </is>
      </c>
      <c r="C55" t="inlineStr">
        <is>
          <t>Alemania</t>
        </is>
      </c>
      <c r="D55" t="inlineStr">
        <is>
          <t>Dresde</t>
        </is>
      </c>
      <c r="E55" t="inlineStr">
        <is>
          <t>2026-10-23</t>
        </is>
      </c>
      <c r="F55" t="inlineStr">
        <is>
          <t>2026-10-30</t>
        </is>
      </c>
      <c r="G55" t="inlineStr">
        <is>
          <t xml:space="preserve"> - Family Finca</t>
        </is>
      </c>
      <c r="H55">
        <f>HYPERLINK("https://booking.roadsurfer.com/es/rally/pick?pickup_date=2026-10-23&amp;return_date=2026-10-30&amp;currency=EUR&amp;startStation=39&amp;endStation=56", "Clic para verlo en la web de RoadSurfer")</f>
        <v/>
      </c>
    </row>
    <row r="56">
      <c r="A56" t="inlineStr">
        <is>
          <t>España</t>
        </is>
      </c>
      <c r="B56" t="inlineStr">
        <is>
          <t>Sevilla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ROAD HOUSE</t>
        </is>
      </c>
      <c r="H56">
        <f>HYPERLINK("https://booking.roadsurfer.com/es/rally/pick?pickup_date=2026-10-05&amp;return_date=2026-10-12&amp;currency=EUR&amp;startStation=39&amp;endStation=115", "Clic para verlo en la web de RoadSurfer")</f>
        <v/>
      </c>
    </row>
    <row r="57">
      <c r="A57" t="inlineStr">
        <is>
          <t>Alemania</t>
        </is>
      </c>
      <c r="B57" t="inlineStr">
        <is>
          <t>Stuttgart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2026-10-09</t>
        </is>
      </c>
      <c r="F57" t="inlineStr">
        <is>
          <t>2026-10-16</t>
        </is>
      </c>
      <c r="G57" t="inlineStr">
        <is>
          <t xml:space="preserve"> - Family Finca</t>
        </is>
      </c>
      <c r="H57">
        <f>HYPERLINK("https://booking.roadsurfer.com/es/rally/pick?pickup_date=2026-10-09&amp;return_date=2026-10-16&amp;currency=EUR&amp;startStation=5&amp;endStation=17", "Clic para verlo en la web de RoadSurfer")</f>
        <v/>
      </c>
    </row>
    <row r="58">
      <c r="A58" t="inlineStr">
        <is>
          <t>Alemania</t>
        </is>
      </c>
      <c r="B58" t="inlineStr">
        <is>
          <t>Stuttgart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2026-10-06</t>
        </is>
      </c>
      <c r="F58" t="inlineStr">
        <is>
          <t>2026-10-12</t>
        </is>
      </c>
      <c r="G58" t="inlineStr">
        <is>
          <t xml:space="preserve"> - Family Finca</t>
        </is>
      </c>
      <c r="H58">
        <f>HYPERLINK("https://booking.roadsurfer.com/es/rally/pick?pickup_date=2026-10-06&amp;return_date=2026-10-12&amp;currency=EUR&amp;startStation=5&amp;endStation=91", "Clic para verlo en la web de RoadSurfer")</f>
        <v/>
      </c>
    </row>
    <row r="59">
      <c r="A59" t="inlineStr">
        <is>
          <t>Francia</t>
        </is>
      </c>
      <c r="B59" t="inlineStr">
        <is>
          <t>Toulouse</t>
        </is>
      </c>
      <c r="C59" t="inlineStr">
        <is>
          <t>Alemania</t>
        </is>
      </c>
      <c r="D59" t="inlineStr">
        <is>
          <t>Duisburgo</t>
        </is>
      </c>
      <c r="E59" t="inlineStr">
        <is>
          <t>2026-10-19</t>
        </is>
      </c>
      <c r="F59" t="inlineStr">
        <is>
          <t>2026-10-26</t>
        </is>
      </c>
      <c r="G59" t="inlineStr">
        <is>
          <t xml:space="preserve"> - Road House</t>
        </is>
      </c>
      <c r="H59">
        <f>HYPERLINK("https://booking.roadsurfer.com/es/rally/pick?pickup_date=2026-10-19&amp;return_date=2026-10-26&amp;currency=EUR&amp;startStation=30&amp;endStation=113", "Clic para verlo en la web de RoadSurfer")</f>
        <v/>
      </c>
    </row>
    <row r="60">
      <c r="A60" t="inlineStr">
        <is>
          <t>Francia</t>
        </is>
      </c>
      <c r="B60" t="inlineStr">
        <is>
          <t>Toulouse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2026-10-03</t>
        </is>
      </c>
      <c r="F60" t="inlineStr">
        <is>
          <t>2026-10-10</t>
        </is>
      </c>
      <c r="G60" t="inlineStr">
        <is>
          <t xml:space="preserve"> - Family Finca</t>
        </is>
      </c>
      <c r="H60">
        <f>HYPERLINK("https://booking.roadsurfer.com/es/rally/pick?pickup_date=2026-10-03&amp;return_date=2026-10-10&amp;currency=EUR&amp;startStation=30&amp;endStation=1", "Clic para verlo en la web de RoadSurfer")</f>
        <v/>
      </c>
    </row>
    <row r="61">
      <c r="A61" t="inlineStr">
        <is>
          <t>Alemania</t>
        </is>
      </c>
      <c r="B61" t="inlineStr">
        <is>
          <t>Tréveris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Family Finca</t>
        </is>
      </c>
      <c r="H61">
        <f>HYPERLINK("https://booking.roadsurfer.com/es/rally/pick?pickup_date=2026-10-12&amp;return_date=2026-10-19&amp;currency=EUR&amp;startStation=28&amp;endStation=51", "Clic para verlo en la web de RoadSurfer")</f>
        <v/>
      </c>
    </row>
    <row r="62">
      <c r="A62" t="inlineStr">
        <is>
          <t>Alemania</t>
        </is>
      </c>
      <c r="B62" t="inlineStr">
        <is>
          <t>Tréveris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2026-10-12</t>
        </is>
      </c>
      <c r="F62" t="inlineStr">
        <is>
          <t>2026-10-19</t>
        </is>
      </c>
      <c r="G62" t="inlineStr">
        <is>
          <t xml:space="preserve"> - Family Finca</t>
        </is>
      </c>
      <c r="H62">
        <f>HYPERLINK("https://booking.roadsurfer.com/es/rally/pick?pickup_date=2026-10-12&amp;return_date=2026-10-19&amp;currency=EUR&amp;startStation=28&amp;endStation=8", "Clic para verlo en la web de RoadSurfer")</f>
        <v/>
      </c>
    </row>
    <row r="63">
      <c r="A63" t="inlineStr">
        <is>
          <t>Italia</t>
        </is>
      </c>
      <c r="B63" t="inlineStr">
        <is>
          <t>Turín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Surfer Suite</t>
        </is>
      </c>
      <c r="H63">
        <f>HYPERLINK("https://booking.roadsurfer.com/es/rally/pick?pickup_date=2026-10-14&amp;return_date=2026-10-21&amp;currency=EUR&amp;startStation=58&amp;endStation=56", "Clic para verlo en la web de RoadSurfer")</f>
        <v/>
      </c>
    </row>
    <row r="64">
      <c r="A64" t="inlineStr">
        <is>
          <t>España</t>
        </is>
      </c>
      <c r="B64" t="inlineStr">
        <is>
          <t>Valencia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Road House</t>
        </is>
      </c>
      <c r="H64">
        <f>HYPERLINK("https://booking.roadsurfer.com/es/rally/pick?pickup_date=2026-10-28&amp;return_date=2026-11-04&amp;currency=EUR&amp;startStation=38&amp;endStation=52", "Clic para verlo en la web de RoadSurfer")</f>
        <v/>
      </c>
    </row>
    <row r="65">
      <c r="A65" t="inlineStr">
        <is>
          <t>España</t>
        </is>
      </c>
      <c r="B65" t="inlineStr">
        <is>
          <t>Valencia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2026-10-30</t>
        </is>
      </c>
      <c r="F65" t="inlineStr">
        <is>
          <t>2026-11-06</t>
        </is>
      </c>
      <c r="G65" t="inlineStr">
        <is>
          <t xml:space="preserve"> - Family Finca</t>
        </is>
      </c>
      <c r="H65">
        <f>HYPERLINK("https://booking.roadsurfer.com/es/rally/pick?pickup_date=2026-10-30&amp;return_date=2026-11-06&amp;currency=EUR&amp;startStation=38&amp;endStation=22", "Clic para verlo en la web de RoadSurfer")</f>
        <v/>
      </c>
    </row>
    <row r="66">
      <c r="A66" t="inlineStr">
        <is>
          <t>España</t>
        </is>
      </c>
      <c r="B66" t="inlineStr">
        <is>
          <t>Valencia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2026-10-29</t>
        </is>
      </c>
      <c r="F66" t="inlineStr">
        <is>
          <t>2026-11-05</t>
        </is>
      </c>
      <c r="G66" t="inlineStr">
        <is>
          <t xml:space="preserve"> - Family Finca</t>
        </is>
      </c>
      <c r="H66">
        <f>HYPERLINK("https://booking.roadsurfer.com/es/rally/pick?pickup_date=2026-10-29&amp;return_date=2026-11-05&amp;currency=EUR&amp;startStation=38&amp;endStation=22", "Clic para verlo en la web de RoadSurfer")</f>
        <v/>
      </c>
    </row>
    <row r="67">
      <c r="A67" t="inlineStr">
        <is>
          <t>Italia</t>
        </is>
      </c>
      <c r="B67" t="inlineStr">
        <is>
          <t>Venecia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2026-10-06</t>
        </is>
      </c>
      <c r="F67" t="inlineStr">
        <is>
          <t>2026-10-13</t>
        </is>
      </c>
      <c r="G67" t="inlineStr">
        <is>
          <t xml:space="preserve"> - Surfer Suite</t>
        </is>
      </c>
      <c r="H67">
        <f>HYPERLINK("https://booking.roadsurfer.com/es/rally/pick?pickup_date=2026-10-06&amp;return_date=2026-10-13&amp;currency=EUR&amp;startStation=78&amp;endStation=56", "Clic para verlo en la web de RoadSurfer")</f>
        <v/>
      </c>
    </row>
    <row r="68">
      <c r="A68" t="inlineStr">
        <is>
          <t>Italia</t>
        </is>
      </c>
      <c r="B68" t="inlineStr">
        <is>
          <t>Venecia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2026-10-13</t>
        </is>
      </c>
      <c r="F68" t="inlineStr">
        <is>
          <t>2026-10-20</t>
        </is>
      </c>
      <c r="G68" t="inlineStr">
        <is>
          <t xml:space="preserve"> - No hay coche</t>
        </is>
      </c>
      <c r="H68">
        <f>HYPERLINK("https://booking.roadsurfer.com/es/rally/pick?pickup_date=2026-10-13&amp;return_date=2026-10-20&amp;currency=EUR&amp;startStation=78&amp;endStation=91", "Clic para verlo en la web de RoadSurfer")</f>
        <v/>
      </c>
    </row>
    <row r="69">
      <c r="A69" t="inlineStr">
        <is>
          <t>Italia</t>
        </is>
      </c>
      <c r="B69" t="inlineStr">
        <is>
          <t>Venecia</t>
        </is>
      </c>
      <c r="C69" t="inlineStr">
        <is>
          <t>Alemania</t>
        </is>
      </c>
      <c r="D69" t="inlineStr">
        <is>
          <t>Berlín-Schönefeld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Family Finca</t>
        </is>
      </c>
      <c r="H69">
        <f>HYPERLINK("https://booking.roadsurfer.com/es/rally/pick?pickup_date=2026-10-12&amp;return_date=2026-10-19&amp;currency=EUR&amp;startStation=78&amp;endStation=51", "Clic para verlo en la web de RoadSurfer")</f>
        <v/>
      </c>
    </row>
    <row r="70">
      <c r="A70" t="inlineStr">
        <is>
          <t>Italia</t>
        </is>
      </c>
      <c r="B70" t="inlineStr">
        <is>
          <t>Venecia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HYPERLINK("https://booking.roadsurfer.com/es/rally/pick?pickup_date=2026-10-12&amp;return_date=2026-10-19&amp;currency=EUR&amp;startStation=78&amp;endStation=6", "Clic para verlo en la web de RoadSurfer")</f>
        <v/>
      </c>
    </row>
    <row r="71">
      <c r="A71" t="inlineStr">
        <is>
          <t>Austria</t>
        </is>
      </c>
      <c r="B71" t="inlineStr">
        <is>
          <t>Viena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2026-10-12</t>
        </is>
      </c>
      <c r="F71" t="inlineStr">
        <is>
          <t>2026-10-19</t>
        </is>
      </c>
      <c r="G71" t="inlineStr">
        <is>
          <t xml:space="preserve"> - Surfer Suite</t>
        </is>
      </c>
      <c r="H71">
        <f>HYPERLINK("https://booking.roadsurfer.com/es/rally/pick?pickup_date=2026-10-12&amp;return_date=2026-10-19&amp;currency=EUR&amp;startStation=36&amp;endStation=7", "Clic para verlo en la web de RoadSurfer")</f>
        <v/>
      </c>
    </row>
    <row r="72">
      <c r="A72" t="inlineStr">
        <is>
          <t>Alemania</t>
        </is>
      </c>
      <c r="B72" t="inlineStr">
        <is>
          <t>Wurzburgo</t>
        </is>
      </c>
      <c r="C72" t="inlineStr">
        <is>
          <t>Alemania</t>
        </is>
      </c>
      <c r="D72" t="inlineStr">
        <is>
          <t>Berlín-Schönefeld</t>
        </is>
      </c>
      <c r="E72" t="inlineStr">
        <is>
          <t>2026-10-12</t>
        </is>
      </c>
      <c r="F72" t="inlineStr">
        <is>
          <t>2026-10-19</t>
        </is>
      </c>
      <c r="G72" t="inlineStr">
        <is>
          <t xml:space="preserve"> - Family Finca</t>
        </is>
      </c>
      <c r="H72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2026-09-05T21:52:33Z</dcterms:created>
  <dcterms:modified xsi:type="dcterms:W3CDTF">2026-09-05T21:52:33Z</dcterms:modified>
</cp:coreProperties>
</file>