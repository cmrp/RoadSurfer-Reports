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Alemania</t>
        </is>
      </c>
      <c r="D2" t="inlineStr">
        <is>
          <t>Aquisgrán</t>
        </is>
      </c>
      <c r="E2" t="inlineStr">
        <is>
          <t>2026-06-15</t>
        </is>
      </c>
      <c r="F2" t="inlineStr">
        <is>
          <t>2026-06-22</t>
        </is>
      </c>
      <c r="G2" t="inlineStr">
        <is>
          <t xml:space="preserve"> - Surfer Suite</t>
        </is>
      </c>
      <c r="H2">
        <f>HYPERLINK("https://booking.roadsurfer.com/es/rally/pick?pickup_date=2026-06-15&amp;return_date=2026-06-22&amp;currency=EUR&amp;startStation=47&amp;endStation=114",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2026-06-22</t>
        </is>
      </c>
      <c r="F3" t="inlineStr">
        <is>
          <t>2026-06-29</t>
        </is>
      </c>
      <c r="G3" t="inlineStr">
        <is>
          <t xml:space="preserve"> - Camper Castle</t>
        </is>
      </c>
      <c r="H3">
        <f>HYPERLINK("https://booking.roadsurfer.com/es/rally/pick?pickup_date=2026-06-22&amp;return_date=2026-06-29&amp;currency=EUR&amp;startStation=17&amp;endStation=22",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2026-06-18</t>
        </is>
      </c>
      <c r="F4" t="inlineStr">
        <is>
          <t>2026-06-25</t>
        </is>
      </c>
      <c r="G4" t="inlineStr">
        <is>
          <t xml:space="preserve"> - Family Finca</t>
        </is>
      </c>
      <c r="H4">
        <f>HYPERLINK("https://booking.roadsurfer.com/es/rally/pick?pickup_date=2026-06-18&amp;return_date=2026-06-25&amp;currency=EUR&amp;startStation=17&amp;endStation=11",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Francia</t>
        </is>
      </c>
      <c r="D5" t="inlineStr">
        <is>
          <t>Niza</t>
        </is>
      </c>
      <c r="E5" t="inlineStr">
        <is>
          <t>2026-06-15</t>
        </is>
      </c>
      <c r="F5" t="inlineStr">
        <is>
          <t>2026-06-22</t>
        </is>
      </c>
      <c r="G5" t="inlineStr">
        <is>
          <t xml:space="preserve"> - Cozy Cottage</t>
        </is>
      </c>
      <c r="H5">
        <f>HYPERLINK("https://booking.roadsurfer.com/es/rally/pick?pickup_date=2026-06-15&amp;return_date=2026-06-22&amp;currency=EUR&amp;startStation=17&amp;endStation=88",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2026-06-12</t>
        </is>
      </c>
      <c r="F6" t="inlineStr">
        <is>
          <t>2026-06-19</t>
        </is>
      </c>
      <c r="G6" t="inlineStr">
        <is>
          <t xml:space="preserve"> - No hay coche</t>
        </is>
      </c>
      <c r="H6">
        <f>HYPERLINK("https://booking.roadsurfer.com/es/rally/pick?pickup_date=2026-06-12&amp;return_date=2026-06-19&amp;currency=EUR&amp;startStation=6&amp;endStation=48",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2026-06-15</t>
        </is>
      </c>
      <c r="F7" t="inlineStr">
        <is>
          <t>2026-06-22</t>
        </is>
      </c>
      <c r="G7" t="inlineStr">
        <is>
          <t xml:space="preserve"> - No hay coche</t>
        </is>
      </c>
      <c r="H7">
        <f>HYPERLINK("https://booking.roadsurfer.com/es/rally/pick?pickup_date=2026-06-15&amp;return_date=2026-06-22&amp;currency=EUR&amp;startStation=6&amp;endStation=59",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Bélgica</t>
        </is>
      </c>
      <c r="D8" t="inlineStr">
        <is>
          <t>Bruselas</t>
        </is>
      </c>
      <c r="E8" t="inlineStr">
        <is>
          <t>2026-06-22</t>
        </is>
      </c>
      <c r="F8" t="inlineStr">
        <is>
          <t>2026-06-29</t>
        </is>
      </c>
      <c r="G8" t="inlineStr">
        <is>
          <t xml:space="preserve"> - No hay coche</t>
        </is>
      </c>
      <c r="H8">
        <f>HYPERLINK("https://booking.roadsurfer.com/es/rally/pick?pickup_date=2026-06-22&amp;return_date=2026-06-29&amp;currency=EUR&amp;startStation=91&amp;endStation=42",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Francia</t>
        </is>
      </c>
      <c r="D9" t="inlineStr">
        <is>
          <t>Lille</t>
        </is>
      </c>
      <c r="E9" t="inlineStr">
        <is>
          <t>2026-06-11</t>
        </is>
      </c>
      <c r="F9" t="inlineStr">
        <is>
          <t>2026-06-18</t>
        </is>
      </c>
      <c r="G9" t="inlineStr">
        <is>
          <t xml:space="preserve"> - Family Finca</t>
        </is>
      </c>
      <c r="H9">
        <f>HYPERLINK("https://booking.roadsurfer.com/es/rally/pick?pickup_date=2026-06-11&amp;return_date=2026-06-18&amp;currency=EUR&amp;startStation=91&amp;endStation=87",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Suecia</t>
        </is>
      </c>
      <c r="D10" t="inlineStr">
        <is>
          <t>Estocolmo</t>
        </is>
      </c>
      <c r="E10" t="inlineStr">
        <is>
          <t>2026-06-23</t>
        </is>
      </c>
      <c r="F10" t="inlineStr">
        <is>
          <t>2026-06-30</t>
        </is>
      </c>
      <c r="G10" t="inlineStr">
        <is>
          <t xml:space="preserve"> - Couple Cottage</t>
        </is>
      </c>
      <c r="H10">
        <f>HYPERLINK("https://booking.roadsurfer.com/es/rally/pick?pickup_date=2026-06-23&amp;return_date=2026-06-30&amp;currency=EUR&amp;startStation=91&amp;endStation=59",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Francia</t>
        </is>
      </c>
      <c r="D11" t="inlineStr">
        <is>
          <t>París Sur (Orly)</t>
        </is>
      </c>
      <c r="E11" t="inlineStr">
        <is>
          <t>2026-06-13</t>
        </is>
      </c>
      <c r="F11" t="inlineStr">
        <is>
          <t>2026-06-20</t>
        </is>
      </c>
      <c r="G11" t="inlineStr"/>
      <c r="H11">
        <f>HYPERLINK("https://booking.roadsurfer.com/es/rally/pick?pickup_date=2026-06-13&amp;return_date=2026-06-20&amp;currency=EUR&amp;startStation=91&amp;endStation=12",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París Sur (Orly)</t>
        </is>
      </c>
      <c r="E12" t="inlineStr">
        <is>
          <t>2026-06-16</t>
        </is>
      </c>
      <c r="F12" t="inlineStr">
        <is>
          <t>2026-06-23</t>
        </is>
      </c>
      <c r="G12" t="inlineStr">
        <is>
          <t xml:space="preserve"> - Sunrise Suite</t>
        </is>
      </c>
      <c r="H12">
        <f>HYPERLINK("https://booking.roadsurfer.com/es/rally/pick?pickup_date=2026-06-16&amp;return_date=2026-06-23&amp;currency=EUR&amp;startStation=91&amp;endStation=12", "Clic para verlo en la web de RoadSurfer")</f>
        <v/>
      </c>
    </row>
    <row r="13">
      <c r="A13" t="inlineStr">
        <is>
          <t>Alemania</t>
        </is>
      </c>
      <c r="B13" t="inlineStr">
        <is>
          <t>Bochum</t>
        </is>
      </c>
      <c r="C13" t="inlineStr">
        <is>
          <t>Francia</t>
        </is>
      </c>
      <c r="D13" t="inlineStr">
        <is>
          <t>Ginebra-Pays de Gex (Francia)</t>
        </is>
      </c>
      <c r="E13" t="inlineStr">
        <is>
          <t>2026-06-15</t>
        </is>
      </c>
      <c r="F13" t="inlineStr">
        <is>
          <t>2026-06-22</t>
        </is>
      </c>
      <c r="G13" t="inlineStr">
        <is>
          <t xml:space="preserve"> - Couple Cottage</t>
        </is>
      </c>
      <c r="H13">
        <f>HYPERLINK("https://booking.roadsurfer.com/es/rally/pick?pickup_date=2026-06-15&amp;return_date=2026-06-22&amp;currency=EUR&amp;startStation=24&amp;endStation=29", "Clic para verlo en la web de RoadSurfer")</f>
        <v/>
      </c>
    </row>
    <row r="14">
      <c r="A14" t="inlineStr">
        <is>
          <t>Alemania</t>
        </is>
      </c>
      <c r="B14" t="inlineStr">
        <is>
          <t>Bochum</t>
        </is>
      </c>
      <c r="C14" t="inlineStr">
        <is>
          <t>Francia</t>
        </is>
      </c>
      <c r="D14" t="inlineStr">
        <is>
          <t>Lille</t>
        </is>
      </c>
      <c r="E14" t="inlineStr">
        <is>
          <t>2026-06-22</t>
        </is>
      </c>
      <c r="F14" t="inlineStr">
        <is>
          <t>2026-06-29</t>
        </is>
      </c>
      <c r="G14" t="inlineStr">
        <is>
          <t xml:space="preserve"> - Family Finca</t>
        </is>
      </c>
      <c r="H14">
        <f>HYPERLINK("https://booking.roadsurfer.com/es/rally/pick?pickup_date=2026-06-22&amp;return_date=2026-06-29&amp;currency=EUR&amp;startStation=24&amp;endStation=87", "Clic para verlo en la web de RoadSurfer")</f>
        <v/>
      </c>
    </row>
    <row r="15">
      <c r="A15" t="inlineStr">
        <is>
          <t>Alemania</t>
        </is>
      </c>
      <c r="B15" t="inlineStr">
        <is>
          <t>Bochum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2026-06-23</t>
        </is>
      </c>
      <c r="F15" t="inlineStr">
        <is>
          <t>2026-06-30</t>
        </is>
      </c>
      <c r="G15" t="inlineStr">
        <is>
          <t xml:space="preserve"> - Cozy Cottage</t>
        </is>
      </c>
      <c r="H15">
        <f>HYPERLINK("https://booking.roadsurfer.com/es/rally/pick?pickup_date=2026-06-23&amp;return_date=2026-06-30&amp;currency=EUR&amp;startStation=24&amp;endStation=15", "Clic para verlo en la web de RoadSurfer")</f>
        <v/>
      </c>
    </row>
    <row r="16">
      <c r="A16" t="inlineStr">
        <is>
          <t>Alemania</t>
        </is>
      </c>
      <c r="B16" t="inlineStr">
        <is>
          <t>Bochum</t>
        </is>
      </c>
      <c r="C16" t="inlineStr">
        <is>
          <t>Francia</t>
        </is>
      </c>
      <c r="D16" t="inlineStr">
        <is>
          <t>Lyon</t>
        </is>
      </c>
      <c r="E16" t="inlineStr">
        <is>
          <t>2026-06-22</t>
        </is>
      </c>
      <c r="F16" t="inlineStr">
        <is>
          <t>2026-06-29</t>
        </is>
      </c>
      <c r="G16" t="inlineStr">
        <is>
          <t xml:space="preserve"> - Family Finca</t>
        </is>
      </c>
      <c r="H16">
        <f>HYPERLINK("https://booking.roadsurfer.com/es/rally/pick?pickup_date=2026-06-22&amp;return_date=2026-06-29&amp;currency=EUR&amp;startStation=24&amp;endStation=15", "Clic para verlo en la web de RoadSurfer")</f>
        <v/>
      </c>
    </row>
    <row r="17">
      <c r="A17" t="inlineStr">
        <is>
          <t>Alemania</t>
        </is>
      </c>
      <c r="B17" t="inlineStr">
        <is>
          <t>Bochum</t>
        </is>
      </c>
      <c r="C17" t="inlineStr">
        <is>
          <t>Bélgica</t>
        </is>
      </c>
      <c r="D17" t="inlineStr">
        <is>
          <t>Bruselas</t>
        </is>
      </c>
      <c r="E17" t="inlineStr">
        <is>
          <t>2026-06-30</t>
        </is>
      </c>
      <c r="F17" t="inlineStr">
        <is>
          <t>2026-07-07</t>
        </is>
      </c>
      <c r="G17" t="inlineStr">
        <is>
          <t xml:space="preserve"> - Road House</t>
        </is>
      </c>
      <c r="H17">
        <f>HYPERLINK("https://booking.roadsurfer.com/es/rally/pick?pickup_date=2026-06-30&amp;return_date=2026-07-07&amp;currency=EUR&amp;startStation=24&amp;endStation=42", "Clic para verlo en la web de RoadSurfer")</f>
        <v/>
      </c>
    </row>
    <row r="18">
      <c r="A18" t="inlineStr">
        <is>
          <t>Alemania</t>
        </is>
      </c>
      <c r="B18" t="inlineStr">
        <is>
          <t>Bochum</t>
        </is>
      </c>
      <c r="C18" t="inlineStr">
        <is>
          <t>Francia</t>
        </is>
      </c>
      <c r="D18" t="inlineStr">
        <is>
          <t>París Aeropuerto CDG</t>
        </is>
      </c>
      <c r="E18" t="inlineStr">
        <is>
          <t>2026-06-19</t>
        </is>
      </c>
      <c r="F18" t="inlineStr">
        <is>
          <t>2026-06-26</t>
        </is>
      </c>
      <c r="G18" t="inlineStr">
        <is>
          <t xml:space="preserve"> - Couple Cottage</t>
        </is>
      </c>
      <c r="H18">
        <f>HYPERLINK("https://booking.roadsurfer.com/es/rally/pick?pickup_date=2026-06-19&amp;return_date=2026-06-26&amp;currency=EUR&amp;startStation=24&amp;endStation=48", "Clic para verlo en la web de RoadSurfer")</f>
        <v/>
      </c>
    </row>
    <row r="19">
      <c r="A19" t="inlineStr">
        <is>
          <t>Alemania</t>
        </is>
      </c>
      <c r="B19" t="inlineStr">
        <is>
          <t>Bochum</t>
        </is>
      </c>
      <c r="C19" t="inlineStr">
        <is>
          <t>Francia</t>
        </is>
      </c>
      <c r="D19" t="inlineStr">
        <is>
          <t>Nantes</t>
        </is>
      </c>
      <c r="E19" t="inlineStr">
        <is>
          <t>2026-06-30</t>
        </is>
      </c>
      <c r="F19" t="inlineStr">
        <is>
          <t>2026-07-07</t>
        </is>
      </c>
      <c r="G19" t="inlineStr">
        <is>
          <t xml:space="preserve"> - Camper Castle</t>
        </is>
      </c>
      <c r="H19">
        <f>HYPERLINK("https://booking.roadsurfer.com/es/rally/pick?pickup_date=2026-06-30&amp;return_date=2026-07-07&amp;currency=EUR&amp;startStation=24&amp;endStation=31",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2026-06-17</t>
        </is>
      </c>
      <c r="F20" t="inlineStr">
        <is>
          <t>2026-06-24</t>
        </is>
      </c>
      <c r="G20" t="inlineStr">
        <is>
          <t xml:space="preserve"> - Surfer Suite</t>
        </is>
      </c>
      <c r="H20">
        <f>HYPERLINK("https://booking.roadsurfer.com/es/rally/pick?pickup_date=2026-06-17&amp;return_date=2026-06-24&amp;currency=EUR&amp;startStation=13&amp;endStation=22",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2026-06-18</t>
        </is>
      </c>
      <c r="F21" t="inlineStr">
        <is>
          <t>2026-06-25</t>
        </is>
      </c>
      <c r="G21" t="inlineStr">
        <is>
          <t xml:space="preserve"> - Surfer Suite - Sunrise Suite</t>
        </is>
      </c>
      <c r="H21">
        <f>HYPERLINK("https://booking.roadsurfer.com/es/rally/pick?pickup_date=2026-06-18&amp;return_date=2026-06-25&amp;currency=EUR&amp;startStation=13&amp;endStation=22",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2026-06-12</t>
        </is>
      </c>
      <c r="F22" t="inlineStr">
        <is>
          <t>2026-06-19</t>
        </is>
      </c>
      <c r="G22" t="inlineStr">
        <is>
          <t xml:space="preserve"> - Beach Hostel - Sunrise Suite</t>
        </is>
      </c>
      <c r="H22">
        <f>HYPERLINK("https://booking.roadsurfer.com/es/rally/pick?pickup_date=2026-06-12&amp;return_date=2026-06-19&amp;currency=EUR&amp;startStation=13&amp;endStation=22",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2026-06-15</t>
        </is>
      </c>
      <c r="F23" t="inlineStr">
        <is>
          <t>2026-06-22</t>
        </is>
      </c>
      <c r="G23" t="inlineStr">
        <is>
          <t xml:space="preserve"> - Surfer Suite</t>
        </is>
      </c>
      <c r="H23">
        <f>HYPERLINK("https://booking.roadsurfer.com/es/rally/pick?pickup_date=2026-06-15&amp;return_date=2026-06-22&amp;currency=EUR&amp;startStation=13&amp;endStation=22",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2026-06-11</t>
        </is>
      </c>
      <c r="F24" t="inlineStr">
        <is>
          <t>2026-06-18</t>
        </is>
      </c>
      <c r="G24" t="inlineStr">
        <is>
          <t xml:space="preserve"> - Road House</t>
        </is>
      </c>
      <c r="H24">
        <f>HYPERLINK("https://booking.roadsurfer.com/es/rally/pick?pickup_date=2026-06-11&amp;return_date=2026-06-18&amp;currency=EUR&amp;startStation=13&amp;endStation=56", "Clic para verlo en la web de RoadSurfer")</f>
        <v/>
      </c>
    </row>
    <row r="25">
      <c r="A25" t="inlineStr">
        <is>
          <t>Alemania</t>
        </is>
      </c>
      <c r="B25" t="inlineStr">
        <is>
          <t>Bremen</t>
        </is>
      </c>
      <c r="C25" t="inlineStr">
        <is>
          <t>Francia</t>
        </is>
      </c>
      <c r="D25" t="inlineStr">
        <is>
          <t>Lille</t>
        </is>
      </c>
      <c r="E25" t="inlineStr">
        <is>
          <t>2026-06-15</t>
        </is>
      </c>
      <c r="F25" t="inlineStr">
        <is>
          <t>2026-06-22</t>
        </is>
      </c>
      <c r="G25" t="inlineStr">
        <is>
          <t xml:space="preserve"> - Beach Hostel</t>
        </is>
      </c>
      <c r="H25">
        <f>HYPERLINK("https://booking.roadsurfer.com/es/rally/pick?pickup_date=2026-06-15&amp;return_date=2026-06-22&amp;currency=EUR&amp;startStation=55&amp;endStation=87", "Clic para verlo en la web de RoadSurfer")</f>
        <v/>
      </c>
    </row>
    <row r="26">
      <c r="A26" t="inlineStr">
        <is>
          <t>Alemania</t>
        </is>
      </c>
      <c r="B26" t="inlineStr">
        <is>
          <t>Bremen</t>
        </is>
      </c>
      <c r="C26" t="inlineStr">
        <is>
          <t>Países Bajos</t>
        </is>
      </c>
      <c r="D26" t="inlineStr">
        <is>
          <t>Ámsterdam</t>
        </is>
      </c>
      <c r="E26" t="inlineStr">
        <is>
          <t>2026-06-22</t>
        </is>
      </c>
      <c r="F26" t="inlineStr">
        <is>
          <t>2026-06-29</t>
        </is>
      </c>
      <c r="G26" t="inlineStr">
        <is>
          <t xml:space="preserve"> - Road House</t>
        </is>
      </c>
      <c r="H26">
        <f>HYPERLINK("https://booking.roadsurfer.com/es/rally/pick?pickup_date=2026-06-22&amp;return_date=2026-06-29&amp;currency=EUR&amp;startStation=55&amp;endStation=32", "Clic para verlo en la web de RoadSurfer")</f>
        <v/>
      </c>
    </row>
    <row r="27">
      <c r="A27" t="inlineStr">
        <is>
          <t>Alemania</t>
        </is>
      </c>
      <c r="B27" t="inlineStr">
        <is>
          <t>Bremen</t>
        </is>
      </c>
      <c r="C27" t="inlineStr">
        <is>
          <t>Países Bajos</t>
        </is>
      </c>
      <c r="D27" t="inlineStr">
        <is>
          <t>Ámsterdam</t>
        </is>
      </c>
      <c r="E27" t="inlineStr">
        <is>
          <t>2026-06-15</t>
        </is>
      </c>
      <c r="F27" t="inlineStr">
        <is>
          <t>2026-06-22</t>
        </is>
      </c>
      <c r="G27" t="inlineStr">
        <is>
          <t xml:space="preserve"> - Family Finca</t>
        </is>
      </c>
      <c r="H27">
        <f>HYPERLINK("https://booking.roadsurfer.com/es/rally/pick?pickup_date=2026-06-15&amp;return_date=2026-06-22&amp;currency=EUR&amp;startStation=55&amp;endStation=32", "Clic para verlo en la web de RoadSurfer")</f>
        <v/>
      </c>
    </row>
    <row r="28">
      <c r="A28" t="inlineStr">
        <is>
          <t>Alemania</t>
        </is>
      </c>
      <c r="B28" t="inlineStr">
        <is>
          <t>Bremen</t>
        </is>
      </c>
      <c r="C28" t="inlineStr">
        <is>
          <t>Países Bajos</t>
        </is>
      </c>
      <c r="D28" t="inlineStr">
        <is>
          <t>Róterdam</t>
        </is>
      </c>
      <c r="E28" t="inlineStr">
        <is>
          <t>2026-06-15</t>
        </is>
      </c>
      <c r="F28" t="inlineStr">
        <is>
          <t>2026-06-22</t>
        </is>
      </c>
      <c r="G28" t="inlineStr">
        <is>
          <t xml:space="preserve"> - Road House</t>
        </is>
      </c>
      <c r="H28">
        <f>HYPERLINK("https://booking.roadsurfer.com/es/rally/pick?pickup_date=2026-06-15&amp;return_date=2026-06-22&amp;currency=EUR&amp;startStation=55&amp;endStation=33", "Clic para verlo en la web de RoadSurfer")</f>
        <v/>
      </c>
    </row>
    <row r="29">
      <c r="A29" t="inlineStr">
        <is>
          <t>Alemania</t>
        </is>
      </c>
      <c r="B29" t="inlineStr">
        <is>
          <t>Bremen</t>
        </is>
      </c>
      <c r="C29" t="inlineStr">
        <is>
          <t>Suecia</t>
        </is>
      </c>
      <c r="D29" t="inlineStr">
        <is>
          <t>Malmö</t>
        </is>
      </c>
      <c r="E29" t="inlineStr">
        <is>
          <t>2026-06-15</t>
        </is>
      </c>
      <c r="F29" t="inlineStr">
        <is>
          <t>2026-06-22</t>
        </is>
      </c>
      <c r="G29" t="inlineStr">
        <is>
          <t xml:space="preserve"> - Camper Castle</t>
        </is>
      </c>
      <c r="H29">
        <f>HYPERLINK("https://booking.roadsurfer.com/es/rally/pick?pickup_date=2026-06-15&amp;return_date=2026-06-22&amp;currency=EUR&amp;startStation=55&amp;endStation=60",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Suecia</t>
        </is>
      </c>
      <c r="D30" t="inlineStr">
        <is>
          <t>Malmö</t>
        </is>
      </c>
      <c r="E30" t="inlineStr">
        <is>
          <t>2026-06-16</t>
        </is>
      </c>
      <c r="F30" t="inlineStr">
        <is>
          <t>2026-06-23</t>
        </is>
      </c>
      <c r="G30" t="inlineStr">
        <is>
          <t xml:space="preserve"> - No hay coche</t>
        </is>
      </c>
      <c r="H30">
        <f>HYPERLINK("https://booking.roadsurfer.com/es/rally/pick?pickup_date=2026-06-16&amp;return_date=2026-06-23&amp;currency=EUR&amp;startStation=55&amp;endStation=60", "Clic para verlo en la web de RoadSurfer")</f>
        <v/>
      </c>
    </row>
    <row r="31">
      <c r="A31" t="inlineStr">
        <is>
          <t>Alemania</t>
        </is>
      </c>
      <c r="B31" t="inlineStr">
        <is>
          <t>Bremen</t>
        </is>
      </c>
      <c r="C31" t="inlineStr">
        <is>
          <t>Francia</t>
        </is>
      </c>
      <c r="D31" t="inlineStr">
        <is>
          <t>Lyon</t>
        </is>
      </c>
      <c r="E31" t="inlineStr">
        <is>
          <t>2026-06-23</t>
        </is>
      </c>
      <c r="F31" t="inlineStr">
        <is>
          <t>2026-06-30</t>
        </is>
      </c>
      <c r="G31" t="inlineStr">
        <is>
          <t xml:space="preserve"> - Couple Cottage</t>
        </is>
      </c>
      <c r="H31">
        <f>HYPERLINK("https://booking.roadsurfer.com/es/rally/pick?pickup_date=2026-06-23&amp;return_date=2026-06-30&amp;currency=EUR&amp;startStation=55&amp;endStation=15", "Clic para verlo en la web de RoadSurfer")</f>
        <v/>
      </c>
    </row>
    <row r="32">
      <c r="A32" t="inlineStr">
        <is>
          <t>Alemania</t>
        </is>
      </c>
      <c r="B32" t="inlineStr">
        <is>
          <t>Bremen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2026-06-23</t>
        </is>
      </c>
      <c r="F32" t="inlineStr">
        <is>
          <t>2026-06-30</t>
        </is>
      </c>
      <c r="G32" t="inlineStr">
        <is>
          <t xml:space="preserve"> - Couple Cottage</t>
        </is>
      </c>
      <c r="H32">
        <f>HYPERLINK("https://booking.roadsurfer.com/es/rally/pick?pickup_date=2026-06-23&amp;return_date=2026-06-30&amp;currency=EUR&amp;startStation=55&amp;endStation=12", "Clic para verlo en la web de RoadSurfer")</f>
        <v/>
      </c>
    </row>
    <row r="33">
      <c r="A33" t="inlineStr">
        <is>
          <t>Alemania</t>
        </is>
      </c>
      <c r="B33" t="inlineStr">
        <is>
          <t>Bremen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2026-06-23</t>
        </is>
      </c>
      <c r="F33" t="inlineStr">
        <is>
          <t>2026-06-30</t>
        </is>
      </c>
      <c r="G33" t="inlineStr">
        <is>
          <t xml:space="preserve"> - Couple Cottage</t>
        </is>
      </c>
      <c r="H33">
        <f>HYPERLINK("https://booking.roadsurfer.com/es/rally/pick?pickup_date=2026-06-23&amp;return_date=2026-06-30&amp;currency=EUR&amp;startStation=55&amp;endStation=48", "Clic para verlo en la web de RoadSurfer")</f>
        <v/>
      </c>
    </row>
    <row r="34">
      <c r="A34" t="inlineStr">
        <is>
          <t>Alemania</t>
        </is>
      </c>
      <c r="B34" t="inlineStr">
        <is>
          <t>Bremen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2026-06-17</t>
        </is>
      </c>
      <c r="F34" t="inlineStr">
        <is>
          <t>2026-06-24</t>
        </is>
      </c>
      <c r="G34" t="inlineStr">
        <is>
          <t xml:space="preserve"> - Camper Cabin</t>
        </is>
      </c>
      <c r="H34">
        <f>HYPERLINK("https://booking.roadsurfer.com/es/rally/pick?pickup_date=2026-06-17&amp;return_date=2026-06-24&amp;currency=EUR&amp;startStation=55&amp;endStation=42", "Clic para verlo en la web de RoadSurfer")</f>
        <v/>
      </c>
    </row>
    <row r="35">
      <c r="A35" t="inlineStr">
        <is>
          <t>Reino Unido</t>
        </is>
      </c>
      <c r="B35" t="inlineStr">
        <is>
          <t>Bristol</t>
        </is>
      </c>
      <c r="C35" t="inlineStr">
        <is>
          <t>Reino Unido</t>
        </is>
      </c>
      <c r="D35" t="inlineStr">
        <is>
          <t>Edimburgo</t>
        </is>
      </c>
      <c r="E35" t="inlineStr">
        <is>
          <t>2026-06-22</t>
        </is>
      </c>
      <c r="F35" t="inlineStr">
        <is>
          <t>2026-06-29</t>
        </is>
      </c>
      <c r="G35" t="inlineStr">
        <is>
          <t xml:space="preserve"> - Cozy Cottage</t>
        </is>
      </c>
      <c r="H35">
        <f>HYPERLINK("https://booking.roadsurfer.com/es/rally/pick?pickup_date=2026-06-22&amp;return_date=2026-06-29&amp;currency=EUR&amp;startStation=98&amp;endStation=64", "Clic para verlo en la web de RoadSurfer")</f>
        <v/>
      </c>
    </row>
    <row r="36">
      <c r="A36" t="inlineStr">
        <is>
          <t>Alemania</t>
        </is>
      </c>
      <c r="B36" t="inlineStr">
        <is>
          <t>Colonia-Bonn</t>
        </is>
      </c>
      <c r="C36" t="inlineStr">
        <is>
          <t>Francia</t>
        </is>
      </c>
      <c r="D36" t="inlineStr">
        <is>
          <t>Lyon</t>
        </is>
      </c>
      <c r="E36" t="inlineStr">
        <is>
          <t>2026-06-15</t>
        </is>
      </c>
      <c r="F36" t="inlineStr">
        <is>
          <t>2026-06-22</t>
        </is>
      </c>
      <c r="G36" t="inlineStr">
        <is>
          <t xml:space="preserve"> - Cozy Cottage</t>
        </is>
      </c>
      <c r="H36">
        <f>HYPERLINK("https://booking.roadsurfer.com/es/rally/pick?pickup_date=2026-06-15&amp;return_date=2026-06-22&amp;currency=EUR&amp;startStation=52&amp;endStation=15", "Clic para verlo en la web de RoadSurfer")</f>
        <v/>
      </c>
    </row>
    <row r="37">
      <c r="A37" t="inlineStr">
        <is>
          <t>Alemania</t>
        </is>
      </c>
      <c r="B37" t="inlineStr">
        <is>
          <t>Colonia-Bonn</t>
        </is>
      </c>
      <c r="C37" t="inlineStr">
        <is>
          <t>Francia</t>
        </is>
      </c>
      <c r="D37" t="inlineStr">
        <is>
          <t>Estrasburgo</t>
        </is>
      </c>
      <c r="E37" t="inlineStr">
        <is>
          <t>2026-06-22</t>
        </is>
      </c>
      <c r="F37" t="inlineStr">
        <is>
          <t>2026-06-29</t>
        </is>
      </c>
      <c r="G37" t="inlineStr">
        <is>
          <t xml:space="preserve"> - Camper Castle</t>
        </is>
      </c>
      <c r="H37">
        <f>HYPERLINK("https://booking.roadsurfer.com/es/rally/pick?pickup_date=2026-06-22&amp;return_date=2026-06-29&amp;currency=EUR&amp;startStation=52&amp;endStation=49", "Clic para verlo en la web de RoadSurfer")</f>
        <v/>
      </c>
    </row>
    <row r="38">
      <c r="A38" t="inlineStr">
        <is>
          <t>Alemania</t>
        </is>
      </c>
      <c r="B38" t="inlineStr">
        <is>
          <t>Colonia-Bonn</t>
        </is>
      </c>
      <c r="C38" t="inlineStr">
        <is>
          <t>España</t>
        </is>
      </c>
      <c r="D38" t="inlineStr">
        <is>
          <t>Bilbao</t>
        </is>
      </c>
      <c r="E38" t="inlineStr">
        <is>
          <t>2026-06-17</t>
        </is>
      </c>
      <c r="F38" t="inlineStr">
        <is>
          <t>2026-06-24</t>
        </is>
      </c>
      <c r="G38" t="inlineStr">
        <is>
          <t xml:space="preserve"> - Sunrise Suite</t>
        </is>
      </c>
      <c r="H38">
        <f>HYPERLINK("https://booking.roadsurfer.com/es/rally/pick?pickup_date=2026-06-17&amp;return_date=2026-06-24&amp;currency=EUR&amp;startStation=52&amp;endStation=40", "Clic para verlo en la web de RoadSurfer")</f>
        <v/>
      </c>
    </row>
    <row r="39">
      <c r="A39" t="inlineStr">
        <is>
          <t>Alemania</t>
        </is>
      </c>
      <c r="B39" t="inlineStr">
        <is>
          <t>Colonia-Bonn</t>
        </is>
      </c>
      <c r="C39" t="inlineStr">
        <is>
          <t>Francia</t>
        </is>
      </c>
      <c r="D39" t="inlineStr">
        <is>
          <t>París Sur (Orly)</t>
        </is>
      </c>
      <c r="E39" t="inlineStr">
        <is>
          <t>2026-06-15</t>
        </is>
      </c>
      <c r="F39" t="inlineStr">
        <is>
          <t>2026-06-22</t>
        </is>
      </c>
      <c r="G39" t="inlineStr">
        <is>
          <t xml:space="preserve"> - No hay coche</t>
        </is>
      </c>
      <c r="H39">
        <f>HYPERLINK("https://booking.roadsurfer.com/es/rally/pick?pickup_date=2026-06-15&amp;return_date=2026-06-22&amp;currency=EUR&amp;startStation=52&amp;endStation=12", "Clic para verlo en la web de RoadSurfer")</f>
        <v/>
      </c>
    </row>
    <row r="40">
      <c r="A40" t="inlineStr">
        <is>
          <t>Alemania</t>
        </is>
      </c>
      <c r="B40" t="inlineStr">
        <is>
          <t>Colonia-Düsseldorf</t>
        </is>
      </c>
      <c r="C40" t="inlineStr">
        <is>
          <t>Austria</t>
        </is>
      </c>
      <c r="D40" t="inlineStr">
        <is>
          <t>Graz</t>
        </is>
      </c>
      <c r="E40" t="inlineStr">
        <is>
          <t>2026-06-15</t>
        </is>
      </c>
      <c r="F40" t="inlineStr">
        <is>
          <t>2026-06-22</t>
        </is>
      </c>
      <c r="G40" t="inlineStr">
        <is>
          <t xml:space="preserve"> - Road House</t>
        </is>
      </c>
      <c r="H40">
        <f>HYPERLINK("https://booking.roadsurfer.com/es/rally/pick?pickup_date=2026-06-15&amp;return_date=2026-06-22&amp;currency=EUR&amp;startStation=4&amp;endStation=37", "Clic para verlo en la web de RoadSurfer")</f>
        <v/>
      </c>
    </row>
    <row r="41">
      <c r="A41" t="inlineStr">
        <is>
          <t>Alemania</t>
        </is>
      </c>
      <c r="B41" t="inlineStr">
        <is>
          <t>Colonia-Düsseldorf</t>
        </is>
      </c>
      <c r="C41" t="inlineStr">
        <is>
          <t>Francia</t>
        </is>
      </c>
      <c r="D41" t="inlineStr">
        <is>
          <t>París Sur (Orly)</t>
        </is>
      </c>
      <c r="E41" t="inlineStr">
        <is>
          <t>2026-06-22</t>
        </is>
      </c>
      <c r="F41" t="inlineStr">
        <is>
          <t>2026-06-29</t>
        </is>
      </c>
      <c r="G41" t="inlineStr">
        <is>
          <t xml:space="preserve"> - Road House</t>
        </is>
      </c>
      <c r="H41">
        <f>HYPERLINK("https://booking.roadsurfer.com/es/rally/pick?pickup_date=2026-06-22&amp;return_date=2026-06-29&amp;currency=EUR&amp;startStation=4&amp;endStation=12", "Clic para verlo en la web de RoadSurfer")</f>
        <v/>
      </c>
    </row>
    <row r="42">
      <c r="A42" t="inlineStr">
        <is>
          <t>Alemania</t>
        </is>
      </c>
      <c r="B42" t="inlineStr">
        <is>
          <t>Colonia-Düsseldorf</t>
        </is>
      </c>
      <c r="C42" t="inlineStr">
        <is>
          <t>Francia</t>
        </is>
      </c>
      <c r="D42" t="inlineStr">
        <is>
          <t>Lyon</t>
        </is>
      </c>
      <c r="E42" t="inlineStr">
        <is>
          <t>2026-06-30</t>
        </is>
      </c>
      <c r="F42" t="inlineStr">
        <is>
          <t>2026-07-07</t>
        </is>
      </c>
      <c r="G42" t="inlineStr"/>
      <c r="H42">
        <f>HYPERLINK("https://booking.roadsurfer.com/es/rally/pick?pickup_date=2026-06-30&amp;return_date=2026-07-07&amp;currency=EUR&amp;startStation=4&amp;endStation=15", "Clic para verlo en la web de RoadSurfer")</f>
        <v/>
      </c>
    </row>
    <row r="43">
      <c r="A43" t="inlineStr">
        <is>
          <t>Alemania</t>
        </is>
      </c>
      <c r="B43" t="inlineStr">
        <is>
          <t>Colonia-Düsseldorf</t>
        </is>
      </c>
      <c r="C43" t="inlineStr">
        <is>
          <t>Alemania</t>
        </is>
      </c>
      <c r="D43" t="inlineStr">
        <is>
          <t>Augsburgo</t>
        </is>
      </c>
      <c r="E43" t="inlineStr">
        <is>
          <t>2026-06-27</t>
        </is>
      </c>
      <c r="F43" t="inlineStr">
        <is>
          <t>2026-07-04</t>
        </is>
      </c>
      <c r="G43" t="inlineStr">
        <is>
          <t xml:space="preserve"> - No hay coche</t>
        </is>
      </c>
      <c r="H43">
        <f>HYPERLINK("https://booking.roadsurfer.com/es/rally/pick?pickup_date=2026-06-27&amp;return_date=2026-07-04&amp;currency=EUR&amp;startStation=4&amp;endStation=108", "Clic para verlo en la web de RoadSurfer")</f>
        <v/>
      </c>
    </row>
    <row r="44">
      <c r="A44" t="inlineStr">
        <is>
          <t>Alemania</t>
        </is>
      </c>
      <c r="B44" t="inlineStr">
        <is>
          <t>Colonia-Düsseldorf</t>
        </is>
      </c>
      <c r="C44" t="inlineStr">
        <is>
          <t>Francia</t>
        </is>
      </c>
      <c r="D44" t="inlineStr">
        <is>
          <t>Toulouse</t>
        </is>
      </c>
      <c r="E44" t="inlineStr">
        <is>
          <t>2026-06-18</t>
        </is>
      </c>
      <c r="F44" t="inlineStr">
        <is>
          <t>2026-06-25</t>
        </is>
      </c>
      <c r="G44" t="inlineStr">
        <is>
          <t xml:space="preserve"> - Family Finca</t>
        </is>
      </c>
      <c r="H44">
        <f>HYPERLINK("https://booking.roadsurfer.com/es/rally/pick?pickup_date=2026-06-18&amp;return_date=2026-06-25&amp;currency=EUR&amp;startStation=4&amp;endStation=30", "Clic para verlo en la web de RoadSurfer")</f>
        <v/>
      </c>
    </row>
    <row r="45">
      <c r="A45" t="inlineStr">
        <is>
          <t>Alemania</t>
        </is>
      </c>
      <c r="B45" t="inlineStr">
        <is>
          <t>Colonia-Düsseldorf</t>
        </is>
      </c>
      <c r="C45" t="inlineStr">
        <is>
          <t>Francia</t>
        </is>
      </c>
      <c r="D45" t="inlineStr">
        <is>
          <t>Burdeos</t>
        </is>
      </c>
      <c r="E45" t="inlineStr">
        <is>
          <t>2026-06-23</t>
        </is>
      </c>
      <c r="F45" t="inlineStr">
        <is>
          <t>2026-06-30</t>
        </is>
      </c>
      <c r="G45" t="inlineStr">
        <is>
          <t xml:space="preserve"> - Sunrise Suite</t>
        </is>
      </c>
      <c r="H45">
        <f>HYPERLINK("https://booking.roadsurfer.com/es/rally/pick?pickup_date=2026-06-23&amp;return_date=2026-06-30&amp;currency=EUR&amp;startStation=4&amp;endStation=13", "Clic para verlo en la web de RoadSurfer")</f>
        <v/>
      </c>
    </row>
    <row r="46">
      <c r="A46" t="inlineStr">
        <is>
          <t>Alemania</t>
        </is>
      </c>
      <c r="B46" t="inlineStr">
        <is>
          <t>Constanza (Aach)</t>
        </is>
      </c>
      <c r="C46" t="inlineStr">
        <is>
          <t>Francia</t>
        </is>
      </c>
      <c r="D46" t="inlineStr">
        <is>
          <t>Burdeos</t>
        </is>
      </c>
      <c r="E46" t="inlineStr">
        <is>
          <t>2026-07-09</t>
        </is>
      </c>
      <c r="F46" t="inlineStr">
        <is>
          <t>2026-07-16</t>
        </is>
      </c>
      <c r="G46" t="inlineStr">
        <is>
          <t xml:space="preserve"> - Surfer Suite</t>
        </is>
      </c>
      <c r="H46">
        <f>HYPERLINK("https://booking.roadsurfer.com/es/rally/pick?pickup_date=2026-07-09&amp;return_date=2026-07-16&amp;currency=EUR&amp;startStation=10&amp;endStation=13", "Clic para verlo en la web de RoadSurfer")</f>
        <v/>
      </c>
    </row>
    <row r="47">
      <c r="A47" t="inlineStr">
        <is>
          <t>Alemania</t>
        </is>
      </c>
      <c r="B47" t="inlineStr">
        <is>
          <t>Constanza (Aach)</t>
        </is>
      </c>
      <c r="C47" t="inlineStr">
        <is>
          <t>Alemania</t>
        </is>
      </c>
      <c r="D47" t="inlineStr">
        <is>
          <t>Erfurt</t>
        </is>
      </c>
      <c r="E47" t="inlineStr">
        <is>
          <t>2026-06-13</t>
        </is>
      </c>
      <c r="F47" t="inlineStr">
        <is>
          <t>2026-06-20</t>
        </is>
      </c>
      <c r="G47" t="inlineStr">
        <is>
          <t xml:space="preserve"> - Surfer Suite</t>
        </is>
      </c>
      <c r="H47">
        <f>HYPERLINK("https://booking.roadsurfer.com/es/rally/pick?pickup_date=2026-06-13&amp;return_date=2026-06-20&amp;currency=EUR&amp;startStation=10&amp;endStation=90", "Clic para verlo en la web de RoadSurfer")</f>
        <v/>
      </c>
    </row>
    <row r="48">
      <c r="A48" t="inlineStr">
        <is>
          <t>Alemania</t>
        </is>
      </c>
      <c r="B48" t="inlineStr">
        <is>
          <t>Constanza (Aach)</t>
        </is>
      </c>
      <c r="C48" t="inlineStr">
        <is>
          <t>Austria</t>
        </is>
      </c>
      <c r="D48" t="inlineStr">
        <is>
          <t>Graz</t>
        </is>
      </c>
      <c r="E48" t="inlineStr">
        <is>
          <t>2026-06-29</t>
        </is>
      </c>
      <c r="F48" t="inlineStr">
        <is>
          <t>2026-07-06</t>
        </is>
      </c>
      <c r="G48" t="inlineStr">
        <is>
          <t xml:space="preserve"> - No hay coche</t>
        </is>
      </c>
      <c r="H48">
        <f>HYPERLINK("https://booking.roadsurfer.com/es/rally/pick?pickup_date=2026-06-29&amp;return_date=2026-07-06&amp;currency=EUR&amp;startStation=10&amp;endStation=37", "Clic para verlo en la web de RoadSurfer")</f>
        <v/>
      </c>
    </row>
    <row r="49">
      <c r="A49" t="inlineStr">
        <is>
          <t>Alemania</t>
        </is>
      </c>
      <c r="B49" t="inlineStr">
        <is>
          <t>Constanza (Aach)</t>
        </is>
      </c>
      <c r="C49" t="inlineStr">
        <is>
          <t>España</t>
        </is>
      </c>
      <c r="D49" t="inlineStr">
        <is>
          <t>Barcelona</t>
        </is>
      </c>
      <c r="E49" t="inlineStr">
        <is>
          <t>2026-06-29</t>
        </is>
      </c>
      <c r="F49" t="inlineStr">
        <is>
          <t>2026-07-06</t>
        </is>
      </c>
      <c r="G49" t="inlineStr">
        <is>
          <t xml:space="preserve"> - Camper Cabin Deluxe</t>
        </is>
      </c>
      <c r="H49">
        <f>HYPERLINK("https://booking.roadsurfer.com/es/rally/pick?pickup_date=2026-06-29&amp;return_date=2026-07-06&amp;currency=EUR&amp;startStation=10&amp;endStation=17", "Clic para verlo en la web de RoadSurfer")</f>
        <v/>
      </c>
    </row>
    <row r="50">
      <c r="A50" t="inlineStr">
        <is>
          <t>Alemania</t>
        </is>
      </c>
      <c r="B50" t="inlineStr">
        <is>
          <t>Dresde</t>
        </is>
      </c>
      <c r="C50" t="inlineStr">
        <is>
          <t>Francia</t>
        </is>
      </c>
      <c r="D50" t="inlineStr">
        <is>
          <t>Lyon</t>
        </is>
      </c>
      <c r="E50" t="inlineStr">
        <is>
          <t>2026-06-26</t>
        </is>
      </c>
      <c r="F50" t="inlineStr">
        <is>
          <t>2026-07-03</t>
        </is>
      </c>
      <c r="G50" t="inlineStr"/>
      <c r="H50">
        <f>HYPERLINK("https://booking.roadsurfer.com/es/rally/pick?pickup_date=2026-06-26&amp;return_date=2026-07-03&amp;currency=EUR&amp;startStation=56&amp;endStation=15", "Clic para verlo en la web de RoadSurfer")</f>
        <v/>
      </c>
    </row>
    <row r="51">
      <c r="A51" t="inlineStr">
        <is>
          <t>Alemania</t>
        </is>
      </c>
      <c r="B51" t="inlineStr">
        <is>
          <t>Dresde</t>
        </is>
      </c>
      <c r="C51" t="inlineStr">
        <is>
          <t>Italia</t>
        </is>
      </c>
      <c r="D51" t="inlineStr">
        <is>
          <t>Venecia</t>
        </is>
      </c>
      <c r="E51" t="inlineStr">
        <is>
          <t>2026-06-15</t>
        </is>
      </c>
      <c r="F51" t="inlineStr">
        <is>
          <t>2026-06-22</t>
        </is>
      </c>
      <c r="G51" t="inlineStr">
        <is>
          <t xml:space="preserve"> - No hay coche</t>
        </is>
      </c>
      <c r="H51">
        <f>HYPERLINK("https://booking.roadsurfer.com/es/rally/pick?pickup_date=2026-06-15&amp;return_date=2026-06-22&amp;currency=EUR&amp;startStation=56&amp;endStation=78", "Clic para verlo en la web de RoadSurfer")</f>
        <v/>
      </c>
    </row>
    <row r="52">
      <c r="A52" t="inlineStr">
        <is>
          <t>Alemania</t>
        </is>
      </c>
      <c r="B52" t="inlineStr">
        <is>
          <t>Dresde</t>
        </is>
      </c>
      <c r="C52" t="inlineStr">
        <is>
          <t>Austria</t>
        </is>
      </c>
      <c r="D52" t="inlineStr">
        <is>
          <t>Linz</t>
        </is>
      </c>
      <c r="E52" t="inlineStr">
        <is>
          <t>2026-06-15</t>
        </is>
      </c>
      <c r="F52" t="inlineStr">
        <is>
          <t>2026-06-22</t>
        </is>
      </c>
      <c r="G52" t="inlineStr">
        <is>
          <t xml:space="preserve"> - Road House</t>
        </is>
      </c>
      <c r="H52">
        <f>HYPERLINK("https://booking.roadsurfer.com/es/rally/pick?pickup_date=2026-06-15&amp;return_date=2026-06-22&amp;currency=EUR&amp;startStation=56&amp;endStation=116", "Clic para verlo en la web de RoadSurfer")</f>
        <v/>
      </c>
    </row>
    <row r="53">
      <c r="A53" t="inlineStr">
        <is>
          <t>Alemania</t>
        </is>
      </c>
      <c r="B53" t="inlineStr">
        <is>
          <t>Dresde</t>
        </is>
      </c>
      <c r="C53" t="inlineStr">
        <is>
          <t>Suecia</t>
        </is>
      </c>
      <c r="D53" t="inlineStr">
        <is>
          <t>Estocolmo</t>
        </is>
      </c>
      <c r="E53" t="inlineStr">
        <is>
          <t>2026-06-16</t>
        </is>
      </c>
      <c r="F53" t="inlineStr">
        <is>
          <t>2026-06-23</t>
        </is>
      </c>
      <c r="G53" t="inlineStr">
        <is>
          <t xml:space="preserve"> - Camper Castle</t>
        </is>
      </c>
      <c r="H53">
        <f>HYPERLINK("https://booking.roadsurfer.com/es/rally/pick?pickup_date=2026-06-16&amp;return_date=2026-06-23&amp;currency=EUR&amp;startStation=56&amp;endStation=59", "Clic para verlo en la web de RoadSurfer")</f>
        <v/>
      </c>
    </row>
    <row r="54">
      <c r="A54" t="inlineStr">
        <is>
          <t>Alemania</t>
        </is>
      </c>
      <c r="B54" t="inlineStr">
        <is>
          <t>Dresde</t>
        </is>
      </c>
      <c r="C54" t="inlineStr">
        <is>
          <t>Suecia</t>
        </is>
      </c>
      <c r="D54" t="inlineStr">
        <is>
          <t>Estocolmo</t>
        </is>
      </c>
      <c r="E54" t="inlineStr">
        <is>
          <t>2026-06-22</t>
        </is>
      </c>
      <c r="F54" t="inlineStr">
        <is>
          <t>2026-06-29</t>
        </is>
      </c>
      <c r="G54" t="inlineStr">
        <is>
          <t xml:space="preserve"> - Camper Castle</t>
        </is>
      </c>
      <c r="H54">
        <f>HYPERLINK("https://booking.roadsurfer.com/es/rally/pick?pickup_date=2026-06-22&amp;return_date=2026-06-29&amp;currency=EUR&amp;startStation=56&amp;endStation=59", "Clic para verlo en la web de RoadSurfer")</f>
        <v/>
      </c>
    </row>
    <row r="55">
      <c r="A55" t="inlineStr">
        <is>
          <t>Alemania</t>
        </is>
      </c>
      <c r="B55" t="inlineStr">
        <is>
          <t>Dresde</t>
        </is>
      </c>
      <c r="C55" t="inlineStr">
        <is>
          <t>Suecia</t>
        </is>
      </c>
      <c r="D55" t="inlineStr">
        <is>
          <t>Estocolmo</t>
        </is>
      </c>
      <c r="E55" t="inlineStr">
        <is>
          <t>2026-06-13</t>
        </is>
      </c>
      <c r="F55" t="inlineStr">
        <is>
          <t>2026-06-20</t>
        </is>
      </c>
      <c r="G55" t="inlineStr">
        <is>
          <t xml:space="preserve"> - No hay coche</t>
        </is>
      </c>
      <c r="H55">
        <f>HYPERLINK("https://booking.roadsurfer.com/es/rally/pick?pickup_date=2026-06-13&amp;return_date=2026-06-20&amp;currency=EUR&amp;startStation=56&amp;endStation=59", "Clic para verlo en la web de RoadSurfer")</f>
        <v/>
      </c>
    </row>
    <row r="56">
      <c r="A56" t="inlineStr">
        <is>
          <t>Alemania</t>
        </is>
      </c>
      <c r="B56" t="inlineStr">
        <is>
          <t>Dresde</t>
        </is>
      </c>
      <c r="C56" t="inlineStr">
        <is>
          <t>Francia</t>
        </is>
      </c>
      <c r="D56" t="inlineStr">
        <is>
          <t>París Sur (Orly)</t>
        </is>
      </c>
      <c r="E56" t="inlineStr">
        <is>
          <t>2026-06-12</t>
        </is>
      </c>
      <c r="F56" t="inlineStr">
        <is>
          <t>2026-06-19</t>
        </is>
      </c>
      <c r="G56" t="inlineStr">
        <is>
          <t xml:space="preserve"> - Family Finca</t>
        </is>
      </c>
      <c r="H56">
        <f>HYPERLINK("https://booking.roadsurfer.com/es/rally/pick?pickup_date=2026-06-12&amp;return_date=2026-06-19&amp;currency=EUR&amp;startStation=56&amp;endStation=12", "Clic para verlo en la web de RoadSurfer")</f>
        <v/>
      </c>
    </row>
    <row r="57">
      <c r="A57" t="inlineStr">
        <is>
          <t>Alemania</t>
        </is>
      </c>
      <c r="B57" t="inlineStr">
        <is>
          <t>Dresde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2026-06-29</t>
        </is>
      </c>
      <c r="F57" t="inlineStr">
        <is>
          <t>2026-07-06</t>
        </is>
      </c>
      <c r="G57" t="inlineStr">
        <is>
          <t xml:space="preserve"> - No hay coche</t>
        </is>
      </c>
      <c r="H57">
        <f>HYPERLINK("https://booking.roadsurfer.com/es/rally/pick?pickup_date=2026-06-29&amp;return_date=2026-07-06&amp;currency=EUR&amp;startStation=56&amp;endStation=42", "Clic para verlo en la web de RoadSurfer")</f>
        <v/>
      </c>
    </row>
    <row r="58">
      <c r="A58" t="inlineStr">
        <is>
          <t>Alemania</t>
        </is>
      </c>
      <c r="B58" t="inlineStr">
        <is>
          <t>Dresde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2026-06-15</t>
        </is>
      </c>
      <c r="F58" t="inlineStr">
        <is>
          <t>2026-06-22</t>
        </is>
      </c>
      <c r="G58" t="inlineStr">
        <is>
          <t xml:space="preserve"> - Sunrise Suite</t>
        </is>
      </c>
      <c r="H58">
        <f>HYPERLINK("https://booking.roadsurfer.com/es/rally/pick?pickup_date=2026-06-15&amp;return_date=2026-06-22&amp;currency=EUR&amp;startStation=56&amp;endStation=34", "Clic para verlo en la web de RoadSurfer")</f>
        <v/>
      </c>
    </row>
    <row r="59">
      <c r="A59" t="inlineStr">
        <is>
          <t>Alemania</t>
        </is>
      </c>
      <c r="B59" t="inlineStr">
        <is>
          <t>Erfurt</t>
        </is>
      </c>
      <c r="C59" t="inlineStr">
        <is>
          <t>Bélgica</t>
        </is>
      </c>
      <c r="D59" t="inlineStr">
        <is>
          <t>Bruselas</t>
        </is>
      </c>
      <c r="E59" t="inlineStr">
        <is>
          <t>2026-06-18</t>
        </is>
      </c>
      <c r="F59" t="inlineStr">
        <is>
          <t>2026-06-25</t>
        </is>
      </c>
      <c r="G59" t="inlineStr">
        <is>
          <t xml:space="preserve"> - Surfer Suite - Beach Hostel</t>
        </is>
      </c>
      <c r="H59">
        <f>HYPERLINK("https://booking.roadsurfer.com/es/rally/pick?pickup_date=2026-06-18&amp;return_date=2026-06-25&amp;currency=EUR&amp;startStation=90&amp;endStation=42", "Clic para verlo en la web de RoadSurfer")</f>
        <v/>
      </c>
    </row>
    <row r="60">
      <c r="A60" t="inlineStr">
        <is>
          <t>Alemania</t>
        </is>
      </c>
      <c r="B60" t="inlineStr">
        <is>
          <t>Erfurt</t>
        </is>
      </c>
      <c r="C60" t="inlineStr">
        <is>
          <t>Suecia</t>
        </is>
      </c>
      <c r="D60" t="inlineStr">
        <is>
          <t>Malmö</t>
        </is>
      </c>
      <c r="E60" t="inlineStr">
        <is>
          <t>2026-06-18</t>
        </is>
      </c>
      <c r="F60" t="inlineStr">
        <is>
          <t>2026-06-25</t>
        </is>
      </c>
      <c r="G60" t="inlineStr"/>
      <c r="H60">
        <f>HYPERLINK("https://booking.roadsurfer.com/es/rally/pick?pickup_date=2026-06-18&amp;return_date=2026-06-25&amp;currency=EUR&amp;startStation=90&amp;endStation=60", "Clic para verlo en la web de RoadSurfer")</f>
        <v/>
      </c>
    </row>
    <row r="61">
      <c r="A61" t="inlineStr">
        <is>
          <t>Alemania</t>
        </is>
      </c>
      <c r="B61" t="inlineStr">
        <is>
          <t>Erfurt</t>
        </is>
      </c>
      <c r="C61" t="inlineStr">
        <is>
          <t>Francia</t>
        </is>
      </c>
      <c r="D61" t="inlineStr">
        <is>
          <t>Lyon</t>
        </is>
      </c>
      <c r="E61" t="inlineStr">
        <is>
          <t>2026-06-26</t>
        </is>
      </c>
      <c r="F61" t="inlineStr">
        <is>
          <t>2026-07-03</t>
        </is>
      </c>
      <c r="G61" t="inlineStr">
        <is>
          <t xml:space="preserve"> - Surfer Suite</t>
        </is>
      </c>
      <c r="H61">
        <f>HYPERLINK("https://booking.roadsurfer.com/es/rally/pick?pickup_date=2026-06-26&amp;return_date=2026-07-03&amp;currency=EUR&amp;startStation=90&amp;endStation=15", "Clic para verlo en la web de RoadSurfer")</f>
        <v/>
      </c>
    </row>
    <row r="62">
      <c r="A62" t="inlineStr">
        <is>
          <t>Alemania</t>
        </is>
      </c>
      <c r="B62" t="inlineStr">
        <is>
          <t>Erfurt</t>
        </is>
      </c>
      <c r="C62" t="inlineStr">
        <is>
          <t>Francia</t>
        </is>
      </c>
      <c r="D62" t="inlineStr">
        <is>
          <t>Lyon</t>
        </is>
      </c>
      <c r="E62" t="inlineStr">
        <is>
          <t>2026-06-29</t>
        </is>
      </c>
      <c r="F62" t="inlineStr">
        <is>
          <t>2026-07-06</t>
        </is>
      </c>
      <c r="G62" t="inlineStr">
        <is>
          <t xml:space="preserve"> - Camper Cabin</t>
        </is>
      </c>
      <c r="H62">
        <f>HYPERLINK("https://booking.roadsurfer.com/es/rally/pick?pickup_date=2026-06-29&amp;return_date=2026-07-06&amp;currency=EUR&amp;startStation=90&amp;endStation=15", "Clic para verlo en la web de RoadSurfer")</f>
        <v/>
      </c>
    </row>
    <row r="63">
      <c r="A63" t="inlineStr">
        <is>
          <t>Alemania</t>
        </is>
      </c>
      <c r="B63" t="inlineStr">
        <is>
          <t>Erfurt</t>
        </is>
      </c>
      <c r="C63" t="inlineStr">
        <is>
          <t>Francia</t>
        </is>
      </c>
      <c r="D63" t="inlineStr">
        <is>
          <t>Ginebra-Pays de Gex (Francia)</t>
        </is>
      </c>
      <c r="E63" t="inlineStr">
        <is>
          <t>2026-06-15</t>
        </is>
      </c>
      <c r="F63" t="inlineStr">
        <is>
          <t>2026-06-22</t>
        </is>
      </c>
      <c r="G63" t="inlineStr">
        <is>
          <t xml:space="preserve"> - No hay coche</t>
        </is>
      </c>
      <c r="H63">
        <f>HYPERLINK("https://booking.roadsurfer.com/es/rally/pick?pickup_date=2026-06-15&amp;return_date=2026-06-22&amp;currency=EUR&amp;startStation=90&amp;endStation=29", "Clic para verlo en la web de RoadSurfer")</f>
        <v/>
      </c>
    </row>
    <row r="64">
      <c r="A64" t="inlineStr">
        <is>
          <t>Alemania</t>
        </is>
      </c>
      <c r="B64" t="inlineStr">
        <is>
          <t>Erfurt</t>
        </is>
      </c>
      <c r="C64" t="inlineStr">
        <is>
          <t>Francia</t>
        </is>
      </c>
      <c r="D64" t="inlineStr">
        <is>
          <t>Niza</t>
        </is>
      </c>
      <c r="E64" t="inlineStr">
        <is>
          <t>2026-06-30</t>
        </is>
      </c>
      <c r="F64" t="inlineStr">
        <is>
          <t>2026-07-07</t>
        </is>
      </c>
      <c r="G64" t="inlineStr">
        <is>
          <t xml:space="preserve"> - Beach Hostel</t>
        </is>
      </c>
      <c r="H64">
        <f>HYPERLINK("https://booking.roadsurfer.com/es/rally/pick?pickup_date=2026-06-30&amp;return_date=2026-07-07&amp;currency=EUR&amp;startStation=90&amp;endStation=88", "Clic para verlo en la web de RoadSurfer")</f>
        <v/>
      </c>
    </row>
    <row r="65">
      <c r="A65" t="inlineStr">
        <is>
          <t>Alemania</t>
        </is>
      </c>
      <c r="B65" t="inlineStr">
        <is>
          <t>Erfurt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2026-06-15</t>
        </is>
      </c>
      <c r="F65" t="inlineStr">
        <is>
          <t>2026-06-22</t>
        </is>
      </c>
      <c r="G65" t="inlineStr">
        <is>
          <t xml:space="preserve"> - Beach Hostel</t>
        </is>
      </c>
      <c r="H65">
        <f>HYPERLINK("https://booking.roadsurfer.com/es/rally/pick?pickup_date=2026-06-15&amp;return_date=2026-06-22&amp;currency=EUR&amp;startStation=90&amp;endStation=77", "Clic para verlo en la web de RoadSurfer")</f>
        <v/>
      </c>
    </row>
    <row r="66">
      <c r="A66" t="inlineStr">
        <is>
          <t>Alemania</t>
        </is>
      </c>
      <c r="B66" t="inlineStr">
        <is>
          <t>Erfurt</t>
        </is>
      </c>
      <c r="C66" t="inlineStr">
        <is>
          <t>Austria</t>
        </is>
      </c>
      <c r="D66" t="inlineStr">
        <is>
          <t>Graz</t>
        </is>
      </c>
      <c r="E66" t="inlineStr">
        <is>
          <t>2026-06-12</t>
        </is>
      </c>
      <c r="F66" t="inlineStr">
        <is>
          <t>2026-06-19</t>
        </is>
      </c>
      <c r="G66" t="inlineStr">
        <is>
          <t xml:space="preserve"> - Surfer Suite</t>
        </is>
      </c>
      <c r="H66">
        <f>HYPERLINK("https://booking.roadsurfer.com/es/rally/pick?pickup_date=2026-06-12&amp;return_date=2026-06-19&amp;currency=EUR&amp;startStation=90&amp;endStation=37", "Clic para verlo en la web de RoadSurfer")</f>
        <v/>
      </c>
    </row>
    <row r="67">
      <c r="A67" t="inlineStr">
        <is>
          <t>Alemania</t>
        </is>
      </c>
      <c r="B67" t="inlineStr">
        <is>
          <t>Erfurt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2026-06-15</t>
        </is>
      </c>
      <c r="F67" t="inlineStr">
        <is>
          <t>2026-06-22</t>
        </is>
      </c>
      <c r="G67" t="inlineStr">
        <is>
          <t xml:space="preserve"> - No hay coche</t>
        </is>
      </c>
      <c r="H67">
        <f>HYPERLINK("https://booking.roadsurfer.com/es/rally/pick?pickup_date=2026-06-15&amp;return_date=2026-06-22&amp;currency=EUR&amp;startStation=90&amp;endStation=59", "Clic para verlo en la web de RoadSurfer")</f>
        <v/>
      </c>
    </row>
    <row r="68">
      <c r="A68" t="inlineStr">
        <is>
          <t>Alemania</t>
        </is>
      </c>
      <c r="B68" t="inlineStr">
        <is>
          <t>Erfurt</t>
        </is>
      </c>
      <c r="C68" t="inlineStr">
        <is>
          <t>España</t>
        </is>
      </c>
      <c r="D68" t="inlineStr">
        <is>
          <t>Valencia</t>
        </is>
      </c>
      <c r="E68" t="inlineStr">
        <is>
          <t>2026-06-15</t>
        </is>
      </c>
      <c r="F68" t="inlineStr">
        <is>
          <t>2026-06-22</t>
        </is>
      </c>
      <c r="G68" t="inlineStr">
        <is>
          <t xml:space="preserve"> - Couple Cottage</t>
        </is>
      </c>
      <c r="H68">
        <f>HYPERLINK("https://booking.roadsurfer.com/es/rally/pick?pickup_date=2026-06-15&amp;return_date=2026-06-22&amp;currency=EUR&amp;startStation=90&amp;endStation=38", "Clic para verlo en la web de RoadSurfer")</f>
        <v/>
      </c>
    </row>
    <row r="69">
      <c r="A69" t="inlineStr">
        <is>
          <t>Alemania</t>
        </is>
      </c>
      <c r="B69" t="inlineStr">
        <is>
          <t>Flensburgo</t>
        </is>
      </c>
      <c r="C69" t="inlineStr">
        <is>
          <t>Francia</t>
        </is>
      </c>
      <c r="D69" t="inlineStr">
        <is>
          <t>Burdeos</t>
        </is>
      </c>
      <c r="E69" t="inlineStr">
        <is>
          <t>2026-06-20</t>
        </is>
      </c>
      <c r="F69" t="inlineStr">
        <is>
          <t>2026-06-27</t>
        </is>
      </c>
      <c r="G69" t="inlineStr">
        <is>
          <t xml:space="preserve"> - Road House</t>
        </is>
      </c>
      <c r="H69">
        <f>HYPERLINK("https://booking.roadsurfer.com/es/rally/pick?pickup_date=2026-06-20&amp;return_date=2026-06-27&amp;currency=EUR&amp;startStation=130&amp;endStation=13", "Clic para verlo en la web de RoadSurfer")</f>
        <v/>
      </c>
    </row>
    <row r="70">
      <c r="A70" t="inlineStr">
        <is>
          <t>Alemania</t>
        </is>
      </c>
      <c r="B70" t="inlineStr">
        <is>
          <t>Fráncfort</t>
        </is>
      </c>
      <c r="C70" t="inlineStr">
        <is>
          <t>España</t>
        </is>
      </c>
      <c r="D70" t="inlineStr">
        <is>
          <t>Sevilla</t>
        </is>
      </c>
      <c r="E70" t="inlineStr">
        <is>
          <t>2026-06-23</t>
        </is>
      </c>
      <c r="F70" t="inlineStr">
        <is>
          <t>2026-06-30</t>
        </is>
      </c>
      <c r="G70" t="inlineStr">
        <is>
          <t xml:space="preserve"> - Surfer Suite</t>
        </is>
      </c>
      <c r="H70">
        <f>HYPERLINK("https://booking.roadsurfer.com/es/rally/pick?pickup_date=2026-06-23&amp;return_date=2026-06-30&amp;currency=EUR&amp;startStation=2&amp;endStation=39", "Clic para verlo en la web de RoadSurfer")</f>
        <v/>
      </c>
    </row>
    <row r="71">
      <c r="A71" t="inlineStr">
        <is>
          <t>Alemania</t>
        </is>
      </c>
      <c r="B71" t="inlineStr">
        <is>
          <t>Fráncfort</t>
        </is>
      </c>
      <c r="C71" t="inlineStr">
        <is>
          <t>Francia</t>
        </is>
      </c>
      <c r="D71" t="inlineStr">
        <is>
          <t>Aix-Marsella</t>
        </is>
      </c>
      <c r="E71" t="inlineStr">
        <is>
          <t>2026-06-17</t>
        </is>
      </c>
      <c r="F71" t="inlineStr">
        <is>
          <t>2026-06-24</t>
        </is>
      </c>
      <c r="G71" t="inlineStr">
        <is>
          <t xml:space="preserve"> - Travel Home</t>
        </is>
      </c>
      <c r="H71">
        <f>HYPERLINK("https://booking.roadsurfer.com/es/rally/pick?pickup_date=2026-06-17&amp;return_date=2026-06-24&amp;currency=EUR&amp;startStation=2&amp;endStation=16", "Clic para verlo en la web de RoadSurfer")</f>
        <v/>
      </c>
    </row>
    <row r="72">
      <c r="A72" t="inlineStr">
        <is>
          <t>Alemania</t>
        </is>
      </c>
      <c r="B72" t="inlineStr">
        <is>
          <t>Fráncfort</t>
        </is>
      </c>
      <c r="C72" t="inlineStr">
        <is>
          <t>Suecia</t>
        </is>
      </c>
      <c r="D72" t="inlineStr">
        <is>
          <t>Malmö</t>
        </is>
      </c>
      <c r="E72" t="inlineStr">
        <is>
          <t>2026-06-24</t>
        </is>
      </c>
      <c r="F72" t="inlineStr">
        <is>
          <t>2026-07-01</t>
        </is>
      </c>
      <c r="G72" t="inlineStr">
        <is>
          <t xml:space="preserve"> - Road House</t>
        </is>
      </c>
      <c r="H72">
        <f>HYPERLINK("https://booking.roadsurfer.com/es/rally/pick?pickup_date=2026-06-24&amp;return_date=2026-07-01&amp;currency=EUR&amp;startStation=2&amp;endStation=60", "Clic para verlo en la web de RoadSurfer")</f>
        <v/>
      </c>
    </row>
    <row r="73">
      <c r="A73" t="inlineStr">
        <is>
          <t>Alemania</t>
        </is>
      </c>
      <c r="B73" t="inlineStr">
        <is>
          <t>Friburgo-Basilea (Alemania)</t>
        </is>
      </c>
      <c r="C73" t="inlineStr">
        <is>
          <t>Alemania</t>
        </is>
      </c>
      <c r="D73" t="inlineStr">
        <is>
          <t>Hamburgo</t>
        </is>
      </c>
      <c r="E73" t="inlineStr">
        <is>
          <t>2026-06-15</t>
        </is>
      </c>
      <c r="F73" t="inlineStr">
        <is>
          <t>2026-06-22</t>
        </is>
      </c>
      <c r="G73" t="inlineStr">
        <is>
          <t xml:space="preserve"> - No hay coche</t>
        </is>
      </c>
      <c r="H73">
        <f>HYPERLINK("https://booking.roadsurfer.com/es/rally/pick?pickup_date=2026-06-15&amp;return_date=2026-06-22&amp;currency=EUR&amp;startStation=9&amp;endStation=3", "Clic para verlo en la web de RoadSurfer")</f>
        <v/>
      </c>
    </row>
    <row r="74">
      <c r="A74" t="inlineStr">
        <is>
          <t>Alemania</t>
        </is>
      </c>
      <c r="B74" t="inlineStr">
        <is>
          <t>Friburgo-Basilea (Alemania)</t>
        </is>
      </c>
      <c r="C74" t="inlineStr">
        <is>
          <t>Alemania</t>
        </is>
      </c>
      <c r="D74" t="inlineStr">
        <is>
          <t>Hamburgo</t>
        </is>
      </c>
      <c r="E74" t="inlineStr">
        <is>
          <t>2026-06-25</t>
        </is>
      </c>
      <c r="F74" t="inlineStr">
        <is>
          <t>2026-07-02</t>
        </is>
      </c>
      <c r="G74" t="inlineStr">
        <is>
          <t xml:space="preserve"> - Road House</t>
        </is>
      </c>
      <c r="H74">
        <f>HYPERLINK("https://booking.roadsurfer.com/es/rally/pick?pickup_date=2026-06-25&amp;return_date=2026-07-02&amp;currency=EUR&amp;startStation=9&amp;endStation=3", "Clic para verlo en la web de RoadSurfer")</f>
        <v/>
      </c>
    </row>
    <row r="75">
      <c r="A75" t="inlineStr">
        <is>
          <t>Alemania</t>
        </is>
      </c>
      <c r="B75" t="inlineStr">
        <is>
          <t>Friburgo-Basilea (Alemania)</t>
        </is>
      </c>
      <c r="C75" t="inlineStr">
        <is>
          <t>Alemania</t>
        </is>
      </c>
      <c r="D75" t="inlineStr">
        <is>
          <t>Hamburgo Aeropuerto</t>
        </is>
      </c>
      <c r="E75" t="inlineStr">
        <is>
          <t>2026-06-25</t>
        </is>
      </c>
      <c r="F75" t="inlineStr">
        <is>
          <t>2026-07-02</t>
        </is>
      </c>
      <c r="G75" t="inlineStr">
        <is>
          <t xml:space="preserve"> - Road House</t>
        </is>
      </c>
      <c r="H75">
        <f>HYPERLINK("https://booking.roadsurfer.com/es/rally/pick?pickup_date=2026-06-25&amp;return_date=2026-07-02&amp;currency=EUR&amp;startStation=9&amp;endStation=65", "Clic para verlo en la web de RoadSurfer")</f>
        <v/>
      </c>
    </row>
    <row r="76">
      <c r="A76" t="inlineStr">
        <is>
          <t>Francia</t>
        </is>
      </c>
      <c r="B76" t="inlineStr">
        <is>
          <t>Ginebra-Pays de Gex (Francia)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2026-06-18</t>
        </is>
      </c>
      <c r="F76" t="inlineStr">
        <is>
          <t>2026-06-25</t>
        </is>
      </c>
      <c r="G76" t="inlineStr">
        <is>
          <t xml:space="preserve"> - Camper Cabin Deluxe</t>
        </is>
      </c>
      <c r="H76">
        <f>HYPERLINK("https://booking.roadsurfer.com/es/rally/pick?pickup_date=2026-06-18&amp;return_date=2026-06-25&amp;currency=EUR&amp;startStation=29&amp;endStation=8", "Clic para verlo en la web de RoadSurfer")</f>
        <v/>
      </c>
    </row>
    <row r="77">
      <c r="A77" t="inlineStr">
        <is>
          <t>Francia</t>
        </is>
      </c>
      <c r="B77" t="inlineStr">
        <is>
          <t>Ginebra-Pays de Gex (Francia)</t>
        </is>
      </c>
      <c r="C77" t="inlineStr">
        <is>
          <t>Francia</t>
        </is>
      </c>
      <c r="D77" t="inlineStr">
        <is>
          <t>Aix-Marsella</t>
        </is>
      </c>
      <c r="E77" t="inlineStr">
        <is>
          <t>2026-06-15</t>
        </is>
      </c>
      <c r="F77" t="inlineStr">
        <is>
          <t>2026-06-22</t>
        </is>
      </c>
      <c r="G77" t="inlineStr">
        <is>
          <t xml:space="preserve"> - Road House</t>
        </is>
      </c>
      <c r="H77">
        <f>HYPERLINK("https://booking.roadsurfer.com/es/rally/pick?pickup_date=2026-06-15&amp;return_date=2026-06-22&amp;currency=EUR&amp;startStation=29&amp;endStation=16", "Clic para verlo en la web de RoadSurfer")</f>
        <v/>
      </c>
    </row>
    <row r="78">
      <c r="A78" t="inlineStr">
        <is>
          <t>Suecia</t>
        </is>
      </c>
      <c r="B78" t="inlineStr">
        <is>
          <t>Gotemburgo</t>
        </is>
      </c>
      <c r="C78" t="inlineStr">
        <is>
          <t>Alemania</t>
        </is>
      </c>
      <c r="D78" t="inlineStr">
        <is>
          <t>Flensburgo</t>
        </is>
      </c>
      <c r="E78" t="inlineStr">
        <is>
          <t>2026-06-16</t>
        </is>
      </c>
      <c r="F78" t="inlineStr">
        <is>
          <t>2026-06-23</t>
        </is>
      </c>
      <c r="G78" t="inlineStr"/>
      <c r="H78">
        <f>HYPERLINK("https://booking.roadsurfer.com/es/rally/pick?pickup_date=2026-06-16&amp;return_date=2026-06-23&amp;currency=EUR&amp;startStation=77&amp;endStation=130", "Clic para verlo en la web de RoadSurfer")</f>
        <v/>
      </c>
    </row>
    <row r="79">
      <c r="A79" t="inlineStr">
        <is>
          <t>Austria</t>
        </is>
      </c>
      <c r="B79" t="inlineStr">
        <is>
          <t>Graz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2026-06-11</t>
        </is>
      </c>
      <c r="F79" t="inlineStr">
        <is>
          <t>2026-06-18</t>
        </is>
      </c>
      <c r="G79" t="inlineStr">
        <is>
          <t xml:space="preserve"> - No hay coche</t>
        </is>
      </c>
      <c r="H79">
        <f>HYPERLINK("https://booking.roadsurfer.com/es/rally/pick?pickup_date=2026-06-11&amp;return_date=2026-06-18&amp;currency=EUR&amp;startStation=37&amp;endStation=48", "Clic para verlo en la web de RoadSurfer")</f>
        <v/>
      </c>
    </row>
    <row r="80">
      <c r="A80" t="inlineStr">
        <is>
          <t>Alemania</t>
        </is>
      </c>
      <c r="B80" t="inlineStr">
        <is>
          <t>Hamburgo</t>
        </is>
      </c>
      <c r="C80" t="inlineStr">
        <is>
          <t>Suecia</t>
        </is>
      </c>
      <c r="D80" t="inlineStr">
        <is>
          <t>Estocolmo</t>
        </is>
      </c>
      <c r="E80" t="inlineStr">
        <is>
          <t>2026-06-15</t>
        </is>
      </c>
      <c r="F80" t="inlineStr">
        <is>
          <t>2026-06-22</t>
        </is>
      </c>
      <c r="G80" t="inlineStr">
        <is>
          <t xml:space="preserve"> - Camper Cabin</t>
        </is>
      </c>
      <c r="H80">
        <f>HYPERLINK("https://booking.roadsurfer.com/es/rally/pick?pickup_date=2026-06-15&amp;return_date=2026-06-22&amp;currency=EUR&amp;startStation=3&amp;endStation=59", "Clic para verlo en la web de RoadSurfer")</f>
        <v/>
      </c>
    </row>
    <row r="81">
      <c r="A81" t="inlineStr">
        <is>
          <t>Alemania</t>
        </is>
      </c>
      <c r="B81" t="inlineStr">
        <is>
          <t>Hamburgo</t>
        </is>
      </c>
      <c r="C81" t="inlineStr">
        <is>
          <t>Suecia</t>
        </is>
      </c>
      <c r="D81" t="inlineStr">
        <is>
          <t>Estocolmo</t>
        </is>
      </c>
      <c r="E81" t="inlineStr">
        <is>
          <t>2026-06-18</t>
        </is>
      </c>
      <c r="F81" t="inlineStr">
        <is>
          <t>2026-06-25</t>
        </is>
      </c>
      <c r="G81" t="inlineStr">
        <is>
          <t xml:space="preserve"> - Beach Hostel</t>
        </is>
      </c>
      <c r="H81">
        <f>HYPERLINK("https://booking.roadsurfer.com/es/rally/pick?pickup_date=2026-06-18&amp;return_date=2026-06-25&amp;currency=EUR&amp;startStation=3&amp;endStation=59", "Clic para verlo en la web de RoadSurfer")</f>
        <v/>
      </c>
    </row>
    <row r="82">
      <c r="A82" t="inlineStr">
        <is>
          <t>Alemania</t>
        </is>
      </c>
      <c r="B82" t="inlineStr">
        <is>
          <t>Hamburgo</t>
        </is>
      </c>
      <c r="C82" t="inlineStr">
        <is>
          <t>Francia</t>
        </is>
      </c>
      <c r="D82" t="inlineStr">
        <is>
          <t>Lyon</t>
        </is>
      </c>
      <c r="E82" t="inlineStr">
        <is>
          <t>2026-06-17</t>
        </is>
      </c>
      <c r="F82" t="inlineStr">
        <is>
          <t>2026-06-24</t>
        </is>
      </c>
      <c r="G82" t="inlineStr">
        <is>
          <t xml:space="preserve"> - Travel Home</t>
        </is>
      </c>
      <c r="H82">
        <f>HYPERLINK("https://booking.roadsurfer.com/es/rally/pick?pickup_date=2026-06-17&amp;return_date=2026-06-24&amp;currency=EUR&amp;startStation=3&amp;endStation=15", "Clic para verlo en la web de RoadSurfer")</f>
        <v/>
      </c>
    </row>
    <row r="83">
      <c r="A83" t="inlineStr">
        <is>
          <t>Alemania</t>
        </is>
      </c>
      <c r="B83" t="inlineStr">
        <is>
          <t>Hamburgo</t>
        </is>
      </c>
      <c r="C83" t="inlineStr">
        <is>
          <t>Francia</t>
        </is>
      </c>
      <c r="D83" t="inlineStr">
        <is>
          <t>Burdeos</t>
        </is>
      </c>
      <c r="E83" t="inlineStr">
        <is>
          <t>2026-06-15</t>
        </is>
      </c>
      <c r="F83" t="inlineStr">
        <is>
          <t>2026-06-22</t>
        </is>
      </c>
      <c r="G83" t="inlineStr">
        <is>
          <t xml:space="preserve"> - Family Finca</t>
        </is>
      </c>
      <c r="H83">
        <f>HYPERLINK("https://booking.roadsurfer.com/es/rally/pick?pickup_date=2026-06-15&amp;return_date=2026-06-22&amp;currency=EUR&amp;startStation=3&amp;endStation=13", "Clic para verlo en la web de RoadSurfer")</f>
        <v/>
      </c>
    </row>
    <row r="84">
      <c r="A84" t="inlineStr">
        <is>
          <t>Alemania</t>
        </is>
      </c>
      <c r="B84" t="inlineStr">
        <is>
          <t>Hannover</t>
        </is>
      </c>
      <c r="C84" t="inlineStr">
        <is>
          <t>Francia</t>
        </is>
      </c>
      <c r="D84" t="inlineStr">
        <is>
          <t>París Sur (Orly)</t>
        </is>
      </c>
      <c r="E84" t="inlineStr">
        <is>
          <t>2026-06-15</t>
        </is>
      </c>
      <c r="F84" t="inlineStr">
        <is>
          <t>2026-06-22</t>
        </is>
      </c>
      <c r="G84" t="inlineStr">
        <is>
          <t xml:space="preserve"> - Travel Home</t>
        </is>
      </c>
      <c r="H84">
        <f>HYPERLINK("https://booking.roadsurfer.com/es/rally/pick?pickup_date=2026-06-15&amp;return_date=2026-06-22&amp;currency=EUR&amp;startStation=7&amp;endStation=12", "Clic para verlo en la web de RoadSurfer")</f>
        <v/>
      </c>
    </row>
    <row r="85">
      <c r="A85" t="inlineStr">
        <is>
          <t>Alemania</t>
        </is>
      </c>
      <c r="B85" t="inlineStr">
        <is>
          <t>Hannover</t>
        </is>
      </c>
      <c r="C85" t="inlineStr">
        <is>
          <t>Francia</t>
        </is>
      </c>
      <c r="D85" t="inlineStr">
        <is>
          <t>Toulouse</t>
        </is>
      </c>
      <c r="E85" t="inlineStr">
        <is>
          <t>2026-06-18</t>
        </is>
      </c>
      <c r="F85" t="inlineStr">
        <is>
          <t>2026-06-25</t>
        </is>
      </c>
      <c r="G85" t="inlineStr">
        <is>
          <t xml:space="preserve"> - Surfer Suite</t>
        </is>
      </c>
      <c r="H85">
        <f>HYPERLINK("https://booking.roadsurfer.com/es/rally/pick?pickup_date=2026-06-18&amp;return_date=2026-06-25&amp;currency=EUR&amp;startStation=7&amp;endStation=30", "Clic para verlo en la web de RoadSurfer")</f>
        <v/>
      </c>
    </row>
    <row r="86">
      <c r="A86" t="inlineStr">
        <is>
          <t>Alemania</t>
        </is>
      </c>
      <c r="B86" t="inlineStr">
        <is>
          <t>Hannover</t>
        </is>
      </c>
      <c r="C86" t="inlineStr">
        <is>
          <t>Alemania</t>
        </is>
      </c>
      <c r="D86" t="inlineStr">
        <is>
          <t>Hamburgo Aeropuerto</t>
        </is>
      </c>
      <c r="E86" t="inlineStr">
        <is>
          <t>2026-06-15</t>
        </is>
      </c>
      <c r="F86" t="inlineStr">
        <is>
          <t>2026-06-22</t>
        </is>
      </c>
      <c r="G86" t="inlineStr">
        <is>
          <t xml:space="preserve"> - Surfer Suite</t>
        </is>
      </c>
      <c r="H86">
        <f>HYPERLINK("https://booking.roadsurfer.com/es/rally/pick?pickup_date=2026-06-15&amp;return_date=2026-06-22&amp;currency=EUR&amp;startStation=7&amp;endStation=65", "Clic para verlo en la web de RoadSurfer")</f>
        <v/>
      </c>
    </row>
    <row r="87">
      <c r="A87" t="inlineStr">
        <is>
          <t>Alemania</t>
        </is>
      </c>
      <c r="B87" t="inlineStr">
        <is>
          <t>Hannover</t>
        </is>
      </c>
      <c r="C87" t="inlineStr">
        <is>
          <t>Italia</t>
        </is>
      </c>
      <c r="D87" t="inlineStr">
        <is>
          <t>Turín</t>
        </is>
      </c>
      <c r="E87" t="inlineStr">
        <is>
          <t>2026-06-15</t>
        </is>
      </c>
      <c r="F87" t="inlineStr">
        <is>
          <t>2026-06-22</t>
        </is>
      </c>
      <c r="G87" t="inlineStr">
        <is>
          <t xml:space="preserve"> - Beach Hostel</t>
        </is>
      </c>
      <c r="H87">
        <f>HYPERLINK("https://booking.roadsurfer.com/es/rally/pick?pickup_date=2026-06-15&amp;return_date=2026-06-22&amp;currency=EUR&amp;startStation=7&amp;endStation=58", "Clic para verlo en la web de RoadSurfer")</f>
        <v/>
      </c>
    </row>
    <row r="88">
      <c r="A88" t="inlineStr">
        <is>
          <t>Alemania</t>
        </is>
      </c>
      <c r="B88" t="inlineStr">
        <is>
          <t>Hannover</t>
        </is>
      </c>
      <c r="C88" t="inlineStr">
        <is>
          <t>Italia</t>
        </is>
      </c>
      <c r="D88" t="inlineStr">
        <is>
          <t>Milán</t>
        </is>
      </c>
      <c r="E88" t="inlineStr">
        <is>
          <t>2026-06-18</t>
        </is>
      </c>
      <c r="F88" t="inlineStr">
        <is>
          <t>2026-06-25</t>
        </is>
      </c>
      <c r="G88" t="inlineStr">
        <is>
          <t xml:space="preserve"> - Beach Hostel</t>
        </is>
      </c>
      <c r="H88">
        <f>HYPERLINK("https://booking.roadsurfer.com/es/rally/pick?pickup_date=2026-06-18&amp;return_date=2026-06-25&amp;currency=EUR&amp;startStation=7&amp;endStation=34", "Clic para verlo en la web de RoadSurfer")</f>
        <v/>
      </c>
    </row>
    <row r="89">
      <c r="A89" t="inlineStr">
        <is>
          <t>Alemania</t>
        </is>
      </c>
      <c r="B89" t="inlineStr">
        <is>
          <t>Hannover</t>
        </is>
      </c>
      <c r="C89" t="inlineStr">
        <is>
          <t>Italia</t>
        </is>
      </c>
      <c r="D89" t="inlineStr">
        <is>
          <t>Milán</t>
        </is>
      </c>
      <c r="E89" t="inlineStr">
        <is>
          <t>2026-06-15</t>
        </is>
      </c>
      <c r="F89" t="inlineStr">
        <is>
          <t>2026-06-22</t>
        </is>
      </c>
      <c r="G89" t="inlineStr">
        <is>
          <t xml:space="preserve"> - Beach Hostel</t>
        </is>
      </c>
      <c r="H89">
        <f>HYPERLINK("https://booking.roadsurfer.com/es/rally/pick?pickup_date=2026-06-15&amp;return_date=2026-06-22&amp;currency=EUR&amp;startStation=7&amp;endStation=34", "Clic para verlo en la web de RoadSurfer")</f>
        <v/>
      </c>
    </row>
    <row r="90">
      <c r="A90" t="inlineStr">
        <is>
          <t>Alemania</t>
        </is>
      </c>
      <c r="B90" t="inlineStr">
        <is>
          <t>Hannover</t>
        </is>
      </c>
      <c r="C90" t="inlineStr">
        <is>
          <t>Italia</t>
        </is>
      </c>
      <c r="D90" t="inlineStr">
        <is>
          <t>Milán</t>
        </is>
      </c>
      <c r="E90" t="inlineStr">
        <is>
          <t>2026-06-24</t>
        </is>
      </c>
      <c r="F90" t="inlineStr">
        <is>
          <t>2026-07-01</t>
        </is>
      </c>
      <c r="G90" t="inlineStr">
        <is>
          <t xml:space="preserve"> - Sunrise Suite</t>
        </is>
      </c>
      <c r="H90">
        <f>HYPERLINK("https://booking.roadsurfer.com/es/rally/pick?pickup_date=2026-06-24&amp;return_date=2026-07-01&amp;currency=EUR&amp;startStation=7&amp;endStation=34", "Clic para verlo en la web de RoadSurfer")</f>
        <v/>
      </c>
    </row>
    <row r="91">
      <c r="A91" t="inlineStr">
        <is>
          <t>Alemania</t>
        </is>
      </c>
      <c r="B91" t="inlineStr">
        <is>
          <t>Hannover</t>
        </is>
      </c>
      <c r="C91" t="inlineStr">
        <is>
          <t>Alemania</t>
        </is>
      </c>
      <c r="D91" t="inlineStr">
        <is>
          <t>Núremberg</t>
        </is>
      </c>
      <c r="E91" t="inlineStr">
        <is>
          <t>2026-06-15</t>
        </is>
      </c>
      <c r="F91" t="inlineStr">
        <is>
          <t>2026-06-22</t>
        </is>
      </c>
      <c r="G91" t="inlineStr">
        <is>
          <t xml:space="preserve"> - Couple Cottage</t>
        </is>
      </c>
      <c r="H91">
        <f>HYPERLINK("https://booking.roadsurfer.com/es/rally/pick?pickup_date=2026-06-15&amp;return_date=2026-06-22&amp;currency=EUR&amp;startStation=7&amp;endStation=11", "Clic para verlo en la web de RoadSurfer")</f>
        <v/>
      </c>
    </row>
    <row r="92">
      <c r="A92" t="inlineStr">
        <is>
          <t>Alemania</t>
        </is>
      </c>
      <c r="B92" t="inlineStr">
        <is>
          <t>Hannover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2026-06-24</t>
        </is>
      </c>
      <c r="F92" t="inlineStr">
        <is>
          <t>2026-07-01</t>
        </is>
      </c>
      <c r="G92" t="inlineStr">
        <is>
          <t xml:space="preserve"> - Sunrise Suite</t>
        </is>
      </c>
      <c r="H92">
        <f>HYPERLINK("https://booking.roadsurfer.com/es/rally/pick?pickup_date=2026-06-24&amp;return_date=2026-07-01&amp;currency=EUR&amp;startStation=7&amp;endStation=42", "Clic para verlo en la web de RoadSurfer")</f>
        <v/>
      </c>
    </row>
    <row r="93">
      <c r="A93" t="inlineStr">
        <is>
          <t>Alemania</t>
        </is>
      </c>
      <c r="B93" t="inlineStr">
        <is>
          <t>Heidelberg</t>
        </is>
      </c>
      <c r="C93" t="inlineStr">
        <is>
          <t>Alemania</t>
        </is>
      </c>
      <c r="D93" t="inlineStr">
        <is>
          <t>Flensburgo</t>
        </is>
      </c>
      <c r="E93" t="inlineStr">
        <is>
          <t>2026-06-22</t>
        </is>
      </c>
      <c r="F93" t="inlineStr">
        <is>
          <t>2026-06-29</t>
        </is>
      </c>
      <c r="G93" t="inlineStr">
        <is>
          <t xml:space="preserve"> - Road House</t>
        </is>
      </c>
      <c r="H93">
        <f>HYPERLINK("https://booking.roadsurfer.com/es/rally/pick?pickup_date=2026-06-22&amp;return_date=2026-06-29&amp;currency=EUR&amp;startStation=79&amp;endStation=130", "Clic para verlo en la web de RoadSurfer")</f>
        <v/>
      </c>
    </row>
    <row r="94">
      <c r="A94" t="inlineStr">
        <is>
          <t>Austria</t>
        </is>
      </c>
      <c r="B94" t="inlineStr">
        <is>
          <t>Innsbruck-Wiesing</t>
        </is>
      </c>
      <c r="C94" t="inlineStr">
        <is>
          <t>Bélgica</t>
        </is>
      </c>
      <c r="D94" t="inlineStr">
        <is>
          <t>Bruselas</t>
        </is>
      </c>
      <c r="E94" t="inlineStr">
        <is>
          <t>2026-06-18</t>
        </is>
      </c>
      <c r="F94" t="inlineStr">
        <is>
          <t>2026-06-25</t>
        </is>
      </c>
      <c r="G94" t="inlineStr">
        <is>
          <t xml:space="preserve"> - Surfer Suite</t>
        </is>
      </c>
      <c r="H94">
        <f>HYPERLINK("https://booking.roadsurfer.com/es/rally/pick?pickup_date=2026-06-18&amp;return_date=2026-06-25&amp;currency=EUR&amp;startStation=46&amp;endStation=42", "Clic para verlo en la web de RoadSurfer")</f>
        <v/>
      </c>
    </row>
    <row r="95">
      <c r="A95" t="inlineStr">
        <is>
          <t>Alemania</t>
        </is>
      </c>
      <c r="B95" t="inlineStr">
        <is>
          <t>Karlsruhe</t>
        </is>
      </c>
      <c r="C95" t="inlineStr">
        <is>
          <t>Francia</t>
        </is>
      </c>
      <c r="D95" t="inlineStr">
        <is>
          <t>Lille</t>
        </is>
      </c>
      <c r="E95" t="inlineStr">
        <is>
          <t>2026-06-08</t>
        </is>
      </c>
      <c r="F95" t="inlineStr">
        <is>
          <t>2026-06-15</t>
        </is>
      </c>
      <c r="G95" t="inlineStr">
        <is>
          <t xml:space="preserve"> - No hay coche</t>
        </is>
      </c>
      <c r="H95">
        <f>HYPERLINK("https://booking.roadsurfer.com/es/rally/pick?pickup_date=2026-06-08&amp;return_date=2026-06-15&amp;currency=EUR&amp;startStation=110&amp;endStation=87", "Clic para verlo en la web de RoadSurfer")</f>
        <v/>
      </c>
    </row>
    <row r="96">
      <c r="A96" t="inlineStr">
        <is>
          <t>Alemania</t>
        </is>
      </c>
      <c r="B96" t="inlineStr">
        <is>
          <t>Karlsruhe</t>
        </is>
      </c>
      <c r="C96" t="inlineStr">
        <is>
          <t>Alemania</t>
        </is>
      </c>
      <c r="D96" t="inlineStr">
        <is>
          <t>Hamburgo</t>
        </is>
      </c>
      <c r="E96" t="inlineStr">
        <is>
          <t>2026-06-15</t>
        </is>
      </c>
      <c r="F96" t="inlineStr">
        <is>
          <t>2026-06-22</t>
        </is>
      </c>
      <c r="G96" t="inlineStr">
        <is>
          <t xml:space="preserve"> - Surfer Suite</t>
        </is>
      </c>
      <c r="H96">
        <f>HYPERLINK("https://booking.roadsurfer.com/es/rally/pick?pickup_date=2026-06-15&amp;return_date=2026-06-22&amp;currency=EUR&amp;startStation=110&amp;endStation=3", "Clic para verlo en la web de RoadSurfer")</f>
        <v/>
      </c>
    </row>
    <row r="97">
      <c r="A97" t="inlineStr">
        <is>
          <t>Alemania</t>
        </is>
      </c>
      <c r="B97" t="inlineStr">
        <is>
          <t>Kassel</t>
        </is>
      </c>
      <c r="C97" t="inlineStr">
        <is>
          <t>Francia</t>
        </is>
      </c>
      <c r="D97" t="inlineStr">
        <is>
          <t>Burdeos</t>
        </is>
      </c>
      <c r="E97" t="inlineStr">
        <is>
          <t>2026-06-12</t>
        </is>
      </c>
      <c r="F97" t="inlineStr">
        <is>
          <t>2026-06-19</t>
        </is>
      </c>
      <c r="G97" t="inlineStr">
        <is>
          <t xml:space="preserve"> - Beach Hostel</t>
        </is>
      </c>
      <c r="H97">
        <f>HYPERLINK("https://booking.roadsurfer.com/es/rally/pick?pickup_date=2026-06-12&amp;return_date=2026-06-19&amp;currency=EUR&amp;startStation=92&amp;endStation=13", "Clic para verlo en la web de RoadSurfer")</f>
        <v/>
      </c>
    </row>
    <row r="98">
      <c r="A98" t="inlineStr">
        <is>
          <t>Alemania</t>
        </is>
      </c>
      <c r="B98" t="inlineStr">
        <is>
          <t>Kassel</t>
        </is>
      </c>
      <c r="C98" t="inlineStr">
        <is>
          <t>Francia</t>
        </is>
      </c>
      <c r="D98" t="inlineStr">
        <is>
          <t>Toulouse</t>
        </is>
      </c>
      <c r="E98" t="inlineStr">
        <is>
          <t>2026-06-17</t>
        </is>
      </c>
      <c r="F98" t="inlineStr">
        <is>
          <t>2026-06-24</t>
        </is>
      </c>
      <c r="G98" t="inlineStr">
        <is>
          <t xml:space="preserve"> - Surfer Suite</t>
        </is>
      </c>
      <c r="H98">
        <f>HYPERLINK("https://booking.roadsurfer.com/es/rally/pick?pickup_date=2026-06-17&amp;return_date=2026-06-24&amp;currency=EUR&amp;startStation=92&amp;endStation=30", "Clic para verlo en la web de RoadSurfer")</f>
        <v/>
      </c>
    </row>
    <row r="99">
      <c r="A99" t="inlineStr">
        <is>
          <t>Alemania</t>
        </is>
      </c>
      <c r="B99" t="inlineStr">
        <is>
          <t>Kassel</t>
        </is>
      </c>
      <c r="C99" t="inlineStr">
        <is>
          <t>Italia</t>
        </is>
      </c>
      <c r="D99" t="inlineStr">
        <is>
          <t>Bérgamo</t>
        </is>
      </c>
      <c r="E99" t="inlineStr">
        <is>
          <t>2026-06-15</t>
        </is>
      </c>
      <c r="F99" t="inlineStr">
        <is>
          <t>2026-06-22</t>
        </is>
      </c>
      <c r="G99" t="inlineStr">
        <is>
          <t xml:space="preserve"> - Surfer Suite</t>
        </is>
      </c>
      <c r="H99">
        <f>HYPERLINK("https://booking.roadsurfer.com/es/rally/pick?pickup_date=2026-06-15&amp;return_date=2026-06-22&amp;currency=EUR&amp;startStation=92&amp;endStation=94", "Clic para verlo en la web de RoadSurfer")</f>
        <v/>
      </c>
    </row>
    <row r="100">
      <c r="A100" t="inlineStr">
        <is>
          <t>Alemania</t>
        </is>
      </c>
      <c r="B100" t="inlineStr">
        <is>
          <t>Kiel</t>
        </is>
      </c>
      <c r="C100" t="inlineStr">
        <is>
          <t>Suecia</t>
        </is>
      </c>
      <c r="D100" t="inlineStr">
        <is>
          <t>Malmö</t>
        </is>
      </c>
      <c r="E100" t="inlineStr">
        <is>
          <t>2026-06-15</t>
        </is>
      </c>
      <c r="F100" t="inlineStr">
        <is>
          <t>2026-06-22</t>
        </is>
      </c>
      <c r="G100" t="inlineStr">
        <is>
          <t xml:space="preserve"> - Beach Hostel - Cozy Cottage</t>
        </is>
      </c>
      <c r="H100">
        <f>HYPERLINK("https://booking.roadsurfer.com/es/rally/pick?pickup_date=2026-06-15&amp;return_date=2026-06-22&amp;currency=EUR&amp;startStation=111&amp;endStation=60", "Clic para verlo en la web de RoadSurfer")</f>
        <v/>
      </c>
    </row>
    <row r="101">
      <c r="A101" t="inlineStr">
        <is>
          <t>Alemania</t>
        </is>
      </c>
      <c r="B101" t="inlineStr">
        <is>
          <t>Kiel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2026-06-15</t>
        </is>
      </c>
      <c r="F101" t="inlineStr">
        <is>
          <t>2026-06-22</t>
        </is>
      </c>
      <c r="G101" t="inlineStr">
        <is>
          <t xml:space="preserve"> - No hay coche</t>
        </is>
      </c>
      <c r="H101">
        <f>HYPERLINK("https://booking.roadsurfer.com/es/rally/pick?pickup_date=2026-06-15&amp;return_date=2026-06-22&amp;currency=EUR&amp;startStation=111&amp;endStation=29", "Clic para verlo en la web de RoadSurfer")</f>
        <v/>
      </c>
    </row>
    <row r="102">
      <c r="A102" t="inlineStr">
        <is>
          <t>Alemania</t>
        </is>
      </c>
      <c r="B102" t="inlineStr">
        <is>
          <t>Leipzig</t>
        </is>
      </c>
      <c r="C102" t="inlineStr">
        <is>
          <t>Italia</t>
        </is>
      </c>
      <c r="D102" t="inlineStr">
        <is>
          <t>Milán</t>
        </is>
      </c>
      <c r="E102" t="inlineStr">
        <is>
          <t>2026-06-15</t>
        </is>
      </c>
      <c r="F102" t="inlineStr">
        <is>
          <t>2026-06-22</t>
        </is>
      </c>
      <c r="G102" t="inlineStr">
        <is>
          <t xml:space="preserve"> - Surfer Suite</t>
        </is>
      </c>
      <c r="H102">
        <f>HYPERLINK("https://booking.roadsurfer.com/es/rally/pick?pickup_date=2026-06-15&amp;return_date=2026-06-22&amp;currency=EUR&amp;startStation=8&amp;endStation=34", "Clic para verlo en la web de RoadSurfer")</f>
        <v/>
      </c>
    </row>
    <row r="103">
      <c r="A103" t="inlineStr">
        <is>
          <t>Alemania</t>
        </is>
      </c>
      <c r="B103" t="inlineStr">
        <is>
          <t>Leipzig</t>
        </is>
      </c>
      <c r="C103" t="inlineStr">
        <is>
          <t>Países Bajos</t>
        </is>
      </c>
      <c r="D103" t="inlineStr">
        <is>
          <t>Róterdam</t>
        </is>
      </c>
      <c r="E103" t="inlineStr">
        <is>
          <t>2026-06-17</t>
        </is>
      </c>
      <c r="F103" t="inlineStr">
        <is>
          <t>2026-06-24</t>
        </is>
      </c>
      <c r="G103" t="inlineStr">
        <is>
          <t xml:space="preserve"> - Surfer Suite</t>
        </is>
      </c>
      <c r="H103">
        <f>HYPERLINK("https://booking.roadsurfer.com/es/rally/pick?pickup_date=2026-06-17&amp;return_date=2026-06-24&amp;currency=EUR&amp;startStation=8&amp;endStation=33", "Clic para verlo en la web de RoadSurfer")</f>
        <v/>
      </c>
    </row>
    <row r="104">
      <c r="A104" t="inlineStr">
        <is>
          <t>Alemania</t>
        </is>
      </c>
      <c r="B104" t="inlineStr">
        <is>
          <t>Leipzig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2026-06-18</t>
        </is>
      </c>
      <c r="F104" t="inlineStr">
        <is>
          <t>2026-06-25</t>
        </is>
      </c>
      <c r="G104" t="inlineStr">
        <is>
          <t xml:space="preserve"> - Surfer Suite</t>
        </is>
      </c>
      <c r="H104">
        <f>HYPERLINK("https://booking.roadsurfer.com/es/rally/pick?pickup_date=2026-06-18&amp;return_date=2026-06-25&amp;currency=EUR&amp;startStation=8&amp;endStation=13", "Clic para verlo en la web de RoadSurfer")</f>
        <v/>
      </c>
    </row>
    <row r="105">
      <c r="A105" t="inlineStr">
        <is>
          <t>Alemania</t>
        </is>
      </c>
      <c r="B105" t="inlineStr">
        <is>
          <t>Leipzig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2026-06-17</t>
        </is>
      </c>
      <c r="F105" t="inlineStr">
        <is>
          <t>2026-06-24</t>
        </is>
      </c>
      <c r="G105" t="inlineStr">
        <is>
          <t xml:space="preserve"> - Road House</t>
        </is>
      </c>
      <c r="H105">
        <f>HYPERLINK("https://booking.roadsurfer.com/es/rally/pick?pickup_date=2026-06-17&amp;return_date=2026-06-24&amp;currency=EUR&amp;startStation=8&amp;endStation=13", "Clic para verlo en la web de RoadSurfer")</f>
        <v/>
      </c>
    </row>
    <row r="106">
      <c r="A106" t="inlineStr">
        <is>
          <t>Alemania</t>
        </is>
      </c>
      <c r="B106" t="inlineStr">
        <is>
          <t>Leipzig</t>
        </is>
      </c>
      <c r="C106" t="inlineStr">
        <is>
          <t>Suecia</t>
        </is>
      </c>
      <c r="D106" t="inlineStr">
        <is>
          <t>Malmö</t>
        </is>
      </c>
      <c r="E106" t="inlineStr">
        <is>
          <t>2026-06-22</t>
        </is>
      </c>
      <c r="F106" t="inlineStr">
        <is>
          <t>2026-06-29</t>
        </is>
      </c>
      <c r="G106" t="inlineStr">
        <is>
          <t xml:space="preserve"> - Road House</t>
        </is>
      </c>
      <c r="H106">
        <f>HYPERLINK("https://booking.roadsurfer.com/es/rally/pick?pickup_date=2026-06-22&amp;return_date=2026-06-29&amp;currency=EUR&amp;startStation=8&amp;endStation=60", "Clic para verlo en la web de RoadSurfer")</f>
        <v/>
      </c>
    </row>
    <row r="107">
      <c r="A107" t="inlineStr">
        <is>
          <t>Alemania</t>
        </is>
      </c>
      <c r="B107" t="inlineStr">
        <is>
          <t>Lindau-Wangen</t>
        </is>
      </c>
      <c r="C107" t="inlineStr">
        <is>
          <t>Francia</t>
        </is>
      </c>
      <c r="D107" t="inlineStr">
        <is>
          <t>Nantes</t>
        </is>
      </c>
      <c r="E107" t="inlineStr">
        <is>
          <t>2026-06-15</t>
        </is>
      </c>
      <c r="F107" t="inlineStr">
        <is>
          <t>2026-06-22</t>
        </is>
      </c>
      <c r="G107" t="inlineStr">
        <is>
          <t xml:space="preserve"> - Surfer Suite</t>
        </is>
      </c>
      <c r="H107">
        <f>HYPERLINK("https://booking.roadsurfer.com/es/rally/pick?pickup_date=2026-06-15&amp;return_date=2026-06-22&amp;currency=EUR&amp;startStation=117&amp;endStation=31", "Clic para verlo en la web de RoadSurfer")</f>
        <v/>
      </c>
    </row>
    <row r="108">
      <c r="A108" t="inlineStr">
        <is>
          <t>Alemania</t>
        </is>
      </c>
      <c r="B108" t="inlineStr">
        <is>
          <t>Lindau-Wangen</t>
        </is>
      </c>
      <c r="C108" t="inlineStr">
        <is>
          <t>Francia</t>
        </is>
      </c>
      <c r="D108" t="inlineStr">
        <is>
          <t>Toulouse</t>
        </is>
      </c>
      <c r="E108" t="inlineStr">
        <is>
          <t>2026-06-15</t>
        </is>
      </c>
      <c r="F108" t="inlineStr">
        <is>
          <t>2026-06-22</t>
        </is>
      </c>
      <c r="G108" t="inlineStr">
        <is>
          <t xml:space="preserve"> - Travel Home</t>
        </is>
      </c>
      <c r="H108">
        <f>HYPERLINK("https://booking.roadsurfer.com/es/rally/pick?pickup_date=2026-06-15&amp;return_date=2026-06-22&amp;currency=EUR&amp;startStation=117&amp;endStation=30", "Clic para verlo en la web de RoadSurfer")</f>
        <v/>
      </c>
    </row>
    <row r="109">
      <c r="A109" t="inlineStr">
        <is>
          <t>Alemania</t>
        </is>
      </c>
      <c r="B109" t="inlineStr">
        <is>
          <t>Lindau-Wangen</t>
        </is>
      </c>
      <c r="C109" t="inlineStr">
        <is>
          <t>Francia</t>
        </is>
      </c>
      <c r="D109" t="inlineStr">
        <is>
          <t>Toulouse</t>
        </is>
      </c>
      <c r="E109" t="inlineStr">
        <is>
          <t>2026-06-29</t>
        </is>
      </c>
      <c r="F109" t="inlineStr">
        <is>
          <t>2026-07-06</t>
        </is>
      </c>
      <c r="G109" t="inlineStr">
        <is>
          <t xml:space="preserve"> - Family Finca</t>
        </is>
      </c>
      <c r="H109">
        <f>HYPERLINK("https://booking.roadsurfer.com/es/rally/pick?pickup_date=2026-06-29&amp;return_date=2026-07-06&amp;currency=EUR&amp;startStation=117&amp;endStation=30", "Clic para verlo en la web de RoadSurfer")</f>
        <v/>
      </c>
    </row>
    <row r="110">
      <c r="A110" t="inlineStr">
        <is>
          <t>Alemania</t>
        </is>
      </c>
      <c r="B110" t="inlineStr">
        <is>
          <t>Lindau-Wangen</t>
        </is>
      </c>
      <c r="C110" t="inlineStr">
        <is>
          <t>España</t>
        </is>
      </c>
      <c r="D110" t="inlineStr">
        <is>
          <t>Valencia</t>
        </is>
      </c>
      <c r="E110" t="inlineStr">
        <is>
          <t>2026-06-18</t>
        </is>
      </c>
      <c r="F110" t="inlineStr">
        <is>
          <t>2026-06-25</t>
        </is>
      </c>
      <c r="G110" t="inlineStr">
        <is>
          <t xml:space="preserve"> - Beach Hostel</t>
        </is>
      </c>
      <c r="H110">
        <f>HYPERLINK("https://booking.roadsurfer.com/es/rally/pick?pickup_date=2026-06-18&amp;return_date=2026-06-25&amp;currency=EUR&amp;startStation=117&amp;endStation=38", "Clic para verlo en la web de RoadSurfer")</f>
        <v/>
      </c>
    </row>
    <row r="111">
      <c r="A111" t="inlineStr">
        <is>
          <t>Alemania</t>
        </is>
      </c>
      <c r="B111" t="inlineStr">
        <is>
          <t>Lindau-Wangen</t>
        </is>
      </c>
      <c r="C111" t="inlineStr">
        <is>
          <t>Países Bajos</t>
        </is>
      </c>
      <c r="D111" t="inlineStr">
        <is>
          <t>Ámsterdam</t>
        </is>
      </c>
      <c r="E111" t="inlineStr">
        <is>
          <t>2026-06-20</t>
        </is>
      </c>
      <c r="F111" t="inlineStr">
        <is>
          <t>2026-06-27</t>
        </is>
      </c>
      <c r="G111" t="inlineStr">
        <is>
          <t xml:space="preserve"> - Surfer Suite</t>
        </is>
      </c>
      <c r="H111">
        <f>HYPERLINK("https://booking.roadsurfer.com/es/rally/pick?pickup_date=2026-06-20&amp;return_date=2026-06-27&amp;currency=EUR&amp;startStation=117&amp;endStation=32", "Clic para verlo en la web de RoadSurfer")</f>
        <v/>
      </c>
    </row>
    <row r="112">
      <c r="A112" t="inlineStr">
        <is>
          <t>Portugal</t>
        </is>
      </c>
      <c r="B112" t="inlineStr">
        <is>
          <t>Lisboa</t>
        </is>
      </c>
      <c r="C112" t="inlineStr">
        <is>
          <t>Portugal</t>
        </is>
      </c>
      <c r="D112" t="inlineStr">
        <is>
          <t>Faro</t>
        </is>
      </c>
      <c r="E112" t="inlineStr">
        <is>
          <t>2026-06-15</t>
        </is>
      </c>
      <c r="F112" t="inlineStr">
        <is>
          <t>2026-06-22</t>
        </is>
      </c>
      <c r="G112" t="inlineStr">
        <is>
          <t xml:space="preserve"> - Surfer Suite</t>
        </is>
      </c>
      <c r="H112">
        <f>HYPERLINK("https://booking.roadsurfer.com/es/rally/pick?pickup_date=2026-06-15&amp;return_date=2026-06-22&amp;currency=EUR&amp;startStation=18&amp;endStation=19", "Clic para verlo en la web de RoadSurfer")</f>
        <v/>
      </c>
    </row>
    <row r="113">
      <c r="A113" t="inlineStr">
        <is>
          <t>Reino Unido</t>
        </is>
      </c>
      <c r="B113" t="inlineStr">
        <is>
          <t>Londres</t>
        </is>
      </c>
      <c r="C113" t="inlineStr">
        <is>
          <t>Reino Unido</t>
        </is>
      </c>
      <c r="D113" t="inlineStr">
        <is>
          <t>Mánchester</t>
        </is>
      </c>
      <c r="E113" t="inlineStr">
        <is>
          <t>2026-06-29</t>
        </is>
      </c>
      <c r="F113" t="inlineStr">
        <is>
          <t>2026-07-06</t>
        </is>
      </c>
      <c r="G113" t="inlineStr">
        <is>
          <t xml:space="preserve"> - Couple Cottage</t>
        </is>
      </c>
      <c r="H113">
        <f>HYPERLINK("https://booking.roadsurfer.com/es/rally/pick?pickup_date=2026-06-29&amp;return_date=2026-07-06&amp;currency=EUR&amp;startStation=63&amp;endStation=99", "Clic para verlo en la web de RoadSurfer")</f>
        <v/>
      </c>
    </row>
    <row r="114">
      <c r="A114" t="inlineStr">
        <is>
          <t>Reino Unido</t>
        </is>
      </c>
      <c r="B114" t="inlineStr">
        <is>
          <t>Londres</t>
        </is>
      </c>
      <c r="C114" t="inlineStr">
        <is>
          <t>Reino Unido</t>
        </is>
      </c>
      <c r="D114" t="inlineStr">
        <is>
          <t>Edimburgo</t>
        </is>
      </c>
      <c r="E114" t="inlineStr">
        <is>
          <t>2026-06-24</t>
        </is>
      </c>
      <c r="F114" t="inlineStr">
        <is>
          <t>2026-07-01</t>
        </is>
      </c>
      <c r="G114" t="inlineStr">
        <is>
          <t xml:space="preserve"> - Cozy Cottage</t>
        </is>
      </c>
      <c r="H114">
        <f>HYPERLINK("https://booking.roadsurfer.com/es/rally/pick?pickup_date=2026-06-24&amp;return_date=2026-07-01&amp;currency=EUR&amp;startStation=63&amp;endStation=64", "Clic para verlo en la web de RoadSurfer")</f>
        <v/>
      </c>
    </row>
    <row r="115">
      <c r="A115" t="inlineStr">
        <is>
          <t>Alemania</t>
        </is>
      </c>
      <c r="B115" t="inlineStr">
        <is>
          <t>Lübeck</t>
        </is>
      </c>
      <c r="C115" t="inlineStr">
        <is>
          <t>Suecia</t>
        </is>
      </c>
      <c r="D115" t="inlineStr">
        <is>
          <t>Estocolmo</t>
        </is>
      </c>
      <c r="E115" t="inlineStr">
        <is>
          <t>2026-06-15</t>
        </is>
      </c>
      <c r="F115" t="inlineStr">
        <is>
          <t>2026-06-22</t>
        </is>
      </c>
      <c r="G115" t="inlineStr">
        <is>
          <t xml:space="preserve"> - Beach Hostel</t>
        </is>
      </c>
      <c r="H115">
        <f>HYPERLINK("https://booking.roadsurfer.com/es/rally/pick?pickup_date=2026-06-15&amp;return_date=2026-06-22&amp;currency=EUR&amp;startStation=109&amp;endStation=59", "Clic para verlo en la web de RoadSurfer")</f>
        <v/>
      </c>
    </row>
    <row r="116">
      <c r="A116" t="inlineStr">
        <is>
          <t>Alemania</t>
        </is>
      </c>
      <c r="B116" t="inlineStr">
        <is>
          <t>Lübeck</t>
        </is>
      </c>
      <c r="C116" t="inlineStr">
        <is>
          <t>Alemania</t>
        </is>
      </c>
      <c r="D116" t="inlineStr">
        <is>
          <t>Colonia-Düsseldorf</t>
        </is>
      </c>
      <c r="E116" t="inlineStr">
        <is>
          <t>2026-06-15</t>
        </is>
      </c>
      <c r="F116" t="inlineStr">
        <is>
          <t>2026-06-22</t>
        </is>
      </c>
      <c r="G116" t="inlineStr">
        <is>
          <t xml:space="preserve"> - Surfer Suite</t>
        </is>
      </c>
      <c r="H116">
        <f>HYPERLINK("https://booking.roadsurfer.com/es/rally/pick?pickup_date=2026-06-15&amp;return_date=2026-06-22&amp;currency=EUR&amp;startStation=109&amp;endStation=4", "Clic para verlo en la web de RoadSurfer")</f>
        <v/>
      </c>
    </row>
    <row r="117">
      <c r="A117" t="inlineStr">
        <is>
          <t>España</t>
        </is>
      </c>
      <c r="B117" t="inlineStr">
        <is>
          <t>Madrid</t>
        </is>
      </c>
      <c r="C117" t="inlineStr">
        <is>
          <t>Suecia</t>
        </is>
      </c>
      <c r="D117" t="inlineStr">
        <is>
          <t>Malmö</t>
        </is>
      </c>
      <c r="E117" t="inlineStr">
        <is>
          <t>2026-06-15</t>
        </is>
      </c>
      <c r="F117" t="inlineStr">
        <is>
          <t>2026-06-22</t>
        </is>
      </c>
      <c r="G117" t="inlineStr">
        <is>
          <t xml:space="preserve"> - Cozy Cottage</t>
        </is>
      </c>
      <c r="H117">
        <f>HYPERLINK("https://booking.roadsurfer.com/es/rally/pick?pickup_date=2026-06-15&amp;return_date=2026-06-22&amp;currency=EUR&amp;startStation=20&amp;endStation=60", "Clic para verlo en la web de RoadSurfer")</f>
        <v/>
      </c>
    </row>
    <row r="118">
      <c r="A118" t="inlineStr">
        <is>
          <t>Alemania</t>
        </is>
      </c>
      <c r="B118" t="inlineStr">
        <is>
          <t>Maguncia</t>
        </is>
      </c>
      <c r="C118" t="inlineStr">
        <is>
          <t>Francia</t>
        </is>
      </c>
      <c r="D118" t="inlineStr">
        <is>
          <t>Lille</t>
        </is>
      </c>
      <c r="E118" t="inlineStr">
        <is>
          <t>2026-06-16</t>
        </is>
      </c>
      <c r="F118" t="inlineStr">
        <is>
          <t>2026-06-23</t>
        </is>
      </c>
      <c r="G118" t="inlineStr">
        <is>
          <t xml:space="preserve"> - Cozy Cottage</t>
        </is>
      </c>
      <c r="H118">
        <f>HYPERLINK("https://booking.roadsurfer.com/es/rally/pick?pickup_date=2026-06-16&amp;return_date=2026-06-23&amp;currency=EUR&amp;startStation=54&amp;endStation=87", "Clic para verlo en la web de RoadSurfer")</f>
        <v/>
      </c>
    </row>
    <row r="119">
      <c r="A119" t="inlineStr">
        <is>
          <t>Alemania</t>
        </is>
      </c>
      <c r="B119" t="inlineStr">
        <is>
          <t>Maguncia</t>
        </is>
      </c>
      <c r="C119" t="inlineStr">
        <is>
          <t>Suecia</t>
        </is>
      </c>
      <c r="D119" t="inlineStr">
        <is>
          <t>Estocolmo</t>
        </is>
      </c>
      <c r="E119" t="inlineStr">
        <is>
          <t>2026-06-17</t>
        </is>
      </c>
      <c r="F119" t="inlineStr">
        <is>
          <t>2026-06-24</t>
        </is>
      </c>
      <c r="G119" t="inlineStr">
        <is>
          <t xml:space="preserve"> - Surfer Suite</t>
        </is>
      </c>
      <c r="H119">
        <f>HYPERLINK("https://booking.roadsurfer.com/es/rally/pick?pickup_date=2026-06-17&amp;return_date=2026-06-24&amp;currency=EUR&amp;startStation=54&amp;endStation=59", "Clic para verlo en la web de RoadSurfer")</f>
        <v/>
      </c>
    </row>
    <row r="120">
      <c r="A120" t="inlineStr">
        <is>
          <t>Alemania</t>
        </is>
      </c>
      <c r="B120" t="inlineStr">
        <is>
          <t>Maguncia</t>
        </is>
      </c>
      <c r="C120" t="inlineStr">
        <is>
          <t>Países Bajos</t>
        </is>
      </c>
      <c r="D120" t="inlineStr">
        <is>
          <t>Ámsterdam</t>
        </is>
      </c>
      <c r="E120" t="inlineStr">
        <is>
          <t>2026-06-22</t>
        </is>
      </c>
      <c r="F120" t="inlineStr">
        <is>
          <t>2026-06-29</t>
        </is>
      </c>
      <c r="G120" t="inlineStr">
        <is>
          <t xml:space="preserve"> - Surfer Suite</t>
        </is>
      </c>
      <c r="H120">
        <f>HYPERLINK("https://booking.roadsurfer.com/es/rally/pick?pickup_date=2026-06-22&amp;return_date=2026-06-29&amp;currency=EUR&amp;startStation=54&amp;endStation=32", "Clic para verlo en la web de RoadSurfer")</f>
        <v/>
      </c>
    </row>
    <row r="121">
      <c r="A121" t="inlineStr">
        <is>
          <t>Alemania</t>
        </is>
      </c>
      <c r="B121" t="inlineStr">
        <is>
          <t>Maguncia</t>
        </is>
      </c>
      <c r="C121" t="inlineStr">
        <is>
          <t>Francia</t>
        </is>
      </c>
      <c r="D121" t="inlineStr">
        <is>
          <t>Burdeos</t>
        </is>
      </c>
      <c r="E121" t="inlineStr">
        <is>
          <t>2026-06-15</t>
        </is>
      </c>
      <c r="F121" t="inlineStr">
        <is>
          <t>2026-06-22</t>
        </is>
      </c>
      <c r="G121" t="inlineStr">
        <is>
          <t xml:space="preserve"> - Sunrise Suite</t>
        </is>
      </c>
      <c r="H121">
        <f>HYPERLINK("https://booking.roadsurfer.com/es/rally/pick?pickup_date=2026-06-15&amp;return_date=2026-06-22&amp;currency=EUR&amp;startStation=54&amp;endStation=13", "Clic para verlo en la web de RoadSurfer")</f>
        <v/>
      </c>
    </row>
    <row r="122">
      <c r="A122" t="inlineStr">
        <is>
          <t>España</t>
        </is>
      </c>
      <c r="B122" t="inlineStr">
        <is>
          <t>Málaga</t>
        </is>
      </c>
      <c r="C122" t="inlineStr">
        <is>
          <t>Italia</t>
        </is>
      </c>
      <c r="D122" t="inlineStr">
        <is>
          <t>Venecia</t>
        </is>
      </c>
      <c r="E122" t="inlineStr">
        <is>
          <t>2026-06-29</t>
        </is>
      </c>
      <c r="F122" t="inlineStr">
        <is>
          <t>2026-07-06</t>
        </is>
      </c>
      <c r="G122" t="inlineStr">
        <is>
          <t xml:space="preserve"> - Surfer Suite</t>
        </is>
      </c>
      <c r="H122">
        <f>HYPERLINK("https://booking.roadsurfer.com/es/rally/pick?pickup_date=2026-06-29&amp;return_date=2026-07-06&amp;currency=EUR&amp;startStation=21&amp;endStation=78", "Clic para verlo en la web de RoadSurfer")</f>
        <v/>
      </c>
    </row>
    <row r="123">
      <c r="A123" t="inlineStr">
        <is>
          <t>España</t>
        </is>
      </c>
      <c r="B123" t="inlineStr">
        <is>
          <t>Málaga</t>
        </is>
      </c>
      <c r="C123" t="inlineStr">
        <is>
          <t>Italia</t>
        </is>
      </c>
      <c r="D123" t="inlineStr">
        <is>
          <t>Bérgamo</t>
        </is>
      </c>
      <c r="E123" t="inlineStr">
        <is>
          <t>2026-06-15</t>
        </is>
      </c>
      <c r="F123" t="inlineStr">
        <is>
          <t>2026-06-22</t>
        </is>
      </c>
      <c r="G123" t="inlineStr">
        <is>
          <t xml:space="preserve"> - Surfer Suite</t>
        </is>
      </c>
      <c r="H123">
        <f>HYPERLINK("https://booking.roadsurfer.com/es/rally/pick?pickup_date=2026-06-15&amp;return_date=2026-06-22&amp;currency=EUR&amp;startStation=21&amp;endStation=94", "Clic para verlo en la web de RoadSurfer")</f>
        <v/>
      </c>
    </row>
    <row r="124">
      <c r="A124" t="inlineStr">
        <is>
          <t>España</t>
        </is>
      </c>
      <c r="B124" t="inlineStr">
        <is>
          <t>Málaga</t>
        </is>
      </c>
      <c r="C124" t="inlineStr">
        <is>
          <t>Italia</t>
        </is>
      </c>
      <c r="D124" t="inlineStr">
        <is>
          <t>Bérgamo</t>
        </is>
      </c>
      <c r="E124" t="inlineStr">
        <is>
          <t>2026-06-18</t>
        </is>
      </c>
      <c r="F124" t="inlineStr">
        <is>
          <t>2026-06-25</t>
        </is>
      </c>
      <c r="G124" t="inlineStr">
        <is>
          <t xml:space="preserve"> - Surfer Suite</t>
        </is>
      </c>
      <c r="H124">
        <f>HYPERLINK("https://booking.roadsurfer.com/es/rally/pick?pickup_date=2026-06-18&amp;return_date=2026-06-25&amp;currency=EUR&amp;startStation=21&amp;endStation=94", "Clic para verlo en la web de RoadSurfer")</f>
        <v/>
      </c>
    </row>
    <row r="125">
      <c r="A125" t="inlineStr">
        <is>
          <t>España</t>
        </is>
      </c>
      <c r="B125" t="inlineStr">
        <is>
          <t>Málaga</t>
        </is>
      </c>
      <c r="C125" t="inlineStr">
        <is>
          <t>Alemania</t>
        </is>
      </c>
      <c r="D125" t="inlineStr">
        <is>
          <t>Ulm</t>
        </is>
      </c>
      <c r="E125" t="inlineStr">
        <is>
          <t>2026-06-29</t>
        </is>
      </c>
      <c r="F125" t="inlineStr">
        <is>
          <t>2026-07-06</t>
        </is>
      </c>
      <c r="G125" t="inlineStr">
        <is>
          <t xml:space="preserve"> - Family Finca</t>
        </is>
      </c>
      <c r="H125">
        <f>HYPERLINK("https://booking.roadsurfer.com/es/rally/pick?pickup_date=2026-06-29&amp;return_date=2026-07-06&amp;currency=EUR&amp;startStation=21&amp;endStation=112", "Clic para verlo en la web de RoadSurfer")</f>
        <v/>
      </c>
    </row>
    <row r="126">
      <c r="A126" t="inlineStr">
        <is>
          <t>España</t>
        </is>
      </c>
      <c r="B126" t="inlineStr">
        <is>
          <t>Málaga</t>
        </is>
      </c>
      <c r="C126" t="inlineStr">
        <is>
          <t>Alemania</t>
        </is>
      </c>
      <c r="D126" t="inlineStr">
        <is>
          <t>Stuttgart</t>
        </is>
      </c>
      <c r="E126" t="inlineStr">
        <is>
          <t>2026-06-29</t>
        </is>
      </c>
      <c r="F126" t="inlineStr">
        <is>
          <t>2026-07-06</t>
        </is>
      </c>
      <c r="G126" t="inlineStr">
        <is>
          <t xml:space="preserve"> - No hay coche</t>
        </is>
      </c>
      <c r="H126">
        <f>HYPERLINK("https://booking.roadsurfer.com/es/rally/pick?pickup_date=2026-06-29&amp;return_date=2026-07-06&amp;currency=EUR&amp;startStation=21&amp;endStation=5", "Clic para verlo en la web de RoadSurfer")</f>
        <v/>
      </c>
    </row>
    <row r="127">
      <c r="A127" t="inlineStr">
        <is>
          <t>España</t>
        </is>
      </c>
      <c r="B127" t="inlineStr">
        <is>
          <t>Málaga</t>
        </is>
      </c>
      <c r="C127" t="inlineStr">
        <is>
          <t>Italia</t>
        </is>
      </c>
      <c r="D127" t="inlineStr">
        <is>
          <t>Milán</t>
        </is>
      </c>
      <c r="E127" t="inlineStr">
        <is>
          <t>2026-06-15</t>
        </is>
      </c>
      <c r="F127" t="inlineStr">
        <is>
          <t>2026-06-22</t>
        </is>
      </c>
      <c r="G127" t="inlineStr">
        <is>
          <t xml:space="preserve"> - Surfer Suite</t>
        </is>
      </c>
      <c r="H127">
        <f>HYPERLINK("https://booking.roadsurfer.com/es/rally/pick?pickup_date=2026-06-15&amp;return_date=2026-06-22&amp;currency=EUR&amp;startStation=21&amp;endStation=34", "Clic para verlo en la web de RoadSurfer")</f>
        <v/>
      </c>
    </row>
    <row r="128">
      <c r="A128" t="inlineStr">
        <is>
          <t>España</t>
        </is>
      </c>
      <c r="B128" t="inlineStr">
        <is>
          <t>Málaga</t>
        </is>
      </c>
      <c r="C128" t="inlineStr">
        <is>
          <t>Alemania</t>
        </is>
      </c>
      <c r="D128" t="inlineStr">
        <is>
          <t>Núremberg</t>
        </is>
      </c>
      <c r="E128" t="inlineStr">
        <is>
          <t>2026-06-29</t>
        </is>
      </c>
      <c r="F128" t="inlineStr">
        <is>
          <t>2026-07-06</t>
        </is>
      </c>
      <c r="G128" t="inlineStr">
        <is>
          <t xml:space="preserve"> - Family Finca</t>
        </is>
      </c>
      <c r="H128">
        <f>HYPERLINK("https://booking.roadsurfer.com/es/rally/pick?pickup_date=2026-06-29&amp;return_date=2026-07-06&amp;currency=EUR&amp;startStation=21&amp;endStation=11", "Clic para verlo en la web de RoadSurfer")</f>
        <v/>
      </c>
    </row>
    <row r="129">
      <c r="A129" t="inlineStr">
        <is>
          <t>Reino Unido</t>
        </is>
      </c>
      <c r="B129" t="inlineStr">
        <is>
          <t>Mánchester</t>
        </is>
      </c>
      <c r="C129" t="inlineStr">
        <is>
          <t>Reino Unido</t>
        </is>
      </c>
      <c r="D129" t="inlineStr">
        <is>
          <t>Londres</t>
        </is>
      </c>
      <c r="E129" t="inlineStr">
        <is>
          <t>2026-06-22</t>
        </is>
      </c>
      <c r="F129" t="inlineStr">
        <is>
          <t>2026-06-29</t>
        </is>
      </c>
      <c r="G129" t="inlineStr">
        <is>
          <t xml:space="preserve"> - No hay coche</t>
        </is>
      </c>
      <c r="H129">
        <f>HYPERLINK("https://booking.roadsurfer.com/es/rally/pick?pickup_date=2026-06-22&amp;return_date=2026-06-29&amp;currency=EUR&amp;startStation=99&amp;endStation=63", "Clic para verlo en la web de RoadSurfer")</f>
        <v/>
      </c>
    </row>
    <row r="130">
      <c r="A130" t="inlineStr">
        <is>
          <t>Reino Unido</t>
        </is>
      </c>
      <c r="B130" t="inlineStr">
        <is>
          <t>Mánchester</t>
        </is>
      </c>
      <c r="C130" t="inlineStr">
        <is>
          <t>Reino Unido</t>
        </is>
      </c>
      <c r="D130" t="inlineStr">
        <is>
          <t>Edimburgo</t>
        </is>
      </c>
      <c r="E130" t="inlineStr">
        <is>
          <t>2026-07-08</t>
        </is>
      </c>
      <c r="F130" t="inlineStr">
        <is>
          <t>2026-07-15</t>
        </is>
      </c>
      <c r="G130" t="inlineStr">
        <is>
          <t xml:space="preserve"> - Cozy Cottage</t>
        </is>
      </c>
      <c r="H130">
        <f>HYPERLINK("https://booking.roadsurfer.com/es/rally/pick?pickup_date=2026-07-08&amp;return_date=2026-07-15&amp;currency=EUR&amp;startStation=99&amp;endStation=64", "Clic para verlo en la web de RoadSurfer")</f>
        <v/>
      </c>
    </row>
    <row r="131">
      <c r="A131" t="inlineStr">
        <is>
          <t>Alemania</t>
        </is>
      </c>
      <c r="B131" t="inlineStr">
        <is>
          <t>Marburg</t>
        </is>
      </c>
      <c r="C131" t="inlineStr">
        <is>
          <t>Francia</t>
        </is>
      </c>
      <c r="D131" t="inlineStr">
        <is>
          <t>Lyon</t>
        </is>
      </c>
      <c r="E131" t="inlineStr">
        <is>
          <t>2026-06-17</t>
        </is>
      </c>
      <c r="F131" t="inlineStr">
        <is>
          <t>2026-06-24</t>
        </is>
      </c>
      <c r="G131" t="inlineStr">
        <is>
          <t xml:space="preserve"> - Surfer Suite</t>
        </is>
      </c>
      <c r="H131">
        <f>HYPERLINK("https://booking.roadsurfer.com/es/rally/pick?pickup_date=2026-06-17&amp;return_date=2026-06-24&amp;currency=EUR&amp;startStation=22&amp;endStation=15", "Clic para verlo en la web de RoadSurfer")</f>
        <v/>
      </c>
    </row>
    <row r="132">
      <c r="A132" t="inlineStr">
        <is>
          <t>Alemania</t>
        </is>
      </c>
      <c r="B132" t="inlineStr">
        <is>
          <t>Marburg</t>
        </is>
      </c>
      <c r="C132" t="inlineStr">
        <is>
          <t>Suecia</t>
        </is>
      </c>
      <c r="D132" t="inlineStr">
        <is>
          <t>Estocolmo</t>
        </is>
      </c>
      <c r="E132" t="inlineStr">
        <is>
          <t>2026-06-18</t>
        </is>
      </c>
      <c r="F132" t="inlineStr">
        <is>
          <t>2026-06-25</t>
        </is>
      </c>
      <c r="G132" t="inlineStr">
        <is>
          <t xml:space="preserve"> - Surfer Suite</t>
        </is>
      </c>
      <c r="H132">
        <f>HYPERLINK("https://booking.roadsurfer.com/es/rally/pick?pickup_date=2026-06-18&amp;return_date=2026-06-25&amp;currency=EUR&amp;startStation=22&amp;endStation=59", "Clic para verlo en la web de RoadSurfer")</f>
        <v/>
      </c>
    </row>
    <row r="133">
      <c r="A133" t="inlineStr">
        <is>
          <t>Alemania</t>
        </is>
      </c>
      <c r="B133" t="inlineStr">
        <is>
          <t>Marburg</t>
        </is>
      </c>
      <c r="C133" t="inlineStr">
        <is>
          <t>Suecia</t>
        </is>
      </c>
      <c r="D133" t="inlineStr">
        <is>
          <t>Estocolmo</t>
        </is>
      </c>
      <c r="E133" t="inlineStr">
        <is>
          <t>2026-06-16</t>
        </is>
      </c>
      <c r="F133" t="inlineStr">
        <is>
          <t>2026-06-23</t>
        </is>
      </c>
      <c r="G133" t="inlineStr">
        <is>
          <t xml:space="preserve"> - Surfer Suite</t>
        </is>
      </c>
      <c r="H133">
        <f>HYPERLINK("https://booking.roadsurfer.com/es/rally/pick?pickup_date=2026-06-16&amp;return_date=2026-06-23&amp;currency=EUR&amp;startStation=22&amp;endStation=59",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Suecia</t>
        </is>
      </c>
      <c r="D134" t="inlineStr">
        <is>
          <t>Estocolmo</t>
        </is>
      </c>
      <c r="E134" t="inlineStr">
        <is>
          <t>2026-06-15</t>
        </is>
      </c>
      <c r="F134" t="inlineStr">
        <is>
          <t>2026-06-22</t>
        </is>
      </c>
      <c r="G134" t="inlineStr">
        <is>
          <t xml:space="preserve"> - No hay coche</t>
        </is>
      </c>
      <c r="H134">
        <f>HYPERLINK("https://booking.roadsurfer.com/es/rally/pick?pickup_date=2026-06-15&amp;return_date=2026-06-22&amp;currency=EUR&amp;startStation=22&amp;endStation=59", "Clic para verlo en la web de RoadSurfer")</f>
        <v/>
      </c>
    </row>
    <row r="135">
      <c r="A135" t="inlineStr">
        <is>
          <t>Alemania</t>
        </is>
      </c>
      <c r="B135" t="inlineStr">
        <is>
          <t>Marburg</t>
        </is>
      </c>
      <c r="C135" t="inlineStr">
        <is>
          <t>Francia</t>
        </is>
      </c>
      <c r="D135" t="inlineStr">
        <is>
          <t>Ginebra-Pays de Gex (Francia)</t>
        </is>
      </c>
      <c r="E135" t="inlineStr">
        <is>
          <t>2026-06-16</t>
        </is>
      </c>
      <c r="F135" t="inlineStr">
        <is>
          <t>2026-06-23</t>
        </is>
      </c>
      <c r="G135" t="inlineStr">
        <is>
          <t xml:space="preserve"> - Surfer Suite</t>
        </is>
      </c>
      <c r="H135">
        <f>HYPERLINK("https://booking.roadsurfer.com/es/rally/pick?pickup_date=2026-06-16&amp;return_date=2026-06-23&amp;currency=EUR&amp;startStation=22&amp;endStation=29",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Francia</t>
        </is>
      </c>
      <c r="D136" t="inlineStr">
        <is>
          <t>Ginebra-Pays de Gex (Francia)</t>
        </is>
      </c>
      <c r="E136" t="inlineStr">
        <is>
          <t>2026-06-18</t>
        </is>
      </c>
      <c r="F136" t="inlineStr">
        <is>
          <t>2026-06-25</t>
        </is>
      </c>
      <c r="G136" t="inlineStr">
        <is>
          <t xml:space="preserve"> - Couple Cottage</t>
        </is>
      </c>
      <c r="H136">
        <f>HYPERLINK("https://booking.roadsurfer.com/es/rally/pick?pickup_date=2026-06-18&amp;return_date=2026-06-25&amp;currency=EUR&amp;startStation=22&amp;endStation=29",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Francia</t>
        </is>
      </c>
      <c r="D137" t="inlineStr">
        <is>
          <t>Ginebra-Pays de Gex (Francia)</t>
        </is>
      </c>
      <c r="E137" t="inlineStr">
        <is>
          <t>2026-06-12</t>
        </is>
      </c>
      <c r="F137" t="inlineStr">
        <is>
          <t>2026-06-19</t>
        </is>
      </c>
      <c r="G137" t="inlineStr">
        <is>
          <t xml:space="preserve"> - Sunrise Suite</t>
        </is>
      </c>
      <c r="H137">
        <f>HYPERLINK("https://booking.roadsurfer.com/es/rally/pick?pickup_date=2026-06-12&amp;return_date=2026-06-19&amp;currency=EUR&amp;startStation=22&amp;endStation=29", "Clic para verlo en la web de RoadSurfer")</f>
        <v/>
      </c>
    </row>
    <row r="138">
      <c r="A138" t="inlineStr">
        <is>
          <t>Alemania</t>
        </is>
      </c>
      <c r="B138" t="inlineStr">
        <is>
          <t>Marburg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2026-06-12</t>
        </is>
      </c>
      <c r="F138" t="inlineStr">
        <is>
          <t>2026-06-19</t>
        </is>
      </c>
      <c r="G138" t="inlineStr">
        <is>
          <t xml:space="preserve"> - Camper Cabin</t>
        </is>
      </c>
      <c r="H138">
        <f>HYPERLINK("https://booking.roadsurfer.com/es/rally/pick?pickup_date=2026-06-12&amp;return_date=2026-06-19&amp;currency=EUR&amp;startStation=22&amp;endStation=13", "Clic para verlo en la web de RoadSurfer")</f>
        <v/>
      </c>
    </row>
    <row r="139">
      <c r="A139" t="inlineStr">
        <is>
          <t>Alemania</t>
        </is>
      </c>
      <c r="B139" t="inlineStr">
        <is>
          <t>Marburg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2026-07-15</t>
        </is>
      </c>
      <c r="F139" t="inlineStr">
        <is>
          <t>2026-07-22</t>
        </is>
      </c>
      <c r="G139" t="inlineStr">
        <is>
          <t xml:space="preserve"> - Surfer Suite - Sunrise Suite</t>
        </is>
      </c>
      <c r="H139">
        <f>HYPERLINK("https://booking.roadsurfer.com/es/rally/pick?pickup_date=2026-07-15&amp;return_date=2026-07-22&amp;currency=EUR&amp;startStation=22&amp;endStation=13",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2026-06-23</t>
        </is>
      </c>
      <c r="F140" t="inlineStr">
        <is>
          <t>2026-06-30</t>
        </is>
      </c>
      <c r="G140" t="inlineStr">
        <is>
          <t xml:space="preserve"> - Surfer Suite</t>
        </is>
      </c>
      <c r="H140">
        <f>HYPERLINK("https://booking.roadsurfer.com/es/rally/pick?pickup_date=2026-06-23&amp;return_date=2026-06-30&amp;currency=EUR&amp;startStation=22&amp;endStation=13",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2026-07-16</t>
        </is>
      </c>
      <c r="F141" t="inlineStr">
        <is>
          <t>2026-07-23</t>
        </is>
      </c>
      <c r="G141" t="inlineStr">
        <is>
          <t xml:space="preserve"> - Surfer Suite</t>
        </is>
      </c>
      <c r="H141">
        <f>HYPERLINK("https://booking.roadsurfer.com/es/rally/pick?pickup_date=2026-07-16&amp;return_date=2026-07-23&amp;currency=EUR&amp;startStation=22&amp;endStation=13",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Francia</t>
        </is>
      </c>
      <c r="D142" t="inlineStr">
        <is>
          <t>Burdeos</t>
        </is>
      </c>
      <c r="E142" t="inlineStr">
        <is>
          <t>2026-07-13</t>
        </is>
      </c>
      <c r="F142" t="inlineStr">
        <is>
          <t>2026-07-20</t>
        </is>
      </c>
      <c r="G142" t="inlineStr">
        <is>
          <t xml:space="preserve"> - Surfer Suite</t>
        </is>
      </c>
      <c r="H142">
        <f>HYPERLINK("https://booking.roadsurfer.com/es/rally/pick?pickup_date=2026-07-13&amp;return_date=2026-07-20&amp;currency=EUR&amp;startStation=22&amp;endStation=13",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2026-07-09</t>
        </is>
      </c>
      <c r="F143" t="inlineStr">
        <is>
          <t>2026-07-16</t>
        </is>
      </c>
      <c r="G143" t="inlineStr">
        <is>
          <t xml:space="preserve"> - Beach Hostel</t>
        </is>
      </c>
      <c r="H143">
        <f>HYPERLINK("https://booking.roadsurfer.com/es/rally/pick?pickup_date=2026-07-09&amp;return_date=2026-07-16&amp;currency=EUR&amp;startStation=22&amp;endStation=13",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2026-06-15</t>
        </is>
      </c>
      <c r="F144" t="inlineStr">
        <is>
          <t>2026-06-22</t>
        </is>
      </c>
      <c r="G144" t="inlineStr">
        <is>
          <t xml:space="preserve"> - Couple Cottage</t>
        </is>
      </c>
      <c r="H144">
        <f>HYPERLINK("https://booking.roadsurfer.com/es/rally/pick?pickup_date=2026-06-15&amp;return_date=2026-06-22&amp;currency=EUR&amp;startStation=22&amp;endStation=13",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Francia</t>
        </is>
      </c>
      <c r="D145" t="inlineStr">
        <is>
          <t>Burdeos</t>
        </is>
      </c>
      <c r="E145" t="inlineStr">
        <is>
          <t>2026-06-16</t>
        </is>
      </c>
      <c r="F145" t="inlineStr">
        <is>
          <t>2026-06-23</t>
        </is>
      </c>
      <c r="G145" t="inlineStr"/>
      <c r="H145">
        <f>HYPERLINK("https://booking.roadsurfer.com/es/rally/pick?pickup_date=2026-06-16&amp;return_date=2026-06-23&amp;currency=EUR&amp;startStation=22&amp;endStation=13",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Francia</t>
        </is>
      </c>
      <c r="D146" t="inlineStr">
        <is>
          <t>Burdeos</t>
        </is>
      </c>
      <c r="E146" t="inlineStr">
        <is>
          <t>2026-06-18</t>
        </is>
      </c>
      <c r="F146" t="inlineStr">
        <is>
          <t>2026-06-25</t>
        </is>
      </c>
      <c r="G146" t="inlineStr">
        <is>
          <t xml:space="preserve"> - Camper Cabin</t>
        </is>
      </c>
      <c r="H146">
        <f>HYPERLINK("https://booking.roadsurfer.com/es/rally/pick?pickup_date=2026-06-18&amp;return_date=2026-06-25&amp;currency=EUR&amp;startStation=22&amp;endStation=13",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Francia</t>
        </is>
      </c>
      <c r="D147" t="inlineStr">
        <is>
          <t>Burdeos</t>
        </is>
      </c>
      <c r="E147" t="inlineStr">
        <is>
          <t>2026-07-06</t>
        </is>
      </c>
      <c r="F147" t="inlineStr">
        <is>
          <t>2026-07-13</t>
        </is>
      </c>
      <c r="G147" t="inlineStr">
        <is>
          <t xml:space="preserve"> - No hay coche</t>
        </is>
      </c>
      <c r="H147">
        <f>HYPERLINK("https://booking.roadsurfer.com/es/rally/pick?pickup_date=2026-07-06&amp;return_date=2026-07-13&amp;currency=EUR&amp;startStation=22&amp;endStation=13",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Bélgica</t>
        </is>
      </c>
      <c r="D148" t="inlineStr">
        <is>
          <t>Amberes</t>
        </is>
      </c>
      <c r="E148" t="inlineStr">
        <is>
          <t>2026-06-18</t>
        </is>
      </c>
      <c r="F148" t="inlineStr">
        <is>
          <t>2026-06-25</t>
        </is>
      </c>
      <c r="G148" t="inlineStr">
        <is>
          <t xml:space="preserve"> - Surfer Suite</t>
        </is>
      </c>
      <c r="H148">
        <f>HYPERLINK("https://booking.roadsurfer.com/es/rally/pick?pickup_date=2026-06-18&amp;return_date=2026-06-25&amp;currency=EUR&amp;startStation=22&amp;endStation=47",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Bélgica</t>
        </is>
      </c>
      <c r="D149" t="inlineStr">
        <is>
          <t>Amberes</t>
        </is>
      </c>
      <c r="E149" t="inlineStr">
        <is>
          <t>2026-06-23</t>
        </is>
      </c>
      <c r="F149" t="inlineStr">
        <is>
          <t>2026-06-30</t>
        </is>
      </c>
      <c r="G149" t="inlineStr">
        <is>
          <t xml:space="preserve"> - Camper Castle</t>
        </is>
      </c>
      <c r="H149">
        <f>HYPERLINK("https://booking.roadsurfer.com/es/rally/pick?pickup_date=2026-06-23&amp;return_date=2026-06-30&amp;currency=EUR&amp;startStation=22&amp;endStation=47",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España</t>
        </is>
      </c>
      <c r="D150" t="inlineStr">
        <is>
          <t>Sevilla</t>
        </is>
      </c>
      <c r="E150" t="inlineStr">
        <is>
          <t>2026-07-09</t>
        </is>
      </c>
      <c r="F150" t="inlineStr">
        <is>
          <t>2026-07-16</t>
        </is>
      </c>
      <c r="G150" t="inlineStr">
        <is>
          <t xml:space="preserve"> - Beach Hostel</t>
        </is>
      </c>
      <c r="H150">
        <f>HYPERLINK("https://booking.roadsurfer.com/es/rally/pick?pickup_date=2026-07-09&amp;return_date=2026-07-16&amp;currency=EUR&amp;startStation=22&amp;endStation=39",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Francia</t>
        </is>
      </c>
      <c r="D151" t="inlineStr">
        <is>
          <t>Nantes</t>
        </is>
      </c>
      <c r="E151" t="inlineStr">
        <is>
          <t>2026-06-12</t>
        </is>
      </c>
      <c r="F151" t="inlineStr">
        <is>
          <t>2026-06-19</t>
        </is>
      </c>
      <c r="G151" t="inlineStr">
        <is>
          <t xml:space="preserve"> - Camper Cabin</t>
        </is>
      </c>
      <c r="H151">
        <f>HYPERLINK("https://booking.roadsurfer.com/es/rally/pick?pickup_date=2026-06-12&amp;return_date=2026-06-19&amp;currency=EUR&amp;startStation=22&amp;endStation=31",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Francia</t>
        </is>
      </c>
      <c r="D152" t="inlineStr">
        <is>
          <t>Nantes</t>
        </is>
      </c>
      <c r="E152" t="inlineStr">
        <is>
          <t>2026-06-11</t>
        </is>
      </c>
      <c r="F152" t="inlineStr">
        <is>
          <t>2026-06-18</t>
        </is>
      </c>
      <c r="G152" t="inlineStr">
        <is>
          <t xml:space="preserve"> - No hay coche</t>
        </is>
      </c>
      <c r="H152">
        <f>HYPERLINK("https://booking.roadsurfer.com/es/rally/pick?pickup_date=2026-06-11&amp;return_date=2026-06-18&amp;currency=EUR&amp;startStation=22&amp;endStation=31",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España</t>
        </is>
      </c>
      <c r="D153" t="inlineStr">
        <is>
          <t>Barcelona</t>
        </is>
      </c>
      <c r="E153" t="inlineStr">
        <is>
          <t>2026-07-17</t>
        </is>
      </c>
      <c r="F153" t="inlineStr">
        <is>
          <t>2026-07-24</t>
        </is>
      </c>
      <c r="G153" t="inlineStr">
        <is>
          <t xml:space="preserve"> - Camper Castle</t>
        </is>
      </c>
      <c r="H153">
        <f>HYPERLINK("https://booking.roadsurfer.com/es/rally/pick?pickup_date=2026-07-17&amp;return_date=2026-07-24&amp;currency=EUR&amp;startStation=22&amp;endStation=17",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España</t>
        </is>
      </c>
      <c r="D154" t="inlineStr">
        <is>
          <t>Barcelona</t>
        </is>
      </c>
      <c r="E154" t="inlineStr">
        <is>
          <t>2026-06-16</t>
        </is>
      </c>
      <c r="F154" t="inlineStr">
        <is>
          <t>2026-06-23</t>
        </is>
      </c>
      <c r="G154" t="inlineStr">
        <is>
          <t xml:space="preserve"> - Camper Castle</t>
        </is>
      </c>
      <c r="H154">
        <f>HYPERLINK("https://booking.roadsurfer.com/es/rally/pick?pickup_date=2026-06-16&amp;return_date=2026-06-23&amp;currency=EUR&amp;startStation=22&amp;endStation=17",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España</t>
        </is>
      </c>
      <c r="D155" t="inlineStr">
        <is>
          <t>Barcelona</t>
        </is>
      </c>
      <c r="E155" t="inlineStr">
        <is>
          <t>2026-06-17</t>
        </is>
      </c>
      <c r="F155" t="inlineStr">
        <is>
          <t>2026-06-24</t>
        </is>
      </c>
      <c r="G155" t="inlineStr">
        <is>
          <t xml:space="preserve"> - No hay coche</t>
        </is>
      </c>
      <c r="H155">
        <f>HYPERLINK("https://booking.roadsurfer.com/es/rally/pick?pickup_date=2026-06-17&amp;return_date=2026-06-24&amp;currency=EUR&amp;startStation=22&amp;endStation=17",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Francia</t>
        </is>
      </c>
      <c r="D156" t="inlineStr">
        <is>
          <t>Toulouse</t>
        </is>
      </c>
      <c r="E156" t="inlineStr">
        <is>
          <t>2026-07-04</t>
        </is>
      </c>
      <c r="F156" t="inlineStr">
        <is>
          <t>2026-07-11</t>
        </is>
      </c>
      <c r="G156" t="inlineStr">
        <is>
          <t xml:space="preserve"> - No hay coche</t>
        </is>
      </c>
      <c r="H156">
        <f>HYPERLINK("https://booking.roadsurfer.com/es/rally/pick?pickup_date=2026-07-04&amp;return_date=2026-07-11&amp;currency=EUR&amp;startStation=22&amp;endStation=30",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Francia</t>
        </is>
      </c>
      <c r="D157" t="inlineStr">
        <is>
          <t>Aix-Marsella</t>
        </is>
      </c>
      <c r="E157" t="inlineStr">
        <is>
          <t>2026-06-15</t>
        </is>
      </c>
      <c r="F157" t="inlineStr">
        <is>
          <t>2026-06-22</t>
        </is>
      </c>
      <c r="G157" t="inlineStr"/>
      <c r="H157">
        <f>HYPERLINK("https://booking.roadsurfer.com/es/rally/pick?pickup_date=2026-06-15&amp;return_date=2026-06-22&amp;currency=EUR&amp;startStation=22&amp;endStation=16", "Clic para verlo en la web de RoadSurfer")</f>
        <v/>
      </c>
    </row>
    <row r="158">
      <c r="A158" t="inlineStr">
        <is>
          <t>Alemania</t>
        </is>
      </c>
      <c r="B158" t="inlineStr">
        <is>
          <t>Múnich</t>
        </is>
      </c>
      <c r="C158" t="inlineStr">
        <is>
          <t>España</t>
        </is>
      </c>
      <c r="D158" t="inlineStr">
        <is>
          <t>Málaga</t>
        </is>
      </c>
      <c r="E158" t="inlineStr">
        <is>
          <t>2026-07-09</t>
        </is>
      </c>
      <c r="F158" t="inlineStr">
        <is>
          <t>2026-07-16</t>
        </is>
      </c>
      <c r="G158" t="inlineStr">
        <is>
          <t xml:space="preserve"> - Beach Hostel</t>
        </is>
      </c>
      <c r="H158">
        <f>HYPERLINK("https://booking.roadsurfer.com/es/rally/pick?pickup_date=2026-07-09&amp;return_date=2026-07-16&amp;currency=EUR&amp;startStation=1&amp;endStation=21", "Clic para verlo en la web de RoadSurfer")</f>
        <v/>
      </c>
    </row>
    <row r="159">
      <c r="A159" t="inlineStr">
        <is>
          <t>Alemania</t>
        </is>
      </c>
      <c r="B159" t="inlineStr">
        <is>
          <t>Múnich</t>
        </is>
      </c>
      <c r="C159" t="inlineStr">
        <is>
          <t>Alemania</t>
        </is>
      </c>
      <c r="D159" t="inlineStr">
        <is>
          <t>Kiel</t>
        </is>
      </c>
      <c r="E159" t="inlineStr">
        <is>
          <t>2026-06-29</t>
        </is>
      </c>
      <c r="F159" t="inlineStr">
        <is>
          <t>2026-07-06</t>
        </is>
      </c>
      <c r="G159" t="inlineStr">
        <is>
          <t xml:space="preserve"> - No hay coche</t>
        </is>
      </c>
      <c r="H159">
        <f>HYPERLINK("https://booking.roadsurfer.com/es/rally/pick?pickup_date=2026-06-29&amp;return_date=2026-07-06&amp;currency=EUR&amp;startStation=1&amp;endStation=111", "Clic para verlo en la web de RoadSurfer")</f>
        <v/>
      </c>
    </row>
    <row r="160">
      <c r="A160" t="inlineStr">
        <is>
          <t>Alemania</t>
        </is>
      </c>
      <c r="B160" t="inlineStr">
        <is>
          <t>Múnich</t>
        </is>
      </c>
      <c r="C160" t="inlineStr">
        <is>
          <t>Italia</t>
        </is>
      </c>
      <c r="D160" t="inlineStr">
        <is>
          <t>Milán</t>
        </is>
      </c>
      <c r="E160" t="inlineStr">
        <is>
          <t>2026-06-09</t>
        </is>
      </c>
      <c r="F160" t="inlineStr">
        <is>
          <t>2026-06-16</t>
        </is>
      </c>
      <c r="G160" t="inlineStr">
        <is>
          <t xml:space="preserve"> - Couple Cottage</t>
        </is>
      </c>
      <c r="H160">
        <f>HYPERLINK("https://booking.roadsurfer.com/es/rally/pick?pickup_date=2026-06-09&amp;return_date=2026-06-16&amp;currency=EUR&amp;startStation=1&amp;endStation=34", "Clic para verlo en la web de RoadSurfer")</f>
        <v/>
      </c>
    </row>
    <row r="161">
      <c r="A161" t="inlineStr">
        <is>
          <t>Alemania</t>
        </is>
      </c>
      <c r="B161" t="inlineStr">
        <is>
          <t>Múnich</t>
        </is>
      </c>
      <c r="C161" t="inlineStr">
        <is>
          <t>Alemania</t>
        </is>
      </c>
      <c r="D161" t="inlineStr">
        <is>
          <t>Bochum</t>
        </is>
      </c>
      <c r="E161" t="inlineStr">
        <is>
          <t>2026-06-30</t>
        </is>
      </c>
      <c r="F161" t="inlineStr">
        <is>
          <t>2026-07-07</t>
        </is>
      </c>
      <c r="G161" t="inlineStr">
        <is>
          <t xml:space="preserve"> - Sunrise Suite</t>
        </is>
      </c>
      <c r="H161">
        <f>HYPERLINK("https://booking.roadsurfer.com/es/rally/pick?pickup_date=2026-06-30&amp;return_date=2026-07-07&amp;currency=EUR&amp;startStation=1&amp;endStation=24", "Clic para verlo en la web de RoadSurfer")</f>
        <v/>
      </c>
    </row>
    <row r="162">
      <c r="A162" t="inlineStr">
        <is>
          <t>Alemania</t>
        </is>
      </c>
      <c r="B162" t="inlineStr">
        <is>
          <t>Núremberg</t>
        </is>
      </c>
      <c r="C162" t="inlineStr">
        <is>
          <t>España</t>
        </is>
      </c>
      <c r="D162" t="inlineStr">
        <is>
          <t>Madrid</t>
        </is>
      </c>
      <c r="E162" t="inlineStr">
        <is>
          <t>2026-07-06</t>
        </is>
      </c>
      <c r="F162" t="inlineStr">
        <is>
          <t>2026-07-13</t>
        </is>
      </c>
      <c r="G162" t="inlineStr">
        <is>
          <t xml:space="preserve"> - Couple Cottage</t>
        </is>
      </c>
      <c r="H162">
        <f>HYPERLINK("https://booking.roadsurfer.com/es/rally/pick?pickup_date=2026-07-06&amp;return_date=2026-07-13&amp;currency=EUR&amp;startStation=11&amp;endStation=20", "Clic para verlo en la web de RoadSurfer")</f>
        <v/>
      </c>
    </row>
    <row r="163">
      <c r="A163" t="inlineStr">
        <is>
          <t>Alemania</t>
        </is>
      </c>
      <c r="B163" t="inlineStr">
        <is>
          <t>Núremberg</t>
        </is>
      </c>
      <c r="C163" t="inlineStr">
        <is>
          <t>España</t>
        </is>
      </c>
      <c r="D163" t="inlineStr">
        <is>
          <t>Madrid</t>
        </is>
      </c>
      <c r="E163" t="inlineStr">
        <is>
          <t>2026-06-15</t>
        </is>
      </c>
      <c r="F163" t="inlineStr">
        <is>
          <t>2026-06-22</t>
        </is>
      </c>
      <c r="G163" t="inlineStr">
        <is>
          <t xml:space="preserve"> - Sunrise Suite</t>
        </is>
      </c>
      <c r="H163">
        <f>HYPERLINK("https://booking.roadsurfer.com/es/rally/pick?pickup_date=2026-06-15&amp;return_date=2026-06-22&amp;currency=EUR&amp;startStation=11&amp;endStation=20", "Clic para verlo en la web de RoadSurfer")</f>
        <v/>
      </c>
    </row>
    <row r="164">
      <c r="A164" t="inlineStr">
        <is>
          <t>Portugal</t>
        </is>
      </c>
      <c r="B164" t="inlineStr">
        <is>
          <t>Oporto</t>
        </is>
      </c>
      <c r="C164" t="inlineStr">
        <is>
          <t>Portugal</t>
        </is>
      </c>
      <c r="D164" t="inlineStr">
        <is>
          <t>Faro</t>
        </is>
      </c>
      <c r="E164" t="inlineStr">
        <is>
          <t>2026-06-20</t>
        </is>
      </c>
      <c r="F164" t="inlineStr">
        <is>
          <t>2026-06-27</t>
        </is>
      </c>
      <c r="G164" t="inlineStr">
        <is>
          <t xml:space="preserve"> - Surfer Suite</t>
        </is>
      </c>
      <c r="H164">
        <f>HYPERLINK("https://booking.roadsurfer.com/es/rally/pick?pickup_date=2026-06-20&amp;return_date=2026-06-27&amp;currency=EUR&amp;startStation=41&amp;endStation=19", "Clic para verlo en la web de RoadSurfer")</f>
        <v/>
      </c>
    </row>
    <row r="165">
      <c r="A165" t="inlineStr">
        <is>
          <t>España</t>
        </is>
      </c>
      <c r="B165" t="inlineStr">
        <is>
          <t>Sevilla</t>
        </is>
      </c>
      <c r="C165" t="inlineStr">
        <is>
          <t>Italia</t>
        </is>
      </c>
      <c r="D165" t="inlineStr">
        <is>
          <t>Venecia</t>
        </is>
      </c>
      <c r="E165" t="inlineStr">
        <is>
          <t>2026-06-15</t>
        </is>
      </c>
      <c r="F165" t="inlineStr">
        <is>
          <t>2026-06-22</t>
        </is>
      </c>
      <c r="G165" t="inlineStr">
        <is>
          <t xml:space="preserve"> - Surfer Suite</t>
        </is>
      </c>
      <c r="H165">
        <f>HYPERLINK("https://booking.roadsurfer.com/es/rally/pick?pickup_date=2026-06-15&amp;return_date=2026-06-22&amp;currency=EUR&amp;startStation=39&amp;endStation=78", "Clic para verlo en la web de RoadSurfer")</f>
        <v/>
      </c>
    </row>
    <row r="166">
      <c r="A166" t="inlineStr">
        <is>
          <t>España</t>
        </is>
      </c>
      <c r="B166" t="inlineStr">
        <is>
          <t>Sevilla</t>
        </is>
      </c>
      <c r="C166" t="inlineStr">
        <is>
          <t>Italia</t>
        </is>
      </c>
      <c r="D166" t="inlineStr">
        <is>
          <t>Venecia</t>
        </is>
      </c>
      <c r="E166" t="inlineStr">
        <is>
          <t>2026-06-29</t>
        </is>
      </c>
      <c r="F166" t="inlineStr">
        <is>
          <t>2026-07-06</t>
        </is>
      </c>
      <c r="G166" t="inlineStr">
        <is>
          <t xml:space="preserve"> - Road House</t>
        </is>
      </c>
      <c r="H166">
        <f>HYPERLINK("https://booking.roadsurfer.com/es/rally/pick?pickup_date=2026-06-29&amp;return_date=2026-07-06&amp;currency=EUR&amp;startStation=39&amp;endStation=78", "Clic para verlo en la web de RoadSurfer")</f>
        <v/>
      </c>
    </row>
    <row r="167">
      <c r="A167" t="inlineStr">
        <is>
          <t>España</t>
        </is>
      </c>
      <c r="B167" t="inlineStr">
        <is>
          <t>Sevilla</t>
        </is>
      </c>
      <c r="C167" t="inlineStr">
        <is>
          <t>Alemania</t>
        </is>
      </c>
      <c r="D167" t="inlineStr">
        <is>
          <t>Constanza (Aach)</t>
        </is>
      </c>
      <c r="E167" t="inlineStr">
        <is>
          <t>2026-06-12</t>
        </is>
      </c>
      <c r="F167" t="inlineStr">
        <is>
          <t>2026-06-19</t>
        </is>
      </c>
      <c r="G167" t="inlineStr">
        <is>
          <t xml:space="preserve"> - Road House</t>
        </is>
      </c>
      <c r="H167">
        <f>HYPERLINK("https://booking.roadsurfer.com/es/rally/pick?pickup_date=2026-06-12&amp;return_date=2026-06-19&amp;currency=EUR&amp;startStation=39&amp;endStation=10", "Clic para verlo en la web de RoadSurfer")</f>
        <v/>
      </c>
    </row>
    <row r="168">
      <c r="A168" t="inlineStr">
        <is>
          <t>España</t>
        </is>
      </c>
      <c r="B168" t="inlineStr">
        <is>
          <t>Sevilla</t>
        </is>
      </c>
      <c r="C168" t="inlineStr">
        <is>
          <t>Italia</t>
        </is>
      </c>
      <c r="D168" t="inlineStr">
        <is>
          <t>Turín</t>
        </is>
      </c>
      <c r="E168" t="inlineStr">
        <is>
          <t>2026-06-25</t>
        </is>
      </c>
      <c r="F168" t="inlineStr">
        <is>
          <t>2026-07-02</t>
        </is>
      </c>
      <c r="G168" t="inlineStr">
        <is>
          <t xml:space="preserve"> - Road House</t>
        </is>
      </c>
      <c r="H168">
        <f>HYPERLINK("https://booking.roadsurfer.com/es/rally/pick?pickup_date=2026-06-25&amp;return_date=2026-07-02&amp;currency=EUR&amp;startStation=39&amp;endStation=58", "Clic para verlo en la web de RoadSurfer")</f>
        <v/>
      </c>
    </row>
    <row r="169">
      <c r="A169" t="inlineStr">
        <is>
          <t>España</t>
        </is>
      </c>
      <c r="B169" t="inlineStr">
        <is>
          <t>Sevilla</t>
        </is>
      </c>
      <c r="C169" t="inlineStr">
        <is>
          <t>Italia</t>
        </is>
      </c>
      <c r="D169" t="inlineStr">
        <is>
          <t>Bolonia</t>
        </is>
      </c>
      <c r="E169" t="inlineStr">
        <is>
          <t>2026-07-14</t>
        </is>
      </c>
      <c r="F169" t="inlineStr">
        <is>
          <t>2026-07-21</t>
        </is>
      </c>
      <c r="G169" t="inlineStr">
        <is>
          <t xml:space="preserve"> - Camper Castle</t>
        </is>
      </c>
      <c r="H169">
        <f>HYPERLINK("https://booking.roadsurfer.com/es/rally/pick?pickup_date=2026-07-14&amp;return_date=2026-07-21&amp;currency=EUR&amp;startStation=39&amp;endStation=57", "Clic para verlo en la web de RoadSurfer")</f>
        <v/>
      </c>
    </row>
    <row r="170">
      <c r="A170" t="inlineStr">
        <is>
          <t>Suecia</t>
        </is>
      </c>
      <c r="B170" t="inlineStr">
        <is>
          <t>Estocolmo</t>
        </is>
      </c>
      <c r="C170" t="inlineStr">
        <is>
          <t>Alemania</t>
        </is>
      </c>
      <c r="D170" t="inlineStr">
        <is>
          <t>Kiel</t>
        </is>
      </c>
      <c r="E170" t="inlineStr">
        <is>
          <t>2026-06-15</t>
        </is>
      </c>
      <c r="F170" t="inlineStr">
        <is>
          <t>2026-06-22</t>
        </is>
      </c>
      <c r="G170" t="inlineStr">
        <is>
          <t xml:space="preserve"> - Road House</t>
        </is>
      </c>
      <c r="H170">
        <f>HYPERLINK("https://booking.roadsurfer.com/es/rally/pick?pickup_date=2026-06-15&amp;return_date=2026-06-22&amp;currency=EUR&amp;startStation=59&amp;endStation=111", "Clic para verlo en la web de RoadSurfer")</f>
        <v/>
      </c>
    </row>
    <row r="171">
      <c r="A171" t="inlineStr">
        <is>
          <t>Suecia</t>
        </is>
      </c>
      <c r="B171" t="inlineStr">
        <is>
          <t>Estocolmo</t>
        </is>
      </c>
      <c r="C171" t="inlineStr">
        <is>
          <t>Alemania</t>
        </is>
      </c>
      <c r="D171" t="inlineStr">
        <is>
          <t>Ratisbona</t>
        </is>
      </c>
      <c r="E171" t="inlineStr">
        <is>
          <t>2026-06-13</t>
        </is>
      </c>
      <c r="F171" t="inlineStr">
        <is>
          <t>2026-06-20</t>
        </is>
      </c>
      <c r="G171" t="inlineStr">
        <is>
          <t xml:space="preserve"> - Surfer Suite</t>
        </is>
      </c>
      <c r="H171">
        <f>HYPERLINK("https://booking.roadsurfer.com/es/rally/pick?pickup_date=2026-06-13&amp;return_date=2026-06-20&amp;currency=EUR&amp;startStation=59&amp;endStation=89", "Clic para verlo en la web de RoadSurfer")</f>
        <v/>
      </c>
    </row>
    <row r="172">
      <c r="A172" t="inlineStr">
        <is>
          <t>Suecia</t>
        </is>
      </c>
      <c r="B172" t="inlineStr">
        <is>
          <t>Estocolmo</t>
        </is>
      </c>
      <c r="C172" t="inlineStr">
        <is>
          <t>Alemania</t>
        </is>
      </c>
      <c r="D172" t="inlineStr">
        <is>
          <t>Núremberg</t>
        </is>
      </c>
      <c r="E172" t="inlineStr">
        <is>
          <t>2026-06-12</t>
        </is>
      </c>
      <c r="F172" t="inlineStr">
        <is>
          <t>2026-06-19</t>
        </is>
      </c>
      <c r="G172" t="inlineStr">
        <is>
          <t xml:space="preserve"> - Surfer Suite</t>
        </is>
      </c>
      <c r="H172">
        <f>HYPERLINK("https://booking.roadsurfer.com/es/rally/pick?pickup_date=2026-06-12&amp;return_date=2026-06-19&amp;currency=EUR&amp;startStation=59&amp;endStation=11", "Clic para verlo en la web de RoadSurfer")</f>
        <v/>
      </c>
    </row>
    <row r="173">
      <c r="A173" t="inlineStr">
        <is>
          <t>Suecia</t>
        </is>
      </c>
      <c r="B173" t="inlineStr">
        <is>
          <t>Estocolmo</t>
        </is>
      </c>
      <c r="C173" t="inlineStr">
        <is>
          <t>Alemania</t>
        </is>
      </c>
      <c r="D173" t="inlineStr">
        <is>
          <t>Núremberg</t>
        </is>
      </c>
      <c r="E173" t="inlineStr">
        <is>
          <t>2026-06-16</t>
        </is>
      </c>
      <c r="F173" t="inlineStr">
        <is>
          <t>2026-06-23</t>
        </is>
      </c>
      <c r="G173" t="inlineStr">
        <is>
          <t xml:space="preserve"> - Beach Hostel</t>
        </is>
      </c>
      <c r="H173">
        <f>HYPERLINK("https://booking.roadsurfer.com/es/rally/pick?pickup_date=2026-06-16&amp;return_date=2026-06-23&amp;currency=EUR&amp;startStation=59&amp;endStation=11", "Clic para verlo en la web de RoadSurfer")</f>
        <v/>
      </c>
    </row>
    <row r="174">
      <c r="A174" t="inlineStr">
        <is>
          <t>Suecia</t>
        </is>
      </c>
      <c r="B174" t="inlineStr">
        <is>
          <t>Estocolmo</t>
        </is>
      </c>
      <c r="C174" t="inlineStr">
        <is>
          <t>Alemania</t>
        </is>
      </c>
      <c r="D174" t="inlineStr">
        <is>
          <t>Erfurt</t>
        </is>
      </c>
      <c r="E174" t="inlineStr">
        <is>
          <t>2026-06-13</t>
        </is>
      </c>
      <c r="F174" t="inlineStr">
        <is>
          <t>2026-06-20</t>
        </is>
      </c>
      <c r="G174" t="inlineStr">
        <is>
          <t xml:space="preserve"> - Surfer Suite</t>
        </is>
      </c>
      <c r="H174">
        <f>HYPERLINK("https://booking.roadsurfer.com/es/rally/pick?pickup_date=2026-06-13&amp;return_date=2026-06-20&amp;currency=EUR&amp;startStation=59&amp;endStation=90", "Clic para verlo en la web de RoadSurfer")</f>
        <v/>
      </c>
    </row>
    <row r="175">
      <c r="A175" t="inlineStr">
        <is>
          <t>Suecia</t>
        </is>
      </c>
      <c r="B175" t="inlineStr">
        <is>
          <t>Estocolmo</t>
        </is>
      </c>
      <c r="C175" t="inlineStr">
        <is>
          <t>Alemania</t>
        </is>
      </c>
      <c r="D175" t="inlineStr">
        <is>
          <t>Lindau-Wangen</t>
        </is>
      </c>
      <c r="E175" t="inlineStr">
        <is>
          <t>2026-06-15</t>
        </is>
      </c>
      <c r="F175" t="inlineStr">
        <is>
          <t>2026-06-22</t>
        </is>
      </c>
      <c r="G175" t="inlineStr">
        <is>
          <t xml:space="preserve"> - Camper Castle</t>
        </is>
      </c>
      <c r="H175">
        <f>HYPERLINK("https://booking.roadsurfer.com/es/rally/pick?pickup_date=2026-06-15&amp;return_date=2026-06-22&amp;currency=EUR&amp;startStation=59&amp;endStation=117", "Clic para verlo en la web de RoadSurfer")</f>
        <v/>
      </c>
    </row>
    <row r="176">
      <c r="A176" t="inlineStr">
        <is>
          <t>Alemania</t>
        </is>
      </c>
      <c r="B176" t="inlineStr">
        <is>
          <t>Stuttgart</t>
        </is>
      </c>
      <c r="C176" t="inlineStr">
        <is>
          <t>Francia</t>
        </is>
      </c>
      <c r="D176" t="inlineStr">
        <is>
          <t>Toulouse</t>
        </is>
      </c>
      <c r="E176" t="inlineStr">
        <is>
          <t>2026-06-18</t>
        </is>
      </c>
      <c r="F176" t="inlineStr">
        <is>
          <t>2026-06-25</t>
        </is>
      </c>
      <c r="G176" t="inlineStr">
        <is>
          <t xml:space="preserve"> - Beach Hostel</t>
        </is>
      </c>
      <c r="H176">
        <f>HYPERLINK("https://booking.roadsurfer.com/es/rally/pick?pickup_date=2026-06-18&amp;return_date=2026-06-25&amp;currency=EUR&amp;startStation=5&amp;endStation=30", "Clic para verlo en la web de RoadSurfer")</f>
        <v/>
      </c>
    </row>
    <row r="177">
      <c r="A177" t="inlineStr">
        <is>
          <t>Alemania</t>
        </is>
      </c>
      <c r="B177" t="inlineStr">
        <is>
          <t>Stuttgart</t>
        </is>
      </c>
      <c r="C177" t="inlineStr">
        <is>
          <t>España</t>
        </is>
      </c>
      <c r="D177" t="inlineStr">
        <is>
          <t>Bilbao</t>
        </is>
      </c>
      <c r="E177" t="inlineStr">
        <is>
          <t>2026-06-22</t>
        </is>
      </c>
      <c r="F177" t="inlineStr">
        <is>
          <t>2026-06-29</t>
        </is>
      </c>
      <c r="G177" t="inlineStr">
        <is>
          <t xml:space="preserve"> - Road House</t>
        </is>
      </c>
      <c r="H177">
        <f>HYPERLINK("https://booking.roadsurfer.com/es/rally/pick?pickup_date=2026-06-22&amp;return_date=2026-06-29&amp;currency=EUR&amp;startStation=5&amp;endStation=40", "Clic para verlo en la web de RoadSurfer")</f>
        <v/>
      </c>
    </row>
    <row r="178">
      <c r="A178" t="inlineStr">
        <is>
          <t>Alemania</t>
        </is>
      </c>
      <c r="B178" t="inlineStr">
        <is>
          <t>Stuttgart</t>
        </is>
      </c>
      <c r="C178" t="inlineStr">
        <is>
          <t>Alemania</t>
        </is>
      </c>
      <c r="D178" t="inlineStr">
        <is>
          <t>Bielefeld</t>
        </is>
      </c>
      <c r="E178" t="inlineStr">
        <is>
          <t>2026-06-15</t>
        </is>
      </c>
      <c r="F178" t="inlineStr">
        <is>
          <t>2026-06-22</t>
        </is>
      </c>
      <c r="G178" t="inlineStr">
        <is>
          <t xml:space="preserve"> - No hay coche</t>
        </is>
      </c>
      <c r="H178">
        <f>HYPERLINK("https://booking.roadsurfer.com/es/rally/pick?pickup_date=2026-06-15&amp;return_date=2026-06-22&amp;currency=EUR&amp;startStation=5&amp;endStation=91", "Clic para verlo en la web de RoadSurfer")</f>
        <v/>
      </c>
    </row>
    <row r="179">
      <c r="A179" t="inlineStr">
        <is>
          <t>Francia</t>
        </is>
      </c>
      <c r="B179" t="inlineStr">
        <is>
          <t>Toulouse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2026-06-18</t>
        </is>
      </c>
      <c r="F179" t="inlineStr">
        <is>
          <t>2026-06-25</t>
        </is>
      </c>
      <c r="G179" t="inlineStr">
        <is>
          <t xml:space="preserve"> - Surfer Suite</t>
        </is>
      </c>
      <c r="H179">
        <f>HYPERLINK("https://booking.roadsurfer.com/es/rally/pick?pickup_date=2026-06-18&amp;return_date=2026-06-25&amp;currency=EUR&amp;startStation=30&amp;endStation=31", "Clic para verlo en la web de RoadSurfer")</f>
        <v/>
      </c>
    </row>
    <row r="180">
      <c r="A180" t="inlineStr">
        <is>
          <t>Francia</t>
        </is>
      </c>
      <c r="B180" t="inlineStr">
        <is>
          <t>Toulouse</t>
        </is>
      </c>
      <c r="C180" t="inlineStr">
        <is>
          <t>Francia</t>
        </is>
      </c>
      <c r="D180" t="inlineStr">
        <is>
          <t>París Aeropuerto CDG</t>
        </is>
      </c>
      <c r="E180" t="inlineStr">
        <is>
          <t>2026-06-15</t>
        </is>
      </c>
      <c r="F180" t="inlineStr">
        <is>
          <t>2026-06-22</t>
        </is>
      </c>
      <c r="G180" t="inlineStr">
        <is>
          <t xml:space="preserve"> - Surfer Suite</t>
        </is>
      </c>
      <c r="H180">
        <f>HYPERLINK("https://booking.roadsurfer.com/es/rally/pick?pickup_date=2026-06-15&amp;return_date=2026-06-22&amp;currency=EUR&amp;startStation=30&amp;endStation=48", "Clic para verlo en la web de RoadSurfer")</f>
        <v/>
      </c>
    </row>
    <row r="181">
      <c r="A181" t="inlineStr">
        <is>
          <t>Francia</t>
        </is>
      </c>
      <c r="B181" t="inlineStr">
        <is>
          <t>Toulouse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2026-06-13</t>
        </is>
      </c>
      <c r="F181" t="inlineStr">
        <is>
          <t>2026-06-20</t>
        </is>
      </c>
      <c r="G181" t="inlineStr">
        <is>
          <t xml:space="preserve"> - No hay coche</t>
        </is>
      </c>
      <c r="H181">
        <f>HYPERLINK("https://booking.roadsurfer.com/es/rally/pick?pickup_date=2026-06-13&amp;return_date=2026-06-20&amp;currency=EUR&amp;startStation=30&amp;endStation=22", "Clic para verlo en la web de RoadSurfer")</f>
        <v/>
      </c>
    </row>
    <row r="182">
      <c r="A182" t="inlineStr">
        <is>
          <t>Alemania</t>
        </is>
      </c>
      <c r="B182" t="inlineStr">
        <is>
          <t>Tréveris</t>
        </is>
      </c>
      <c r="C182" t="inlineStr">
        <is>
          <t>Alemania</t>
        </is>
      </c>
      <c r="D182" t="inlineStr">
        <is>
          <t>Heidelberg</t>
        </is>
      </c>
      <c r="E182" t="inlineStr">
        <is>
          <t>2026-06-19</t>
        </is>
      </c>
      <c r="F182" t="inlineStr">
        <is>
          <t>2026-06-26</t>
        </is>
      </c>
      <c r="G182" t="inlineStr">
        <is>
          <t xml:space="preserve"> - Camper Cabin</t>
        </is>
      </c>
      <c r="H182">
        <f>HYPERLINK("https://booking.roadsurfer.com/es/rally/pick?pickup_date=2026-06-19&amp;return_date=2026-06-26&amp;currency=EUR&amp;startStation=28&amp;endStation=79", "Clic para verlo en la web de RoadSurfer")</f>
        <v/>
      </c>
    </row>
    <row r="183">
      <c r="A183" t="inlineStr">
        <is>
          <t>Alemania</t>
        </is>
      </c>
      <c r="B183" t="inlineStr">
        <is>
          <t>Tréveris</t>
        </is>
      </c>
      <c r="C183" t="inlineStr">
        <is>
          <t>Bélgica</t>
        </is>
      </c>
      <c r="D183" t="inlineStr">
        <is>
          <t>Amberes</t>
        </is>
      </c>
      <c r="E183" t="inlineStr">
        <is>
          <t>2026-06-29</t>
        </is>
      </c>
      <c r="F183" t="inlineStr">
        <is>
          <t>2026-07-06</t>
        </is>
      </c>
      <c r="G183" t="inlineStr">
        <is>
          <t xml:space="preserve"> - Camper Castle</t>
        </is>
      </c>
      <c r="H183">
        <f>HYPERLINK("https://booking.roadsurfer.com/es/rally/pick?pickup_date=2026-06-29&amp;return_date=2026-07-06&amp;currency=EUR&amp;startStation=28&amp;endStation=47", "Clic para verlo en la web de RoadSurfer")</f>
        <v/>
      </c>
    </row>
    <row r="184">
      <c r="A184" t="inlineStr">
        <is>
          <t>Alemania</t>
        </is>
      </c>
      <c r="B184" t="inlineStr">
        <is>
          <t>Ulm</t>
        </is>
      </c>
      <c r="C184" t="inlineStr">
        <is>
          <t>Países Bajos</t>
        </is>
      </c>
      <c r="D184" t="inlineStr">
        <is>
          <t>Ámsterdam</t>
        </is>
      </c>
      <c r="E184" t="inlineStr">
        <is>
          <t>2026-06-25</t>
        </is>
      </c>
      <c r="F184" t="inlineStr">
        <is>
          <t>2026-07-02</t>
        </is>
      </c>
      <c r="G184" t="inlineStr">
        <is>
          <t xml:space="preserve"> - Camper Cabin Deluxe</t>
        </is>
      </c>
      <c r="H184">
        <f>HYPERLINK("https://booking.roadsurfer.com/es/rally/pick?pickup_date=2026-06-25&amp;return_date=2026-07-02&amp;currency=EUR&amp;startStation=112&amp;endStation=32", "Clic para verlo en la web de RoadSurfer")</f>
        <v/>
      </c>
    </row>
    <row r="185">
      <c r="A185" t="inlineStr">
        <is>
          <t>España</t>
        </is>
      </c>
      <c r="B185" t="inlineStr">
        <is>
          <t>Valencia</t>
        </is>
      </c>
      <c r="C185" t="inlineStr">
        <is>
          <t>Italia</t>
        </is>
      </c>
      <c r="D185" t="inlineStr">
        <is>
          <t>Bolonia</t>
        </is>
      </c>
      <c r="E185" t="inlineStr">
        <is>
          <t>2026-06-15</t>
        </is>
      </c>
      <c r="F185" t="inlineStr">
        <is>
          <t>2026-06-22</t>
        </is>
      </c>
      <c r="G185" t="inlineStr">
        <is>
          <t xml:space="preserve"> - No hay coche</t>
        </is>
      </c>
      <c r="H185">
        <f>HYPERLINK("https://booking.roadsurfer.com/es/rally/pick?pickup_date=2026-06-15&amp;return_date=2026-06-22&amp;currency=EUR&amp;startStation=38&amp;endStation=57", "Clic para verlo en la web de RoadSurfer")</f>
        <v/>
      </c>
    </row>
    <row r="186">
      <c r="A186" t="inlineStr">
        <is>
          <t>España</t>
        </is>
      </c>
      <c r="B186" t="inlineStr">
        <is>
          <t>Valencia</t>
        </is>
      </c>
      <c r="C186" t="inlineStr">
        <is>
          <t>Francia</t>
        </is>
      </c>
      <c r="D186" t="inlineStr">
        <is>
          <t>París Aeropuerto CDG</t>
        </is>
      </c>
      <c r="E186" t="inlineStr">
        <is>
          <t>2026-06-22</t>
        </is>
      </c>
      <c r="F186" t="inlineStr">
        <is>
          <t>2026-06-29</t>
        </is>
      </c>
      <c r="G186" t="inlineStr">
        <is>
          <t xml:space="preserve"> - Camper Castle</t>
        </is>
      </c>
      <c r="H186">
        <f>HYPERLINK("https://booking.roadsurfer.com/es/rally/pick?pickup_date=2026-06-22&amp;return_date=2026-06-29&amp;currency=EUR&amp;startStation=38&amp;endStation=48", "Clic para verlo en la web de RoadSurfer")</f>
        <v/>
      </c>
    </row>
    <row r="187">
      <c r="A187" t="inlineStr">
        <is>
          <t>Alemania</t>
        </is>
      </c>
      <c r="B187" t="inlineStr">
        <is>
          <t>Wurzburgo</t>
        </is>
      </c>
      <c r="C187" t="inlineStr">
        <is>
          <t>Alemania</t>
        </is>
      </c>
      <c r="D187" t="inlineStr">
        <is>
          <t>Kiel</t>
        </is>
      </c>
      <c r="E187" t="inlineStr">
        <is>
          <t>2026-06-18</t>
        </is>
      </c>
      <c r="F187" t="inlineStr">
        <is>
          <t>2026-06-25</t>
        </is>
      </c>
      <c r="G187" t="inlineStr">
        <is>
          <t xml:space="preserve"> - Road House</t>
        </is>
      </c>
      <c r="H187">
        <f>HYPERLINK("https://booking.roadsurfer.com/es/rally/pick?pickup_date=2026-06-18&amp;return_date=2026-06-25&amp;currency=EUR&amp;startStation=115&amp;endStation=111",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2026-06-08T21:51:42Z</dcterms:created>
  <dcterms:modified xsi:type="dcterms:W3CDTF">2026-06-08T21:51:42Z</dcterms:modified>
</cp:coreProperties>
</file>