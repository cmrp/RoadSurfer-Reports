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Colonia-Düsseldorf</t>
        </is>
      </c>
      <c r="E3" t="inlineStr">
        <is>
          <t>2026-04-16</t>
        </is>
      </c>
      <c r="F3" t="inlineStr">
        <is>
          <t>2026-04-23</t>
        </is>
      </c>
      <c r="G3" t="inlineStr">
        <is>
          <t xml:space="preserve"> - Camper Castle</t>
        </is>
      </c>
      <c r="H3">
        <f>HYPERLINK("https://booking.roadsurfer.com/es/rally/pick?pickup_date=2026-04-16&amp;return_date=2026-04-23&amp;currency=EUR&amp;startStation=32&amp;endStation=4",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2026-03-23</t>
        </is>
      </c>
      <c r="F4" t="inlineStr">
        <is>
          <t>2026-03-30</t>
        </is>
      </c>
      <c r="G4" t="inlineStr">
        <is>
          <t xml:space="preserve"> - Family Finca</t>
        </is>
      </c>
      <c r="H4">
        <f>HYPERLINK("https://booking.roadsurfer.com/es/rally/pick?pickup_date=2026-03-23&amp;return_date=2026-03-30&amp;currency=EUR&amp;startStation=32&amp;endStation=6",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Múnich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No hay coche</t>
        </is>
      </c>
      <c r="H7">
        <f>HYPERLINK("https://booking.roadsurfer.com/es/rally/pick?pickup_date=2026-05-04&amp;return_date=2026-05-11&amp;currency=EUR&amp;startStation=17&amp;endStation=1",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Beach Hostel</t>
        </is>
      </c>
      <c r="H8">
        <f>HYPERLINK("https://booking.roadsurfer.com/es/rally/pick?pickup_date=2026-04-15&amp;return_date=2026-04-22&amp;currency=EUR&amp;startStation=17&amp;endStation=9",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HYPERLINK("https://booking.roadsurfer.com/es/rally/pick?pickup_date=2026-04-13&amp;return_date=2026-04-20&amp;currency=EUR&amp;startStation=17&amp;endStation=5",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Linz</t>
        </is>
      </c>
      <c r="E10" t="inlineStr">
        <is>
          <t>2026-03-26</t>
        </is>
      </c>
      <c r="F10" t="inlineStr">
        <is>
          <t>2026-04-02</t>
        </is>
      </c>
      <c r="G10" t="inlineStr">
        <is>
          <t xml:space="preserve"> - FAMILY FINCA</t>
        </is>
      </c>
      <c r="H10">
        <f>HYPERLINK("https://booking.roadsurfer.com/es/rally/pick?pickup_date=2026-03-26&amp;return_date=2026-04-02&amp;currency=EUR&amp;startStation=6&amp;endStation=116",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Austria</t>
        </is>
      </c>
      <c r="D11" t="inlineStr">
        <is>
          <t>Viena</t>
        </is>
      </c>
      <c r="E11" t="inlineStr">
        <is>
          <t>2026-03-30</t>
        </is>
      </c>
      <c r="F11" t="inlineStr">
        <is>
          <t>2026-04-06</t>
        </is>
      </c>
      <c r="G11" t="inlineStr">
        <is>
          <t xml:space="preserve"> - No hay coche</t>
        </is>
      </c>
      <c r="H11">
        <f>HYPERLINK("https://booking.roadsurfer.com/es/rally/pick?pickup_date=2026-03-30&amp;return_date=2026-04-06&amp;currency=EUR&amp;startStation=6&amp;endStation=36",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Lille</t>
        </is>
      </c>
      <c r="E12" t="inlineStr">
        <is>
          <t>2026-04-10</t>
        </is>
      </c>
      <c r="F12" t="inlineStr">
        <is>
          <t>2026-04-17</t>
        </is>
      </c>
      <c r="G12" t="inlineStr">
        <is>
          <t xml:space="preserve"> - Surfer Suite</t>
        </is>
      </c>
      <c r="H12">
        <f>HYPERLINK("https://booking.roadsurfer.com/es/rally/pick?pickup_date=2026-04-10&amp;return_date=2026-04-17&amp;currency=EUR&amp;startStation=6&amp;endStation=87",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Países Bajos</t>
        </is>
      </c>
      <c r="D13" t="inlineStr">
        <is>
          <t>Róterdam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Camper Castle</t>
        </is>
      </c>
      <c r="H13">
        <f>HYPERLINK("https://booking.roadsurfer.com/es/rally/pick?pickup_date=2026-04-27&amp;return_date=2026-05-04&amp;currency=EUR&amp;startStation=6&amp;endStation=33",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2026-04-13</t>
        </is>
      </c>
      <c r="F14" t="inlineStr">
        <is>
          <t>2026-04-20</t>
        </is>
      </c>
      <c r="G14" t="inlineStr">
        <is>
          <t xml:space="preserve"> - Cozy Cottage</t>
        </is>
      </c>
      <c r="H14">
        <f>HYPERLINK("https://booking.roadsurfer.com/es/rally/pick?pickup_date=2026-04-13&amp;return_date=2026-04-20&amp;currency=EUR&amp;startStation=6&amp;endStation=15",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Family Finca</t>
        </is>
      </c>
      <c r="H15">
        <f>HYPERLINK("https://booking.roadsurfer.com/es/rally/pick?pickup_date=2026-05-04&amp;return_date=2026-05-11&amp;currency=EUR&amp;startStation=6&amp;endStation=15",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Family Finca</t>
        </is>
      </c>
      <c r="H16">
        <f>HYPERLINK("https://booking.roadsurfer.com/es/rally/pick?pickup_date=2026-05-08&amp;return_date=2026-05-15&amp;currency=EUR&amp;startStation=6&amp;endStation=31",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2026-04-20</t>
        </is>
      </c>
      <c r="F17" t="inlineStr">
        <is>
          <t>2026-04-27</t>
        </is>
      </c>
      <c r="G17" t="inlineStr">
        <is>
          <t xml:space="preserve"> - No hay coche</t>
        </is>
      </c>
      <c r="H17">
        <f>HYPERLINK("https://booking.roadsurfer.com/es/rally/pick?pickup_date=2026-04-20&amp;return_date=2026-04-27&amp;currency=EUR&amp;startStation=6&amp;endStation=130",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Sunrise Suite</t>
        </is>
      </c>
      <c r="H18">
        <f>HYPERLINK("https://booking.roadsurfer.com/es/rally/pick?pickup_date=2026-04-13&amp;return_date=2026-04-20&amp;currency=EUR&amp;startStation=6&amp;endStation=13",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2026-04-11</t>
        </is>
      </c>
      <c r="F19" t="inlineStr">
        <is>
          <t>2026-04-18</t>
        </is>
      </c>
      <c r="G19" t="inlineStr">
        <is>
          <t xml:space="preserve"> - Road House</t>
        </is>
      </c>
      <c r="H19">
        <f>HYPERLINK("https://booking.roadsurfer.com/es/rally/pick?pickup_date=2026-04-11&amp;return_date=2026-04-18&amp;currency=EUR&amp;startStation=51&amp;endStation=59",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Sunrise Suite</t>
        </is>
      </c>
      <c r="H20">
        <f>HYPERLINK("https://booking.roadsurfer.com/es/rally/pick?pickup_date=2026-04-15&amp;return_date=2026-04-22&amp;currency=EUR&amp;startStation=51&amp;endStation=59",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No hay coche</t>
        </is>
      </c>
      <c r="H21">
        <f>HYPERLINK("https://booking.roadsurfer.com/es/rally/pick?pickup_date=2026-04-17&amp;return_date=2026-04-24&amp;currency=EUR&amp;startStation=51&amp;endStation=130",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2026-04-07</t>
        </is>
      </c>
      <c r="F22" t="inlineStr">
        <is>
          <t>2026-04-14</t>
        </is>
      </c>
      <c r="G22" t="inlineStr">
        <is>
          <t xml:space="preserve"> - Couple Cottage</t>
        </is>
      </c>
      <c r="H22">
        <f>HYPERLINK("https://booking.roadsurfer.com/es/rally/pick?pickup_date=2026-04-07&amp;return_date=2026-04-14&amp;currency=EUR&amp;startStation=51&amp;endStation=77",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Italia</t>
        </is>
      </c>
      <c r="D23" t="inlineStr">
        <is>
          <t>Florencia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SURFER SUITE</t>
        </is>
      </c>
      <c r="H23">
        <f>HYPERLINK("https://booking.roadsurfer.com/es/rally/pick?pickup_date=2026-05-04&amp;return_date=2026-05-11&amp;currency=EUR&amp;startStation=51&amp;endStation=80",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Surfer Suite</t>
        </is>
      </c>
      <c r="H24">
        <f>HYPERLINK("https://booking.roadsurfer.com/es/rally/pick?pickup_date=2026-04-14&amp;return_date=2026-04-21&amp;currency=EUR&amp;startStation=51&amp;endStation=117",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2026-04-23</t>
        </is>
      </c>
      <c r="F25" t="inlineStr">
        <is>
          <t>2026-04-30</t>
        </is>
      </c>
      <c r="G25" t="inlineStr">
        <is>
          <t xml:space="preserve"> - Road House</t>
        </is>
      </c>
      <c r="H25">
        <f>HYPERLINK("https://booking.roadsurfer.com/es/rally/pick?pickup_date=2026-04-23&amp;return_date=2026-04-30&amp;currency=EUR&amp;startStation=51&amp;endStation=117",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2026-04-27</t>
        </is>
      </c>
      <c r="F26" t="inlineStr">
        <is>
          <t>2026-05-04</t>
        </is>
      </c>
      <c r="G26" t="inlineStr">
        <is>
          <t xml:space="preserve"> - Road House</t>
        </is>
      </c>
      <c r="H26">
        <f>HYPERLINK("https://booking.roadsurfer.com/es/rally/pick?pickup_date=2026-04-27&amp;return_date=2026-05-04&amp;currency=EUR&amp;startStation=51&amp;endStation=117",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Heidelberg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HYPERLINK("https://booking.roadsurfer.com/es/rally/pick?pickup_date=2026-04-23&amp;return_date=2026-04-30&amp;currency=EUR&amp;startStation=51&amp;endStation=79",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2026-03-30</t>
        </is>
      </c>
      <c r="F28" t="inlineStr">
        <is>
          <t>2026-04-06</t>
        </is>
      </c>
      <c r="G28" t="inlineStr">
        <is>
          <t xml:space="preserve"> - No hay coche</t>
        </is>
      </c>
      <c r="H28">
        <f>HYPERLINK("https://booking.roadsurfer.com/es/rally/pick?pickup_date=2026-03-30&amp;return_date=2026-04-06&amp;currency=EUR&amp;startStation=91&amp;endStation=47",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2026-04-11</t>
        </is>
      </c>
      <c r="F29" t="inlineStr">
        <is>
          <t>2026-04-18</t>
        </is>
      </c>
      <c r="G29" t="inlineStr">
        <is>
          <t xml:space="preserve"> - Camper Castle</t>
        </is>
      </c>
      <c r="H29">
        <f>HYPERLINK("https://booking.roadsurfer.com/es/rally/pick?pickup_date=2026-04-11&amp;return_date=2026-04-18&amp;currency=EUR&amp;startStation=91&amp;endStation=47",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2026-04-04</t>
        </is>
      </c>
      <c r="F30" t="inlineStr">
        <is>
          <t>2026-04-11</t>
        </is>
      </c>
      <c r="G30" t="inlineStr">
        <is>
          <t xml:space="preserve"> - No hay coche</t>
        </is>
      </c>
      <c r="H30">
        <f>HYPERLINK("https://booking.roadsurfer.com/es/rally/pick?pickup_date=2026-04-04&amp;return_date=2026-04-11&amp;currency=EUR&amp;startStation=91&amp;endStation=12",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2026-04-18</t>
        </is>
      </c>
      <c r="F31" t="inlineStr">
        <is>
          <t>2026-04-25</t>
        </is>
      </c>
      <c r="G31" t="inlineStr">
        <is>
          <t xml:space="preserve"> - Surfer Suite</t>
        </is>
      </c>
      <c r="H31">
        <f>HYPERLINK("https://booking.roadsurfer.com/es/rally/pick?pickup_date=2026-04-18&amp;return_date=2026-04-25&amp;currency=EUR&amp;startStation=91&amp;endStation=12",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2026-03-30</t>
        </is>
      </c>
      <c r="F32" t="inlineStr">
        <is>
          <t>2026-04-06</t>
        </is>
      </c>
      <c r="G32" t="inlineStr">
        <is>
          <t xml:space="preserve"> - No hay coche</t>
        </is>
      </c>
      <c r="H32">
        <f>HYPERLINK("https://booking.roadsurfer.com/es/rally/pick?pickup_date=2026-03-30&amp;return_date=2026-04-06&amp;currency=EUR&amp;startStation=91&amp;endStation=48",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2026-04-09</t>
        </is>
      </c>
      <c r="F33" t="inlineStr">
        <is>
          <t>2026-04-16</t>
        </is>
      </c>
      <c r="G33" t="inlineStr">
        <is>
          <t xml:space="preserve"> - Surfer Suite</t>
        </is>
      </c>
      <c r="H33">
        <f>HYPERLINK("https://booking.roadsurfer.com/es/rally/pick?pickup_date=2026-04-09&amp;return_date=2026-04-16&amp;currency=EUR&amp;startStation=91&amp;endStation=48",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2026-04-17</t>
        </is>
      </c>
      <c r="F35" t="inlineStr">
        <is>
          <t>2026-04-24</t>
        </is>
      </c>
      <c r="G35" t="inlineStr">
        <is>
          <t xml:space="preserve"> - Beach Hostel</t>
        </is>
      </c>
      <c r="H35">
        <f>HYPERLINK("https://booking.roadsurfer.com/es/rally/pick?pickup_date=2026-04-17&amp;return_date=2026-04-24&amp;currency=EUR&amp;startStation=91&amp;endStation=42",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Beach Hostel</t>
        </is>
      </c>
      <c r="H36">
        <f>HYPERLINK("https://booking.roadsurfer.com/es/rally/pick?pickup_date=2026-04-21&amp;return_date=2026-04-28&amp;currency=EUR&amp;startStation=91&amp;endStation=59",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Alemania</t>
        </is>
      </c>
      <c r="D37" t="inlineStr">
        <is>
          <t>Heidelberg</t>
        </is>
      </c>
      <c r="E37" t="inlineStr">
        <is>
          <t>2026-04-07</t>
        </is>
      </c>
      <c r="F37" t="inlineStr">
        <is>
          <t>2026-04-14</t>
        </is>
      </c>
      <c r="G37" t="inlineStr">
        <is>
          <t xml:space="preserve"> - Surfer Suite</t>
        </is>
      </c>
      <c r="H37">
        <f>HYPERLINK("https://booking.roadsurfer.com/es/rally/pick?pickup_date=2026-04-07&amp;return_date=2026-04-14&amp;currency=EUR&amp;startStation=91&amp;endStation=79",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Surfer Suite</t>
        </is>
      </c>
      <c r="H38">
        <f>HYPERLINK("https://booking.roadsurfer.com/es/rally/pick?pickup_date=2026-05-06&amp;return_date=2026-05-13&amp;currency=EUR&amp;startStation=91&amp;endStation=10",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2026-04-22</t>
        </is>
      </c>
      <c r="F39" t="inlineStr">
        <is>
          <t>2026-04-29</t>
        </is>
      </c>
      <c r="G39" t="inlineStr">
        <is>
          <t xml:space="preserve"> - Surfer Suite</t>
        </is>
      </c>
      <c r="H39">
        <f>HYPERLINK("https://booking.roadsurfer.com/es/rally/pick?pickup_date=2026-04-22&amp;return_date=2026-04-29&amp;currency=EUR&amp;startStation=91&amp;endStation=77",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Family Finca</t>
        </is>
      </c>
      <c r="H40">
        <f>HYPERLINK("https://booking.roadsurfer.com/es/rally/pick?pickup_date=2026-04-21&amp;return_date=2026-04-28&amp;currency=EUR&amp;startStation=91&amp;endStation=77",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Camper Castle</t>
        </is>
      </c>
      <c r="H41">
        <f>HYPERLINK("https://booking.roadsurfer.com/es/rally/pick?pickup_date=2026-05-05&amp;return_date=2026-05-12&amp;currency=EUR&amp;startStation=91&amp;endStation=77",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Sunrise Suite</t>
        </is>
      </c>
      <c r="H42">
        <f>HYPERLINK("https://booking.roadsurfer.com/es/rally/pick?pickup_date=2026-05-12&amp;return_date=2026-05-19&amp;currency=EUR&amp;startStation=91&amp;endStation=77",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Road House</t>
        </is>
      </c>
      <c r="H43">
        <f>HYPERLINK("https://booking.roadsurfer.com/es/rally/pick?pickup_date=2026-05-04&amp;return_date=2026-05-11&amp;currency=EUR&amp;startStation=91&amp;endStation=32",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2026-04-27</t>
        </is>
      </c>
      <c r="F44" t="inlineStr">
        <is>
          <t>2026-05-04</t>
        </is>
      </c>
      <c r="G44" t="inlineStr">
        <is>
          <t xml:space="preserve"> - Surfer Suite</t>
        </is>
      </c>
      <c r="H44">
        <f>HYPERLINK("https://booking.roadsurfer.com/es/rally/pick?pickup_date=2026-04-27&amp;return_date=2026-05-04&amp;currency=EUR&amp;startStation=91&amp;endStation=60",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HYPERLINK("https://booking.roadsurfer.com/es/rally/pick?pickup_date=2026-04-13&amp;return_date=2026-04-20&amp;currency=EUR&amp;startStation=40&amp;endStation=5",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2026-04-06</t>
        </is>
      </c>
      <c r="F46" t="inlineStr">
        <is>
          <t>2026-04-13</t>
        </is>
      </c>
      <c r="G46" t="inlineStr">
        <is>
          <t xml:space="preserve"> - No hay coche</t>
        </is>
      </c>
      <c r="H46">
        <f>HYPERLINK("https://booking.roadsurfer.com/es/rally/pick?pickup_date=2026-04-06&amp;return_date=2026-04-13&amp;currency=EUR&amp;startStation=40&amp;endStation=52",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Tréveris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Camper Castle</t>
        </is>
      </c>
      <c r="H47">
        <f>HYPERLINK("https://booking.roadsurfer.com/es/rally/pick?pickup_date=2026-05-04&amp;return_date=2026-05-11&amp;currency=EUR&amp;startStation=40&amp;endStation=28", "Clic para verlo en la web de RoadSurfer")</f>
        <v/>
      </c>
    </row>
    <row r="48">
      <c r="A48" t="inlineStr">
        <is>
          <t>Alemania</t>
        </is>
      </c>
      <c r="B48" t="inlineStr">
        <is>
          <t>Bochum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HYPERLINK("https://booking.roadsurfer.com/es/rally/pick?pickup_date=2026-04-20&amp;return_date=2026-04-27&amp;currency=EUR&amp;startStation=24&amp;endStation=32", "Clic para verlo en la web de RoadSurfer")</f>
        <v/>
      </c>
    </row>
    <row r="49">
      <c r="A49" t="inlineStr">
        <is>
          <t>Italia</t>
        </is>
      </c>
      <c r="B49" t="inlineStr">
        <is>
          <t>Bolonia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2026-04-27</t>
        </is>
      </c>
      <c r="F49" t="inlineStr">
        <is>
          <t>2026-05-04</t>
        </is>
      </c>
      <c r="G49" t="inlineStr">
        <is>
          <t xml:space="preserve"> - Beach Hostel</t>
        </is>
      </c>
      <c r="H49">
        <f>HYPERLINK("https://booking.roadsurfer.com/es/rally/pick?pickup_date=2026-04-27&amp;return_date=2026-05-04&amp;currency=EUR&amp;startStation=57&amp;endStation=78",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HYPERLINK("https://booking.roadsurfer.com/es/rally/pick?pickup_date=2026-04-15&amp;return_date=2026-04-22&amp;currency=EUR&amp;startStation=13&amp;endStation=4",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2026-03-24</t>
        </is>
      </c>
      <c r="F51" t="inlineStr">
        <is>
          <t>2026-03-31</t>
        </is>
      </c>
      <c r="G51" t="inlineStr">
        <is>
          <t xml:space="preserve"> - Travel Home</t>
        </is>
      </c>
      <c r="H51">
        <f>HYPERLINK("https://booking.roadsurfer.com/es/rally/pick?pickup_date=2026-03-24&amp;return_date=2026-03-31&amp;currency=EUR&amp;startStation=13&amp;endStation=2",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Lübeck</t>
        </is>
      </c>
      <c r="E52" t="inlineStr">
        <is>
          <t>2026-04-02</t>
        </is>
      </c>
      <c r="F52" t="inlineStr">
        <is>
          <t>2026-04-09</t>
        </is>
      </c>
      <c r="G52" t="inlineStr">
        <is>
          <t xml:space="preserve"> - Beach Hostel</t>
        </is>
      </c>
      <c r="H52">
        <f>HYPERLINK("https://booking.roadsurfer.com/es/rally/pick?pickup_date=2026-04-02&amp;return_date=2026-04-09&amp;currency=EUR&amp;startStation=13&amp;endStation=109",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Surfer Suite</t>
        </is>
      </c>
      <c r="H53">
        <f>HYPERLINK("https://booking.roadsurfer.com/es/rally/pick?pickup_date=2026-04-16&amp;return_date=2026-04-23&amp;currency=EUR&amp;startStation=13&amp;endStation=29",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Ratisbona</t>
        </is>
      </c>
      <c r="E54" t="inlineStr">
        <is>
          <t>2026-03-26</t>
        </is>
      </c>
      <c r="F54" t="inlineStr">
        <is>
          <t>2026-04-02</t>
        </is>
      </c>
      <c r="G54" t="inlineStr">
        <is>
          <t xml:space="preserve"> - Family Finca</t>
        </is>
      </c>
      <c r="H54">
        <f>HYPERLINK("https://booking.roadsurfer.com/es/rally/pick?pickup_date=2026-03-26&amp;return_date=2026-04-02&amp;currency=EUR&amp;startStation=13&amp;endStation=89",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Dresde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Road House</t>
        </is>
      </c>
      <c r="H55">
        <f>HYPERLINK("https://booking.roadsurfer.com/es/rally/pick?pickup_date=2026-05-04&amp;return_date=2026-05-11&amp;currency=EUR&amp;startStation=13&amp;endStation=56",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Tréveris</t>
        </is>
      </c>
      <c r="E56" t="inlineStr">
        <is>
          <t>2026-04-13</t>
        </is>
      </c>
      <c r="F56" t="inlineStr">
        <is>
          <t>2026-04-20</t>
        </is>
      </c>
      <c r="G56" t="inlineStr">
        <is>
          <t xml:space="preserve"> - Road House</t>
        </is>
      </c>
      <c r="H56">
        <f>HYPERLINK("https://booking.roadsurfer.com/es/rally/pick?pickup_date=2026-04-13&amp;return_date=2026-04-20&amp;currency=EUR&amp;startStation=13&amp;endStation=28",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Ulm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HYPERLINK("https://booking.roadsurfer.com/es/rally/pick?pickup_date=2026-04-16&amp;return_date=2026-04-23&amp;currency=EUR&amp;startStation=13&amp;endStation=112",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2026-03-27</t>
        </is>
      </c>
      <c r="F58" t="inlineStr">
        <is>
          <t>2026-04-03</t>
        </is>
      </c>
      <c r="G58" t="inlineStr">
        <is>
          <t xml:space="preserve"> - Surfer Suite</t>
        </is>
      </c>
      <c r="H58">
        <f>HYPERLINK("https://booking.roadsurfer.com/es/rally/pick?pickup_date=2026-03-27&amp;return_date=2026-04-03&amp;currency=EUR&amp;startStation=13&amp;endStation=22",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Family Finca</t>
        </is>
      </c>
      <c r="H59">
        <f>HYPERLINK("https://booking.roadsurfer.com/es/rally/pick?pickup_date=2026-04-21&amp;return_date=2026-04-28&amp;currency=EUR&amp;startStation=55&amp;endStation=77",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2026-04-24</t>
        </is>
      </c>
      <c r="F60" t="inlineStr">
        <is>
          <t>2026-05-01</t>
        </is>
      </c>
      <c r="G60" t="inlineStr">
        <is>
          <t xml:space="preserve"> - No hay coche</t>
        </is>
      </c>
      <c r="H60">
        <f>HYPERLINK("https://booking.roadsurfer.com/es/rally/pick?pickup_date=2026-04-24&amp;return_date=2026-05-01&amp;currency=EUR&amp;startStation=55&amp;endStation=77",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2026-04-23</t>
        </is>
      </c>
      <c r="F61" t="inlineStr">
        <is>
          <t>2026-04-30</t>
        </is>
      </c>
      <c r="G61" t="inlineStr">
        <is>
          <t xml:space="preserve"> - Road House</t>
        </is>
      </c>
      <c r="H61">
        <f>HYPERLINK("https://booking.roadsurfer.com/es/rally/pick?pickup_date=2026-04-23&amp;return_date=2026-04-30&amp;currency=EUR&amp;startStation=55&amp;endStation=77",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BEACH HOSTEL</t>
        </is>
      </c>
      <c r="H62">
        <f>HYPERLINK("https://booking.roadsurfer.com/es/rally/pick?pickup_date=2026-04-15&amp;return_date=2026-04-22&amp;currency=EUR&amp;startStation=55&amp;endStation=59",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Cozy Cottage</t>
        </is>
      </c>
      <c r="H63">
        <f>HYPERLINK("https://booking.roadsurfer.com/es/rally/pick?pickup_date=2026-04-13&amp;return_date=2026-04-20&amp;currency=EUR&amp;startStation=55&amp;endStation=59",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2026-05-04</t>
        </is>
      </c>
      <c r="F64" t="inlineStr">
        <is>
          <t>2026-05-11</t>
        </is>
      </c>
      <c r="G64" t="inlineStr">
        <is>
          <t xml:space="preserve"> - Camper Castle</t>
        </is>
      </c>
      <c r="H64">
        <f>HYPERLINK("https://booking.roadsurfer.com/es/rally/pick?pickup_date=2026-05-04&amp;return_date=2026-05-11&amp;currency=EUR&amp;startStation=55&amp;endStation=33",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Camper Cabin Deluxe</t>
        </is>
      </c>
      <c r="H65">
        <f>HYPERLINK("https://booking.roadsurfer.com/es/rally/pick?pickup_date=2026-04-16&amp;return_date=2026-04-23&amp;currency=EUR&amp;startStation=55&amp;endStation=42",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Surfer Suite - Sunrise Suite</t>
        </is>
      </c>
      <c r="H66">
        <f>HYPERLINK("https://booking.roadsurfer.com/es/rally/pick?pickup_date=2026-04-20&amp;return_date=2026-04-27&amp;currency=EUR&amp;startStation=55&amp;endStation=34",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2026-04-23</t>
        </is>
      </c>
      <c r="F67" t="inlineStr">
        <is>
          <t>2026-04-30</t>
        </is>
      </c>
      <c r="G67" t="inlineStr">
        <is>
          <t xml:space="preserve"> - Sunrise Suite</t>
        </is>
      </c>
      <c r="H67">
        <f>HYPERLINK("https://booking.roadsurfer.com/es/rally/pick?pickup_date=2026-04-23&amp;return_date=2026-04-30&amp;currency=EUR&amp;startStation=55&amp;endStation=34",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Surfer Suite</t>
        </is>
      </c>
      <c r="H68">
        <f>HYPERLINK("https://booking.roadsurfer.com/es/rally/pick?pickup_date=2026-05-11&amp;return_date=2026-05-18&amp;currency=EUR&amp;startStation=55&amp;endStation=6",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Aquisgrán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</t>
        </is>
      </c>
      <c r="H69">
        <f>HYPERLINK("https://booking.roadsurfer.com/es/rally/pick?pickup_date=2026-04-20&amp;return_date=2026-04-27&amp;currency=EUR&amp;startStation=55&amp;endStation=114",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No hay coche</t>
        </is>
      </c>
      <c r="H70">
        <f>HYPERLINK("https://booking.roadsurfer.com/es/rally/pick?pickup_date=2026-04-20&amp;return_date=2026-04-27&amp;currency=EUR&amp;startStation=55&amp;endStation=130", "Clic para verlo en la web de RoadSurfer")</f>
        <v/>
      </c>
    </row>
    <row r="71">
      <c r="A71" t="inlineStr">
        <is>
          <t>Reino Unido</t>
        </is>
      </c>
      <c r="B71" t="inlineStr">
        <is>
          <t>Bristol</t>
        </is>
      </c>
      <c r="C71" t="inlineStr">
        <is>
          <t>Reino Unido</t>
        </is>
      </c>
      <c r="D71" t="inlineStr">
        <is>
          <t>Edimburgo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HYPERLINK("https://booking.roadsurfer.com/es/rally/pick?pickup_date=2026-04-20&amp;return_date=2026-04-27&amp;currency=EUR&amp;startStation=98&amp;endStation=64",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Beach Hostel</t>
        </is>
      </c>
      <c r="H72">
        <f>HYPERLINK("https://booking.roadsurfer.com/es/rally/pick?pickup_date=2026-04-22&amp;return_date=2026-04-29&amp;currency=EUR&amp;startStation=42&amp;endStation=48",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HYPERLINK("https://booking.roadsurfer.com/es/rally/pick?pickup_date=2026-05-04&amp;return_date=2026-05-11&amp;currency=EUR&amp;startStation=42&amp;endStation=6", "Clic para verlo en la web de RoadSurfer")</f>
        <v/>
      </c>
    </row>
    <row r="74">
      <c r="A74" t="inlineStr">
        <is>
          <t>Canadá</t>
        </is>
      </c>
      <c r="B74" t="inlineStr">
        <is>
          <t>Calgary</t>
        </is>
      </c>
      <c r="C74" t="inlineStr">
        <is>
          <t>Canadá</t>
        </is>
      </c>
      <c r="D74" t="inlineStr">
        <is>
          <t>Vancouver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Liberty Lodge</t>
        </is>
      </c>
      <c r="H74">
        <f>HYPERLINK("https://booking.roadsurfer.com/es/rally/pick?pickup_date=2026-05-25&amp;return_date=2026-06-01&amp;currency=EUR&amp;startStation=84&amp;endStation=83",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2026-03-30</t>
        </is>
      </c>
      <c r="F75" t="inlineStr">
        <is>
          <t>2026-04-06</t>
        </is>
      </c>
      <c r="G75" t="inlineStr">
        <is>
          <t xml:space="preserve"> - No hay coche</t>
        </is>
      </c>
      <c r="H75">
        <f>HYPERLINK("https://booking.roadsurfer.com/es/rally/pick?pickup_date=2026-03-30&amp;return_date=2026-04-06&amp;currency=EUR&amp;startStation=52&amp;endStation=47",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2026-03-26</t>
        </is>
      </c>
      <c r="F77" t="inlineStr">
        <is>
          <t>2026-04-02</t>
        </is>
      </c>
      <c r="G77" t="inlineStr">
        <is>
          <t xml:space="preserve"> - Surfer Suite</t>
        </is>
      </c>
      <c r="H77">
        <f>HYPERLINK("https://booking.roadsurfer.com/es/rally/pick?pickup_date=2026-03-26&amp;return_date=2026-04-02&amp;currency=EUR&amp;startStation=52&amp;endStation=37",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2026-04-25</t>
        </is>
      </c>
      <c r="F78" t="inlineStr">
        <is>
          <t>2026-05-02</t>
        </is>
      </c>
      <c r="G78" t="inlineStr">
        <is>
          <t xml:space="preserve"> - Beach Hostel</t>
        </is>
      </c>
      <c r="H78">
        <f>HYPERLINK("https://booking.roadsurfer.com/es/rally/pick?pickup_date=2026-04-25&amp;return_date=2026-05-02&amp;currency=EUR&amp;startStation=52&amp;endStation=29",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No hay coche</t>
        </is>
      </c>
      <c r="H79">
        <f>HYPERLINK("https://booking.roadsurfer.com/es/rally/pick?pickup_date=2026-04-23&amp;return_date=2026-04-30&amp;currency=EUR&amp;startStation=52&amp;endStation=130",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2026-04-16</t>
        </is>
      </c>
      <c r="F80" t="inlineStr">
        <is>
          <t>2026-04-23</t>
        </is>
      </c>
      <c r="G80" t="inlineStr">
        <is>
          <t xml:space="preserve"> - No hay coche</t>
        </is>
      </c>
      <c r="H80">
        <f>HYPERLINK("https://booking.roadsurfer.com/es/rally/pick?pickup_date=2026-04-16&amp;return_date=2026-04-23&amp;currency=EUR&amp;startStation=52&amp;endStation=130",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No hay coche</t>
        </is>
      </c>
      <c r="H81">
        <f>HYPERLINK("https://booking.roadsurfer.com/es/rally/pick?pickup_date=2026-04-20&amp;return_date=2026-04-27&amp;currency=EUR&amp;startStation=52&amp;endStation=130",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Berlín-Schönefeld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Travel Home</t>
        </is>
      </c>
      <c r="H82">
        <f>HYPERLINK("https://booking.roadsurfer.com/es/rally/pick?pickup_date=2026-04-13&amp;return_date=2026-04-20&amp;currency=EUR&amp;startStation=52&amp;endStation=51",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Camper Cabin</t>
        </is>
      </c>
      <c r="H83">
        <f>HYPERLINK("https://booking.roadsurfer.com/es/rally/pick?pickup_date=2026-04-13&amp;return_date=2026-04-20&amp;currency=EUR&amp;startStation=52&amp;endStation=13",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Heidelberg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Camper Cabin</t>
        </is>
      </c>
      <c r="H84">
        <f>HYPERLINK("https://booking.roadsurfer.com/es/rally/pick?pickup_date=2026-04-09&amp;return_date=2026-04-16&amp;currency=EUR&amp;startStation=52&amp;endStation=79",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Road House</t>
        </is>
      </c>
      <c r="H85">
        <f>HYPERLINK("https://booking.roadsurfer.com/es/rally/pick?pickup_date=2026-04-09&amp;return_date=2026-04-16&amp;currency=EUR&amp;startStation=52&amp;endStation=42",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Sunrise Suite</t>
        </is>
      </c>
      <c r="H87">
        <f>HYPERLINK("https://booking.roadsurfer.com/es/rally/pick?pickup_date=2026-04-10&amp;return_date=2026-04-17&amp;currency=EUR&amp;startStation=52&amp;endStation=42",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España</t>
        </is>
      </c>
      <c r="D88" t="inlineStr">
        <is>
          <t>Valencia</t>
        </is>
      </c>
      <c r="E88" t="inlineStr">
        <is>
          <t>2026-04-06</t>
        </is>
      </c>
      <c r="F88" t="inlineStr">
        <is>
          <t>2026-04-13</t>
        </is>
      </c>
      <c r="G88" t="inlineStr">
        <is>
          <t xml:space="preserve"> - No hay coche</t>
        </is>
      </c>
      <c r="H88">
        <f>HYPERLINK("https://booking.roadsurfer.com/es/rally/pick?pickup_date=2026-04-06&amp;return_date=2026-04-13&amp;currency=EUR&amp;startStation=52&amp;endStation=38",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2026-03-24</t>
        </is>
      </c>
      <c r="F89" t="inlineStr">
        <is>
          <t>2026-03-31</t>
        </is>
      </c>
      <c r="G89" t="inlineStr">
        <is>
          <t xml:space="preserve"> - Camper Cabin Deluxe</t>
        </is>
      </c>
      <c r="H89">
        <f>HYPERLINK("https://booking.roadsurfer.com/es/rally/pick?pickup_date=2026-03-24&amp;return_date=2026-03-31&amp;currency=EUR&amp;startStation=52&amp;endStation=48",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COUPLE COTTAGE</t>
        </is>
      </c>
      <c r="H90">
        <f>HYPERLINK("https://booking.roadsurfer.com/es/rally/pick?pickup_date=2026-04-17&amp;return_date=2026-04-24&amp;currency=EUR&amp;startStation=52&amp;endStation=48",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2026-04-16</t>
        </is>
      </c>
      <c r="F91" t="inlineStr">
        <is>
          <t>2026-04-23</t>
        </is>
      </c>
      <c r="G91" t="inlineStr">
        <is>
          <t xml:space="preserve"> - Camper Castle</t>
        </is>
      </c>
      <c r="H91">
        <f>HYPERLINK("https://booking.roadsurfer.com/es/rally/pick?pickup_date=2026-04-16&amp;return_date=2026-04-23&amp;currency=EUR&amp;startStation=52&amp;endStation=11",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Sunrise Suite</t>
        </is>
      </c>
      <c r="H92">
        <f>HYPERLINK("https://booking.roadsurfer.com/es/rally/pick?pickup_date=2026-04-27&amp;return_date=2026-05-04&amp;currency=EUR&amp;startStation=52&amp;endStation=11",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Sunrise Suite</t>
        </is>
      </c>
      <c r="H93">
        <f>HYPERLINK("https://booking.roadsurfer.com/es/rally/pick?pickup_date=2026-04-25&amp;return_date=2026-05-02&amp;currency=EUR&amp;startStation=52&amp;endStation=12",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Sunrise Suite</t>
        </is>
      </c>
      <c r="H94">
        <f>HYPERLINK("https://booking.roadsurfer.com/es/rally/pick?pickup_date=2026-04-20&amp;return_date=2026-04-27&amp;currency=EUR&amp;startStation=52&amp;endStation=5",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No hay coche</t>
        </is>
      </c>
      <c r="H95">
        <f>HYPERLINK("https://booking.roadsurfer.com/es/rally/pick?pickup_date=2026-04-20&amp;return_date=2026-04-27&amp;currency=EUR&amp;startStation=4&amp;endStation=130",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2026-04-24</t>
        </is>
      </c>
      <c r="F96" t="inlineStr">
        <is>
          <t>2026-05-01</t>
        </is>
      </c>
      <c r="G96" t="inlineStr">
        <is>
          <t xml:space="preserve"> - No hay coche</t>
        </is>
      </c>
      <c r="H96">
        <f>HYPERLINK("https://booking.roadsurfer.com/es/rally/pick?pickup_date=2026-04-24&amp;return_date=2026-05-01&amp;currency=EUR&amp;startStation=4&amp;endStation=13",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2026-03-28</t>
        </is>
      </c>
      <c r="F97" t="inlineStr">
        <is>
          <t>2026-04-04</t>
        </is>
      </c>
      <c r="G97" t="inlineStr">
        <is>
          <t xml:space="preserve"> - Road House</t>
        </is>
      </c>
      <c r="H97">
        <f>HYPERLINK("https://booking.roadsurfer.com/es/rally/pick?pickup_date=2026-03-28&amp;return_date=2026-04-04&amp;currency=EUR&amp;startStation=4&amp;endStation=13",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2026-03-27</t>
        </is>
      </c>
      <c r="F98" t="inlineStr">
        <is>
          <t>2026-04-03</t>
        </is>
      </c>
      <c r="G98" t="inlineStr">
        <is>
          <t xml:space="preserve"> - Surfer Suite</t>
        </is>
      </c>
      <c r="H98">
        <f>HYPERLINK("https://booking.roadsurfer.com/es/rally/pick?pickup_date=2026-03-27&amp;return_date=2026-04-03&amp;currency=EUR&amp;startStation=4&amp;endStation=31",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2026-04-25</t>
        </is>
      </c>
      <c r="F99" t="inlineStr">
        <is>
          <t>2026-05-02</t>
        </is>
      </c>
      <c r="G99" t="inlineStr">
        <is>
          <t xml:space="preserve"> - Surfer Suite</t>
        </is>
      </c>
      <c r="H99">
        <f>HYPERLINK("https://booking.roadsurfer.com/es/rally/pick?pickup_date=2026-04-25&amp;return_date=2026-05-02&amp;currency=EUR&amp;startStation=4&amp;endStation=12",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HYPERLINK("https://booking.roadsurfer.com/es/rally/pick?pickup_date=2026-05-04&amp;return_date=2026-05-11&amp;currency=EUR&amp;startStation=4&amp;endStation=6",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Austria</t>
        </is>
      </c>
      <c r="D101" t="inlineStr">
        <is>
          <t>Salzburgo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Camper Castle</t>
        </is>
      </c>
      <c r="H101">
        <f>HYPERLINK("https://booking.roadsurfer.com/es/rally/pick?pickup_date=2026-04-13&amp;return_date=2026-04-20&amp;currency=EUR&amp;startStation=10&amp;endStation=85",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HYPERLINK("https://booking.roadsurfer.com/es/rally/pick?pickup_date=2026-04-13&amp;return_date=2026-04-20&amp;currency=EUR&amp;startStation=10&amp;endStation=28",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Italia</t>
        </is>
      </c>
      <c r="D104" t="inlineStr">
        <is>
          <t>Bolonia</t>
        </is>
      </c>
      <c r="E104" t="inlineStr">
        <is>
          <t>2026-03-24</t>
        </is>
      </c>
      <c r="F104" t="inlineStr">
        <is>
          <t>2026-03-31</t>
        </is>
      </c>
      <c r="G104" t="inlineStr">
        <is>
          <t xml:space="preserve"> - Couple Cottage</t>
        </is>
      </c>
      <c r="H104">
        <f>HYPERLINK("https://booking.roadsurfer.com/es/rally/pick?pickup_date=2026-03-24&amp;return_date=2026-03-31&amp;currency=EUR&amp;startStation=10&amp;endStation=57",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2026-03-26</t>
        </is>
      </c>
      <c r="F105" t="inlineStr">
        <is>
          <t>2026-04-02</t>
        </is>
      </c>
      <c r="G105" t="inlineStr">
        <is>
          <t xml:space="preserve"> - Road House</t>
        </is>
      </c>
      <c r="H105">
        <f>HYPERLINK("https://booking.roadsurfer.com/es/rally/pick?pickup_date=2026-03-26&amp;return_date=2026-04-02&amp;currency=EUR&amp;startStation=56&amp;endStation=37",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2026-04-21</t>
        </is>
      </c>
      <c r="F106" t="inlineStr">
        <is>
          <t>2026-04-28</t>
        </is>
      </c>
      <c r="G106" t="inlineStr">
        <is>
          <t xml:space="preserve"> - Road House</t>
        </is>
      </c>
      <c r="H106">
        <f>HYPERLINK("https://booking.roadsurfer.com/es/rally/pick?pickup_date=2026-04-21&amp;return_date=2026-04-28&amp;currency=EUR&amp;startStation=56&amp;endStation=37",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Family Finca</t>
        </is>
      </c>
      <c r="H107">
        <f>HYPERLINK("https://booking.roadsurfer.com/es/rally/pick?pickup_date=2026-04-20&amp;return_date=2026-04-27&amp;currency=EUR&amp;startStation=56&amp;endStation=77",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2026-04-23</t>
        </is>
      </c>
      <c r="F108" t="inlineStr">
        <is>
          <t>2026-04-30</t>
        </is>
      </c>
      <c r="G108" t="inlineStr">
        <is>
          <t xml:space="preserve"> - Road House</t>
        </is>
      </c>
      <c r="H108">
        <f>HYPERLINK("https://booking.roadsurfer.com/es/rally/pick?pickup_date=2026-04-23&amp;return_date=2026-04-30&amp;currency=EUR&amp;startStation=56&amp;endStation=59",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Road House</t>
        </is>
      </c>
      <c r="H109">
        <f>HYPERLINK("https://booking.roadsurfer.com/es/rally/pick?pickup_date=2026-04-21&amp;return_date=2026-04-28&amp;currency=EUR&amp;startStation=56&amp;endStation=59",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2026-04-25</t>
        </is>
      </c>
      <c r="F112" t="inlineStr">
        <is>
          <t>2026-05-02</t>
        </is>
      </c>
      <c r="G112" t="inlineStr">
        <is>
          <t xml:space="preserve"> - Surfer Suite</t>
        </is>
      </c>
      <c r="H112">
        <f>HYPERLINK("https://booking.roadsurfer.com/es/rally/pick?pickup_date=2026-04-25&amp;return_date=2026-05-02&amp;currency=EUR&amp;startStation=56&amp;endStation=87",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Castle</t>
        </is>
      </c>
      <c r="H113">
        <f>HYPERLINK("https://booking.roadsurfer.com/es/rally/pick?pickup_date=2026-04-30&amp;return_date=2026-05-07&amp;currency=EUR&amp;startStation=56&amp;endStation=31",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2026-03-28</t>
        </is>
      </c>
      <c r="F114" t="inlineStr">
        <is>
          <t>2026-04-04</t>
        </is>
      </c>
      <c r="G114" t="inlineStr">
        <is>
          <t xml:space="preserve"> - Camper Cabin Deluxe</t>
        </is>
      </c>
      <c r="H114">
        <f>HYPERLINK("https://booking.roadsurfer.com/es/rally/pick?pickup_date=2026-03-28&amp;return_date=2026-04-04&amp;currency=EUR&amp;startStation=56&amp;endStation=32",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2026-04-24</t>
        </is>
      </c>
      <c r="F117" t="inlineStr">
        <is>
          <t>2026-05-01</t>
        </is>
      </c>
      <c r="G117" t="inlineStr">
        <is>
          <t xml:space="preserve"> - No hay coche</t>
        </is>
      </c>
      <c r="H117">
        <f>HYPERLINK("https://booking.roadsurfer.com/es/rally/pick?pickup_date=2026-04-24&amp;return_date=2026-05-01&amp;currency=EUR&amp;startStation=56&amp;endStation=42",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Sunrise Suite</t>
        </is>
      </c>
      <c r="H118">
        <f>HYPERLINK("https://booking.roadsurfer.com/es/rally/pick?pickup_date=2026-04-22&amp;return_date=2026-04-29&amp;currency=EUR&amp;startStation=56&amp;endStation=78",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2026-03-27</t>
        </is>
      </c>
      <c r="F120" t="inlineStr">
        <is>
          <t>2026-04-04</t>
        </is>
      </c>
      <c r="G120" t="inlineStr">
        <is>
          <t xml:space="preserve"> - Surfer Suite</t>
        </is>
      </c>
      <c r="H120">
        <f>HYPERLINK("https://booking.roadsurfer.com/es/rally/pick?pickup_date=2026-03-27&amp;return_date=2026-04-04&amp;currency=EUR&amp;startStation=113&amp;endStation=33",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Surfer Suite - Beach Hostel</t>
        </is>
      </c>
      <c r="H121">
        <f>HYPERLINK("https://booking.roadsurfer.com/es/rally/pick?pickup_date=2026-04-20&amp;return_date=2026-04-27&amp;currency=EUR&amp;startStation=113&amp;endStation=34",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No hay coche</t>
        </is>
      </c>
      <c r="H122">
        <f>HYPERLINK("https://booking.roadsurfer.com/es/rally/pick?pickup_date=2026-04-23&amp;return_date=2026-04-30&amp;currency=EUR&amp;startStation=113&amp;endStation=34",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HYPERLINK("https://booking.roadsurfer.com/es/rally/pick?pickup_date=2026-04-20&amp;return_date=2026-04-27&amp;currency=EUR&amp;startStation=113&amp;endStation=40",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Surfer Suite</t>
        </is>
      </c>
      <c r="H126">
        <f>HYPERLINK("https://booking.roadsurfer.com/es/rally/pick?pickup_date=2026-04-13&amp;return_date=2026-04-20&amp;currency=EUR&amp;startStation=90&amp;endStation=47",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2026-03-25</t>
        </is>
      </c>
      <c r="F127" t="inlineStr">
        <is>
          <t>2026-04-01</t>
        </is>
      </c>
      <c r="G127" t="inlineStr">
        <is>
          <t xml:space="preserve"> - SURFER SUITE</t>
        </is>
      </c>
      <c r="H127">
        <f>HYPERLINK("https://booking.roadsurfer.com/es/rally/pick?pickup_date=2026-03-25&amp;return_date=2026-04-01&amp;currency=EUR&amp;startStation=90&amp;endStation=42",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Beach Hostel</t>
        </is>
      </c>
      <c r="H128">
        <f>HYPERLINK("https://booking.roadsurfer.com/es/rally/pick?pickup_date=2026-04-23&amp;return_date=2026-04-30&amp;currency=EUR&amp;startStation=90&amp;endStation=42",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Linz</t>
        </is>
      </c>
      <c r="E129" t="inlineStr">
        <is>
          <t>2026-03-30</t>
        </is>
      </c>
      <c r="F129" t="inlineStr">
        <is>
          <t>2026-04-06</t>
        </is>
      </c>
      <c r="G129" t="inlineStr">
        <is>
          <t xml:space="preserve"> - No hay coche</t>
        </is>
      </c>
      <c r="H129">
        <f>HYPERLINK("https://booking.roadsurfer.com/es/rally/pick?pickup_date=2026-03-30&amp;return_date=2026-04-06&amp;currency=EUR&amp;startStation=90&amp;endStation=116",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2026-03-26</t>
        </is>
      </c>
      <c r="F130" t="inlineStr">
        <is>
          <t>2026-04-02</t>
        </is>
      </c>
      <c r="G130" t="inlineStr">
        <is>
          <t xml:space="preserve"> - No hay coche</t>
        </is>
      </c>
      <c r="H130">
        <f>HYPERLINK("https://booking.roadsurfer.com/es/rally/pick?pickup_date=2026-03-26&amp;return_date=2026-04-02&amp;currency=EUR&amp;startStation=90&amp;endStation=34",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2026-04-21</t>
        </is>
      </c>
      <c r="F131" t="inlineStr">
        <is>
          <t>2026-04-28</t>
        </is>
      </c>
      <c r="G131" t="inlineStr">
        <is>
          <t xml:space="preserve"> - Sunrise Suite</t>
        </is>
      </c>
      <c r="H131">
        <f>HYPERLINK("https://booking.roadsurfer.com/es/rally/pick?pickup_date=2026-04-21&amp;return_date=2026-04-28&amp;currency=EUR&amp;startStation=90&amp;endStation=59",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Road House</t>
        </is>
      </c>
      <c r="H132">
        <f>HYPERLINK("https://booking.roadsurfer.com/es/rally/pick?pickup_date=2026-04-14&amp;return_date=2026-04-21&amp;currency=EUR&amp;startStation=90&amp;endStation=77",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Estrasburgo</t>
        </is>
      </c>
      <c r="E133" t="inlineStr">
        <is>
          <t>2026-05-08</t>
        </is>
      </c>
      <c r="F133" t="inlineStr">
        <is>
          <t>2026-05-15</t>
        </is>
      </c>
      <c r="G133" t="inlineStr">
        <is>
          <t xml:space="preserve"> - Beach Hostel</t>
        </is>
      </c>
      <c r="H133">
        <f>HYPERLINK("https://booking.roadsurfer.com/es/rally/pick?pickup_date=2026-05-08&amp;return_date=2026-05-15&amp;currency=EUR&amp;startStation=90&amp;endStation=49",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Estrasburgo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Beach Hostel</t>
        </is>
      </c>
      <c r="H134">
        <f>HYPERLINK("https://booking.roadsurfer.com/es/rally/pick?pickup_date=2026-04-13&amp;return_date=2026-04-20&amp;currency=EUR&amp;startStation=90&amp;endStation=49",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2026-05-05</t>
        </is>
      </c>
      <c r="F135" t="inlineStr">
        <is>
          <t>2026-05-12</t>
        </is>
      </c>
      <c r="G135" t="inlineStr">
        <is>
          <t xml:space="preserve"> - Travel Home</t>
        </is>
      </c>
      <c r="H135">
        <f>HYPERLINK("https://booking.roadsurfer.com/es/rally/pick?pickup_date=2026-05-05&amp;return_date=2026-05-12&amp;currency=EUR&amp;startStation=90&amp;endStation=13",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Beach Hostel</t>
        </is>
      </c>
      <c r="H136">
        <f>HYPERLINK("https://booking.roadsurfer.com/es/rally/pick?pickup_date=2026-04-13&amp;return_date=2026-04-20&amp;currency=EUR&amp;startStation=90&amp;endStation=15", "Clic para verlo en la web de RoadSurfer")</f>
        <v/>
      </c>
    </row>
    <row r="137">
      <c r="A137" t="inlineStr">
        <is>
          <t>Italia</t>
        </is>
      </c>
      <c r="B137" t="inlineStr">
        <is>
          <t>Florencia</t>
        </is>
      </c>
      <c r="C137" t="inlineStr">
        <is>
          <t>Alemania</t>
        </is>
      </c>
      <c r="D137" t="inlineStr">
        <is>
          <t>Bochum</t>
        </is>
      </c>
      <c r="E137" t="inlineStr">
        <is>
          <t>2026-03-26</t>
        </is>
      </c>
      <c r="F137" t="inlineStr">
        <is>
          <t>2026-04-02</t>
        </is>
      </c>
      <c r="G137" t="inlineStr">
        <is>
          <t xml:space="preserve"> - Surfer Suite</t>
        </is>
      </c>
      <c r="H137">
        <f>HYPERLINK("https://booking.roadsurfer.com/es/rally/pick?pickup_date=2026-03-26&amp;return_date=2026-04-02&amp;currency=EUR&amp;startStation=80&amp;endStation=24",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Italia</t>
        </is>
      </c>
      <c r="D138" t="inlineStr">
        <is>
          <t>Venecia</t>
        </is>
      </c>
      <c r="E138" t="inlineStr">
        <is>
          <t>2026-04-24</t>
        </is>
      </c>
      <c r="F138" t="inlineStr">
        <is>
          <t>2026-05-01</t>
        </is>
      </c>
      <c r="G138" t="inlineStr">
        <is>
          <t xml:space="preserve"> - No hay coche</t>
        </is>
      </c>
      <c r="H138">
        <f>HYPERLINK("https://booking.roadsurfer.com/es/rally/pick?pickup_date=2026-04-24&amp;return_date=2026-05-01&amp;currency=EUR&amp;startStation=2&amp;endStation=78",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Surfer Suite</t>
        </is>
      </c>
      <c r="H139">
        <f>HYPERLINK("https://booking.roadsurfer.com/es/rally/pick?pickup_date=2026-04-14&amp;return_date=2026-04-21&amp;currency=EUR&amp;startStation=2&amp;endStation=48",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2026-04-11</t>
        </is>
      </c>
      <c r="F140" t="inlineStr">
        <is>
          <t>2026-04-18</t>
        </is>
      </c>
      <c r="G140" t="inlineStr">
        <is>
          <t xml:space="preserve"> - Sunrise Suite</t>
        </is>
      </c>
      <c r="H140">
        <f>HYPERLINK("https://booking.roadsurfer.com/es/rally/pick?pickup_date=2026-04-11&amp;return_date=2026-04-18&amp;currency=EUR&amp;startStation=2&amp;endStation=29",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Sunrise Suite</t>
        </is>
      </c>
      <c r="H141">
        <f>HYPERLINK("https://booking.roadsurfer.com/es/rally/pick?pickup_date=2026-04-13&amp;return_date=2026-04-20&amp;currency=EUR&amp;startStation=2&amp;endStation=29",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Surfer Suite</t>
        </is>
      </c>
      <c r="H142">
        <f>HYPERLINK("https://booking.roadsurfer.com/es/rally/pick?pickup_date=2026-04-20&amp;return_date=2026-04-27&amp;currency=EUR&amp;startStation=2&amp;endStation=29",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Milán</t>
        </is>
      </c>
      <c r="E143" t="inlineStr">
        <is>
          <t>2026-04-10</t>
        </is>
      </c>
      <c r="F143" t="inlineStr">
        <is>
          <t>2026-04-17</t>
        </is>
      </c>
      <c r="G143" t="inlineStr">
        <is>
          <t xml:space="preserve"> - Surfer Suite</t>
        </is>
      </c>
      <c r="H143">
        <f>HYPERLINK("https://booking.roadsurfer.com/es/rally/pick?pickup_date=2026-04-10&amp;return_date=2026-04-17&amp;currency=EUR&amp;startStation=2&amp;endStation=34",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2026-03-27</t>
        </is>
      </c>
      <c r="F144" t="inlineStr">
        <is>
          <t>2026-04-03</t>
        </is>
      </c>
      <c r="G144" t="inlineStr">
        <is>
          <t xml:space="preserve"> - Surfer Suite</t>
        </is>
      </c>
      <c r="H144">
        <f>HYPERLINK("https://booking.roadsurfer.com/es/rally/pick?pickup_date=2026-03-27&amp;return_date=2026-04-03&amp;currency=EUR&amp;startStation=2&amp;endStation=13",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Bérgamo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Surfer Suite</t>
        </is>
      </c>
      <c r="H145">
        <f>HYPERLINK("https://booking.roadsurfer.com/es/rally/pick?pickup_date=2026-05-04&amp;return_date=2026-05-11&amp;currency=EUR&amp;startStation=2&amp;endStation=94",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CAMPER CASTLE</t>
        </is>
      </c>
      <c r="H146">
        <f>HYPERLINK("https://booking.roadsurfer.com/es/rally/pick?pickup_date=2026-04-27&amp;return_date=2026-05-04&amp;currency=EUR&amp;startStation=2&amp;endStation=40",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2026-03-25</t>
        </is>
      </c>
      <c r="F147" t="inlineStr">
        <is>
          <t>2026-04-01</t>
        </is>
      </c>
      <c r="G147" t="inlineStr">
        <is>
          <t xml:space="preserve"> - No hay coche</t>
        </is>
      </c>
      <c r="H147">
        <f>HYPERLINK("https://booking.roadsurfer.com/es/rally/pick?pickup_date=2026-03-25&amp;return_date=2026-04-01&amp;currency=EUR&amp;startStation=2&amp;endStation=40",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Couple Cottage</t>
        </is>
      </c>
      <c r="H148">
        <f>HYPERLINK("https://booking.roadsurfer.com/es/rally/pick?pickup_date=2026-04-23&amp;return_date=2026-04-30&amp;currency=EUR&amp;startStation=2&amp;endStation=40",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Surfer Suite</t>
        </is>
      </c>
      <c r="H149">
        <f>HYPERLINK("https://booking.roadsurfer.com/es/rally/pick?pickup_date=2026-05-06&amp;return_date=2026-05-13&amp;currency=EUR&amp;startStation=2&amp;endStation=40",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2026-04-05</t>
        </is>
      </c>
      <c r="F150" t="inlineStr">
        <is>
          <t>2026-04-12</t>
        </is>
      </c>
      <c r="G150" t="inlineStr">
        <is>
          <t xml:space="preserve"> - No hay coche</t>
        </is>
      </c>
      <c r="H150">
        <f>HYPERLINK("https://booking.roadsurfer.com/es/rally/pick?pickup_date=2026-04-05&amp;return_date=2026-04-12&amp;currency=EUR&amp;startStation=2&amp;endStation=17",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2026-04-15</t>
        </is>
      </c>
      <c r="F151" t="inlineStr">
        <is>
          <t>2026-04-22</t>
        </is>
      </c>
      <c r="G151" t="inlineStr">
        <is>
          <t xml:space="preserve"> - BEACH HOSTEL</t>
        </is>
      </c>
      <c r="H151">
        <f>HYPERLINK("https://booking.roadsurfer.com/es/rally/pick?pickup_date=2026-04-15&amp;return_date=2026-04-22&amp;currency=EUR&amp;startStation=2&amp;endStation=15",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Países Bajos</t>
        </is>
      </c>
      <c r="D152" t="inlineStr">
        <is>
          <t>Róterdam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No hay coche</t>
        </is>
      </c>
      <c r="H152">
        <f>HYPERLINK("https://booking.roadsurfer.com/es/rally/pick?pickup_date=2026-04-13&amp;return_date=2026-04-20&amp;currency=EUR&amp;startStation=2&amp;endStation=33",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2026-04-07</t>
        </is>
      </c>
      <c r="F153" t="inlineStr">
        <is>
          <t>2026-04-14</t>
        </is>
      </c>
      <c r="G153" t="inlineStr">
        <is>
          <t xml:space="preserve"> - Camper Cabin</t>
        </is>
      </c>
      <c r="H153">
        <f>HYPERLINK("https://booking.roadsurfer.com/es/rally/pick?pickup_date=2026-04-07&amp;return_date=2026-04-14&amp;currency=EUR&amp;startStation=2&amp;endStation=33",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2026-04-08</t>
        </is>
      </c>
      <c r="F154" t="inlineStr">
        <is>
          <t>2026-04-15</t>
        </is>
      </c>
      <c r="G154" t="inlineStr">
        <is>
          <t xml:space="preserve"> - Camper Castle</t>
        </is>
      </c>
      <c r="H154">
        <f>HYPERLINK("https://booking.roadsurfer.com/es/rally/pick?pickup_date=2026-04-08&amp;return_date=2026-04-15&amp;currency=EUR&amp;startStation=2&amp;endStation=20",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2026-03-24</t>
        </is>
      </c>
      <c r="F155" t="inlineStr">
        <is>
          <t>2026-03-31</t>
        </is>
      </c>
      <c r="G155" t="inlineStr">
        <is>
          <t xml:space="preserve"> - Road House</t>
        </is>
      </c>
      <c r="H155">
        <f>HYPERLINK("https://booking.roadsurfer.com/es/rally/pick?pickup_date=2026-03-24&amp;return_date=2026-03-31&amp;currency=EUR&amp;startStation=2&amp;endStation=20",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No hay coche</t>
        </is>
      </c>
      <c r="H156">
        <f>HYPERLINK("https://booking.roadsurfer.com/es/rally/pick?pickup_date=2026-04-13&amp;return_date=2026-04-20&amp;currency=EUR&amp;startStation=2&amp;endStation=49",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Alemania</t>
        </is>
      </c>
      <c r="D157" t="inlineStr">
        <is>
          <t>Braunschweig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No hay coche</t>
        </is>
      </c>
      <c r="H157">
        <f>HYPERLINK("https://booking.roadsurfer.com/es/rally/pick?pickup_date=2026-04-20&amp;return_date=2026-04-27&amp;currency=EUR&amp;startStation=2&amp;endStation=128",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2026-04-28</t>
        </is>
      </c>
      <c r="F158" t="inlineStr">
        <is>
          <t>2026-05-05</t>
        </is>
      </c>
      <c r="G158" t="inlineStr">
        <is>
          <t xml:space="preserve"> - No hay coche</t>
        </is>
      </c>
      <c r="H158">
        <f>HYPERLINK("https://booking.roadsurfer.com/es/rally/pick?pickup_date=2026-04-28&amp;return_date=2026-05-05&amp;currency=EUR&amp;startStation=2&amp;endStation=21",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Toulouse</t>
        </is>
      </c>
      <c r="E159" t="inlineStr">
        <is>
          <t>2026-03-31</t>
        </is>
      </c>
      <c r="F159" t="inlineStr">
        <is>
          <t>2026-04-07</t>
        </is>
      </c>
      <c r="G159" t="inlineStr">
        <is>
          <t xml:space="preserve"> - Family Finca</t>
        </is>
      </c>
      <c r="H159">
        <f>HYPERLINK("https://booking.roadsurfer.com/es/rally/pick?pickup_date=2026-03-31&amp;return_date=2026-04-07&amp;currency=EUR&amp;startStation=2&amp;endStation=30",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HYPERLINK("https://booking.roadsurfer.com/es/rally/pick?pickup_date=2026-04-20&amp;return_date=2026-04-27&amp;currency=EUR&amp;startStation=2&amp;endStation=32",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Turín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Cozy Cottage</t>
        </is>
      </c>
      <c r="H161">
        <f>HYPERLINK("https://booking.roadsurfer.com/es/rally/pick?pickup_date=2026-04-15&amp;return_date=2026-04-22&amp;currency=EUR&amp;startStation=2&amp;endStation=58",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Austria</t>
        </is>
      </c>
      <c r="D162" t="inlineStr">
        <is>
          <t>Viena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Cozy Cottage</t>
        </is>
      </c>
      <c r="H162">
        <f>HYPERLINK("https://booking.roadsurfer.com/es/rally/pick?pickup_date=2026-04-20&amp;return_date=2026-04-27&amp;currency=EUR&amp;startStation=2&amp;endStation=36",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Surfer Suite</t>
        </is>
      </c>
      <c r="H163">
        <f>HYPERLINK("https://booking.roadsurfer.com/es/rally/pick?pickup_date=2026-04-13&amp;return_date=2026-04-20&amp;currency=EUR&amp;startStation=9&amp;endStation=29",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2026-04-14</t>
        </is>
      </c>
      <c r="F164" t="inlineStr">
        <is>
          <t>2026-04-21</t>
        </is>
      </c>
      <c r="G164" t="inlineStr">
        <is>
          <t xml:space="preserve"> - Surfer Suite</t>
        </is>
      </c>
      <c r="H164">
        <f>HYPERLINK("https://booking.roadsurfer.com/es/rally/pick?pickup_date=2026-04-14&amp;return_date=2026-04-21&amp;currency=EUR&amp;startStation=9&amp;endStation=29",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2026-04-28</t>
        </is>
      </c>
      <c r="F165" t="inlineStr">
        <is>
          <t>2026-05-05</t>
        </is>
      </c>
      <c r="G165" t="inlineStr">
        <is>
          <t xml:space="preserve"> - Surfer Suite</t>
        </is>
      </c>
      <c r="H165">
        <f>HYPERLINK("https://booking.roadsurfer.com/es/rally/pick?pickup_date=2026-04-28&amp;return_date=2026-05-05&amp;currency=EUR&amp;startStation=9&amp;endStation=15",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No hay coche</t>
        </is>
      </c>
      <c r="H166">
        <f>HYPERLINK("https://booking.roadsurfer.com/es/rally/pick?pickup_date=2026-04-20&amp;return_date=2026-04-27&amp;currency=EUR&amp;startStation=9&amp;endStation=15",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2026-04-01</t>
        </is>
      </c>
      <c r="F167" t="inlineStr">
        <is>
          <t>2026-04-08</t>
        </is>
      </c>
      <c r="G167" t="inlineStr">
        <is>
          <t xml:space="preserve"> - Surfer Suite</t>
        </is>
      </c>
      <c r="H167">
        <f>HYPERLINK("https://booking.roadsurfer.com/es/rally/pick?pickup_date=2026-04-01&amp;return_date=2026-04-08&amp;currency=EUR&amp;startStation=9&amp;endStation=13",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Surfer Suite</t>
        </is>
      </c>
      <c r="H168">
        <f>HYPERLINK("https://booking.roadsurfer.com/es/rally/pick?pickup_date=2026-04-20&amp;return_date=2026-04-27&amp;currency=EUR&amp;startStation=9&amp;endStation=17",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Camper Cabin</t>
        </is>
      </c>
      <c r="H169">
        <f>HYPERLINK("https://booking.roadsurfer.com/es/rally/pick?pickup_date=2026-04-13&amp;return_date=2026-04-20&amp;currency=EUR&amp;startStation=9&amp;endStation=1",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Camper Cabin</t>
        </is>
      </c>
      <c r="H170">
        <f>HYPERLINK("https://booking.roadsurfer.com/es/rally/pick?pickup_date=2026-04-16&amp;return_date=2026-04-23&amp;currency=EUR&amp;startStation=9&amp;endStation=1",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HYPERLINK("https://booking.roadsurfer.com/es/rally/pick?pickup_date=2026-05-07&amp;return_date=2026-05-14&amp;currency=EUR&amp;startStation=9&amp;endStation=16",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Road House</t>
        </is>
      </c>
      <c r="H173">
        <f>HYPERLINK("https://booking.roadsurfer.com/es/rally/pick?pickup_date=2026-05-04&amp;return_date=2026-05-11&amp;currency=EUR&amp;startStation=29&amp;endStation=56",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Fráncfort</t>
        </is>
      </c>
      <c r="E174" t="inlineStr">
        <is>
          <t>2026-03-24</t>
        </is>
      </c>
      <c r="F174" t="inlineStr">
        <is>
          <t>2026-03-31</t>
        </is>
      </c>
      <c r="G174" t="inlineStr">
        <is>
          <t xml:space="preserve"> - Family Finca</t>
        </is>
      </c>
      <c r="H174">
        <f>HYPERLINK("https://booking.roadsurfer.com/es/rally/pick?pickup_date=2026-03-24&amp;return_date=2026-03-31&amp;currency=EUR&amp;startStation=29&amp;endStation=2",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2026-04-14</t>
        </is>
      </c>
      <c r="F175" t="inlineStr">
        <is>
          <t>2026-04-21</t>
        </is>
      </c>
      <c r="G175" t="inlineStr">
        <is>
          <t xml:space="preserve"> - Surfer Suite</t>
        </is>
      </c>
      <c r="H175">
        <f>HYPERLINK("https://booking.roadsurfer.com/es/rally/pick?pickup_date=2026-04-14&amp;return_date=2026-04-21&amp;currency=EUR&amp;startStation=29&amp;endStation=9",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 Aeropuerto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Surfer Suite</t>
        </is>
      </c>
      <c r="H176">
        <f>HYPERLINK("https://booking.roadsurfer.com/es/rally/pick?pickup_date=2026-04-23&amp;return_date=2026-04-30&amp;currency=EUR&amp;startStation=77&amp;endStation=65",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Surfer Suite</t>
        </is>
      </c>
      <c r="H183">
        <f>HYPERLINK("https://booking.roadsurfer.com/es/rally/pick?pickup_date=2026-03-24&amp;return_date=2026-03-31&amp;currency=EUR&amp;startStation=77&amp;endStation=22",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2026-03-26</t>
        </is>
      </c>
      <c r="F184" t="inlineStr">
        <is>
          <t>2026-04-02</t>
        </is>
      </c>
      <c r="G184" t="inlineStr">
        <is>
          <t xml:space="preserve"> - Couple Cottage</t>
        </is>
      </c>
      <c r="H184">
        <f>HYPERLINK("https://booking.roadsurfer.com/es/rally/pick?pickup_date=2026-03-26&amp;return_date=2026-04-02&amp;currency=EUR&amp;startStation=77&amp;endStation=22",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2026-03-25</t>
        </is>
      </c>
      <c r="F185" t="inlineStr">
        <is>
          <t>2026-04-01</t>
        </is>
      </c>
      <c r="G185" t="inlineStr">
        <is>
          <t xml:space="preserve"> - Surfer Suite - Family Finca</t>
        </is>
      </c>
      <c r="H185">
        <f>HYPERLINK("https://booking.roadsurfer.com/es/rally/pick?pickup_date=2026-03-25&amp;return_date=2026-04-01&amp;currency=EUR&amp;startStation=77&amp;endStation=91",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Camper Castle</t>
        </is>
      </c>
      <c r="H186">
        <f>HYPERLINK("https://booking.roadsurfer.com/es/rally/pick?pickup_date=2026-04-07&amp;return_date=2026-04-14&amp;currency=EUR&amp;startStation=77&amp;endStation=91",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Sunrise Suite</t>
        </is>
      </c>
      <c r="H187">
        <f>HYPERLINK("https://booking.roadsurfer.com/es/rally/pick?pickup_date=2026-04-14&amp;return_date=2026-04-21&amp;currency=EUR&amp;startStation=77&amp;endStation=91",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Dresde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Road House</t>
        </is>
      </c>
      <c r="H188">
        <f>HYPERLINK("https://booking.roadsurfer.com/es/rally/pick?pickup_date=2026-04-14&amp;return_date=2026-04-21&amp;currency=EUR&amp;startStation=37&amp;endStation=56",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Family Finca</t>
        </is>
      </c>
      <c r="H189">
        <f>HYPERLINK("https://booking.roadsurfer.com/es/rally/pick?pickup_date=2026-04-15&amp;return_date=2026-04-22&amp;currency=EUR&amp;startStation=37&amp;endStation=56",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Ratisbona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SURFER SUITE</t>
        </is>
      </c>
      <c r="H190">
        <f>HYPERLINK("https://booking.roadsurfer.com/es/rally/pick?pickup_date=2026-04-27&amp;return_date=2026-05-04&amp;currency=EUR&amp;startStation=37&amp;endStation=89",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2026-04-22</t>
        </is>
      </c>
      <c r="F191" t="inlineStr">
        <is>
          <t>2026-04-29</t>
        </is>
      </c>
      <c r="G191" t="inlineStr">
        <is>
          <t xml:space="preserve"> - Camper Cabin</t>
        </is>
      </c>
      <c r="H191">
        <f>HYPERLINK("https://booking.roadsurfer.com/es/rally/pick?pickup_date=2026-04-22&amp;return_date=2026-04-29&amp;currency=EUR&amp;startStation=37&amp;endStation=8",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Austria</t>
        </is>
      </c>
      <c r="D192" t="inlineStr">
        <is>
          <t>Salzburgo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Camper Cabin</t>
        </is>
      </c>
      <c r="H192">
        <f>HYPERLINK("https://booking.roadsurfer.com/es/rally/pick?pickup_date=2026-04-27&amp;return_date=2026-05-04&amp;currency=EUR&amp;startStation=37&amp;endStation=85",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2026-04-17</t>
        </is>
      </c>
      <c r="F193" t="inlineStr">
        <is>
          <t>2026-04-24</t>
        </is>
      </c>
      <c r="G193" t="inlineStr">
        <is>
          <t xml:space="preserve"> - No hay coche</t>
        </is>
      </c>
      <c r="H193">
        <f>HYPERLINK("https://booking.roadsurfer.com/es/rally/pick?pickup_date=2026-04-17&amp;return_date=2026-04-24&amp;currency=EUR&amp;startStation=3&amp;endStation=130",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No hay coche</t>
        </is>
      </c>
      <c r="H194">
        <f>HYPERLINK("https://booking.roadsurfer.com/es/rally/pick?pickup_date=2026-04-16&amp;return_date=2026-04-23&amp;currency=EUR&amp;startStation=3&amp;endStation=130",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2026-05-01</t>
        </is>
      </c>
      <c r="F195" t="inlineStr">
        <is>
          <t>2026-05-08</t>
        </is>
      </c>
      <c r="G195" t="inlineStr">
        <is>
          <t xml:space="preserve"> - No hay coche</t>
        </is>
      </c>
      <c r="H195">
        <f>HYPERLINK("https://booking.roadsurfer.com/es/rally/pick?pickup_date=2026-05-01&amp;return_date=2026-05-08&amp;currency=EUR&amp;startStation=3&amp;endStation=77",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Dresde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Cozy Cottage</t>
        </is>
      </c>
      <c r="H196">
        <f>HYPERLINK("https://booking.roadsurfer.com/es/rally/pick?pickup_date=2026-04-20&amp;return_date=2026-04-27&amp;currency=EUR&amp;startStation=3&amp;endStation=56",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Colonia-Düsseldorf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HYPERLINK("https://booking.roadsurfer.com/es/rally/pick?pickup_date=2026-05-04&amp;return_date=2026-05-11&amp;currency=EUR&amp;startStation=3&amp;endStation=4",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Núremberg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HYPERLINK("https://booking.roadsurfer.com/es/rally/pick?pickup_date=2026-05-04&amp;return_date=2026-05-11&amp;currency=EUR&amp;startStation=3&amp;endStation=11",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2026-03-30</t>
        </is>
      </c>
      <c r="F199" t="inlineStr">
        <is>
          <t>2026-04-06</t>
        </is>
      </c>
      <c r="G199" t="inlineStr">
        <is>
          <t xml:space="preserve"> - No hay coche</t>
        </is>
      </c>
      <c r="H199">
        <f>HYPERLINK("https://booking.roadsurfer.com/es/rally/pick?pickup_date=2026-03-30&amp;return_date=2026-04-06&amp;currency=EUR&amp;startStation=3&amp;endStation=59",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Alemania</t>
        </is>
      </c>
      <c r="D200" t="inlineStr">
        <is>
          <t>Aquisgrán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Beach Hostel</t>
        </is>
      </c>
      <c r="H200">
        <f>HYPERLINK("https://booking.roadsurfer.com/es/rally/pick?pickup_date=2026-04-20&amp;return_date=2026-04-27&amp;currency=EUR&amp;startStation=7&amp;endStation=114",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Road House</t>
        </is>
      </c>
      <c r="H201">
        <f>HYPERLINK("https://booking.roadsurfer.com/es/rally/pick?pickup_date=2026-04-16&amp;return_date=2026-04-23&amp;currency=EUR&amp;startStation=7&amp;endStation=34",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2026-03-30</t>
        </is>
      </c>
      <c r="F202" t="inlineStr">
        <is>
          <t>2026-04-06</t>
        </is>
      </c>
      <c r="G202" t="inlineStr">
        <is>
          <t xml:space="preserve"> - Camper Castle</t>
        </is>
      </c>
      <c r="H202">
        <f>HYPERLINK("https://booking.roadsurfer.com/es/rally/pick?pickup_date=2026-03-30&amp;return_date=2026-04-06&amp;currency=EUR&amp;startStation=7&amp;endStation=21",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2026-04-08</t>
        </is>
      </c>
      <c r="F203" t="inlineStr">
        <is>
          <t>2026-04-15</t>
        </is>
      </c>
      <c r="G203" t="inlineStr">
        <is>
          <t xml:space="preserve"> - Surfer Suite</t>
        </is>
      </c>
      <c r="H203">
        <f>HYPERLINK("https://booking.roadsurfer.com/es/rally/pick?pickup_date=2026-04-08&amp;return_date=2026-04-15&amp;currency=EUR&amp;startStation=79&amp;endStation=40",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Austria</t>
        </is>
      </c>
      <c r="D204" t="inlineStr">
        <is>
          <t>Innsbruck-Wiesing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Camper Cabin</t>
        </is>
      </c>
      <c r="H204">
        <f>HYPERLINK("https://booking.roadsurfer.com/es/rally/pick?pickup_date=2026-05-04&amp;return_date=2026-05-11&amp;currency=EUR&amp;startStation=79&amp;endStation=46",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2026-03-25</t>
        </is>
      </c>
      <c r="F205" t="inlineStr">
        <is>
          <t>2026-04-01</t>
        </is>
      </c>
      <c r="G205" t="inlineStr">
        <is>
          <t xml:space="preserve"> - Camper Castle</t>
        </is>
      </c>
      <c r="H205">
        <f>HYPERLINK("https://booking.roadsurfer.com/es/rally/pick?pickup_date=2026-03-25&amp;return_date=2026-04-01&amp;currency=EUR&amp;startStation=79&amp;endStation=36",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Italia</t>
        </is>
      </c>
      <c r="D206" t="inlineStr">
        <is>
          <t>Roma Aeropuerto Fiumicino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Beach Hostel</t>
        </is>
      </c>
      <c r="H206">
        <f>HYPERLINK("https://booking.roadsurfer.com/es/rally/pick?pickup_date=2026-04-27&amp;return_date=2026-05-04&amp;currency=EUR&amp;startStation=79&amp;endStation=35",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2026-04-09</t>
        </is>
      </c>
      <c r="F207" t="inlineStr">
        <is>
          <t>2026-04-16</t>
        </is>
      </c>
      <c r="G207" t="inlineStr">
        <is>
          <t xml:space="preserve"> - Surfer Suite</t>
        </is>
      </c>
      <c r="H207">
        <f>HYPERLINK("https://booking.roadsurfer.com/es/rally/pick?pickup_date=2026-04-09&amp;return_date=2026-04-16&amp;currency=EUR&amp;startStation=79&amp;endStation=5",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Alemania</t>
        </is>
      </c>
      <c r="D208" t="inlineStr">
        <is>
          <t>Tréveris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Surfer Suite</t>
        </is>
      </c>
      <c r="H208">
        <f>HYPERLINK("https://booking.roadsurfer.com/es/rally/pick?pickup_date=2026-04-27&amp;return_date=2026-05-04&amp;currency=EUR&amp;startStation=79&amp;endStation=28",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2026-04-07</t>
        </is>
      </c>
      <c r="F209" t="inlineStr">
        <is>
          <t>2026-04-14</t>
        </is>
      </c>
      <c r="G209" t="inlineStr">
        <is>
          <t xml:space="preserve"> - Road House</t>
        </is>
      </c>
      <c r="H209">
        <f>HYPERLINK("https://booking.roadsurfer.com/es/rally/pick?pickup_date=2026-04-07&amp;return_date=2026-04-14&amp;currency=EUR&amp;startStation=110&amp;endStation=31",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2026-04-01</t>
        </is>
      </c>
      <c r="F210" t="inlineStr">
        <is>
          <t>2026-04-08</t>
        </is>
      </c>
      <c r="G210" t="inlineStr">
        <is>
          <t xml:space="preserve"> - Surfer Suite - Family Finca</t>
        </is>
      </c>
      <c r="H210">
        <f>HYPERLINK("https://booking.roadsurfer.com/es/rally/pick?pickup_date=2026-04-01&amp;return_date=2026-04-08&amp;currency=EUR&amp;startStation=110&amp;endStation=31",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Alemania</t>
        </is>
      </c>
      <c r="D211" t="inlineStr">
        <is>
          <t>Flensburgo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No hay coche</t>
        </is>
      </c>
      <c r="H211">
        <f>HYPERLINK("https://booking.roadsurfer.com/es/rally/pick?pickup_date=2026-04-20&amp;return_date=2026-04-27&amp;currency=EUR&amp;startStation=111&amp;endStation=130",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2026-03-20</t>
        </is>
      </c>
      <c r="F212" t="inlineStr">
        <is>
          <t>2026-03-27</t>
        </is>
      </c>
      <c r="G212" t="inlineStr">
        <is>
          <t xml:space="preserve"> - Family Freedom</t>
        </is>
      </c>
      <c r="H212">
        <f>HYPERLINK("https://booking.roadsurfer.com/es/rally/pick?pickup_date=2026-03-20&amp;return_date=2026-03-27&amp;currency=EUR&amp;startStation=76&amp;endStation=107",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2026-03-27</t>
        </is>
      </c>
      <c r="F213" t="inlineStr">
        <is>
          <t>2026-04-03</t>
        </is>
      </c>
      <c r="G213" t="inlineStr">
        <is>
          <t xml:space="preserve"> - Family Freedom</t>
        </is>
      </c>
      <c r="H213">
        <f>HYPERLINK("https://booking.roadsurfer.com/es/rally/pick?pickup_date=2026-03-27&amp;return_date=2026-04-03&amp;currency=EUR&amp;startStation=76&amp;endStation=107",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Family Freedom</t>
        </is>
      </c>
      <c r="H214">
        <f>HYPERLINK("https://booking.roadsurfer.com/es/rally/pick?pickup_date=2026-04-13&amp;return_date=2026-04-20&amp;currency=EUR&amp;startStation=76&amp;endStation=107",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2026-03-25</t>
        </is>
      </c>
      <c r="F215" t="inlineStr">
        <is>
          <t>2026-04-01</t>
        </is>
      </c>
      <c r="G215" t="inlineStr">
        <is>
          <t xml:space="preserve"> - Liberty Lodge</t>
        </is>
      </c>
      <c r="H215">
        <f>HYPERLINK("https://booking.roadsurfer.com/es/rally/pick?pickup_date=2026-03-25&amp;return_date=2026-04-01&amp;currency=EUR&amp;startStation=76&amp;endStation=107",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Seattle</t>
        </is>
      </c>
      <c r="E216" t="inlineStr">
        <is>
          <t>2026-04-23</t>
        </is>
      </c>
      <c r="F216" t="inlineStr">
        <is>
          <t>2026-04-30</t>
        </is>
      </c>
      <c r="G216" t="inlineStr">
        <is>
          <t xml:space="preserve"> - Family Freedom</t>
        </is>
      </c>
      <c r="H216">
        <f>HYPERLINK("https://booking.roadsurfer.com/es/rally/pick?pickup_date=2026-04-23&amp;return_date=2026-04-30&amp;currency=EUR&amp;startStation=76&amp;endStation=107",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Seattle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Family Freedom</t>
        </is>
      </c>
      <c r="H217">
        <f>HYPERLINK("https://booking.roadsurfer.com/es/rally/pick?pickup_date=2026-04-16&amp;return_date=2026-04-23&amp;currency=EUR&amp;startStation=76&amp;endStation=107",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Denver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Couple Condo</t>
        </is>
      </c>
      <c r="H218">
        <f>HYPERLINK("https://booking.roadsurfer.com/es/rally/pick?pickup_date=2026-04-20&amp;return_date=2026-04-27&amp;currency=EUR&amp;startStation=76&amp;endStation=104",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Denver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Family Freedom</t>
        </is>
      </c>
      <c r="H219">
        <f>HYPERLINK("https://booking.roadsurfer.com/es/rally/pick?pickup_date=2026-04-29&amp;return_date=2026-05-06&amp;currency=EUR&amp;startStation=76&amp;endStation=104",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Denver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Family Freedom</t>
        </is>
      </c>
      <c r="H220">
        <f>HYPERLINK("https://booking.roadsurfer.com/es/rally/pick?pickup_date=2026-04-23&amp;return_date=2026-04-30&amp;currency=EUR&amp;startStation=76&amp;endStation=104",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HYPERLINK("https://booking.roadsurfer.com/es/rally/pick?pickup_date=2026-03-27&amp;return_date=2026-04-03&amp;currency=EUR&amp;startStation=8&amp;endStation=32",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No hay coche</t>
        </is>
      </c>
      <c r="H222">
        <f>HYPERLINK("https://booking.roadsurfer.com/es/rally/pick?pickup_date=2026-04-13&amp;return_date=2026-04-20&amp;currency=EUR&amp;startStation=8&amp;endStation=32",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2026-03-24</t>
        </is>
      </c>
      <c r="F223" t="inlineStr">
        <is>
          <t>2026-03-31</t>
        </is>
      </c>
      <c r="G223" t="inlineStr">
        <is>
          <t xml:space="preserve"> - Road House</t>
        </is>
      </c>
      <c r="H223">
        <f>HYPERLINK("https://booking.roadsurfer.com/es/rally/pick?pickup_date=2026-03-24&amp;return_date=2026-03-31&amp;currency=EUR&amp;startStation=8&amp;endStation=33",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2026-03-27</t>
        </is>
      </c>
      <c r="F224" t="inlineStr">
        <is>
          <t>2026-04-03</t>
        </is>
      </c>
      <c r="G224" t="inlineStr">
        <is>
          <t xml:space="preserve"> - Road House</t>
        </is>
      </c>
      <c r="H224">
        <f>HYPERLINK("https://booking.roadsurfer.com/es/rally/pick?pickup_date=2026-03-27&amp;return_date=2026-04-03&amp;currency=EUR&amp;startStation=8&amp;endStation=45",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Linz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Camper Castle</t>
        </is>
      </c>
      <c r="H225">
        <f>HYPERLINK("https://booking.roadsurfer.com/es/rally/pick?pickup_date=2026-04-20&amp;return_date=2026-04-27&amp;currency=EUR&amp;startStation=8&amp;endStation=116",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Road House</t>
        </is>
      </c>
      <c r="H226">
        <f>HYPERLINK("https://booking.roadsurfer.com/es/rally/pick?pickup_date=2026-03-27&amp;return_date=2026-04-03&amp;currency=EUR&amp;startStation=8&amp;endStation=94",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Family Finca</t>
        </is>
      </c>
      <c r="H227">
        <f>HYPERLINK("https://booking.roadsurfer.com/es/rally/pick?pickup_date=2026-05-04&amp;return_date=2026-05-11&amp;currency=EUR&amp;startStation=87&amp;endStation=91",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2026-03-30</t>
        </is>
      </c>
      <c r="F228" t="inlineStr">
        <is>
          <t>2026-04-06</t>
        </is>
      </c>
      <c r="G228" t="inlineStr">
        <is>
          <t xml:space="preserve"> - No hay coche</t>
        </is>
      </c>
      <c r="H228">
        <f>HYPERLINK("https://booking.roadsurfer.com/es/rally/pick?pickup_date=2026-03-30&amp;return_date=2026-04-06&amp;currency=EUR&amp;startStation=117&amp;endStation=13",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Cozy Cottage</t>
        </is>
      </c>
      <c r="H229">
        <f>HYPERLINK("https://booking.roadsurfer.com/es/rally/pick?pickup_date=2026-04-27&amp;return_date=2026-05-04&amp;currency=EUR&amp;startStation=117&amp;endStation=45",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Alemania</t>
        </is>
      </c>
      <c r="D230" t="inlineStr">
        <is>
          <t>Berlín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Cozy Cottage</t>
        </is>
      </c>
      <c r="H230">
        <f>HYPERLINK("https://booking.roadsurfer.com/es/rally/pick?pickup_date=2026-04-27&amp;return_date=2026-05-04&amp;currency=EUR&amp;startStation=117&amp;endStation=6",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HYPERLINK("https://booking.roadsurfer.com/es/rally/pick?pickup_date=2026-04-27&amp;return_date=2026-05-04&amp;currency=EUR&amp;startStation=109&amp;endStation=40",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Surfer Suite</t>
        </is>
      </c>
      <c r="H232">
        <f>HYPERLINK("https://booking.roadsurfer.com/es/rally/pick?pickup_date=2026-04-27&amp;return_date=2026-05-04&amp;currency=EUR&amp;startStation=109&amp;endStation=34",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2026-03-27</t>
        </is>
      </c>
      <c r="F233" t="inlineStr">
        <is>
          <t>2026-04-03</t>
        </is>
      </c>
      <c r="G233" t="inlineStr">
        <is>
          <t xml:space="preserve"> - No hay coche</t>
        </is>
      </c>
      <c r="H233">
        <f>HYPERLINK("https://booking.roadsurfer.com/es/rally/pick?pickup_date=2026-03-27&amp;return_date=2026-04-03&amp;currency=EUR&amp;startStation=15&amp;endStation=10",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Constanza (Aach)</t>
        </is>
      </c>
      <c r="E234" t="inlineStr">
        <is>
          <t>2026-03-24</t>
        </is>
      </c>
      <c r="F234" t="inlineStr">
        <is>
          <t>2026-03-31</t>
        </is>
      </c>
      <c r="G234" t="inlineStr">
        <is>
          <t xml:space="preserve"> - No hay coche</t>
        </is>
      </c>
      <c r="H234">
        <f>HYPERLINK("https://booking.roadsurfer.com/es/rally/pick?pickup_date=2026-03-24&amp;return_date=2026-03-31&amp;currency=EUR&amp;startStation=15&amp;endStation=10",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2026-04-11</t>
        </is>
      </c>
      <c r="F235" t="inlineStr">
        <is>
          <t>2026-04-18</t>
        </is>
      </c>
      <c r="G235" t="inlineStr">
        <is>
          <t xml:space="preserve"> - Camper Cabin</t>
        </is>
      </c>
      <c r="H235">
        <f>HYPERLINK("https://booking.roadsurfer.com/es/rally/pick?pickup_date=2026-04-11&amp;return_date=2026-04-18&amp;currency=EUR&amp;startStation=15&amp;endStation=1",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Friburgo-Basilea (Alemania)</t>
        </is>
      </c>
      <c r="E236" t="inlineStr">
        <is>
          <t>2026-04-15</t>
        </is>
      </c>
      <c r="F236" t="inlineStr">
        <is>
          <t>2026-04-22</t>
        </is>
      </c>
      <c r="G236" t="inlineStr">
        <is>
          <t xml:space="preserve"> - Couple Cottage</t>
        </is>
      </c>
      <c r="H236">
        <f>HYPERLINK("https://booking.roadsurfer.com/es/rally/pick?pickup_date=2026-04-15&amp;return_date=2026-04-22&amp;currency=EUR&amp;startStation=20&amp;endStation=9",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Maguncia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Couple Cottage</t>
        </is>
      </c>
      <c r="H237">
        <f>HYPERLINK("https://booking.roadsurfer.com/es/rally/pick?pickup_date=2026-05-04&amp;return_date=2026-05-11&amp;currency=EUR&amp;startStation=20&amp;endStation=54",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Karlsruhe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No hay coche</t>
        </is>
      </c>
      <c r="H238">
        <f>HYPERLINK("https://booking.roadsurfer.com/es/rally/pick?pickup_date=2026-05-04&amp;return_date=2026-05-11&amp;currency=EUR&amp;startStation=20&amp;endStation=110",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Lindau-Wangen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Family Finca</t>
        </is>
      </c>
      <c r="H239">
        <f>HYPERLINK("https://booking.roadsurfer.com/es/rally/pick?pickup_date=2026-04-23&amp;return_date=2026-04-30&amp;currency=EUR&amp;startStation=20&amp;endStation=117",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2026-03-30</t>
        </is>
      </c>
      <c r="F240" t="inlineStr">
        <is>
          <t>2026-04-06</t>
        </is>
      </c>
      <c r="G240" t="inlineStr">
        <is>
          <t xml:space="preserve"> - No hay coche</t>
        </is>
      </c>
      <c r="H240">
        <f>HYPERLINK("https://booking.roadsurfer.com/es/rally/pick?pickup_date=2026-03-30&amp;return_date=2026-04-06&amp;currency=EUR&amp;startStation=54&amp;endStation=13",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Family Finca</t>
        </is>
      </c>
      <c r="H241">
        <f>HYPERLINK("https://booking.roadsurfer.com/es/rally/pick?pickup_date=2026-04-09&amp;return_date=2026-04-16&amp;currency=EUR&amp;startStation=54&amp;endStation=30",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No hay coche</t>
        </is>
      </c>
      <c r="H242">
        <f>HYPERLINK("https://booking.roadsurfer.com/es/rally/pick?pickup_date=2026-04-13&amp;return_date=2026-04-20&amp;currency=EUR&amp;startStation=54&amp;endStation=29",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2026-04-08</t>
        </is>
      </c>
      <c r="F243" t="inlineStr">
        <is>
          <t>2026-04-15</t>
        </is>
      </c>
      <c r="G243" t="inlineStr">
        <is>
          <t xml:space="preserve"> - Camper Castle</t>
        </is>
      </c>
      <c r="H243">
        <f>HYPERLINK("https://booking.roadsurfer.com/es/rally/pick?pickup_date=2026-04-08&amp;return_date=2026-04-15&amp;currency=EUR&amp;startStation=54&amp;endStation=60", "Clic para verlo en la web de RoadSurfer")</f>
        <v/>
      </c>
    </row>
    <row r="244">
      <c r="A244" t="inlineStr">
        <is>
          <t>España</t>
        </is>
      </c>
      <c r="B244" t="inlineStr">
        <is>
          <t>Málaga</t>
        </is>
      </c>
      <c r="C244" t="inlineStr">
        <is>
          <t>Alemania</t>
        </is>
      </c>
      <c r="D244" t="inlineStr">
        <is>
          <t>Berlín-Schönefeld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Travel Home</t>
        </is>
      </c>
      <c r="H244">
        <f>HYPERLINK("https://booking.roadsurfer.com/es/rally/pick?pickup_date=2026-04-09&amp;return_date=2026-04-16&amp;currency=EUR&amp;startStation=21&amp;endStation=51",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2026-03-24</t>
        </is>
      </c>
      <c r="F245" t="inlineStr">
        <is>
          <t>2026-03-31</t>
        </is>
      </c>
      <c r="G245" t="inlineStr">
        <is>
          <t xml:space="preserve"> - Road House</t>
        </is>
      </c>
      <c r="H245">
        <f>HYPERLINK("https://booking.roadsurfer.com/es/rally/pick?pickup_date=2026-03-24&amp;return_date=2026-03-31&amp;currency=EUR&amp;startStation=60&amp;endStation=55",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2026-04-16</t>
        </is>
      </c>
      <c r="F246" t="inlineStr">
        <is>
          <t>2026-04-23</t>
        </is>
      </c>
      <c r="G246" t="inlineStr">
        <is>
          <t xml:space="preserve"> - Cozy Cottage</t>
        </is>
      </c>
      <c r="H246">
        <f>HYPERLINK("https://booking.roadsurfer.com/es/rally/pick?pickup_date=2026-04-16&amp;return_date=2026-04-23&amp;currency=EUR&amp;startStation=60&amp;endStation=55",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No hay coche</t>
        </is>
      </c>
      <c r="H247">
        <f>HYPERLINK("https://booking.roadsurfer.com/es/rally/pick?pickup_date=2026-04-20&amp;return_date=2026-04-27&amp;currency=EUR&amp;startStation=60&amp;endStation=130",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Hamburgo</t>
        </is>
      </c>
      <c r="E248" t="inlineStr">
        <is>
          <t>2026-03-28</t>
        </is>
      </c>
      <c r="F248" t="inlineStr">
        <is>
          <t>2026-04-04</t>
        </is>
      </c>
      <c r="G248" t="inlineStr">
        <is>
          <t xml:space="preserve"> - CAMPER CABIN DELUXE</t>
        </is>
      </c>
      <c r="H248">
        <f>HYPERLINK("https://booking.roadsurfer.com/es/rally/pick?pickup_date=2026-03-28&amp;return_date=2026-04-04&amp;currency=EUR&amp;startStation=60&amp;endStation=3",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Camper Castle</t>
        </is>
      </c>
      <c r="H249">
        <f>HYPERLINK("https://booking.roadsurfer.com/es/rally/pick?pickup_date=2026-04-20&amp;return_date=2026-04-27&amp;currency=EUR&amp;startStation=60&amp;endStation=5",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Berlín-Schönefeld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No hay coche</t>
        </is>
      </c>
      <c r="H250">
        <f>HYPERLINK("https://booking.roadsurfer.com/es/rally/pick?pickup_date=2026-03-27&amp;return_date=2026-04-03&amp;currency=EUR&amp;startStation=60&amp;endStation=51",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Family Finca</t>
        </is>
      </c>
      <c r="H251">
        <f>HYPERLINK("https://booking.roadsurfer.com/es/rally/pick?pickup_date=2026-04-15&amp;return_date=2026-04-22&amp;currency=EUR&amp;startStation=60&amp;endStation=51",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Bielefeld</t>
        </is>
      </c>
      <c r="E252" t="inlineStr">
        <is>
          <t>2026-04-14</t>
        </is>
      </c>
      <c r="F252" t="inlineStr">
        <is>
          <t>2026-04-21</t>
        </is>
      </c>
      <c r="G252" t="inlineStr">
        <is>
          <t xml:space="preserve"> - Family Finca</t>
        </is>
      </c>
      <c r="H252">
        <f>HYPERLINK("https://booking.roadsurfer.com/es/rally/pick?pickup_date=2026-04-14&amp;return_date=2026-04-21&amp;currency=EUR&amp;startStation=60&amp;endStation=91",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2026-03-28</t>
        </is>
      </c>
      <c r="F253" t="inlineStr">
        <is>
          <t>2026-04-04</t>
        </is>
      </c>
      <c r="G253" t="inlineStr">
        <is>
          <t xml:space="preserve"> - Surfer Suite</t>
        </is>
      </c>
      <c r="H253">
        <f>HYPERLINK("https://booking.roadsurfer.com/es/rally/pick?pickup_date=2026-03-28&amp;return_date=2026-04-04&amp;currency=EUR&amp;startStation=60&amp;endStation=91",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Surfer Suite</t>
        </is>
      </c>
      <c r="H254">
        <f>HYPERLINK("https://booking.roadsurfer.com/es/rally/pick?pickup_date=2026-04-09&amp;return_date=2026-04-16&amp;currency=EUR&amp;startStation=60&amp;endStation=7",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HYPERLINK("https://booking.roadsurfer.com/es/rally/pick?pickup_date=2026-03-30&amp;return_date=2026-04-06&amp;currency=EUR&amp;startStation=60&amp;endStation=52",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2026-04-07</t>
        </is>
      </c>
      <c r="F256" t="inlineStr">
        <is>
          <t>2026-04-14</t>
        </is>
      </c>
      <c r="G256" t="inlineStr">
        <is>
          <t xml:space="preserve"> - COZY COTTAGE</t>
        </is>
      </c>
      <c r="H256">
        <f>HYPERLINK("https://booking.roadsurfer.com/es/rally/pick?pickup_date=2026-04-07&amp;return_date=2026-04-14&amp;currency=EUR&amp;startStation=60&amp;endStation=90", "Clic para verlo en la web de RoadSurfer")</f>
        <v/>
      </c>
    </row>
    <row r="257">
      <c r="A257" t="inlineStr">
        <is>
          <t>Reino Unido</t>
        </is>
      </c>
      <c r="B257" t="inlineStr">
        <is>
          <t>Mánchester</t>
        </is>
      </c>
      <c r="C257" t="inlineStr">
        <is>
          <t>Reino Unido</t>
        </is>
      </c>
      <c r="D257" t="inlineStr">
        <is>
          <t>Londres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Couple Cottage</t>
        </is>
      </c>
      <c r="H257">
        <f>HYPERLINK("https://booking.roadsurfer.com/es/rally/pick?pickup_date=2026-04-20&amp;return_date=2026-04-27&amp;currency=EUR&amp;startStation=99&amp;endStation=63", "Clic para verlo en la web de RoadSurfer")</f>
        <v/>
      </c>
    </row>
    <row r="258">
      <c r="A258" t="inlineStr">
        <is>
          <t>Reino Unido</t>
        </is>
      </c>
      <c r="B258" t="inlineStr">
        <is>
          <t>Mánchester</t>
        </is>
      </c>
      <c r="C258" t="inlineStr">
        <is>
          <t>Reino Unido</t>
        </is>
      </c>
      <c r="D258" t="inlineStr">
        <is>
          <t>Edimburgo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Surfer Suite</t>
        </is>
      </c>
      <c r="H258">
        <f>HYPERLINK("https://booking.roadsurfer.com/es/rally/pick?pickup_date=2026-04-23&amp;return_date=2026-04-30&amp;currency=EUR&amp;startStation=99&amp;endStation=64",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2026-03-30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HYPERLINK("https://booking.roadsurfer.com/es/rally/pick?pickup_date=2026-03-30&amp;return_date=2026-04-06&amp;currency=EUR&amp;startStation=22&amp;endStation=31",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2026-04-30</t>
        </is>
      </c>
      <c r="F260" t="inlineStr">
        <is>
          <t>2026-05-07</t>
        </is>
      </c>
      <c r="G260" t="inlineStr">
        <is>
          <t xml:space="preserve"> - Surfer Suite</t>
        </is>
      </c>
      <c r="H260">
        <f>HYPERLINK("https://booking.roadsurfer.com/es/rally/pick?pickup_date=2026-04-30&amp;return_date=2026-05-07&amp;currency=EUR&amp;startStation=22&amp;endStation=31",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Beach Hostel</t>
        </is>
      </c>
      <c r="H261">
        <f>HYPERLINK("https://booking.roadsurfer.com/es/rally/pick?pickup_date=2026-03-27&amp;return_date=2026-04-03&amp;currency=EUR&amp;startStation=22&amp;endStation=31",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2026-04-28</t>
        </is>
      </c>
      <c r="F263" t="inlineStr">
        <is>
          <t>2026-05-05</t>
        </is>
      </c>
      <c r="G263" t="inlineStr">
        <is>
          <t xml:space="preserve"> - Family Finca</t>
        </is>
      </c>
      <c r="H263">
        <f>HYPERLINK("https://booking.roadsurfer.com/es/rally/pick?pickup_date=2026-04-28&amp;return_date=2026-05-05&amp;currency=EUR&amp;startStation=22&amp;endStation=31",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Surfer Suite</t>
        </is>
      </c>
      <c r="H264">
        <f>HYPERLINK("https://booking.roadsurfer.com/es/rally/pick?pickup_date=2026-03-25&amp;return_date=2026-04-01&amp;currency=EUR&amp;startStation=22&amp;endStation=48",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2026-03-26</t>
        </is>
      </c>
      <c r="F265" t="inlineStr">
        <is>
          <t>2026-04-02</t>
        </is>
      </c>
      <c r="G265" t="inlineStr">
        <is>
          <t xml:space="preserve"> - Surfer Suite</t>
        </is>
      </c>
      <c r="H265">
        <f>HYPERLINK("https://booking.roadsurfer.com/es/rally/pick?pickup_date=2026-03-26&amp;return_date=2026-04-02&amp;currency=EUR&amp;startStation=22&amp;endStation=77",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2026-04-07</t>
        </is>
      </c>
      <c r="F266" t="inlineStr">
        <is>
          <t>2026-04-14</t>
        </is>
      </c>
      <c r="G266" t="inlineStr">
        <is>
          <t xml:space="preserve"> - Camper Castle</t>
        </is>
      </c>
      <c r="H266">
        <f>HYPERLINK("https://booking.roadsurfer.com/es/rally/pick?pickup_date=2026-04-07&amp;return_date=2026-04-14&amp;currency=EUR&amp;startStation=22&amp;endStation=77",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Couple Cottage</t>
        </is>
      </c>
      <c r="H267">
        <f>HYPERLINK("https://booking.roadsurfer.com/es/rally/pick?pickup_date=2026-04-23&amp;return_date=2026-04-30&amp;currency=EUR&amp;startStation=22&amp;endStation=77",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Family Finca</t>
        </is>
      </c>
      <c r="H269">
        <f>HYPERLINK("https://booking.roadsurfer.com/es/rally/pick?pickup_date=2026-04-02&amp;return_date=2026-04-09&amp;currency=EUR&amp;startStation=22&amp;endStation=60",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2026-03-30</t>
        </is>
      </c>
      <c r="F270" t="inlineStr">
        <is>
          <t>2026-04-06</t>
        </is>
      </c>
      <c r="G270" t="inlineStr">
        <is>
          <t xml:space="preserve"> - No hay coche</t>
        </is>
      </c>
      <c r="H270">
        <f>HYPERLINK("https://booking.roadsurfer.com/es/rally/pick?pickup_date=2026-03-30&amp;return_date=2026-04-06&amp;currency=EUR&amp;startStation=22&amp;endStation=60",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2026-04-06</t>
        </is>
      </c>
      <c r="F271" t="inlineStr">
        <is>
          <t>2026-04-13</t>
        </is>
      </c>
      <c r="G271" t="inlineStr">
        <is>
          <t xml:space="preserve"> - Beach Hostel</t>
        </is>
      </c>
      <c r="H271">
        <f>HYPERLINK("https://booking.roadsurfer.com/es/rally/pick?pickup_date=2026-04-06&amp;return_date=2026-04-13&amp;currency=EUR&amp;startStation=22&amp;endStation=60",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2026-03-25</t>
        </is>
      </c>
      <c r="F272" t="inlineStr">
        <is>
          <t>2026-04-01</t>
        </is>
      </c>
      <c r="G272" t="inlineStr">
        <is>
          <t xml:space="preserve"> - Surfer Suite</t>
        </is>
      </c>
      <c r="H272">
        <f>HYPERLINK("https://booking.roadsurfer.com/es/rally/pick?pickup_date=2026-03-25&amp;return_date=2026-04-01&amp;currency=EUR&amp;startStation=22&amp;endStation=60",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2026-03-24</t>
        </is>
      </c>
      <c r="F273" t="inlineStr">
        <is>
          <t>2026-03-31</t>
        </is>
      </c>
      <c r="G273" t="inlineStr">
        <is>
          <t xml:space="preserve"> - Surfer Suite</t>
        </is>
      </c>
      <c r="H273">
        <f>HYPERLINK("https://booking.roadsurfer.com/es/rally/pick?pickup_date=2026-03-24&amp;return_date=2026-03-31&amp;currency=EUR&amp;startStation=22&amp;endStation=60",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2026-04-02</t>
        </is>
      </c>
      <c r="F274" t="inlineStr">
        <is>
          <t>2026-04-09</t>
        </is>
      </c>
      <c r="G274" t="inlineStr">
        <is>
          <t xml:space="preserve"> - Surfer Suite</t>
        </is>
      </c>
      <c r="H274">
        <f>HYPERLINK("https://booking.roadsurfer.com/es/rally/pick?pickup_date=2026-04-02&amp;return_date=2026-04-09&amp;currency=EUR&amp;startStation=22&amp;endStation=12",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2026-03-26</t>
        </is>
      </c>
      <c r="F275" t="inlineStr">
        <is>
          <t>2026-04-02</t>
        </is>
      </c>
      <c r="G275" t="inlineStr">
        <is>
          <t xml:space="preserve"> - Surfer Suite - Beach Hostel</t>
        </is>
      </c>
      <c r="H275">
        <f>HYPERLINK("https://booking.roadsurfer.com/es/rally/pick?pickup_date=2026-03-26&amp;return_date=2026-04-02&amp;currency=EUR&amp;startStation=22&amp;endStation=94",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Turín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HYPERLINK("https://booking.roadsurfer.com/es/rally/pick?pickup_date=2026-03-30&amp;return_date=2026-04-06&amp;currency=EUR&amp;startStation=22&amp;endStation=58",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Beach Hostel</t>
        </is>
      </c>
      <c r="H278">
        <f>HYPERLINK("https://booking.roadsurfer.com/es/rally/pick?pickup_date=2026-03-27&amp;return_date=2026-04-03&amp;currency=EUR&amp;startStation=22&amp;endStation=16",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Surfer Suite</t>
        </is>
      </c>
      <c r="H279">
        <f>HYPERLINK("https://booking.roadsurfer.com/es/rally/pick?pickup_date=2026-03-26&amp;return_date=2026-04-02&amp;currency=EUR&amp;startStation=22&amp;endStation=16",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2026-03-28</t>
        </is>
      </c>
      <c r="F280" t="inlineStr">
        <is>
          <t>2026-04-04</t>
        </is>
      </c>
      <c r="G280" t="inlineStr">
        <is>
          <t xml:space="preserve"> - No hay coche</t>
        </is>
      </c>
      <c r="H280">
        <f>HYPERLINK("https://booking.roadsurfer.com/es/rally/pick?pickup_date=2026-03-28&amp;return_date=2026-04-04&amp;currency=EUR&amp;startStation=22&amp;endStation=40",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2026-03-24</t>
        </is>
      </c>
      <c r="F281" t="inlineStr">
        <is>
          <t>2026-03-31</t>
        </is>
      </c>
      <c r="G281" t="inlineStr">
        <is>
          <t xml:space="preserve"> - Surfer Suite</t>
        </is>
      </c>
      <c r="H281">
        <f>HYPERLINK("https://booking.roadsurfer.com/es/rally/pick?pickup_date=2026-03-24&amp;return_date=2026-03-31&amp;currency=EUR&amp;startStation=22&amp;endStation=40",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2026-04-06</t>
        </is>
      </c>
      <c r="F282" t="inlineStr">
        <is>
          <t>2026-04-13</t>
        </is>
      </c>
      <c r="G282" t="inlineStr">
        <is>
          <t xml:space="preserve"> - Surfer Suite</t>
        </is>
      </c>
      <c r="H282">
        <f>HYPERLINK("https://booking.roadsurfer.com/es/rally/pick?pickup_date=2026-04-06&amp;return_date=2026-04-13&amp;currency=EUR&amp;startStation=22&amp;endStation=40",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HYPERLINK("https://booking.roadsurfer.com/es/rally/pick?pickup_date=2026-03-30&amp;return_date=2026-04-06&amp;currency=EUR&amp;startStation=22&amp;endStation=30",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Surfer Suite</t>
        </is>
      </c>
      <c r="H284">
        <f>HYPERLINK("https://booking.roadsurfer.com/es/rally/pick?pickup_date=2026-03-27&amp;return_date=2026-04-03&amp;currency=EUR&amp;startStation=22&amp;endStation=30",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2026-03-30</t>
        </is>
      </c>
      <c r="F285" t="inlineStr">
        <is>
          <t>2026-04-06</t>
        </is>
      </c>
      <c r="G285" t="inlineStr">
        <is>
          <t xml:space="preserve"> - No hay coche</t>
        </is>
      </c>
      <c r="H285">
        <f>HYPERLINK("https://booking.roadsurfer.com/es/rally/pick?pickup_date=2026-03-30&amp;return_date=2026-04-06&amp;currency=EUR&amp;startStation=22&amp;endStation=29",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Roma Aeropuerto Fiumicino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Surfer Suite</t>
        </is>
      </c>
      <c r="H286">
        <f>HYPERLINK("https://booking.roadsurfer.com/es/rally/pick?pickup_date=2026-03-26&amp;return_date=2026-04-02&amp;currency=EUR&amp;startStation=22&amp;endStation=35",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Surfer Suite</t>
        </is>
      </c>
      <c r="H287">
        <f>HYPERLINK("https://booking.roadsurfer.com/es/rally/pick?pickup_date=2026-03-27&amp;return_date=2026-04-03&amp;currency=EUR&amp;startStation=22&amp;endStation=15",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2026-03-25</t>
        </is>
      </c>
      <c r="F288" t="inlineStr">
        <is>
          <t>2026-04-01</t>
        </is>
      </c>
      <c r="G288" t="inlineStr">
        <is>
          <t xml:space="preserve"> - Surfer Suite</t>
        </is>
      </c>
      <c r="H288">
        <f>HYPERLINK("https://booking.roadsurfer.com/es/rally/pick?pickup_date=2026-03-25&amp;return_date=2026-04-01&amp;currency=EUR&amp;startStation=22&amp;endStation=45",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2026-04-22</t>
        </is>
      </c>
      <c r="F289" t="inlineStr">
        <is>
          <t>2026-04-29</t>
        </is>
      </c>
      <c r="G289" t="inlineStr">
        <is>
          <t xml:space="preserve"> - Surfer Suite</t>
        </is>
      </c>
      <c r="H289">
        <f>HYPERLINK("https://booking.roadsurfer.com/es/rally/pick?pickup_date=2026-04-22&amp;return_date=2026-04-29&amp;currency=EUR&amp;startStation=22&amp;endStation=47",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2026-03-29</t>
        </is>
      </c>
      <c r="F290" t="inlineStr">
        <is>
          <t>2026-04-05</t>
        </is>
      </c>
      <c r="G290" t="inlineStr">
        <is>
          <t xml:space="preserve"> - No hay coche</t>
        </is>
      </c>
      <c r="H290">
        <f>HYPERLINK("https://booking.roadsurfer.com/es/rally/pick?pickup_date=2026-03-29&amp;return_date=2026-04-05&amp;currency=EUR&amp;startStation=22&amp;endStation=47",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2026-03-30</t>
        </is>
      </c>
      <c r="F291" t="inlineStr">
        <is>
          <t>2026-04-06</t>
        </is>
      </c>
      <c r="G291" t="inlineStr">
        <is>
          <t xml:space="preserve"> - Surfer Suite</t>
        </is>
      </c>
      <c r="H291">
        <f>HYPERLINK("https://booking.roadsurfer.com/es/rally/pick?pickup_date=2026-03-30&amp;return_date=2026-04-06&amp;currency=EUR&amp;startStation=22&amp;endStation=21",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2026-03-26</t>
        </is>
      </c>
      <c r="F292" t="inlineStr">
        <is>
          <t>2026-04-02</t>
        </is>
      </c>
      <c r="G292" t="inlineStr">
        <is>
          <t xml:space="preserve"> - Road House - Family Finca</t>
        </is>
      </c>
      <c r="H292">
        <f>HYPERLINK("https://booking.roadsurfer.com/es/rally/pick?pickup_date=2026-03-26&amp;return_date=2026-04-02&amp;currency=EUR&amp;startStation=22&amp;endStation=59",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2026-03-27</t>
        </is>
      </c>
      <c r="F293" t="inlineStr">
        <is>
          <t>2026-04-03</t>
        </is>
      </c>
      <c r="G293" t="inlineStr">
        <is>
          <t xml:space="preserve"> - No hay coche</t>
        </is>
      </c>
      <c r="H293">
        <f>HYPERLINK("https://booking.roadsurfer.com/es/rally/pick?pickup_date=2026-03-27&amp;return_date=2026-04-03&amp;currency=EUR&amp;startStation=22&amp;endStation=59",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Camper Castle</t>
        </is>
      </c>
      <c r="H295">
        <f>HYPERLINK("https://booking.roadsurfer.com/es/rally/pick?pickup_date=2026-05-18&amp;return_date=2026-05-25&amp;currency=EUR&amp;startStation=22&amp;endStation=59",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BEACH HOSTEL</t>
        </is>
      </c>
      <c r="H296">
        <f>HYPERLINK("https://booking.roadsurfer.com/es/rally/pick?pickup_date=2026-03-25&amp;return_date=2026-04-01&amp;currency=EUR&amp;startStation=22&amp;endStation=17",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Sunrise Suite</t>
        </is>
      </c>
      <c r="H297">
        <f>HYPERLINK("https://booking.roadsurfer.com/es/rally/pick?pickup_date=2026-04-13&amp;return_date=2026-04-20&amp;currency=EUR&amp;startStation=22&amp;endStation=17",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2026-04-12</t>
        </is>
      </c>
      <c r="F298" t="inlineStr">
        <is>
          <t>2026-04-19</t>
        </is>
      </c>
      <c r="G298" t="inlineStr">
        <is>
          <t xml:space="preserve"> - No hay coche</t>
        </is>
      </c>
      <c r="H298">
        <f>HYPERLINK("https://booking.roadsurfer.com/es/rally/pick?pickup_date=2026-04-12&amp;return_date=2026-04-19&amp;currency=EUR&amp;startStation=22&amp;endStation=17",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2026-03-26</t>
        </is>
      </c>
      <c r="F299" t="inlineStr">
        <is>
          <t>2026-04-02</t>
        </is>
      </c>
      <c r="G299" t="inlineStr">
        <is>
          <t xml:space="preserve"> - No hay coche</t>
        </is>
      </c>
      <c r="H299">
        <f>HYPERLINK("https://booking.roadsurfer.com/es/rally/pick?pickup_date=2026-03-26&amp;return_date=2026-04-02&amp;currency=EUR&amp;startStation=22&amp;endStation=17",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2026-04-16</t>
        </is>
      </c>
      <c r="F300" t="inlineStr">
        <is>
          <t>2026-04-23</t>
        </is>
      </c>
      <c r="G300" t="inlineStr">
        <is>
          <t xml:space="preserve"> - Surfer Suite</t>
        </is>
      </c>
      <c r="H300">
        <f>HYPERLINK("https://booking.roadsurfer.com/es/rally/pick?pickup_date=2026-04-16&amp;return_date=2026-04-23&amp;currency=EUR&amp;startStation=22&amp;endStation=17",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2026-03-27</t>
        </is>
      </c>
      <c r="F301" t="inlineStr">
        <is>
          <t>2026-04-03</t>
        </is>
      </c>
      <c r="G301" t="inlineStr">
        <is>
          <t xml:space="preserve"> - Beach Hostel</t>
        </is>
      </c>
      <c r="H301">
        <f>HYPERLINK("https://booking.roadsurfer.com/es/rally/pick?pickup_date=2026-03-27&amp;return_date=2026-04-03&amp;currency=EUR&amp;startStation=22&amp;endStation=87",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2026-03-26</t>
        </is>
      </c>
      <c r="F302" t="inlineStr">
        <is>
          <t>2026-04-02</t>
        </is>
      </c>
      <c r="G302" t="inlineStr">
        <is>
          <t xml:space="preserve"> - Beach Hostel</t>
        </is>
      </c>
      <c r="H302">
        <f>HYPERLINK("https://booking.roadsurfer.com/es/rally/pick?pickup_date=2026-03-26&amp;return_date=2026-04-02&amp;currency=EUR&amp;startStation=22&amp;endStation=87",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Milán</t>
        </is>
      </c>
      <c r="E303" t="inlineStr">
        <is>
          <t>2026-03-27</t>
        </is>
      </c>
      <c r="F303" t="inlineStr">
        <is>
          <t>2026-04-03</t>
        </is>
      </c>
      <c r="G303" t="inlineStr">
        <is>
          <t xml:space="preserve"> - No hay coche</t>
        </is>
      </c>
      <c r="H303">
        <f>HYPERLINK("https://booking.roadsurfer.com/es/rally/pick?pickup_date=2026-03-27&amp;return_date=2026-04-03&amp;currency=EUR&amp;startStation=22&amp;endStation=34",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Viena</t>
        </is>
      </c>
      <c r="E304" t="inlineStr">
        <is>
          <t>2026-04-08</t>
        </is>
      </c>
      <c r="F304" t="inlineStr">
        <is>
          <t>2026-04-15</t>
        </is>
      </c>
      <c r="G304" t="inlineStr">
        <is>
          <t xml:space="preserve"> - Beach Hostel</t>
        </is>
      </c>
      <c r="H304">
        <f>HYPERLINK("https://booking.roadsurfer.com/es/rally/pick?pickup_date=2026-04-08&amp;return_date=2026-04-15&amp;currency=EUR&amp;startStation=22&amp;endStation=36",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2026-03-30</t>
        </is>
      </c>
      <c r="F305" t="inlineStr">
        <is>
          <t>2026-04-06</t>
        </is>
      </c>
      <c r="G305" t="inlineStr">
        <is>
          <t xml:space="preserve"> - No hay coche</t>
        </is>
      </c>
      <c r="H305">
        <f>HYPERLINK("https://booking.roadsurfer.com/es/rally/pick?pickup_date=2026-03-30&amp;return_date=2026-04-06&amp;currency=EUR&amp;startStation=22&amp;endStation=36",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Florencia</t>
        </is>
      </c>
      <c r="E306" t="inlineStr">
        <is>
          <t>2026-04-24</t>
        </is>
      </c>
      <c r="F306" t="inlineStr">
        <is>
          <t>2026-05-01</t>
        </is>
      </c>
      <c r="G306" t="inlineStr">
        <is>
          <t xml:space="preserve"> - No hay coche</t>
        </is>
      </c>
      <c r="H306">
        <f>HYPERLINK("https://booking.roadsurfer.com/es/rally/pick?pickup_date=2026-04-24&amp;return_date=2026-05-01&amp;currency=EUR&amp;startStation=22&amp;endStation=80",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Florencia</t>
        </is>
      </c>
      <c r="E307" t="inlineStr">
        <is>
          <t>2026-04-06</t>
        </is>
      </c>
      <c r="F307" t="inlineStr">
        <is>
          <t>2026-04-13</t>
        </is>
      </c>
      <c r="G307" t="inlineStr">
        <is>
          <t xml:space="preserve"> - Beach Hostel</t>
        </is>
      </c>
      <c r="H307">
        <f>HYPERLINK("https://booking.roadsurfer.com/es/rally/pick?pickup_date=2026-04-06&amp;return_date=2026-04-13&amp;currency=EUR&amp;startStation=22&amp;endStation=80",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2026-03-27</t>
        </is>
      </c>
      <c r="F308" t="inlineStr">
        <is>
          <t>2026-04-03</t>
        </is>
      </c>
      <c r="G308" t="inlineStr">
        <is>
          <t xml:space="preserve"> - Camper Cabin</t>
        </is>
      </c>
      <c r="H308">
        <f>HYPERLINK("https://booking.roadsurfer.com/es/rally/pick?pickup_date=2026-03-27&amp;return_date=2026-04-03&amp;currency=EUR&amp;startStation=22&amp;endStation=13",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2026-03-25</t>
        </is>
      </c>
      <c r="F309" t="inlineStr">
        <is>
          <t>2026-04-01</t>
        </is>
      </c>
      <c r="G309" t="inlineStr">
        <is>
          <t xml:space="preserve"> - Road House</t>
        </is>
      </c>
      <c r="H309">
        <f>HYPERLINK("https://booking.roadsurfer.com/es/rally/pick?pickup_date=2026-03-25&amp;return_date=2026-04-01&amp;currency=EUR&amp;startStation=22&amp;endStation=39", "Clic para verlo en la web de RoadSurfer")</f>
        <v/>
      </c>
    </row>
    <row r="310">
      <c r="A310" t="inlineStr">
        <is>
          <t>Italia</t>
        </is>
      </c>
      <c r="B310" t="inlineStr">
        <is>
          <t>Milán</t>
        </is>
      </c>
      <c r="C310" t="inlineStr">
        <is>
          <t>Alemania</t>
        </is>
      </c>
      <c r="D310" t="inlineStr">
        <is>
          <t>Wurzburgo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No hay coche</t>
        </is>
      </c>
      <c r="H310">
        <f>HYPERLINK("https://booking.roadsurfer.com/es/rally/pick?pickup_date=2026-05-04&amp;return_date=2026-05-11&amp;currency=EUR&amp;startStation=34&amp;endStation=115",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Niza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Surfer Suite</t>
        </is>
      </c>
      <c r="H311">
        <f>HYPERLINK("https://booking.roadsurfer.com/es/rally/pick?pickup_date=2026-04-23&amp;return_date=2026-04-30&amp;currency=EUR&amp;startStation=1&amp;endStation=88",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2026-04-09</t>
        </is>
      </c>
      <c r="F312" t="inlineStr">
        <is>
          <t>2026-04-16</t>
        </is>
      </c>
      <c r="G312" t="inlineStr"/>
      <c r="H312">
        <f>HYPERLINK("https://booking.roadsurfer.com/es/rally/pick?pickup_date=2026-04-09&amp;return_date=2026-04-16&amp;currency=EUR&amp;startStation=1&amp;endStation=87",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Lille</t>
        </is>
      </c>
      <c r="E313" t="inlineStr">
        <is>
          <t>2026-03-27</t>
        </is>
      </c>
      <c r="F313" t="inlineStr">
        <is>
          <t>2026-04-03</t>
        </is>
      </c>
      <c r="G313" t="inlineStr">
        <is>
          <t xml:space="preserve"> - Road House</t>
        </is>
      </c>
      <c r="H313">
        <f>HYPERLINK("https://booking.roadsurfer.com/es/rally/pick?pickup_date=2026-03-27&amp;return_date=2026-04-03&amp;currency=EUR&amp;startStation=1&amp;endStation=87",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2026-03-24</t>
        </is>
      </c>
      <c r="F314" t="inlineStr">
        <is>
          <t>2026-03-31</t>
        </is>
      </c>
      <c r="G314" t="inlineStr">
        <is>
          <t xml:space="preserve"> - Road House</t>
        </is>
      </c>
      <c r="H314">
        <f>HYPERLINK("https://booking.roadsurfer.com/es/rally/pick?pickup_date=2026-03-24&amp;return_date=2026-03-31&amp;currency=EUR&amp;startStation=1&amp;endStation=20",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Estrasburgo</t>
        </is>
      </c>
      <c r="E315" t="inlineStr">
        <is>
          <t>2026-03-24</t>
        </is>
      </c>
      <c r="F315" t="inlineStr">
        <is>
          <t>2026-03-31</t>
        </is>
      </c>
      <c r="G315" t="inlineStr">
        <is>
          <t xml:space="preserve"> - Camper Castle</t>
        </is>
      </c>
      <c r="H315">
        <f>HYPERLINK("https://booking.roadsurfer.com/es/rally/pick?pickup_date=2026-03-24&amp;return_date=2026-03-31&amp;currency=EUR&amp;startStation=1&amp;endStation=49",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2026-04-16</t>
        </is>
      </c>
      <c r="F316" t="inlineStr">
        <is>
          <t>2026-04-23</t>
        </is>
      </c>
      <c r="G316" t="inlineStr"/>
      <c r="H316">
        <f>HYPERLINK("https://booking.roadsurfer.com/es/rally/pick?pickup_date=2026-04-16&amp;return_date=2026-04-23&amp;currency=EUR&amp;startStation=1&amp;endStation=31",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Camper Castle</t>
        </is>
      </c>
      <c r="H317">
        <f>HYPERLINK("https://booking.roadsurfer.com/es/rally/pick?pickup_date=2026-04-13&amp;return_date=2026-04-20&amp;currency=EUR&amp;startStation=1&amp;endStation=45",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Family Finca</t>
        </is>
      </c>
      <c r="H318">
        <f>HYPERLINK("https://booking.roadsurfer.com/es/rally/pick?pickup_date=2026-04-16&amp;return_date=2026-04-23&amp;currency=EUR&amp;startStation=1&amp;endStation=34",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Alemania</t>
        </is>
      </c>
      <c r="D319" t="inlineStr">
        <is>
          <t>Flensburgo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No hay coche</t>
        </is>
      </c>
      <c r="H319">
        <f>HYPERLINK("https://booking.roadsurfer.com/es/rally/pick?pickup_date=2026-04-20&amp;return_date=2026-04-27&amp;currency=EUR&amp;startStation=1&amp;endStation=130",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2026-04-09</t>
        </is>
      </c>
      <c r="F320" t="inlineStr">
        <is>
          <t>2026-04-16</t>
        </is>
      </c>
      <c r="G320" t="inlineStr">
        <is>
          <t xml:space="preserve"> - Couple Cottage</t>
        </is>
      </c>
      <c r="H320">
        <f>HYPERLINK("https://booking.roadsurfer.com/es/rally/pick?pickup_date=2026-04-09&amp;return_date=2026-04-16&amp;currency=EUR&amp;startStation=1&amp;endStation=47",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Alemania</t>
        </is>
      </c>
      <c r="D321" t="inlineStr">
        <is>
          <t>Bochum</t>
        </is>
      </c>
      <c r="E321" t="inlineStr">
        <is>
          <t>2026-03-27</t>
        </is>
      </c>
      <c r="F321" t="inlineStr">
        <is>
          <t>2026-04-03</t>
        </is>
      </c>
      <c r="G321" t="inlineStr">
        <is>
          <t xml:space="preserve"> - No hay coche</t>
        </is>
      </c>
      <c r="H321">
        <f>HYPERLINK("https://booking.roadsurfer.com/es/rally/pick?pickup_date=2026-03-27&amp;return_date=2026-04-03&amp;currency=EUR&amp;startStation=1&amp;endStation=24",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2026-04-17</t>
        </is>
      </c>
      <c r="F322" t="inlineStr">
        <is>
          <t>2026-04-24</t>
        </is>
      </c>
      <c r="G322" t="inlineStr"/>
      <c r="H322">
        <f>HYPERLINK("https://booking.roadsurfer.com/es/rally/pick?pickup_date=2026-04-17&amp;return_date=2026-04-24&amp;currency=EUR&amp;startStation=1&amp;endStation=13",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2026-04-20</t>
        </is>
      </c>
      <c r="F323" t="inlineStr">
        <is>
          <t>2026-04-27</t>
        </is>
      </c>
      <c r="G323" t="inlineStr"/>
      <c r="H323">
        <f>HYPERLINK("https://booking.roadsurfer.com/es/rally/pick?pickup_date=2026-04-20&amp;return_date=2026-04-27&amp;currency=EUR&amp;startStation=1&amp;endStation=12", "Clic para verlo en la web de RoadSurfer")</f>
        <v/>
      </c>
    </row>
    <row r="324">
      <c r="A324" t="inlineStr">
        <is>
          <t>Alemania</t>
        </is>
      </c>
      <c r="B324" t="inlineStr">
        <is>
          <t>Núremberg</t>
        </is>
      </c>
      <c r="C324" t="inlineStr">
        <is>
          <t>Francia</t>
        </is>
      </c>
      <c r="D324" t="inlineStr">
        <is>
          <t>Toulouse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Camper Castle</t>
        </is>
      </c>
      <c r="H324">
        <f>HYPERLINK("https://booking.roadsurfer.com/es/rally/pick?pickup_date=2026-04-14&amp;return_date=2026-04-21&amp;currency=EUR&amp;startStation=11&amp;endStation=30",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Aquisgrán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Camper Cabin</t>
        </is>
      </c>
      <c r="H325">
        <f>HYPERLINK("https://booking.roadsurfer.com/es/rally/pick?pickup_date=2026-05-04&amp;return_date=2026-05-11&amp;currency=EUR&amp;startStation=12&amp;endStation=114", "Clic para verlo en la web de RoadSurfer")</f>
        <v/>
      </c>
    </row>
    <row r="326">
      <c r="A326" t="inlineStr">
        <is>
          <t>Francia</t>
        </is>
      </c>
      <c r="B326" t="inlineStr">
        <is>
          <t>París Aeropuerto CDG</t>
        </is>
      </c>
      <c r="C326" t="inlineStr">
        <is>
          <t>Francia</t>
        </is>
      </c>
      <c r="D326" t="inlineStr">
        <is>
          <t>Aix-Marsella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Couple Cottage</t>
        </is>
      </c>
      <c r="H326">
        <f>HYPERLINK("https://booking.roadsurfer.com/es/rally/pick?pickup_date=2026-04-20&amp;return_date=2026-04-27&amp;currency=EUR&amp;startStation=48&amp;endStation=16", "Clic para verlo en la web de RoadSurfer")</f>
        <v/>
      </c>
    </row>
    <row r="327">
      <c r="A327" t="inlineStr">
        <is>
          <t>EE.UU.</t>
        </is>
      </c>
      <c r="B327" t="inlineStr">
        <is>
          <t>Phoenix</t>
        </is>
      </c>
      <c r="C327" t="inlineStr">
        <is>
          <t>EE.UU.</t>
        </is>
      </c>
      <c r="D327" t="inlineStr">
        <is>
          <t>Dallas</t>
        </is>
      </c>
      <c r="E327" t="inlineStr">
        <is>
          <t>2026-03-31</t>
        </is>
      </c>
      <c r="F327" t="inlineStr">
        <is>
          <t>2026-04-07</t>
        </is>
      </c>
      <c r="G327" t="inlineStr">
        <is>
          <t xml:space="preserve"> - Couple Condo</t>
        </is>
      </c>
      <c r="H327">
        <f>HYPERLINK("https://booking.roadsurfer.com/es/rally/pick?pickup_date=2026-03-31&amp;return_date=2026-04-07&amp;currency=EUR&amp;startStation=105&amp;endStation=125", "Clic para verlo en la web de RoadSurfer")</f>
        <v/>
      </c>
    </row>
    <row r="328">
      <c r="A328" t="inlineStr">
        <is>
          <t>Alemania</t>
        </is>
      </c>
      <c r="B328" t="inlineStr">
        <is>
          <t>Ratisbona</t>
        </is>
      </c>
      <c r="C328" t="inlineStr">
        <is>
          <t>Alemania</t>
        </is>
      </c>
      <c r="D328" t="inlineStr">
        <is>
          <t>Bremen</t>
        </is>
      </c>
      <c r="E328" t="inlineStr">
        <is>
          <t>2026-03-30</t>
        </is>
      </c>
      <c r="F328" t="inlineStr">
        <is>
          <t>2026-04-06</t>
        </is>
      </c>
      <c r="G328" t="inlineStr">
        <is>
          <t xml:space="preserve"> - No hay coche</t>
        </is>
      </c>
      <c r="H328">
        <f>HYPERLINK("https://booking.roadsurfer.com/es/rally/pick?pickup_date=2026-03-30&amp;return_date=2026-04-06&amp;currency=EUR&amp;startStation=89&amp;endStation=55", "Clic para verlo en la web de RoadSurfer")</f>
        <v/>
      </c>
    </row>
    <row r="329">
      <c r="A329" t="inlineStr">
        <is>
          <t>Alemania</t>
        </is>
      </c>
      <c r="B329" t="inlineStr">
        <is>
          <t>Ratisbona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Surfer Suite</t>
        </is>
      </c>
      <c r="H329">
        <f>HYPERLINK("https://booking.roadsurfer.com/es/rally/pick?pickup_date=2026-04-27&amp;return_date=2026-05-04&amp;currency=EUR&amp;startStation=89&amp;endStation=110", "Clic para verlo en la web de RoadSurfer")</f>
        <v/>
      </c>
    </row>
    <row r="330">
      <c r="A330" t="inlineStr">
        <is>
          <t>España</t>
        </is>
      </c>
      <c r="B330" t="inlineStr">
        <is>
          <t>Sevilla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2026-04-07</t>
        </is>
      </c>
      <c r="F330" t="inlineStr">
        <is>
          <t>2026-04-14</t>
        </is>
      </c>
      <c r="G330" t="inlineStr">
        <is>
          <t xml:space="preserve"> - Surfer Suite</t>
        </is>
      </c>
      <c r="H330">
        <f>HYPERLINK("https://booking.roadsurfer.com/es/rally/pick?pickup_date=2026-04-07&amp;return_date=2026-04-14&amp;currency=EUR&amp;startStation=39&amp;endStation=5",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Surfer Suite</t>
        </is>
      </c>
      <c r="H331">
        <f>HYPERLINK("https://booking.roadsurfer.com/es/rally/pick?pickup_date=2026-03-24&amp;return_date=2026-03-31&amp;currency=EUR&amp;startStation=59&amp;endStation=22",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Ratisbona</t>
        </is>
      </c>
      <c r="E332" t="inlineStr">
        <is>
          <t>2026-03-26</t>
        </is>
      </c>
      <c r="F332" t="inlineStr">
        <is>
          <t>2026-04-02</t>
        </is>
      </c>
      <c r="G332" t="inlineStr">
        <is>
          <t xml:space="preserve"> - Camper Castle</t>
        </is>
      </c>
      <c r="H332">
        <f>HYPERLINK("https://booking.roadsurfer.com/es/rally/pick?pickup_date=2026-03-26&amp;return_date=2026-04-02&amp;currency=EUR&amp;startStation=59&amp;endStation=89",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Ratisbona</t>
        </is>
      </c>
      <c r="E333" t="inlineStr">
        <is>
          <t>2026-03-28</t>
        </is>
      </c>
      <c r="F333" t="inlineStr">
        <is>
          <t>2026-04-04</t>
        </is>
      </c>
      <c r="G333" t="inlineStr">
        <is>
          <t xml:space="preserve"> - Surfer Suite</t>
        </is>
      </c>
      <c r="H333">
        <f>HYPERLINK("https://booking.roadsurfer.com/es/rally/pick?pickup_date=2026-03-28&amp;return_date=2026-04-04&amp;currency=EUR&amp;startStation=59&amp;endStation=89",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Couple Cottage</t>
        </is>
      </c>
      <c r="H334">
        <f>HYPERLINK("https://booking.roadsurfer.com/es/rally/pick?pickup_date=2026-04-14&amp;return_date=2026-04-21&amp;currency=EUR&amp;startStation=59&amp;endStation=90",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2026-03-24</t>
        </is>
      </c>
      <c r="F335" t="inlineStr">
        <is>
          <t>2026-03-31</t>
        </is>
      </c>
      <c r="G335" t="inlineStr">
        <is>
          <t xml:space="preserve"> - Sunrise Suite</t>
        </is>
      </c>
      <c r="H335">
        <f>HYPERLINK("https://booking.roadsurfer.com/es/rally/pick?pickup_date=2026-03-24&amp;return_date=2026-03-31&amp;currency=EUR&amp;startStation=59&amp;endStation=90",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2026-04-16</t>
        </is>
      </c>
      <c r="F336" t="inlineStr">
        <is>
          <t>2026-04-23</t>
        </is>
      </c>
      <c r="G336" t="inlineStr">
        <is>
          <t xml:space="preserve"> - Road House</t>
        </is>
      </c>
      <c r="H336">
        <f>HYPERLINK("https://booking.roadsurfer.com/es/rally/pick?pickup_date=2026-04-16&amp;return_date=2026-04-23&amp;currency=EUR&amp;startStation=59&amp;endStation=90",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2026-03-25</t>
        </is>
      </c>
      <c r="F337" t="inlineStr">
        <is>
          <t>2026-04-01</t>
        </is>
      </c>
      <c r="G337" t="inlineStr">
        <is>
          <t xml:space="preserve"> - Surfer Suite</t>
        </is>
      </c>
      <c r="H337">
        <f>HYPERLINK("https://booking.roadsurfer.com/es/rally/pick?pickup_date=2026-03-25&amp;return_date=2026-04-01&amp;currency=EUR&amp;startStation=59&amp;endStation=90",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2026-03-27</t>
        </is>
      </c>
      <c r="F338" t="inlineStr">
        <is>
          <t>2026-04-03</t>
        </is>
      </c>
      <c r="G338" t="inlineStr">
        <is>
          <t xml:space="preserve"> - No hay coche</t>
        </is>
      </c>
      <c r="H338">
        <f>HYPERLINK("https://booking.roadsurfer.com/es/rally/pick?pickup_date=2026-03-27&amp;return_date=2026-04-03&amp;currency=EUR&amp;startStation=59&amp;endStation=6",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2026-03-25</t>
        </is>
      </c>
      <c r="F339" t="inlineStr">
        <is>
          <t>2026-04-01</t>
        </is>
      </c>
      <c r="G339" t="inlineStr"/>
      <c r="H339">
        <f>HYPERLINK("https://booking.roadsurfer.com/es/rally/pick?pickup_date=2026-03-25&amp;return_date=2026-04-01&amp;currency=EUR&amp;startStation=59&amp;endStation=55",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2026-04-06</t>
        </is>
      </c>
      <c r="F340" t="inlineStr">
        <is>
          <t>2026-04-13</t>
        </is>
      </c>
      <c r="G340" t="inlineStr">
        <is>
          <t xml:space="preserve"> - No hay coche</t>
        </is>
      </c>
      <c r="H340">
        <f>HYPERLINK("https://booking.roadsurfer.com/es/rally/pick?pickup_date=2026-04-06&amp;return_date=2026-04-13&amp;currency=EUR&amp;startStation=59&amp;endStation=52",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Augsburgo</t>
        </is>
      </c>
      <c r="E341" t="inlineStr">
        <is>
          <t>2026-03-26</t>
        </is>
      </c>
      <c r="F341" t="inlineStr">
        <is>
          <t>2026-04-02</t>
        </is>
      </c>
      <c r="G341" t="inlineStr">
        <is>
          <t xml:space="preserve"> - Camper Castle</t>
        </is>
      </c>
      <c r="H341">
        <f>HYPERLINK("https://booking.roadsurfer.com/es/rally/pick?pickup_date=2026-03-26&amp;return_date=2026-04-02&amp;currency=EUR&amp;startStation=59&amp;endStation=108",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Augsburgo</t>
        </is>
      </c>
      <c r="E342" t="inlineStr">
        <is>
          <t>2026-04-15</t>
        </is>
      </c>
      <c r="F342" t="inlineStr">
        <is>
          <t>2026-04-22</t>
        </is>
      </c>
      <c r="G342" t="inlineStr">
        <is>
          <t xml:space="preserve"> - Camper Castle</t>
        </is>
      </c>
      <c r="H342">
        <f>HYPERLINK("https://booking.roadsurfer.com/es/rally/pick?pickup_date=2026-04-15&amp;return_date=2026-04-22&amp;currency=EUR&amp;startStation=59&amp;endStation=108",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Lindau-Wangen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Camper Castle</t>
        </is>
      </c>
      <c r="H343">
        <f>HYPERLINK("https://booking.roadsurfer.com/es/rally/pick?pickup_date=2026-04-15&amp;return_date=2026-04-22&amp;currency=EUR&amp;startStation=59&amp;endStation=117",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HYPERLINK("https://booking.roadsurfer.com/es/rally/pick?pickup_date=2026-04-14&amp;return_date=2026-04-21&amp;currency=EUR&amp;startStation=59&amp;endStation=51",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2026-04-15</t>
        </is>
      </c>
      <c r="F345" t="inlineStr">
        <is>
          <t>2026-04-22</t>
        </is>
      </c>
      <c r="G345" t="inlineStr">
        <is>
          <t xml:space="preserve"> - Family Finca</t>
        </is>
      </c>
      <c r="H345">
        <f>HYPERLINK("https://booking.roadsurfer.com/es/rally/pick?pickup_date=2026-04-15&amp;return_date=2026-04-22&amp;currency=EUR&amp;startStation=5&amp;endStation=31",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Camper Cabin</t>
        </is>
      </c>
      <c r="H346">
        <f>HYPERLINK("https://booking.roadsurfer.com/es/rally/pick?pickup_date=2026-04-13&amp;return_date=2026-04-20&amp;currency=EUR&amp;startStation=5&amp;endStation=31",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Francia</t>
        </is>
      </c>
      <c r="D347" t="inlineStr">
        <is>
          <t>Lille</t>
        </is>
      </c>
      <c r="E347" t="inlineStr">
        <is>
          <t>2026-04-20</t>
        </is>
      </c>
      <c r="F347" t="inlineStr">
        <is>
          <t>2026-04-27</t>
        </is>
      </c>
      <c r="G347" t="inlineStr">
        <is>
          <t xml:space="preserve"> - No hay coche</t>
        </is>
      </c>
      <c r="H347">
        <f>HYPERLINK("https://booking.roadsurfer.com/es/rally/pick?pickup_date=2026-04-20&amp;return_date=2026-04-27&amp;currency=EUR&amp;startStation=5&amp;endStation=87",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Couple Cottage</t>
        </is>
      </c>
      <c r="H348">
        <f>HYPERLINK("https://booking.roadsurfer.com/es/rally/pick?pickup_date=2026-04-14&amp;return_date=2026-04-21&amp;currency=EUR&amp;startStation=5&amp;endStation=34",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España</t>
        </is>
      </c>
      <c r="D349" t="inlineStr">
        <is>
          <t>Barcelona</t>
        </is>
      </c>
      <c r="E349" t="inlineStr">
        <is>
          <t>2026-04-10</t>
        </is>
      </c>
      <c r="F349" t="inlineStr">
        <is>
          <t>2026-04-17</t>
        </is>
      </c>
      <c r="G349" t="inlineStr">
        <is>
          <t xml:space="preserve"> - Road House</t>
        </is>
      </c>
      <c r="H349">
        <f>HYPERLINK("https://booking.roadsurfer.com/es/rally/pick?pickup_date=2026-04-10&amp;return_date=2026-04-17&amp;currency=EUR&amp;startStation=5&amp;endStation=17",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Camper Cabin</t>
        </is>
      </c>
      <c r="H350">
        <f>HYPERLINK("https://booking.roadsurfer.com/es/rally/pick?pickup_date=2026-04-13&amp;return_date=2026-04-20&amp;currency=EUR&amp;startStation=5&amp;endStation=40",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Alemania</t>
        </is>
      </c>
      <c r="D351" t="inlineStr">
        <is>
          <t>Aquisgrán</t>
        </is>
      </c>
      <c r="E351" t="inlineStr">
        <is>
          <t>2026-04-23</t>
        </is>
      </c>
      <c r="F351" t="inlineStr">
        <is>
          <t>2026-04-30</t>
        </is>
      </c>
      <c r="G351" t="inlineStr">
        <is>
          <t xml:space="preserve"> - No hay coche</t>
        </is>
      </c>
      <c r="H351">
        <f>HYPERLINK("https://booking.roadsurfer.com/es/rally/pick?pickup_date=2026-04-23&amp;return_date=2026-04-30&amp;currency=EUR&amp;startStation=5&amp;endStation=114",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Alemania</t>
        </is>
      </c>
      <c r="D352" t="inlineStr">
        <is>
          <t>Berlín-Schönefeld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Van Villa</t>
        </is>
      </c>
      <c r="H352">
        <f>HYPERLINK("https://booking.roadsurfer.com/es/rally/pick?pickup_date=2026-04-27&amp;return_date=2026-05-04&amp;currency=EUR&amp;startStation=5&amp;endStation=51", "Clic para verlo en la web de RoadSurfer")</f>
        <v/>
      </c>
    </row>
    <row r="353">
      <c r="A353" t="inlineStr">
        <is>
          <t>EE.UU.</t>
        </is>
      </c>
      <c r="B353" t="inlineStr">
        <is>
          <t>Thor Industries, Elkhart</t>
        </is>
      </c>
      <c r="C353" t="inlineStr">
        <is>
          <t>EE.UU.</t>
        </is>
      </c>
      <c r="D353" t="inlineStr">
        <is>
          <t>Salt Lake City</t>
        </is>
      </c>
      <c r="E353" t="inlineStr">
        <is>
          <t>2026-04-22</t>
        </is>
      </c>
      <c r="F353" t="inlineStr">
        <is>
          <t>2026-05-06</t>
        </is>
      </c>
      <c r="G353" t="inlineStr"/>
      <c r="H353">
        <f>HYPERLINK("https://booking.roadsurfer.com/es/rally/pick?pickup_date=2026-04-22&amp;return_date=2026-05-06&amp;currency=EUR&amp;startStation=74&amp;endStation=106", "Clic para verlo en la web de RoadSurfer")</f>
        <v/>
      </c>
    </row>
    <row r="354">
      <c r="A354" t="inlineStr">
        <is>
          <t>EE.UU.</t>
        </is>
      </c>
      <c r="B354" t="inlineStr">
        <is>
          <t>Thor Industries, Elkhart</t>
        </is>
      </c>
      <c r="C354" t="inlineStr">
        <is>
          <t>EE.UU.</t>
        </is>
      </c>
      <c r="D354" t="inlineStr">
        <is>
          <t>Salt Lake City</t>
        </is>
      </c>
      <c r="E354" t="inlineStr">
        <is>
          <t>2026-04-20</t>
        </is>
      </c>
      <c r="F354" t="inlineStr">
        <is>
          <t>2026-05-04</t>
        </is>
      </c>
      <c r="G354" t="inlineStr">
        <is>
          <t xml:space="preserve"> - Family Freedom</t>
        </is>
      </c>
      <c r="H354">
        <f>HYPERLINK("https://booking.roadsurfer.com/es/rally/pick?pickup_date=2026-04-20&amp;return_date=2026-05-04&amp;currency=EUR&amp;startStation=74&amp;endStation=106", "Clic para verlo en la web de RoadSurfer")</f>
        <v/>
      </c>
    </row>
    <row r="355">
      <c r="A355" t="inlineStr">
        <is>
          <t>EE.UU.</t>
        </is>
      </c>
      <c r="B355" t="inlineStr">
        <is>
          <t>Thor Industries, Elkhart</t>
        </is>
      </c>
      <c r="C355" t="inlineStr">
        <is>
          <t>EE.UU.</t>
        </is>
      </c>
      <c r="D355" t="inlineStr">
        <is>
          <t>Seattle</t>
        </is>
      </c>
      <c r="E355" t="inlineStr">
        <is>
          <t>2026-04-21</t>
        </is>
      </c>
      <c r="F355" t="inlineStr">
        <is>
          <t>2026-05-05</t>
        </is>
      </c>
      <c r="G355" t="inlineStr">
        <is>
          <t xml:space="preserve"> - Family Freedom</t>
        </is>
      </c>
      <c r="H355">
        <f>HYPERLINK("https://booking.roadsurfer.com/es/rally/pick?pickup_date=2026-04-21&amp;return_date=2026-05-05&amp;currency=EUR&amp;startStation=74&amp;endStation=107", "Clic para verlo en la web de RoadSurfer")</f>
        <v/>
      </c>
    </row>
    <row r="356">
      <c r="A356" t="inlineStr">
        <is>
          <t>EE.UU.</t>
        </is>
      </c>
      <c r="B356" t="inlineStr">
        <is>
          <t>Thor Industries, Elkhart</t>
        </is>
      </c>
      <c r="C356" t="inlineStr">
        <is>
          <t>EE.UU.</t>
        </is>
      </c>
      <c r="D356" t="inlineStr">
        <is>
          <t>Seattle</t>
        </is>
      </c>
      <c r="E356" t="inlineStr">
        <is>
          <t>2026-04-23</t>
        </is>
      </c>
      <c r="F356" t="inlineStr">
        <is>
          <t>2026-05-07</t>
        </is>
      </c>
      <c r="G356" t="inlineStr">
        <is>
          <t xml:space="preserve"> - Family Freedom</t>
        </is>
      </c>
      <c r="H356">
        <f>HYPERLINK("https://booking.roadsurfer.com/es/rally/pick?pickup_date=2026-04-23&amp;return_date=2026-05-07&amp;currency=EUR&amp;startStation=74&amp;endStation=107",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Dallas</t>
        </is>
      </c>
      <c r="E357" t="inlineStr">
        <is>
          <t>2026-04-20</t>
        </is>
      </c>
      <c r="F357" t="inlineStr">
        <is>
          <t>2026-05-04</t>
        </is>
      </c>
      <c r="G357" t="inlineStr">
        <is>
          <t xml:space="preserve"> - Family Freedom</t>
        </is>
      </c>
      <c r="H357">
        <f>HYPERLINK("https://booking.roadsurfer.com/es/rally/pick?pickup_date=2026-04-20&amp;return_date=2026-05-04&amp;currency=EUR&amp;startStation=74&amp;endStation=125",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San Francisco</t>
        </is>
      </c>
      <c r="E358" t="inlineStr">
        <is>
          <t>2026-04-21</t>
        </is>
      </c>
      <c r="F358" t="inlineStr">
        <is>
          <t>2026-05-05</t>
        </is>
      </c>
      <c r="G358" t="inlineStr">
        <is>
          <t xml:space="preserve"> - Family Freedom</t>
        </is>
      </c>
      <c r="H358">
        <f>HYPERLINK("https://booking.roadsurfer.com/es/rally/pick?pickup_date=2026-04-21&amp;return_date=2026-05-05&amp;currency=EUR&amp;startStation=74&amp;endStation=75", "Clic para verlo en la web de RoadSurfer")</f>
        <v/>
      </c>
    </row>
    <row r="359">
      <c r="A359" t="inlineStr">
        <is>
          <t>Francia</t>
        </is>
      </c>
      <c r="B359" t="inlineStr">
        <is>
          <t>Toulouse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Camper Castle</t>
        </is>
      </c>
      <c r="H359">
        <f>HYPERLINK("https://booking.roadsurfer.com/es/rally/pick?pickup_date=2026-04-13&amp;return_date=2026-04-20&amp;currency=EUR&amp;startStation=30&amp;endStation=90", "Clic para verlo en la web de RoadSurfer")</f>
        <v/>
      </c>
    </row>
    <row r="360">
      <c r="A360" t="inlineStr">
        <is>
          <t>Francia</t>
        </is>
      </c>
      <c r="B360" t="inlineStr">
        <is>
          <t>Toulouse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Road House</t>
        </is>
      </c>
      <c r="H360">
        <f>HYPERLINK("https://booking.roadsurfer.com/es/rally/pick?pickup_date=2026-04-14&amp;return_date=2026-04-21&amp;currency=EUR&amp;startStation=30&amp;endStation=90", "Clic para verlo en la web de RoadSurfer")</f>
        <v/>
      </c>
    </row>
    <row r="361">
      <c r="A361" t="inlineStr">
        <is>
          <t>Francia</t>
        </is>
      </c>
      <c r="B361" t="inlineStr">
        <is>
          <t>Toulouse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2026-03-25</t>
        </is>
      </c>
      <c r="F361" t="inlineStr">
        <is>
          <t>2026-04-01</t>
        </is>
      </c>
      <c r="G361" t="inlineStr">
        <is>
          <t xml:space="preserve"> - Surfer Suite</t>
        </is>
      </c>
      <c r="H361">
        <f>HYPERLINK("https://booking.roadsurfer.com/es/rally/pick?pickup_date=2026-03-25&amp;return_date=2026-04-01&amp;currency=EUR&amp;startStation=30&amp;endStation=6", "Clic para verlo en la web de RoadSurfer")</f>
        <v/>
      </c>
    </row>
    <row r="362">
      <c r="A362" t="inlineStr">
        <is>
          <t>Francia</t>
        </is>
      </c>
      <c r="B362" t="inlineStr">
        <is>
          <t>Toulouse</t>
        </is>
      </c>
      <c r="C362" t="inlineStr">
        <is>
          <t>Alemania</t>
        </is>
      </c>
      <c r="D362" t="inlineStr">
        <is>
          <t>Constanza (Aach)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HYPERLINK("https://booking.roadsurfer.com/es/rally/pick?pickup_date=2026-05-04&amp;return_date=2026-05-11&amp;currency=EUR&amp;startStation=30&amp;endStation=10", "Clic para verlo en la web de RoadSurfer")</f>
        <v/>
      </c>
    </row>
    <row r="363">
      <c r="A363" t="inlineStr">
        <is>
          <t>Italia</t>
        </is>
      </c>
      <c r="B363" t="inlineStr">
        <is>
          <t>Turín</t>
        </is>
      </c>
      <c r="C363" t="inlineStr">
        <is>
          <t>Alemania</t>
        </is>
      </c>
      <c r="D363" t="inlineStr">
        <is>
          <t>Núremberg</t>
        </is>
      </c>
      <c r="E363" t="inlineStr">
        <is>
          <t>2026-04-16</t>
        </is>
      </c>
      <c r="F363" t="inlineStr">
        <is>
          <t>2026-04-23</t>
        </is>
      </c>
      <c r="G363" t="inlineStr">
        <is>
          <t xml:space="preserve"> - Road House</t>
        </is>
      </c>
      <c r="H363">
        <f>HYPERLINK("https://booking.roadsurfer.com/es/rally/pick?pickup_date=2026-04-16&amp;return_date=2026-04-23&amp;currency=EUR&amp;startStation=58&amp;endStation=11", "Clic para verlo en la web de RoadSurfer")</f>
        <v/>
      </c>
    </row>
    <row r="364">
      <c r="A364" t="inlineStr">
        <is>
          <t>Italia</t>
        </is>
      </c>
      <c r="B364" t="inlineStr">
        <is>
          <t>Turín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Family Finca</t>
        </is>
      </c>
      <c r="H364">
        <f>HYPERLINK("https://booking.roadsurfer.com/es/rally/pick?pickup_date=2026-04-20&amp;return_date=2026-04-27&amp;currency=EUR&amp;startStation=58&amp;endStation=56",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2026-03-27</t>
        </is>
      </c>
      <c r="F365" t="inlineStr">
        <is>
          <t>2026-04-03</t>
        </is>
      </c>
      <c r="G365" t="inlineStr">
        <is>
          <t xml:space="preserve"> - No hay coche</t>
        </is>
      </c>
      <c r="H365">
        <f>HYPERLINK("https://booking.roadsurfer.com/es/rally/pick?pickup_date=2026-03-27&amp;return_date=2026-04-03&amp;currency=EUR&amp;startStation=78&amp;endStation=2",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2026-03-25</t>
        </is>
      </c>
      <c r="F366" t="inlineStr">
        <is>
          <t>2026-04-01</t>
        </is>
      </c>
      <c r="G366" t="inlineStr">
        <is>
          <t xml:space="preserve"> - Surfer Suite</t>
        </is>
      </c>
      <c r="H366">
        <f>HYPERLINK("https://booking.roadsurfer.com/es/rally/pick?pickup_date=2026-03-25&amp;return_date=2026-04-01&amp;currency=EUR&amp;startStation=78&amp;endStation=22",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Alemania</t>
        </is>
      </c>
      <c r="D367" t="inlineStr">
        <is>
          <t>Maguncia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Beach Hostel</t>
        </is>
      </c>
      <c r="H367">
        <f>HYPERLINK("https://booking.roadsurfer.com/es/rally/pick?pickup_date=2026-03-26&amp;return_date=2026-04-02&amp;currency=EUR&amp;startStation=78&amp;endStation=54",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2026-03-23</t>
        </is>
      </c>
      <c r="F368" t="inlineStr">
        <is>
          <t>2026-03-30</t>
        </is>
      </c>
      <c r="G368" t="inlineStr">
        <is>
          <t xml:space="preserve"> - Family Finca</t>
        </is>
      </c>
      <c r="H368">
        <f>HYPERLINK("https://booking.roadsurfer.com/es/rally/pick?pickup_date=2026-03-23&amp;return_date=2026-03-30&amp;currency=EUR&amp;startStation=78&amp;endStation=94", "Clic para verlo en la web de RoadSurfer")</f>
        <v/>
      </c>
    </row>
    <row r="369">
      <c r="A369" t="inlineStr">
        <is>
          <t>Italia</t>
        </is>
      </c>
      <c r="B369" t="inlineStr">
        <is>
          <t>Venecia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Surfer Suite</t>
        </is>
      </c>
      <c r="H369">
        <f>HYPERLINK("https://booking.roadsurfer.com/es/rally/pick?pickup_date=2026-04-13&amp;return_date=2026-04-20&amp;currency=EUR&amp;startStation=78&amp;endStation=94", "Clic para verlo en la web de RoadSurfer")</f>
        <v/>
      </c>
    </row>
    <row r="370">
      <c r="A370" t="inlineStr">
        <is>
          <t>Italia</t>
        </is>
      </c>
      <c r="B370" t="inlineStr">
        <is>
          <t>Venecia</t>
        </is>
      </c>
      <c r="C370" t="inlineStr">
        <is>
          <t>Italia</t>
        </is>
      </c>
      <c r="D370" t="inlineStr">
        <is>
          <t>Bérgamo</t>
        </is>
      </c>
      <c r="E370" t="inlineStr">
        <is>
          <t>2026-04-16</t>
        </is>
      </c>
      <c r="F370" t="inlineStr">
        <is>
          <t>2026-04-23</t>
        </is>
      </c>
      <c r="G370" t="inlineStr"/>
      <c r="H370">
        <f>HYPERLINK("https://booking.roadsurfer.com/es/rally/pick?pickup_date=2026-04-16&amp;return_date=2026-04-23&amp;currency=EUR&amp;startStation=78&amp;endStation=94",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Surfer Suite</t>
        </is>
      </c>
      <c r="H371">
        <f>HYPERLINK("https://booking.roadsurfer.com/es/rally/pick?pickup_date=2026-03-26&amp;return_date=2026-04-02&amp;currency=EUR&amp;startStation=45&amp;endStation=22",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2026-03-25</t>
        </is>
      </c>
      <c r="F372" t="inlineStr">
        <is>
          <t>2026-04-01</t>
        </is>
      </c>
      <c r="G372" t="inlineStr"/>
      <c r="H372">
        <f>HYPERLINK("https://booking.roadsurfer.com/es/rally/pick?pickup_date=2026-03-25&amp;return_date=2026-04-01&amp;currency=EUR&amp;startStation=45&amp;endStation=90", "Clic para verlo en la web de RoadSurfer")</f>
        <v/>
      </c>
    </row>
    <row r="373">
      <c r="A373" t="inlineStr">
        <is>
          <t>EE.UU.</t>
        </is>
      </c>
      <c r="B373" t="inlineStr">
        <is>
          <t>Winnebago Industries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2026-03-26</t>
        </is>
      </c>
      <c r="F373" t="inlineStr">
        <is>
          <t>2026-04-09</t>
        </is>
      </c>
      <c r="G373" t="inlineStr">
        <is>
          <t xml:space="preserve"> - Liberty Lodge</t>
        </is>
      </c>
      <c r="H373">
        <f>HYPERLINK("https://booking.roadsurfer.com/es/rally/pick?pickup_date=2026-03-26&amp;return_date=2026-04-09&amp;currency=EUR&amp;startStation=81&amp;endStation=104",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2026-03-27</t>
        </is>
      </c>
      <c r="F374" t="inlineStr">
        <is>
          <t>2026-04-10</t>
        </is>
      </c>
      <c r="G374" t="inlineStr">
        <is>
          <t xml:space="preserve"> - Liberty Lodge - Couple Condo</t>
        </is>
      </c>
      <c r="H374">
        <f>HYPERLINK("https://booking.roadsurfer.com/es/rally/pick?pickup_date=2026-03-27&amp;return_date=2026-04-10&amp;currency=EUR&amp;startStation=81&amp;endStation=104",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2026-03-31</t>
        </is>
      </c>
      <c r="F375" t="inlineStr">
        <is>
          <t>2026-04-14</t>
        </is>
      </c>
      <c r="G375" t="inlineStr">
        <is>
          <t xml:space="preserve"> - Liberty Lodge - Couple Condo</t>
        </is>
      </c>
      <c r="H375">
        <f>HYPERLINK("https://booking.roadsurfer.com/es/rally/pick?pickup_date=2026-03-31&amp;return_date=2026-04-14&amp;currency=EUR&amp;startStation=81&amp;endStation=104",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2026-03-30</t>
        </is>
      </c>
      <c r="F376" t="inlineStr">
        <is>
          <t>2026-04-13</t>
        </is>
      </c>
      <c r="G376" t="inlineStr">
        <is>
          <t xml:space="preserve"> - Liberty Lodge</t>
        </is>
      </c>
      <c r="H376">
        <f>HYPERLINK("https://booking.roadsurfer.com/es/rally/pick?pickup_date=2026-03-30&amp;return_date=2026-04-13&amp;currency=EUR&amp;startStation=81&amp;endStation=104",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San Francisco</t>
        </is>
      </c>
      <c r="E377" t="inlineStr">
        <is>
          <t>2026-03-30</t>
        </is>
      </c>
      <c r="F377" t="inlineStr">
        <is>
          <t>2026-04-13</t>
        </is>
      </c>
      <c r="G377" t="inlineStr">
        <is>
          <t xml:space="preserve"> - Liberty Lodge - Couple Condo</t>
        </is>
      </c>
      <c r="H377">
        <f>HYPERLINK("https://booking.roadsurfer.com/es/rally/pick?pickup_date=2026-03-30&amp;return_date=2026-04-13&amp;currency=EUR&amp;startStation=81&amp;endStation=75",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2026-03-26</t>
        </is>
      </c>
      <c r="F378" t="inlineStr">
        <is>
          <t>2026-04-09</t>
        </is>
      </c>
      <c r="G378" t="inlineStr">
        <is>
          <t xml:space="preserve"> - Liberty Lodge - Couple Condo</t>
        </is>
      </c>
      <c r="H378">
        <f>HYPERLINK("https://booking.roadsurfer.com/es/rally/pick?pickup_date=2026-03-26&amp;return_date=2026-04-09&amp;currency=EUR&amp;startStation=81&amp;endStation=75",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2026-04-01</t>
        </is>
      </c>
      <c r="F379" t="inlineStr">
        <is>
          <t>2026-04-15</t>
        </is>
      </c>
      <c r="G379" t="inlineStr">
        <is>
          <t xml:space="preserve"> - Liberty Lodge - Couple Condo</t>
        </is>
      </c>
      <c r="H379">
        <f>HYPERLINK("https://booking.roadsurfer.com/es/rally/pick?pickup_date=2026-04-01&amp;return_date=2026-04-15&amp;currency=EUR&amp;startStation=81&amp;endStation=75",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2026-03-27</t>
        </is>
      </c>
      <c r="F380" t="inlineStr">
        <is>
          <t>2026-04-10</t>
        </is>
      </c>
      <c r="G380" t="inlineStr">
        <is>
          <t xml:space="preserve"> - Liberty Lodge - Couple Condo</t>
        </is>
      </c>
      <c r="H380">
        <f>HYPERLINK("https://booking.roadsurfer.com/es/rally/pick?pickup_date=2026-03-27&amp;return_date=2026-04-10&amp;currency=EUR&amp;startStation=81&amp;endStation=75",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2026-03-26</t>
        </is>
      </c>
      <c r="F381" t="inlineStr">
        <is>
          <t>2026-04-07</t>
        </is>
      </c>
      <c r="G381" t="inlineStr">
        <is>
          <t xml:space="preserve"> - Liberty Lodge - Couple Condo</t>
        </is>
      </c>
      <c r="H381">
        <f>HYPERLINK("https://booking.roadsurfer.com/es/rally/pick?pickup_date=2026-03-26&amp;return_date=2026-04-07&amp;currency=EUR&amp;startStation=81&amp;endStation=75",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San Francisco</t>
        </is>
      </c>
      <c r="E382" t="inlineStr">
        <is>
          <t>2026-04-02</t>
        </is>
      </c>
      <c r="F382" t="inlineStr">
        <is>
          <t>2026-04-16</t>
        </is>
      </c>
      <c r="G382" t="inlineStr">
        <is>
          <t xml:space="preserve"> - Couple Condo</t>
        </is>
      </c>
      <c r="H382">
        <f>HYPERLINK("https://booking.roadsurfer.com/es/rally/pick?pickup_date=2026-04-02&amp;return_date=2026-04-16&amp;currency=EUR&amp;startStation=81&amp;endStation=75",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2026-03-27</t>
        </is>
      </c>
      <c r="F383" t="inlineStr">
        <is>
          <t>2026-04-10</t>
        </is>
      </c>
      <c r="G383" t="inlineStr">
        <is>
          <t xml:space="preserve"> - Liberty Lodge</t>
        </is>
      </c>
      <c r="H383">
        <f>HYPERLINK("https://booking.roadsurfer.com/es/rally/pick?pickup_date=2026-03-27&amp;return_date=2026-04-10&amp;currency=EUR&amp;startStation=81&amp;endStation=76",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2026-03-26</t>
        </is>
      </c>
      <c r="F384" t="inlineStr">
        <is>
          <t>2026-04-09</t>
        </is>
      </c>
      <c r="G384" t="inlineStr">
        <is>
          <t xml:space="preserve"> - Liberty Lodge</t>
        </is>
      </c>
      <c r="H384">
        <f>HYPERLINK("https://booking.roadsurfer.com/es/rally/pick?pickup_date=2026-03-26&amp;return_date=2026-04-09&amp;currency=EUR&amp;startStation=81&amp;endStation=76",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2026-04-03</t>
        </is>
      </c>
      <c r="F385" t="inlineStr">
        <is>
          <t>2026-04-17</t>
        </is>
      </c>
      <c r="G385" t="inlineStr">
        <is>
          <t xml:space="preserve"> - Liberty Lodge</t>
        </is>
      </c>
      <c r="H385">
        <f>HYPERLINK("https://booking.roadsurfer.com/es/rally/pick?pickup_date=2026-04-03&amp;return_date=2026-04-17&amp;currency=EUR&amp;startStation=81&amp;endStation=76",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2026-03-30</t>
        </is>
      </c>
      <c r="F386" t="inlineStr">
        <is>
          <t>2026-04-13</t>
        </is>
      </c>
      <c r="G386" t="inlineStr">
        <is>
          <t xml:space="preserve"> - Liberty Lodge</t>
        </is>
      </c>
      <c r="H386">
        <f>HYPERLINK("https://booking.roadsurfer.com/es/rally/pick?pickup_date=2026-03-30&amp;return_date=2026-04-13&amp;currency=EUR&amp;startStation=81&amp;endStation=76",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Salt Lake City</t>
        </is>
      </c>
      <c r="E387" t="inlineStr">
        <is>
          <t>2026-03-30</t>
        </is>
      </c>
      <c r="F387" t="inlineStr">
        <is>
          <t>2026-04-13</t>
        </is>
      </c>
      <c r="G387" t="inlineStr">
        <is>
          <t xml:space="preserve"> - No hay coche</t>
        </is>
      </c>
      <c r="H387">
        <f>HYPERLINK("https://booking.roadsurfer.com/es/rally/pick?pickup_date=2026-03-30&amp;return_date=2026-04-13&amp;currency=EUR&amp;startStation=81&amp;endStation=106",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Salt Lake City</t>
        </is>
      </c>
      <c r="E388" t="inlineStr">
        <is>
          <t>2026-03-31</t>
        </is>
      </c>
      <c r="F388" t="inlineStr">
        <is>
          <t>2026-04-14</t>
        </is>
      </c>
      <c r="G388" t="inlineStr">
        <is>
          <t xml:space="preserve"> - Liberty Lodge</t>
        </is>
      </c>
      <c r="H388">
        <f>HYPERLINK("https://booking.roadsurfer.com/es/rally/pick?pickup_date=2026-03-31&amp;return_date=2026-04-14&amp;currency=EUR&amp;startStation=81&amp;endStation=106",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Salt Lake City</t>
        </is>
      </c>
      <c r="E389" t="inlineStr">
        <is>
          <t>2026-03-26</t>
        </is>
      </c>
      <c r="F389" t="inlineStr">
        <is>
          <t>2026-04-09</t>
        </is>
      </c>
      <c r="G389" t="inlineStr">
        <is>
          <t xml:space="preserve"> - Liberty Lodge</t>
        </is>
      </c>
      <c r="H389">
        <f>HYPERLINK("https://booking.roadsurfer.com/es/rally/pick?pickup_date=2026-03-26&amp;return_date=2026-04-09&amp;currency=EUR&amp;startStation=81&amp;endStation=106",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Salt Lake City</t>
        </is>
      </c>
      <c r="E390" t="inlineStr">
        <is>
          <t>2026-04-02</t>
        </is>
      </c>
      <c r="F390" t="inlineStr">
        <is>
          <t>2026-04-16</t>
        </is>
      </c>
      <c r="G390" t="inlineStr">
        <is>
          <t xml:space="preserve"> - Couple Condo</t>
        </is>
      </c>
      <c r="H390">
        <f>HYPERLINK("https://booking.roadsurfer.com/es/rally/pick?pickup_date=2026-04-02&amp;return_date=2026-04-16&amp;currency=EUR&amp;startStation=81&amp;endStation=106",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Dallas</t>
        </is>
      </c>
      <c r="E391" t="inlineStr">
        <is>
          <t>2026-03-27</t>
        </is>
      </c>
      <c r="F391" t="inlineStr">
        <is>
          <t>2026-04-10</t>
        </is>
      </c>
      <c r="G391" t="inlineStr">
        <is>
          <t xml:space="preserve"> - Liberty Lodge</t>
        </is>
      </c>
      <c r="H391">
        <f>HYPERLINK("https://booking.roadsurfer.com/es/rally/pick?pickup_date=2026-03-27&amp;return_date=2026-04-10&amp;currency=EUR&amp;startStation=81&amp;endStation=125",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Dallas</t>
        </is>
      </c>
      <c r="E392" t="inlineStr">
        <is>
          <t>2026-03-26</t>
        </is>
      </c>
      <c r="F392" t="inlineStr">
        <is>
          <t>2026-04-09</t>
        </is>
      </c>
      <c r="G392" t="inlineStr">
        <is>
          <t xml:space="preserve"> - Liberty Lodge</t>
        </is>
      </c>
      <c r="H392">
        <f>HYPERLINK("https://booking.roadsurfer.com/es/rally/pick?pickup_date=2026-03-26&amp;return_date=2026-04-09&amp;currency=EUR&amp;startStation=81&amp;endStation=125",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2026-04-01</t>
        </is>
      </c>
      <c r="F393" t="inlineStr">
        <is>
          <t>2026-04-15</t>
        </is>
      </c>
      <c r="G393" t="inlineStr">
        <is>
          <t xml:space="preserve"> - Liberty Lodge</t>
        </is>
      </c>
      <c r="H393">
        <f>HYPERLINK("https://booking.roadsurfer.com/es/rally/pick?pickup_date=2026-04-01&amp;return_date=2026-04-15&amp;currency=EUR&amp;startStation=81&amp;endStation=107",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</t>
        </is>
      </c>
      <c r="H394">
        <f>HYPERLINK("https://booking.roadsurfer.com/es/rally/pick?pickup_date=2026-03-26&amp;return_date=2026-04-09&amp;currency=EUR&amp;startStation=81&amp;endStation=107",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Seattle</t>
        </is>
      </c>
      <c r="E395" t="inlineStr">
        <is>
          <t>2026-03-27</t>
        </is>
      </c>
      <c r="F395" t="inlineStr">
        <is>
          <t>2026-04-10</t>
        </is>
      </c>
      <c r="G395" t="inlineStr">
        <is>
          <t xml:space="preserve"> - Liberty Lodge - Couple Condo</t>
        </is>
      </c>
      <c r="H395">
        <f>HYPERLINK("https://booking.roadsurfer.com/es/rally/pick?pickup_date=2026-03-27&amp;return_date=2026-04-10&amp;currency=EUR&amp;startStation=81&amp;endStation=107",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Phoenix</t>
        </is>
      </c>
      <c r="E396" t="inlineStr">
        <is>
          <t>2026-04-01</t>
        </is>
      </c>
      <c r="F396" t="inlineStr">
        <is>
          <t>2026-04-15</t>
        </is>
      </c>
      <c r="G396" t="inlineStr">
        <is>
          <t xml:space="preserve"> - No hay coche</t>
        </is>
      </c>
      <c r="H396">
        <f>HYPERLINK("https://booking.roadsurfer.com/es/rally/pick?pickup_date=2026-04-01&amp;return_date=2026-04-15&amp;currency=EUR&amp;startStation=81&amp;endStation=105",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Phoenix</t>
        </is>
      </c>
      <c r="E397" t="inlineStr">
        <is>
          <t>2026-03-26</t>
        </is>
      </c>
      <c r="F397" t="inlineStr">
        <is>
          <t>2026-04-09</t>
        </is>
      </c>
      <c r="G397" t="inlineStr">
        <is>
          <t xml:space="preserve"> - Liberty Lodge - Couple Condo</t>
        </is>
      </c>
      <c r="H397">
        <f>HYPERLINK("https://booking.roadsurfer.com/es/rally/pick?pickup_date=2026-03-26&amp;return_date=2026-04-09&amp;currency=EUR&amp;startStation=81&amp;endStation=105",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Phoenix</t>
        </is>
      </c>
      <c r="E398" t="inlineStr">
        <is>
          <t>2026-03-31</t>
        </is>
      </c>
      <c r="F398" t="inlineStr">
        <is>
          <t>2026-04-14</t>
        </is>
      </c>
      <c r="G398" t="inlineStr">
        <is>
          <t xml:space="preserve"> - Liberty Lodge</t>
        </is>
      </c>
      <c r="H398">
        <f>HYPERLINK("https://booking.roadsurfer.com/es/rally/pick?pickup_date=2026-03-31&amp;return_date=2026-04-14&amp;currency=EUR&amp;startStation=81&amp;endStation=105", "Clic para verlo en la web de RoadSurfer")</f>
        <v/>
      </c>
    </row>
    <row r="399">
      <c r="A399" t="inlineStr">
        <is>
          <t>Alemania</t>
        </is>
      </c>
      <c r="B399" t="inlineStr">
        <is>
          <t>Wurzburgo</t>
        </is>
      </c>
      <c r="C399" t="inlineStr">
        <is>
          <t>Italia</t>
        </is>
      </c>
      <c r="D399" t="inlineStr">
        <is>
          <t>Milán</t>
        </is>
      </c>
      <c r="E399" t="inlineStr">
        <is>
          <t>2026-04-20</t>
        </is>
      </c>
      <c r="F399" t="inlineStr">
        <is>
          <t>2026-04-27</t>
        </is>
      </c>
      <c r="G399" t="inlineStr">
        <is>
          <t xml:space="preserve"> - Road House</t>
        </is>
      </c>
      <c r="H399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2026-03-21T20:28:57Z</dcterms:created>
  <dcterms:modified xsi:type="dcterms:W3CDTF">2026-03-21T20:28:58Z</dcterms:modified>
</cp:coreProperties>
</file>