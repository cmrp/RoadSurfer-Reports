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España</t>
        </is>
      </c>
      <c r="B2" t="inlineStr">
        <is>
          <t>Barcelona</t>
        </is>
      </c>
      <c r="C2" t="inlineStr">
        <is>
          <t>Alemania</t>
        </is>
      </c>
      <c r="D2" t="inlineStr">
        <is>
          <t>Colonia-Düsseldorf</t>
        </is>
      </c>
      <c r="E2" t="inlineStr">
        <is>
          <t>2026-09-05</t>
        </is>
      </c>
      <c r="F2" t="inlineStr">
        <is>
          <t>2026-09-12</t>
        </is>
      </c>
      <c r="G2" t="inlineStr">
        <is>
          <t xml:space="preserve"> - No hay coche</t>
        </is>
      </c>
      <c r="H2">
        <f>HYPERLINK("https://booking.roadsurfer.com/es/rally/pick?pickup_date=2026-09-05&amp;return_date=2026-09-12&amp;currency=EUR&amp;startStation=17&amp;endStation=4", "Clic para verlo en la web de RoadSurfer")</f>
        <v/>
      </c>
    </row>
    <row r="3">
      <c r="A3" t="inlineStr">
        <is>
          <t>España</t>
        </is>
      </c>
      <c r="B3" t="inlineStr">
        <is>
          <t>Barcelona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2026-09-26</t>
        </is>
      </c>
      <c r="F3" t="inlineStr">
        <is>
          <t>2026-10-03</t>
        </is>
      </c>
      <c r="G3" t="inlineStr">
        <is>
          <t xml:space="preserve"> - No hay coche</t>
        </is>
      </c>
      <c r="H3">
        <f>HYPERLINK("https://booking.roadsurfer.com/es/rally/pick?pickup_date=2026-09-26&amp;return_date=2026-10-03&amp;currency=EUR&amp;startStation=17&amp;endStation=22", "Clic para verlo en la web de RoadSurfer")</f>
        <v/>
      </c>
    </row>
    <row r="4">
      <c r="A4" t="inlineStr">
        <is>
          <t>España</t>
        </is>
      </c>
      <c r="B4" t="inlineStr">
        <is>
          <t>Bilbao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2026-09-25</t>
        </is>
      </c>
      <c r="F4" t="inlineStr">
        <is>
          <t>2026-10-02</t>
        </is>
      </c>
      <c r="G4" t="inlineStr">
        <is>
          <t xml:space="preserve"> - Camper Castle - COUPLE COTTAGE</t>
        </is>
      </c>
      <c r="H4">
        <f>HYPERLINK("https://booking.roadsurfer.com/es/rally/pick?pickup_date=2026-09-25&amp;return_date=2026-10-02&amp;currency=EUR&amp;startStation=40&amp;endStation=22",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Hamburgo</t>
        </is>
      </c>
      <c r="E5" t="inlineStr">
        <is>
          <t>2026-09-26</t>
        </is>
      </c>
      <c r="F5" t="inlineStr">
        <is>
          <t>2026-10-03</t>
        </is>
      </c>
      <c r="G5" t="inlineStr">
        <is>
          <t xml:space="preserve"> - No hay coche</t>
        </is>
      </c>
      <c r="H5">
        <f>HYPERLINK("https://booking.roadsurfer.com/es/rally/pick?pickup_date=2026-09-26&amp;return_date=2026-10-03&amp;currency=EUR&amp;startStation=13&amp;endStation=3",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2026-09-15</t>
        </is>
      </c>
      <c r="F6" t="inlineStr">
        <is>
          <t>2026-09-22</t>
        </is>
      </c>
      <c r="G6" t="inlineStr">
        <is>
          <t xml:space="preserve"> - Surfer Suite</t>
        </is>
      </c>
      <c r="H6">
        <f>HYPERLINK("https://booking.roadsurfer.com/es/rally/pick?pickup_date=2026-09-15&amp;return_date=2026-09-22&amp;currency=EUR&amp;startStation=13&amp;endStation=3",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2026-10-07</t>
        </is>
      </c>
      <c r="F7" t="inlineStr">
        <is>
          <t>2026-10-14</t>
        </is>
      </c>
      <c r="G7" t="inlineStr">
        <is>
          <t xml:space="preserve"> - Road House</t>
        </is>
      </c>
      <c r="H7">
        <f>HYPERLINK("https://booking.roadsurfer.com/es/rally/pick?pickup_date=2026-10-07&amp;return_date=2026-10-14&amp;currency=EUR&amp;startStation=13&amp;endStation=22", "Clic para verlo en la web de RoadSurfer")</f>
        <v/>
      </c>
    </row>
    <row r="8">
      <c r="A8" t="inlineStr">
        <is>
          <t>Francia</t>
        </is>
      </c>
      <c r="B8" t="inlineStr">
        <is>
          <t>Burdeos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2026-10-25</t>
        </is>
      </c>
      <c r="F8" t="inlineStr">
        <is>
          <t>2026-11-02</t>
        </is>
      </c>
      <c r="G8" t="inlineStr">
        <is>
          <t xml:space="preserve"> - No hay coche</t>
        </is>
      </c>
      <c r="H8">
        <f>HYPERLINK("https://booking.roadsurfer.com/es/rally/pick?pickup_date=2026-10-25&amp;return_date=2026-11-02&amp;currency=EUR&amp;startStation=13&amp;endStation=22", "Clic para verlo en la web de RoadSurfer")</f>
        <v/>
      </c>
    </row>
    <row r="9">
      <c r="A9" t="inlineStr">
        <is>
          <t>Francia</t>
        </is>
      </c>
      <c r="B9" t="inlineStr">
        <is>
          <t>Burdeos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2026-09-24</t>
        </is>
      </c>
      <c r="F9" t="inlineStr">
        <is>
          <t>2026-10-01</t>
        </is>
      </c>
      <c r="G9" t="inlineStr">
        <is>
          <t xml:space="preserve"> - Road House</t>
        </is>
      </c>
      <c r="H9">
        <f>HYPERLINK("https://booking.roadsurfer.com/es/rally/pick?pickup_date=2026-09-24&amp;return_date=2026-10-01&amp;currency=EUR&amp;startStation=13&amp;endStation=22",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2026-09-26</t>
        </is>
      </c>
      <c r="F10" t="inlineStr">
        <is>
          <t>2026-10-03</t>
        </is>
      </c>
      <c r="G10" t="inlineStr">
        <is>
          <t xml:space="preserve"> - No hay coche</t>
        </is>
      </c>
      <c r="H10">
        <f>HYPERLINK("https://booking.roadsurfer.com/es/rally/pick?pickup_date=2026-09-26&amp;return_date=2026-10-03&amp;currency=EUR&amp;startStation=13&amp;endStation=22",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2026-09-16</t>
        </is>
      </c>
      <c r="F11" t="inlineStr">
        <is>
          <t>2026-09-23</t>
        </is>
      </c>
      <c r="G11" t="inlineStr">
        <is>
          <t xml:space="preserve"> - Surfer Suite</t>
        </is>
      </c>
      <c r="H11">
        <f>HYPERLINK("https://booking.roadsurfer.com/es/rally/pick?pickup_date=2026-09-16&amp;return_date=2026-09-23&amp;currency=EUR&amp;startStation=13&amp;endStation=22",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2026-09-22</t>
        </is>
      </c>
      <c r="F12" t="inlineStr">
        <is>
          <t>2026-09-29</t>
        </is>
      </c>
      <c r="G12" t="inlineStr">
        <is>
          <t xml:space="preserve"> - Road House</t>
        </is>
      </c>
      <c r="H12">
        <f>HYPERLINK("https://booking.roadsurfer.com/es/rally/pick?pickup_date=2026-09-22&amp;return_date=2026-09-29&amp;currency=EUR&amp;startStation=13&amp;endStation=22",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2026-09-25</t>
        </is>
      </c>
      <c r="F13" t="inlineStr">
        <is>
          <t>2026-10-02</t>
        </is>
      </c>
      <c r="G13" t="inlineStr">
        <is>
          <t xml:space="preserve"> - Road House</t>
        </is>
      </c>
      <c r="H13">
        <f>HYPERLINK("https://booking.roadsurfer.com/es/rally/pick?pickup_date=2026-09-25&amp;return_date=2026-10-02&amp;currency=EUR&amp;startStation=13&amp;endStation=22",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Fráncfort</t>
        </is>
      </c>
      <c r="E14" t="inlineStr">
        <is>
          <t>2026-10-01</t>
        </is>
      </c>
      <c r="F14" t="inlineStr">
        <is>
          <t>2026-10-08</t>
        </is>
      </c>
      <c r="G14" t="inlineStr">
        <is>
          <t xml:space="preserve"> - Surfer Suite</t>
        </is>
      </c>
      <c r="H14">
        <f>HYPERLINK("https://booking.roadsurfer.com/es/rally/pick?pickup_date=2026-10-01&amp;return_date=2026-10-08&amp;currency=EUR&amp;startStation=13&amp;endStation=2",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Lübeck</t>
        </is>
      </c>
      <c r="E15" t="inlineStr">
        <is>
          <t>2026-09-15</t>
        </is>
      </c>
      <c r="F15" t="inlineStr">
        <is>
          <t>2026-09-22</t>
        </is>
      </c>
      <c r="G15" t="inlineStr">
        <is>
          <t xml:space="preserve"> - Surfer Suite</t>
        </is>
      </c>
      <c r="H15">
        <f>HYPERLINK("https://booking.roadsurfer.com/es/rally/pick?pickup_date=2026-09-15&amp;return_date=2026-09-22&amp;currency=EUR&amp;startStation=13&amp;endStation=109",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Constanza (Aach)</t>
        </is>
      </c>
      <c r="E16" t="inlineStr">
        <is>
          <t>2026-10-02</t>
        </is>
      </c>
      <c r="F16" t="inlineStr">
        <is>
          <t>2026-10-09</t>
        </is>
      </c>
      <c r="G16" t="inlineStr">
        <is>
          <t xml:space="preserve"> - Beach Hostel</t>
        </is>
      </c>
      <c r="H16">
        <f>HYPERLINK("https://booking.roadsurfer.com/es/rally/pick?pickup_date=2026-10-02&amp;return_date=2026-10-09&amp;currency=EUR&amp;startStation=13&amp;endStation=10", "Clic para verlo en la web de RoadSurfer")</f>
        <v/>
      </c>
    </row>
    <row r="17">
      <c r="A17" t="inlineStr">
        <is>
          <t>Bélgica</t>
        </is>
      </c>
      <c r="B17" t="inlineStr">
        <is>
          <t>Bruselas</t>
        </is>
      </c>
      <c r="C17" t="inlineStr">
        <is>
          <t>Alemania</t>
        </is>
      </c>
      <c r="D17" t="inlineStr">
        <is>
          <t>Wurzburgo</t>
        </is>
      </c>
      <c r="E17" t="inlineStr">
        <is>
          <t>2026-09-25</t>
        </is>
      </c>
      <c r="F17" t="inlineStr">
        <is>
          <t>2026-10-02</t>
        </is>
      </c>
      <c r="G17" t="inlineStr">
        <is>
          <t xml:space="preserve"> - No hay coche</t>
        </is>
      </c>
      <c r="H17">
        <f>HYPERLINK("https://booking.roadsurfer.com/es/rally/pick?pickup_date=2026-09-25&amp;return_date=2026-10-02&amp;currency=EUR&amp;startStation=42&amp;endStation=115", "Clic para verlo en la web de RoadSurfer")</f>
        <v/>
      </c>
    </row>
    <row r="18">
      <c r="A18" t="inlineStr">
        <is>
          <t>Francia</t>
        </is>
      </c>
      <c r="B18" t="inlineStr">
        <is>
          <t>Lille</t>
        </is>
      </c>
      <c r="C18" t="inlineStr">
        <is>
          <t>Alemania</t>
        </is>
      </c>
      <c r="D18" t="inlineStr">
        <is>
          <t>Hannover</t>
        </is>
      </c>
      <c r="E18" t="inlineStr">
        <is>
          <t>2026-09-24</t>
        </is>
      </c>
      <c r="F18" t="inlineStr">
        <is>
          <t>2026-10-01</t>
        </is>
      </c>
      <c r="G18" t="inlineStr">
        <is>
          <t xml:space="preserve"> - Surfer Suite</t>
        </is>
      </c>
      <c r="H18">
        <f>HYPERLINK("https://booking.roadsurfer.com/es/rally/pick?pickup_date=2026-09-24&amp;return_date=2026-10-01&amp;currency=EUR&amp;startStation=87&amp;endStation=7", "Clic para verlo en la web de RoadSurfer")</f>
        <v/>
      </c>
    </row>
    <row r="19">
      <c r="A19" t="inlineStr">
        <is>
          <t>Francia</t>
        </is>
      </c>
      <c r="B19" t="inlineStr">
        <is>
          <t>Lille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2026-10-10</t>
        </is>
      </c>
      <c r="F19" t="inlineStr">
        <is>
          <t>2026-10-17</t>
        </is>
      </c>
      <c r="G19" t="inlineStr">
        <is>
          <t xml:space="preserve"> - No hay coche</t>
        </is>
      </c>
      <c r="H19">
        <f>HYPERLINK("https://booking.roadsurfer.com/es/rally/pick?pickup_date=2026-10-10&amp;return_date=2026-10-17&amp;currency=EUR&amp;startStation=87&amp;endStation=22", "Clic para verlo en la web de RoadSurfer")</f>
        <v/>
      </c>
    </row>
    <row r="20">
      <c r="A20" t="inlineStr">
        <is>
          <t>Francia</t>
        </is>
      </c>
      <c r="B20" t="inlineStr">
        <is>
          <t>Lyon</t>
        </is>
      </c>
      <c r="C20" t="inlineStr">
        <is>
          <t>Alemania</t>
        </is>
      </c>
      <c r="D20" t="inlineStr">
        <is>
          <t>Bremen</t>
        </is>
      </c>
      <c r="E20" t="inlineStr">
        <is>
          <t>2026-10-05</t>
        </is>
      </c>
      <c r="F20" t="inlineStr">
        <is>
          <t>2026-10-12</t>
        </is>
      </c>
      <c r="G20" t="inlineStr">
        <is>
          <t xml:space="preserve"> - Travel Home</t>
        </is>
      </c>
      <c r="H20">
        <f>HYPERLINK("https://booking.roadsurfer.com/es/rally/pick?pickup_date=2026-10-05&amp;return_date=2026-10-12&amp;currency=EUR&amp;startStation=15&amp;endStation=55", "Clic para verlo en la web de RoadSurfer")</f>
        <v/>
      </c>
    </row>
    <row r="21">
      <c r="A21" t="inlineStr">
        <is>
          <t>Francia</t>
        </is>
      </c>
      <c r="B21" t="inlineStr">
        <is>
          <t>Lyon</t>
        </is>
      </c>
      <c r="C21" t="inlineStr">
        <is>
          <t>Alemania</t>
        </is>
      </c>
      <c r="D21" t="inlineStr">
        <is>
          <t>Erfurt</t>
        </is>
      </c>
      <c r="E21" t="inlineStr">
        <is>
          <t>2026-10-08</t>
        </is>
      </c>
      <c r="F21" t="inlineStr">
        <is>
          <t>2026-10-15</t>
        </is>
      </c>
      <c r="G21" t="inlineStr">
        <is>
          <t xml:space="preserve"> - Surfer Suite</t>
        </is>
      </c>
      <c r="H21">
        <f>HYPERLINK("https://booking.roadsurfer.com/es/rally/pick?pickup_date=2026-10-08&amp;return_date=2026-10-15&amp;currency=EUR&amp;startStation=15&amp;endStation=90", "Clic para verlo en la web de RoadSurfer")</f>
        <v/>
      </c>
    </row>
    <row r="22">
      <c r="A22" t="inlineStr">
        <is>
          <t>Francia</t>
        </is>
      </c>
      <c r="B22" t="inlineStr">
        <is>
          <t>Lyon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2026-09-14</t>
        </is>
      </c>
      <c r="F22" t="inlineStr">
        <is>
          <t>2026-09-21</t>
        </is>
      </c>
      <c r="G22" t="inlineStr">
        <is>
          <t xml:space="preserve"> - Surfer Suite</t>
        </is>
      </c>
      <c r="H22">
        <f>HYPERLINK("https://booking.roadsurfer.com/es/rally/pick?pickup_date=2026-09-14&amp;return_date=2026-09-21&amp;currency=EUR&amp;startStation=15&amp;endStation=22", "Clic para verlo en la web de RoadSurfer")</f>
        <v/>
      </c>
    </row>
    <row r="23">
      <c r="A23" t="inlineStr">
        <is>
          <t>España</t>
        </is>
      </c>
      <c r="B23" t="inlineStr">
        <is>
          <t>Madrid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2026-10-05</t>
        </is>
      </c>
      <c r="F23" t="inlineStr">
        <is>
          <t>2026-10-12</t>
        </is>
      </c>
      <c r="G23" t="inlineStr">
        <is>
          <t xml:space="preserve"> - No hay coche</t>
        </is>
      </c>
      <c r="H23">
        <f>HYPERLINK("https://booking.roadsurfer.com/es/rally/pick?pickup_date=2026-10-05&amp;return_date=2026-10-12&amp;currency=EUR&amp;startStation=20&amp;endStation=22", "Clic para verlo en la web de RoadSurfer")</f>
        <v/>
      </c>
    </row>
    <row r="24">
      <c r="A24" t="inlineStr">
        <is>
          <t>España</t>
        </is>
      </c>
      <c r="B24" t="inlineStr">
        <is>
          <t>Madrid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2026-09-25</t>
        </is>
      </c>
      <c r="F24" t="inlineStr">
        <is>
          <t>2026-10-02</t>
        </is>
      </c>
      <c r="G24" t="inlineStr">
        <is>
          <t xml:space="preserve"> - Surfer Suite - Couple Cottage - COUPLE COTTAGE</t>
        </is>
      </c>
      <c r="H24">
        <f>HYPERLINK("https://booking.roadsurfer.com/es/rally/pick?pickup_date=2026-09-25&amp;return_date=2026-10-02&amp;currency=EUR&amp;startStation=20&amp;endStation=22", "Clic para verlo en la web de RoadSurfer")</f>
        <v/>
      </c>
    </row>
    <row r="25">
      <c r="A25" t="inlineStr">
        <is>
          <t>España</t>
        </is>
      </c>
      <c r="B25" t="inlineStr">
        <is>
          <t>Madrid</t>
        </is>
      </c>
      <c r="C25" t="inlineStr">
        <is>
          <t>Alemania</t>
        </is>
      </c>
      <c r="D25" t="inlineStr">
        <is>
          <t>Bremen</t>
        </is>
      </c>
      <c r="E25" t="inlineStr">
        <is>
          <t>2026-09-28</t>
        </is>
      </c>
      <c r="F25" t="inlineStr">
        <is>
          <t>2026-10-05</t>
        </is>
      </c>
      <c r="G25" t="inlineStr">
        <is>
          <t xml:space="preserve"> - Beach Hostel</t>
        </is>
      </c>
      <c r="H25">
        <f>HYPERLINK("https://booking.roadsurfer.com/es/rally/pick?pickup_date=2026-09-28&amp;return_date=2026-10-05&amp;currency=EUR&amp;startStation=20&amp;endStation=55", "Clic para verlo en la web de RoadSurfer")</f>
        <v/>
      </c>
    </row>
    <row r="26">
      <c r="A26" t="inlineStr">
        <is>
          <t>España</t>
        </is>
      </c>
      <c r="B26" t="inlineStr">
        <is>
          <t>Madrid</t>
        </is>
      </c>
      <c r="C26" t="inlineStr">
        <is>
          <t>Alemania</t>
        </is>
      </c>
      <c r="D26" t="inlineStr">
        <is>
          <t>Leipzig</t>
        </is>
      </c>
      <c r="E26" t="inlineStr">
        <is>
          <t>2026-10-20</t>
        </is>
      </c>
      <c r="F26" t="inlineStr">
        <is>
          <t>2026-10-27</t>
        </is>
      </c>
      <c r="G26" t="inlineStr">
        <is>
          <t xml:space="preserve"> - Surfer Suite</t>
        </is>
      </c>
      <c r="H26">
        <f>HYPERLINK("https://booking.roadsurfer.com/es/rally/pick?pickup_date=2026-10-20&amp;return_date=2026-10-27&amp;currency=EUR&amp;startStation=20&amp;endStation=8", "Clic para verlo en la web de RoadSurfer")</f>
        <v/>
      </c>
    </row>
    <row r="27">
      <c r="A27" t="inlineStr">
        <is>
          <t>España</t>
        </is>
      </c>
      <c r="B27" t="inlineStr">
        <is>
          <t>Madrid</t>
        </is>
      </c>
      <c r="C27" t="inlineStr">
        <is>
          <t>Alemania</t>
        </is>
      </c>
      <c r="D27" t="inlineStr">
        <is>
          <t>Leipzig</t>
        </is>
      </c>
      <c r="E27" t="inlineStr">
        <is>
          <t>2026-10-03</t>
        </is>
      </c>
      <c r="F27" t="inlineStr">
        <is>
          <t>2026-10-10</t>
        </is>
      </c>
      <c r="G27" t="inlineStr">
        <is>
          <t xml:space="preserve"> - Road House</t>
        </is>
      </c>
      <c r="H27">
        <f>HYPERLINK("https://booking.roadsurfer.com/es/rally/pick?pickup_date=2026-10-03&amp;return_date=2026-10-10&amp;currency=EUR&amp;startStation=20&amp;endStation=8", "Clic para verlo en la web de RoadSurfer")</f>
        <v/>
      </c>
    </row>
    <row r="28">
      <c r="A28" t="inlineStr">
        <is>
          <t>Francia</t>
        </is>
      </c>
      <c r="B28" t="inlineStr">
        <is>
          <t>Nantes</t>
        </is>
      </c>
      <c r="C28" t="inlineStr">
        <is>
          <t>Alemania</t>
        </is>
      </c>
      <c r="D28" t="inlineStr">
        <is>
          <t>Hamburgo</t>
        </is>
      </c>
      <c r="E28" t="inlineStr">
        <is>
          <t>2026-09-30</t>
        </is>
      </c>
      <c r="F28" t="inlineStr">
        <is>
          <t>2026-10-07</t>
        </is>
      </c>
      <c r="G28" t="inlineStr">
        <is>
          <t xml:space="preserve"> - Surfer Suite</t>
        </is>
      </c>
      <c r="H28">
        <f>HYPERLINK("https://booking.roadsurfer.com/es/rally/pick?pickup_date=2026-09-30&amp;return_date=2026-10-07&amp;currency=EUR&amp;startStation=31&amp;endStation=3", "Clic para verlo en la web de RoadSurfer")</f>
        <v/>
      </c>
    </row>
    <row r="29">
      <c r="A29" t="inlineStr">
        <is>
          <t>Francia</t>
        </is>
      </c>
      <c r="B29" t="inlineStr">
        <is>
          <t>Nantes</t>
        </is>
      </c>
      <c r="C29" t="inlineStr">
        <is>
          <t>Alemania</t>
        </is>
      </c>
      <c r="D29" t="inlineStr">
        <is>
          <t>Lübeck</t>
        </is>
      </c>
      <c r="E29" t="inlineStr">
        <is>
          <t>2026-09-25</t>
        </is>
      </c>
      <c r="F29" t="inlineStr">
        <is>
          <t>2026-10-02</t>
        </is>
      </c>
      <c r="G29" t="inlineStr">
        <is>
          <t xml:space="preserve"> - Beach Hostel</t>
        </is>
      </c>
      <c r="H29">
        <f>HYPERLINK("https://booking.roadsurfer.com/es/rally/pick?pickup_date=2026-09-25&amp;return_date=2026-10-02&amp;currency=EUR&amp;startStation=31&amp;endStation=109", "Clic para verlo en la web de RoadSurfer")</f>
        <v/>
      </c>
    </row>
    <row r="30">
      <c r="A30" t="inlineStr">
        <is>
          <t>Francia</t>
        </is>
      </c>
      <c r="B30" t="inlineStr">
        <is>
          <t>París Sur (Orly)</t>
        </is>
      </c>
      <c r="C30" t="inlineStr">
        <is>
          <t>Alemania</t>
        </is>
      </c>
      <c r="D30" t="inlineStr">
        <is>
          <t>Fráncfort</t>
        </is>
      </c>
      <c r="E30" t="inlineStr">
        <is>
          <t>2026-08-25</t>
        </is>
      </c>
      <c r="F30" t="inlineStr">
        <is>
          <t>2026-08-28</t>
        </is>
      </c>
      <c r="G30" t="inlineStr">
        <is>
          <t xml:space="preserve"> - Travel Home</t>
        </is>
      </c>
      <c r="H30">
        <f>HYPERLINK("https://booking.roadsurfer.com/es/rally/pick?pickup_date=2026-08-25&amp;return_date=2026-08-28&amp;currency=EUR&amp;startStation=12&amp;endStation=2", "Clic para verlo en la web de RoadSurfer")</f>
        <v/>
      </c>
    </row>
    <row r="31">
      <c r="A31" t="inlineStr">
        <is>
          <t>Francia</t>
        </is>
      </c>
      <c r="B31" t="inlineStr">
        <is>
          <t>París Sur (Orly)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2026-09-15</t>
        </is>
      </c>
      <c r="F31" t="inlineStr">
        <is>
          <t>2026-09-22</t>
        </is>
      </c>
      <c r="G31" t="inlineStr">
        <is>
          <t xml:space="preserve"> - Camper Cabin</t>
        </is>
      </c>
      <c r="H31">
        <f>HYPERLINK("https://booking.roadsurfer.com/es/rally/pick?pickup_date=2026-09-15&amp;return_date=2026-09-22&amp;currency=EUR&amp;startStation=12&amp;endStation=22", "Clic para verlo en la web de RoadSurfer")</f>
        <v/>
      </c>
    </row>
    <row r="32">
      <c r="A32" t="inlineStr">
        <is>
          <t>Francia</t>
        </is>
      </c>
      <c r="B32" t="inlineStr">
        <is>
          <t>París Sur (Orly)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2026-09-28</t>
        </is>
      </c>
      <c r="F32" t="inlineStr">
        <is>
          <t>2026-10-05</t>
        </is>
      </c>
      <c r="G32" t="inlineStr">
        <is>
          <t xml:space="preserve"> - Travel Home</t>
        </is>
      </c>
      <c r="H32">
        <f>HYPERLINK("https://booking.roadsurfer.com/es/rally/pick?pickup_date=2026-09-28&amp;return_date=2026-10-05&amp;currency=EUR&amp;startStation=12&amp;endStation=22", "Clic para verlo en la web de RoadSurfer")</f>
        <v/>
      </c>
    </row>
    <row r="33">
      <c r="A33" t="inlineStr">
        <is>
          <t>Francia</t>
        </is>
      </c>
      <c r="B33" t="inlineStr">
        <is>
          <t>París Sur (Orly)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2026-09-11</t>
        </is>
      </c>
      <c r="F33" t="inlineStr">
        <is>
          <t>2026-09-18</t>
        </is>
      </c>
      <c r="G33" t="inlineStr">
        <is>
          <t xml:space="preserve"> - Surfer Suite</t>
        </is>
      </c>
      <c r="H33">
        <f>HYPERLINK("https://booking.roadsurfer.com/es/rally/pick?pickup_date=2026-09-11&amp;return_date=2026-09-18&amp;currency=EUR&amp;startStation=12&amp;endStation=22", "Clic para verlo en la web de RoadSurfer")</f>
        <v/>
      </c>
    </row>
    <row r="34">
      <c r="A34" t="inlineStr">
        <is>
          <t>Francia</t>
        </is>
      </c>
      <c r="B34" t="inlineStr">
        <is>
          <t>París Sur (Orly)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2026-09-26</t>
        </is>
      </c>
      <c r="F34" t="inlineStr">
        <is>
          <t>2026-10-03</t>
        </is>
      </c>
      <c r="G34" t="inlineStr">
        <is>
          <t xml:space="preserve"> - No hay coche</t>
        </is>
      </c>
      <c r="H34">
        <f>HYPERLINK("https://booking.roadsurfer.com/es/rally/pick?pickup_date=2026-09-26&amp;return_date=2026-10-03&amp;currency=EUR&amp;startStation=12&amp;endStation=22", "Clic para verlo en la web de RoadSurfer")</f>
        <v/>
      </c>
    </row>
    <row r="35">
      <c r="A35" t="inlineStr">
        <is>
          <t>Francia</t>
        </is>
      </c>
      <c r="B35" t="inlineStr">
        <is>
          <t>París Sur (Orly)</t>
        </is>
      </c>
      <c r="C35" t="inlineStr">
        <is>
          <t>Alemania</t>
        </is>
      </c>
      <c r="D35" t="inlineStr">
        <is>
          <t>Hannover</t>
        </is>
      </c>
      <c r="E35" t="inlineStr">
        <is>
          <t>2026-09-12</t>
        </is>
      </c>
      <c r="F35" t="inlineStr">
        <is>
          <t>2026-09-19</t>
        </is>
      </c>
      <c r="G35" t="inlineStr">
        <is>
          <t xml:space="preserve"> - Camper Cabin</t>
        </is>
      </c>
      <c r="H35">
        <f>HYPERLINK("https://booking.roadsurfer.com/es/rally/pick?pickup_date=2026-09-12&amp;return_date=2026-09-19&amp;currency=EUR&amp;startStation=12&amp;endStation=7", "Clic para verlo en la web de RoadSurfer")</f>
        <v/>
      </c>
    </row>
    <row r="36">
      <c r="A36" t="inlineStr">
        <is>
          <t>Francia</t>
        </is>
      </c>
      <c r="B36" t="inlineStr">
        <is>
          <t>París Sur (Orly)</t>
        </is>
      </c>
      <c r="C36" t="inlineStr">
        <is>
          <t>Alemania</t>
        </is>
      </c>
      <c r="D36" t="inlineStr">
        <is>
          <t>Duisburgo</t>
        </is>
      </c>
      <c r="E36" t="inlineStr">
        <is>
          <t>2026-09-26</t>
        </is>
      </c>
      <c r="F36" t="inlineStr">
        <is>
          <t>2026-10-03</t>
        </is>
      </c>
      <c r="G36" t="inlineStr">
        <is>
          <t xml:space="preserve"> - No hay coche</t>
        </is>
      </c>
      <c r="H36">
        <f>HYPERLINK("https://booking.roadsurfer.com/es/rally/pick?pickup_date=2026-09-26&amp;return_date=2026-10-03&amp;currency=EUR&amp;startStation=12&amp;endStation=113", "Clic para verlo en la web de RoadSurfer")</f>
        <v/>
      </c>
    </row>
    <row r="37">
      <c r="A37" t="inlineStr">
        <is>
          <t>Francia</t>
        </is>
      </c>
      <c r="B37" t="inlineStr">
        <is>
          <t>París Aeropuerto CDG</t>
        </is>
      </c>
      <c r="C37" t="inlineStr">
        <is>
          <t>Alemania</t>
        </is>
      </c>
      <c r="D37" t="inlineStr">
        <is>
          <t>Hannover</t>
        </is>
      </c>
      <c r="E37" t="inlineStr">
        <is>
          <t>2026-10-10</t>
        </is>
      </c>
      <c r="F37" t="inlineStr">
        <is>
          <t>2026-10-17</t>
        </is>
      </c>
      <c r="G37" t="inlineStr">
        <is>
          <t xml:space="preserve"> - Family Finca</t>
        </is>
      </c>
      <c r="H37">
        <f>HYPERLINK("https://booking.roadsurfer.com/es/rally/pick?pickup_date=2026-10-10&amp;return_date=2026-10-17&amp;currency=EUR&amp;startStation=48&amp;endStation=7", "Clic para verlo en la web de RoadSurfer")</f>
        <v/>
      </c>
    </row>
    <row r="38">
      <c r="A38" t="inlineStr">
        <is>
          <t>EE.UU.</t>
        </is>
      </c>
      <c r="B38" t="inlineStr">
        <is>
          <t>Seattle</t>
        </is>
      </c>
      <c r="C38" t="inlineStr">
        <is>
          <t>EE.UU.</t>
        </is>
      </c>
      <c r="D38" t="inlineStr">
        <is>
          <t>San Francisco</t>
        </is>
      </c>
      <c r="E38" t="inlineStr">
        <is>
          <t>2026-09-28</t>
        </is>
      </c>
      <c r="F38" t="inlineStr">
        <is>
          <t>2026-10-05</t>
        </is>
      </c>
      <c r="G38" t="inlineStr">
        <is>
          <t xml:space="preserve"> - Liberty Lodge</t>
        </is>
      </c>
      <c r="H38">
        <f>HYPERLINK("https://booking.roadsurfer.com/es/rally/pick?pickup_date=2026-09-28&amp;return_date=2026-10-05&amp;currency=EUR&amp;startStation=107&amp;endStation=75", "Clic para verlo en la web de RoadSurfer")</f>
        <v/>
      </c>
    </row>
    <row r="39">
      <c r="A39" t="inlineStr">
        <is>
          <t>EE.UU.</t>
        </is>
      </c>
      <c r="B39" t="inlineStr">
        <is>
          <t>Seattle</t>
        </is>
      </c>
      <c r="C39" t="inlineStr">
        <is>
          <t>EE.UU.</t>
        </is>
      </c>
      <c r="D39" t="inlineStr">
        <is>
          <t>Phoenix</t>
        </is>
      </c>
      <c r="E39" t="inlineStr">
        <is>
          <t>2026-09-28</t>
        </is>
      </c>
      <c r="F39" t="inlineStr">
        <is>
          <t>2026-10-05</t>
        </is>
      </c>
      <c r="G39" t="inlineStr">
        <is>
          <t xml:space="preserve"> - Liberty Lodge</t>
        </is>
      </c>
      <c r="H39">
        <f>HYPERLINK("https://booking.roadsurfer.com/es/rally/pick?pickup_date=2026-09-28&amp;return_date=2026-10-05&amp;currency=EUR&amp;startStation=107&amp;endStation=105", "Clic para verlo en la web de RoadSurfer")</f>
        <v/>
      </c>
    </row>
    <row r="40">
      <c r="A40" t="inlineStr">
        <is>
          <t>EE.UU.</t>
        </is>
      </c>
      <c r="B40" t="inlineStr">
        <is>
          <t>Seattle</t>
        </is>
      </c>
      <c r="C40" t="inlineStr">
        <is>
          <t>EE.UU.</t>
        </is>
      </c>
      <c r="D40" t="inlineStr">
        <is>
          <t>Los Ángeles</t>
        </is>
      </c>
      <c r="E40" t="inlineStr">
        <is>
          <t>2026-09-15</t>
        </is>
      </c>
      <c r="F40" t="inlineStr">
        <is>
          <t>2026-09-22</t>
        </is>
      </c>
      <c r="G40" t="inlineStr">
        <is>
          <t xml:space="preserve"> - Liberty Lodge</t>
        </is>
      </c>
      <c r="H40">
        <f>HYPERLINK("https://booking.roadsurfer.com/es/rally/pick?pickup_date=2026-09-15&amp;return_date=2026-09-22&amp;currency=EUR&amp;startStation=107&amp;endStation=72", "Clic para verlo en la web de RoadSurfer")</f>
        <v/>
      </c>
    </row>
    <row r="41">
      <c r="A41" t="inlineStr">
        <is>
          <t>Francia</t>
        </is>
      </c>
      <c r="B41" t="inlineStr">
        <is>
          <t>Toulouse</t>
        </is>
      </c>
      <c r="C41" t="inlineStr">
        <is>
          <t>Alemania</t>
        </is>
      </c>
      <c r="D41" t="inlineStr">
        <is>
          <t>Lübeck</t>
        </is>
      </c>
      <c r="E41" t="inlineStr">
        <is>
          <t>2026-09-24</t>
        </is>
      </c>
      <c r="F41" t="inlineStr">
        <is>
          <t>2026-10-01</t>
        </is>
      </c>
      <c r="G41" t="inlineStr">
        <is>
          <t xml:space="preserve"> - ROAD HOUSE</t>
        </is>
      </c>
      <c r="H41">
        <f>HYPERLINK("https://booking.roadsurfer.com/es/rally/pick?pickup_date=2026-09-24&amp;return_date=2026-10-01&amp;currency=EUR&amp;startStation=30&amp;endStation=109", "Clic para verlo en la web de RoadSurfer")</f>
        <v/>
      </c>
    </row>
    <row r="42">
      <c r="A42" t="inlineStr">
        <is>
          <t>Francia</t>
        </is>
      </c>
      <c r="B42" t="inlineStr">
        <is>
          <t>Toulouse</t>
        </is>
      </c>
      <c r="C42" t="inlineStr">
        <is>
          <t>Alemania</t>
        </is>
      </c>
      <c r="D42" t="inlineStr">
        <is>
          <t>Hamburgo</t>
        </is>
      </c>
      <c r="E42" t="inlineStr">
        <is>
          <t>2026-09-30</t>
        </is>
      </c>
      <c r="F42" t="inlineStr">
        <is>
          <t>2026-10-07</t>
        </is>
      </c>
      <c r="G42" t="inlineStr">
        <is>
          <t xml:space="preserve"> - Surfer Suite</t>
        </is>
      </c>
      <c r="H42">
        <f>HYPERLINK("https://booking.roadsurfer.com/es/rally/pick?pickup_date=2026-09-30&amp;return_date=2026-10-07&amp;currency=EUR&amp;startStation=30&amp;endStation=3", "Clic para verlo en la web de RoadSurfer")</f>
        <v/>
      </c>
    </row>
    <row r="43">
      <c r="A43" t="inlineStr">
        <is>
          <t>España</t>
        </is>
      </c>
      <c r="B43" t="inlineStr">
        <is>
          <t>Valencia</t>
        </is>
      </c>
      <c r="C43" t="inlineStr">
        <is>
          <t>Alemania</t>
        </is>
      </c>
      <c r="D43" t="inlineStr">
        <is>
          <t>Bremen</t>
        </is>
      </c>
      <c r="E43" t="inlineStr">
        <is>
          <t>2026-10-21</t>
        </is>
      </c>
      <c r="F43" t="inlineStr">
        <is>
          <t>2026-10-28</t>
        </is>
      </c>
      <c r="G43" t="inlineStr">
        <is>
          <t xml:space="preserve"> - Surfer Suite</t>
        </is>
      </c>
      <c r="H43">
        <f>HYPERLINK("https://booking.roadsurfer.com/es/rally/pick?pickup_date=2026-10-21&amp;return_date=2026-10-28&amp;currency=EUR&amp;startStation=38&amp;endStation=55", "Clic para verlo en la web de RoadSurfer")</f>
        <v/>
      </c>
    </row>
    <row r="44">
      <c r="A44" t="inlineStr">
        <is>
          <t>España</t>
        </is>
      </c>
      <c r="B44" t="inlineStr">
        <is>
          <t>Valencia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2026-10-07</t>
        </is>
      </c>
      <c r="F44" t="inlineStr">
        <is>
          <t>2026-10-14</t>
        </is>
      </c>
      <c r="G44" t="inlineStr">
        <is>
          <t xml:space="preserve"> - No hay coche</t>
        </is>
      </c>
      <c r="H44">
        <f>HYPERLINK("https://booking.roadsurfer.com/es/rally/pick?pickup_date=2026-10-07&amp;return_date=2026-10-14&amp;currency=EUR&amp;startStation=38&amp;endStation=22",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2026-08-19T08:31:06Z</dcterms:created>
  <dcterms:modified xsi:type="dcterms:W3CDTF">2026-08-19T08:31:06Z</dcterms:modified>
</cp:coreProperties>
</file>