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No hay coche</t>
        </is>
      </c>
      <c r="H20">
        <f>HYPERLINK("https://booking.roadsurfer.com/es/rally/pick?pickup_date=2026-03-09&amp;return_date=2026-03-16&amp;currency=EUR&amp;startStation=16&amp;endStation=11", "Clic para verlo en la web de RoadSurfer")</f>
        <v/>
      </c>
    </row>
    <row r="21">
      <c r="A21" t="inlineStr">
        <is>
          <t>Francia</t>
        </is>
      </c>
      <c r="B21" t="inlineStr">
        <is>
          <t>Aix-Marsella</t>
        </is>
      </c>
      <c r="C21" t="inlineStr">
        <is>
          <t>Alemania</t>
        </is>
      </c>
      <c r="D21" t="inlineStr">
        <is>
          <t>Núremberg</t>
        </is>
      </c>
      <c r="E21" t="inlineStr">
        <is>
          <t>2026-03-23</t>
        </is>
      </c>
      <c r="F21" t="inlineStr">
        <is>
          <t>2026-03-30</t>
        </is>
      </c>
      <c r="G21" t="inlineStr">
        <is>
          <t xml:space="preserve"> - ROAD HOUSE</t>
        </is>
      </c>
      <c r="H21">
        <f>HYPERLINK("https://booking.roadsurfer.com/es/rally/pick?pickup_date=2026-03-23&amp;return_date=2026-03-30&amp;currency=EUR&amp;startStation=16&amp;endStation=11", "Clic para verlo en la web de RoadSurfer")</f>
        <v/>
      </c>
    </row>
    <row r="22">
      <c r="A22" t="inlineStr">
        <is>
          <t>Francia</t>
        </is>
      </c>
      <c r="B22" t="inlineStr">
        <is>
          <t>Aix-Marsella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2026-03-09</t>
        </is>
      </c>
      <c r="F22" t="inlineStr">
        <is>
          <t>2026-03-16</t>
        </is>
      </c>
      <c r="G22" t="inlineStr">
        <is>
          <t xml:space="preserve"> - Road House</t>
        </is>
      </c>
      <c r="H22">
        <f>HYPERLINK("https://booking.roadsurfer.com/es/rally/pick?pickup_date=2026-03-09&amp;return_date=2026-03-16&amp;currency=EUR&amp;startStation=16&amp;endStation=29",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2026-03-16</t>
        </is>
      </c>
      <c r="F23" t="inlineStr">
        <is>
          <t>2026-03-23</t>
        </is>
      </c>
      <c r="G23" t="inlineStr">
        <is>
          <t xml:space="preserve"> - Surfer Suite</t>
        </is>
      </c>
      <c r="H23">
        <f>HYPERLINK("https://booking.roadsurfer.com/es/rally/pick?pickup_date=2026-03-16&amp;return_date=2026-03-23&amp;currency=EUR&amp;startStation=32&amp;endStation=113",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2026-03-03</t>
        </is>
      </c>
      <c r="F24" t="inlineStr">
        <is>
          <t>2026-03-10</t>
        </is>
      </c>
      <c r="G24" t="inlineStr">
        <is>
          <t xml:space="preserve"> - Surfer Suite - Family Finca</t>
        </is>
      </c>
      <c r="H24">
        <f>HYPERLINK("https://booking.roadsurfer.com/es/rally/pick?pickup_date=2026-03-03&amp;return_date=2026-03-10&amp;currency=EUR&amp;startStation=32&amp;endStation=22",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Surfer Suite</t>
        </is>
      </c>
      <c r="H25">
        <f>HYPERLINK("https://booking.roadsurfer.com/es/rally/pick?pickup_date=2026-03-06&amp;return_date=2026-03-13&amp;currency=EUR&amp;startStation=32&amp;endStation=22",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2026-02-23</t>
        </is>
      </c>
      <c r="F26" t="inlineStr">
        <is>
          <t>2026-03-02</t>
        </is>
      </c>
      <c r="G26" t="inlineStr">
        <is>
          <t xml:space="preserve"> - Surfer Suite</t>
        </is>
      </c>
      <c r="H26">
        <f>HYPERLINK("https://booking.roadsurfer.com/es/rally/pick?pickup_date=2026-02-23&amp;return_date=2026-03-02&amp;currency=EUR&amp;startStation=32&amp;endStation=4",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Colonia-Bonn</t>
        </is>
      </c>
      <c r="E27" t="inlineStr">
        <is>
          <t>2026-02-21</t>
        </is>
      </c>
      <c r="F27" t="inlineStr">
        <is>
          <t>2026-02-28</t>
        </is>
      </c>
      <c r="G27" t="inlineStr">
        <is>
          <t xml:space="preserve"> - COUPLE COTTAGE</t>
        </is>
      </c>
      <c r="H27">
        <f>HYPERLINK("https://booking.roadsurfer.com/es/rally/pick?pickup_date=2026-02-21&amp;return_date=2026-02-28&amp;currency=EUR&amp;startStation=32&amp;endStation=52",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Países Bajos</t>
        </is>
      </c>
      <c r="D28" t="inlineStr">
        <is>
          <t>Ámsterdam</t>
        </is>
      </c>
      <c r="E28" t="inlineStr">
        <is>
          <t>2026-03-11</t>
        </is>
      </c>
      <c r="F28" t="inlineStr">
        <is>
          <t>2026-03-18</t>
        </is>
      </c>
      <c r="G28" t="inlineStr">
        <is>
          <t xml:space="preserve"> - Road House</t>
        </is>
      </c>
      <c r="H28">
        <f>HYPERLINK("https://booking.roadsurfer.com/es/rally/pick?pickup_date=2026-03-11&amp;return_date=2026-03-18&amp;currency=EUR&amp;startStation=47&amp;endStation=32",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Países Bajos</t>
        </is>
      </c>
      <c r="D29" t="inlineStr">
        <is>
          <t>Ámsterdam</t>
        </is>
      </c>
      <c r="E29" t="inlineStr">
        <is>
          <t>2026-02-26</t>
        </is>
      </c>
      <c r="F29" t="inlineStr">
        <is>
          <t>2026-03-05</t>
        </is>
      </c>
      <c r="G29" t="inlineStr">
        <is>
          <t xml:space="preserve"> - Camper Castle</t>
        </is>
      </c>
      <c r="H29">
        <f>HYPERLINK("https://booking.roadsurfer.com/es/rally/pick?pickup_date=2026-02-26&amp;return_date=2026-03-05&amp;currency=EUR&amp;startStation=47&amp;endStation=32",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2026-02-18</t>
        </is>
      </c>
      <c r="F30" t="inlineStr">
        <is>
          <t>2026-02-25</t>
        </is>
      </c>
      <c r="G30" t="inlineStr">
        <is>
          <t xml:space="preserve"> - Surfer Suite</t>
        </is>
      </c>
      <c r="H30">
        <f>HYPERLINK("https://booking.roadsurfer.com/es/rally/pick?pickup_date=2026-02-18&amp;return_date=2026-02-25&amp;currency=EUR&amp;startStation=47&amp;endStation=56",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2026-02-23</t>
        </is>
      </c>
      <c r="F31" t="inlineStr">
        <is>
          <t>2026-03-02</t>
        </is>
      </c>
      <c r="G31" t="inlineStr">
        <is>
          <t xml:space="preserve"> - Beach Hostel</t>
        </is>
      </c>
      <c r="H31">
        <f>HYPERLINK("https://booking.roadsurfer.com/es/rally/pick?pickup_date=2026-02-23&amp;return_date=2026-03-02&amp;currency=EUR&amp;startStation=47&amp;endStation=56",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2026-03-12</t>
        </is>
      </c>
      <c r="F32" t="inlineStr">
        <is>
          <t>2026-03-19</t>
        </is>
      </c>
      <c r="G32" t="inlineStr">
        <is>
          <t xml:space="preserve"> - Beach Hostel</t>
        </is>
      </c>
      <c r="H32">
        <f>HYPERLINK("https://booking.roadsurfer.com/es/rally/pick?pickup_date=2026-03-12&amp;return_date=2026-03-19&amp;currency=EUR&amp;startStation=47&amp;endStation=56",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2026-03-14</t>
        </is>
      </c>
      <c r="F33" t="inlineStr">
        <is>
          <t>2026-03-21</t>
        </is>
      </c>
      <c r="G33" t="inlineStr">
        <is>
          <t xml:space="preserve"> - Sunrise Suite</t>
        </is>
      </c>
      <c r="H33">
        <f>HYPERLINK("https://booking.roadsurfer.com/es/rally/pick?pickup_date=2026-03-14&amp;return_date=2026-03-21&amp;currency=EUR&amp;startStation=47&amp;endStation=56",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2026-03-18</t>
        </is>
      </c>
      <c r="F34" t="inlineStr">
        <is>
          <t>2026-03-25</t>
        </is>
      </c>
      <c r="G34" t="inlineStr">
        <is>
          <t xml:space="preserve"> - FAMILY FINCA</t>
        </is>
      </c>
      <c r="H34">
        <f>HYPERLINK("https://booking.roadsurfer.com/es/rally/pick?pickup_date=2026-03-18&amp;return_date=2026-03-25&amp;currency=EUR&amp;startStation=47&amp;endStation=56",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2026-02-19</t>
        </is>
      </c>
      <c r="F35" t="inlineStr">
        <is>
          <t>2026-02-26</t>
        </is>
      </c>
      <c r="G35" t="inlineStr">
        <is>
          <t xml:space="preserve"> - Beach Hostel</t>
        </is>
      </c>
      <c r="H35">
        <f>HYPERLINK("https://booking.roadsurfer.com/es/rally/pick?pickup_date=2026-02-19&amp;return_date=2026-02-26&amp;currency=EUR&amp;startStation=47&amp;endStation=52",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2026-03-12</t>
        </is>
      </c>
      <c r="F36" t="inlineStr">
        <is>
          <t>2026-03-19</t>
        </is>
      </c>
      <c r="G36" t="inlineStr">
        <is>
          <t xml:space="preserve"> - Surfer Suite</t>
        </is>
      </c>
      <c r="H36">
        <f>HYPERLINK("https://booking.roadsurfer.com/es/rally/pick?pickup_date=2026-03-12&amp;return_date=2026-03-19&amp;currency=EUR&amp;startStation=47&amp;endStation=52",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Colonia-Düsseldorf</t>
        </is>
      </c>
      <c r="E37" t="inlineStr">
        <is>
          <t>2026-03-04</t>
        </is>
      </c>
      <c r="F37" t="inlineStr">
        <is>
          <t>2026-03-11</t>
        </is>
      </c>
      <c r="G37" t="inlineStr">
        <is>
          <t xml:space="preserve"> - Road House</t>
        </is>
      </c>
      <c r="H37">
        <f>HYPERLINK("https://booking.roadsurfer.com/es/rally/pick?pickup_date=2026-03-04&amp;return_date=2026-03-11&amp;currency=EUR&amp;startStation=47&amp;endStation=4",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Duisburgo</t>
        </is>
      </c>
      <c r="E38" t="inlineStr">
        <is>
          <t>2026-03-14</t>
        </is>
      </c>
      <c r="F38" t="inlineStr">
        <is>
          <t>2026-03-21</t>
        </is>
      </c>
      <c r="G38" t="inlineStr">
        <is>
          <t xml:space="preserve"> - Road House</t>
        </is>
      </c>
      <c r="H38">
        <f>HYPERLINK("https://booking.roadsurfer.com/es/rally/pick?pickup_date=2026-03-14&amp;return_date=2026-03-21&amp;currency=EUR&amp;startStation=47&amp;endStation=113",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Francia</t>
        </is>
      </c>
      <c r="D39" t="inlineStr">
        <is>
          <t>Aix-Marsella</t>
        </is>
      </c>
      <c r="E39" t="inlineStr">
        <is>
          <t>2026-03-09</t>
        </is>
      </c>
      <c r="F39" t="inlineStr">
        <is>
          <t>2026-03-16</t>
        </is>
      </c>
      <c r="G39" t="inlineStr">
        <is>
          <t xml:space="preserve"> - Travel Home</t>
        </is>
      </c>
      <c r="H39">
        <f>HYPERLINK("https://booking.roadsurfer.com/es/rally/pick?pickup_date=2026-03-09&amp;return_date=2026-03-16&amp;currency=EUR&amp;startStation=47&amp;endStation=16",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Francia</t>
        </is>
      </c>
      <c r="D40" t="inlineStr">
        <is>
          <t>Ginebra-Pays de Gex (Francia)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Travel Home</t>
        </is>
      </c>
      <c r="H40">
        <f>HYPERLINK("https://booking.roadsurfer.com/es/rally/pick?pickup_date=2026-03-09&amp;return_date=2026-03-16&amp;currency=EUR&amp;startStation=47&amp;endStation=29",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Francia</t>
        </is>
      </c>
      <c r="D41" t="inlineStr">
        <is>
          <t>Aix-Marsella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Beach Hostel</t>
        </is>
      </c>
      <c r="H41">
        <f>HYPERLINK("https://booking.roadsurfer.com/es/rally/pick?pickup_date=2026-03-09&amp;return_date=2026-03-16&amp;currency=EUR&amp;startStation=108&amp;endStation=16",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Italia</t>
        </is>
      </c>
      <c r="D42" t="inlineStr">
        <is>
          <t>Florencia</t>
        </is>
      </c>
      <c r="E42" t="inlineStr">
        <is>
          <t>2026-04-13</t>
        </is>
      </c>
      <c r="F42" t="inlineStr">
        <is>
          <t>2026-04-20</t>
        </is>
      </c>
      <c r="G42" t="inlineStr">
        <is>
          <t xml:space="preserve"> - Road House</t>
        </is>
      </c>
      <c r="H42">
        <f>HYPERLINK("https://booking.roadsurfer.com/es/rally/pick?pickup_date=2026-04-13&amp;return_date=2026-04-20&amp;currency=EUR&amp;startStation=108&amp;endStation=80",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Florencia</t>
        </is>
      </c>
      <c r="E43" t="inlineStr">
        <is>
          <t>2026-03-25</t>
        </is>
      </c>
      <c r="F43" t="inlineStr">
        <is>
          <t>2026-04-01</t>
        </is>
      </c>
      <c r="G43" t="inlineStr">
        <is>
          <t xml:space="preserve"> - No hay coche</t>
        </is>
      </c>
      <c r="H43">
        <f>HYPERLINK("https://booking.roadsurfer.com/es/rally/pick?pickup_date=2026-03-25&amp;return_date=2026-04-01&amp;currency=EUR&amp;startStation=108&amp;endStation=80",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2026-03-16</t>
        </is>
      </c>
      <c r="F44" t="inlineStr">
        <is>
          <t>2026-03-23</t>
        </is>
      </c>
      <c r="G44" t="inlineStr">
        <is>
          <t xml:space="preserve"> - Road House</t>
        </is>
      </c>
      <c r="H44">
        <f>HYPERLINK("https://booking.roadsurfer.com/es/rally/pick?pickup_date=2026-03-16&amp;return_date=2026-03-23&amp;currency=EUR&amp;startStation=108&amp;endStation=52", "Clic para verlo en la web de RoadSurfer")</f>
        <v/>
      </c>
    </row>
    <row r="45">
      <c r="A45" t="inlineStr">
        <is>
          <t>Alemania</t>
        </is>
      </c>
      <c r="B45" t="inlineStr">
        <is>
          <t>Augsburgo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2026-04-10</t>
        </is>
      </c>
      <c r="F45" t="inlineStr">
        <is>
          <t>2026-04-17</t>
        </is>
      </c>
      <c r="G45" t="inlineStr">
        <is>
          <t xml:space="preserve"> - Road House</t>
        </is>
      </c>
      <c r="H45">
        <f>HYPERLINK("https://booking.roadsurfer.com/es/rally/pick?pickup_date=2026-04-10&amp;return_date=2026-04-17&amp;currency=EUR&amp;startStation=108&amp;endStation=32", "Clic para verlo en la web de RoadSurfer")</f>
        <v/>
      </c>
    </row>
    <row r="46">
      <c r="A46" t="inlineStr">
        <is>
          <t>Alemania</t>
        </is>
      </c>
      <c r="B46" t="inlineStr">
        <is>
          <t>Augsburgo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2026-03-26</t>
        </is>
      </c>
      <c r="F46" t="inlineStr">
        <is>
          <t>2026-04-02</t>
        </is>
      </c>
      <c r="G46" t="inlineStr">
        <is>
          <t xml:space="preserve"> - Surfer Suite</t>
        </is>
      </c>
      <c r="H46">
        <f>HYPERLINK("https://booking.roadsurfer.com/es/rally/pick?pickup_date=2026-03-26&amp;return_date=2026-04-02&amp;currency=EUR&amp;startStation=108&amp;endStation=32", "Clic para verlo en la web de RoadSurfer")</f>
        <v/>
      </c>
    </row>
    <row r="47">
      <c r="A47" t="inlineStr">
        <is>
          <t>Alemania</t>
        </is>
      </c>
      <c r="B47" t="inlineStr">
        <is>
          <t>Augsburgo</t>
        </is>
      </c>
      <c r="C47" t="inlineStr">
        <is>
          <t>España</t>
        </is>
      </c>
      <c r="D47" t="inlineStr">
        <is>
          <t>Madrid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Beach Hostel</t>
        </is>
      </c>
      <c r="H47">
        <f>HYPERLINK("https://booking.roadsurfer.com/es/rally/pick?pickup_date=2026-03-10&amp;return_date=2026-03-17&amp;currency=EUR&amp;startStation=108&amp;endStation=20", "Clic para verlo en la web de RoadSurfer")</f>
        <v/>
      </c>
    </row>
    <row r="48">
      <c r="A48" t="inlineStr">
        <is>
          <t>Alemania</t>
        </is>
      </c>
      <c r="B48" t="inlineStr">
        <is>
          <t>Augsburgo</t>
        </is>
      </c>
      <c r="C48" t="inlineStr">
        <is>
          <t>Italia</t>
        </is>
      </c>
      <c r="D48" t="inlineStr">
        <is>
          <t>Venecia</t>
        </is>
      </c>
      <c r="E48" t="inlineStr">
        <is>
          <t>2026-03-28</t>
        </is>
      </c>
      <c r="F48" t="inlineStr">
        <is>
          <t>2026-04-04</t>
        </is>
      </c>
      <c r="G48" t="inlineStr">
        <is>
          <t xml:space="preserve"> - CAMPER CASTLE</t>
        </is>
      </c>
      <c r="H48">
        <f>HYPERLINK("https://booking.roadsurfer.com/es/rally/pick?pickup_date=2026-03-28&amp;return_date=2026-04-04&amp;currency=EUR&amp;startStation=108&amp;endStation=78", "Clic para verlo en la web de RoadSurfer")</f>
        <v/>
      </c>
    </row>
    <row r="49">
      <c r="A49" t="inlineStr">
        <is>
          <t>Alemania</t>
        </is>
      </c>
      <c r="B49" t="inlineStr">
        <is>
          <t>Augsburgo</t>
        </is>
      </c>
      <c r="C49" t="inlineStr">
        <is>
          <t>Alemania</t>
        </is>
      </c>
      <c r="D49" t="inlineStr">
        <is>
          <t>Ratisbona</t>
        </is>
      </c>
      <c r="E49" t="inlineStr">
        <is>
          <t>2026-03-23</t>
        </is>
      </c>
      <c r="F49" t="inlineStr">
        <is>
          <t>2026-03-30</t>
        </is>
      </c>
      <c r="G49" t="inlineStr">
        <is>
          <t xml:space="preserve"> - Surfer Suite</t>
        </is>
      </c>
      <c r="H49">
        <f>HYPERLINK("https://booking.roadsurfer.com/es/rally/pick?pickup_date=2026-03-23&amp;return_date=2026-03-30&amp;currency=EUR&amp;startStation=108&amp;endStation=89", "Clic para verlo en la web de RoadSurfer")</f>
        <v/>
      </c>
    </row>
    <row r="50">
      <c r="A50" t="inlineStr">
        <is>
          <t>Alemania</t>
        </is>
      </c>
      <c r="B50" t="inlineStr">
        <is>
          <t>Augsburgo</t>
        </is>
      </c>
      <c r="C50" t="inlineStr">
        <is>
          <t>Italia</t>
        </is>
      </c>
      <c r="D50" t="inlineStr">
        <is>
          <t>Milán</t>
        </is>
      </c>
      <c r="E50" t="inlineStr">
        <is>
          <t>2026-02-18</t>
        </is>
      </c>
      <c r="F50" t="inlineStr">
        <is>
          <t>2026-02-25</t>
        </is>
      </c>
      <c r="G50" t="inlineStr">
        <is>
          <t xml:space="preserve"> - Surfer Suite</t>
        </is>
      </c>
      <c r="H50">
        <f>HYPERLINK("https://booking.roadsurfer.com/es/rally/pick?pickup_date=2026-02-18&amp;return_date=2026-02-25&amp;currency=EUR&amp;startStation=108&amp;endStation=34",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2026-03-05</t>
        </is>
      </c>
      <c r="F51" t="inlineStr">
        <is>
          <t>2026-03-12</t>
        </is>
      </c>
      <c r="G51" t="inlineStr">
        <is>
          <t xml:space="preserve"> - Road House</t>
        </is>
      </c>
      <c r="H51">
        <f>HYPERLINK("https://booking.roadsurfer.com/es/rally/pick?pickup_date=2026-03-05&amp;return_date=2026-03-12&amp;currency=EUR&amp;startStation=17&amp;endStation=9",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2026-02-25</t>
        </is>
      </c>
      <c r="F52" t="inlineStr">
        <is>
          <t>2026-03-04</t>
        </is>
      </c>
      <c r="G52" t="inlineStr">
        <is>
          <t xml:space="preserve"> - Family Finca</t>
        </is>
      </c>
      <c r="H52">
        <f>HYPERLINK("https://booking.roadsurfer.com/es/rally/pick?pickup_date=2026-02-25&amp;return_date=2026-03-04&amp;currency=EUR&amp;startStation=17&amp;endStation=9",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2026-03-16</t>
        </is>
      </c>
      <c r="F53" t="inlineStr">
        <is>
          <t>2026-03-23</t>
        </is>
      </c>
      <c r="G53" t="inlineStr">
        <is>
          <t xml:space="preserve"> - Beach Hostel</t>
        </is>
      </c>
      <c r="H53">
        <f>HYPERLINK("https://booking.roadsurfer.com/es/rally/pick?pickup_date=2026-03-16&amp;return_date=2026-03-23&amp;currency=EUR&amp;startStation=17&amp;endStation=9",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2026-03-24</t>
        </is>
      </c>
      <c r="F54" t="inlineStr">
        <is>
          <t>2026-03-31</t>
        </is>
      </c>
      <c r="G54" t="inlineStr">
        <is>
          <t xml:space="preserve"> - Road House</t>
        </is>
      </c>
      <c r="H54">
        <f>HYPERLINK("https://booking.roadsurfer.com/es/rally/pick?pickup_date=2026-03-24&amp;return_date=2026-03-31&amp;currency=EUR&amp;startStation=17&amp;endStation=9",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Heidelberg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Surfer Suite</t>
        </is>
      </c>
      <c r="H55">
        <f>HYPERLINK("https://booking.roadsurfer.com/es/rally/pick?pickup_date=2026-03-11&amp;return_date=2026-03-18&amp;currency=EUR&amp;startStation=17&amp;endStation=79",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Beach Hostel</t>
        </is>
      </c>
      <c r="H56">
        <f>HYPERLINK("https://booking.roadsurfer.com/es/rally/pick?pickup_date=2026-03-11&amp;return_date=2026-03-18&amp;currency=EUR&amp;startStation=17&amp;endStation=2",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2026-03-09</t>
        </is>
      </c>
      <c r="F57" t="inlineStr">
        <is>
          <t>2026-03-16</t>
        </is>
      </c>
      <c r="G57" t="inlineStr">
        <is>
          <t xml:space="preserve"> - Surfer Suite</t>
        </is>
      </c>
      <c r="H57">
        <f>HYPERLINK("https://booking.roadsurfer.com/es/rally/pick?pickup_date=2026-03-09&amp;return_date=2026-03-16&amp;currency=EUR&amp;startStation=17&amp;endStation=22",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2026-03-10</t>
        </is>
      </c>
      <c r="F58" t="inlineStr">
        <is>
          <t>2026-03-17</t>
        </is>
      </c>
      <c r="G58" t="inlineStr">
        <is>
          <t xml:space="preserve"> - Sunrise Suite</t>
        </is>
      </c>
      <c r="H58">
        <f>HYPERLINK("https://booking.roadsurfer.com/es/rally/pick?pickup_date=2026-03-10&amp;return_date=2026-03-17&amp;currency=EUR&amp;startStation=17&amp;endStation=22",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Bochum</t>
        </is>
      </c>
      <c r="E59" t="inlineStr">
        <is>
          <t>2026-03-18</t>
        </is>
      </c>
      <c r="F59" t="inlineStr">
        <is>
          <t>2026-03-25</t>
        </is>
      </c>
      <c r="G59" t="inlineStr">
        <is>
          <t xml:space="preserve"> - Beach Hostel</t>
        </is>
      </c>
      <c r="H59">
        <f>HYPERLINK("https://booking.roadsurfer.com/es/rally/pick?pickup_date=2026-03-18&amp;return_date=2026-03-25&amp;currency=EUR&amp;startStation=17&amp;endStation=24",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Colonia-Düsseldorf</t>
        </is>
      </c>
      <c r="E60" t="inlineStr">
        <is>
          <t>2026-02-20</t>
        </is>
      </c>
      <c r="F60" t="inlineStr">
        <is>
          <t>2026-02-27</t>
        </is>
      </c>
      <c r="G60" t="inlineStr">
        <is>
          <t xml:space="preserve"> - Beach Hostel</t>
        </is>
      </c>
      <c r="H60">
        <f>HYPERLINK("https://booking.roadsurfer.com/es/rally/pick?pickup_date=2026-02-20&amp;return_date=2026-02-27&amp;currency=EUR&amp;startStation=17&amp;endStation=4",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2026-02-21</t>
        </is>
      </c>
      <c r="F61" t="inlineStr">
        <is>
          <t>2026-02-28</t>
        </is>
      </c>
      <c r="G61" t="inlineStr">
        <is>
          <t xml:space="preserve"> - No hay coche</t>
        </is>
      </c>
      <c r="H61">
        <f>HYPERLINK("https://booking.roadsurfer.com/es/rally/pick?pickup_date=2026-02-21&amp;return_date=2026-02-28&amp;currency=EUR&amp;startStation=94&amp;endStation=22",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2026-02-19</t>
        </is>
      </c>
      <c r="F62" t="inlineStr">
        <is>
          <t>2026-02-26</t>
        </is>
      </c>
      <c r="G62" t="inlineStr">
        <is>
          <t xml:space="preserve"> - Surfer Suite</t>
        </is>
      </c>
      <c r="H62">
        <f>HYPERLINK("https://booking.roadsurfer.com/es/rally/pick?pickup_date=2026-02-19&amp;return_date=2026-02-26&amp;currency=EUR&amp;startStation=94&amp;endStation=22",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2026-03-17</t>
        </is>
      </c>
      <c r="F63" t="inlineStr">
        <is>
          <t>2026-03-24</t>
        </is>
      </c>
      <c r="G63" t="inlineStr">
        <is>
          <t xml:space="preserve"> - Surfer Suite</t>
        </is>
      </c>
      <c r="H63">
        <f>HYPERLINK("https://booking.roadsurfer.com/es/rally/pick?pickup_date=2026-03-17&amp;return_date=2026-03-24&amp;currency=EUR&amp;startStation=94&amp;endStation=22",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Hamburgo</t>
        </is>
      </c>
      <c r="E64" t="inlineStr">
        <is>
          <t>2026-02-23</t>
        </is>
      </c>
      <c r="F64" t="inlineStr">
        <is>
          <t>2026-03-02</t>
        </is>
      </c>
      <c r="G64" t="inlineStr">
        <is>
          <t xml:space="preserve"> - Family Finca</t>
        </is>
      </c>
      <c r="H64">
        <f>HYPERLINK("https://booking.roadsurfer.com/es/rally/pick?pickup_date=2026-02-23&amp;return_date=2026-03-02&amp;currency=EUR&amp;startStation=94&amp;endStation=3",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2026-02-27</t>
        </is>
      </c>
      <c r="F65" t="inlineStr">
        <is>
          <t>2026-03-06</t>
        </is>
      </c>
      <c r="G65" t="inlineStr">
        <is>
          <t xml:space="preserve"> - Road House</t>
        </is>
      </c>
      <c r="H65">
        <f>HYPERLINK("https://booking.roadsurfer.com/es/rally/pick?pickup_date=2026-02-27&amp;return_date=2026-03-06&amp;currency=EUR&amp;startStation=94&amp;endStation=3",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2026-03-13</t>
        </is>
      </c>
      <c r="F66" t="inlineStr">
        <is>
          <t>2026-03-20</t>
        </is>
      </c>
      <c r="G66" t="inlineStr">
        <is>
          <t xml:space="preserve"> - Family Finca</t>
        </is>
      </c>
      <c r="H66">
        <f>HYPERLINK("https://booking.roadsurfer.com/es/rally/pick?pickup_date=2026-03-13&amp;return_date=2026-03-20&amp;currency=EUR&amp;startStation=94&amp;endStation=3",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2026-03-16</t>
        </is>
      </c>
      <c r="F67" t="inlineStr">
        <is>
          <t>2026-03-23</t>
        </is>
      </c>
      <c r="G67" t="inlineStr">
        <is>
          <t xml:space="preserve"> - Beach Hostel</t>
        </is>
      </c>
      <c r="H67">
        <f>HYPERLINK("https://booking.roadsurfer.com/es/rally/pick?pickup_date=2026-03-16&amp;return_date=2026-03-23&amp;currency=EUR&amp;startStation=94&amp;endStation=3",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2026-03-14</t>
        </is>
      </c>
      <c r="F68" t="inlineStr">
        <is>
          <t>2026-03-21</t>
        </is>
      </c>
      <c r="G68" t="inlineStr">
        <is>
          <t xml:space="preserve"> - Family Finca</t>
        </is>
      </c>
      <c r="H68">
        <f>HYPERLINK("https://booking.roadsurfer.com/es/rally/pick?pickup_date=2026-03-14&amp;return_date=2026-03-21&amp;currency=EUR&amp;startStation=94&amp;endStation=3",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Fráncfort</t>
        </is>
      </c>
      <c r="E69" t="inlineStr">
        <is>
          <t>2026-03-10</t>
        </is>
      </c>
      <c r="F69" t="inlineStr">
        <is>
          <t>2026-03-17</t>
        </is>
      </c>
      <c r="G69" t="inlineStr">
        <is>
          <t xml:space="preserve"> - Surfer Suite - Family Finca</t>
        </is>
      </c>
      <c r="H69">
        <f>HYPERLINK("https://booking.roadsurfer.com/es/rally/pick?pickup_date=2026-03-10&amp;return_date=2026-03-17&amp;currency=EUR&amp;startStation=94&amp;endStation=2",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2026-03-11</t>
        </is>
      </c>
      <c r="F70" t="inlineStr">
        <is>
          <t>2026-03-18</t>
        </is>
      </c>
      <c r="G70" t="inlineStr">
        <is>
          <t xml:space="preserve"> - Surfer Suite</t>
        </is>
      </c>
      <c r="H70">
        <f>HYPERLINK("https://booking.roadsurfer.com/es/rally/pick?pickup_date=2026-03-11&amp;return_date=2026-03-18&amp;currency=EUR&amp;startStation=94&amp;endStation=2",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2026-03-12</t>
        </is>
      </c>
      <c r="F71" t="inlineStr">
        <is>
          <t>2026-03-19</t>
        </is>
      </c>
      <c r="G71" t="inlineStr">
        <is>
          <t xml:space="preserve"> - Family Finca</t>
        </is>
      </c>
      <c r="H71">
        <f>HYPERLINK("https://booking.roadsurfer.com/es/rally/pick?pickup_date=2026-03-12&amp;return_date=2026-03-19&amp;currency=EUR&amp;startStation=94&amp;endStation=2",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Hannover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Beach Hostel</t>
        </is>
      </c>
      <c r="H72">
        <f>HYPERLINK("https://booking.roadsurfer.com/es/rally/pick?pickup_date=2026-03-13&amp;return_date=2026-03-20&amp;currency=EUR&amp;startStation=94&amp;endStation=7",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Hannover</t>
        </is>
      </c>
      <c r="E73" t="inlineStr">
        <is>
          <t>2026-03-12</t>
        </is>
      </c>
      <c r="F73" t="inlineStr">
        <is>
          <t>2026-03-19</t>
        </is>
      </c>
      <c r="G73" t="inlineStr">
        <is>
          <t xml:space="preserve"> - Surfer Suite</t>
        </is>
      </c>
      <c r="H73">
        <f>HYPERLINK("https://booking.roadsurfer.com/es/rally/pick?pickup_date=2026-03-12&amp;return_date=2026-03-19&amp;currency=EUR&amp;startStation=94&amp;endStation=7",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Núremberg</t>
        </is>
      </c>
      <c r="E74" t="inlineStr">
        <is>
          <t>2026-03-11</t>
        </is>
      </c>
      <c r="F74" t="inlineStr">
        <is>
          <t>2026-03-18</t>
        </is>
      </c>
      <c r="G74" t="inlineStr">
        <is>
          <t xml:space="preserve"> - Camper Castle</t>
        </is>
      </c>
      <c r="H74">
        <f>HYPERLINK("https://booking.roadsurfer.com/es/rally/pick?pickup_date=2026-03-11&amp;return_date=2026-03-18&amp;currency=EUR&amp;startStation=94&amp;endStation=11",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Family Finca</t>
        </is>
      </c>
      <c r="H75">
        <f>HYPERLINK("https://booking.roadsurfer.com/es/rally/pick?pickup_date=2026-03-16&amp;return_date=2026-03-23&amp;currency=EUR&amp;startStation=6&amp;endStation=34",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2026-03-09</t>
        </is>
      </c>
      <c r="F76" t="inlineStr">
        <is>
          <t>2026-03-19</t>
        </is>
      </c>
      <c r="G76" t="inlineStr">
        <is>
          <t xml:space="preserve"> - Surfer Suite</t>
        </is>
      </c>
      <c r="H76">
        <f>HYPERLINK("https://booking.roadsurfer.com/es/rally/pick?pickup_date=2026-03-09&amp;return_date=2026-03-19&amp;currency=EUR&amp;startStation=6&amp;endStation=34",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2026-03-17</t>
        </is>
      </c>
      <c r="F77" t="inlineStr">
        <is>
          <t>2026-03-24</t>
        </is>
      </c>
      <c r="G77" t="inlineStr">
        <is>
          <t xml:space="preserve"> - Beach Hostel</t>
        </is>
      </c>
      <c r="H77">
        <f>HYPERLINK("https://booking.roadsurfer.com/es/rally/pick?pickup_date=2026-03-17&amp;return_date=2026-03-24&amp;currency=EUR&amp;startStation=6&amp;endStation=34",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Beach Hostel</t>
        </is>
      </c>
      <c r="H78">
        <f>HYPERLINK("https://booking.roadsurfer.com/es/rally/pick?pickup_date=2026-03-19&amp;return_date=2026-03-26&amp;currency=EUR&amp;startStation=6&amp;endStation=34",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2026-02-20</t>
        </is>
      </c>
      <c r="F79" t="inlineStr">
        <is>
          <t>2026-02-27</t>
        </is>
      </c>
      <c r="G79" t="inlineStr">
        <is>
          <t xml:space="preserve"> - Road House</t>
        </is>
      </c>
      <c r="H79">
        <f>HYPERLINK("https://booking.roadsurfer.com/es/rally/pick?pickup_date=2026-02-20&amp;return_date=2026-02-27&amp;currency=EUR&amp;startStation=6&amp;endStation=48",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Países Bajos</t>
        </is>
      </c>
      <c r="D80" t="inlineStr">
        <is>
          <t>Ámsterdam</t>
        </is>
      </c>
      <c r="E80" t="inlineStr">
        <is>
          <t>2026-03-13</t>
        </is>
      </c>
      <c r="F80" t="inlineStr">
        <is>
          <t>2026-03-20</t>
        </is>
      </c>
      <c r="G80" t="inlineStr">
        <is>
          <t xml:space="preserve"> - CAMPER CABIN DELUXE</t>
        </is>
      </c>
      <c r="H80">
        <f>HYPERLINK("https://booking.roadsurfer.com/es/rally/pick?pickup_date=2026-03-13&amp;return_date=2026-03-20&amp;currency=EUR&amp;startStation=6&amp;endStation=32",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Países Bajos</t>
        </is>
      </c>
      <c r="D81" t="inlineStr">
        <is>
          <t>Ámsterdam</t>
        </is>
      </c>
      <c r="E81" t="inlineStr">
        <is>
          <t>2026-03-10</t>
        </is>
      </c>
      <c r="F81" t="inlineStr">
        <is>
          <t>2026-03-17</t>
        </is>
      </c>
      <c r="G81" t="inlineStr">
        <is>
          <t xml:space="preserve"> - Couple Cottage</t>
        </is>
      </c>
      <c r="H81">
        <f>HYPERLINK("https://booking.roadsurfer.com/es/rally/pick?pickup_date=2026-03-10&amp;return_date=2026-03-17&amp;currency=EUR&amp;startStation=6&amp;endStation=32",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Países Bajos</t>
        </is>
      </c>
      <c r="D82" t="inlineStr">
        <is>
          <t>Ámsterdam</t>
        </is>
      </c>
      <c r="E82" t="inlineStr">
        <is>
          <t>2026-03-16</t>
        </is>
      </c>
      <c r="F82" t="inlineStr">
        <is>
          <t>2026-03-23</t>
        </is>
      </c>
      <c r="G82" t="inlineStr">
        <is>
          <t xml:space="preserve"> - Family Finca</t>
        </is>
      </c>
      <c r="H82">
        <f>HYPERLINK("https://booking.roadsurfer.com/es/rally/pick?pickup_date=2026-03-16&amp;return_date=2026-03-23&amp;currency=EUR&amp;startStation=6&amp;endStation=32",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2026-03-23</t>
        </is>
      </c>
      <c r="F83" t="inlineStr">
        <is>
          <t>2026-03-30</t>
        </is>
      </c>
      <c r="G83" t="inlineStr">
        <is>
          <t xml:space="preserve"> - Camper Cabin</t>
        </is>
      </c>
      <c r="H83">
        <f>HYPERLINK("https://booking.roadsurfer.com/es/rally/pick?pickup_date=2026-03-23&amp;return_date=2026-03-30&amp;currency=EUR&amp;startStation=6&amp;endStation=32",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Países Bajos</t>
        </is>
      </c>
      <c r="D84" t="inlineStr">
        <is>
          <t>Róterdam</t>
        </is>
      </c>
      <c r="E84" t="inlineStr">
        <is>
          <t>2026-03-11</t>
        </is>
      </c>
      <c r="F84" t="inlineStr">
        <is>
          <t>2026-03-18</t>
        </is>
      </c>
      <c r="G84" t="inlineStr">
        <is>
          <t xml:space="preserve"> - Couple Cottage</t>
        </is>
      </c>
      <c r="H84">
        <f>HYPERLINK("https://booking.roadsurfer.com/es/rally/pick?pickup_date=2026-03-11&amp;return_date=2026-03-18&amp;currency=EUR&amp;startStation=6&amp;endStation=33",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Países Bajos</t>
        </is>
      </c>
      <c r="D85" t="inlineStr">
        <is>
          <t>Róterdam</t>
        </is>
      </c>
      <c r="E85" t="inlineStr">
        <is>
          <t>2026-03-06</t>
        </is>
      </c>
      <c r="F85" t="inlineStr">
        <is>
          <t>2026-03-13</t>
        </is>
      </c>
      <c r="G85" t="inlineStr">
        <is>
          <t xml:space="preserve"> - Surfer Suite</t>
        </is>
      </c>
      <c r="H85">
        <f>HYPERLINK("https://booking.roadsurfer.com/es/rally/pick?pickup_date=2026-03-06&amp;return_date=2026-03-13&amp;currency=EUR&amp;startStation=6&amp;endStation=33",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Francia</t>
        </is>
      </c>
      <c r="D86" t="inlineStr">
        <is>
          <t>Toulouse</t>
        </is>
      </c>
      <c r="E86" t="inlineStr">
        <is>
          <t>2026-03-21</t>
        </is>
      </c>
      <c r="F86" t="inlineStr">
        <is>
          <t>2026-03-28</t>
        </is>
      </c>
      <c r="G86" t="inlineStr">
        <is>
          <t xml:space="preserve"> - Surfer Suite</t>
        </is>
      </c>
      <c r="H86">
        <f>HYPERLINK("https://booking.roadsurfer.com/es/rally/pick?pickup_date=2026-03-21&amp;return_date=2026-03-28&amp;currency=EUR&amp;startStation=6&amp;endStation=30",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Toulouse</t>
        </is>
      </c>
      <c r="E87" t="inlineStr">
        <is>
          <t>2026-03-16</t>
        </is>
      </c>
      <c r="F87" t="inlineStr">
        <is>
          <t>2026-03-23</t>
        </is>
      </c>
      <c r="G87" t="inlineStr">
        <is>
          <t xml:space="preserve"> - Surfer Suite</t>
        </is>
      </c>
      <c r="H87">
        <f>HYPERLINK("https://booking.roadsurfer.com/es/rally/pick?pickup_date=2026-03-16&amp;return_date=2026-03-23&amp;currency=EUR&amp;startStation=6&amp;endStation=30",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Suecia</t>
        </is>
      </c>
      <c r="D88" t="inlineStr">
        <is>
          <t>Malmö</t>
        </is>
      </c>
      <c r="E88" t="inlineStr">
        <is>
          <t>2026-03-13</t>
        </is>
      </c>
      <c r="F88" t="inlineStr">
        <is>
          <t>2026-03-20</t>
        </is>
      </c>
      <c r="G88" t="inlineStr">
        <is>
          <t xml:space="preserve"> - Family Finca</t>
        </is>
      </c>
      <c r="H88">
        <f>HYPERLINK("https://booking.roadsurfer.com/es/rally/pick?pickup_date=2026-03-13&amp;return_date=2026-03-20&amp;currency=EUR&amp;startStation=6&amp;endStation=60",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Suecia</t>
        </is>
      </c>
      <c r="D89" t="inlineStr">
        <is>
          <t>Malmö</t>
        </is>
      </c>
      <c r="E89" t="inlineStr">
        <is>
          <t>2026-02-23</t>
        </is>
      </c>
      <c r="F89" t="inlineStr">
        <is>
          <t>2026-03-02</t>
        </is>
      </c>
      <c r="G89" t="inlineStr">
        <is>
          <t xml:space="preserve"> - Surfer Suite</t>
        </is>
      </c>
      <c r="H89">
        <f>HYPERLINK("https://booking.roadsurfer.com/es/rally/pick?pickup_date=2026-02-23&amp;return_date=2026-03-02&amp;currency=EUR&amp;startStation=6&amp;endStation=60",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Suecia</t>
        </is>
      </c>
      <c r="D90" t="inlineStr">
        <is>
          <t>Gotemburgo</t>
        </is>
      </c>
      <c r="E90" t="inlineStr">
        <is>
          <t>2026-03-16</t>
        </is>
      </c>
      <c r="F90" t="inlineStr">
        <is>
          <t>2026-03-23</t>
        </is>
      </c>
      <c r="G90" t="inlineStr">
        <is>
          <t xml:space="preserve"> - Road House</t>
        </is>
      </c>
      <c r="H90">
        <f>HYPERLINK("https://booking.roadsurfer.com/es/rally/pick?pickup_date=2026-03-16&amp;return_date=2026-03-23&amp;currency=EUR&amp;startStation=6&amp;endStation=77",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2026-03-17</t>
        </is>
      </c>
      <c r="F91" t="inlineStr">
        <is>
          <t>2026-03-24</t>
        </is>
      </c>
      <c r="G91" t="inlineStr">
        <is>
          <t xml:space="preserve"> - Camper Castle</t>
        </is>
      </c>
      <c r="H91">
        <f>HYPERLINK("https://booking.roadsurfer.com/es/rally/pick?pickup_date=2026-03-17&amp;return_date=2026-03-24&amp;currency=EUR&amp;startStation=6&amp;endStation=59",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2026-03-20</t>
        </is>
      </c>
      <c r="F92" t="inlineStr">
        <is>
          <t>2026-03-27</t>
        </is>
      </c>
      <c r="G92" t="inlineStr">
        <is>
          <t xml:space="preserve"> - Beach Hostel</t>
        </is>
      </c>
      <c r="H92">
        <f>HYPERLINK("https://booking.roadsurfer.com/es/rally/pick?pickup_date=2026-03-20&amp;return_date=2026-03-27&amp;currency=EUR&amp;startStation=6&amp;endStation=59",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Austria</t>
        </is>
      </c>
      <c r="D93" t="inlineStr">
        <is>
          <t>Linz</t>
        </is>
      </c>
      <c r="E93" t="inlineStr">
        <is>
          <t>2026-03-19</t>
        </is>
      </c>
      <c r="F93" t="inlineStr">
        <is>
          <t>2026-03-26</t>
        </is>
      </c>
      <c r="G93" t="inlineStr">
        <is>
          <t xml:space="preserve"> - FAMILY FINCA</t>
        </is>
      </c>
      <c r="H93">
        <f>HYPERLINK("https://booking.roadsurfer.com/es/rally/pick?pickup_date=2026-03-19&amp;return_date=2026-03-26&amp;currency=EUR&amp;startStation=6&amp;endStation=116",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Austria</t>
        </is>
      </c>
      <c r="D94" t="inlineStr">
        <is>
          <t>Linz</t>
        </is>
      </c>
      <c r="E94" t="inlineStr">
        <is>
          <t>2026-03-12</t>
        </is>
      </c>
      <c r="F94" t="inlineStr">
        <is>
          <t>2026-03-19</t>
        </is>
      </c>
      <c r="G94" t="inlineStr">
        <is>
          <t xml:space="preserve"> - Surfer Suite</t>
        </is>
      </c>
      <c r="H94">
        <f>HYPERLINK("https://booking.roadsurfer.com/es/rally/pick?pickup_date=2026-03-12&amp;return_date=2026-03-19&amp;currency=EUR&amp;startStation=6&amp;endStation=116",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Francia</t>
        </is>
      </c>
      <c r="D95" t="inlineStr">
        <is>
          <t>Lille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Surfer Suite</t>
        </is>
      </c>
      <c r="H95">
        <f>HYPERLINK("https://booking.roadsurfer.com/es/rally/pick?pickup_date=2026-03-20&amp;return_date=2026-03-27&amp;currency=EUR&amp;startStation=6&amp;endStation=87",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Francia</t>
        </is>
      </c>
      <c r="D96" t="inlineStr">
        <is>
          <t>Lille</t>
        </is>
      </c>
      <c r="E96" t="inlineStr">
        <is>
          <t>2026-03-27</t>
        </is>
      </c>
      <c r="F96" t="inlineStr">
        <is>
          <t>2026-04-03</t>
        </is>
      </c>
      <c r="G96" t="inlineStr">
        <is>
          <t xml:space="preserve"> - Surfer Suite</t>
        </is>
      </c>
      <c r="H96">
        <f>HYPERLINK("https://booking.roadsurfer.com/es/rally/pick?pickup_date=2026-03-27&amp;return_date=2026-04-03&amp;currency=EUR&amp;startStation=6&amp;endStation=87",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Francia</t>
        </is>
      </c>
      <c r="D97" t="inlineStr">
        <is>
          <t>Lille</t>
        </is>
      </c>
      <c r="E97" t="inlineStr">
        <is>
          <t>2026-03-28</t>
        </is>
      </c>
      <c r="F97" t="inlineStr">
        <is>
          <t>2026-04-04</t>
        </is>
      </c>
      <c r="G97" t="inlineStr">
        <is>
          <t xml:space="preserve"> - Surfer Suite</t>
        </is>
      </c>
      <c r="H97">
        <f>HYPERLINK("https://booking.roadsurfer.com/es/rally/pick?pickup_date=2026-03-28&amp;return_date=2026-04-04&amp;currency=EUR&amp;startStation=6&amp;endStation=87",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Francia</t>
        </is>
      </c>
      <c r="D98" t="inlineStr">
        <is>
          <t>Lille</t>
        </is>
      </c>
      <c r="E98" t="inlineStr">
        <is>
          <t>2026-02-20</t>
        </is>
      </c>
      <c r="F98" t="inlineStr">
        <is>
          <t>2026-02-27</t>
        </is>
      </c>
      <c r="G98" t="inlineStr">
        <is>
          <t xml:space="preserve"> - Family Finca</t>
        </is>
      </c>
      <c r="H98">
        <f>HYPERLINK("https://booking.roadsurfer.com/es/rally/pick?pickup_date=2026-02-20&amp;return_date=2026-02-27&amp;currency=EUR&amp;startStation=6&amp;endStation=87",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2026-03-16</t>
        </is>
      </c>
      <c r="F99" t="inlineStr">
        <is>
          <t>2026-03-23</t>
        </is>
      </c>
      <c r="G99" t="inlineStr">
        <is>
          <t xml:space="preserve"> - Family Finca</t>
        </is>
      </c>
      <c r="H99">
        <f>HYPERLINK("https://booking.roadsurfer.com/es/rally/pick?pickup_date=2026-03-16&amp;return_date=2026-03-23&amp;currency=EUR&amp;startStation=6&amp;endStation=36",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2026-03-21</t>
        </is>
      </c>
      <c r="F100" t="inlineStr">
        <is>
          <t>2026-03-28</t>
        </is>
      </c>
      <c r="G100" t="inlineStr">
        <is>
          <t xml:space="preserve"> - Couple Cottage</t>
        </is>
      </c>
      <c r="H100">
        <f>HYPERLINK("https://booking.roadsurfer.com/es/rally/pick?pickup_date=2026-03-21&amp;return_date=2026-03-28&amp;currency=EUR&amp;startStation=6&amp;endStation=36",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Austria</t>
        </is>
      </c>
      <c r="D101" t="inlineStr">
        <is>
          <t>Viena</t>
        </is>
      </c>
      <c r="E101" t="inlineStr">
        <is>
          <t>2026-03-19</t>
        </is>
      </c>
      <c r="F101" t="inlineStr">
        <is>
          <t>2026-03-26</t>
        </is>
      </c>
      <c r="G101" t="inlineStr">
        <is>
          <t xml:space="preserve"> - COUPLE COTTAGE</t>
        </is>
      </c>
      <c r="H101">
        <f>HYPERLINK("https://booking.roadsurfer.com/es/rally/pick?pickup_date=2026-03-19&amp;return_date=2026-03-26&amp;currency=EUR&amp;startStation=6&amp;endStation=36",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Austria</t>
        </is>
      </c>
      <c r="D102" t="inlineStr">
        <is>
          <t>Viena</t>
        </is>
      </c>
      <c r="E102" t="inlineStr">
        <is>
          <t>2026-03-20</t>
        </is>
      </c>
      <c r="F102" t="inlineStr">
        <is>
          <t>2026-03-27</t>
        </is>
      </c>
      <c r="G102" t="inlineStr">
        <is>
          <t xml:space="preserve"> - Family Finca</t>
        </is>
      </c>
      <c r="H102">
        <f>HYPERLINK("https://booking.roadsurfer.com/es/rally/pick?pickup_date=2026-03-20&amp;return_date=2026-03-27&amp;currency=EUR&amp;startStation=6&amp;endStation=36",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2026-03-20</t>
        </is>
      </c>
      <c r="F103" t="inlineStr">
        <is>
          <t>2026-03-27</t>
        </is>
      </c>
      <c r="G103" t="inlineStr">
        <is>
          <t xml:space="preserve"> - Sunrise Suite</t>
        </is>
      </c>
      <c r="H103">
        <f>HYPERLINK("https://booking.roadsurfer.com/es/rally/pick?pickup_date=2026-03-20&amp;return_date=2026-03-27&amp;currency=EUR&amp;startStation=6&amp;endStation=8",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2026-03-13</t>
        </is>
      </c>
      <c r="F104" t="inlineStr">
        <is>
          <t>2026-03-20</t>
        </is>
      </c>
      <c r="G104" t="inlineStr">
        <is>
          <t xml:space="preserve"> - Sunrise Suite</t>
        </is>
      </c>
      <c r="H104">
        <f>HYPERLINK("https://booking.roadsurfer.com/es/rally/pick?pickup_date=2026-03-13&amp;return_date=2026-03-20&amp;currency=EUR&amp;startStation=6&amp;endStation=8", "Clic para verlo en la web de RoadSurfer")</f>
        <v/>
      </c>
    </row>
    <row r="105">
      <c r="A105" t="inlineStr">
        <is>
          <t>Alemania</t>
        </is>
      </c>
      <c r="B105" t="inlineStr">
        <is>
          <t>Berlín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2026-03-23</t>
        </is>
      </c>
      <c r="F105" t="inlineStr">
        <is>
          <t>2026-03-30</t>
        </is>
      </c>
      <c r="G105" t="inlineStr">
        <is>
          <t xml:space="preserve"> - Family Finca</t>
        </is>
      </c>
      <c r="H105">
        <f>HYPERLINK("https://booking.roadsurfer.com/es/rally/pick?pickup_date=2026-03-23&amp;return_date=2026-03-30&amp;currency=EUR&amp;startStation=6&amp;endStation=65", "Clic para verlo en la web de RoadSurfer")</f>
        <v/>
      </c>
    </row>
    <row r="106">
      <c r="A106" t="inlineStr">
        <is>
          <t>Alemania</t>
        </is>
      </c>
      <c r="B106" t="inlineStr">
        <is>
          <t>Berlín</t>
        </is>
      </c>
      <c r="C106" t="inlineStr">
        <is>
          <t>Alemania</t>
        </is>
      </c>
      <c r="D106" t="inlineStr">
        <is>
          <t>Hamburgo Aeropuerto</t>
        </is>
      </c>
      <c r="E106" t="inlineStr">
        <is>
          <t>2026-03-06</t>
        </is>
      </c>
      <c r="F106" t="inlineStr">
        <is>
          <t>2026-03-13</t>
        </is>
      </c>
      <c r="G106" t="inlineStr">
        <is>
          <t xml:space="preserve"> - Camper Cabin</t>
        </is>
      </c>
      <c r="H106">
        <f>HYPERLINK("https://booking.roadsurfer.com/es/rally/pick?pickup_date=2026-03-06&amp;return_date=2026-03-13&amp;currency=EUR&amp;startStation=6&amp;endStation=65", "Clic para verlo en la web de RoadSurfer")</f>
        <v/>
      </c>
    </row>
    <row r="107">
      <c r="A107" t="inlineStr">
        <is>
          <t>Alemania</t>
        </is>
      </c>
      <c r="B107" t="inlineStr">
        <is>
          <t>Berlín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2026-02-23</t>
        </is>
      </c>
      <c r="F107" t="inlineStr">
        <is>
          <t>2026-03-02</t>
        </is>
      </c>
      <c r="G107" t="inlineStr">
        <is>
          <t xml:space="preserve"> - Surfer Suite</t>
        </is>
      </c>
      <c r="H107">
        <f>HYPERLINK("https://booking.roadsurfer.com/es/rally/pick?pickup_date=2026-02-23&amp;return_date=2026-03-02&amp;currency=EUR&amp;startStation=6&amp;endStation=65",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2026-02-20</t>
        </is>
      </c>
      <c r="F108" t="inlineStr">
        <is>
          <t>2026-02-27</t>
        </is>
      </c>
      <c r="G108" t="inlineStr">
        <is>
          <t xml:space="preserve"> - BEACH HOSTEL</t>
        </is>
      </c>
      <c r="H108">
        <f>HYPERLINK("https://booking.roadsurfer.com/es/rally/pick?pickup_date=2026-02-20&amp;return_date=2026-02-27&amp;currency=EUR&amp;startStation=6&amp;endStation=65",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</t>
        </is>
      </c>
      <c r="C109" t="inlineStr">
        <is>
          <t>Alemania</t>
        </is>
      </c>
      <c r="D109" t="inlineStr">
        <is>
          <t>Lübeck</t>
        </is>
      </c>
      <c r="E109" t="inlineStr">
        <is>
          <t>2026-04-01</t>
        </is>
      </c>
      <c r="F109" t="inlineStr">
        <is>
          <t>2026-04-08</t>
        </is>
      </c>
      <c r="G109" t="inlineStr">
        <is>
          <t xml:space="preserve"> - Camper Cabin</t>
        </is>
      </c>
      <c r="H109">
        <f>HYPERLINK("https://booking.roadsurfer.com/es/rally/pick?pickup_date=2026-04-01&amp;return_date=2026-04-08&amp;currency=EUR&amp;startStation=6&amp;endStation=109", "Clic para verlo en la web de RoadSurfer")</f>
        <v/>
      </c>
    </row>
    <row r="110">
      <c r="A110" t="inlineStr">
        <is>
          <t>Alemania</t>
        </is>
      </c>
      <c r="B110" t="inlineStr">
        <is>
          <t>Berlín</t>
        </is>
      </c>
      <c r="C110" t="inlineStr">
        <is>
          <t>Alemania</t>
        </is>
      </c>
      <c r="D110" t="inlineStr">
        <is>
          <t>Constanza (Aach)</t>
        </is>
      </c>
      <c r="E110" t="inlineStr">
        <is>
          <t>2026-03-16</t>
        </is>
      </c>
      <c r="F110" t="inlineStr">
        <is>
          <t>2026-03-23</t>
        </is>
      </c>
      <c r="G110" t="inlineStr">
        <is>
          <t xml:space="preserve"> - Sunrise Suite</t>
        </is>
      </c>
      <c r="H110">
        <f>HYPERLINK("https://booking.roadsurfer.com/es/rally/pick?pickup_date=2026-03-16&amp;return_date=2026-03-23&amp;currency=EUR&amp;startStation=6&amp;endStation=10", "Clic para verlo en la web de RoadSurfer")</f>
        <v/>
      </c>
    </row>
    <row r="111">
      <c r="A111" t="inlineStr">
        <is>
          <t>Alemania</t>
        </is>
      </c>
      <c r="B111" t="inlineStr">
        <is>
          <t>Berlín</t>
        </is>
      </c>
      <c r="C111" t="inlineStr">
        <is>
          <t>Italia</t>
        </is>
      </c>
      <c r="D111" t="inlineStr">
        <is>
          <t>Florencia</t>
        </is>
      </c>
      <c r="E111" t="inlineStr">
        <is>
          <t>2026-03-10</t>
        </is>
      </c>
      <c r="F111" t="inlineStr">
        <is>
          <t>2026-03-17</t>
        </is>
      </c>
      <c r="G111" t="inlineStr">
        <is>
          <t xml:space="preserve"> - Surfer Suite</t>
        </is>
      </c>
      <c r="H111">
        <f>HYPERLINK("https://booking.roadsurfer.com/es/rally/pick?pickup_date=2026-03-10&amp;return_date=2026-03-17&amp;currency=EUR&amp;startStation=6&amp;endStation=80",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Austria</t>
        </is>
      </c>
      <c r="D112" t="inlineStr">
        <is>
          <t>Graz</t>
        </is>
      </c>
      <c r="E112" t="inlineStr">
        <is>
          <t>2026-02-27</t>
        </is>
      </c>
      <c r="F112" t="inlineStr">
        <is>
          <t>2026-03-06</t>
        </is>
      </c>
      <c r="G112" t="inlineStr">
        <is>
          <t xml:space="preserve"> - Surfer Suite</t>
        </is>
      </c>
      <c r="H112">
        <f>HYPERLINK("https://booking.roadsurfer.com/es/rally/pick?pickup_date=2026-02-27&amp;return_date=2026-03-06&amp;currency=EUR&amp;startStation=51&amp;endStation=37",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Países Bajos</t>
        </is>
      </c>
      <c r="D113" t="inlineStr">
        <is>
          <t>Ámsterdam</t>
        </is>
      </c>
      <c r="E113" t="inlineStr">
        <is>
          <t>2026-03-23</t>
        </is>
      </c>
      <c r="F113" t="inlineStr">
        <is>
          <t>2026-03-30</t>
        </is>
      </c>
      <c r="G113" t="inlineStr">
        <is>
          <t xml:space="preserve"> - Road House</t>
        </is>
      </c>
      <c r="H113">
        <f>HYPERLINK("https://booking.roadsurfer.com/es/rally/pick?pickup_date=2026-03-23&amp;return_date=2026-03-30&amp;currency=EUR&amp;startStation=51&amp;endStation=32",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2026-03-18</t>
        </is>
      </c>
      <c r="F114" t="inlineStr">
        <is>
          <t>2026-03-25</t>
        </is>
      </c>
      <c r="G114" t="inlineStr">
        <is>
          <t xml:space="preserve"> - COUPLE COTTAGE</t>
        </is>
      </c>
      <c r="H114">
        <f>HYPERLINK("https://booking.roadsurfer.com/es/rally/pick?pickup_date=2026-03-18&amp;return_date=2026-03-25&amp;currency=EUR&amp;startStation=51&amp;endStation=32",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Países Bajos</t>
        </is>
      </c>
      <c r="D115" t="inlineStr">
        <is>
          <t>Ámsterdam</t>
        </is>
      </c>
      <c r="E115" t="inlineStr">
        <is>
          <t>2026-03-30</t>
        </is>
      </c>
      <c r="F115" t="inlineStr">
        <is>
          <t>2026-04-06</t>
        </is>
      </c>
      <c r="G115" t="inlineStr">
        <is>
          <t xml:space="preserve"> - No hay coche</t>
        </is>
      </c>
      <c r="H115">
        <f>HYPERLINK("https://booking.roadsurfer.com/es/rally/pick?pickup_date=2026-03-30&amp;return_date=2026-04-06&amp;currency=EUR&amp;startStation=51&amp;endStation=32",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Austria</t>
        </is>
      </c>
      <c r="D116" t="inlineStr">
        <is>
          <t>Viena</t>
        </is>
      </c>
      <c r="E116" t="inlineStr">
        <is>
          <t>2026-03-17</t>
        </is>
      </c>
      <c r="F116" t="inlineStr">
        <is>
          <t>2026-03-24</t>
        </is>
      </c>
      <c r="G116" t="inlineStr">
        <is>
          <t xml:space="preserve"> - ROAD HOUSE</t>
        </is>
      </c>
      <c r="H116">
        <f>HYPERLINK("https://booking.roadsurfer.com/es/rally/pick?pickup_date=2026-03-17&amp;return_date=2026-03-24&amp;currency=EUR&amp;startStation=51&amp;endStation=36",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Austria</t>
        </is>
      </c>
      <c r="D117" t="inlineStr">
        <is>
          <t>Viena</t>
        </is>
      </c>
      <c r="E117" t="inlineStr">
        <is>
          <t>2026-03-20</t>
        </is>
      </c>
      <c r="F117" t="inlineStr">
        <is>
          <t>2026-03-27</t>
        </is>
      </c>
      <c r="G117" t="inlineStr">
        <is>
          <t xml:space="preserve"> - Camper Castle</t>
        </is>
      </c>
      <c r="H117">
        <f>HYPERLINK("https://booking.roadsurfer.com/es/rally/pick?pickup_date=2026-03-20&amp;return_date=2026-03-27&amp;currency=EUR&amp;startStation=51&amp;endStation=36",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Italia</t>
        </is>
      </c>
      <c r="D118" t="inlineStr">
        <is>
          <t>Turín</t>
        </is>
      </c>
      <c r="E118" t="inlineStr">
        <is>
          <t>2026-03-19</t>
        </is>
      </c>
      <c r="F118" t="inlineStr">
        <is>
          <t>2026-03-26</t>
        </is>
      </c>
      <c r="G118" t="inlineStr">
        <is>
          <t xml:space="preserve"> - Road House</t>
        </is>
      </c>
      <c r="H118">
        <f>HYPERLINK("https://booking.roadsurfer.com/es/rally/pick?pickup_date=2026-03-19&amp;return_date=2026-03-26&amp;currency=EUR&amp;startStation=51&amp;endStation=58",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Italia</t>
        </is>
      </c>
      <c r="D119" t="inlineStr">
        <is>
          <t>Turín</t>
        </is>
      </c>
      <c r="E119" t="inlineStr">
        <is>
          <t>2026-03-20</t>
        </is>
      </c>
      <c r="F119" t="inlineStr">
        <is>
          <t>2026-03-27</t>
        </is>
      </c>
      <c r="G119" t="inlineStr">
        <is>
          <t xml:space="preserve"> - Road House</t>
        </is>
      </c>
      <c r="H119">
        <f>HYPERLINK("https://booking.roadsurfer.com/es/rally/pick?pickup_date=2026-03-20&amp;return_date=2026-03-27&amp;currency=EUR&amp;startStation=51&amp;endStation=58",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Italia</t>
        </is>
      </c>
      <c r="D120" t="inlineStr">
        <is>
          <t>Turín</t>
        </is>
      </c>
      <c r="E120" t="inlineStr">
        <is>
          <t>2026-03-21</t>
        </is>
      </c>
      <c r="F120" t="inlineStr">
        <is>
          <t>2026-03-28</t>
        </is>
      </c>
      <c r="G120" t="inlineStr">
        <is>
          <t xml:space="preserve"> - Couple Cottage</t>
        </is>
      </c>
      <c r="H120">
        <f>HYPERLINK("https://booking.roadsurfer.com/es/rally/pick?pickup_date=2026-03-21&amp;return_date=2026-03-28&amp;currency=EUR&amp;startStation=51&amp;endStation=58",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Austria</t>
        </is>
      </c>
      <c r="D121" t="inlineStr">
        <is>
          <t>Viena Sur</t>
        </is>
      </c>
      <c r="E121" t="inlineStr">
        <is>
          <t>2026-03-21</t>
        </is>
      </c>
      <c r="F121" t="inlineStr">
        <is>
          <t>2026-03-28</t>
        </is>
      </c>
      <c r="G121" t="inlineStr">
        <is>
          <t xml:space="preserve"> - COUPLE COTTAGE</t>
        </is>
      </c>
      <c r="H121">
        <f>HYPERLINK("https://booking.roadsurfer.com/es/rally/pick?pickup_date=2026-03-21&amp;return_date=2026-03-28&amp;currency=EUR&amp;startStation=51&amp;endStation=45",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Austria</t>
        </is>
      </c>
      <c r="D122" t="inlineStr">
        <is>
          <t>Viena Sur</t>
        </is>
      </c>
      <c r="E122" t="inlineStr">
        <is>
          <t>2026-03-23</t>
        </is>
      </c>
      <c r="F122" t="inlineStr">
        <is>
          <t>2026-03-30</t>
        </is>
      </c>
      <c r="G122" t="inlineStr">
        <is>
          <t xml:space="preserve"> - Couple Cottage</t>
        </is>
      </c>
      <c r="H122">
        <f>HYPERLINK("https://booking.roadsurfer.com/es/rally/pick?pickup_date=2026-03-23&amp;return_date=2026-03-30&amp;currency=EUR&amp;startStation=51&amp;endStation=45",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España</t>
        </is>
      </c>
      <c r="D123" t="inlineStr">
        <is>
          <t>Bilbao</t>
        </is>
      </c>
      <c r="E123" t="inlineStr">
        <is>
          <t>2026-03-24</t>
        </is>
      </c>
      <c r="F123" t="inlineStr">
        <is>
          <t>2026-03-31</t>
        </is>
      </c>
      <c r="G123" t="inlineStr">
        <is>
          <t xml:space="preserve"> - FAMILY FINCA</t>
        </is>
      </c>
      <c r="H123">
        <f>HYPERLINK("https://booking.roadsurfer.com/es/rally/pick?pickup_date=2026-03-24&amp;return_date=2026-03-31&amp;currency=EUR&amp;startStation=51&amp;endStation=40",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Francia</t>
        </is>
      </c>
      <c r="D124" t="inlineStr">
        <is>
          <t>Ginebra-Pays de Gex (Francia)</t>
        </is>
      </c>
      <c r="E124" t="inlineStr">
        <is>
          <t>2026-03-16</t>
        </is>
      </c>
      <c r="F124" t="inlineStr">
        <is>
          <t>2026-03-23</t>
        </is>
      </c>
      <c r="G124" t="inlineStr">
        <is>
          <t xml:space="preserve"> - Surfer Suite</t>
        </is>
      </c>
      <c r="H124">
        <f>HYPERLINK("https://booking.roadsurfer.com/es/rally/pick?pickup_date=2026-03-16&amp;return_date=2026-03-23&amp;currency=EUR&amp;startStation=51&amp;endStation=29",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Francia</t>
        </is>
      </c>
      <c r="D125" t="inlineStr">
        <is>
          <t>Lille</t>
        </is>
      </c>
      <c r="E125" t="inlineStr">
        <is>
          <t>2026-03-25</t>
        </is>
      </c>
      <c r="F125" t="inlineStr">
        <is>
          <t>2026-04-01</t>
        </is>
      </c>
      <c r="G125" t="inlineStr">
        <is>
          <t xml:space="preserve"> - Cozy Cottage</t>
        </is>
      </c>
      <c r="H125">
        <f>HYPERLINK("https://booking.roadsurfer.com/es/rally/pick?pickup_date=2026-03-25&amp;return_date=2026-04-01&amp;currency=EUR&amp;startStation=51&amp;endStation=87",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Alemania</t>
        </is>
      </c>
      <c r="D126" t="inlineStr">
        <is>
          <t>Hamburgo Aeropuerto</t>
        </is>
      </c>
      <c r="E126" t="inlineStr">
        <is>
          <t>2026-03-06</t>
        </is>
      </c>
      <c r="F126" t="inlineStr">
        <is>
          <t>2026-03-13</t>
        </is>
      </c>
      <c r="G126" t="inlineStr">
        <is>
          <t xml:space="preserve"> - Surfer Suite - SURFER SUITE - ROAD HOUSE</t>
        </is>
      </c>
      <c r="H126">
        <f>HYPERLINK("https://booking.roadsurfer.com/es/rally/pick?pickup_date=2026-03-06&amp;return_date=2026-03-13&amp;currency=EUR&amp;startStation=51&amp;endStation=65", "Clic para verlo en la web de RoadSurfer")</f>
        <v/>
      </c>
    </row>
    <row r="127">
      <c r="A127" t="inlineStr">
        <is>
          <t>Alemania</t>
        </is>
      </c>
      <c r="B127" t="inlineStr">
        <is>
          <t>Berlín-Schönefeld</t>
        </is>
      </c>
      <c r="C127" t="inlineStr">
        <is>
          <t>Alemania</t>
        </is>
      </c>
      <c r="D127" t="inlineStr">
        <is>
          <t>Hamburgo Aeropuerto</t>
        </is>
      </c>
      <c r="E127" t="inlineStr">
        <is>
          <t>2026-02-27</t>
        </is>
      </c>
      <c r="F127" t="inlineStr">
        <is>
          <t>2026-03-06</t>
        </is>
      </c>
      <c r="G127" t="inlineStr">
        <is>
          <t xml:space="preserve"> - Surfer Suite</t>
        </is>
      </c>
      <c r="H127">
        <f>HYPERLINK("https://booking.roadsurfer.com/es/rally/pick?pickup_date=2026-02-27&amp;return_date=2026-03-06&amp;currency=EUR&amp;startStation=51&amp;endStation=65", "Clic para verlo en la web de RoadSurfer")</f>
        <v/>
      </c>
    </row>
    <row r="128">
      <c r="A128" t="inlineStr">
        <is>
          <t>Alemania</t>
        </is>
      </c>
      <c r="B128" t="inlineStr">
        <is>
          <t>Berlín-Schönefeld</t>
        </is>
      </c>
      <c r="C128" t="inlineStr">
        <is>
          <t>Alemania</t>
        </is>
      </c>
      <c r="D128" t="inlineStr">
        <is>
          <t>Hamburgo Aeropuerto</t>
        </is>
      </c>
      <c r="E128" t="inlineStr">
        <is>
          <t>2026-02-20</t>
        </is>
      </c>
      <c r="F128" t="inlineStr">
        <is>
          <t>2026-02-27</t>
        </is>
      </c>
      <c r="G128" t="inlineStr">
        <is>
          <t xml:space="preserve"> - Surfer Suite</t>
        </is>
      </c>
      <c r="H128">
        <f>HYPERLINK("https://booking.roadsurfer.com/es/rally/pick?pickup_date=2026-02-20&amp;return_date=2026-02-27&amp;currency=EUR&amp;startStation=51&amp;endStation=65", "Clic para verlo en la web de RoadSurfer")</f>
        <v/>
      </c>
    </row>
    <row r="129">
      <c r="A129" t="inlineStr">
        <is>
          <t>Alemania</t>
        </is>
      </c>
      <c r="B129" t="inlineStr">
        <is>
          <t>Berlín-Schönefeld</t>
        </is>
      </c>
      <c r="C129" t="inlineStr">
        <is>
          <t>España</t>
        </is>
      </c>
      <c r="D129" t="inlineStr">
        <is>
          <t>Madrid</t>
        </is>
      </c>
      <c r="E129" t="inlineStr">
        <is>
          <t>2026-03-09</t>
        </is>
      </c>
      <c r="F129" t="inlineStr">
        <is>
          <t>2026-03-16</t>
        </is>
      </c>
      <c r="G129" t="inlineStr">
        <is>
          <t xml:space="preserve"> - ROAD HOUSE</t>
        </is>
      </c>
      <c r="H129">
        <f>HYPERLINK("https://booking.roadsurfer.com/es/rally/pick?pickup_date=2026-03-09&amp;return_date=2026-03-16&amp;currency=EUR&amp;startStation=51&amp;endStation=20", "Clic para verlo en la web de RoadSurfer")</f>
        <v/>
      </c>
    </row>
    <row r="130">
      <c r="A130" t="inlineStr">
        <is>
          <t>Alemania</t>
        </is>
      </c>
      <c r="B130" t="inlineStr">
        <is>
          <t>Berlín-Schönefeld</t>
        </is>
      </c>
      <c r="C130" t="inlineStr">
        <is>
          <t>Italia</t>
        </is>
      </c>
      <c r="D130" t="inlineStr">
        <is>
          <t>Florencia</t>
        </is>
      </c>
      <c r="E130" t="inlineStr">
        <is>
          <t>2026-03-23</t>
        </is>
      </c>
      <c r="F130" t="inlineStr">
        <is>
          <t>2026-03-30</t>
        </is>
      </c>
      <c r="G130" t="inlineStr">
        <is>
          <t xml:space="preserve"> - Family Finca</t>
        </is>
      </c>
      <c r="H130">
        <f>HYPERLINK("https://booking.roadsurfer.com/es/rally/pick?pickup_date=2026-03-23&amp;return_date=2026-03-30&amp;currency=EUR&amp;startStation=51&amp;endStation=80", "Clic para verlo en la web de RoadSurfer")</f>
        <v/>
      </c>
    </row>
    <row r="131">
      <c r="A131" t="inlineStr">
        <is>
          <t>Alemania</t>
        </is>
      </c>
      <c r="B131" t="inlineStr">
        <is>
          <t>Berlín-Schönefeld</t>
        </is>
      </c>
      <c r="C131" t="inlineStr">
        <is>
          <t>Italia</t>
        </is>
      </c>
      <c r="D131" t="inlineStr">
        <is>
          <t>Milán</t>
        </is>
      </c>
      <c r="E131" t="inlineStr">
        <is>
          <t>2026-02-26</t>
        </is>
      </c>
      <c r="F131" t="inlineStr">
        <is>
          <t>2026-03-05</t>
        </is>
      </c>
      <c r="G131" t="inlineStr">
        <is>
          <t xml:space="preserve"> - Family Finca</t>
        </is>
      </c>
      <c r="H131">
        <f>HYPERLINK("https://booking.roadsurfer.com/es/rally/pick?pickup_date=2026-02-26&amp;return_date=2026-03-05&amp;currency=EUR&amp;startStation=51&amp;endStation=34", "Clic para verlo en la web de RoadSurfer")</f>
        <v/>
      </c>
    </row>
    <row r="132">
      <c r="A132" t="inlineStr">
        <is>
          <t>Alemania</t>
        </is>
      </c>
      <c r="B132" t="inlineStr">
        <is>
          <t>Berlín-Schönefeld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2026-03-19</t>
        </is>
      </c>
      <c r="F132" t="inlineStr">
        <is>
          <t>2026-03-26</t>
        </is>
      </c>
      <c r="G132" t="inlineStr">
        <is>
          <t xml:space="preserve"> - TRAVEL HOME</t>
        </is>
      </c>
      <c r="H132">
        <f>HYPERLINK("https://booking.roadsurfer.com/es/rally/pick?pickup_date=2026-03-19&amp;return_date=2026-03-26&amp;currency=EUR&amp;startStation=51&amp;endStation=56", "Clic para verlo en la web de RoadSurfer")</f>
        <v/>
      </c>
    </row>
    <row r="133">
      <c r="A133" t="inlineStr">
        <is>
          <t>Alemania</t>
        </is>
      </c>
      <c r="B133" t="inlineStr">
        <is>
          <t>Berlín-Schönefeld</t>
        </is>
      </c>
      <c r="C133" t="inlineStr">
        <is>
          <t>Países Bajos</t>
        </is>
      </c>
      <c r="D133" t="inlineStr">
        <is>
          <t>Róterdam</t>
        </is>
      </c>
      <c r="E133" t="inlineStr">
        <is>
          <t>2026-02-20</t>
        </is>
      </c>
      <c r="F133" t="inlineStr">
        <is>
          <t>2026-02-27</t>
        </is>
      </c>
      <c r="G133" t="inlineStr">
        <is>
          <t xml:space="preserve"> - Camper Castle</t>
        </is>
      </c>
      <c r="H133">
        <f>HYPERLINK("https://booking.roadsurfer.com/es/rally/pick?pickup_date=2026-02-20&amp;return_date=2026-02-27&amp;currency=EUR&amp;startStation=51&amp;endStation=33", "Clic para verlo en la web de RoadSurfer")</f>
        <v/>
      </c>
    </row>
    <row r="134">
      <c r="A134" t="inlineStr">
        <is>
          <t>Alemania</t>
        </is>
      </c>
      <c r="B134" t="inlineStr">
        <is>
          <t>Bielefeld</t>
        </is>
      </c>
      <c r="C134" t="inlineStr">
        <is>
          <t>Bélgica</t>
        </is>
      </c>
      <c r="D134" t="inlineStr">
        <is>
          <t>Amberes</t>
        </is>
      </c>
      <c r="E134" t="inlineStr">
        <is>
          <t>2026-03-21</t>
        </is>
      </c>
      <c r="F134" t="inlineStr">
        <is>
          <t>2026-03-28</t>
        </is>
      </c>
      <c r="G134" t="inlineStr">
        <is>
          <t xml:space="preserve"> - Beach Hostel</t>
        </is>
      </c>
      <c r="H134">
        <f>HYPERLINK("https://booking.roadsurfer.com/es/rally/pick?pickup_date=2026-03-21&amp;return_date=2026-03-28&amp;currency=EUR&amp;startStation=91&amp;endStation=47", "Clic para verlo en la web de RoadSurfer")</f>
        <v/>
      </c>
    </row>
    <row r="135">
      <c r="A135" t="inlineStr">
        <is>
          <t>Alemania</t>
        </is>
      </c>
      <c r="B135" t="inlineStr">
        <is>
          <t>Bielefeld</t>
        </is>
      </c>
      <c r="C135" t="inlineStr">
        <is>
          <t>Francia</t>
        </is>
      </c>
      <c r="D135" t="inlineStr">
        <is>
          <t>París Sur (Orly)</t>
        </is>
      </c>
      <c r="E135" t="inlineStr">
        <is>
          <t>2026-03-25</t>
        </is>
      </c>
      <c r="F135" t="inlineStr">
        <is>
          <t>2026-04-01</t>
        </is>
      </c>
      <c r="G135" t="inlineStr">
        <is>
          <t xml:space="preserve"> - Road House</t>
        </is>
      </c>
      <c r="H135">
        <f>HYPERLINK("https://booking.roadsurfer.com/es/rally/pick?pickup_date=2026-03-25&amp;return_date=2026-04-01&amp;currency=EUR&amp;startStation=91&amp;endStation=12", "Clic para verlo en la web de RoadSurfer")</f>
        <v/>
      </c>
    </row>
    <row r="136">
      <c r="A136" t="inlineStr">
        <is>
          <t>Alemania</t>
        </is>
      </c>
      <c r="B136" t="inlineStr">
        <is>
          <t>Bielefeld</t>
        </is>
      </c>
      <c r="C136" t="inlineStr">
        <is>
          <t>Francia</t>
        </is>
      </c>
      <c r="D136" t="inlineStr">
        <is>
          <t>París Aeropuerto CDG</t>
        </is>
      </c>
      <c r="E136" t="inlineStr">
        <is>
          <t>2026-02-27</t>
        </is>
      </c>
      <c r="F136" t="inlineStr">
        <is>
          <t>2026-03-06</t>
        </is>
      </c>
      <c r="G136" t="inlineStr">
        <is>
          <t xml:space="preserve"> - Road House</t>
        </is>
      </c>
      <c r="H136">
        <f>HYPERLINK("https://booking.roadsurfer.com/es/rally/pick?pickup_date=2026-02-27&amp;return_date=2026-03-06&amp;currency=EUR&amp;startStation=91&amp;endStation=48", "Clic para verlo en la web de RoadSurfer")</f>
        <v/>
      </c>
    </row>
    <row r="137">
      <c r="A137" t="inlineStr">
        <is>
          <t>Alemania</t>
        </is>
      </c>
      <c r="B137" t="inlineStr">
        <is>
          <t>Bielefeld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2026-03-21</t>
        </is>
      </c>
      <c r="F137" t="inlineStr">
        <is>
          <t>2026-03-28</t>
        </is>
      </c>
      <c r="G137" t="inlineStr">
        <is>
          <t xml:space="preserve"> - Road House</t>
        </is>
      </c>
      <c r="H137">
        <f>HYPERLINK("https://booking.roadsurfer.com/es/rally/pick?pickup_date=2026-03-21&amp;return_date=2026-03-28&amp;currency=EUR&amp;startStation=91&amp;endStation=31", "Clic para verlo en la web de RoadSurfer")</f>
        <v/>
      </c>
    </row>
    <row r="138">
      <c r="A138" t="inlineStr">
        <is>
          <t>Alemania</t>
        </is>
      </c>
      <c r="B138" t="inlineStr">
        <is>
          <t>Bielefeld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2026-03-14</t>
        </is>
      </c>
      <c r="F138" t="inlineStr">
        <is>
          <t>2026-03-21</t>
        </is>
      </c>
      <c r="G138" t="inlineStr">
        <is>
          <t xml:space="preserve"> - BEACH HOSTEL</t>
        </is>
      </c>
      <c r="H138">
        <f>HYPERLINK("https://booking.roadsurfer.com/es/rally/pick?pickup_date=2026-03-14&amp;return_date=2026-03-21&amp;currency=EUR&amp;startStation=91&amp;endStation=31", "Clic para verlo en la web de RoadSurfer")</f>
        <v/>
      </c>
    </row>
    <row r="139">
      <c r="A139" t="inlineStr">
        <is>
          <t>Alemania</t>
        </is>
      </c>
      <c r="B139" t="inlineStr">
        <is>
          <t>Bielefeld</t>
        </is>
      </c>
      <c r="C139" t="inlineStr">
        <is>
          <t>Italia</t>
        </is>
      </c>
      <c r="D139" t="inlineStr">
        <is>
          <t>Milán</t>
        </is>
      </c>
      <c r="E139" t="inlineStr">
        <is>
          <t>2026-03-22</t>
        </is>
      </c>
      <c r="F139" t="inlineStr">
        <is>
          <t>2026-03-29</t>
        </is>
      </c>
      <c r="G139" t="inlineStr">
        <is>
          <t xml:space="preserve"> - No hay coche</t>
        </is>
      </c>
      <c r="H139">
        <f>HYPERLINK("https://booking.roadsurfer.com/es/rally/pick?pickup_date=2026-03-22&amp;return_date=2026-03-29&amp;currency=EUR&amp;startStation=91&amp;endStation=34", "Clic para verlo en la web de RoadSurfer")</f>
        <v/>
      </c>
    </row>
    <row r="140">
      <c r="A140" t="inlineStr">
        <is>
          <t>Alemania</t>
        </is>
      </c>
      <c r="B140" t="inlineStr">
        <is>
          <t>Bielefeld</t>
        </is>
      </c>
      <c r="C140" t="inlineStr">
        <is>
          <t>Países Bajos</t>
        </is>
      </c>
      <c r="D140" t="inlineStr">
        <is>
          <t>Róterdam</t>
        </is>
      </c>
      <c r="E140" t="inlineStr">
        <is>
          <t>2026-03-09</t>
        </is>
      </c>
      <c r="F140" t="inlineStr">
        <is>
          <t>2026-03-16</t>
        </is>
      </c>
      <c r="G140" t="inlineStr">
        <is>
          <t xml:space="preserve"> - Camper Cabin</t>
        </is>
      </c>
      <c r="H140">
        <f>HYPERLINK("https://booking.roadsurfer.com/es/rally/pick?pickup_date=2026-03-09&amp;return_date=2026-03-16&amp;currency=EUR&amp;startStation=91&amp;endStation=33", "Clic para verlo en la web de RoadSurfer")</f>
        <v/>
      </c>
    </row>
    <row r="141">
      <c r="A141" t="inlineStr">
        <is>
          <t>Alemania</t>
        </is>
      </c>
      <c r="B141" t="inlineStr">
        <is>
          <t>Bielefeld</t>
        </is>
      </c>
      <c r="C141" t="inlineStr">
        <is>
          <t>Alemania</t>
        </is>
      </c>
      <c r="D141" t="inlineStr">
        <is>
          <t>Núremberg</t>
        </is>
      </c>
      <c r="E141" t="inlineStr">
        <is>
          <t>2026-03-16</t>
        </is>
      </c>
      <c r="F141" t="inlineStr">
        <is>
          <t>2026-03-23</t>
        </is>
      </c>
      <c r="G141" t="inlineStr">
        <is>
          <t xml:space="preserve"> - Beach Hostel</t>
        </is>
      </c>
      <c r="H141">
        <f>HYPERLINK("https://booking.roadsurfer.com/es/rally/pick?pickup_date=2026-03-16&amp;return_date=2026-03-23&amp;currency=EUR&amp;startStation=91&amp;endStation=11", "Clic para verlo en la web de RoadSurfer")</f>
        <v/>
      </c>
    </row>
    <row r="142">
      <c r="A142" t="inlineStr">
        <is>
          <t>Alemania</t>
        </is>
      </c>
      <c r="B142" t="inlineStr">
        <is>
          <t>Bielefeld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Surfer Suite</t>
        </is>
      </c>
      <c r="H142">
        <f>HYPERLINK("https://booking.roadsurfer.com/es/rally/pick?pickup_date=2026-03-09&amp;return_date=2026-03-16&amp;currency=EUR&amp;startStation=91&amp;endStation=40", "Clic para verlo en la web de RoadSurfer")</f>
        <v/>
      </c>
    </row>
    <row r="143">
      <c r="A143" t="inlineStr">
        <is>
          <t>Alemania</t>
        </is>
      </c>
      <c r="B143" t="inlineStr">
        <is>
          <t>Bielefeld</t>
        </is>
      </c>
      <c r="C143" t="inlineStr">
        <is>
          <t>Alemania</t>
        </is>
      </c>
      <c r="D143" t="inlineStr">
        <is>
          <t>Aquisgrán</t>
        </is>
      </c>
      <c r="E143" t="inlineStr">
        <is>
          <t>2026-03-13</t>
        </is>
      </c>
      <c r="F143" t="inlineStr">
        <is>
          <t>2026-03-20</t>
        </is>
      </c>
      <c r="G143" t="inlineStr">
        <is>
          <t xml:space="preserve"> - Couple Cottage</t>
        </is>
      </c>
      <c r="H143">
        <f>HYPERLINK("https://booking.roadsurfer.com/es/rally/pick?pickup_date=2026-03-13&amp;return_date=2026-03-20&amp;currency=EUR&amp;startStation=91&amp;endStation=114",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2026-02-28</t>
        </is>
      </c>
      <c r="F144" t="inlineStr">
        <is>
          <t>2026-03-07</t>
        </is>
      </c>
      <c r="G144" t="inlineStr">
        <is>
          <t xml:space="preserve"> - Surfer Suite</t>
        </is>
      </c>
      <c r="H144">
        <f>HYPERLINK("https://booking.roadsurfer.com/es/rally/pick?pickup_date=2026-02-28&amp;return_date=2026-03-07&amp;currency=EUR&amp;startStation=40&amp;endStation=2",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2026-03-19</t>
        </is>
      </c>
      <c r="F145" t="inlineStr">
        <is>
          <t>2026-03-26</t>
        </is>
      </c>
      <c r="G145" t="inlineStr">
        <is>
          <t xml:space="preserve"> - Surfer Suite</t>
        </is>
      </c>
      <c r="H145">
        <f>HYPERLINK("https://booking.roadsurfer.com/es/rally/pick?pickup_date=2026-03-19&amp;return_date=2026-03-26&amp;currency=EUR&amp;startStation=40&amp;endStation=2",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Fráncfort</t>
        </is>
      </c>
      <c r="E146" t="inlineStr">
        <is>
          <t>2026-03-17</t>
        </is>
      </c>
      <c r="F146" t="inlineStr">
        <is>
          <t>2026-03-24</t>
        </is>
      </c>
      <c r="G146" t="inlineStr">
        <is>
          <t xml:space="preserve"> - Surfer Suite</t>
        </is>
      </c>
      <c r="H146">
        <f>HYPERLINK("https://booking.roadsurfer.com/es/rally/pick?pickup_date=2026-03-17&amp;return_date=2026-03-24&amp;currency=EUR&amp;startStation=40&amp;endStation=2",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Kassel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TRAVEL HOME</t>
        </is>
      </c>
      <c r="H147">
        <f>HYPERLINK("https://booking.roadsurfer.com/es/rally/pick?pickup_date=2026-03-09&amp;return_date=2026-03-16&amp;currency=EUR&amp;startStation=40&amp;endStation=92",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2026-03-06</t>
        </is>
      </c>
      <c r="F148" t="inlineStr">
        <is>
          <t>2026-03-13</t>
        </is>
      </c>
      <c r="G148" t="inlineStr">
        <is>
          <t xml:space="preserve"> - Surfer Suite</t>
        </is>
      </c>
      <c r="H148">
        <f>HYPERLINK("https://booking.roadsurfer.com/es/rally/pick?pickup_date=2026-03-06&amp;return_date=2026-03-13&amp;currency=EUR&amp;startStation=40&amp;endStation=22",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2026-02-21</t>
        </is>
      </c>
      <c r="F149" t="inlineStr">
        <is>
          <t>2026-02-28</t>
        </is>
      </c>
      <c r="G149" t="inlineStr">
        <is>
          <t xml:space="preserve"> - No hay coche</t>
        </is>
      </c>
      <c r="H149">
        <f>HYPERLINK("https://booking.roadsurfer.com/es/rally/pick?pickup_date=2026-02-21&amp;return_date=2026-02-28&amp;currency=EUR&amp;startStation=40&amp;endStation=22",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2026-02-20</t>
        </is>
      </c>
      <c r="F150" t="inlineStr">
        <is>
          <t>2026-02-27</t>
        </is>
      </c>
      <c r="G150" t="inlineStr">
        <is>
          <t xml:space="preserve"> - Surfer Suite</t>
        </is>
      </c>
      <c r="H150">
        <f>HYPERLINK("https://booking.roadsurfer.com/es/rally/pick?pickup_date=2026-02-20&amp;return_date=2026-02-27&amp;currency=EUR&amp;startStation=40&amp;endStation=22",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2026-03-14</t>
        </is>
      </c>
      <c r="F151" t="inlineStr">
        <is>
          <t>2026-03-21</t>
        </is>
      </c>
      <c r="G151" t="inlineStr">
        <is>
          <t xml:space="preserve"> - No hay coche</t>
        </is>
      </c>
      <c r="H151">
        <f>HYPERLINK("https://booking.roadsurfer.com/es/rally/pick?pickup_date=2026-03-14&amp;return_date=2026-03-21&amp;currency=EUR&amp;startStation=40&amp;endStation=22",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Constanza (Aach)</t>
        </is>
      </c>
      <c r="E152" t="inlineStr">
        <is>
          <t>2026-02-21</t>
        </is>
      </c>
      <c r="F152" t="inlineStr">
        <is>
          <t>2026-02-28</t>
        </is>
      </c>
      <c r="G152" t="inlineStr">
        <is>
          <t xml:space="preserve"> - Road House</t>
        </is>
      </c>
      <c r="H152">
        <f>HYPERLINK("https://booking.roadsurfer.com/es/rally/pick?pickup_date=2026-02-21&amp;return_date=2026-02-28&amp;currency=EUR&amp;startStation=40&amp;endStation=10",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Constanza (Aach)</t>
        </is>
      </c>
      <c r="E153" t="inlineStr">
        <is>
          <t>2026-03-15</t>
        </is>
      </c>
      <c r="F153" t="inlineStr">
        <is>
          <t>2026-03-22</t>
        </is>
      </c>
      <c r="G153" t="inlineStr">
        <is>
          <t xml:space="preserve"> - No hay coche</t>
        </is>
      </c>
      <c r="H153">
        <f>HYPERLINK("https://booking.roadsurfer.com/es/rally/pick?pickup_date=2026-03-15&amp;return_date=2026-03-22&amp;currency=EUR&amp;startStation=40&amp;endStation=10",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Stuttgart</t>
        </is>
      </c>
      <c r="E154" t="inlineStr">
        <is>
          <t>2026-03-16</t>
        </is>
      </c>
      <c r="F154" t="inlineStr">
        <is>
          <t>2026-03-23</t>
        </is>
      </c>
      <c r="G154" t="inlineStr">
        <is>
          <t xml:space="preserve"> - Road House</t>
        </is>
      </c>
      <c r="H154">
        <f>HYPERLINK("https://booking.roadsurfer.com/es/rally/pick?pickup_date=2026-03-16&amp;return_date=2026-03-23&amp;currency=EUR&amp;startStation=40&amp;endStation=5",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Stuttgart</t>
        </is>
      </c>
      <c r="E155" t="inlineStr">
        <is>
          <t>2026-03-10</t>
        </is>
      </c>
      <c r="F155" t="inlineStr">
        <is>
          <t>2026-03-17</t>
        </is>
      </c>
      <c r="G155" t="inlineStr">
        <is>
          <t xml:space="preserve"> - Family Finca</t>
        </is>
      </c>
      <c r="H155">
        <f>HYPERLINK("https://booking.roadsurfer.com/es/rally/pick?pickup_date=2026-03-10&amp;return_date=2026-03-17&amp;currency=EUR&amp;startStation=40&amp;endStation=5",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2026-03-19</t>
        </is>
      </c>
      <c r="F156" t="inlineStr">
        <is>
          <t>2026-03-26</t>
        </is>
      </c>
      <c r="G156" t="inlineStr">
        <is>
          <t xml:space="preserve"> - Family Finca</t>
        </is>
      </c>
      <c r="H156">
        <f>HYPERLINK("https://booking.roadsurfer.com/es/rally/pick?pickup_date=2026-03-19&amp;return_date=2026-03-26&amp;currency=EUR&amp;startStation=40&amp;endStation=1",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2026-03-18</t>
        </is>
      </c>
      <c r="F157" t="inlineStr">
        <is>
          <t>2026-03-25</t>
        </is>
      </c>
      <c r="G157" t="inlineStr">
        <is>
          <t xml:space="preserve"> - Camper Cabin</t>
        </is>
      </c>
      <c r="H157">
        <f>HYPERLINK("https://booking.roadsurfer.com/es/rally/pick?pickup_date=2026-03-18&amp;return_date=2026-03-25&amp;currency=EUR&amp;startStation=40&amp;endStation=1", "Clic para verlo en la web de RoadSurfer")</f>
        <v/>
      </c>
    </row>
    <row r="158">
      <c r="A158" t="inlineStr">
        <is>
          <t>España</t>
        </is>
      </c>
      <c r="B158" t="inlineStr">
        <is>
          <t>Bilbao</t>
        </is>
      </c>
      <c r="C158" t="inlineStr">
        <is>
          <t>Alemania</t>
        </is>
      </c>
      <c r="D158" t="inlineStr">
        <is>
          <t>Friburgo-Basilea (Alemania)</t>
        </is>
      </c>
      <c r="E158" t="inlineStr">
        <is>
          <t>2026-03-24</t>
        </is>
      </c>
      <c r="F158" t="inlineStr">
        <is>
          <t>2026-03-31</t>
        </is>
      </c>
      <c r="G158" t="inlineStr">
        <is>
          <t xml:space="preserve"> - Surfer Suite</t>
        </is>
      </c>
      <c r="H158">
        <f>HYPERLINK("https://booking.roadsurfer.com/es/rally/pick?pickup_date=2026-03-24&amp;return_date=2026-03-31&amp;currency=EUR&amp;startStation=40&amp;endStation=9", "Clic para verlo en la web de RoadSurfer")</f>
        <v/>
      </c>
    </row>
    <row r="159">
      <c r="A159" t="inlineStr">
        <is>
          <t>España</t>
        </is>
      </c>
      <c r="B159" t="inlineStr">
        <is>
          <t>Bilbao</t>
        </is>
      </c>
      <c r="C159" t="inlineStr">
        <is>
          <t>Alemania</t>
        </is>
      </c>
      <c r="D159" t="inlineStr">
        <is>
          <t>Duisburgo</t>
        </is>
      </c>
      <c r="E159" t="inlineStr">
        <is>
          <t>2026-03-23</t>
        </is>
      </c>
      <c r="F159" t="inlineStr">
        <is>
          <t>2026-03-30</t>
        </is>
      </c>
      <c r="G159" t="inlineStr">
        <is>
          <t xml:space="preserve"> - Surfer Suite</t>
        </is>
      </c>
      <c r="H159">
        <f>HYPERLINK("https://booking.roadsurfer.com/es/rally/pick?pickup_date=2026-03-23&amp;return_date=2026-03-30&amp;currency=EUR&amp;startStation=40&amp;endStation=113", "Clic para verlo en la web de RoadSurfer")</f>
        <v/>
      </c>
    </row>
    <row r="160">
      <c r="A160" t="inlineStr">
        <is>
          <t>España</t>
        </is>
      </c>
      <c r="B160" t="inlineStr">
        <is>
          <t>Bilbao</t>
        </is>
      </c>
      <c r="C160" t="inlineStr">
        <is>
          <t>Alemania</t>
        </is>
      </c>
      <c r="D160" t="inlineStr">
        <is>
          <t>Aquisgrán</t>
        </is>
      </c>
      <c r="E160" t="inlineStr">
        <is>
          <t>2026-03-02</t>
        </is>
      </c>
      <c r="F160" t="inlineStr">
        <is>
          <t>2026-03-09</t>
        </is>
      </c>
      <c r="G160" t="inlineStr">
        <is>
          <t xml:space="preserve"> - Couple Cottage</t>
        </is>
      </c>
      <c r="H160">
        <f>HYPERLINK("https://booking.roadsurfer.com/es/rally/pick?pickup_date=2026-03-02&amp;return_date=2026-03-09&amp;currency=EUR&amp;startStation=40&amp;endStation=114", "Clic para verlo en la web de RoadSurfer")</f>
        <v/>
      </c>
    </row>
    <row r="161">
      <c r="A161" t="inlineStr">
        <is>
          <t>Alemania</t>
        </is>
      </c>
      <c r="B161" t="inlineStr">
        <is>
          <t>Bochum</t>
        </is>
      </c>
      <c r="C161" t="inlineStr">
        <is>
          <t>Alemania</t>
        </is>
      </c>
      <c r="D161" t="inlineStr">
        <is>
          <t>Hamburgo Aeropuerto</t>
        </is>
      </c>
      <c r="E161" t="inlineStr">
        <is>
          <t>2026-03-23</t>
        </is>
      </c>
      <c r="F161" t="inlineStr">
        <is>
          <t>2026-03-30</t>
        </is>
      </c>
      <c r="G161" t="inlineStr">
        <is>
          <t xml:space="preserve"> - Couple Cottage</t>
        </is>
      </c>
      <c r="H161">
        <f>HYPERLINK("https://booking.roadsurfer.com/es/rally/pick?pickup_date=2026-03-23&amp;return_date=2026-03-30&amp;currency=EUR&amp;startStation=24&amp;endStation=65", "Clic para verlo en la web de RoadSurfer")</f>
        <v/>
      </c>
    </row>
    <row r="162">
      <c r="A162" t="inlineStr">
        <is>
          <t>Alemania</t>
        </is>
      </c>
      <c r="B162" t="inlineStr">
        <is>
          <t>Bochum</t>
        </is>
      </c>
      <c r="C162" t="inlineStr">
        <is>
          <t>Austria</t>
        </is>
      </c>
      <c r="D162" t="inlineStr">
        <is>
          <t>Viena Sur</t>
        </is>
      </c>
      <c r="E162" t="inlineStr">
        <is>
          <t>2026-02-23</t>
        </is>
      </c>
      <c r="F162" t="inlineStr">
        <is>
          <t>2026-03-02</t>
        </is>
      </c>
      <c r="G162" t="inlineStr">
        <is>
          <t xml:space="preserve"> - Camper Castle</t>
        </is>
      </c>
      <c r="H162">
        <f>HYPERLINK("https://booking.roadsurfer.com/es/rally/pick?pickup_date=2026-02-23&amp;return_date=2026-03-02&amp;currency=EUR&amp;startStation=24&amp;endStation=45", "Clic para verlo en la web de RoadSurfer")</f>
        <v/>
      </c>
    </row>
    <row r="163">
      <c r="A163" t="inlineStr">
        <is>
          <t>Alemania</t>
        </is>
      </c>
      <c r="B163" t="inlineStr">
        <is>
          <t>Bochum</t>
        </is>
      </c>
      <c r="C163" t="inlineStr">
        <is>
          <t>Francia</t>
        </is>
      </c>
      <c r="D163" t="inlineStr">
        <is>
          <t>París Sur (Orly)</t>
        </is>
      </c>
      <c r="E163" t="inlineStr">
        <is>
          <t>2026-02-18</t>
        </is>
      </c>
      <c r="F163" t="inlineStr">
        <is>
          <t>2026-02-25</t>
        </is>
      </c>
      <c r="G163" t="inlineStr">
        <is>
          <t xml:space="preserve"> - Surfer Suite</t>
        </is>
      </c>
      <c r="H163">
        <f>HYPERLINK("https://booking.roadsurfer.com/es/rally/pick?pickup_date=2026-02-18&amp;return_date=2026-02-25&amp;currency=EUR&amp;startStation=24&amp;endStation=12", "Clic para verlo en la web de RoadSurfer")</f>
        <v/>
      </c>
    </row>
    <row r="164">
      <c r="A164" t="inlineStr">
        <is>
          <t>Italia</t>
        </is>
      </c>
      <c r="B164" t="inlineStr">
        <is>
          <t>Bolonia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2026-02-21</t>
        </is>
      </c>
      <c r="F164" t="inlineStr">
        <is>
          <t>2026-02-28</t>
        </is>
      </c>
      <c r="G164" t="inlineStr">
        <is>
          <t xml:space="preserve"> - No hay coche</t>
        </is>
      </c>
      <c r="H164">
        <f>HYPERLINK("https://booking.roadsurfer.com/es/rally/pick?pickup_date=2026-02-21&amp;return_date=2026-02-28&amp;currency=EUR&amp;startStation=57&amp;endStation=22", "Clic para verlo en la web de RoadSurfer")</f>
        <v/>
      </c>
    </row>
    <row r="165">
      <c r="A165" t="inlineStr">
        <is>
          <t>Italia</t>
        </is>
      </c>
      <c r="B165" t="inlineStr">
        <is>
          <t>Bolonia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2026-02-23</t>
        </is>
      </c>
      <c r="F165" t="inlineStr">
        <is>
          <t>2026-03-02</t>
        </is>
      </c>
      <c r="G165" t="inlineStr">
        <is>
          <t xml:space="preserve"> - Road House</t>
        </is>
      </c>
      <c r="H165">
        <f>HYPERLINK("https://booking.roadsurfer.com/es/rally/pick?pickup_date=2026-02-23&amp;return_date=2026-03-02&amp;currency=EUR&amp;startStation=57&amp;endStation=22", "Clic para verlo en la web de RoadSurfer")</f>
        <v/>
      </c>
    </row>
    <row r="166">
      <c r="A166" t="inlineStr">
        <is>
          <t>Italia</t>
        </is>
      </c>
      <c r="B166" t="inlineStr">
        <is>
          <t>Bolonia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2026-03-19</t>
        </is>
      </c>
      <c r="F166" t="inlineStr">
        <is>
          <t>2026-03-26</t>
        </is>
      </c>
      <c r="G166" t="inlineStr">
        <is>
          <t xml:space="preserve"> - Beach Hostel - Family Finca</t>
        </is>
      </c>
      <c r="H166">
        <f>HYPERLINK("https://booking.roadsurfer.com/es/rally/pick?pickup_date=2026-03-19&amp;return_date=2026-03-26&amp;currency=EUR&amp;startStation=57&amp;endStation=1", "Clic para verlo en la web de RoadSurfer")</f>
        <v/>
      </c>
    </row>
    <row r="167">
      <c r="A167" t="inlineStr">
        <is>
          <t>Italia</t>
        </is>
      </c>
      <c r="B167" t="inlineStr">
        <is>
          <t>Bolonia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Road House</t>
        </is>
      </c>
      <c r="H167">
        <f>HYPERLINK("https://booking.roadsurfer.com/es/rally/pick?pickup_date=2026-03-09&amp;return_date=2026-03-16&amp;currency=EUR&amp;startStation=57&amp;endStation=1", "Clic para verlo en la web de RoadSurfer")</f>
        <v/>
      </c>
    </row>
    <row r="168">
      <c r="A168" t="inlineStr">
        <is>
          <t>Italia</t>
        </is>
      </c>
      <c r="B168" t="inlineStr">
        <is>
          <t>Bolonia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2026-02-19</t>
        </is>
      </c>
      <c r="F168" t="inlineStr">
        <is>
          <t>2026-02-26</t>
        </is>
      </c>
      <c r="G168" t="inlineStr">
        <is>
          <t xml:space="preserve"> - Beach Hostel</t>
        </is>
      </c>
      <c r="H168">
        <f>HYPERLINK("https://booking.roadsurfer.com/es/rally/pick?pickup_date=2026-02-19&amp;return_date=2026-02-26&amp;currency=EUR&amp;startStation=57&amp;endStation=1", "Clic para verlo en la web de RoadSurfer")</f>
        <v/>
      </c>
    </row>
    <row r="169">
      <c r="A169" t="inlineStr">
        <is>
          <t>Italia</t>
        </is>
      </c>
      <c r="B169" t="inlineStr">
        <is>
          <t>Bolonia</t>
        </is>
      </c>
      <c r="C169" t="inlineStr">
        <is>
          <t>Alemania</t>
        </is>
      </c>
      <c r="D169" t="inlineStr">
        <is>
          <t>Fráncfort</t>
        </is>
      </c>
      <c r="E169" t="inlineStr">
        <is>
          <t>2026-03-20</t>
        </is>
      </c>
      <c r="F169" t="inlineStr">
        <is>
          <t>2026-03-27</t>
        </is>
      </c>
      <c r="G169" t="inlineStr">
        <is>
          <t xml:space="preserve"> - Surfer Suite</t>
        </is>
      </c>
      <c r="H169">
        <f>HYPERLINK("https://booking.roadsurfer.com/es/rally/pick?pickup_date=2026-03-20&amp;return_date=2026-03-27&amp;currency=EUR&amp;startStation=57&amp;endStation=2",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Maguncia</t>
        </is>
      </c>
      <c r="E170" t="inlineStr">
        <is>
          <t>2026-02-20</t>
        </is>
      </c>
      <c r="F170" t="inlineStr">
        <is>
          <t>2026-02-27</t>
        </is>
      </c>
      <c r="G170" t="inlineStr">
        <is>
          <t xml:space="preserve"> - Surfer Suite</t>
        </is>
      </c>
      <c r="H170">
        <f>HYPERLINK("https://booking.roadsurfer.com/es/rally/pick?pickup_date=2026-02-20&amp;return_date=2026-02-27&amp;currency=EUR&amp;startStation=13&amp;endStation=54",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2026-02-19</t>
        </is>
      </c>
      <c r="F171" t="inlineStr">
        <is>
          <t>2026-02-26</t>
        </is>
      </c>
      <c r="G171" t="inlineStr">
        <is>
          <t xml:space="preserve"> - Beach Hostel</t>
        </is>
      </c>
      <c r="H171">
        <f>HYPERLINK("https://booking.roadsurfer.com/es/rally/pick?pickup_date=2026-02-19&amp;return_date=2026-02-26&amp;currency=EUR&amp;startStation=13&amp;endStation=22",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2026-02-23</t>
        </is>
      </c>
      <c r="F172" t="inlineStr">
        <is>
          <t>2026-03-02</t>
        </is>
      </c>
      <c r="G172" t="inlineStr">
        <is>
          <t xml:space="preserve"> - Surfer Suite</t>
        </is>
      </c>
      <c r="H172">
        <f>HYPERLINK("https://booking.roadsurfer.com/es/rally/pick?pickup_date=2026-02-23&amp;return_date=2026-03-02&amp;currency=EUR&amp;startStation=13&amp;endStation=22",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2026-03-09</t>
        </is>
      </c>
      <c r="F173" t="inlineStr">
        <is>
          <t>2026-03-16</t>
        </is>
      </c>
      <c r="G173" t="inlineStr">
        <is>
          <t xml:space="preserve"> - Travel Home</t>
        </is>
      </c>
      <c r="H173">
        <f>HYPERLINK("https://booking.roadsurfer.com/es/rally/pick?pickup_date=2026-03-09&amp;return_date=2026-03-16&amp;currency=EUR&amp;startStation=13&amp;endStation=22",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2026-03-16</t>
        </is>
      </c>
      <c r="F174" t="inlineStr">
        <is>
          <t>2026-03-23</t>
        </is>
      </c>
      <c r="G174" t="inlineStr">
        <is>
          <t xml:space="preserve"> - Surfer Suite</t>
        </is>
      </c>
      <c r="H174">
        <f>HYPERLINK("https://booking.roadsurfer.com/es/rally/pick?pickup_date=2026-03-16&amp;return_date=2026-03-23&amp;currency=EUR&amp;startStation=13&amp;endStation=22",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Fráncfort</t>
        </is>
      </c>
      <c r="E175" t="inlineStr">
        <is>
          <t>2026-03-11</t>
        </is>
      </c>
      <c r="F175" t="inlineStr">
        <is>
          <t>2026-03-18</t>
        </is>
      </c>
      <c r="G175" t="inlineStr">
        <is>
          <t xml:space="preserve"> - Beach Hostel</t>
        </is>
      </c>
      <c r="H175">
        <f>HYPERLINK("https://booking.roadsurfer.com/es/rally/pick?pickup_date=2026-03-11&amp;return_date=2026-03-18&amp;currency=EUR&amp;startStation=13&amp;endStation=2",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Fráncfort</t>
        </is>
      </c>
      <c r="E176" t="inlineStr">
        <is>
          <t>2026-03-10</t>
        </is>
      </c>
      <c r="F176" t="inlineStr">
        <is>
          <t>2026-03-17</t>
        </is>
      </c>
      <c r="G176" t="inlineStr">
        <is>
          <t xml:space="preserve"> - Travel Home</t>
        </is>
      </c>
      <c r="H176">
        <f>HYPERLINK("https://booking.roadsurfer.com/es/rally/pick?pickup_date=2026-03-10&amp;return_date=2026-03-17&amp;currency=EUR&amp;startStation=13&amp;endStation=2",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Fráncfort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Road House</t>
        </is>
      </c>
      <c r="H177">
        <f>HYPERLINK("https://booking.roadsurfer.com/es/rally/pick?pickup_date=2026-03-12&amp;return_date=2026-03-19&amp;currency=EUR&amp;startStation=13&amp;endStation=2",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Lindau-Wangen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Beach Hostel</t>
        </is>
      </c>
      <c r="H178">
        <f>HYPERLINK("https://booking.roadsurfer.com/es/rally/pick?pickup_date=2026-03-12&amp;return_date=2026-03-19&amp;currency=EUR&amp;startStation=13&amp;endStation=117",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Duisburgo</t>
        </is>
      </c>
      <c r="E179" t="inlineStr">
        <is>
          <t>2026-03-17</t>
        </is>
      </c>
      <c r="F179" t="inlineStr">
        <is>
          <t>2026-03-24</t>
        </is>
      </c>
      <c r="G179" t="inlineStr">
        <is>
          <t xml:space="preserve"> - Travel Home</t>
        </is>
      </c>
      <c r="H179">
        <f>HYPERLINK("https://booking.roadsurfer.com/es/rally/pick?pickup_date=2026-03-17&amp;return_date=2026-03-24&amp;currency=EUR&amp;startStation=13&amp;endStation=113",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Colonia-Düsseldorf</t>
        </is>
      </c>
      <c r="E180" t="inlineStr">
        <is>
          <t>2026-03-09</t>
        </is>
      </c>
      <c r="F180" t="inlineStr">
        <is>
          <t>2026-03-16</t>
        </is>
      </c>
      <c r="G180" t="inlineStr">
        <is>
          <t xml:space="preserve"> - Road House</t>
        </is>
      </c>
      <c r="H180">
        <f>HYPERLINK("https://booking.roadsurfer.com/es/rally/pick?pickup_date=2026-03-09&amp;return_date=2026-03-16&amp;currency=EUR&amp;startStation=13&amp;endStation=4",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Colonia-Düsseldorf</t>
        </is>
      </c>
      <c r="E181" t="inlineStr">
        <is>
          <t>2026-03-18</t>
        </is>
      </c>
      <c r="F181" t="inlineStr">
        <is>
          <t>2026-03-25</t>
        </is>
      </c>
      <c r="G181" t="inlineStr">
        <is>
          <t xml:space="preserve"> - Family Finca</t>
        </is>
      </c>
      <c r="H181">
        <f>HYPERLINK("https://booking.roadsurfer.com/es/rally/pick?pickup_date=2026-03-18&amp;return_date=2026-03-25&amp;currency=EUR&amp;startStation=13&amp;endStation=4",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Colonia-Düsseldorf</t>
        </is>
      </c>
      <c r="E182" t="inlineStr">
        <is>
          <t>2026-02-21</t>
        </is>
      </c>
      <c r="F182" t="inlineStr">
        <is>
          <t>2026-02-28</t>
        </is>
      </c>
      <c r="G182" t="inlineStr">
        <is>
          <t xml:space="preserve"> - Travel Home</t>
        </is>
      </c>
      <c r="H182">
        <f>HYPERLINK("https://booking.roadsurfer.com/es/rally/pick?pickup_date=2026-02-21&amp;return_date=2026-02-28&amp;currency=EUR&amp;startStation=13&amp;endStation=4",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Lübeck</t>
        </is>
      </c>
      <c r="E183" t="inlineStr">
        <is>
          <t>2026-03-16</t>
        </is>
      </c>
      <c r="F183" t="inlineStr">
        <is>
          <t>2026-03-23</t>
        </is>
      </c>
      <c r="G183" t="inlineStr">
        <is>
          <t xml:space="preserve"> - Camper Cabin</t>
        </is>
      </c>
      <c r="H183">
        <f>HYPERLINK("https://booking.roadsurfer.com/es/rally/pick?pickup_date=2026-03-16&amp;return_date=2026-03-23&amp;currency=EUR&amp;startStation=13&amp;endStation=109",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Núremberg</t>
        </is>
      </c>
      <c r="E184" t="inlineStr">
        <is>
          <t>2026-03-23</t>
        </is>
      </c>
      <c r="F184" t="inlineStr">
        <is>
          <t>2026-03-30</t>
        </is>
      </c>
      <c r="G184" t="inlineStr">
        <is>
          <t xml:space="preserve"> - ROAD HOUSE</t>
        </is>
      </c>
      <c r="H184">
        <f>HYPERLINK("https://booking.roadsurfer.com/es/rally/pick?pickup_date=2026-03-23&amp;return_date=2026-03-30&amp;currency=EUR&amp;startStation=13&amp;endStation=11",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Núremberg</t>
        </is>
      </c>
      <c r="E185" t="inlineStr">
        <is>
          <t>2026-03-19</t>
        </is>
      </c>
      <c r="F185" t="inlineStr">
        <is>
          <t>2026-03-26</t>
        </is>
      </c>
      <c r="G185" t="inlineStr">
        <is>
          <t xml:space="preserve"> - Camper Cabin</t>
        </is>
      </c>
      <c r="H185">
        <f>HYPERLINK("https://booking.roadsurfer.com/es/rally/pick?pickup_date=2026-03-19&amp;return_date=2026-03-26&amp;currency=EUR&amp;startStation=13&amp;endStation=11",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Francia</t>
        </is>
      </c>
      <c r="D186" t="inlineStr">
        <is>
          <t>Estrasburgo</t>
        </is>
      </c>
      <c r="E186" t="inlineStr">
        <is>
          <t>2026-03-02</t>
        </is>
      </c>
      <c r="F186" t="inlineStr">
        <is>
          <t>2026-03-09</t>
        </is>
      </c>
      <c r="G186" t="inlineStr">
        <is>
          <t xml:space="preserve"> - Road House</t>
        </is>
      </c>
      <c r="H186">
        <f>HYPERLINK("https://booking.roadsurfer.com/es/rally/pick?pickup_date=2026-03-02&amp;return_date=2026-03-09&amp;currency=EUR&amp;startStation=13&amp;endStation=49",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Colonia-Bonn</t>
        </is>
      </c>
      <c r="E187" t="inlineStr">
        <is>
          <t>2026-03-13</t>
        </is>
      </c>
      <c r="F187" t="inlineStr">
        <is>
          <t>2026-03-20</t>
        </is>
      </c>
      <c r="G187" t="inlineStr">
        <is>
          <t xml:space="preserve"> - Road House - Sunrise Suite</t>
        </is>
      </c>
      <c r="H187">
        <f>HYPERLINK("https://booking.roadsurfer.com/es/rally/pick?pickup_date=2026-03-13&amp;return_date=2026-03-20&amp;currency=EUR&amp;startStation=13&amp;endStation=52",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2026-03-14</t>
        </is>
      </c>
      <c r="F188" t="inlineStr">
        <is>
          <t>2026-03-21</t>
        </is>
      </c>
      <c r="G188" t="inlineStr">
        <is>
          <t xml:space="preserve"> - Sunrise Suite</t>
        </is>
      </c>
      <c r="H188">
        <f>HYPERLINK("https://booking.roadsurfer.com/es/rally/pick?pickup_date=2026-03-14&amp;return_date=2026-03-21&amp;currency=EUR&amp;startStation=13&amp;endStation=52",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2026-02-25</t>
        </is>
      </c>
      <c r="F189" t="inlineStr">
        <is>
          <t>2026-03-04</t>
        </is>
      </c>
      <c r="G189" t="inlineStr">
        <is>
          <t xml:space="preserve"> - Couple Cottage</t>
        </is>
      </c>
      <c r="H189">
        <f>HYPERLINK("https://booking.roadsurfer.com/es/rally/pick?pickup_date=2026-02-25&amp;return_date=2026-03-04&amp;currency=EUR&amp;startStation=13&amp;endStation=52",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Austria</t>
        </is>
      </c>
      <c r="D190" t="inlineStr">
        <is>
          <t>Salzburgo</t>
        </is>
      </c>
      <c r="E190" t="inlineStr">
        <is>
          <t>2026-03-26</t>
        </is>
      </c>
      <c r="F190" t="inlineStr">
        <is>
          <t>2026-04-02</t>
        </is>
      </c>
      <c r="G190" t="inlineStr">
        <is>
          <t xml:space="preserve"> - Family Finca</t>
        </is>
      </c>
      <c r="H190">
        <f>HYPERLINK("https://booking.roadsurfer.com/es/rally/pick?pickup_date=2026-03-26&amp;return_date=2026-04-02&amp;currency=EUR&amp;startStation=13&amp;endStation=85",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2026-03-12</t>
        </is>
      </c>
      <c r="F191" t="inlineStr">
        <is>
          <t>2026-03-19</t>
        </is>
      </c>
      <c r="G191" t="inlineStr">
        <is>
          <t xml:space="preserve"> - Family Finca</t>
        </is>
      </c>
      <c r="H191">
        <f>HYPERLINK("https://booking.roadsurfer.com/es/rally/pick?pickup_date=2026-03-12&amp;return_date=2026-03-19&amp;currency=EUR&amp;startStation=13&amp;endStation=29",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Couple Cottage</t>
        </is>
      </c>
      <c r="H192">
        <f>HYPERLINK("https://booking.roadsurfer.com/es/rally/pick?pickup_date=2026-03-16&amp;return_date=2026-03-23&amp;currency=EUR&amp;startStation=13&amp;endStation=15",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Ratisbona</t>
        </is>
      </c>
      <c r="E193" t="inlineStr">
        <is>
          <t>2026-03-12</t>
        </is>
      </c>
      <c r="F193" t="inlineStr">
        <is>
          <t>2026-03-19</t>
        </is>
      </c>
      <c r="G193" t="inlineStr">
        <is>
          <t xml:space="preserve"> - FAMILY FINCA</t>
        </is>
      </c>
      <c r="H193">
        <f>HYPERLINK("https://booking.roadsurfer.com/es/rally/pick?pickup_date=2026-03-12&amp;return_date=2026-03-19&amp;currency=EUR&amp;startStation=13&amp;endStation=89",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Berlín</t>
        </is>
      </c>
      <c r="E194" t="inlineStr">
        <is>
          <t>2026-03-09</t>
        </is>
      </c>
      <c r="F194" t="inlineStr">
        <is>
          <t>2026-03-16</t>
        </is>
      </c>
      <c r="G194" t="inlineStr">
        <is>
          <t xml:space="preserve"> - Sunrise Suite</t>
        </is>
      </c>
      <c r="H194">
        <f>HYPERLINK("https://booking.roadsurfer.com/es/rally/pick?pickup_date=2026-03-09&amp;return_date=2026-03-16&amp;currency=EUR&amp;startStation=13&amp;endStation=6",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Múnich</t>
        </is>
      </c>
      <c r="E195" t="inlineStr">
        <is>
          <t>2026-03-09</t>
        </is>
      </c>
      <c r="F195" t="inlineStr">
        <is>
          <t>2026-03-16</t>
        </is>
      </c>
      <c r="G195" t="inlineStr">
        <is>
          <t xml:space="preserve"> - Sunrise Suite</t>
        </is>
      </c>
      <c r="H195">
        <f>HYPERLINK("https://booking.roadsurfer.com/es/rally/pick?pickup_date=2026-03-09&amp;return_date=2026-03-16&amp;currency=EUR&amp;startStation=13&amp;endStation=1",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Múnich</t>
        </is>
      </c>
      <c r="E196" t="inlineStr">
        <is>
          <t>2026-03-12</t>
        </is>
      </c>
      <c r="F196" t="inlineStr">
        <is>
          <t>2026-03-19</t>
        </is>
      </c>
      <c r="G196" t="inlineStr">
        <is>
          <t xml:space="preserve"> - Sunrise Suite</t>
        </is>
      </c>
      <c r="H196">
        <f>HYPERLINK("https://booking.roadsurfer.com/es/rally/pick?pickup_date=2026-03-12&amp;return_date=2026-03-19&amp;currency=EUR&amp;startStation=13&amp;endStation=1",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Múnich</t>
        </is>
      </c>
      <c r="E197" t="inlineStr">
        <is>
          <t>2026-03-16</t>
        </is>
      </c>
      <c r="F197" t="inlineStr">
        <is>
          <t>2026-03-23</t>
        </is>
      </c>
      <c r="G197" t="inlineStr">
        <is>
          <t xml:space="preserve"> - Sunrise Suite</t>
        </is>
      </c>
      <c r="H197">
        <f>HYPERLINK("https://booking.roadsurfer.com/es/rally/pick?pickup_date=2026-03-16&amp;return_date=2026-03-23&amp;currency=EUR&amp;startStation=13&amp;endStation=1",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Francia</t>
        </is>
      </c>
      <c r="D198" t="inlineStr">
        <is>
          <t>París Sur (Orly)</t>
        </is>
      </c>
      <c r="E198" t="inlineStr">
        <is>
          <t>2026-03-14</t>
        </is>
      </c>
      <c r="F198" t="inlineStr">
        <is>
          <t>2026-03-21</t>
        </is>
      </c>
      <c r="G198" t="inlineStr">
        <is>
          <t xml:space="preserve"> - Family Finca</t>
        </is>
      </c>
      <c r="H198">
        <f>HYPERLINK("https://booking.roadsurfer.com/es/rally/pick?pickup_date=2026-03-14&amp;return_date=2026-03-21&amp;currency=EUR&amp;startStation=55&amp;endStation=12",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2026-03-16</t>
        </is>
      </c>
      <c r="F199" t="inlineStr">
        <is>
          <t>2026-03-23</t>
        </is>
      </c>
      <c r="G199" t="inlineStr">
        <is>
          <t xml:space="preserve"> - Family Finca</t>
        </is>
      </c>
      <c r="H199">
        <f>HYPERLINK("https://booking.roadsurfer.com/es/rally/pick?pickup_date=2026-03-16&amp;return_date=2026-03-23&amp;currency=EUR&amp;startStation=55&amp;endStation=77",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2026-03-20</t>
        </is>
      </c>
      <c r="F200" t="inlineStr">
        <is>
          <t>2026-03-27</t>
        </is>
      </c>
      <c r="G200" t="inlineStr">
        <is>
          <t xml:space="preserve"> - Surfer Suite - Road House</t>
        </is>
      </c>
      <c r="H200">
        <f>HYPERLINK("https://booking.roadsurfer.com/es/rally/pick?pickup_date=2026-03-20&amp;return_date=2026-03-27&amp;currency=EUR&amp;startStation=55&amp;endStation=77",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2026-03-21</t>
        </is>
      </c>
      <c r="F201" t="inlineStr">
        <is>
          <t>2026-03-28</t>
        </is>
      </c>
      <c r="G201" t="inlineStr">
        <is>
          <t xml:space="preserve"> - Surfer Suite - Family Finca</t>
        </is>
      </c>
      <c r="H201">
        <f>HYPERLINK("https://booking.roadsurfer.com/es/rally/pick?pickup_date=2026-03-21&amp;return_date=2026-03-28&amp;currency=EUR&amp;startStation=55&amp;endStation=77",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2026-02-27</t>
        </is>
      </c>
      <c r="F202" t="inlineStr">
        <is>
          <t>2026-03-06</t>
        </is>
      </c>
      <c r="G202" t="inlineStr">
        <is>
          <t xml:space="preserve"> - Family Finca</t>
        </is>
      </c>
      <c r="H202">
        <f>HYPERLINK("https://booking.roadsurfer.com/es/rally/pick?pickup_date=2026-02-27&amp;return_date=2026-03-06&amp;currency=EUR&amp;startStation=55&amp;endStation=77",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Malmö</t>
        </is>
      </c>
      <c r="E203" t="inlineStr">
        <is>
          <t>2026-03-23</t>
        </is>
      </c>
      <c r="F203" t="inlineStr">
        <is>
          <t>2026-03-30</t>
        </is>
      </c>
      <c r="G203" t="inlineStr">
        <is>
          <t xml:space="preserve"> - Road House</t>
        </is>
      </c>
      <c r="H203">
        <f>HYPERLINK("https://booking.roadsurfer.com/es/rally/pick?pickup_date=2026-03-23&amp;return_date=2026-03-30&amp;currency=EUR&amp;startStation=55&amp;endStation=60",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2026-03-24</t>
        </is>
      </c>
      <c r="F204" t="inlineStr">
        <is>
          <t>2026-03-31</t>
        </is>
      </c>
      <c r="G204" t="inlineStr">
        <is>
          <t xml:space="preserve"> - Surfer Suite - Road House</t>
        </is>
      </c>
      <c r="H204">
        <f>HYPERLINK("https://booking.roadsurfer.com/es/rally/pick?pickup_date=2026-03-24&amp;return_date=2026-03-31&amp;currency=EUR&amp;startStation=55&amp;endStation=60",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Malmö</t>
        </is>
      </c>
      <c r="E205" t="inlineStr">
        <is>
          <t>2026-03-20</t>
        </is>
      </c>
      <c r="F205" t="inlineStr">
        <is>
          <t>2026-03-27</t>
        </is>
      </c>
      <c r="G205" t="inlineStr">
        <is>
          <t xml:space="preserve"> - Road House</t>
        </is>
      </c>
      <c r="H205">
        <f>HYPERLINK("https://booking.roadsurfer.com/es/rally/pick?pickup_date=2026-03-20&amp;return_date=2026-03-27&amp;currency=EUR&amp;startStation=55&amp;endStation=60",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Malmö</t>
        </is>
      </c>
      <c r="E206" t="inlineStr">
        <is>
          <t>2026-03-21</t>
        </is>
      </c>
      <c r="F206" t="inlineStr">
        <is>
          <t>2026-03-28</t>
        </is>
      </c>
      <c r="G206" t="inlineStr">
        <is>
          <t xml:space="preserve"> - Road House</t>
        </is>
      </c>
      <c r="H206">
        <f>HYPERLINK("https://booking.roadsurfer.com/es/rally/pick?pickup_date=2026-03-21&amp;return_date=2026-03-28&amp;currency=EUR&amp;startStation=55&amp;endStation=60",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Malmö</t>
        </is>
      </c>
      <c r="E207" t="inlineStr">
        <is>
          <t>2026-03-13</t>
        </is>
      </c>
      <c r="F207" t="inlineStr">
        <is>
          <t>2026-03-20</t>
        </is>
      </c>
      <c r="G207" t="inlineStr">
        <is>
          <t xml:space="preserve"> - Family Finca</t>
        </is>
      </c>
      <c r="H207">
        <f>HYPERLINK("https://booking.roadsurfer.com/es/rally/pick?pickup_date=2026-03-13&amp;return_date=2026-03-20&amp;currency=EUR&amp;startStation=55&amp;endStation=60",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Países Bajos</t>
        </is>
      </c>
      <c r="D208" t="inlineStr">
        <is>
          <t>Ámsterdam</t>
        </is>
      </c>
      <c r="E208" t="inlineStr">
        <is>
          <t>2026-03-07</t>
        </is>
      </c>
      <c r="F208" t="inlineStr">
        <is>
          <t>2026-03-14</t>
        </is>
      </c>
      <c r="G208" t="inlineStr">
        <is>
          <t xml:space="preserve"> - Surfer Suite</t>
        </is>
      </c>
      <c r="H208">
        <f>HYPERLINK("https://booking.roadsurfer.com/es/rally/pick?pickup_date=2026-03-07&amp;return_date=2026-03-14&amp;currency=EUR&amp;startStation=55&amp;endStation=32",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Países Bajos</t>
        </is>
      </c>
      <c r="D209" t="inlineStr">
        <is>
          <t>Ámsterdam</t>
        </is>
      </c>
      <c r="E209" t="inlineStr">
        <is>
          <t>2026-03-12</t>
        </is>
      </c>
      <c r="F209" t="inlineStr">
        <is>
          <t>2026-03-19</t>
        </is>
      </c>
      <c r="G209" t="inlineStr">
        <is>
          <t xml:space="preserve"> - Surfer Suite</t>
        </is>
      </c>
      <c r="H209">
        <f>HYPERLINK("https://booking.roadsurfer.com/es/rally/pick?pickup_date=2026-03-12&amp;return_date=2026-03-19&amp;currency=EUR&amp;startStation=55&amp;endStation=32",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2026-03-19</t>
        </is>
      </c>
      <c r="F210" t="inlineStr">
        <is>
          <t>2026-03-26</t>
        </is>
      </c>
      <c r="G210" t="inlineStr">
        <is>
          <t xml:space="preserve"> - Road House</t>
        </is>
      </c>
      <c r="H210">
        <f>HYPERLINK("https://booking.roadsurfer.com/es/rally/pick?pickup_date=2026-03-19&amp;return_date=2026-03-26&amp;currency=EUR&amp;startStation=55&amp;endStation=32",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Países Bajos</t>
        </is>
      </c>
      <c r="D211" t="inlineStr">
        <is>
          <t>Róterdam</t>
        </is>
      </c>
      <c r="E211" t="inlineStr">
        <is>
          <t>2026-03-04</t>
        </is>
      </c>
      <c r="F211" t="inlineStr">
        <is>
          <t>2026-03-11</t>
        </is>
      </c>
      <c r="G211" t="inlineStr">
        <is>
          <t xml:space="preserve"> - Surfer Suite</t>
        </is>
      </c>
      <c r="H211">
        <f>HYPERLINK("https://booking.roadsurfer.com/es/rally/pick?pickup_date=2026-03-04&amp;return_date=2026-03-11&amp;currency=EUR&amp;startStation=55&amp;endStation=33",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Alemania</t>
        </is>
      </c>
      <c r="D212" t="inlineStr">
        <is>
          <t>Kiel</t>
        </is>
      </c>
      <c r="E212" t="inlineStr">
        <is>
          <t>2026-03-12</t>
        </is>
      </c>
      <c r="F212" t="inlineStr">
        <is>
          <t>2026-03-19</t>
        </is>
      </c>
      <c r="G212" t="inlineStr">
        <is>
          <t xml:space="preserve"> - Couple Cottage</t>
        </is>
      </c>
      <c r="H212">
        <f>HYPERLINK("https://booking.roadsurfer.com/es/rally/pick?pickup_date=2026-03-12&amp;return_date=2026-03-19&amp;currency=EUR&amp;startStation=55&amp;endStation=111",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Alemania</t>
        </is>
      </c>
      <c r="D213" t="inlineStr">
        <is>
          <t>Kiel</t>
        </is>
      </c>
      <c r="E213" t="inlineStr">
        <is>
          <t>2026-03-19</t>
        </is>
      </c>
      <c r="F213" t="inlineStr">
        <is>
          <t>2026-03-26</t>
        </is>
      </c>
      <c r="G213" t="inlineStr">
        <is>
          <t xml:space="preserve"> - Camper Cabin</t>
        </is>
      </c>
      <c r="H213">
        <f>HYPERLINK("https://booking.roadsurfer.com/es/rally/pick?pickup_date=2026-03-19&amp;return_date=2026-03-26&amp;currency=EUR&amp;startStation=55&amp;endStation=111",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2026-03-27</t>
        </is>
      </c>
      <c r="F214" t="inlineStr">
        <is>
          <t>2026-04-03</t>
        </is>
      </c>
      <c r="G214" t="inlineStr">
        <is>
          <t xml:space="preserve"> - No hay coche</t>
        </is>
      </c>
      <c r="H214">
        <f>HYPERLINK("https://booking.roadsurfer.com/es/rally/pick?pickup_date=2026-03-27&amp;return_date=2026-04-03&amp;currency=EUR&amp;startStation=55&amp;endStation=59",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2026-03-26</t>
        </is>
      </c>
      <c r="F215" t="inlineStr">
        <is>
          <t>2026-04-02</t>
        </is>
      </c>
      <c r="G215" t="inlineStr">
        <is>
          <t xml:space="preserve"> - Surfer Suite</t>
        </is>
      </c>
      <c r="H215">
        <f>HYPERLINK("https://booking.roadsurfer.com/es/rally/pick?pickup_date=2026-03-26&amp;return_date=2026-04-02&amp;currency=EUR&amp;startStation=55&amp;endStation=59",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2026-03-20</t>
        </is>
      </c>
      <c r="F216" t="inlineStr">
        <is>
          <t>2026-03-27</t>
        </is>
      </c>
      <c r="G216" t="inlineStr">
        <is>
          <t xml:space="preserve"> - Family Finca</t>
        </is>
      </c>
      <c r="H216">
        <f>HYPERLINK("https://booking.roadsurfer.com/es/rally/pick?pickup_date=2026-03-20&amp;return_date=2026-03-27&amp;currency=EUR&amp;startStation=55&amp;endStation=59",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2026-03-21</t>
        </is>
      </c>
      <c r="F217" t="inlineStr">
        <is>
          <t>2026-03-28</t>
        </is>
      </c>
      <c r="G217" t="inlineStr">
        <is>
          <t xml:space="preserve"> - Road House</t>
        </is>
      </c>
      <c r="H217">
        <f>HYPERLINK("https://booking.roadsurfer.com/es/rally/pick?pickup_date=2026-03-21&amp;return_date=2026-03-28&amp;currency=EUR&amp;startStation=55&amp;endStation=59",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2026-03-22</t>
        </is>
      </c>
      <c r="F218" t="inlineStr">
        <is>
          <t>2026-03-29</t>
        </is>
      </c>
      <c r="G218" t="inlineStr">
        <is>
          <t xml:space="preserve"> - No hay coche</t>
        </is>
      </c>
      <c r="H218">
        <f>HYPERLINK("https://booking.roadsurfer.com/es/rally/pick?pickup_date=2026-03-22&amp;return_date=2026-03-29&amp;currency=EUR&amp;startStation=55&amp;endStation=59",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2026-03-29</t>
        </is>
      </c>
      <c r="F219" t="inlineStr">
        <is>
          <t>2026-04-05</t>
        </is>
      </c>
      <c r="G219" t="inlineStr">
        <is>
          <t xml:space="preserve"> - No hay coche</t>
        </is>
      </c>
      <c r="H219">
        <f>HYPERLINK("https://booking.roadsurfer.com/es/rally/pick?pickup_date=2026-03-29&amp;return_date=2026-04-05&amp;currency=EUR&amp;startStation=55&amp;endStation=59",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2026-03-23</t>
        </is>
      </c>
      <c r="F220" t="inlineStr">
        <is>
          <t>2026-03-30</t>
        </is>
      </c>
      <c r="G220" t="inlineStr">
        <is>
          <t xml:space="preserve"> - Surfer Suite</t>
        </is>
      </c>
      <c r="H220">
        <f>HYPERLINK("https://booking.roadsurfer.com/es/rally/pick?pickup_date=2026-03-23&amp;return_date=2026-03-30&amp;currency=EUR&amp;startStation=55&amp;endStation=59",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2026-03-25</t>
        </is>
      </c>
      <c r="F221" t="inlineStr">
        <is>
          <t>2026-04-01</t>
        </is>
      </c>
      <c r="G221" t="inlineStr">
        <is>
          <t xml:space="preserve"> - BEACH HOSTEL</t>
        </is>
      </c>
      <c r="H221">
        <f>HYPERLINK("https://booking.roadsurfer.com/es/rally/pick?pickup_date=2026-03-25&amp;return_date=2026-04-01&amp;currency=EUR&amp;startStation=55&amp;endStation=59",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España</t>
        </is>
      </c>
      <c r="D222" t="inlineStr">
        <is>
          <t>Madrid</t>
        </is>
      </c>
      <c r="E222" t="inlineStr">
        <is>
          <t>2026-03-23</t>
        </is>
      </c>
      <c r="F222" t="inlineStr">
        <is>
          <t>2026-03-30</t>
        </is>
      </c>
      <c r="G222" t="inlineStr">
        <is>
          <t xml:space="preserve"> - Road House</t>
        </is>
      </c>
      <c r="H222">
        <f>HYPERLINK("https://booking.roadsurfer.com/es/rally/pick?pickup_date=2026-03-23&amp;return_date=2026-03-30&amp;currency=EUR&amp;startStation=55&amp;endStation=20",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España</t>
        </is>
      </c>
      <c r="D223" t="inlineStr">
        <is>
          <t>Madrid</t>
        </is>
      </c>
      <c r="E223" t="inlineStr">
        <is>
          <t>2026-03-16</t>
        </is>
      </c>
      <c r="F223" t="inlineStr">
        <is>
          <t>2026-03-23</t>
        </is>
      </c>
      <c r="G223" t="inlineStr">
        <is>
          <t xml:space="preserve"> - Road House</t>
        </is>
      </c>
      <c r="H223">
        <f>HYPERLINK("https://booking.roadsurfer.com/es/rally/pick?pickup_date=2026-03-16&amp;return_date=2026-03-23&amp;currency=EUR&amp;startStation=55&amp;endStation=20",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2026-03-23</t>
        </is>
      </c>
      <c r="F224" t="inlineStr">
        <is>
          <t>2026-03-30</t>
        </is>
      </c>
      <c r="G224" t="inlineStr">
        <is>
          <t xml:space="preserve"> - Camper Cabin Deluxe</t>
        </is>
      </c>
      <c r="H224">
        <f>HYPERLINK("https://booking.roadsurfer.com/es/rally/pick?pickup_date=2026-03-23&amp;return_date=2026-03-30&amp;currency=EUR&amp;startStation=55&amp;endStation=42",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Alemania</t>
        </is>
      </c>
      <c r="D225" t="inlineStr">
        <is>
          <t>Heidelberg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Surfer Suite</t>
        </is>
      </c>
      <c r="H225">
        <f>HYPERLINK("https://booking.roadsurfer.com/es/rally/pick?pickup_date=2026-03-23&amp;return_date=2026-03-30&amp;currency=EUR&amp;startStation=55&amp;endStation=79", "Clic para verlo en la web de RoadSurfer")</f>
        <v/>
      </c>
    </row>
    <row r="226">
      <c r="A226" t="inlineStr">
        <is>
          <t>Alemania</t>
        </is>
      </c>
      <c r="B226" t="inlineStr">
        <is>
          <t>Bremen</t>
        </is>
      </c>
      <c r="C226" t="inlineStr">
        <is>
          <t>Alemania</t>
        </is>
      </c>
      <c r="D226" t="inlineStr">
        <is>
          <t>Maguncia</t>
        </is>
      </c>
      <c r="E226" t="inlineStr">
        <is>
          <t>2026-03-17</t>
        </is>
      </c>
      <c r="F226" t="inlineStr">
        <is>
          <t>2026-03-24</t>
        </is>
      </c>
      <c r="G226" t="inlineStr">
        <is>
          <t xml:space="preserve"> - Family Finca</t>
        </is>
      </c>
      <c r="H226">
        <f>HYPERLINK("https://booking.roadsurfer.com/es/rally/pick?pickup_date=2026-03-17&amp;return_date=2026-03-24&amp;currency=EUR&amp;startStation=55&amp;endStation=54",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Lübeck</t>
        </is>
      </c>
      <c r="E227" t="inlineStr">
        <is>
          <t>2026-03-14</t>
        </is>
      </c>
      <c r="F227" t="inlineStr">
        <is>
          <t>2026-03-21</t>
        </is>
      </c>
      <c r="G227" t="inlineStr">
        <is>
          <t xml:space="preserve"> - CAMPER CASTLE</t>
        </is>
      </c>
      <c r="H227">
        <f>HYPERLINK("https://booking.roadsurfer.com/es/rally/pick?pickup_date=2026-03-14&amp;return_date=2026-03-21&amp;currency=EUR&amp;startStation=42&amp;endStation=109",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Bremen</t>
        </is>
      </c>
      <c r="E228" t="inlineStr">
        <is>
          <t>2026-02-20</t>
        </is>
      </c>
      <c r="F228" t="inlineStr">
        <is>
          <t>2026-02-27</t>
        </is>
      </c>
      <c r="G228" t="inlineStr">
        <is>
          <t xml:space="preserve"> - Camper Cabin Deluxe</t>
        </is>
      </c>
      <c r="H228">
        <f>HYPERLINK("https://booking.roadsurfer.com/es/rally/pick?pickup_date=2026-02-20&amp;return_date=2026-02-27&amp;currency=EUR&amp;startStation=42&amp;endStation=55",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Leipzig</t>
        </is>
      </c>
      <c r="E229" t="inlineStr">
        <is>
          <t>2026-02-21</t>
        </is>
      </c>
      <c r="F229" t="inlineStr">
        <is>
          <t>2026-02-28</t>
        </is>
      </c>
      <c r="G229" t="inlineStr">
        <is>
          <t xml:space="preserve"> - Family Finca</t>
        </is>
      </c>
      <c r="H229">
        <f>HYPERLINK("https://booking.roadsurfer.com/es/rally/pick?pickup_date=2026-02-21&amp;return_date=2026-02-28&amp;currency=EUR&amp;startStation=42&amp;endStation=8",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Colonia-Bonn</t>
        </is>
      </c>
      <c r="E230" t="inlineStr">
        <is>
          <t>2026-02-24</t>
        </is>
      </c>
      <c r="F230" t="inlineStr">
        <is>
          <t>2026-03-03</t>
        </is>
      </c>
      <c r="G230" t="inlineStr">
        <is>
          <t xml:space="preserve"> - SURFER SUITE</t>
        </is>
      </c>
      <c r="H230">
        <f>HYPERLINK("https://booking.roadsurfer.com/es/rally/pick?pickup_date=2026-02-24&amp;return_date=2026-03-03&amp;currency=EUR&amp;startStation=42&amp;endStation=52",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Colonia-Bonn</t>
        </is>
      </c>
      <c r="E231" t="inlineStr">
        <is>
          <t>2026-02-27</t>
        </is>
      </c>
      <c r="F231" t="inlineStr">
        <is>
          <t>2026-03-06</t>
        </is>
      </c>
      <c r="G231" t="inlineStr">
        <is>
          <t xml:space="preserve"> - Surfer Suite</t>
        </is>
      </c>
      <c r="H231">
        <f>HYPERLINK("https://booking.roadsurfer.com/es/rally/pick?pickup_date=2026-02-27&amp;return_date=2026-03-06&amp;currency=EUR&amp;startStation=42&amp;endStation=52",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Bielefeld</t>
        </is>
      </c>
      <c r="E232" t="inlineStr">
        <is>
          <t>2026-03-14</t>
        </is>
      </c>
      <c r="F232" t="inlineStr">
        <is>
          <t>2026-03-21</t>
        </is>
      </c>
      <c r="G232" t="inlineStr">
        <is>
          <t xml:space="preserve"> - Sunrise Suite</t>
        </is>
      </c>
      <c r="H232">
        <f>HYPERLINK("https://booking.roadsurfer.com/es/rally/pick?pickup_date=2026-03-14&amp;return_date=2026-03-21&amp;currency=EUR&amp;startStation=42&amp;endStation=91",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2026-03-16</t>
        </is>
      </c>
      <c r="F233" t="inlineStr">
        <is>
          <t>2026-03-23</t>
        </is>
      </c>
      <c r="G233" t="inlineStr">
        <is>
          <t xml:space="preserve"> - Sunrise Suite</t>
        </is>
      </c>
      <c r="H233">
        <f>HYPERLINK("https://booking.roadsurfer.com/es/rally/pick?pickup_date=2026-03-16&amp;return_date=2026-03-23&amp;currency=EUR&amp;startStation=42&amp;endStation=91",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2026-03-17</t>
        </is>
      </c>
      <c r="F234" t="inlineStr">
        <is>
          <t>2026-03-24</t>
        </is>
      </c>
      <c r="G234" t="inlineStr">
        <is>
          <t xml:space="preserve"> - Sunrise Suite</t>
        </is>
      </c>
      <c r="H234">
        <f>HYPERLINK("https://booking.roadsurfer.com/es/rally/pick?pickup_date=2026-03-17&amp;return_date=2026-03-24&amp;currency=EUR&amp;startStation=42&amp;endStation=91",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Bielefeld</t>
        </is>
      </c>
      <c r="E235" t="inlineStr">
        <is>
          <t>2026-03-13</t>
        </is>
      </c>
      <c r="F235" t="inlineStr">
        <is>
          <t>2026-03-20</t>
        </is>
      </c>
      <c r="G235" t="inlineStr">
        <is>
          <t xml:space="preserve"> - Beach Hostel</t>
        </is>
      </c>
      <c r="H235">
        <f>HYPERLINK("https://booking.roadsurfer.com/es/rally/pick?pickup_date=2026-03-13&amp;return_date=2026-03-20&amp;currency=EUR&amp;startStation=42&amp;endStation=91",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Bielefeld</t>
        </is>
      </c>
      <c r="E236" t="inlineStr">
        <is>
          <t>2026-03-09</t>
        </is>
      </c>
      <c r="F236" t="inlineStr">
        <is>
          <t>2026-03-16</t>
        </is>
      </c>
      <c r="G236" t="inlineStr">
        <is>
          <t xml:space="preserve"> - Camper Cabin</t>
        </is>
      </c>
      <c r="H236">
        <f>HYPERLINK("https://booking.roadsurfer.com/es/rally/pick?pickup_date=2026-03-09&amp;return_date=2026-03-16&amp;currency=EUR&amp;startStation=42&amp;endStation=91",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Colonia-Düsseldorf</t>
        </is>
      </c>
      <c r="E237" t="inlineStr">
        <is>
          <t>2026-03-14</t>
        </is>
      </c>
      <c r="F237" t="inlineStr">
        <is>
          <t>2026-03-21</t>
        </is>
      </c>
      <c r="G237" t="inlineStr">
        <is>
          <t xml:space="preserve"> - Couple Cottage</t>
        </is>
      </c>
      <c r="H237">
        <f>HYPERLINK("https://booking.roadsurfer.com/es/rally/pick?pickup_date=2026-03-14&amp;return_date=2026-03-21&amp;currency=EUR&amp;startStation=42&amp;endStation=4",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Ulm</t>
        </is>
      </c>
      <c r="E238" t="inlineStr">
        <is>
          <t>2026-03-18</t>
        </is>
      </c>
      <c r="F238" t="inlineStr">
        <is>
          <t>2026-03-25</t>
        </is>
      </c>
      <c r="G238" t="inlineStr">
        <is>
          <t xml:space="preserve"> - Road House</t>
        </is>
      </c>
      <c r="H238">
        <f>HYPERLINK("https://booking.roadsurfer.com/es/rally/pick?pickup_date=2026-03-18&amp;return_date=2026-03-25&amp;currency=EUR&amp;startStation=42&amp;endStation=112",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Duisburgo</t>
        </is>
      </c>
      <c r="E239" t="inlineStr">
        <is>
          <t>2026-03-13</t>
        </is>
      </c>
      <c r="F239" t="inlineStr">
        <is>
          <t>2026-03-20</t>
        </is>
      </c>
      <c r="G239" t="inlineStr">
        <is>
          <t xml:space="preserve"> - Road House</t>
        </is>
      </c>
      <c r="H239">
        <f>HYPERLINK("https://booking.roadsurfer.com/es/rally/pick?pickup_date=2026-03-13&amp;return_date=2026-03-20&amp;currency=EUR&amp;startStation=42&amp;endStation=113",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2026-03-17</t>
        </is>
      </c>
      <c r="F240" t="inlineStr">
        <is>
          <t>2026-03-24</t>
        </is>
      </c>
      <c r="G240" t="inlineStr">
        <is>
          <t xml:space="preserve"> - Beach Hostel</t>
        </is>
      </c>
      <c r="H240">
        <f>HYPERLINK("https://booking.roadsurfer.com/es/rally/pick?pickup_date=2026-03-17&amp;return_date=2026-03-24&amp;currency=EUR&amp;startStation=42&amp;endStation=113",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2026-03-17</t>
        </is>
      </c>
      <c r="F241" t="inlineStr">
        <is>
          <t>2026-03-24</t>
        </is>
      </c>
      <c r="G241" t="inlineStr">
        <is>
          <t xml:space="preserve"> - Surfer Suite</t>
        </is>
      </c>
      <c r="H241">
        <f>HYPERLINK("https://booking.roadsurfer.com/es/rally/pick?pickup_date=2026-03-17&amp;return_date=2026-03-24&amp;currency=EUR&amp;startStation=42&amp;endStation=22",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Heidelberg</t>
        </is>
      </c>
      <c r="E242" t="inlineStr">
        <is>
          <t>2026-03-16</t>
        </is>
      </c>
      <c r="F242" t="inlineStr">
        <is>
          <t>2026-03-23</t>
        </is>
      </c>
      <c r="G242" t="inlineStr">
        <is>
          <t xml:space="preserve"> - Beach Hostel</t>
        </is>
      </c>
      <c r="H242">
        <f>HYPERLINK("https://booking.roadsurfer.com/es/rally/pick?pickup_date=2026-03-16&amp;return_date=2026-03-23&amp;currency=EUR&amp;startStation=42&amp;endStation=79",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Francia</t>
        </is>
      </c>
      <c r="D243" t="inlineStr">
        <is>
          <t>París Aeropuerto CDG</t>
        </is>
      </c>
      <c r="E243" t="inlineStr">
        <is>
          <t>2026-03-14</t>
        </is>
      </c>
      <c r="F243" t="inlineStr">
        <is>
          <t>2026-03-21</t>
        </is>
      </c>
      <c r="G243" t="inlineStr">
        <is>
          <t xml:space="preserve"> - Surfer Suite - Family Finca</t>
        </is>
      </c>
      <c r="H243">
        <f>HYPERLINK("https://booking.roadsurfer.com/es/rally/pick?pickup_date=2026-03-14&amp;return_date=2026-03-21&amp;currency=EUR&amp;startStation=52&amp;endStation=48",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2026-04-03</t>
        </is>
      </c>
      <c r="F244" t="inlineStr">
        <is>
          <t>2026-04-10</t>
        </is>
      </c>
      <c r="G244" t="inlineStr">
        <is>
          <t xml:space="preserve"> - No hay coche</t>
        </is>
      </c>
      <c r="H244">
        <f>HYPERLINK("https://booking.roadsurfer.com/es/rally/pick?pickup_date=2026-04-03&amp;return_date=2026-04-10&amp;currency=EUR&amp;startStation=52&amp;endStation=48",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2026-03-13</t>
        </is>
      </c>
      <c r="F245" t="inlineStr">
        <is>
          <t>2026-03-20</t>
        </is>
      </c>
      <c r="G245" t="inlineStr">
        <is>
          <t xml:space="preserve"> - Surfer Suite</t>
        </is>
      </c>
      <c r="H245">
        <f>HYPERLINK("https://booking.roadsurfer.com/es/rally/pick?pickup_date=2026-03-13&amp;return_date=2026-03-20&amp;currency=EUR&amp;startStation=52&amp;endStation=48",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2026-03-15</t>
        </is>
      </c>
      <c r="F246" t="inlineStr">
        <is>
          <t>2026-03-22</t>
        </is>
      </c>
      <c r="G246" t="inlineStr">
        <is>
          <t xml:space="preserve"> - No hay coche</t>
        </is>
      </c>
      <c r="H246">
        <f>HYPERLINK("https://booking.roadsurfer.com/es/rally/pick?pickup_date=2026-03-15&amp;return_date=2026-03-22&amp;currency=EUR&amp;startStation=52&amp;endStation=48",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2026-03-16</t>
        </is>
      </c>
      <c r="F247" t="inlineStr">
        <is>
          <t>2026-03-23</t>
        </is>
      </c>
      <c r="G247" t="inlineStr">
        <is>
          <t xml:space="preserve"> - Beach Hostel</t>
        </is>
      </c>
      <c r="H247">
        <f>HYPERLINK("https://booking.roadsurfer.com/es/rally/pick?pickup_date=2026-03-16&amp;return_date=2026-03-23&amp;currency=EUR&amp;startStation=52&amp;endStation=48",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2026-04-16</t>
        </is>
      </c>
      <c r="F248" t="inlineStr">
        <is>
          <t>2026-04-23</t>
        </is>
      </c>
      <c r="G248" t="inlineStr">
        <is>
          <t xml:space="preserve"> - Camper Cabin Deluxe</t>
        </is>
      </c>
      <c r="H248">
        <f>HYPERLINK("https://booking.roadsurfer.com/es/rally/pick?pickup_date=2026-04-16&amp;return_date=2026-04-23&amp;currency=EUR&amp;startStation=52&amp;endStation=48",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2026-02-20</t>
        </is>
      </c>
      <c r="F249" t="inlineStr">
        <is>
          <t>2026-02-27</t>
        </is>
      </c>
      <c r="G249" t="inlineStr">
        <is>
          <t xml:space="preserve"> - Camper Cabin Deluxe</t>
        </is>
      </c>
      <c r="H249">
        <f>HYPERLINK("https://booking.roadsurfer.com/es/rally/pick?pickup_date=2026-02-20&amp;return_date=2026-02-27&amp;currency=EUR&amp;startStation=52&amp;endStation=48",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2026-02-24</t>
        </is>
      </c>
      <c r="F250" t="inlineStr">
        <is>
          <t>2026-03-03</t>
        </is>
      </c>
      <c r="G250" t="inlineStr">
        <is>
          <t xml:space="preserve"> - Camper Cabin Deluxe</t>
        </is>
      </c>
      <c r="H250">
        <f>HYPERLINK("https://booking.roadsurfer.com/es/rally/pick?pickup_date=2026-02-24&amp;return_date=2026-03-03&amp;currency=EUR&amp;startStation=52&amp;endStation=48",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Italia</t>
        </is>
      </c>
      <c r="D251" t="inlineStr">
        <is>
          <t>Milán</t>
        </is>
      </c>
      <c r="E251" t="inlineStr">
        <is>
          <t>2026-03-23</t>
        </is>
      </c>
      <c r="F251" t="inlineStr">
        <is>
          <t>2026-03-30</t>
        </is>
      </c>
      <c r="G251" t="inlineStr">
        <is>
          <t xml:space="preserve"> - Surfer Suite</t>
        </is>
      </c>
      <c r="H251">
        <f>HYPERLINK("https://booking.roadsurfer.com/es/rally/pick?pickup_date=2026-03-23&amp;return_date=2026-03-30&amp;currency=EUR&amp;startStation=52&amp;endStation=34",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Italia</t>
        </is>
      </c>
      <c r="D252" t="inlineStr">
        <is>
          <t>Milán</t>
        </is>
      </c>
      <c r="E252" t="inlineStr">
        <is>
          <t>2026-03-22</t>
        </is>
      </c>
      <c r="F252" t="inlineStr">
        <is>
          <t>2026-03-29</t>
        </is>
      </c>
      <c r="G252" t="inlineStr">
        <is>
          <t xml:space="preserve"> - No hay coche</t>
        </is>
      </c>
      <c r="H252">
        <f>HYPERLINK("https://booking.roadsurfer.com/es/rally/pick?pickup_date=2026-03-22&amp;return_date=2026-03-29&amp;currency=EUR&amp;startStation=52&amp;endStation=34",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2026-03-07</t>
        </is>
      </c>
      <c r="F253" t="inlineStr">
        <is>
          <t>2026-03-14</t>
        </is>
      </c>
      <c r="G253" t="inlineStr">
        <is>
          <t xml:space="preserve"> - No hay coche</t>
        </is>
      </c>
      <c r="H253">
        <f>HYPERLINK("https://booking.roadsurfer.com/es/rally/pick?pickup_date=2026-03-07&amp;return_date=2026-03-14&amp;currency=EUR&amp;startStation=52&amp;endStation=34",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Bélgica</t>
        </is>
      </c>
      <c r="D254" t="inlineStr">
        <is>
          <t>Bruselas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Beach Hostel</t>
        </is>
      </c>
      <c r="H254">
        <f>HYPERLINK("https://booking.roadsurfer.com/es/rally/pick?pickup_date=2026-03-13&amp;return_date=2026-03-20&amp;currency=EUR&amp;startStation=52&amp;endStation=42",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Bélgica</t>
        </is>
      </c>
      <c r="D255" t="inlineStr">
        <is>
          <t>Bruselas</t>
        </is>
      </c>
      <c r="E255" t="inlineStr">
        <is>
          <t>2026-03-25</t>
        </is>
      </c>
      <c r="F255" t="inlineStr">
        <is>
          <t>2026-04-01</t>
        </is>
      </c>
      <c r="G255" t="inlineStr">
        <is>
          <t xml:space="preserve"> - SURFER SUITE</t>
        </is>
      </c>
      <c r="H255">
        <f>HYPERLINK("https://booking.roadsurfer.com/es/rally/pick?pickup_date=2026-03-25&amp;return_date=2026-04-01&amp;currency=EUR&amp;startStation=52&amp;endStation=42",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Bélgica</t>
        </is>
      </c>
      <c r="D256" t="inlineStr">
        <is>
          <t>Bruselas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Surfer Suite</t>
        </is>
      </c>
      <c r="H256">
        <f>HYPERLINK("https://booking.roadsurfer.com/es/rally/pick?pickup_date=2026-03-27&amp;return_date=2026-04-03&amp;currency=EUR&amp;startStation=52&amp;endStation=42",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2026-03-26</t>
        </is>
      </c>
      <c r="F257" t="inlineStr">
        <is>
          <t>2026-04-02</t>
        </is>
      </c>
      <c r="G257" t="inlineStr">
        <is>
          <t xml:space="preserve"> - Couple Cottage</t>
        </is>
      </c>
      <c r="H257">
        <f>HYPERLINK("https://booking.roadsurfer.com/es/rally/pick?pickup_date=2026-03-26&amp;return_date=2026-04-02&amp;currency=EUR&amp;startStation=52&amp;endStation=32",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2026-03-23</t>
        </is>
      </c>
      <c r="F258" t="inlineStr">
        <is>
          <t>2026-03-30</t>
        </is>
      </c>
      <c r="G258" t="inlineStr">
        <is>
          <t xml:space="preserve"> - Surfer Suite</t>
        </is>
      </c>
      <c r="H258">
        <f>HYPERLINK("https://booking.roadsurfer.com/es/rally/pick?pickup_date=2026-03-23&amp;return_date=2026-03-30&amp;currency=EUR&amp;startStation=52&amp;endStation=32",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Bélgica</t>
        </is>
      </c>
      <c r="D259" t="inlineStr">
        <is>
          <t>Amberes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Camper Cabin</t>
        </is>
      </c>
      <c r="H259">
        <f>HYPERLINK("https://booking.roadsurfer.com/es/rally/pick?pickup_date=2026-03-16&amp;return_date=2026-03-23&amp;currency=EUR&amp;startStation=52&amp;endStation=47",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2026-03-17</t>
        </is>
      </c>
      <c r="F260" t="inlineStr">
        <is>
          <t>2026-03-24</t>
        </is>
      </c>
      <c r="G260" t="inlineStr">
        <is>
          <t xml:space="preserve"> - Beach Hostel</t>
        </is>
      </c>
      <c r="H260">
        <f>HYPERLINK("https://booking.roadsurfer.com/es/rally/pick?pickup_date=2026-03-17&amp;return_date=2026-03-24&amp;currency=EUR&amp;startStation=52&amp;endStation=47",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Italia</t>
        </is>
      </c>
      <c r="D261" t="inlineStr">
        <is>
          <t>Bérgamo</t>
        </is>
      </c>
      <c r="E261" t="inlineStr">
        <is>
          <t>2026-02-23</t>
        </is>
      </c>
      <c r="F261" t="inlineStr">
        <is>
          <t>2026-03-02</t>
        </is>
      </c>
      <c r="G261" t="inlineStr">
        <is>
          <t xml:space="preserve"> - Beach Hostel</t>
        </is>
      </c>
      <c r="H261">
        <f>HYPERLINK("https://booking.roadsurfer.com/es/rally/pick?pickup_date=2026-02-23&amp;return_date=2026-03-02&amp;currency=EUR&amp;startStation=52&amp;endStation=94",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Francia</t>
        </is>
      </c>
      <c r="D262" t="inlineStr">
        <is>
          <t>Burdeos</t>
        </is>
      </c>
      <c r="E262" t="inlineStr">
        <is>
          <t>2026-03-21</t>
        </is>
      </c>
      <c r="F262" t="inlineStr">
        <is>
          <t>2026-03-28</t>
        </is>
      </c>
      <c r="G262" t="inlineStr">
        <is>
          <t xml:space="preserve"> - Road House</t>
        </is>
      </c>
      <c r="H262">
        <f>HYPERLINK("https://booking.roadsurfer.com/es/rally/pick?pickup_date=2026-03-21&amp;return_date=2026-03-28&amp;currency=EUR&amp;startStation=52&amp;endStation=13",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2026-02-20</t>
        </is>
      </c>
      <c r="F263" t="inlineStr">
        <is>
          <t>2026-02-27</t>
        </is>
      </c>
      <c r="G263" t="inlineStr">
        <is>
          <t xml:space="preserve"> - Road House</t>
        </is>
      </c>
      <c r="H263">
        <f>HYPERLINK("https://booking.roadsurfer.com/es/rally/pick?pickup_date=2026-02-20&amp;return_date=2026-02-27&amp;currency=EUR&amp;startStation=52&amp;endStation=13",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Family Finca</t>
        </is>
      </c>
      <c r="H264">
        <f>HYPERLINK("https://booking.roadsurfer.com/es/rally/pick?pickup_date=2026-03-20&amp;return_date=2026-03-27&amp;currency=EUR&amp;startStation=52&amp;endStation=31",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2026-04-11</t>
        </is>
      </c>
      <c r="F265" t="inlineStr">
        <is>
          <t>2026-04-18</t>
        </is>
      </c>
      <c r="G265" t="inlineStr">
        <is>
          <t xml:space="preserve"> - Family Finca</t>
        </is>
      </c>
      <c r="H265">
        <f>HYPERLINK("https://booking.roadsurfer.com/es/rally/pick?pickup_date=2026-04-11&amp;return_date=2026-04-18&amp;currency=EUR&amp;startStation=52&amp;endStation=31",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2026-03-23</t>
        </is>
      </c>
      <c r="F266" t="inlineStr">
        <is>
          <t>2026-03-30</t>
        </is>
      </c>
      <c r="G266" t="inlineStr">
        <is>
          <t xml:space="preserve"> - Family Finca</t>
        </is>
      </c>
      <c r="H266">
        <f>HYPERLINK("https://booking.roadsurfer.com/es/rally/pick?pickup_date=2026-03-23&amp;return_date=2026-03-30&amp;currency=EUR&amp;startStation=52&amp;endStation=31",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2026-03-24</t>
        </is>
      </c>
      <c r="F267" t="inlineStr">
        <is>
          <t>2026-03-31</t>
        </is>
      </c>
      <c r="G267" t="inlineStr">
        <is>
          <t xml:space="preserve"> - Road House</t>
        </is>
      </c>
      <c r="H267">
        <f>HYPERLINK("https://booking.roadsurfer.com/es/rally/pick?pickup_date=2026-03-24&amp;return_date=2026-03-31&amp;currency=EUR&amp;startStation=52&amp;endStation=31",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Francia</t>
        </is>
      </c>
      <c r="D268" t="inlineStr">
        <is>
          <t>Ginebra-Pays de Gex (Francia)</t>
        </is>
      </c>
      <c r="E268" t="inlineStr">
        <is>
          <t>2026-03-02</t>
        </is>
      </c>
      <c r="F268" t="inlineStr">
        <is>
          <t>2026-03-09</t>
        </is>
      </c>
      <c r="G268" t="inlineStr">
        <is>
          <t xml:space="preserve"> - Road House</t>
        </is>
      </c>
      <c r="H268">
        <f>HYPERLINK("https://booking.roadsurfer.com/es/rally/pick?pickup_date=2026-03-02&amp;return_date=2026-03-09&amp;currency=EUR&amp;startStation=52&amp;endStation=29",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Francia</t>
        </is>
      </c>
      <c r="D269" t="inlineStr">
        <is>
          <t>Aix-Marsella</t>
        </is>
      </c>
      <c r="E269" t="inlineStr">
        <is>
          <t>2026-03-19</t>
        </is>
      </c>
      <c r="F269" t="inlineStr">
        <is>
          <t>2026-03-26</t>
        </is>
      </c>
      <c r="G269" t="inlineStr">
        <is>
          <t xml:space="preserve"> - Family Finca</t>
        </is>
      </c>
      <c r="H269">
        <f>HYPERLINK("https://booking.roadsurfer.com/es/rally/pick?pickup_date=2026-03-19&amp;return_date=2026-03-26&amp;currency=EUR&amp;startStation=52&amp;endStation=16",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París Sur (Orly)</t>
        </is>
      </c>
      <c r="E270" t="inlineStr">
        <is>
          <t>2026-03-19</t>
        </is>
      </c>
      <c r="F270" t="inlineStr">
        <is>
          <t>2026-03-26</t>
        </is>
      </c>
      <c r="G270" t="inlineStr">
        <is>
          <t xml:space="preserve"> - Family Finca</t>
        </is>
      </c>
      <c r="H270">
        <f>HYPERLINK("https://booking.roadsurfer.com/es/rally/pick?pickup_date=2026-03-19&amp;return_date=2026-03-26&amp;currency=EUR&amp;startStation=52&amp;endStation=12",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España</t>
        </is>
      </c>
      <c r="D271" t="inlineStr">
        <is>
          <t>Madrid</t>
        </is>
      </c>
      <c r="E271" t="inlineStr">
        <is>
          <t>2026-03-27</t>
        </is>
      </c>
      <c r="F271" t="inlineStr">
        <is>
          <t>2026-04-03</t>
        </is>
      </c>
      <c r="G271" t="inlineStr">
        <is>
          <t xml:space="preserve"> - No hay coche</t>
        </is>
      </c>
      <c r="H271">
        <f>HYPERLINK("https://booking.roadsurfer.com/es/rally/pick?pickup_date=2026-03-27&amp;return_date=2026-04-03&amp;currency=EUR&amp;startStation=52&amp;endStation=20",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Países Bajos</t>
        </is>
      </c>
      <c r="D272" t="inlineStr">
        <is>
          <t>Ámsterdam</t>
        </is>
      </c>
      <c r="E272" t="inlineStr">
        <is>
          <t>2026-03-09</t>
        </is>
      </c>
      <c r="F272" t="inlineStr">
        <is>
          <t>2026-03-16</t>
        </is>
      </c>
      <c r="G272" t="inlineStr">
        <is>
          <t xml:space="preserve"> - Surfer Suite</t>
        </is>
      </c>
      <c r="H272">
        <f>HYPERLINK("https://booking.roadsurfer.com/es/rally/pick?pickup_date=2026-03-09&amp;return_date=2026-03-16&amp;currency=EUR&amp;startStation=4&amp;endStation=32",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2026-03-30</t>
        </is>
      </c>
      <c r="F273" t="inlineStr">
        <is>
          <t>2026-04-06</t>
        </is>
      </c>
      <c r="G273" t="inlineStr">
        <is>
          <t xml:space="preserve"> - No hay coche</t>
        </is>
      </c>
      <c r="H273">
        <f>HYPERLINK("https://booking.roadsurfer.com/es/rally/pick?pickup_date=2026-03-30&amp;return_date=2026-04-06&amp;currency=EUR&amp;startStation=4&amp;endStation=32",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Países Bajos</t>
        </is>
      </c>
      <c r="D274" t="inlineStr">
        <is>
          <t>Ámsterdam</t>
        </is>
      </c>
      <c r="E274" t="inlineStr">
        <is>
          <t>2026-03-02</t>
        </is>
      </c>
      <c r="F274" t="inlineStr">
        <is>
          <t>2026-03-09</t>
        </is>
      </c>
      <c r="G274" t="inlineStr">
        <is>
          <t xml:space="preserve"> - No hay coche</t>
        </is>
      </c>
      <c r="H274">
        <f>HYPERLINK("https://booking.roadsurfer.com/es/rally/pick?pickup_date=2026-03-02&amp;return_date=2026-03-09&amp;currency=EUR&amp;startStation=4&amp;endStation=32",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Países Bajos</t>
        </is>
      </c>
      <c r="D275" t="inlineStr">
        <is>
          <t>Róterdam</t>
        </is>
      </c>
      <c r="E275" t="inlineStr">
        <is>
          <t>2026-03-13</t>
        </is>
      </c>
      <c r="F275" t="inlineStr">
        <is>
          <t>2026-03-20</t>
        </is>
      </c>
      <c r="G275" t="inlineStr">
        <is>
          <t xml:space="preserve"> - Camper Cabin Deluxe</t>
        </is>
      </c>
      <c r="H275">
        <f>HYPERLINK("https://booking.roadsurfer.com/es/rally/pick?pickup_date=2026-03-13&amp;return_date=2026-03-20&amp;currency=EUR&amp;startStation=4&amp;endStation=33",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Países Bajos</t>
        </is>
      </c>
      <c r="D276" t="inlineStr">
        <is>
          <t>Róterdam</t>
        </is>
      </c>
      <c r="E276" t="inlineStr">
        <is>
          <t>2026-03-24</t>
        </is>
      </c>
      <c r="F276" t="inlineStr">
        <is>
          <t>2026-03-31</t>
        </is>
      </c>
      <c r="G276" t="inlineStr">
        <is>
          <t xml:space="preserve"> - SURFER SUITE</t>
        </is>
      </c>
      <c r="H276">
        <f>HYPERLINK("https://booking.roadsurfer.com/es/rally/pick?pickup_date=2026-03-24&amp;return_date=2026-03-31&amp;currency=EUR&amp;startStation=4&amp;endStation=33",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Países Bajos</t>
        </is>
      </c>
      <c r="D277" t="inlineStr">
        <is>
          <t>Róterdam</t>
        </is>
      </c>
      <c r="E277" t="inlineStr">
        <is>
          <t>2026-03-09</t>
        </is>
      </c>
      <c r="F277" t="inlineStr">
        <is>
          <t>2026-03-16</t>
        </is>
      </c>
      <c r="G277" t="inlineStr">
        <is>
          <t xml:space="preserve"> - CAMPER CABIN DELUXE</t>
        </is>
      </c>
      <c r="H277">
        <f>HYPERLINK("https://booking.roadsurfer.com/es/rally/pick?pickup_date=2026-03-09&amp;return_date=2026-03-16&amp;currency=EUR&amp;startStation=4&amp;endStation=33",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Alemania</t>
        </is>
      </c>
      <c r="D278" t="inlineStr">
        <is>
          <t>Núremberg</t>
        </is>
      </c>
      <c r="E278" t="inlineStr">
        <is>
          <t>2026-03-16</t>
        </is>
      </c>
      <c r="F278" t="inlineStr">
        <is>
          <t>2026-03-23</t>
        </is>
      </c>
      <c r="G278" t="inlineStr">
        <is>
          <t xml:space="preserve"> - Camper Cabin Deluxe</t>
        </is>
      </c>
      <c r="H278">
        <f>HYPERLINK("https://booking.roadsurfer.com/es/rally/pick?pickup_date=2026-03-16&amp;return_date=2026-03-23&amp;currency=EUR&amp;startStation=4&amp;endStation=11",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2026-03-21</t>
        </is>
      </c>
      <c r="F279" t="inlineStr">
        <is>
          <t>2026-03-28</t>
        </is>
      </c>
      <c r="G279" t="inlineStr">
        <is>
          <t xml:space="preserve"> - Family Finca</t>
        </is>
      </c>
      <c r="H279">
        <f>HYPERLINK("https://booking.roadsurfer.com/es/rally/pick?pickup_date=2026-03-21&amp;return_date=2026-03-28&amp;currency=EUR&amp;startStation=4&amp;endStation=31",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2026-03-23</t>
        </is>
      </c>
      <c r="F280" t="inlineStr">
        <is>
          <t>2026-03-30</t>
        </is>
      </c>
      <c r="G280" t="inlineStr">
        <is>
          <t xml:space="preserve"> - Surfer Suite</t>
        </is>
      </c>
      <c r="H280">
        <f>HYPERLINK("https://booking.roadsurfer.com/es/rally/pick?pickup_date=2026-03-23&amp;return_date=2026-03-30&amp;currency=EUR&amp;startStation=4&amp;endStation=31",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2026-03-20</t>
        </is>
      </c>
      <c r="F281" t="inlineStr">
        <is>
          <t>2026-03-27</t>
        </is>
      </c>
      <c r="G281" t="inlineStr">
        <is>
          <t xml:space="preserve"> - Surfer Suite</t>
        </is>
      </c>
      <c r="H281">
        <f>HYPERLINK("https://booking.roadsurfer.com/es/rally/pick?pickup_date=2026-03-20&amp;return_date=2026-03-27&amp;currency=EUR&amp;startStation=4&amp;endStation=31",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2026-03-27</t>
        </is>
      </c>
      <c r="F282" t="inlineStr">
        <is>
          <t>2026-04-03</t>
        </is>
      </c>
      <c r="G282" t="inlineStr">
        <is>
          <t xml:space="preserve"> - Surfer Suite</t>
        </is>
      </c>
      <c r="H282">
        <f>HYPERLINK("https://booking.roadsurfer.com/es/rally/pick?pickup_date=2026-03-27&amp;return_date=2026-04-03&amp;currency=EUR&amp;startStation=4&amp;endStation=31",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2026-03-25</t>
        </is>
      </c>
      <c r="F283" t="inlineStr">
        <is>
          <t>2026-04-01</t>
        </is>
      </c>
      <c r="G283" t="inlineStr">
        <is>
          <t xml:space="preserve"> - Camper Castle</t>
        </is>
      </c>
      <c r="H283">
        <f>HYPERLINK("https://booking.roadsurfer.com/es/rally/pick?pickup_date=2026-03-25&amp;return_date=2026-04-01&amp;currency=EUR&amp;startStation=4&amp;endStation=31",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Francia</t>
        </is>
      </c>
      <c r="D284" t="inlineStr">
        <is>
          <t>Burdeos</t>
        </is>
      </c>
      <c r="E284" t="inlineStr">
        <is>
          <t>2026-03-20</t>
        </is>
      </c>
      <c r="F284" t="inlineStr">
        <is>
          <t>2026-03-27</t>
        </is>
      </c>
      <c r="G284" t="inlineStr">
        <is>
          <t xml:space="preserve"> - Travel Home</t>
        </is>
      </c>
      <c r="H284">
        <f>HYPERLINK("https://booking.roadsurfer.com/es/rally/pick?pickup_date=2026-03-20&amp;return_date=2026-03-27&amp;currency=EUR&amp;startStation=4&amp;endStation=13",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2026-03-14</t>
        </is>
      </c>
      <c r="F285" t="inlineStr">
        <is>
          <t>2026-03-21</t>
        </is>
      </c>
      <c r="G285" t="inlineStr">
        <is>
          <t xml:space="preserve"> - Road House</t>
        </is>
      </c>
      <c r="H285">
        <f>HYPERLINK("https://booking.roadsurfer.com/es/rally/pick?pickup_date=2026-03-14&amp;return_date=2026-03-21&amp;currency=EUR&amp;startStation=4&amp;endStation=13",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2026-03-12</t>
        </is>
      </c>
      <c r="F286" t="inlineStr">
        <is>
          <t>2026-03-19</t>
        </is>
      </c>
      <c r="G286" t="inlineStr">
        <is>
          <t xml:space="preserve"> - Camper Castle</t>
        </is>
      </c>
      <c r="H286">
        <f>HYPERLINK("https://booking.roadsurfer.com/es/rally/pick?pickup_date=2026-03-12&amp;return_date=2026-03-19&amp;currency=EUR&amp;startStation=4&amp;endStation=13",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Francia</t>
        </is>
      </c>
      <c r="D287" t="inlineStr">
        <is>
          <t>Burdeos</t>
        </is>
      </c>
      <c r="E287" t="inlineStr">
        <is>
          <t>2026-02-21</t>
        </is>
      </c>
      <c r="F287" t="inlineStr">
        <is>
          <t>2026-02-28</t>
        </is>
      </c>
      <c r="G287" t="inlineStr">
        <is>
          <t xml:space="preserve"> - Family Finca</t>
        </is>
      </c>
      <c r="H287">
        <f>HYPERLINK("https://booking.roadsurfer.com/es/rally/pick?pickup_date=2026-02-21&amp;return_date=2026-02-28&amp;currency=EUR&amp;startStation=4&amp;endStation=13",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2026-03-13</t>
        </is>
      </c>
      <c r="F288" t="inlineStr">
        <is>
          <t>2026-03-20</t>
        </is>
      </c>
      <c r="G288" t="inlineStr">
        <is>
          <t xml:space="preserve"> - Road House - Family Finca</t>
        </is>
      </c>
      <c r="H288">
        <f>HYPERLINK("https://booking.roadsurfer.com/es/rally/pick?pickup_date=2026-03-13&amp;return_date=2026-03-20&amp;currency=EUR&amp;startStation=4&amp;endStation=47",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2026-03-14</t>
        </is>
      </c>
      <c r="F289" t="inlineStr">
        <is>
          <t>2026-03-21</t>
        </is>
      </c>
      <c r="G289" t="inlineStr">
        <is>
          <t xml:space="preserve"> - Family Finca</t>
        </is>
      </c>
      <c r="H289">
        <f>HYPERLINK("https://booking.roadsurfer.com/es/rally/pick?pickup_date=2026-03-14&amp;return_date=2026-03-21&amp;currency=EUR&amp;startStation=4&amp;endStation=47",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2026-03-15</t>
        </is>
      </c>
      <c r="F290" t="inlineStr">
        <is>
          <t>2026-03-22</t>
        </is>
      </c>
      <c r="G290" t="inlineStr">
        <is>
          <t xml:space="preserve"> - No hay coche</t>
        </is>
      </c>
      <c r="H290">
        <f>HYPERLINK("https://booking.roadsurfer.com/es/rally/pick?pickup_date=2026-03-15&amp;return_date=2026-03-22&amp;currency=EUR&amp;startStation=4&amp;endStation=47",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2026-03-13</t>
        </is>
      </c>
      <c r="F291" t="inlineStr">
        <is>
          <t>2026-03-20</t>
        </is>
      </c>
      <c r="G291" t="inlineStr">
        <is>
          <t xml:space="preserve"> - Family Finca</t>
        </is>
      </c>
      <c r="H291">
        <f>HYPERLINK("https://booking.roadsurfer.com/es/rally/pick?pickup_date=2026-03-13&amp;return_date=2026-03-20&amp;currency=EUR&amp;startStation=4&amp;endStation=29",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2026-03-28</t>
        </is>
      </c>
      <c r="F292" t="inlineStr">
        <is>
          <t>2026-04-04</t>
        </is>
      </c>
      <c r="G292" t="inlineStr">
        <is>
          <t xml:space="preserve"> - Family Finca</t>
        </is>
      </c>
      <c r="H292">
        <f>HYPERLINK("https://booking.roadsurfer.com/es/rally/pick?pickup_date=2026-03-28&amp;return_date=2026-04-04&amp;currency=EUR&amp;startStation=4&amp;endStation=29",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Francia</t>
        </is>
      </c>
      <c r="D293" t="inlineStr">
        <is>
          <t>Ginebra-Pays de Gex (Francia)</t>
        </is>
      </c>
      <c r="E293" t="inlineStr">
        <is>
          <t>2026-03-16</t>
        </is>
      </c>
      <c r="F293" t="inlineStr">
        <is>
          <t>2026-03-23</t>
        </is>
      </c>
      <c r="G293" t="inlineStr">
        <is>
          <t xml:space="preserve"> - FAMILY FINCA</t>
        </is>
      </c>
      <c r="H293">
        <f>HYPERLINK("https://booking.roadsurfer.com/es/rally/pick?pickup_date=2026-03-16&amp;return_date=2026-03-23&amp;currency=EUR&amp;startStation=4&amp;endStation=29",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Francia</t>
        </is>
      </c>
      <c r="D294" t="inlineStr">
        <is>
          <t>Ginebra-Pays de Gex (Francia)</t>
        </is>
      </c>
      <c r="E294" t="inlineStr">
        <is>
          <t>2026-03-30</t>
        </is>
      </c>
      <c r="F294" t="inlineStr">
        <is>
          <t>2026-04-06</t>
        </is>
      </c>
      <c r="G294" t="inlineStr">
        <is>
          <t xml:space="preserve"> - No hay coche</t>
        </is>
      </c>
      <c r="H294">
        <f>HYPERLINK("https://booking.roadsurfer.com/es/rally/pick?pickup_date=2026-03-30&amp;return_date=2026-04-06&amp;currency=EUR&amp;startStation=4&amp;endStation=29", "Clic para verlo en la web de RoadSurfer")</f>
        <v/>
      </c>
    </row>
    <row r="295">
      <c r="A295" t="inlineStr">
        <is>
          <t>Alemania</t>
        </is>
      </c>
      <c r="B295" t="inlineStr">
        <is>
          <t>Colonia-Düsseldorf</t>
        </is>
      </c>
      <c r="C295" t="inlineStr">
        <is>
          <t>Francia</t>
        </is>
      </c>
      <c r="D295" t="inlineStr">
        <is>
          <t>Aix-Marsella</t>
        </is>
      </c>
      <c r="E295" t="inlineStr">
        <is>
          <t>2026-03-25</t>
        </is>
      </c>
      <c r="F295" t="inlineStr">
        <is>
          <t>2026-04-01</t>
        </is>
      </c>
      <c r="G295" t="inlineStr">
        <is>
          <t xml:space="preserve"> - Camper Castle</t>
        </is>
      </c>
      <c r="H295">
        <f>HYPERLINK("https://booking.roadsurfer.com/es/rally/pick?pickup_date=2026-03-25&amp;return_date=2026-04-01&amp;currency=EUR&amp;startStation=4&amp;endStation=16", "Clic para verlo en la web de RoadSurfer")</f>
        <v/>
      </c>
    </row>
    <row r="296">
      <c r="A296" t="inlineStr">
        <is>
          <t>Alemania</t>
        </is>
      </c>
      <c r="B296" t="inlineStr">
        <is>
          <t>Colonia-Düsseldorf</t>
        </is>
      </c>
      <c r="C296" t="inlineStr">
        <is>
          <t>Francia</t>
        </is>
      </c>
      <c r="D296" t="inlineStr">
        <is>
          <t>París Aeropuerto CDG</t>
        </is>
      </c>
      <c r="E296" t="inlineStr">
        <is>
          <t>2026-02-25</t>
        </is>
      </c>
      <c r="F296" t="inlineStr">
        <is>
          <t>2026-03-04</t>
        </is>
      </c>
      <c r="G296" t="inlineStr">
        <is>
          <t xml:space="preserve"> - Camper Cabin Deluxe</t>
        </is>
      </c>
      <c r="H296">
        <f>HYPERLINK("https://booking.roadsurfer.com/es/rally/pick?pickup_date=2026-02-25&amp;return_date=2026-03-04&amp;currency=EUR&amp;startStation=4&amp;endStation=48", "Clic para verlo en la web de RoadSurfer")</f>
        <v/>
      </c>
    </row>
    <row r="297">
      <c r="A297" t="inlineStr">
        <is>
          <t>Alemania</t>
        </is>
      </c>
      <c r="B297" t="inlineStr">
        <is>
          <t>Colonia-Düsseldorf</t>
        </is>
      </c>
      <c r="C297" t="inlineStr">
        <is>
          <t>Alemania</t>
        </is>
      </c>
      <c r="D297" t="inlineStr">
        <is>
          <t>Hamburgo Aeropuerto</t>
        </is>
      </c>
      <c r="E297" t="inlineStr">
        <is>
          <t>2026-03-06</t>
        </is>
      </c>
      <c r="F297" t="inlineStr">
        <is>
          <t>2026-03-13</t>
        </is>
      </c>
      <c r="G297" t="inlineStr">
        <is>
          <t xml:space="preserve"> - Family Finca</t>
        </is>
      </c>
      <c r="H297">
        <f>HYPERLINK("https://booking.roadsurfer.com/es/rally/pick?pickup_date=2026-03-06&amp;return_date=2026-03-13&amp;currency=EUR&amp;startStation=4&amp;endStation=65", "Clic para verlo en la web de RoadSurfer")</f>
        <v/>
      </c>
    </row>
    <row r="298">
      <c r="A298" t="inlineStr">
        <is>
          <t>Alemania</t>
        </is>
      </c>
      <c r="B298" t="inlineStr">
        <is>
          <t>Constanza (Aach)</t>
        </is>
      </c>
      <c r="C298" t="inlineStr">
        <is>
          <t>España</t>
        </is>
      </c>
      <c r="D298" t="inlineStr">
        <is>
          <t>Sevilla</t>
        </is>
      </c>
      <c r="E298" t="inlineStr">
        <is>
          <t>2026-02-20</t>
        </is>
      </c>
      <c r="F298" t="inlineStr">
        <is>
          <t>2026-02-27</t>
        </is>
      </c>
      <c r="G298" t="inlineStr">
        <is>
          <t xml:space="preserve"> - Beach Hostel</t>
        </is>
      </c>
      <c r="H298">
        <f>HYPERLINK("https://booking.roadsurfer.com/es/rally/pick?pickup_date=2026-02-20&amp;return_date=2026-02-27&amp;currency=EUR&amp;startStation=10&amp;endStation=39", "Clic para verlo en la web de RoadSurfer")</f>
        <v/>
      </c>
    </row>
    <row r="299">
      <c r="A299" t="inlineStr">
        <is>
          <t>Alemania</t>
        </is>
      </c>
      <c r="B299" t="inlineStr">
        <is>
          <t>Constanza (Aach)</t>
        </is>
      </c>
      <c r="C299" t="inlineStr">
        <is>
          <t>Italia</t>
        </is>
      </c>
      <c r="D299" t="inlineStr">
        <is>
          <t>Turín</t>
        </is>
      </c>
      <c r="E299" t="inlineStr">
        <is>
          <t>2026-02-28</t>
        </is>
      </c>
      <c r="F299" t="inlineStr">
        <is>
          <t>2026-03-07</t>
        </is>
      </c>
      <c r="G299" t="inlineStr">
        <is>
          <t xml:space="preserve"> - Beach Hostel</t>
        </is>
      </c>
      <c r="H299">
        <f>HYPERLINK("https://booking.roadsurfer.com/es/rally/pick?pickup_date=2026-02-28&amp;return_date=2026-03-07&amp;currency=EUR&amp;startStation=10&amp;endStation=58", "Clic para verlo en la web de RoadSurfer")</f>
        <v/>
      </c>
    </row>
    <row r="300">
      <c r="A300" t="inlineStr">
        <is>
          <t>Alemania</t>
        </is>
      </c>
      <c r="B300" t="inlineStr">
        <is>
          <t>Constanza (Aach)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2026-03-23</t>
        </is>
      </c>
      <c r="F300" t="inlineStr">
        <is>
          <t>2026-03-30</t>
        </is>
      </c>
      <c r="G300" t="inlineStr">
        <is>
          <t xml:space="preserve"> - Beach Hostel</t>
        </is>
      </c>
      <c r="H300">
        <f>HYPERLINK("https://booking.roadsurfer.com/es/rally/pick?pickup_date=2026-03-23&amp;return_date=2026-03-30&amp;currency=EUR&amp;startStation=10&amp;endStation=58", "Clic para verlo en la web de RoadSurfer")</f>
        <v/>
      </c>
    </row>
    <row r="301">
      <c r="A301" t="inlineStr">
        <is>
          <t>Alemania</t>
        </is>
      </c>
      <c r="B301" t="inlineStr">
        <is>
          <t>Constanza (Aach)</t>
        </is>
      </c>
      <c r="C301" t="inlineStr">
        <is>
          <t>España</t>
        </is>
      </c>
      <c r="D301" t="inlineStr">
        <is>
          <t>Bilbao</t>
        </is>
      </c>
      <c r="E301" t="inlineStr">
        <is>
          <t>2026-03-31</t>
        </is>
      </c>
      <c r="F301" t="inlineStr">
        <is>
          <t>2026-04-07</t>
        </is>
      </c>
      <c r="G301" t="inlineStr">
        <is>
          <t xml:space="preserve"> - Family Finca</t>
        </is>
      </c>
      <c r="H301">
        <f>HYPERLINK("https://booking.roadsurfer.com/es/rally/pick?pickup_date=2026-03-31&amp;return_date=2026-04-07&amp;currency=EUR&amp;startStation=10&amp;endStation=40", "Clic para verlo en la web de RoadSurfer")</f>
        <v/>
      </c>
    </row>
    <row r="302">
      <c r="A302" t="inlineStr">
        <is>
          <t>Alemania</t>
        </is>
      </c>
      <c r="B302" t="inlineStr">
        <is>
          <t>Constanza (Aach)</t>
        </is>
      </c>
      <c r="C302" t="inlineStr">
        <is>
          <t>España</t>
        </is>
      </c>
      <c r="D302" t="inlineStr">
        <is>
          <t>Bilbao</t>
        </is>
      </c>
      <c r="E302" t="inlineStr">
        <is>
          <t>2026-03-21</t>
        </is>
      </c>
      <c r="F302" t="inlineStr">
        <is>
          <t>2026-03-28</t>
        </is>
      </c>
      <c r="G302" t="inlineStr">
        <is>
          <t xml:space="preserve"> - Family Finca</t>
        </is>
      </c>
      <c r="H302">
        <f>HYPERLINK("https://booking.roadsurfer.com/es/rally/pick?pickup_date=2026-03-21&amp;return_date=2026-03-28&amp;currency=EUR&amp;startStation=10&amp;endStation=40", "Clic para verlo en la web de RoadSurfer")</f>
        <v/>
      </c>
    </row>
    <row r="303">
      <c r="A303" t="inlineStr">
        <is>
          <t>Alemania</t>
        </is>
      </c>
      <c r="B303" t="inlineStr">
        <is>
          <t>Constanza (Aach)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2026-03-21</t>
        </is>
      </c>
      <c r="F303" t="inlineStr">
        <is>
          <t>2026-03-28</t>
        </is>
      </c>
      <c r="G303" t="inlineStr">
        <is>
          <t xml:space="preserve"> - Road House</t>
        </is>
      </c>
      <c r="H303">
        <f>HYPERLINK("https://booking.roadsurfer.com/es/rally/pick?pickup_date=2026-03-21&amp;return_date=2026-03-28&amp;currency=EUR&amp;startStation=10&amp;endStation=15", "Clic para verlo en la web de RoadSurfer")</f>
        <v/>
      </c>
    </row>
    <row r="304">
      <c r="A304" t="inlineStr">
        <is>
          <t>Alemania</t>
        </is>
      </c>
      <c r="B304" t="inlineStr">
        <is>
          <t>Constanza (Aach)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2026-03-19</t>
        </is>
      </c>
      <c r="F304" t="inlineStr">
        <is>
          <t>2026-03-26</t>
        </is>
      </c>
      <c r="G304" t="inlineStr">
        <is>
          <t xml:space="preserve"> - Road House</t>
        </is>
      </c>
      <c r="H304">
        <f>HYPERLINK("https://booking.roadsurfer.com/es/rally/pick?pickup_date=2026-03-19&amp;return_date=2026-03-26&amp;currency=EUR&amp;startStation=10&amp;endStation=15",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2026-03-20</t>
        </is>
      </c>
      <c r="F305" t="inlineStr">
        <is>
          <t>2026-03-27</t>
        </is>
      </c>
      <c r="G305" t="inlineStr">
        <is>
          <t xml:space="preserve"> - Road House</t>
        </is>
      </c>
      <c r="H305">
        <f>HYPERLINK("https://booking.roadsurfer.com/es/rally/pick?pickup_date=2026-03-20&amp;return_date=2026-03-27&amp;currency=EUR&amp;startStation=10&amp;endStation=15",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2026-03-23</t>
        </is>
      </c>
      <c r="F306" t="inlineStr">
        <is>
          <t>2026-03-30</t>
        </is>
      </c>
      <c r="G306" t="inlineStr">
        <is>
          <t xml:space="preserve"> - Family Finca</t>
        </is>
      </c>
      <c r="H306">
        <f>HYPERLINK("https://booking.roadsurfer.com/es/rally/pick?pickup_date=2026-03-23&amp;return_date=2026-03-30&amp;currency=EUR&amp;startStation=10&amp;endStation=15",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Austria</t>
        </is>
      </c>
      <c r="D307" t="inlineStr">
        <is>
          <t>Viena Sur</t>
        </is>
      </c>
      <c r="E307" t="inlineStr">
        <is>
          <t>2026-02-23</t>
        </is>
      </c>
      <c r="F307" t="inlineStr">
        <is>
          <t>2026-03-02</t>
        </is>
      </c>
      <c r="G307" t="inlineStr">
        <is>
          <t xml:space="preserve"> - Camper Cabin Deluxe</t>
        </is>
      </c>
      <c r="H307">
        <f>HYPERLINK("https://booking.roadsurfer.com/es/rally/pick?pickup_date=2026-02-23&amp;return_date=2026-03-02&amp;currency=EUR&amp;startStation=10&amp;endStation=45",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Austria</t>
        </is>
      </c>
      <c r="D308" t="inlineStr">
        <is>
          <t>Viena Sur</t>
        </is>
      </c>
      <c r="E308" t="inlineStr">
        <is>
          <t>2026-02-24</t>
        </is>
      </c>
      <c r="F308" t="inlineStr">
        <is>
          <t>2026-03-03</t>
        </is>
      </c>
      <c r="G308" t="inlineStr">
        <is>
          <t xml:space="preserve"> - Surfer Suite</t>
        </is>
      </c>
      <c r="H308">
        <f>HYPERLINK("https://booking.roadsurfer.com/es/rally/pick?pickup_date=2026-02-24&amp;return_date=2026-03-03&amp;currency=EUR&amp;startStation=10&amp;endStation=45", "Clic para verlo en la web de RoadSurfer")</f>
        <v/>
      </c>
    </row>
    <row r="309">
      <c r="A309" t="inlineStr">
        <is>
          <t>Alemania</t>
        </is>
      </c>
      <c r="B309" t="inlineStr">
        <is>
          <t>Constanza (Aach)</t>
        </is>
      </c>
      <c r="C309" t="inlineStr">
        <is>
          <t>Austria</t>
        </is>
      </c>
      <c r="D309" t="inlineStr">
        <is>
          <t>Viena Sur</t>
        </is>
      </c>
      <c r="E309" t="inlineStr">
        <is>
          <t>2026-02-25</t>
        </is>
      </c>
      <c r="F309" t="inlineStr">
        <is>
          <t>2026-03-04</t>
        </is>
      </c>
      <c r="G309" t="inlineStr">
        <is>
          <t xml:space="preserve"> - SURFER SUITE</t>
        </is>
      </c>
      <c r="H309">
        <f>HYPERLINK("https://booking.roadsurfer.com/es/rally/pick?pickup_date=2026-02-25&amp;return_date=2026-03-04&amp;currency=EUR&amp;startStation=10&amp;endStation=45", "Clic para verlo en la web de RoadSurfer")</f>
        <v/>
      </c>
    </row>
    <row r="310">
      <c r="A310" t="inlineStr">
        <is>
          <t>Alemania</t>
        </is>
      </c>
      <c r="B310" t="inlineStr">
        <is>
          <t>Constanza (Aach)</t>
        </is>
      </c>
      <c r="C310" t="inlineStr">
        <is>
          <t>Austria</t>
        </is>
      </c>
      <c r="D310" t="inlineStr">
        <is>
          <t>Viena Sur</t>
        </is>
      </c>
      <c r="E310" t="inlineStr">
        <is>
          <t>2026-02-21</t>
        </is>
      </c>
      <c r="F310" t="inlineStr">
        <is>
          <t>2026-02-28</t>
        </is>
      </c>
      <c r="G310" t="inlineStr">
        <is>
          <t xml:space="preserve"> - Surfer Suite</t>
        </is>
      </c>
      <c r="H310">
        <f>HYPERLINK("https://booking.roadsurfer.com/es/rally/pick?pickup_date=2026-02-21&amp;return_date=2026-02-28&amp;currency=EUR&amp;startStation=10&amp;endStation=45", "Clic para verlo en la web de RoadSurfer")</f>
        <v/>
      </c>
    </row>
    <row r="311">
      <c r="A311" t="inlineStr">
        <is>
          <t>Alemania</t>
        </is>
      </c>
      <c r="B311" t="inlineStr">
        <is>
          <t>Constanza (Aach)</t>
        </is>
      </c>
      <c r="C311" t="inlineStr">
        <is>
          <t>Francia</t>
        </is>
      </c>
      <c r="D311" t="inlineStr">
        <is>
          <t>Ginebra-Pays de Gex (Francia)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Camper Cabin Deluxe</t>
        </is>
      </c>
      <c r="H311">
        <f>HYPERLINK("https://booking.roadsurfer.com/es/rally/pick?pickup_date=2026-03-20&amp;return_date=2026-03-27&amp;currency=EUR&amp;startStation=10&amp;endStation=29", "Clic para verlo en la web de RoadSurfer")</f>
        <v/>
      </c>
    </row>
    <row r="312">
      <c r="A312" t="inlineStr">
        <is>
          <t>Alemania</t>
        </is>
      </c>
      <c r="B312" t="inlineStr">
        <is>
          <t>Constanza (Aach)</t>
        </is>
      </c>
      <c r="C312" t="inlineStr">
        <is>
          <t>Italia</t>
        </is>
      </c>
      <c r="D312" t="inlineStr">
        <is>
          <t>Bolonia</t>
        </is>
      </c>
      <c r="E312" t="inlineStr">
        <is>
          <t>2026-03-17</t>
        </is>
      </c>
      <c r="F312" t="inlineStr">
        <is>
          <t>2026-03-24</t>
        </is>
      </c>
      <c r="G312" t="inlineStr">
        <is>
          <t xml:space="preserve"> - Couple Cottage</t>
        </is>
      </c>
      <c r="H312">
        <f>HYPERLINK("https://booking.roadsurfer.com/es/rally/pick?pickup_date=2026-03-17&amp;return_date=2026-03-24&amp;currency=EUR&amp;startStation=10&amp;endStation=57", "Clic para verlo en la web de RoadSurfer")</f>
        <v/>
      </c>
    </row>
    <row r="313">
      <c r="A313" t="inlineStr">
        <is>
          <t>Alemania</t>
        </is>
      </c>
      <c r="B313" t="inlineStr">
        <is>
          <t>Constanza (Aach)</t>
        </is>
      </c>
      <c r="C313" t="inlineStr">
        <is>
          <t>Francia</t>
        </is>
      </c>
      <c r="D313" t="inlineStr">
        <is>
          <t>París Aeropuerto CDG</t>
        </is>
      </c>
      <c r="E313" t="inlineStr">
        <is>
          <t>2026-03-16</t>
        </is>
      </c>
      <c r="F313" t="inlineStr">
        <is>
          <t>2026-03-23</t>
        </is>
      </c>
      <c r="G313" t="inlineStr">
        <is>
          <t xml:space="preserve"> - COZY COTTAGE</t>
        </is>
      </c>
      <c r="H313">
        <f>HYPERLINK("https://booking.roadsurfer.com/es/rally/pick?pickup_date=2026-03-16&amp;return_date=2026-03-23&amp;currency=EUR&amp;startStation=10&amp;endStation=48", "Clic para verlo en la web de RoadSurfer")</f>
        <v/>
      </c>
    </row>
    <row r="314">
      <c r="A314" t="inlineStr">
        <is>
          <t>Alemania</t>
        </is>
      </c>
      <c r="B314" t="inlineStr">
        <is>
          <t>Constanza (Aach)</t>
        </is>
      </c>
      <c r="C314" t="inlineStr">
        <is>
          <t>Alemania</t>
        </is>
      </c>
      <c r="D314" t="inlineStr">
        <is>
          <t>Colonia-Bonn</t>
        </is>
      </c>
      <c r="E314" t="inlineStr">
        <is>
          <t>2026-03-30</t>
        </is>
      </c>
      <c r="F314" t="inlineStr">
        <is>
          <t>2026-04-06</t>
        </is>
      </c>
      <c r="G314" t="inlineStr">
        <is>
          <t xml:space="preserve"> - No hay coche</t>
        </is>
      </c>
      <c r="H314">
        <f>HYPERLINK("https://booking.roadsurfer.com/es/rally/pick?pickup_date=2026-03-30&amp;return_date=2026-04-06&amp;currency=EUR&amp;startStation=10&amp;endStation=52",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Suecia</t>
        </is>
      </c>
      <c r="D315" t="inlineStr">
        <is>
          <t>Gotemburgo</t>
        </is>
      </c>
      <c r="E315" t="inlineStr">
        <is>
          <t>2026-03-27</t>
        </is>
      </c>
      <c r="F315" t="inlineStr">
        <is>
          <t>2026-04-03</t>
        </is>
      </c>
      <c r="G315" t="inlineStr">
        <is>
          <t xml:space="preserve"> - No hay coche</t>
        </is>
      </c>
      <c r="H315">
        <f>HYPERLINK("https://booking.roadsurfer.com/es/rally/pick?pickup_date=2026-03-27&amp;return_date=2026-04-03&amp;currency=EUR&amp;startStation=56&amp;endStation=77",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Suecia</t>
        </is>
      </c>
      <c r="D316" t="inlineStr">
        <is>
          <t>Gotemburgo</t>
        </is>
      </c>
      <c r="E316" t="inlineStr">
        <is>
          <t>2026-02-23</t>
        </is>
      </c>
      <c r="F316" t="inlineStr">
        <is>
          <t>2026-03-02</t>
        </is>
      </c>
      <c r="G316" t="inlineStr">
        <is>
          <t xml:space="preserve"> - Couple Cottage</t>
        </is>
      </c>
      <c r="H316">
        <f>HYPERLINK("https://booking.roadsurfer.com/es/rally/pick?pickup_date=2026-02-23&amp;return_date=2026-03-02&amp;currency=EUR&amp;startStation=56&amp;endStation=77",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2026-03-27</t>
        </is>
      </c>
      <c r="F317" t="inlineStr">
        <is>
          <t>2026-04-03</t>
        </is>
      </c>
      <c r="G317" t="inlineStr">
        <is>
          <t xml:space="preserve"> - No hay coche</t>
        </is>
      </c>
      <c r="H317">
        <f>HYPERLINK("https://booking.roadsurfer.com/es/rally/pick?pickup_date=2026-03-27&amp;return_date=2026-04-03&amp;currency=EUR&amp;startStation=56&amp;endStation=59",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2026-03-21</t>
        </is>
      </c>
      <c r="F318" t="inlineStr">
        <is>
          <t>2026-03-28</t>
        </is>
      </c>
      <c r="G318" t="inlineStr">
        <is>
          <t xml:space="preserve"> - Road House</t>
        </is>
      </c>
      <c r="H318">
        <f>HYPERLINK("https://booking.roadsurfer.com/es/rally/pick?pickup_date=2026-03-21&amp;return_date=2026-03-28&amp;currency=EUR&amp;startStation=56&amp;endStation=59",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2026-03-24</t>
        </is>
      </c>
      <c r="F319" t="inlineStr">
        <is>
          <t>2026-03-31</t>
        </is>
      </c>
      <c r="G319" t="inlineStr">
        <is>
          <t xml:space="preserve"> - Road House</t>
        </is>
      </c>
      <c r="H319">
        <f>HYPERLINK("https://booking.roadsurfer.com/es/rally/pick?pickup_date=2026-03-24&amp;return_date=2026-03-31&amp;currency=EUR&amp;startStation=56&amp;endStation=59",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2026-03-20</t>
        </is>
      </c>
      <c r="F320" t="inlineStr">
        <is>
          <t>2026-03-27</t>
        </is>
      </c>
      <c r="G320" t="inlineStr">
        <is>
          <t xml:space="preserve"> - Family Finca</t>
        </is>
      </c>
      <c r="H320">
        <f>HYPERLINK("https://booking.roadsurfer.com/es/rally/pick?pickup_date=2026-03-20&amp;return_date=2026-03-27&amp;currency=EUR&amp;startStation=56&amp;endStation=59",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Suecia</t>
        </is>
      </c>
      <c r="D321" t="inlineStr">
        <is>
          <t>Estocolmo</t>
        </is>
      </c>
      <c r="E321" t="inlineStr">
        <is>
          <t>2026-02-21</t>
        </is>
      </c>
      <c r="F321" t="inlineStr">
        <is>
          <t>2026-02-28</t>
        </is>
      </c>
      <c r="G321" t="inlineStr">
        <is>
          <t xml:space="preserve"> - Camper Cabin</t>
        </is>
      </c>
      <c r="H321">
        <f>HYPERLINK("https://booking.roadsurfer.com/es/rally/pick?pickup_date=2026-02-21&amp;return_date=2026-02-28&amp;currency=EUR&amp;startStation=56&amp;endStation=59",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Austria</t>
        </is>
      </c>
      <c r="D322" t="inlineStr">
        <is>
          <t>Graz</t>
        </is>
      </c>
      <c r="E322" t="inlineStr">
        <is>
          <t>2026-03-06</t>
        </is>
      </c>
      <c r="F322" t="inlineStr">
        <is>
          <t>2026-03-13</t>
        </is>
      </c>
      <c r="G322" t="inlineStr">
        <is>
          <t xml:space="preserve"> - Camper Cabin</t>
        </is>
      </c>
      <c r="H322">
        <f>HYPERLINK("https://booking.roadsurfer.com/es/rally/pick?pickup_date=2026-03-06&amp;return_date=2026-03-13&amp;currency=EUR&amp;startStation=56&amp;endStation=37",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Austria</t>
        </is>
      </c>
      <c r="D323" t="inlineStr">
        <is>
          <t>Graz</t>
        </is>
      </c>
      <c r="E323" t="inlineStr">
        <is>
          <t>2026-02-21</t>
        </is>
      </c>
      <c r="F323" t="inlineStr">
        <is>
          <t>2026-02-28</t>
        </is>
      </c>
      <c r="G323" t="inlineStr">
        <is>
          <t xml:space="preserve"> - Surfer Suite</t>
        </is>
      </c>
      <c r="H323">
        <f>HYPERLINK("https://booking.roadsurfer.com/es/rally/pick?pickup_date=2026-02-21&amp;return_date=2026-02-28&amp;currency=EUR&amp;startStation=56&amp;endStation=37",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Austria</t>
        </is>
      </c>
      <c r="D324" t="inlineStr">
        <is>
          <t>Graz</t>
        </is>
      </c>
      <c r="E324" t="inlineStr">
        <is>
          <t>2026-03-21</t>
        </is>
      </c>
      <c r="F324" t="inlineStr">
        <is>
          <t>2026-03-28</t>
        </is>
      </c>
      <c r="G324" t="inlineStr">
        <is>
          <t xml:space="preserve"> - Camper Castle</t>
        </is>
      </c>
      <c r="H324">
        <f>HYPERLINK("https://booking.roadsurfer.com/es/rally/pick?pickup_date=2026-03-21&amp;return_date=2026-03-28&amp;currency=EUR&amp;startStation=56&amp;endStation=37",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Austria</t>
        </is>
      </c>
      <c r="D325" t="inlineStr">
        <is>
          <t>Graz</t>
        </is>
      </c>
      <c r="E325" t="inlineStr">
        <is>
          <t>2026-03-24</t>
        </is>
      </c>
      <c r="F325" t="inlineStr">
        <is>
          <t>2026-03-31</t>
        </is>
      </c>
      <c r="G325" t="inlineStr">
        <is>
          <t xml:space="preserve"> - Road House</t>
        </is>
      </c>
      <c r="H325">
        <f>HYPERLINK("https://booking.roadsurfer.com/es/rally/pick?pickup_date=2026-03-24&amp;return_date=2026-03-31&amp;currency=EUR&amp;startStation=56&amp;endStation=37",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Países Bajos</t>
        </is>
      </c>
      <c r="D326" t="inlineStr">
        <is>
          <t>Róterdam</t>
        </is>
      </c>
      <c r="E326" t="inlineStr">
        <is>
          <t>2026-03-02</t>
        </is>
      </c>
      <c r="F326" t="inlineStr">
        <is>
          <t>2026-03-09</t>
        </is>
      </c>
      <c r="G326" t="inlineStr">
        <is>
          <t xml:space="preserve"> - Camper Castle</t>
        </is>
      </c>
      <c r="H326">
        <f>HYPERLINK("https://booking.roadsurfer.com/es/rally/pick?pickup_date=2026-03-02&amp;return_date=2026-03-09&amp;currency=EUR&amp;startStation=56&amp;endStation=33",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Países Bajos</t>
        </is>
      </c>
      <c r="D327" t="inlineStr">
        <is>
          <t>Róterdam</t>
        </is>
      </c>
      <c r="E327" t="inlineStr">
        <is>
          <t>2026-03-05</t>
        </is>
      </c>
      <c r="F327" t="inlineStr">
        <is>
          <t>2026-03-12</t>
        </is>
      </c>
      <c r="G327" t="inlineStr">
        <is>
          <t xml:space="preserve"> - Surfer Suite</t>
        </is>
      </c>
      <c r="H327">
        <f>HYPERLINK("https://booking.roadsurfer.com/es/rally/pick?pickup_date=2026-03-05&amp;return_date=2026-03-12&amp;currency=EUR&amp;startStation=56&amp;endStation=33",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Países Bajos</t>
        </is>
      </c>
      <c r="D328" t="inlineStr">
        <is>
          <t>Róterdam</t>
        </is>
      </c>
      <c r="E328" t="inlineStr">
        <is>
          <t>2026-03-27</t>
        </is>
      </c>
      <c r="F328" t="inlineStr">
        <is>
          <t>2026-04-03</t>
        </is>
      </c>
      <c r="G328" t="inlineStr">
        <is>
          <t xml:space="preserve"> - No hay coche</t>
        </is>
      </c>
      <c r="H328">
        <f>HYPERLINK("https://booking.roadsurfer.com/es/rally/pick?pickup_date=2026-03-27&amp;return_date=2026-04-03&amp;currency=EUR&amp;startStation=56&amp;endStation=33",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2026-03-17</t>
        </is>
      </c>
      <c r="F329" t="inlineStr">
        <is>
          <t>2026-03-24</t>
        </is>
      </c>
      <c r="G329" t="inlineStr">
        <is>
          <t xml:space="preserve"> - Surfer Suite</t>
        </is>
      </c>
      <c r="H329">
        <f>HYPERLINK("https://booking.roadsurfer.com/es/rally/pick?pickup_date=2026-03-17&amp;return_date=2026-03-24&amp;currency=EUR&amp;startStation=56&amp;endStation=32",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2026-03-21</t>
        </is>
      </c>
      <c r="F330" t="inlineStr">
        <is>
          <t>2026-03-28</t>
        </is>
      </c>
      <c r="G330" t="inlineStr">
        <is>
          <t xml:space="preserve"> - Camper Cabin Deluxe</t>
        </is>
      </c>
      <c r="H330">
        <f>HYPERLINK("https://booking.roadsurfer.com/es/rally/pick?pickup_date=2026-03-21&amp;return_date=2026-03-28&amp;currency=EUR&amp;startStation=56&amp;endStation=32", "Clic para verlo en la web de RoadSurfer")</f>
        <v/>
      </c>
    </row>
    <row r="331">
      <c r="A331" t="inlineStr">
        <is>
          <t>Alemania</t>
        </is>
      </c>
      <c r="B331" t="inlineStr">
        <is>
          <t>Dresde</t>
        </is>
      </c>
      <c r="C331" t="inlineStr">
        <is>
          <t>Alemania</t>
        </is>
      </c>
      <c r="D331" t="inlineStr">
        <is>
          <t>Braunschweig</t>
        </is>
      </c>
      <c r="E331" t="inlineStr">
        <is>
          <t>2026-03-02</t>
        </is>
      </c>
      <c r="F331" t="inlineStr">
        <is>
          <t>2026-03-09</t>
        </is>
      </c>
      <c r="G331" t="inlineStr">
        <is>
          <t xml:space="preserve"> - No hay coche</t>
        </is>
      </c>
      <c r="H331">
        <f>HYPERLINK("https://booking.roadsurfer.com/es/rally/pick?pickup_date=2026-03-02&amp;return_date=2026-03-09&amp;currency=EUR&amp;startStation=56&amp;endStation=128", "Clic para verlo en la web de RoadSurfer")</f>
        <v/>
      </c>
    </row>
    <row r="332">
      <c r="A332" t="inlineStr">
        <is>
          <t>Alemania</t>
        </is>
      </c>
      <c r="B332" t="inlineStr">
        <is>
          <t>Dresde</t>
        </is>
      </c>
      <c r="C332" t="inlineStr">
        <is>
          <t>Alemania</t>
        </is>
      </c>
      <c r="D332" t="inlineStr">
        <is>
          <t>Braunschweig</t>
        </is>
      </c>
      <c r="E332" t="inlineStr">
        <is>
          <t>2026-03-04</t>
        </is>
      </c>
      <c r="F332" t="inlineStr">
        <is>
          <t>2026-03-11</t>
        </is>
      </c>
      <c r="G332" t="inlineStr">
        <is>
          <t xml:space="preserve"> - No hay coche</t>
        </is>
      </c>
      <c r="H332">
        <f>HYPERLINK("https://booking.roadsurfer.com/es/rally/pick?pickup_date=2026-03-04&amp;return_date=2026-03-11&amp;currency=EUR&amp;startStation=56&amp;endStation=128", "Clic para verlo en la web de RoadSurfer")</f>
        <v/>
      </c>
    </row>
    <row r="333">
      <c r="A333" t="inlineStr">
        <is>
          <t>Alemania</t>
        </is>
      </c>
      <c r="B333" t="inlineStr">
        <is>
          <t>Dresde</t>
        </is>
      </c>
      <c r="C333" t="inlineStr">
        <is>
          <t>Alemania</t>
        </is>
      </c>
      <c r="D333" t="inlineStr">
        <is>
          <t>Núremberg</t>
        </is>
      </c>
      <c r="E333" t="inlineStr">
        <is>
          <t>2026-03-09</t>
        </is>
      </c>
      <c r="F333" t="inlineStr">
        <is>
          <t>2026-03-16</t>
        </is>
      </c>
      <c r="G333" t="inlineStr">
        <is>
          <t xml:space="preserve"> - Beach Hostel</t>
        </is>
      </c>
      <c r="H333">
        <f>HYPERLINK("https://booking.roadsurfer.com/es/rally/pick?pickup_date=2026-03-09&amp;return_date=2026-03-16&amp;currency=EUR&amp;startStation=56&amp;endStation=11", "Clic para verlo en la web de RoadSurfer")</f>
        <v/>
      </c>
    </row>
    <row r="334">
      <c r="A334" t="inlineStr">
        <is>
          <t>Alemania</t>
        </is>
      </c>
      <c r="B334" t="inlineStr">
        <is>
          <t>Dresde</t>
        </is>
      </c>
      <c r="C334" t="inlineStr">
        <is>
          <t>Bélgica</t>
        </is>
      </c>
      <c r="D334" t="inlineStr">
        <is>
          <t>Bruselas</t>
        </is>
      </c>
      <c r="E334" t="inlineStr">
        <is>
          <t>2026-03-20</t>
        </is>
      </c>
      <c r="F334" t="inlineStr">
        <is>
          <t>2026-03-27</t>
        </is>
      </c>
      <c r="G334" t="inlineStr">
        <is>
          <t xml:space="preserve"> - Road House</t>
        </is>
      </c>
      <c r="H334">
        <f>HYPERLINK("https://booking.roadsurfer.com/es/rally/pick?pickup_date=2026-03-20&amp;return_date=2026-03-27&amp;currency=EUR&amp;startStation=56&amp;endStation=42", "Clic para verlo en la web de RoadSurfer")</f>
        <v/>
      </c>
    </row>
    <row r="335">
      <c r="A335" t="inlineStr">
        <is>
          <t>Alemania</t>
        </is>
      </c>
      <c r="B335" t="inlineStr">
        <is>
          <t>Dresde</t>
        </is>
      </c>
      <c r="C335" t="inlineStr">
        <is>
          <t>Francia</t>
        </is>
      </c>
      <c r="D335" t="inlineStr">
        <is>
          <t>Lille</t>
        </is>
      </c>
      <c r="E335" t="inlineStr">
        <is>
          <t>2026-03-25</t>
        </is>
      </c>
      <c r="F335" t="inlineStr">
        <is>
          <t>2026-04-01</t>
        </is>
      </c>
      <c r="G335" t="inlineStr">
        <is>
          <t xml:space="preserve"> - Surfer Suite</t>
        </is>
      </c>
      <c r="H335">
        <f>HYPERLINK("https://booking.roadsurfer.com/es/rally/pick?pickup_date=2026-03-25&amp;return_date=2026-04-01&amp;currency=EUR&amp;startStation=56&amp;endStation=87", "Clic para verlo en la web de RoadSurfer")</f>
        <v/>
      </c>
    </row>
    <row r="336">
      <c r="A336" t="inlineStr">
        <is>
          <t>Alemania</t>
        </is>
      </c>
      <c r="B336" t="inlineStr">
        <is>
          <t>Dresde</t>
        </is>
      </c>
      <c r="C336" t="inlineStr">
        <is>
          <t>Francia</t>
        </is>
      </c>
      <c r="D336" t="inlineStr">
        <is>
          <t>París Sur (Orly)</t>
        </is>
      </c>
      <c r="E336" t="inlineStr">
        <is>
          <t>2026-03-14</t>
        </is>
      </c>
      <c r="F336" t="inlineStr">
        <is>
          <t>2026-03-21</t>
        </is>
      </c>
      <c r="G336" t="inlineStr">
        <is>
          <t xml:space="preserve"> - Travel Home</t>
        </is>
      </c>
      <c r="H336">
        <f>HYPERLINK("https://booking.roadsurfer.com/es/rally/pick?pickup_date=2026-03-14&amp;return_date=2026-03-21&amp;currency=EUR&amp;startStation=56&amp;endStation=12", "Clic para verlo en la web de RoadSurfer")</f>
        <v/>
      </c>
    </row>
    <row r="337">
      <c r="A337" t="inlineStr">
        <is>
          <t>Alemania</t>
        </is>
      </c>
      <c r="B337" t="inlineStr">
        <is>
          <t>Dresde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2026-03-21</t>
        </is>
      </c>
      <c r="F337" t="inlineStr">
        <is>
          <t>2026-03-28</t>
        </is>
      </c>
      <c r="G337" t="inlineStr">
        <is>
          <t xml:space="preserve"> - Surfer Suite</t>
        </is>
      </c>
      <c r="H337">
        <f>HYPERLINK("https://booking.roadsurfer.com/es/rally/pick?pickup_date=2026-03-21&amp;return_date=2026-03-28&amp;currency=EUR&amp;startStation=56&amp;endStation=47", "Clic para verlo en la web de RoadSurfer")</f>
        <v/>
      </c>
    </row>
    <row r="338">
      <c r="A338" t="inlineStr">
        <is>
          <t>Alemania</t>
        </is>
      </c>
      <c r="B338" t="inlineStr">
        <is>
          <t>Dresde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2026-03-24</t>
        </is>
      </c>
      <c r="F338" t="inlineStr">
        <is>
          <t>2026-03-31</t>
        </is>
      </c>
      <c r="G338" t="inlineStr">
        <is>
          <t xml:space="preserve"> - Surfer Suite</t>
        </is>
      </c>
      <c r="H338">
        <f>HYPERLINK("https://booking.roadsurfer.com/es/rally/pick?pickup_date=2026-03-24&amp;return_date=2026-03-31&amp;currency=EUR&amp;startStation=56&amp;endStation=47", "Clic para verlo en la web de RoadSurfer")</f>
        <v/>
      </c>
    </row>
    <row r="339">
      <c r="A339" t="inlineStr">
        <is>
          <t>Alemania</t>
        </is>
      </c>
      <c r="B339" t="inlineStr">
        <is>
          <t>Dresde</t>
        </is>
      </c>
      <c r="C339" t="inlineStr">
        <is>
          <t>Francia</t>
        </is>
      </c>
      <c r="D339" t="inlineStr">
        <is>
          <t>París Aeropuerto CDG</t>
        </is>
      </c>
      <c r="E339" t="inlineStr">
        <is>
          <t>2026-03-23</t>
        </is>
      </c>
      <c r="F339" t="inlineStr">
        <is>
          <t>2026-03-30</t>
        </is>
      </c>
      <c r="G339" t="inlineStr">
        <is>
          <t xml:space="preserve"> - Road House</t>
        </is>
      </c>
      <c r="H339">
        <f>HYPERLINK("https://booking.roadsurfer.com/es/rally/pick?pickup_date=2026-03-23&amp;return_date=2026-03-30&amp;currency=EUR&amp;startStation=56&amp;endStation=48", "Clic para verlo en la web de RoadSurfer")</f>
        <v/>
      </c>
    </row>
    <row r="340">
      <c r="A340" t="inlineStr">
        <is>
          <t>Alemania</t>
        </is>
      </c>
      <c r="B340" t="inlineStr">
        <is>
          <t>Dresde</t>
        </is>
      </c>
      <c r="C340" t="inlineStr">
        <is>
          <t>Austria</t>
        </is>
      </c>
      <c r="D340" t="inlineStr">
        <is>
          <t>Viena Sur</t>
        </is>
      </c>
      <c r="E340" t="inlineStr">
        <is>
          <t>2026-03-16</t>
        </is>
      </c>
      <c r="F340" t="inlineStr">
        <is>
          <t>2026-03-23</t>
        </is>
      </c>
      <c r="G340" t="inlineStr">
        <is>
          <t xml:space="preserve"> - Camper Castle</t>
        </is>
      </c>
      <c r="H340">
        <f>HYPERLINK("https://booking.roadsurfer.com/es/rally/pick?pickup_date=2026-03-16&amp;return_date=2026-03-23&amp;currency=EUR&amp;startStation=56&amp;endStation=45", "Clic para verlo en la web de RoadSurfer")</f>
        <v/>
      </c>
    </row>
    <row r="341">
      <c r="A341" t="inlineStr">
        <is>
          <t>Alemania</t>
        </is>
      </c>
      <c r="B341" t="inlineStr">
        <is>
          <t>Dresde</t>
        </is>
      </c>
      <c r="C341" t="inlineStr">
        <is>
          <t>Italia</t>
        </is>
      </c>
      <c r="D341" t="inlineStr">
        <is>
          <t>Bolonia</t>
        </is>
      </c>
      <c r="E341" t="inlineStr">
        <is>
          <t>2026-02-23</t>
        </is>
      </c>
      <c r="F341" t="inlineStr">
        <is>
          <t>2026-03-02</t>
        </is>
      </c>
      <c r="G341" t="inlineStr">
        <is>
          <t xml:space="preserve"> - Couple Cottage</t>
        </is>
      </c>
      <c r="H341">
        <f>HYPERLINK("https://booking.roadsurfer.com/es/rally/pick?pickup_date=2026-02-23&amp;return_date=2026-03-02&amp;currency=EUR&amp;startStation=56&amp;endStation=57", "Clic para verlo en la web de RoadSurfer")</f>
        <v/>
      </c>
    </row>
    <row r="342">
      <c r="A342" t="inlineStr">
        <is>
          <t>Alemania</t>
        </is>
      </c>
      <c r="B342" t="inlineStr">
        <is>
          <t>Dresde</t>
        </is>
      </c>
      <c r="C342" t="inlineStr">
        <is>
          <t>Alemania</t>
        </is>
      </c>
      <c r="D342" t="inlineStr">
        <is>
          <t>Colonia-Bonn</t>
        </is>
      </c>
      <c r="E342" t="inlineStr">
        <is>
          <t>2026-03-16</t>
        </is>
      </c>
      <c r="F342" t="inlineStr">
        <is>
          <t>2026-03-23</t>
        </is>
      </c>
      <c r="G342" t="inlineStr">
        <is>
          <t xml:space="preserve"> - Couple Cottage</t>
        </is>
      </c>
      <c r="H342">
        <f>HYPERLINK("https://booking.roadsurfer.com/es/rally/pick?pickup_date=2026-03-16&amp;return_date=2026-03-23&amp;currency=EUR&amp;startStation=56&amp;endStation=52", "Clic para verlo en la web de RoadSurfer")</f>
        <v/>
      </c>
    </row>
    <row r="343">
      <c r="A343" t="inlineStr">
        <is>
          <t>Alemania</t>
        </is>
      </c>
      <c r="B343" t="inlineStr">
        <is>
          <t>Dresde</t>
        </is>
      </c>
      <c r="C343" t="inlineStr">
        <is>
          <t>Alemania</t>
        </is>
      </c>
      <c r="D343" t="inlineStr">
        <is>
          <t>Múnich</t>
        </is>
      </c>
      <c r="E343" t="inlineStr">
        <is>
          <t>2026-03-05</t>
        </is>
      </c>
      <c r="F343" t="inlineStr">
        <is>
          <t>2026-03-12</t>
        </is>
      </c>
      <c r="G343" t="inlineStr">
        <is>
          <t xml:space="preserve"> - Sunrise Suite</t>
        </is>
      </c>
      <c r="H343">
        <f>HYPERLINK("https://booking.roadsurfer.com/es/rally/pick?pickup_date=2026-03-05&amp;return_date=2026-03-12&amp;currency=EUR&amp;startStation=56&amp;endStation=1",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Bélgica</t>
        </is>
      </c>
      <c r="D344" t="inlineStr">
        <is>
          <t>Amberes</t>
        </is>
      </c>
      <c r="E344" t="inlineStr">
        <is>
          <t>2026-03-13</t>
        </is>
      </c>
      <c r="F344" t="inlineStr">
        <is>
          <t>2026-03-20</t>
        </is>
      </c>
      <c r="G344" t="inlineStr">
        <is>
          <t xml:space="preserve"> - Beach Hostel - Road House</t>
        </is>
      </c>
      <c r="H344">
        <f>HYPERLINK("https://booking.roadsurfer.com/es/rally/pick?pickup_date=2026-03-13&amp;return_date=2026-03-20&amp;currency=EUR&amp;startStation=113&amp;endStation=47",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Bélgica</t>
        </is>
      </c>
      <c r="D345" t="inlineStr">
        <is>
          <t>Bruselas</t>
        </is>
      </c>
      <c r="E345" t="inlineStr">
        <is>
          <t>2026-03-23</t>
        </is>
      </c>
      <c r="F345" t="inlineStr">
        <is>
          <t>2026-03-30</t>
        </is>
      </c>
      <c r="G345" t="inlineStr">
        <is>
          <t xml:space="preserve"> - Road House</t>
        </is>
      </c>
      <c r="H345">
        <f>HYPERLINK("https://booking.roadsurfer.com/es/rally/pick?pickup_date=2026-03-23&amp;return_date=2026-03-30&amp;currency=EUR&amp;startStation=113&amp;endStation=42",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Bélgica</t>
        </is>
      </c>
      <c r="D346" t="inlineStr">
        <is>
          <t>Bruselas</t>
        </is>
      </c>
      <c r="E346" t="inlineStr">
        <is>
          <t>2026-03-20</t>
        </is>
      </c>
      <c r="F346" t="inlineStr">
        <is>
          <t>2026-03-27</t>
        </is>
      </c>
      <c r="G346" t="inlineStr">
        <is>
          <t xml:space="preserve"> - Camper Cabin</t>
        </is>
      </c>
      <c r="H346">
        <f>HYPERLINK("https://booking.roadsurfer.com/es/rally/pick?pickup_date=2026-03-20&amp;return_date=2026-03-27&amp;currency=EUR&amp;startStation=113&amp;endStation=42",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Bélgica</t>
        </is>
      </c>
      <c r="D347" t="inlineStr">
        <is>
          <t>Bruselas</t>
        </is>
      </c>
      <c r="E347" t="inlineStr">
        <is>
          <t>2026-03-11</t>
        </is>
      </c>
      <c r="F347" t="inlineStr">
        <is>
          <t>2026-03-18</t>
        </is>
      </c>
      <c r="G347" t="inlineStr">
        <is>
          <t xml:space="preserve"> - Road House</t>
        </is>
      </c>
      <c r="H347">
        <f>HYPERLINK("https://booking.roadsurfer.com/es/rally/pick?pickup_date=2026-03-11&amp;return_date=2026-03-18&amp;currency=EUR&amp;startStation=113&amp;endStation=42",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Francia</t>
        </is>
      </c>
      <c r="D348" t="inlineStr">
        <is>
          <t>Aix-Marsella</t>
        </is>
      </c>
      <c r="E348" t="inlineStr">
        <is>
          <t>2026-03-23</t>
        </is>
      </c>
      <c r="F348" t="inlineStr">
        <is>
          <t>2026-03-30</t>
        </is>
      </c>
      <c r="G348" t="inlineStr">
        <is>
          <t xml:space="preserve"> - Surfer Suite</t>
        </is>
      </c>
      <c r="H348">
        <f>HYPERLINK("https://booking.roadsurfer.com/es/rally/pick?pickup_date=2026-03-23&amp;return_date=2026-03-30&amp;currency=EUR&amp;startStation=113&amp;endStation=16",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Francia</t>
        </is>
      </c>
      <c r="D349" t="inlineStr">
        <is>
          <t>Aix-Marsella</t>
        </is>
      </c>
      <c r="E349" t="inlineStr">
        <is>
          <t>2026-03-30</t>
        </is>
      </c>
      <c r="F349" t="inlineStr">
        <is>
          <t>2026-04-06</t>
        </is>
      </c>
      <c r="G349" t="inlineStr">
        <is>
          <t xml:space="preserve"> - No hay coche</t>
        </is>
      </c>
      <c r="H349">
        <f>HYPERLINK("https://booking.roadsurfer.com/es/rally/pick?pickup_date=2026-03-30&amp;return_date=2026-04-06&amp;currency=EUR&amp;startStation=113&amp;endStation=16", "Clic para verlo en la web de RoadSurfer")</f>
        <v/>
      </c>
    </row>
    <row r="350">
      <c r="A350" t="inlineStr">
        <is>
          <t>Alemania</t>
        </is>
      </c>
      <c r="B350" t="inlineStr">
        <is>
          <t>Duisburgo</t>
        </is>
      </c>
      <c r="C350" t="inlineStr">
        <is>
          <t>España</t>
        </is>
      </c>
      <c r="D350" t="inlineStr">
        <is>
          <t>Sevilla</t>
        </is>
      </c>
      <c r="E350" t="inlineStr">
        <is>
          <t>2026-02-27</t>
        </is>
      </c>
      <c r="F350" t="inlineStr">
        <is>
          <t>2026-03-06</t>
        </is>
      </c>
      <c r="G350" t="inlineStr">
        <is>
          <t xml:space="preserve"> - Family Finca</t>
        </is>
      </c>
      <c r="H350">
        <f>HYPERLINK("https://booking.roadsurfer.com/es/rally/pick?pickup_date=2026-02-27&amp;return_date=2026-03-06&amp;currency=EUR&amp;startStation=113&amp;endStation=39", "Clic para verlo en la web de RoadSurfer")</f>
        <v/>
      </c>
    </row>
    <row r="351">
      <c r="A351" t="inlineStr">
        <is>
          <t>Alemania</t>
        </is>
      </c>
      <c r="B351" t="inlineStr">
        <is>
          <t>Duisburgo</t>
        </is>
      </c>
      <c r="C351" t="inlineStr">
        <is>
          <t>España</t>
        </is>
      </c>
      <c r="D351" t="inlineStr">
        <is>
          <t>Sevilla</t>
        </is>
      </c>
      <c r="E351" t="inlineStr">
        <is>
          <t>2026-03-23</t>
        </is>
      </c>
      <c r="F351" t="inlineStr">
        <is>
          <t>2026-03-30</t>
        </is>
      </c>
      <c r="G351" t="inlineStr">
        <is>
          <t xml:space="preserve"> - Surfer Suite</t>
        </is>
      </c>
      <c r="H351">
        <f>HYPERLINK("https://booking.roadsurfer.com/es/rally/pick?pickup_date=2026-03-23&amp;return_date=2026-03-30&amp;currency=EUR&amp;startStation=113&amp;endStation=39",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Francia</t>
        </is>
      </c>
      <c r="D352" t="inlineStr">
        <is>
          <t>Toulouse</t>
        </is>
      </c>
      <c r="E352" t="inlineStr">
        <is>
          <t>2026-03-23</t>
        </is>
      </c>
      <c r="F352" t="inlineStr">
        <is>
          <t>2026-03-30</t>
        </is>
      </c>
      <c r="G352" t="inlineStr">
        <is>
          <t xml:space="preserve"> - ROAD HOUSE - Road House</t>
        </is>
      </c>
      <c r="H352">
        <f>HYPERLINK("https://booking.roadsurfer.com/es/rally/pick?pickup_date=2026-03-23&amp;return_date=2026-03-30&amp;currency=EUR&amp;startStation=113&amp;endStation=30",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Francia</t>
        </is>
      </c>
      <c r="D353" t="inlineStr">
        <is>
          <t>Toulouse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Family Finca</t>
        </is>
      </c>
      <c r="H353">
        <f>HYPERLINK("https://booking.roadsurfer.com/es/rally/pick?pickup_date=2026-03-19&amp;return_date=2026-03-26&amp;currency=EUR&amp;startStation=113&amp;endStation=30",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Francia</t>
        </is>
      </c>
      <c r="D354" t="inlineStr">
        <is>
          <t>Toulouse</t>
        </is>
      </c>
      <c r="E354" t="inlineStr">
        <is>
          <t>2026-03-20</t>
        </is>
      </c>
      <c r="F354" t="inlineStr">
        <is>
          <t>2026-03-27</t>
        </is>
      </c>
      <c r="G354" t="inlineStr">
        <is>
          <t xml:space="preserve"> - Family Finca</t>
        </is>
      </c>
      <c r="H354">
        <f>HYPERLINK("https://booking.roadsurfer.com/es/rally/pick?pickup_date=2026-03-20&amp;return_date=2026-03-27&amp;currency=EUR&amp;startStation=113&amp;endStation=30",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Países Bajos</t>
        </is>
      </c>
      <c r="D355" t="inlineStr">
        <is>
          <t>Róterdam</t>
        </is>
      </c>
      <c r="E355" t="inlineStr">
        <is>
          <t>2026-03-03</t>
        </is>
      </c>
      <c r="F355" t="inlineStr">
        <is>
          <t>2026-03-10</t>
        </is>
      </c>
      <c r="G355" t="inlineStr">
        <is>
          <t xml:space="preserve"> - Road House</t>
        </is>
      </c>
      <c r="H355">
        <f>HYPERLINK("https://booking.roadsurfer.com/es/rally/pick?pickup_date=2026-03-03&amp;return_date=2026-03-10&amp;currency=EUR&amp;startStation=113&amp;endStation=33", "Clic para verlo en la web de RoadSurfer")</f>
        <v/>
      </c>
    </row>
    <row r="356">
      <c r="A356" t="inlineStr">
        <is>
          <t>Alemania</t>
        </is>
      </c>
      <c r="B356" t="inlineStr">
        <is>
          <t>Duisburgo</t>
        </is>
      </c>
      <c r="C356" t="inlineStr">
        <is>
          <t>Países Bajos</t>
        </is>
      </c>
      <c r="D356" t="inlineStr">
        <is>
          <t>Róterdam</t>
        </is>
      </c>
      <c r="E356" t="inlineStr">
        <is>
          <t>2026-03-20</t>
        </is>
      </c>
      <c r="F356" t="inlineStr">
        <is>
          <t>2026-03-27</t>
        </is>
      </c>
      <c r="G356" t="inlineStr">
        <is>
          <t xml:space="preserve"> - Surfer Suite</t>
        </is>
      </c>
      <c r="H356">
        <f>HYPERLINK("https://booking.roadsurfer.com/es/rally/pick?pickup_date=2026-03-20&amp;return_date=2026-03-27&amp;currency=EUR&amp;startStation=113&amp;endStation=33", "Clic para verlo en la web de RoadSurfer")</f>
        <v/>
      </c>
    </row>
    <row r="357">
      <c r="A357" t="inlineStr">
        <is>
          <t>Alemania</t>
        </is>
      </c>
      <c r="B357" t="inlineStr">
        <is>
          <t>Duisburgo</t>
        </is>
      </c>
      <c r="C357" t="inlineStr">
        <is>
          <t>Países Bajos</t>
        </is>
      </c>
      <c r="D357" t="inlineStr">
        <is>
          <t>Ámsterdam</t>
        </is>
      </c>
      <c r="E357" t="inlineStr">
        <is>
          <t>2026-03-04</t>
        </is>
      </c>
      <c r="F357" t="inlineStr">
        <is>
          <t>2026-03-11</t>
        </is>
      </c>
      <c r="G357" t="inlineStr">
        <is>
          <t xml:space="preserve"> - Surfer Suite</t>
        </is>
      </c>
      <c r="H357">
        <f>HYPERLINK("https://booking.roadsurfer.com/es/rally/pick?pickup_date=2026-03-04&amp;return_date=2026-03-11&amp;currency=EUR&amp;startStation=113&amp;endStation=32", "Clic para verlo en la web de RoadSurfer")</f>
        <v/>
      </c>
    </row>
    <row r="358">
      <c r="A358" t="inlineStr">
        <is>
          <t>Alemania</t>
        </is>
      </c>
      <c r="B358" t="inlineStr">
        <is>
          <t>Duisburgo</t>
        </is>
      </c>
      <c r="C358" t="inlineStr">
        <is>
          <t>Países Bajos</t>
        </is>
      </c>
      <c r="D358" t="inlineStr">
        <is>
          <t>Ámsterdam</t>
        </is>
      </c>
      <c r="E358" t="inlineStr">
        <is>
          <t>2026-03-05</t>
        </is>
      </c>
      <c r="F358" t="inlineStr">
        <is>
          <t>2026-03-12</t>
        </is>
      </c>
      <c r="G358" t="inlineStr">
        <is>
          <t xml:space="preserve"> - No hay coche</t>
        </is>
      </c>
      <c r="H358">
        <f>HYPERLINK("https://booking.roadsurfer.com/es/rally/pick?pickup_date=2026-03-05&amp;return_date=2026-03-12&amp;currency=EUR&amp;startStation=113&amp;endStation=32", "Clic para verlo en la web de RoadSurfer")</f>
        <v/>
      </c>
    </row>
    <row r="359">
      <c r="A359" t="inlineStr">
        <is>
          <t>Alemania</t>
        </is>
      </c>
      <c r="B359" t="inlineStr">
        <is>
          <t>Duisburgo</t>
        </is>
      </c>
      <c r="C359" t="inlineStr">
        <is>
          <t>Países Bajos</t>
        </is>
      </c>
      <c r="D359" t="inlineStr">
        <is>
          <t>Ámsterdam</t>
        </is>
      </c>
      <c r="E359" t="inlineStr">
        <is>
          <t>2026-03-06</t>
        </is>
      </c>
      <c r="F359" t="inlineStr">
        <is>
          <t>2026-03-13</t>
        </is>
      </c>
      <c r="G359" t="inlineStr">
        <is>
          <t xml:space="preserve"> - Surfer Suite</t>
        </is>
      </c>
      <c r="H359">
        <f>HYPERLINK("https://booking.roadsurfer.com/es/rally/pick?pickup_date=2026-03-06&amp;return_date=2026-03-13&amp;currency=EUR&amp;startStation=113&amp;endStation=32", "Clic para verlo en la web de RoadSurfer")</f>
        <v/>
      </c>
    </row>
    <row r="360">
      <c r="A360" t="inlineStr">
        <is>
          <t>Alemania</t>
        </is>
      </c>
      <c r="B360" t="inlineStr">
        <is>
          <t>Duisburgo</t>
        </is>
      </c>
      <c r="C360" t="inlineStr">
        <is>
          <t>Países Bajos</t>
        </is>
      </c>
      <c r="D360" t="inlineStr">
        <is>
          <t>Ámsterdam</t>
        </is>
      </c>
      <c r="E360" t="inlineStr">
        <is>
          <t>2026-03-07</t>
        </is>
      </c>
      <c r="F360" t="inlineStr">
        <is>
          <t>2026-03-14</t>
        </is>
      </c>
      <c r="G360" t="inlineStr">
        <is>
          <t xml:space="preserve"> - SURFER SUITE</t>
        </is>
      </c>
      <c r="H360">
        <f>HYPERLINK("https://booking.roadsurfer.com/es/rally/pick?pickup_date=2026-03-07&amp;return_date=2026-03-14&amp;currency=EUR&amp;startStation=113&amp;endStation=32", "Clic para verlo en la web de RoadSurfer")</f>
        <v/>
      </c>
    </row>
    <row r="361">
      <c r="A361" t="inlineStr">
        <is>
          <t>Alemania</t>
        </is>
      </c>
      <c r="B361" t="inlineStr">
        <is>
          <t>Duisburgo</t>
        </is>
      </c>
      <c r="C361" t="inlineStr">
        <is>
          <t>Países Bajos</t>
        </is>
      </c>
      <c r="D361" t="inlineStr">
        <is>
          <t>Ámsterdam</t>
        </is>
      </c>
      <c r="E361" t="inlineStr">
        <is>
          <t>2026-03-09</t>
        </is>
      </c>
      <c r="F361" t="inlineStr">
        <is>
          <t>2026-03-16</t>
        </is>
      </c>
      <c r="G361" t="inlineStr">
        <is>
          <t xml:space="preserve"> - Surfer Suite</t>
        </is>
      </c>
      <c r="H361">
        <f>HYPERLINK("https://booking.roadsurfer.com/es/rally/pick?pickup_date=2026-03-09&amp;return_date=2026-03-16&amp;currency=EUR&amp;startStation=113&amp;endStation=32", "Clic para verlo en la web de RoadSurfer")</f>
        <v/>
      </c>
    </row>
    <row r="362">
      <c r="A362" t="inlineStr">
        <is>
          <t>Alemania</t>
        </is>
      </c>
      <c r="B362" t="inlineStr">
        <is>
          <t>Duisburgo</t>
        </is>
      </c>
      <c r="C362" t="inlineStr">
        <is>
          <t>Países Bajos</t>
        </is>
      </c>
      <c r="D362" t="inlineStr">
        <is>
          <t>Ámsterdam</t>
        </is>
      </c>
      <c r="E362" t="inlineStr">
        <is>
          <t>2026-03-13</t>
        </is>
      </c>
      <c r="F362" t="inlineStr">
        <is>
          <t>2026-03-20</t>
        </is>
      </c>
      <c r="G362" t="inlineStr">
        <is>
          <t xml:space="preserve"> - Camper Castle</t>
        </is>
      </c>
      <c r="H362">
        <f>HYPERLINK("https://booking.roadsurfer.com/es/rally/pick?pickup_date=2026-03-13&amp;return_date=2026-03-20&amp;currency=EUR&amp;startStation=113&amp;endStation=32", "Clic para verlo en la web de RoadSurfer")</f>
        <v/>
      </c>
    </row>
    <row r="363">
      <c r="A363" t="inlineStr">
        <is>
          <t>Alemania</t>
        </is>
      </c>
      <c r="B363" t="inlineStr">
        <is>
          <t>Duisburgo</t>
        </is>
      </c>
      <c r="C363" t="inlineStr">
        <is>
          <t>Países Bajos</t>
        </is>
      </c>
      <c r="D363" t="inlineStr">
        <is>
          <t>Ámsterdam</t>
        </is>
      </c>
      <c r="E363" t="inlineStr">
        <is>
          <t>2026-03-16</t>
        </is>
      </c>
      <c r="F363" t="inlineStr">
        <is>
          <t>2026-03-23</t>
        </is>
      </c>
      <c r="G363" t="inlineStr">
        <is>
          <t xml:space="preserve"> - Road House - Family Finca</t>
        </is>
      </c>
      <c r="H363">
        <f>HYPERLINK("https://booking.roadsurfer.com/es/rally/pick?pickup_date=2026-03-16&amp;return_date=2026-03-23&amp;currency=EUR&amp;startStation=113&amp;endStation=32", "Clic para verlo en la web de RoadSurfer")</f>
        <v/>
      </c>
    </row>
    <row r="364">
      <c r="A364" t="inlineStr">
        <is>
          <t>Alemania</t>
        </is>
      </c>
      <c r="B364" t="inlineStr">
        <is>
          <t>Duisburgo</t>
        </is>
      </c>
      <c r="C364" t="inlineStr">
        <is>
          <t>Países Bajos</t>
        </is>
      </c>
      <c r="D364" t="inlineStr">
        <is>
          <t>Ámsterdam</t>
        </is>
      </c>
      <c r="E364" t="inlineStr">
        <is>
          <t>2026-03-18</t>
        </is>
      </c>
      <c r="F364" t="inlineStr">
        <is>
          <t>2026-03-25</t>
        </is>
      </c>
      <c r="G364" t="inlineStr">
        <is>
          <t xml:space="preserve"> - Surfer Suite</t>
        </is>
      </c>
      <c r="H364">
        <f>HYPERLINK("https://booking.roadsurfer.com/es/rally/pick?pickup_date=2026-03-18&amp;return_date=2026-03-25&amp;currency=EUR&amp;startStation=113&amp;endStation=32", "Clic para verlo en la web de RoadSurfer")</f>
        <v/>
      </c>
    </row>
    <row r="365">
      <c r="A365" t="inlineStr">
        <is>
          <t>Alemania</t>
        </is>
      </c>
      <c r="B365" t="inlineStr">
        <is>
          <t>Duisburgo</t>
        </is>
      </c>
      <c r="C365" t="inlineStr">
        <is>
          <t>Países Bajos</t>
        </is>
      </c>
      <c r="D365" t="inlineStr">
        <is>
          <t>Ámsterdam</t>
        </is>
      </c>
      <c r="E365" t="inlineStr">
        <is>
          <t>2026-03-19</t>
        </is>
      </c>
      <c r="F365" t="inlineStr">
        <is>
          <t>2026-03-26</t>
        </is>
      </c>
      <c r="G365" t="inlineStr">
        <is>
          <t xml:space="preserve"> - Surfer Suite</t>
        </is>
      </c>
      <c r="H365">
        <f>HYPERLINK("https://booking.roadsurfer.com/es/rally/pick?pickup_date=2026-03-19&amp;return_date=2026-03-26&amp;currency=EUR&amp;startStation=113&amp;endStation=32", "Clic para verlo en la web de RoadSurfer")</f>
        <v/>
      </c>
    </row>
    <row r="366">
      <c r="A366" t="inlineStr">
        <is>
          <t>Alemania</t>
        </is>
      </c>
      <c r="B366" t="inlineStr">
        <is>
          <t>Duisburgo</t>
        </is>
      </c>
      <c r="C366" t="inlineStr">
        <is>
          <t>Países Bajos</t>
        </is>
      </c>
      <c r="D366" t="inlineStr">
        <is>
          <t>Ámsterdam</t>
        </is>
      </c>
      <c r="E366" t="inlineStr">
        <is>
          <t>2026-03-17</t>
        </is>
      </c>
      <c r="F366" t="inlineStr">
        <is>
          <t>2026-03-24</t>
        </is>
      </c>
      <c r="G366" t="inlineStr">
        <is>
          <t xml:space="preserve"> - SURFER SUITE</t>
        </is>
      </c>
      <c r="H366">
        <f>HYPERLINK("https://booking.roadsurfer.com/es/rally/pick?pickup_date=2026-03-17&amp;return_date=2026-03-24&amp;currency=EUR&amp;startStation=113&amp;endStation=32", "Clic para verlo en la web de RoadSurfer")</f>
        <v/>
      </c>
    </row>
    <row r="367">
      <c r="A367" t="inlineStr">
        <is>
          <t>Alemania</t>
        </is>
      </c>
      <c r="B367" t="inlineStr">
        <is>
          <t>Duisburgo</t>
        </is>
      </c>
      <c r="C367" t="inlineStr">
        <is>
          <t>Francia</t>
        </is>
      </c>
      <c r="D367" t="inlineStr">
        <is>
          <t>Niza</t>
        </is>
      </c>
      <c r="E367" t="inlineStr">
        <is>
          <t>2026-04-10</t>
        </is>
      </c>
      <c r="F367" t="inlineStr">
        <is>
          <t>2026-04-17</t>
        </is>
      </c>
      <c r="G367" t="inlineStr">
        <is>
          <t xml:space="preserve"> - Surfer Suite</t>
        </is>
      </c>
      <c r="H367">
        <f>HYPERLINK("https://booking.roadsurfer.com/es/rally/pick?pickup_date=2026-04-10&amp;return_date=2026-04-17&amp;currency=EUR&amp;startStation=113&amp;endStation=88", "Clic para verlo en la web de RoadSurfer")</f>
        <v/>
      </c>
    </row>
    <row r="368">
      <c r="A368" t="inlineStr">
        <is>
          <t>Alemania</t>
        </is>
      </c>
      <c r="B368" t="inlineStr">
        <is>
          <t>Duisburgo</t>
        </is>
      </c>
      <c r="C368" t="inlineStr">
        <is>
          <t>Italia</t>
        </is>
      </c>
      <c r="D368" t="inlineStr">
        <is>
          <t>Milán</t>
        </is>
      </c>
      <c r="E368" t="inlineStr">
        <is>
          <t>2026-03-27</t>
        </is>
      </c>
      <c r="F368" t="inlineStr">
        <is>
          <t>2026-04-03</t>
        </is>
      </c>
      <c r="G368" t="inlineStr">
        <is>
          <t xml:space="preserve"> - Surfer Suite</t>
        </is>
      </c>
      <c r="H368">
        <f>HYPERLINK("https://booking.roadsurfer.com/es/rally/pick?pickup_date=2026-03-27&amp;return_date=2026-04-03&amp;currency=EUR&amp;startStation=113&amp;endStation=34", "Clic para verlo en la web de RoadSurfer")</f>
        <v/>
      </c>
    </row>
    <row r="369">
      <c r="A369" t="inlineStr">
        <is>
          <t>Alemania</t>
        </is>
      </c>
      <c r="B369" t="inlineStr">
        <is>
          <t>Duisburgo</t>
        </is>
      </c>
      <c r="C369" t="inlineStr">
        <is>
          <t>Italia</t>
        </is>
      </c>
      <c r="D369" t="inlineStr">
        <is>
          <t>Milán</t>
        </is>
      </c>
      <c r="E369" t="inlineStr">
        <is>
          <t>2026-03-21</t>
        </is>
      </c>
      <c r="F369" t="inlineStr">
        <is>
          <t>2026-03-28</t>
        </is>
      </c>
      <c r="G369" t="inlineStr">
        <is>
          <t xml:space="preserve"> - Surfer Suite</t>
        </is>
      </c>
      <c r="H369">
        <f>HYPERLINK("https://booking.roadsurfer.com/es/rally/pick?pickup_date=2026-03-21&amp;return_date=2026-03-28&amp;currency=EUR&amp;startStation=113&amp;endStation=34", "Clic para verlo en la web de RoadSurfer")</f>
        <v/>
      </c>
    </row>
    <row r="370">
      <c r="A370" t="inlineStr">
        <is>
          <t>Alemania</t>
        </is>
      </c>
      <c r="B370" t="inlineStr">
        <is>
          <t>Duisburgo</t>
        </is>
      </c>
      <c r="C370" t="inlineStr">
        <is>
          <t>Italia</t>
        </is>
      </c>
      <c r="D370" t="inlineStr">
        <is>
          <t>Milán</t>
        </is>
      </c>
      <c r="E370" t="inlineStr">
        <is>
          <t>2026-03-20</t>
        </is>
      </c>
      <c r="F370" t="inlineStr">
        <is>
          <t>2026-03-27</t>
        </is>
      </c>
      <c r="G370" t="inlineStr">
        <is>
          <t xml:space="preserve"> - Surfer Suite</t>
        </is>
      </c>
      <c r="H370">
        <f>HYPERLINK("https://booking.roadsurfer.com/es/rally/pick?pickup_date=2026-03-20&amp;return_date=2026-03-27&amp;currency=EUR&amp;startStation=113&amp;endStation=34", "Clic para verlo en la web de RoadSurfer")</f>
        <v/>
      </c>
    </row>
    <row r="371">
      <c r="A371" t="inlineStr">
        <is>
          <t>Alemania</t>
        </is>
      </c>
      <c r="B371" t="inlineStr">
        <is>
          <t>Duisburgo</t>
        </is>
      </c>
      <c r="C371" t="inlineStr">
        <is>
          <t>España</t>
        </is>
      </c>
      <c r="D371" t="inlineStr">
        <is>
          <t>Málaga</t>
        </is>
      </c>
      <c r="E371" t="inlineStr">
        <is>
          <t>2026-02-20</t>
        </is>
      </c>
      <c r="F371" t="inlineStr">
        <is>
          <t>2026-02-27</t>
        </is>
      </c>
      <c r="G371" t="inlineStr">
        <is>
          <t xml:space="preserve"> - Road House</t>
        </is>
      </c>
      <c r="H371">
        <f>HYPERLINK("https://booking.roadsurfer.com/es/rally/pick?pickup_date=2026-02-20&amp;return_date=2026-02-27&amp;currency=EUR&amp;startStation=113&amp;endStation=21", "Clic para verlo en la web de RoadSurfer")</f>
        <v/>
      </c>
    </row>
    <row r="372">
      <c r="A372" t="inlineStr">
        <is>
          <t>Alemania</t>
        </is>
      </c>
      <c r="B372" t="inlineStr">
        <is>
          <t>Duisburgo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2026-03-14</t>
        </is>
      </c>
      <c r="F372" t="inlineStr">
        <is>
          <t>2026-03-21</t>
        </is>
      </c>
      <c r="G372" t="inlineStr">
        <is>
          <t xml:space="preserve"> - Family Finca</t>
        </is>
      </c>
      <c r="H372">
        <f>HYPERLINK("https://booking.roadsurfer.com/es/rally/pick?pickup_date=2026-03-14&amp;return_date=2026-03-21&amp;currency=EUR&amp;startStation=113&amp;endStation=77", "Clic para verlo en la web de RoadSurfer")</f>
        <v/>
      </c>
    </row>
    <row r="373">
      <c r="A373" t="inlineStr">
        <is>
          <t>Alemania</t>
        </is>
      </c>
      <c r="B373" t="inlineStr">
        <is>
          <t>Duisburgo</t>
        </is>
      </c>
      <c r="C373" t="inlineStr">
        <is>
          <t>Francia</t>
        </is>
      </c>
      <c r="D373" t="inlineStr">
        <is>
          <t>Burdeos</t>
        </is>
      </c>
      <c r="E373" t="inlineStr">
        <is>
          <t>2026-03-06</t>
        </is>
      </c>
      <c r="F373" t="inlineStr">
        <is>
          <t>2026-03-13</t>
        </is>
      </c>
      <c r="G373" t="inlineStr">
        <is>
          <t xml:space="preserve"> - Family Finca</t>
        </is>
      </c>
      <c r="H373">
        <f>HYPERLINK("https://booking.roadsurfer.com/es/rally/pick?pickup_date=2026-03-06&amp;return_date=2026-03-13&amp;currency=EUR&amp;startStation=113&amp;endStation=13", "Clic para verlo en la web de RoadSurfer")</f>
        <v/>
      </c>
    </row>
    <row r="374">
      <c r="A374" t="inlineStr">
        <is>
          <t>Alemania</t>
        </is>
      </c>
      <c r="B374" t="inlineStr">
        <is>
          <t>Erfurt</t>
        </is>
      </c>
      <c r="C374" t="inlineStr">
        <is>
          <t>Países Bajos</t>
        </is>
      </c>
      <c r="D374" t="inlineStr">
        <is>
          <t>Ámsterdam</t>
        </is>
      </c>
      <c r="E374" t="inlineStr">
        <is>
          <t>2026-03-19</t>
        </is>
      </c>
      <c r="F374" t="inlineStr">
        <is>
          <t>2026-03-26</t>
        </is>
      </c>
      <c r="G374" t="inlineStr">
        <is>
          <t xml:space="preserve"> - Family Finca</t>
        </is>
      </c>
      <c r="H374">
        <f>HYPERLINK("https://booking.roadsurfer.com/es/rally/pick?pickup_date=2026-03-19&amp;return_date=2026-03-26&amp;currency=EUR&amp;startStation=90&amp;endStation=32", "Clic para verlo en la web de RoadSurfer")</f>
        <v/>
      </c>
    </row>
    <row r="375">
      <c r="A375" t="inlineStr">
        <is>
          <t>Alemania</t>
        </is>
      </c>
      <c r="B375" t="inlineStr">
        <is>
          <t>Erfurt</t>
        </is>
      </c>
      <c r="C375" t="inlineStr">
        <is>
          <t>Bélgica</t>
        </is>
      </c>
      <c r="D375" t="inlineStr">
        <is>
          <t>Bruselas</t>
        </is>
      </c>
      <c r="E375" t="inlineStr">
        <is>
          <t>2026-02-27</t>
        </is>
      </c>
      <c r="F375" t="inlineStr">
        <is>
          <t>2026-03-06</t>
        </is>
      </c>
      <c r="G375" t="inlineStr">
        <is>
          <t xml:space="preserve"> - Surfer Suite</t>
        </is>
      </c>
      <c r="H375">
        <f>HYPERLINK("https://booking.roadsurfer.com/es/rally/pick?pickup_date=2026-02-27&amp;return_date=2026-03-06&amp;currency=EUR&amp;startStation=90&amp;endStation=42", "Clic para verlo en la web de RoadSurfer")</f>
        <v/>
      </c>
    </row>
    <row r="376">
      <c r="A376" t="inlineStr">
        <is>
          <t>Alemania</t>
        </is>
      </c>
      <c r="B376" t="inlineStr">
        <is>
          <t>Erfurt</t>
        </is>
      </c>
      <c r="C376" t="inlineStr">
        <is>
          <t>Bélgica</t>
        </is>
      </c>
      <c r="D376" t="inlineStr">
        <is>
          <t>Bruselas</t>
        </is>
      </c>
      <c r="E376" t="inlineStr">
        <is>
          <t>2026-03-04</t>
        </is>
      </c>
      <c r="F376" t="inlineStr">
        <is>
          <t>2026-03-11</t>
        </is>
      </c>
      <c r="G376" t="inlineStr">
        <is>
          <t xml:space="preserve"> - Surfer Suite</t>
        </is>
      </c>
      <c r="H376">
        <f>HYPERLINK("https://booking.roadsurfer.com/es/rally/pick?pickup_date=2026-03-04&amp;return_date=2026-03-11&amp;currency=EUR&amp;startStation=90&amp;endStation=42", "Clic para verlo en la web de RoadSurfer")</f>
        <v/>
      </c>
    </row>
    <row r="377">
      <c r="A377" t="inlineStr">
        <is>
          <t>Alemania</t>
        </is>
      </c>
      <c r="B377" t="inlineStr">
        <is>
          <t>Erfurt</t>
        </is>
      </c>
      <c r="C377" t="inlineStr">
        <is>
          <t>Bélgica</t>
        </is>
      </c>
      <c r="D377" t="inlineStr">
        <is>
          <t>Amberes</t>
        </is>
      </c>
      <c r="E377" t="inlineStr">
        <is>
          <t>2026-03-23</t>
        </is>
      </c>
      <c r="F377" t="inlineStr">
        <is>
          <t>2026-03-30</t>
        </is>
      </c>
      <c r="G377" t="inlineStr">
        <is>
          <t xml:space="preserve"> - Road House</t>
        </is>
      </c>
      <c r="H377">
        <f>HYPERLINK("https://booking.roadsurfer.com/es/rally/pick?pickup_date=2026-03-23&amp;return_date=2026-03-30&amp;currency=EUR&amp;startStation=90&amp;endStation=47", "Clic para verlo en la web de RoadSurfer")</f>
        <v/>
      </c>
    </row>
    <row r="378">
      <c r="A378" t="inlineStr">
        <is>
          <t>Alemania</t>
        </is>
      </c>
      <c r="B378" t="inlineStr">
        <is>
          <t>Erfurt</t>
        </is>
      </c>
      <c r="C378" t="inlineStr">
        <is>
          <t>Bélgica</t>
        </is>
      </c>
      <c r="D378" t="inlineStr">
        <is>
          <t>Amberes</t>
        </is>
      </c>
      <c r="E378" t="inlineStr">
        <is>
          <t>2026-03-18</t>
        </is>
      </c>
      <c r="F378" t="inlineStr">
        <is>
          <t>2026-03-25</t>
        </is>
      </c>
      <c r="G378" t="inlineStr">
        <is>
          <t xml:space="preserve"> - Family Finca</t>
        </is>
      </c>
      <c r="H378">
        <f>HYPERLINK("https://booking.roadsurfer.com/es/rally/pick?pickup_date=2026-03-18&amp;return_date=2026-03-25&amp;currency=EUR&amp;startStation=90&amp;endStation=47", "Clic para verlo en la web de RoadSurfer")</f>
        <v/>
      </c>
    </row>
    <row r="379">
      <c r="A379" t="inlineStr">
        <is>
          <t>Alemania</t>
        </is>
      </c>
      <c r="B379" t="inlineStr">
        <is>
          <t>Erfurt</t>
        </is>
      </c>
      <c r="C379" t="inlineStr">
        <is>
          <t>Bélgica</t>
        </is>
      </c>
      <c r="D379" t="inlineStr">
        <is>
          <t>Amberes</t>
        </is>
      </c>
      <c r="E379" t="inlineStr">
        <is>
          <t>2026-03-16</t>
        </is>
      </c>
      <c r="F379" t="inlineStr">
        <is>
          <t>2026-03-23</t>
        </is>
      </c>
      <c r="G379" t="inlineStr">
        <is>
          <t xml:space="preserve"> - Surfer Suite</t>
        </is>
      </c>
      <c r="H379">
        <f>HYPERLINK("https://booking.roadsurfer.com/es/rally/pick?pickup_date=2026-03-16&amp;return_date=2026-03-23&amp;currency=EUR&amp;startStation=90&amp;endStation=47", "Clic para verlo en la web de RoadSurfer")</f>
        <v/>
      </c>
    </row>
    <row r="380">
      <c r="A380" t="inlineStr">
        <is>
          <t>Alemania</t>
        </is>
      </c>
      <c r="B380" t="inlineStr">
        <is>
          <t>Erfurt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2026-03-04</t>
        </is>
      </c>
      <c r="F380" t="inlineStr">
        <is>
          <t>2026-03-11</t>
        </is>
      </c>
      <c r="G380" t="inlineStr">
        <is>
          <t xml:space="preserve"> - Road House</t>
        </is>
      </c>
      <c r="H380">
        <f>HYPERLINK("https://booking.roadsurfer.com/es/rally/pick?pickup_date=2026-03-04&amp;return_date=2026-03-11&amp;currency=EUR&amp;startStation=90&amp;endStation=29", "Clic para verlo en la web de RoadSurfer")</f>
        <v/>
      </c>
    </row>
    <row r="381">
      <c r="A381" t="inlineStr">
        <is>
          <t>Alemania</t>
        </is>
      </c>
      <c r="B381" t="inlineStr">
        <is>
          <t>Erfurt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2026-03-12</t>
        </is>
      </c>
      <c r="F381" t="inlineStr">
        <is>
          <t>2026-03-19</t>
        </is>
      </c>
      <c r="G381" t="inlineStr">
        <is>
          <t xml:space="preserve"> - No hay coche</t>
        </is>
      </c>
      <c r="H381">
        <f>HYPERLINK("https://booking.roadsurfer.com/es/rally/pick?pickup_date=2026-03-12&amp;return_date=2026-03-19&amp;currency=EUR&amp;startStation=90&amp;endStation=29", "Clic para verlo en la web de RoadSurfer")</f>
        <v/>
      </c>
    </row>
    <row r="382">
      <c r="A382" t="inlineStr">
        <is>
          <t>Alemania</t>
        </is>
      </c>
      <c r="B382" t="inlineStr">
        <is>
          <t>Erfurt</t>
        </is>
      </c>
      <c r="C382" t="inlineStr">
        <is>
          <t>Francia</t>
        </is>
      </c>
      <c r="D382" t="inlineStr">
        <is>
          <t>París Sur (Orly)</t>
        </is>
      </c>
      <c r="E382" t="inlineStr">
        <is>
          <t>2026-03-16</t>
        </is>
      </c>
      <c r="F382" t="inlineStr">
        <is>
          <t>2026-03-23</t>
        </is>
      </c>
      <c r="G382" t="inlineStr">
        <is>
          <t xml:space="preserve"> - Road House</t>
        </is>
      </c>
      <c r="H382">
        <f>HYPERLINK("https://booking.roadsurfer.com/es/rally/pick?pickup_date=2026-03-16&amp;return_date=2026-03-23&amp;currency=EUR&amp;startStation=90&amp;endStation=12", "Clic para verlo en la web de RoadSurfer")</f>
        <v/>
      </c>
    </row>
    <row r="383">
      <c r="A383" t="inlineStr">
        <is>
          <t>Alemania</t>
        </is>
      </c>
      <c r="B383" t="inlineStr">
        <is>
          <t>Erfurt</t>
        </is>
      </c>
      <c r="C383" t="inlineStr">
        <is>
          <t>Francia</t>
        </is>
      </c>
      <c r="D383" t="inlineStr">
        <is>
          <t>París Sur (Orly)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No hay coche</t>
        </is>
      </c>
      <c r="H383">
        <f>HYPERLINK("https://booking.roadsurfer.com/es/rally/pick?pickup_date=2026-03-23&amp;return_date=2026-03-30&amp;currency=EUR&amp;startStation=90&amp;endStation=12", "Clic para verlo en la web de RoadSurfer")</f>
        <v/>
      </c>
    </row>
    <row r="384">
      <c r="A384" t="inlineStr">
        <is>
          <t>Alemania</t>
        </is>
      </c>
      <c r="B384" t="inlineStr">
        <is>
          <t>Erfurt</t>
        </is>
      </c>
      <c r="C384" t="inlineStr">
        <is>
          <t>Francia</t>
        </is>
      </c>
      <c r="D384" t="inlineStr">
        <is>
          <t>París Sur (Orly)</t>
        </is>
      </c>
      <c r="E384" t="inlineStr">
        <is>
          <t>2026-02-24</t>
        </is>
      </c>
      <c r="F384" t="inlineStr">
        <is>
          <t>2026-03-03</t>
        </is>
      </c>
      <c r="G384" t="inlineStr">
        <is>
          <t xml:space="preserve"> - Road House</t>
        </is>
      </c>
      <c r="H384">
        <f>HYPERLINK("https://booking.roadsurfer.com/es/rally/pick?pickup_date=2026-02-24&amp;return_date=2026-03-03&amp;currency=EUR&amp;startStation=90&amp;endStation=12", "Clic para verlo en la web de RoadSurfer")</f>
        <v/>
      </c>
    </row>
    <row r="385">
      <c r="A385" t="inlineStr">
        <is>
          <t>Alemania</t>
        </is>
      </c>
      <c r="B385" t="inlineStr">
        <is>
          <t>Erfurt</t>
        </is>
      </c>
      <c r="C385" t="inlineStr">
        <is>
          <t>Austria</t>
        </is>
      </c>
      <c r="D385" t="inlineStr">
        <is>
          <t>Viena</t>
        </is>
      </c>
      <c r="E385" t="inlineStr">
        <is>
          <t>2026-03-16</t>
        </is>
      </c>
      <c r="F385" t="inlineStr">
        <is>
          <t>2026-03-23</t>
        </is>
      </c>
      <c r="G385" t="inlineStr">
        <is>
          <t xml:space="preserve"> - Beach Hostel</t>
        </is>
      </c>
      <c r="H385">
        <f>HYPERLINK("https://booking.roadsurfer.com/es/rally/pick?pickup_date=2026-03-16&amp;return_date=2026-03-23&amp;currency=EUR&amp;startStation=90&amp;endStation=36", "Clic para verlo en la web de RoadSurfer")</f>
        <v/>
      </c>
    </row>
    <row r="386">
      <c r="A386" t="inlineStr">
        <is>
          <t>Alemania</t>
        </is>
      </c>
      <c r="B386" t="inlineStr">
        <is>
          <t>Erfurt</t>
        </is>
      </c>
      <c r="C386" t="inlineStr">
        <is>
          <t>Austria</t>
        </is>
      </c>
      <c r="D386" t="inlineStr">
        <is>
          <t>Viena</t>
        </is>
      </c>
      <c r="E386" t="inlineStr">
        <is>
          <t>2026-03-13</t>
        </is>
      </c>
      <c r="F386" t="inlineStr">
        <is>
          <t>2026-03-20</t>
        </is>
      </c>
      <c r="G386" t="inlineStr">
        <is>
          <t xml:space="preserve"> - Surfer Suite</t>
        </is>
      </c>
      <c r="H386">
        <f>HYPERLINK("https://booking.roadsurfer.com/es/rally/pick?pickup_date=2026-03-13&amp;return_date=2026-03-20&amp;currency=EUR&amp;startStation=90&amp;endStation=36", "Clic para verlo en la web de RoadSurfer")</f>
        <v/>
      </c>
    </row>
    <row r="387">
      <c r="A387" t="inlineStr">
        <is>
          <t>Alemania</t>
        </is>
      </c>
      <c r="B387" t="inlineStr">
        <is>
          <t>Erfurt</t>
        </is>
      </c>
      <c r="C387" t="inlineStr">
        <is>
          <t>Italia</t>
        </is>
      </c>
      <c r="D387" t="inlineStr">
        <is>
          <t>Milán</t>
        </is>
      </c>
      <c r="E387" t="inlineStr">
        <is>
          <t>2026-03-12</t>
        </is>
      </c>
      <c r="F387" t="inlineStr">
        <is>
          <t>2026-03-19</t>
        </is>
      </c>
      <c r="G387" t="inlineStr">
        <is>
          <t xml:space="preserve"> - No hay coche</t>
        </is>
      </c>
      <c r="H387">
        <f>HYPERLINK("https://booking.roadsurfer.com/es/rally/pick?pickup_date=2026-03-12&amp;return_date=2026-03-19&amp;currency=EUR&amp;startStation=90&amp;endStation=34", "Clic para verlo en la web de RoadSurfer")</f>
        <v/>
      </c>
    </row>
    <row r="388">
      <c r="A388" t="inlineStr">
        <is>
          <t>Alemania</t>
        </is>
      </c>
      <c r="B388" t="inlineStr">
        <is>
          <t>Erfurt</t>
        </is>
      </c>
      <c r="C388" t="inlineStr">
        <is>
          <t>Italia</t>
        </is>
      </c>
      <c r="D388" t="inlineStr">
        <is>
          <t>Milán</t>
        </is>
      </c>
      <c r="E388" t="inlineStr">
        <is>
          <t>2026-03-13</t>
        </is>
      </c>
      <c r="F388" t="inlineStr">
        <is>
          <t>2026-03-20</t>
        </is>
      </c>
      <c r="G388" t="inlineStr">
        <is>
          <t xml:space="preserve"> - Family Finca</t>
        </is>
      </c>
      <c r="H388">
        <f>HYPERLINK("https://booking.roadsurfer.com/es/rally/pick?pickup_date=2026-03-13&amp;return_date=2026-03-20&amp;currency=EUR&amp;startStation=90&amp;endStation=34", "Clic para verlo en la web de RoadSurfer")</f>
        <v/>
      </c>
    </row>
    <row r="389">
      <c r="A389" t="inlineStr">
        <is>
          <t>Alemania</t>
        </is>
      </c>
      <c r="B389" t="inlineStr">
        <is>
          <t>Erfurt</t>
        </is>
      </c>
      <c r="C389" t="inlineStr">
        <is>
          <t>Italia</t>
        </is>
      </c>
      <c r="D389" t="inlineStr">
        <is>
          <t>Milán</t>
        </is>
      </c>
      <c r="E389" t="inlineStr">
        <is>
          <t>2026-03-14</t>
        </is>
      </c>
      <c r="F389" t="inlineStr">
        <is>
          <t>2026-03-21</t>
        </is>
      </c>
      <c r="G389" t="inlineStr">
        <is>
          <t xml:space="preserve"> - Couple Cottage</t>
        </is>
      </c>
      <c r="H389">
        <f>HYPERLINK("https://booking.roadsurfer.com/es/rally/pick?pickup_date=2026-03-14&amp;return_date=2026-03-21&amp;currency=EUR&amp;startStation=90&amp;endStation=34", "Clic para verlo en la web de RoadSurfer")</f>
        <v/>
      </c>
    </row>
    <row r="390">
      <c r="A390" t="inlineStr">
        <is>
          <t>Alemania</t>
        </is>
      </c>
      <c r="B390" t="inlineStr">
        <is>
          <t>Erfurt</t>
        </is>
      </c>
      <c r="C390" t="inlineStr">
        <is>
          <t>Austria</t>
        </is>
      </c>
      <c r="D390" t="inlineStr">
        <is>
          <t>Graz</t>
        </is>
      </c>
      <c r="E390" t="inlineStr">
        <is>
          <t>2026-03-14</t>
        </is>
      </c>
      <c r="F390" t="inlineStr">
        <is>
          <t>2026-03-21</t>
        </is>
      </c>
      <c r="G390" t="inlineStr">
        <is>
          <t xml:space="preserve"> - Surfer Suite</t>
        </is>
      </c>
      <c r="H390">
        <f>HYPERLINK("https://booking.roadsurfer.com/es/rally/pick?pickup_date=2026-03-14&amp;return_date=2026-03-21&amp;currency=EUR&amp;startStation=90&amp;endStation=37", "Clic para verlo en la web de RoadSurfer")</f>
        <v/>
      </c>
    </row>
    <row r="391">
      <c r="A391" t="inlineStr">
        <is>
          <t>Alemania</t>
        </is>
      </c>
      <c r="B391" t="inlineStr">
        <is>
          <t>Erfurt</t>
        </is>
      </c>
      <c r="C391" t="inlineStr">
        <is>
          <t>Austria</t>
        </is>
      </c>
      <c r="D391" t="inlineStr">
        <is>
          <t>Graz</t>
        </is>
      </c>
      <c r="E391" t="inlineStr">
        <is>
          <t>2026-03-17</t>
        </is>
      </c>
      <c r="F391" t="inlineStr">
        <is>
          <t>2026-03-24</t>
        </is>
      </c>
      <c r="G391" t="inlineStr">
        <is>
          <t xml:space="preserve"> - Surfer Suite</t>
        </is>
      </c>
      <c r="H391">
        <f>HYPERLINK("https://booking.roadsurfer.com/es/rally/pick?pickup_date=2026-03-17&amp;return_date=2026-03-24&amp;currency=EUR&amp;startStation=90&amp;endStation=37", "Clic para verlo en la web de RoadSurfer")</f>
        <v/>
      </c>
    </row>
    <row r="392">
      <c r="A392" t="inlineStr">
        <is>
          <t>Alemania</t>
        </is>
      </c>
      <c r="B392" t="inlineStr">
        <is>
          <t>Erfurt</t>
        </is>
      </c>
      <c r="C392" t="inlineStr">
        <is>
          <t>Austria</t>
        </is>
      </c>
      <c r="D392" t="inlineStr">
        <is>
          <t>Graz</t>
        </is>
      </c>
      <c r="E392" t="inlineStr">
        <is>
          <t>2026-03-26</t>
        </is>
      </c>
      <c r="F392" t="inlineStr">
        <is>
          <t>2026-04-02</t>
        </is>
      </c>
      <c r="G392" t="inlineStr">
        <is>
          <t xml:space="preserve"> - Surfer Suite</t>
        </is>
      </c>
      <c r="H392">
        <f>HYPERLINK("https://booking.roadsurfer.com/es/rally/pick?pickup_date=2026-03-26&amp;return_date=2026-04-02&amp;currency=EUR&amp;startStation=90&amp;endStation=37", "Clic para verlo en la web de RoadSurfer")</f>
        <v/>
      </c>
    </row>
    <row r="393">
      <c r="A393" t="inlineStr">
        <is>
          <t>Alemania</t>
        </is>
      </c>
      <c r="B393" t="inlineStr">
        <is>
          <t>Erfurt</t>
        </is>
      </c>
      <c r="C393" t="inlineStr">
        <is>
          <t>Francia</t>
        </is>
      </c>
      <c r="D393" t="inlineStr">
        <is>
          <t>París Aeropuerto CDG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Surfer Suite - Beach Hostel</t>
        </is>
      </c>
      <c r="H393">
        <f>HYPERLINK("https://booking.roadsurfer.com/es/rally/pick?pickup_date=2026-03-16&amp;return_date=2026-03-23&amp;currency=EUR&amp;startStation=90&amp;endStation=48", "Clic para verlo en la web de RoadSurfer")</f>
        <v/>
      </c>
    </row>
    <row r="394">
      <c r="A394" t="inlineStr">
        <is>
          <t>Alemania</t>
        </is>
      </c>
      <c r="B394" t="inlineStr">
        <is>
          <t>Erfurt</t>
        </is>
      </c>
      <c r="C394" t="inlineStr">
        <is>
          <t>Francia</t>
        </is>
      </c>
      <c r="D394" t="inlineStr">
        <is>
          <t>París Aeropuerto CDG</t>
        </is>
      </c>
      <c r="E394" t="inlineStr">
        <is>
          <t>2026-03-29</t>
        </is>
      </c>
      <c r="F394" t="inlineStr">
        <is>
          <t>2026-04-05</t>
        </is>
      </c>
      <c r="G394" t="inlineStr">
        <is>
          <t xml:space="preserve"> - No hay coche</t>
        </is>
      </c>
      <c r="H394">
        <f>HYPERLINK("https://booking.roadsurfer.com/es/rally/pick?pickup_date=2026-03-29&amp;return_date=2026-04-05&amp;currency=EUR&amp;startStation=90&amp;endStation=48", "Clic para verlo en la web de RoadSurfer")</f>
        <v/>
      </c>
    </row>
    <row r="395">
      <c r="A395" t="inlineStr">
        <is>
          <t>Alemania</t>
        </is>
      </c>
      <c r="B395" t="inlineStr">
        <is>
          <t>Erfurt</t>
        </is>
      </c>
      <c r="C395" t="inlineStr">
        <is>
          <t>España</t>
        </is>
      </c>
      <c r="D395" t="inlineStr">
        <is>
          <t>Madrid</t>
        </is>
      </c>
      <c r="E395" t="inlineStr">
        <is>
          <t>2026-03-19</t>
        </is>
      </c>
      <c r="F395" t="inlineStr">
        <is>
          <t>2026-03-26</t>
        </is>
      </c>
      <c r="G395" t="inlineStr">
        <is>
          <t xml:space="preserve"> - Camper Castle</t>
        </is>
      </c>
      <c r="H395">
        <f>HYPERLINK("https://booking.roadsurfer.com/es/rally/pick?pickup_date=2026-03-19&amp;return_date=2026-03-26&amp;currency=EUR&amp;startStation=90&amp;endStation=20", "Clic para verlo en la web de RoadSurfer")</f>
        <v/>
      </c>
    </row>
    <row r="396">
      <c r="A396" t="inlineStr">
        <is>
          <t>Alemania</t>
        </is>
      </c>
      <c r="B396" t="inlineStr">
        <is>
          <t>Erfurt</t>
        </is>
      </c>
      <c r="C396" t="inlineStr">
        <is>
          <t>Austria</t>
        </is>
      </c>
      <c r="D396" t="inlineStr">
        <is>
          <t>Viena Sur</t>
        </is>
      </c>
      <c r="E396" t="inlineStr">
        <is>
          <t>2026-02-27</t>
        </is>
      </c>
      <c r="F396" t="inlineStr">
        <is>
          <t>2026-03-06</t>
        </is>
      </c>
      <c r="G396" t="inlineStr">
        <is>
          <t xml:space="preserve"> - Camper Cabin</t>
        </is>
      </c>
      <c r="H396">
        <f>HYPERLINK("https://booking.roadsurfer.com/es/rally/pick?pickup_date=2026-02-27&amp;return_date=2026-03-06&amp;currency=EUR&amp;startStation=90&amp;endStation=45", "Clic para verlo en la web de RoadSurfer")</f>
        <v/>
      </c>
    </row>
    <row r="397">
      <c r="A397" t="inlineStr">
        <is>
          <t>Italia</t>
        </is>
      </c>
      <c r="B397" t="inlineStr">
        <is>
          <t>Florencia</t>
        </is>
      </c>
      <c r="C397" t="inlineStr">
        <is>
          <t>Alemania</t>
        </is>
      </c>
      <c r="D397" t="inlineStr">
        <is>
          <t>Colonia-Bonn</t>
        </is>
      </c>
      <c r="E397" t="inlineStr">
        <is>
          <t>2026-03-02</t>
        </is>
      </c>
      <c r="F397" t="inlineStr">
        <is>
          <t>2026-03-09</t>
        </is>
      </c>
      <c r="G397" t="inlineStr">
        <is>
          <t xml:space="preserve"> - Sunrise Suite</t>
        </is>
      </c>
      <c r="H397">
        <f>HYPERLINK("https://booking.roadsurfer.com/es/rally/pick?pickup_date=2026-03-02&amp;return_date=2026-03-09&amp;currency=EUR&amp;startStation=80&amp;endStation=52", "Clic para verlo en la web de RoadSurfer")</f>
        <v/>
      </c>
    </row>
    <row r="398">
      <c r="A398" t="inlineStr">
        <is>
          <t>Italia</t>
        </is>
      </c>
      <c r="B398" t="inlineStr">
        <is>
          <t>Florencia</t>
        </is>
      </c>
      <c r="C398" t="inlineStr">
        <is>
          <t>Alemania</t>
        </is>
      </c>
      <c r="D398" t="inlineStr">
        <is>
          <t>Augsburgo</t>
        </is>
      </c>
      <c r="E398" t="inlineStr">
        <is>
          <t>2026-03-07</t>
        </is>
      </c>
      <c r="F398" t="inlineStr">
        <is>
          <t>2026-03-14</t>
        </is>
      </c>
      <c r="G398" t="inlineStr">
        <is>
          <t xml:space="preserve"> - Road House</t>
        </is>
      </c>
      <c r="H398">
        <f>HYPERLINK("https://booking.roadsurfer.com/es/rally/pick?pickup_date=2026-03-07&amp;return_date=2026-03-14&amp;currency=EUR&amp;startStation=80&amp;endStation=108", "Clic para verlo en la web de RoadSurfer")</f>
        <v/>
      </c>
    </row>
    <row r="399">
      <c r="A399" t="inlineStr">
        <is>
          <t>Italia</t>
        </is>
      </c>
      <c r="B399" t="inlineStr">
        <is>
          <t>Florencia</t>
        </is>
      </c>
      <c r="C399" t="inlineStr">
        <is>
          <t>Alemania</t>
        </is>
      </c>
      <c r="D399" t="inlineStr">
        <is>
          <t>Múnich</t>
        </is>
      </c>
      <c r="E399" t="inlineStr">
        <is>
          <t>2026-03-17</t>
        </is>
      </c>
      <c r="F399" t="inlineStr">
        <is>
          <t>2026-03-24</t>
        </is>
      </c>
      <c r="G399" t="inlineStr">
        <is>
          <t xml:space="preserve"> - Surfer Suite</t>
        </is>
      </c>
      <c r="H399">
        <f>HYPERLINK("https://booking.roadsurfer.com/es/rally/pick?pickup_date=2026-03-17&amp;return_date=2026-03-24&amp;currency=EUR&amp;startStation=80&amp;endStation=1", "Clic para verlo en la web de RoadSurfer")</f>
        <v/>
      </c>
    </row>
    <row r="400">
      <c r="A400" t="inlineStr">
        <is>
          <t>Italia</t>
        </is>
      </c>
      <c r="B400" t="inlineStr">
        <is>
          <t>Florencia</t>
        </is>
      </c>
      <c r="C400" t="inlineStr">
        <is>
          <t>Alemania</t>
        </is>
      </c>
      <c r="D400" t="inlineStr">
        <is>
          <t>Múnich</t>
        </is>
      </c>
      <c r="E400" t="inlineStr">
        <is>
          <t>2026-03-16</t>
        </is>
      </c>
      <c r="F400" t="inlineStr">
        <is>
          <t>2026-03-23</t>
        </is>
      </c>
      <c r="G400" t="inlineStr">
        <is>
          <t xml:space="preserve"> - Beach Hostel</t>
        </is>
      </c>
      <c r="H400">
        <f>HYPERLINK("https://booking.roadsurfer.com/es/rally/pick?pickup_date=2026-03-16&amp;return_date=2026-03-23&amp;currency=EUR&amp;startStation=80&amp;endStation=1", "Clic para verlo en la web de RoadSurfer")</f>
        <v/>
      </c>
    </row>
    <row r="401">
      <c r="A401" t="inlineStr">
        <is>
          <t>Italia</t>
        </is>
      </c>
      <c r="B401" t="inlineStr">
        <is>
          <t>Florencia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2026-03-13</t>
        </is>
      </c>
      <c r="F401" t="inlineStr">
        <is>
          <t>2026-03-20</t>
        </is>
      </c>
      <c r="G401" t="inlineStr">
        <is>
          <t xml:space="preserve"> - Road House</t>
        </is>
      </c>
      <c r="H401">
        <f>HYPERLINK("https://booking.roadsurfer.com/es/rally/pick?pickup_date=2026-03-13&amp;return_date=2026-03-20&amp;currency=EUR&amp;startStation=80&amp;endStation=22", "Clic para verlo en la web de RoadSurfer")</f>
        <v/>
      </c>
    </row>
    <row r="402">
      <c r="A402" t="inlineStr">
        <is>
          <t>Italia</t>
        </is>
      </c>
      <c r="B402" t="inlineStr">
        <is>
          <t>Florencia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2026-03-14</t>
        </is>
      </c>
      <c r="F402" t="inlineStr">
        <is>
          <t>2026-03-21</t>
        </is>
      </c>
      <c r="G402" t="inlineStr">
        <is>
          <t xml:space="preserve"> - No hay coche</t>
        </is>
      </c>
      <c r="H402">
        <f>HYPERLINK("https://booking.roadsurfer.com/es/rally/pick?pickup_date=2026-03-14&amp;return_date=2026-03-21&amp;currency=EUR&amp;startStation=80&amp;endStation=22", "Clic para verlo en la web de RoadSurfer")</f>
        <v/>
      </c>
    </row>
    <row r="403">
      <c r="A403" t="inlineStr">
        <is>
          <t>Italia</t>
        </is>
      </c>
      <c r="B403" t="inlineStr">
        <is>
          <t>Florencia</t>
        </is>
      </c>
      <c r="C403" t="inlineStr">
        <is>
          <t>Alemania</t>
        </is>
      </c>
      <c r="D403" t="inlineStr">
        <is>
          <t>Fráncfort</t>
        </is>
      </c>
      <c r="E403" t="inlineStr">
        <is>
          <t>2026-03-19</t>
        </is>
      </c>
      <c r="F403" t="inlineStr">
        <is>
          <t>2026-03-26</t>
        </is>
      </c>
      <c r="G403" t="inlineStr">
        <is>
          <t xml:space="preserve"> - Surfer Suite</t>
        </is>
      </c>
      <c r="H403">
        <f>HYPERLINK("https://booking.roadsurfer.com/es/rally/pick?pickup_date=2026-03-19&amp;return_date=2026-03-26&amp;currency=EUR&amp;startStation=80&amp;endStation=2", "Clic para verlo en la web de RoadSurfer")</f>
        <v/>
      </c>
    </row>
    <row r="404">
      <c r="A404" t="inlineStr">
        <is>
          <t>Italia</t>
        </is>
      </c>
      <c r="B404" t="inlineStr">
        <is>
          <t>Florencia</t>
        </is>
      </c>
      <c r="C404" t="inlineStr">
        <is>
          <t>Alemania</t>
        </is>
      </c>
      <c r="D404" t="inlineStr">
        <is>
          <t>Bochum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Surfer Suite</t>
        </is>
      </c>
      <c r="H404">
        <f>HYPERLINK("https://booking.roadsurfer.com/es/rally/pick?pickup_date=2026-03-19&amp;return_date=2026-03-26&amp;currency=EUR&amp;startStation=80&amp;endStation=24", "Clic para verlo en la web de RoadSurfer")</f>
        <v/>
      </c>
    </row>
    <row r="405">
      <c r="A405" t="inlineStr">
        <is>
          <t>Alemania</t>
        </is>
      </c>
      <c r="B405" t="inlineStr">
        <is>
          <t>Fráncfort</t>
        </is>
      </c>
      <c r="C405" t="inlineStr">
        <is>
          <t>Alemania</t>
        </is>
      </c>
      <c r="D405" t="inlineStr">
        <is>
          <t>Braunschweig</t>
        </is>
      </c>
      <c r="E405" t="inlineStr">
        <is>
          <t>2026-03-09</t>
        </is>
      </c>
      <c r="F405" t="inlineStr">
        <is>
          <t>2026-03-16</t>
        </is>
      </c>
      <c r="G405" t="inlineStr">
        <is>
          <t xml:space="preserve"> - No hay coche</t>
        </is>
      </c>
      <c r="H405">
        <f>HYPERLINK("https://booking.roadsurfer.com/es/rally/pick?pickup_date=2026-03-09&amp;return_date=2026-03-16&amp;currency=EUR&amp;startStation=2&amp;endStation=128", "Clic para verlo en la web de RoadSurfer")</f>
        <v/>
      </c>
    </row>
    <row r="406">
      <c r="A406" t="inlineStr">
        <is>
          <t>Alemania</t>
        </is>
      </c>
      <c r="B406" t="inlineStr">
        <is>
          <t>Fráncfort</t>
        </is>
      </c>
      <c r="C406" t="inlineStr">
        <is>
          <t>Alemania</t>
        </is>
      </c>
      <c r="D406" t="inlineStr">
        <is>
          <t>Braunschweig</t>
        </is>
      </c>
      <c r="E406" t="inlineStr">
        <is>
          <t>2026-02-23</t>
        </is>
      </c>
      <c r="F406" t="inlineStr">
        <is>
          <t>2026-03-02</t>
        </is>
      </c>
      <c r="G406" t="inlineStr">
        <is>
          <t xml:space="preserve"> - No hay coche</t>
        </is>
      </c>
      <c r="H406">
        <f>HYPERLINK("https://booking.roadsurfer.com/es/rally/pick?pickup_date=2026-02-23&amp;return_date=2026-03-02&amp;currency=EUR&amp;startStation=2&amp;endStation=128", "Clic para verlo en la web de RoadSurfer")</f>
        <v/>
      </c>
    </row>
    <row r="407">
      <c r="A407" t="inlineStr">
        <is>
          <t>Alemania</t>
        </is>
      </c>
      <c r="B407" t="inlineStr">
        <is>
          <t>Fráncfort</t>
        </is>
      </c>
      <c r="C407" t="inlineStr">
        <is>
          <t>Alemania</t>
        </is>
      </c>
      <c r="D407" t="inlineStr">
        <is>
          <t>Braunschweig</t>
        </is>
      </c>
      <c r="E407" t="inlineStr">
        <is>
          <t>2026-03-23</t>
        </is>
      </c>
      <c r="F407" t="inlineStr">
        <is>
          <t>2026-03-30</t>
        </is>
      </c>
      <c r="G407" t="inlineStr">
        <is>
          <t xml:space="preserve"> - No hay coche</t>
        </is>
      </c>
      <c r="H407">
        <f>HYPERLINK("https://booking.roadsurfer.com/es/rally/pick?pickup_date=2026-03-23&amp;return_date=2026-03-30&amp;currency=EUR&amp;startStation=2&amp;endStation=128", "Clic para verlo en la web de RoadSurfer")</f>
        <v/>
      </c>
    </row>
    <row r="408">
      <c r="A408" t="inlineStr">
        <is>
          <t>Alemania</t>
        </is>
      </c>
      <c r="B408" t="inlineStr">
        <is>
          <t>Fráncfort</t>
        </is>
      </c>
      <c r="C408" t="inlineStr">
        <is>
          <t>Alemania</t>
        </is>
      </c>
      <c r="D408" t="inlineStr">
        <is>
          <t>Braunschweig</t>
        </is>
      </c>
      <c r="E408" t="inlineStr">
        <is>
          <t>2026-03-02</t>
        </is>
      </c>
      <c r="F408" t="inlineStr">
        <is>
          <t>2026-03-09</t>
        </is>
      </c>
      <c r="G408" t="inlineStr">
        <is>
          <t xml:space="preserve"> - No hay coche</t>
        </is>
      </c>
      <c r="H408">
        <f>HYPERLINK("https://booking.roadsurfer.com/es/rally/pick?pickup_date=2026-03-02&amp;return_date=2026-03-09&amp;currency=EUR&amp;startStation=2&amp;endStation=128", "Clic para verlo en la web de RoadSurfer")</f>
        <v/>
      </c>
    </row>
    <row r="409">
      <c r="A409" t="inlineStr">
        <is>
          <t>Alemania</t>
        </is>
      </c>
      <c r="B409" t="inlineStr">
        <is>
          <t>Fráncfort</t>
        </is>
      </c>
      <c r="C409" t="inlineStr">
        <is>
          <t>Alemania</t>
        </is>
      </c>
      <c r="D409" t="inlineStr">
        <is>
          <t>Braunschweig</t>
        </is>
      </c>
      <c r="E409" t="inlineStr">
        <is>
          <t>2026-03-11</t>
        </is>
      </c>
      <c r="F409" t="inlineStr">
        <is>
          <t>2026-03-18</t>
        </is>
      </c>
      <c r="G409" t="inlineStr">
        <is>
          <t xml:space="preserve"> - No hay coche</t>
        </is>
      </c>
      <c r="H409">
        <f>HYPERLINK("https://booking.roadsurfer.com/es/rally/pick?pickup_date=2026-03-11&amp;return_date=2026-03-18&amp;currency=EUR&amp;startStation=2&amp;endStation=128", "Clic para verlo en la web de RoadSurfer")</f>
        <v/>
      </c>
    </row>
    <row r="410">
      <c r="A410" t="inlineStr">
        <is>
          <t>Alemania</t>
        </is>
      </c>
      <c r="B410" t="inlineStr">
        <is>
          <t>Fráncfort</t>
        </is>
      </c>
      <c r="C410" t="inlineStr">
        <is>
          <t>España</t>
        </is>
      </c>
      <c r="D410" t="inlineStr">
        <is>
          <t>Bilbao</t>
        </is>
      </c>
      <c r="E410" t="inlineStr">
        <is>
          <t>2026-03-30</t>
        </is>
      </c>
      <c r="F410" t="inlineStr">
        <is>
          <t>2026-04-01</t>
        </is>
      </c>
      <c r="G410" t="inlineStr">
        <is>
          <t xml:space="preserve"> - Surfer Suite</t>
        </is>
      </c>
      <c r="H410">
        <f>HYPERLINK("https://booking.roadsurfer.com/es/rally/pick?pickup_date=2026-03-30&amp;return_date=2026-04-01&amp;currency=EUR&amp;startStation=2&amp;endStation=40", "Clic para verlo en la web de RoadSurfer")</f>
        <v/>
      </c>
    </row>
    <row r="411">
      <c r="A411" t="inlineStr">
        <is>
          <t>Alemania</t>
        </is>
      </c>
      <c r="B411" t="inlineStr">
        <is>
          <t>Fráncfort</t>
        </is>
      </c>
      <c r="C411" t="inlineStr">
        <is>
          <t>Alemania</t>
        </is>
      </c>
      <c r="D411" t="inlineStr">
        <is>
          <t>Duisburgo</t>
        </is>
      </c>
      <c r="E411" t="inlineStr">
        <is>
          <t>2026-04-02</t>
        </is>
      </c>
      <c r="F411" t="inlineStr">
        <is>
          <t>2026-04-09</t>
        </is>
      </c>
      <c r="G411" t="inlineStr">
        <is>
          <t xml:space="preserve"> - Surfer Suite</t>
        </is>
      </c>
      <c r="H411">
        <f>HYPERLINK("https://booking.roadsurfer.com/es/rally/pick?pickup_date=2026-04-02&amp;return_date=2026-04-09&amp;currency=EUR&amp;startStation=2&amp;endStation=113", "Clic para verlo en la web de RoadSurfer")</f>
        <v/>
      </c>
    </row>
    <row r="412">
      <c r="A412" t="inlineStr">
        <is>
          <t>Alemania</t>
        </is>
      </c>
      <c r="B412" t="inlineStr">
        <is>
          <t>Fráncfort</t>
        </is>
      </c>
      <c r="C412" t="inlineStr">
        <is>
          <t>Alemania</t>
        </is>
      </c>
      <c r="D412" t="inlineStr">
        <is>
          <t>Lindau-Wangen</t>
        </is>
      </c>
      <c r="E412" t="inlineStr">
        <is>
          <t>2026-03-20</t>
        </is>
      </c>
      <c r="F412" t="inlineStr">
        <is>
          <t>2026-03-27</t>
        </is>
      </c>
      <c r="G412" t="inlineStr">
        <is>
          <t xml:space="preserve"> - Surfer Suite</t>
        </is>
      </c>
      <c r="H412">
        <f>HYPERLINK("https://booking.roadsurfer.com/es/rally/pick?pickup_date=2026-03-20&amp;return_date=2026-03-27&amp;currency=EUR&amp;startStation=2&amp;endStation=117", "Clic para verlo en la web de RoadSurfer")</f>
        <v/>
      </c>
    </row>
    <row r="413">
      <c r="A413" t="inlineStr">
        <is>
          <t>Alemania</t>
        </is>
      </c>
      <c r="B413" t="inlineStr">
        <is>
          <t>Fráncfort</t>
        </is>
      </c>
      <c r="C413" t="inlineStr">
        <is>
          <t>Alemania</t>
        </is>
      </c>
      <c r="D413" t="inlineStr">
        <is>
          <t>Lindau-Wangen</t>
        </is>
      </c>
      <c r="E413" t="inlineStr">
        <is>
          <t>2026-03-05</t>
        </is>
      </c>
      <c r="F413" t="inlineStr">
        <is>
          <t>2026-03-12</t>
        </is>
      </c>
      <c r="G413" t="inlineStr">
        <is>
          <t xml:space="preserve"> - No hay coche</t>
        </is>
      </c>
      <c r="H413">
        <f>HYPERLINK("https://booking.roadsurfer.com/es/rally/pick?pickup_date=2026-03-05&amp;return_date=2026-03-12&amp;currency=EUR&amp;startStation=2&amp;endStation=117",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Francia</t>
        </is>
      </c>
      <c r="D414" t="inlineStr">
        <is>
          <t>Lyon</t>
        </is>
      </c>
      <c r="E414" t="inlineStr">
        <is>
          <t>2026-02-24</t>
        </is>
      </c>
      <c r="F414" t="inlineStr">
        <is>
          <t>2026-03-03</t>
        </is>
      </c>
      <c r="G414" t="inlineStr">
        <is>
          <t xml:space="preserve"> - Beach Hostel</t>
        </is>
      </c>
      <c r="H414">
        <f>HYPERLINK("https://booking.roadsurfer.com/es/rally/pick?pickup_date=2026-02-24&amp;return_date=2026-03-03&amp;currency=EUR&amp;startStation=2&amp;endStation=15", "Clic para verlo en la web de RoadSurfer")</f>
        <v/>
      </c>
    </row>
    <row r="415">
      <c r="A415" t="inlineStr">
        <is>
          <t>Alemania</t>
        </is>
      </c>
      <c r="B415" t="inlineStr">
        <is>
          <t>Fráncfort</t>
        </is>
      </c>
      <c r="C415" t="inlineStr">
        <is>
          <t>Alemania</t>
        </is>
      </c>
      <c r="D415" t="inlineStr">
        <is>
          <t>Kassel</t>
        </is>
      </c>
      <c r="E415" t="inlineStr">
        <is>
          <t>2026-03-19</t>
        </is>
      </c>
      <c r="F415" t="inlineStr">
        <is>
          <t>2026-03-26</t>
        </is>
      </c>
      <c r="G415" t="inlineStr">
        <is>
          <t xml:space="preserve"> - Camper Cabin</t>
        </is>
      </c>
      <c r="H415">
        <f>HYPERLINK("https://booking.roadsurfer.com/es/rally/pick?pickup_date=2026-03-19&amp;return_date=2026-03-26&amp;currency=EUR&amp;startStation=2&amp;endStation=92", "Clic para verlo en la web de RoadSurfer")</f>
        <v/>
      </c>
    </row>
    <row r="416">
      <c r="A416" t="inlineStr">
        <is>
          <t>Alemania</t>
        </is>
      </c>
      <c r="B416" t="inlineStr">
        <is>
          <t>Fráncfort</t>
        </is>
      </c>
      <c r="C416" t="inlineStr">
        <is>
          <t>Alemania</t>
        </is>
      </c>
      <c r="D416" t="inlineStr">
        <is>
          <t>Hamburgo Aeropuerto</t>
        </is>
      </c>
      <c r="E416" t="inlineStr">
        <is>
          <t>2026-03-16</t>
        </is>
      </c>
      <c r="F416" t="inlineStr">
        <is>
          <t>2026-03-23</t>
        </is>
      </c>
      <c r="G416" t="inlineStr">
        <is>
          <t xml:space="preserve"> - Camper Castle</t>
        </is>
      </c>
      <c r="H416">
        <f>HYPERLINK("https://booking.roadsurfer.com/es/rally/pick?pickup_date=2026-03-16&amp;return_date=2026-03-23&amp;currency=EUR&amp;startStation=2&amp;endStation=65", "Clic para verlo en la web de RoadSurfer")</f>
        <v/>
      </c>
    </row>
    <row r="417">
      <c r="A417" t="inlineStr">
        <is>
          <t>Alemania</t>
        </is>
      </c>
      <c r="B417" t="inlineStr">
        <is>
          <t>Fráncfort</t>
        </is>
      </c>
      <c r="C417" t="inlineStr">
        <is>
          <t>Alemania</t>
        </is>
      </c>
      <c r="D417" t="inlineStr">
        <is>
          <t>Hamburgo Aeropuerto</t>
        </is>
      </c>
      <c r="E417" t="inlineStr">
        <is>
          <t>2026-03-13</t>
        </is>
      </c>
      <c r="F417" t="inlineStr">
        <is>
          <t>2026-03-20</t>
        </is>
      </c>
      <c r="G417" t="inlineStr">
        <is>
          <t xml:space="preserve"> - Road House</t>
        </is>
      </c>
      <c r="H417">
        <f>HYPERLINK("https://booking.roadsurfer.com/es/rally/pick?pickup_date=2026-03-13&amp;return_date=2026-03-20&amp;currency=EUR&amp;startStation=2&amp;endStation=65", "Clic para verlo en la web de RoadSurfer")</f>
        <v/>
      </c>
    </row>
    <row r="418">
      <c r="A418" t="inlineStr">
        <is>
          <t>Alemania</t>
        </is>
      </c>
      <c r="B418" t="inlineStr">
        <is>
          <t>Fráncfort</t>
        </is>
      </c>
      <c r="C418" t="inlineStr">
        <is>
          <t>Países Bajos</t>
        </is>
      </c>
      <c r="D418" t="inlineStr">
        <is>
          <t>Róterdam</t>
        </is>
      </c>
      <c r="E418" t="inlineStr">
        <is>
          <t>2026-03-09</t>
        </is>
      </c>
      <c r="F418" t="inlineStr">
        <is>
          <t>2026-03-16</t>
        </is>
      </c>
      <c r="G418" t="inlineStr">
        <is>
          <t xml:space="preserve"> - Camper Cabin Deluxe</t>
        </is>
      </c>
      <c r="H418">
        <f>HYPERLINK("https://booking.roadsurfer.com/es/rally/pick?pickup_date=2026-03-09&amp;return_date=2026-03-16&amp;currency=EUR&amp;startStation=2&amp;endStation=33", "Clic para verlo en la web de RoadSurfer")</f>
        <v/>
      </c>
    </row>
    <row r="419">
      <c r="A419" t="inlineStr">
        <is>
          <t>Alemania</t>
        </is>
      </c>
      <c r="B419" t="inlineStr">
        <is>
          <t>Fráncfort</t>
        </is>
      </c>
      <c r="C419" t="inlineStr">
        <is>
          <t>Francia</t>
        </is>
      </c>
      <c r="D419" t="inlineStr">
        <is>
          <t>Ginebra-Pays de Gex (Francia)</t>
        </is>
      </c>
      <c r="E419" t="inlineStr">
        <is>
          <t>2026-03-12</t>
        </is>
      </c>
      <c r="F419" t="inlineStr">
        <is>
          <t>2026-03-19</t>
        </is>
      </c>
      <c r="G419" t="inlineStr">
        <is>
          <t xml:space="preserve"> - Family Finca</t>
        </is>
      </c>
      <c r="H419">
        <f>HYPERLINK("https://booking.roadsurfer.com/es/rally/pick?pickup_date=2026-03-12&amp;return_date=2026-03-19&amp;currency=EUR&amp;startStation=2&amp;endStation=29", "Clic para verlo en la web de RoadSurfer")</f>
        <v/>
      </c>
    </row>
    <row r="420">
      <c r="A420" t="inlineStr">
        <is>
          <t>Alemania</t>
        </is>
      </c>
      <c r="B420" t="inlineStr">
        <is>
          <t>Fráncfort</t>
        </is>
      </c>
      <c r="C420" t="inlineStr">
        <is>
          <t>Francia</t>
        </is>
      </c>
      <c r="D420" t="inlineStr">
        <is>
          <t>Ginebra-Pays de Gex (Francia)</t>
        </is>
      </c>
      <c r="E420" t="inlineStr">
        <is>
          <t>2026-03-17</t>
        </is>
      </c>
      <c r="F420" t="inlineStr">
        <is>
          <t>2026-03-24</t>
        </is>
      </c>
      <c r="G420" t="inlineStr">
        <is>
          <t xml:space="preserve"> - Family Finca</t>
        </is>
      </c>
      <c r="H420">
        <f>HYPERLINK("https://booking.roadsurfer.com/es/rally/pick?pickup_date=2026-03-17&amp;return_date=2026-03-24&amp;currency=EUR&amp;startStation=2&amp;endStation=29", "Clic para verlo en la web de RoadSurfer")</f>
        <v/>
      </c>
    </row>
    <row r="421">
      <c r="A421" t="inlineStr">
        <is>
          <t>Alemania</t>
        </is>
      </c>
      <c r="B421" t="inlineStr">
        <is>
          <t>Fráncfort</t>
        </is>
      </c>
      <c r="C421" t="inlineStr">
        <is>
          <t>Francia</t>
        </is>
      </c>
      <c r="D421" t="inlineStr">
        <is>
          <t>Ginebra-Pays de Gex (Francia)</t>
        </is>
      </c>
      <c r="E421" t="inlineStr">
        <is>
          <t>2026-03-26</t>
        </is>
      </c>
      <c r="F421" t="inlineStr">
        <is>
          <t>2026-04-02</t>
        </is>
      </c>
      <c r="G421" t="inlineStr">
        <is>
          <t xml:space="preserve"> - Family Finca</t>
        </is>
      </c>
      <c r="H421">
        <f>HYPERLINK("https://booking.roadsurfer.com/es/rally/pick?pickup_date=2026-03-26&amp;return_date=2026-04-02&amp;currency=EUR&amp;startStation=2&amp;endStation=29", "Clic para verlo en la web de RoadSurfer")</f>
        <v/>
      </c>
    </row>
    <row r="422">
      <c r="A422" t="inlineStr">
        <is>
          <t>Alemania</t>
        </is>
      </c>
      <c r="B422" t="inlineStr">
        <is>
          <t>Fráncfort</t>
        </is>
      </c>
      <c r="C422" t="inlineStr">
        <is>
          <t>Francia</t>
        </is>
      </c>
      <c r="D422" t="inlineStr">
        <is>
          <t>Ginebra-Pays de Gex (Francia)</t>
        </is>
      </c>
      <c r="E422" t="inlineStr">
        <is>
          <t>2026-02-26</t>
        </is>
      </c>
      <c r="F422" t="inlineStr">
        <is>
          <t>2026-03-05</t>
        </is>
      </c>
      <c r="G422" t="inlineStr">
        <is>
          <t xml:space="preserve"> - Camper Cabin Deluxe</t>
        </is>
      </c>
      <c r="H422">
        <f>HYPERLINK("https://booking.roadsurfer.com/es/rally/pick?pickup_date=2026-02-26&amp;return_date=2026-03-05&amp;currency=EUR&amp;startStation=2&amp;endStation=29", "Clic para verlo en la web de RoadSurfer")</f>
        <v/>
      </c>
    </row>
    <row r="423">
      <c r="A423" t="inlineStr">
        <is>
          <t>Alemania</t>
        </is>
      </c>
      <c r="B423" t="inlineStr">
        <is>
          <t>Fráncfort</t>
        </is>
      </c>
      <c r="C423" t="inlineStr">
        <is>
          <t>España</t>
        </is>
      </c>
      <c r="D423" t="inlineStr">
        <is>
          <t>Valencia</t>
        </is>
      </c>
      <c r="E423" t="inlineStr">
        <is>
          <t>2026-04-02</t>
        </is>
      </c>
      <c r="F423" t="inlineStr">
        <is>
          <t>2026-04-09</t>
        </is>
      </c>
      <c r="G423" t="inlineStr">
        <is>
          <t xml:space="preserve"> - Camper Castle</t>
        </is>
      </c>
      <c r="H423">
        <f>HYPERLINK("https://booking.roadsurfer.com/es/rally/pick?pickup_date=2026-04-02&amp;return_date=2026-04-09&amp;currency=EUR&amp;startStation=2&amp;endStation=38", "Clic para verlo en la web de RoadSurfer")</f>
        <v/>
      </c>
    </row>
    <row r="424">
      <c r="A424" t="inlineStr">
        <is>
          <t>Alemania</t>
        </is>
      </c>
      <c r="B424" t="inlineStr">
        <is>
          <t>Fráncfort</t>
        </is>
      </c>
      <c r="C424" t="inlineStr">
        <is>
          <t>Italia</t>
        </is>
      </c>
      <c r="D424" t="inlineStr">
        <is>
          <t>Florencia</t>
        </is>
      </c>
      <c r="E424" t="inlineStr">
        <is>
          <t>2026-03-02</t>
        </is>
      </c>
      <c r="F424" t="inlineStr">
        <is>
          <t>2026-03-09</t>
        </is>
      </c>
      <c r="G424" t="inlineStr">
        <is>
          <t xml:space="preserve"> - Camper Castle</t>
        </is>
      </c>
      <c r="H424">
        <f>HYPERLINK("https://booking.roadsurfer.com/es/rally/pick?pickup_date=2026-03-02&amp;return_date=2026-03-09&amp;currency=EUR&amp;startStation=2&amp;endStation=80", "Clic para verlo en la web de RoadSurfer")</f>
        <v/>
      </c>
    </row>
    <row r="425">
      <c r="A425" t="inlineStr">
        <is>
          <t>Alemania</t>
        </is>
      </c>
      <c r="B425" t="inlineStr">
        <is>
          <t>Fráncfort</t>
        </is>
      </c>
      <c r="C425" t="inlineStr">
        <is>
          <t>Francia</t>
        </is>
      </c>
      <c r="D425" t="inlineStr">
        <is>
          <t>Toulouse</t>
        </is>
      </c>
      <c r="E425" t="inlineStr">
        <is>
          <t>2026-03-23</t>
        </is>
      </c>
      <c r="F425" t="inlineStr">
        <is>
          <t>2026-03-30</t>
        </is>
      </c>
      <c r="G425" t="inlineStr">
        <is>
          <t xml:space="preserve"> - Family Finca</t>
        </is>
      </c>
      <c r="H425">
        <f>HYPERLINK("https://booking.roadsurfer.com/es/rally/pick?pickup_date=2026-03-23&amp;return_date=2026-03-30&amp;currency=EUR&amp;startStation=2&amp;endStation=30", "Clic para verlo en la web de RoadSurfer")</f>
        <v/>
      </c>
    </row>
    <row r="426">
      <c r="A426" t="inlineStr">
        <is>
          <t>Alemania</t>
        </is>
      </c>
      <c r="B426" t="inlineStr">
        <is>
          <t>Fráncfort</t>
        </is>
      </c>
      <c r="C426" t="inlineStr">
        <is>
          <t>Francia</t>
        </is>
      </c>
      <c r="D426" t="inlineStr">
        <is>
          <t>París Aeropuerto CDG</t>
        </is>
      </c>
      <c r="E426" t="inlineStr">
        <is>
          <t>2026-03-12</t>
        </is>
      </c>
      <c r="F426" t="inlineStr">
        <is>
          <t>2026-03-19</t>
        </is>
      </c>
      <c r="G426" t="inlineStr">
        <is>
          <t xml:space="preserve"> - Family Finca</t>
        </is>
      </c>
      <c r="H426">
        <f>HYPERLINK("https://booking.roadsurfer.com/es/rally/pick?pickup_date=2026-03-12&amp;return_date=2026-03-19&amp;currency=EUR&amp;startStation=2&amp;endStation=48", "Clic para verlo en la web de RoadSurfer")</f>
        <v/>
      </c>
    </row>
    <row r="427">
      <c r="A427" t="inlineStr">
        <is>
          <t>Alemania</t>
        </is>
      </c>
      <c r="B427" t="inlineStr">
        <is>
          <t>Fráncfort</t>
        </is>
      </c>
      <c r="C427" t="inlineStr">
        <is>
          <t>Italia</t>
        </is>
      </c>
      <c r="D427" t="inlineStr">
        <is>
          <t>Milán</t>
        </is>
      </c>
      <c r="E427" t="inlineStr">
        <is>
          <t>2026-02-19</t>
        </is>
      </c>
      <c r="F427" t="inlineStr">
        <is>
          <t>2026-02-26</t>
        </is>
      </c>
      <c r="G427" t="inlineStr">
        <is>
          <t xml:space="preserve"> - Family Finca</t>
        </is>
      </c>
      <c r="H427">
        <f>HYPERLINK("https://booking.roadsurfer.com/es/rally/pick?pickup_date=2026-02-19&amp;return_date=2026-02-26&amp;currency=EUR&amp;startStation=2&amp;endStation=34",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Países Bajos</t>
        </is>
      </c>
      <c r="D428" t="inlineStr">
        <is>
          <t>Róterdam</t>
        </is>
      </c>
      <c r="E428" t="inlineStr">
        <is>
          <t>2026-03-05</t>
        </is>
      </c>
      <c r="F428" t="inlineStr">
        <is>
          <t>2026-03-12</t>
        </is>
      </c>
      <c r="G428" t="inlineStr">
        <is>
          <t xml:space="preserve"> - Surfer Suite</t>
        </is>
      </c>
      <c r="H428">
        <f>HYPERLINK("https://booking.roadsurfer.com/es/rally/pick?pickup_date=2026-03-05&amp;return_date=2026-03-12&amp;currency=EUR&amp;startStation=9&amp;endStation=33",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España</t>
        </is>
      </c>
      <c r="D429" t="inlineStr">
        <is>
          <t>Bilbao</t>
        </is>
      </c>
      <c r="E429" t="inlineStr">
        <is>
          <t>2026-03-20</t>
        </is>
      </c>
      <c r="F429" t="inlineStr">
        <is>
          <t>2026-03-27</t>
        </is>
      </c>
      <c r="G429" t="inlineStr">
        <is>
          <t xml:space="preserve"> - Surfer Suite</t>
        </is>
      </c>
      <c r="H429">
        <f>HYPERLINK("https://booking.roadsurfer.com/es/rally/pick?pickup_date=2026-03-20&amp;return_date=2026-03-27&amp;currency=EUR&amp;startStation=9&amp;endStation=40",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España</t>
        </is>
      </c>
      <c r="D430" t="inlineStr">
        <is>
          <t>Bilbao</t>
        </is>
      </c>
      <c r="E430" t="inlineStr">
        <is>
          <t>2026-03-23</t>
        </is>
      </c>
      <c r="F430" t="inlineStr">
        <is>
          <t>2026-03-30</t>
        </is>
      </c>
      <c r="G430" t="inlineStr">
        <is>
          <t xml:space="preserve"> - Surfer Suite</t>
        </is>
      </c>
      <c r="H430">
        <f>HYPERLINK("https://booking.roadsurfer.com/es/rally/pick?pickup_date=2026-03-23&amp;return_date=2026-03-30&amp;currency=EUR&amp;startStation=9&amp;endStation=40",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España</t>
        </is>
      </c>
      <c r="D431" t="inlineStr">
        <is>
          <t>Madrid</t>
        </is>
      </c>
      <c r="E431" t="inlineStr">
        <is>
          <t>2026-03-23</t>
        </is>
      </c>
      <c r="F431" t="inlineStr">
        <is>
          <t>2026-03-30</t>
        </is>
      </c>
      <c r="G431" t="inlineStr">
        <is>
          <t xml:space="preserve"> - Road House</t>
        </is>
      </c>
      <c r="H431">
        <f>HYPERLINK("https://booking.roadsurfer.com/es/rally/pick?pickup_date=2026-03-23&amp;return_date=2026-03-30&amp;currency=EUR&amp;startStation=9&amp;endStation=20",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España</t>
        </is>
      </c>
      <c r="D432" t="inlineStr">
        <is>
          <t>Madrid</t>
        </is>
      </c>
      <c r="E432" t="inlineStr">
        <is>
          <t>2026-03-16</t>
        </is>
      </c>
      <c r="F432" t="inlineStr">
        <is>
          <t>2026-03-23</t>
        </is>
      </c>
      <c r="G432" t="inlineStr">
        <is>
          <t xml:space="preserve"> - Surfer Suite</t>
        </is>
      </c>
      <c r="H432">
        <f>HYPERLINK("https://booking.roadsurfer.com/es/rally/pick?pickup_date=2026-03-16&amp;return_date=2026-03-23&amp;currency=EUR&amp;startStation=9&amp;endStation=20",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España</t>
        </is>
      </c>
      <c r="D433" t="inlineStr">
        <is>
          <t>Madrid</t>
        </is>
      </c>
      <c r="E433" t="inlineStr">
        <is>
          <t>2026-03-12</t>
        </is>
      </c>
      <c r="F433" t="inlineStr">
        <is>
          <t>2026-03-19</t>
        </is>
      </c>
      <c r="G433" t="inlineStr">
        <is>
          <t xml:space="preserve"> - Surfer Suite</t>
        </is>
      </c>
      <c r="H433">
        <f>HYPERLINK("https://booking.roadsurfer.com/es/rally/pick?pickup_date=2026-03-12&amp;return_date=2026-03-19&amp;currency=EUR&amp;startStation=9&amp;endStation=20",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España</t>
        </is>
      </c>
      <c r="D434" t="inlineStr">
        <is>
          <t>Madrid</t>
        </is>
      </c>
      <c r="E434" t="inlineStr">
        <is>
          <t>2026-03-20</t>
        </is>
      </c>
      <c r="F434" t="inlineStr">
        <is>
          <t>2026-03-27</t>
        </is>
      </c>
      <c r="G434" t="inlineStr">
        <is>
          <t xml:space="preserve"> - Family Finca</t>
        </is>
      </c>
      <c r="H434">
        <f>HYPERLINK("https://booking.roadsurfer.com/es/rally/pick?pickup_date=2026-03-20&amp;return_date=2026-03-27&amp;currency=EUR&amp;startStation=9&amp;endStation=20",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España</t>
        </is>
      </c>
      <c r="D435" t="inlineStr">
        <is>
          <t>Madrid</t>
        </is>
      </c>
      <c r="E435" t="inlineStr">
        <is>
          <t>2026-03-31</t>
        </is>
      </c>
      <c r="F435" t="inlineStr">
        <is>
          <t>2026-04-07</t>
        </is>
      </c>
      <c r="G435" t="inlineStr">
        <is>
          <t xml:space="preserve"> - Road House</t>
        </is>
      </c>
      <c r="H435">
        <f>HYPERLINK("https://booking.roadsurfer.com/es/rally/pick?pickup_date=2026-03-31&amp;return_date=2026-04-07&amp;currency=EUR&amp;startStation=9&amp;endStation=20",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España</t>
        </is>
      </c>
      <c r="D436" t="inlineStr">
        <is>
          <t>Málaga</t>
        </is>
      </c>
      <c r="E436" t="inlineStr">
        <is>
          <t>2026-03-18</t>
        </is>
      </c>
      <c r="F436" t="inlineStr">
        <is>
          <t>2026-03-25</t>
        </is>
      </c>
      <c r="G436" t="inlineStr">
        <is>
          <t xml:space="preserve"> - Surfer Suite</t>
        </is>
      </c>
      <c r="H436">
        <f>HYPERLINK("https://booking.roadsurfer.com/es/rally/pick?pickup_date=2026-03-18&amp;return_date=2026-03-25&amp;currency=EUR&amp;startStation=9&amp;endStation=21",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España</t>
        </is>
      </c>
      <c r="D437" t="inlineStr">
        <is>
          <t>Málaga</t>
        </is>
      </c>
      <c r="E437" t="inlineStr">
        <is>
          <t>2026-04-03</t>
        </is>
      </c>
      <c r="F437" t="inlineStr">
        <is>
          <t>2026-04-10</t>
        </is>
      </c>
      <c r="G437" t="inlineStr">
        <is>
          <t xml:space="preserve"> - No hay coche</t>
        </is>
      </c>
      <c r="H437">
        <f>HYPERLINK("https://booking.roadsurfer.com/es/rally/pick?pickup_date=2026-04-03&amp;return_date=2026-04-10&amp;currency=EUR&amp;startStation=9&amp;endStation=21",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España</t>
        </is>
      </c>
      <c r="D438" t="inlineStr">
        <is>
          <t>Málaga</t>
        </is>
      </c>
      <c r="E438" t="inlineStr">
        <is>
          <t>2026-03-21</t>
        </is>
      </c>
      <c r="F438" t="inlineStr">
        <is>
          <t>2026-03-28</t>
        </is>
      </c>
      <c r="G438" t="inlineStr">
        <is>
          <t xml:space="preserve"> - Surfer Suite</t>
        </is>
      </c>
      <c r="H438">
        <f>HYPERLINK("https://booking.roadsurfer.com/es/rally/pick?pickup_date=2026-03-21&amp;return_date=2026-03-28&amp;currency=EUR&amp;startStation=9&amp;endStation=21",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España</t>
        </is>
      </c>
      <c r="D439" t="inlineStr">
        <is>
          <t>Málaga</t>
        </is>
      </c>
      <c r="E439" t="inlineStr">
        <is>
          <t>2026-03-17</t>
        </is>
      </c>
      <c r="F439" t="inlineStr">
        <is>
          <t>2026-03-24</t>
        </is>
      </c>
      <c r="G439" t="inlineStr">
        <is>
          <t xml:space="preserve"> - Beach Hostel</t>
        </is>
      </c>
      <c r="H439">
        <f>HYPERLINK("https://booking.roadsurfer.com/es/rally/pick?pickup_date=2026-03-17&amp;return_date=2026-03-24&amp;currency=EUR&amp;startStation=9&amp;endStation=21", "Clic para verlo en la web de RoadSurfer")</f>
        <v/>
      </c>
    </row>
    <row r="440">
      <c r="A440" t="inlineStr">
        <is>
          <t>Alemania</t>
        </is>
      </c>
      <c r="B440" t="inlineStr">
        <is>
          <t>Friburgo-Basilea (Alemania)</t>
        </is>
      </c>
      <c r="C440" t="inlineStr">
        <is>
          <t>España</t>
        </is>
      </c>
      <c r="D440" t="inlineStr">
        <is>
          <t>Málaga</t>
        </is>
      </c>
      <c r="E440" t="inlineStr">
        <is>
          <t>2026-03-14</t>
        </is>
      </c>
      <c r="F440" t="inlineStr">
        <is>
          <t>2026-03-21</t>
        </is>
      </c>
      <c r="G440" t="inlineStr">
        <is>
          <t xml:space="preserve"> - Surfer Suite</t>
        </is>
      </c>
      <c r="H440">
        <f>HYPERLINK("https://booking.roadsurfer.com/es/rally/pick?pickup_date=2026-03-14&amp;return_date=2026-03-21&amp;currency=EUR&amp;startStation=9&amp;endStation=21", "Clic para verlo en la web de RoadSurfer")</f>
        <v/>
      </c>
    </row>
    <row r="441">
      <c r="A441" t="inlineStr">
        <is>
          <t>Alemania</t>
        </is>
      </c>
      <c r="B441" t="inlineStr">
        <is>
          <t>Friburgo-Basilea (Alemania)</t>
        </is>
      </c>
      <c r="C441" t="inlineStr">
        <is>
          <t>Francia</t>
        </is>
      </c>
      <c r="D441" t="inlineStr">
        <is>
          <t>Lyon</t>
        </is>
      </c>
      <c r="E441" t="inlineStr">
        <is>
          <t>2026-03-26</t>
        </is>
      </c>
      <c r="F441" t="inlineStr">
        <is>
          <t>2026-04-02</t>
        </is>
      </c>
      <c r="G441" t="inlineStr">
        <is>
          <t xml:space="preserve"> - Surfer Suite</t>
        </is>
      </c>
      <c r="H441">
        <f>HYPERLINK("https://booking.roadsurfer.com/es/rally/pick?pickup_date=2026-03-26&amp;return_date=2026-04-02&amp;currency=EUR&amp;startStation=9&amp;endStation=15", "Clic para verlo en la web de RoadSurfer")</f>
        <v/>
      </c>
    </row>
    <row r="442">
      <c r="A442" t="inlineStr">
        <is>
          <t>Alemania</t>
        </is>
      </c>
      <c r="B442" t="inlineStr">
        <is>
          <t>Friburgo-Basilea (Alemania)</t>
        </is>
      </c>
      <c r="C442" t="inlineStr">
        <is>
          <t>Francia</t>
        </is>
      </c>
      <c r="D442" t="inlineStr">
        <is>
          <t>Lyon</t>
        </is>
      </c>
      <c r="E442" t="inlineStr">
        <is>
          <t>2026-03-17</t>
        </is>
      </c>
      <c r="F442" t="inlineStr">
        <is>
          <t>2026-03-24</t>
        </is>
      </c>
      <c r="G442" t="inlineStr">
        <is>
          <t xml:space="preserve"> - Beach Hostel</t>
        </is>
      </c>
      <c r="H442">
        <f>HYPERLINK("https://booking.roadsurfer.com/es/rally/pick?pickup_date=2026-03-17&amp;return_date=2026-03-24&amp;currency=EUR&amp;startStation=9&amp;endStation=15", "Clic para verlo en la web de RoadSurfer")</f>
        <v/>
      </c>
    </row>
    <row r="443">
      <c r="A443" t="inlineStr">
        <is>
          <t>Alemania</t>
        </is>
      </c>
      <c r="B443" t="inlineStr">
        <is>
          <t>Friburgo-Basilea (Alemania)</t>
        </is>
      </c>
      <c r="C443" t="inlineStr">
        <is>
          <t>España</t>
        </is>
      </c>
      <c r="D443" t="inlineStr">
        <is>
          <t>Sevilla</t>
        </is>
      </c>
      <c r="E443" t="inlineStr">
        <is>
          <t>2026-03-26</t>
        </is>
      </c>
      <c r="F443" t="inlineStr">
        <is>
          <t>2026-04-02</t>
        </is>
      </c>
      <c r="G443" t="inlineStr">
        <is>
          <t xml:space="preserve"> - No hay coche</t>
        </is>
      </c>
      <c r="H443">
        <f>HYPERLINK("https://booking.roadsurfer.com/es/rally/pick?pickup_date=2026-03-26&amp;return_date=2026-04-02&amp;currency=EUR&amp;startStation=9&amp;endStation=39", "Clic para verlo en la web de RoadSurfer")</f>
        <v/>
      </c>
    </row>
    <row r="444">
      <c r="A444" t="inlineStr">
        <is>
          <t>Alemania</t>
        </is>
      </c>
      <c r="B444" t="inlineStr">
        <is>
          <t>Friburgo-Basilea (Alemania)</t>
        </is>
      </c>
      <c r="C444" t="inlineStr">
        <is>
          <t>España</t>
        </is>
      </c>
      <c r="D444" t="inlineStr">
        <is>
          <t>Sevilla</t>
        </is>
      </c>
      <c r="E444" t="inlineStr">
        <is>
          <t>2026-03-02</t>
        </is>
      </c>
      <c r="F444" t="inlineStr">
        <is>
          <t>2026-03-09</t>
        </is>
      </c>
      <c r="G444" t="inlineStr">
        <is>
          <t xml:space="preserve"> - Surfer Suite</t>
        </is>
      </c>
      <c r="H444">
        <f>HYPERLINK("https://booking.roadsurfer.com/es/rally/pick?pickup_date=2026-03-02&amp;return_date=2026-03-09&amp;currency=EUR&amp;startStation=9&amp;endStation=39", "Clic para verlo en la web de RoadSurfer")</f>
        <v/>
      </c>
    </row>
    <row r="445">
      <c r="A445" t="inlineStr">
        <is>
          <t>Alemania</t>
        </is>
      </c>
      <c r="B445" t="inlineStr">
        <is>
          <t>Friburgo-Basilea (Alemania)</t>
        </is>
      </c>
      <c r="C445" t="inlineStr">
        <is>
          <t>España</t>
        </is>
      </c>
      <c r="D445" t="inlineStr">
        <is>
          <t>Valencia</t>
        </is>
      </c>
      <c r="E445" t="inlineStr">
        <is>
          <t>2026-03-11</t>
        </is>
      </c>
      <c r="F445" t="inlineStr">
        <is>
          <t>2026-03-18</t>
        </is>
      </c>
      <c r="G445" t="inlineStr">
        <is>
          <t xml:space="preserve"> - Surfer Suite</t>
        </is>
      </c>
      <c r="H445">
        <f>HYPERLINK("https://booking.roadsurfer.com/es/rally/pick?pickup_date=2026-03-11&amp;return_date=2026-03-18&amp;currency=EUR&amp;startStation=9&amp;endStation=38", "Clic para verlo en la web de RoadSurfer")</f>
        <v/>
      </c>
    </row>
    <row r="446">
      <c r="A446" t="inlineStr">
        <is>
          <t>Alemania</t>
        </is>
      </c>
      <c r="B446" t="inlineStr">
        <is>
          <t>Friburgo-Basilea (Alemania)</t>
        </is>
      </c>
      <c r="C446" t="inlineStr">
        <is>
          <t>Alemania</t>
        </is>
      </c>
      <c r="D446" t="inlineStr">
        <is>
          <t>Heidelberg</t>
        </is>
      </c>
      <c r="E446" t="inlineStr">
        <is>
          <t>2026-03-16</t>
        </is>
      </c>
      <c r="F446" t="inlineStr">
        <is>
          <t>2026-03-23</t>
        </is>
      </c>
      <c r="G446" t="inlineStr">
        <is>
          <t xml:space="preserve"> - Camper Cabin</t>
        </is>
      </c>
      <c r="H446">
        <f>HYPERLINK("https://booking.roadsurfer.com/es/rally/pick?pickup_date=2026-03-16&amp;return_date=2026-03-23&amp;currency=EUR&amp;startStation=9&amp;endStation=79", "Clic para verlo en la web de RoadSurfer")</f>
        <v/>
      </c>
    </row>
    <row r="447">
      <c r="A447" t="inlineStr">
        <is>
          <t>Alemania</t>
        </is>
      </c>
      <c r="B447" t="inlineStr">
        <is>
          <t>Friburgo-Basilea (Alemania)</t>
        </is>
      </c>
      <c r="C447" t="inlineStr">
        <is>
          <t>Francia</t>
        </is>
      </c>
      <c r="D447" t="inlineStr">
        <is>
          <t>Aix-Marsella</t>
        </is>
      </c>
      <c r="E447" t="inlineStr">
        <is>
          <t>2026-03-21</t>
        </is>
      </c>
      <c r="F447" t="inlineStr">
        <is>
          <t>2026-03-28</t>
        </is>
      </c>
      <c r="G447" t="inlineStr">
        <is>
          <t xml:space="preserve"> - Road House</t>
        </is>
      </c>
      <c r="H447">
        <f>HYPERLINK("https://booking.roadsurfer.com/es/rally/pick?pickup_date=2026-03-21&amp;return_date=2026-03-28&amp;currency=EUR&amp;startStation=9&amp;endStation=16", "Clic para verlo en la web de RoadSurfer")</f>
        <v/>
      </c>
    </row>
    <row r="448">
      <c r="A448" t="inlineStr">
        <is>
          <t>Alemania</t>
        </is>
      </c>
      <c r="B448" t="inlineStr">
        <is>
          <t>Friburgo-Basilea (Alemania)</t>
        </is>
      </c>
      <c r="C448" t="inlineStr">
        <is>
          <t>Francia</t>
        </is>
      </c>
      <c r="D448" t="inlineStr">
        <is>
          <t>Niza</t>
        </is>
      </c>
      <c r="E448" t="inlineStr">
        <is>
          <t>2026-03-19</t>
        </is>
      </c>
      <c r="F448" t="inlineStr">
        <is>
          <t>2026-03-26</t>
        </is>
      </c>
      <c r="G448" t="inlineStr">
        <is>
          <t xml:space="preserve"> - Road House</t>
        </is>
      </c>
      <c r="H448">
        <f>HYPERLINK("https://booking.roadsurfer.com/es/rally/pick?pickup_date=2026-03-19&amp;return_date=2026-03-26&amp;currency=EUR&amp;startStation=9&amp;endStation=88", "Clic para verlo en la web de RoadSurfer")</f>
        <v/>
      </c>
    </row>
    <row r="449">
      <c r="A449" t="inlineStr">
        <is>
          <t>Alemania</t>
        </is>
      </c>
      <c r="B449" t="inlineStr">
        <is>
          <t>Friburgo-Basilea (Alemania)</t>
        </is>
      </c>
      <c r="C449" t="inlineStr">
        <is>
          <t>Francia</t>
        </is>
      </c>
      <c r="D449" t="inlineStr">
        <is>
          <t>París Sur (Orly)</t>
        </is>
      </c>
      <c r="E449" t="inlineStr">
        <is>
          <t>2026-03-21</t>
        </is>
      </c>
      <c r="F449" t="inlineStr">
        <is>
          <t>2026-03-28</t>
        </is>
      </c>
      <c r="G449" t="inlineStr">
        <is>
          <t xml:space="preserve"> - Road House</t>
        </is>
      </c>
      <c r="H449">
        <f>HYPERLINK("https://booking.roadsurfer.com/es/rally/pick?pickup_date=2026-03-21&amp;return_date=2026-03-28&amp;currency=EUR&amp;startStation=9&amp;endStation=12", "Clic para verlo en la web de RoadSurfer")</f>
        <v/>
      </c>
    </row>
    <row r="450">
      <c r="A450" t="inlineStr">
        <is>
          <t>Alemania</t>
        </is>
      </c>
      <c r="B450" t="inlineStr">
        <is>
          <t>Friburgo-Basilea (Alemania)</t>
        </is>
      </c>
      <c r="C450" t="inlineStr">
        <is>
          <t>Alemania</t>
        </is>
      </c>
      <c r="D450" t="inlineStr">
        <is>
          <t>Múnich</t>
        </is>
      </c>
      <c r="E450" t="inlineStr">
        <is>
          <t>2026-03-27</t>
        </is>
      </c>
      <c r="F450" t="inlineStr">
        <is>
          <t>2026-04-03</t>
        </is>
      </c>
      <c r="G450" t="inlineStr">
        <is>
          <t xml:space="preserve"> - No hay coche</t>
        </is>
      </c>
      <c r="H450">
        <f>HYPERLINK("https://booking.roadsurfer.com/es/rally/pick?pickup_date=2026-03-27&amp;return_date=2026-04-03&amp;currency=EUR&amp;startStation=9&amp;endStation=1", "Clic para verlo en la web de RoadSurfer")</f>
        <v/>
      </c>
    </row>
    <row r="451">
      <c r="A451" t="inlineStr">
        <is>
          <t>Alemania</t>
        </is>
      </c>
      <c r="B451" t="inlineStr">
        <is>
          <t>Friburgo-Basilea (Alemania)</t>
        </is>
      </c>
      <c r="C451" t="inlineStr">
        <is>
          <t>Francia</t>
        </is>
      </c>
      <c r="D451" t="inlineStr">
        <is>
          <t>Ginebra-Pays de Gex (Francia)</t>
        </is>
      </c>
      <c r="E451" t="inlineStr">
        <is>
          <t>2026-02-23</t>
        </is>
      </c>
      <c r="F451" t="inlineStr">
        <is>
          <t>2026-03-02</t>
        </is>
      </c>
      <c r="G451" t="inlineStr">
        <is>
          <t xml:space="preserve"> - Camper Cabin Deluxe</t>
        </is>
      </c>
      <c r="H451">
        <f>HYPERLINK("https://booking.roadsurfer.com/es/rally/pick?pickup_date=2026-02-23&amp;return_date=2026-03-02&amp;currency=EUR&amp;startStation=9&amp;endStation=29", "Clic para verlo en la web de RoadSurfer")</f>
        <v/>
      </c>
    </row>
    <row r="452">
      <c r="A452" t="inlineStr">
        <is>
          <t>Alemania</t>
        </is>
      </c>
      <c r="B452" t="inlineStr">
        <is>
          <t>Friburgo-Basilea (Alemania)</t>
        </is>
      </c>
      <c r="C452" t="inlineStr">
        <is>
          <t>Francia</t>
        </is>
      </c>
      <c r="D452" t="inlineStr">
        <is>
          <t>Ginebra-Pays de Gex (Francia)</t>
        </is>
      </c>
      <c r="E452" t="inlineStr">
        <is>
          <t>2026-03-16</t>
        </is>
      </c>
      <c r="F452" t="inlineStr">
        <is>
          <t>2026-03-23</t>
        </is>
      </c>
      <c r="G452" t="inlineStr">
        <is>
          <t xml:space="preserve"> - Camper Cabin Deluxe</t>
        </is>
      </c>
      <c r="H452">
        <f>HYPERLINK("https://booking.roadsurfer.com/es/rally/pick?pickup_date=2026-03-16&amp;return_date=2026-03-23&amp;currency=EUR&amp;startStation=9&amp;endStation=29", "Clic para verlo en la web de RoadSurfer")</f>
        <v/>
      </c>
    </row>
    <row r="453">
      <c r="A453" t="inlineStr">
        <is>
          <t>Alemania</t>
        </is>
      </c>
      <c r="B453" t="inlineStr">
        <is>
          <t>Friburgo-Basilea (Alemania)</t>
        </is>
      </c>
      <c r="C453" t="inlineStr">
        <is>
          <t>España</t>
        </is>
      </c>
      <c r="D453" t="inlineStr">
        <is>
          <t>Barcelona</t>
        </is>
      </c>
      <c r="E453" t="inlineStr">
        <is>
          <t>2026-03-25</t>
        </is>
      </c>
      <c r="F453" t="inlineStr">
        <is>
          <t>2026-04-01</t>
        </is>
      </c>
      <c r="G453" t="inlineStr">
        <is>
          <t xml:space="preserve"> - Family Finca</t>
        </is>
      </c>
      <c r="H453">
        <f>HYPERLINK("https://booking.roadsurfer.com/es/rally/pick?pickup_date=2026-03-25&amp;return_date=2026-04-01&amp;currency=EUR&amp;startStation=9&amp;endStation=17", "Clic para verlo en la web de RoadSurfer")</f>
        <v/>
      </c>
    </row>
    <row r="454">
      <c r="A454" t="inlineStr">
        <is>
          <t>Alemania</t>
        </is>
      </c>
      <c r="B454" t="inlineStr">
        <is>
          <t>Friburgo-Basilea (Alemania)</t>
        </is>
      </c>
      <c r="C454" t="inlineStr">
        <is>
          <t>España</t>
        </is>
      </c>
      <c r="D454" t="inlineStr">
        <is>
          <t>Barcelona</t>
        </is>
      </c>
      <c r="E454" t="inlineStr">
        <is>
          <t>2026-03-26</t>
        </is>
      </c>
      <c r="F454" t="inlineStr">
        <is>
          <t>2026-04-02</t>
        </is>
      </c>
      <c r="G454" t="inlineStr">
        <is>
          <t xml:space="preserve"> - Family Finca</t>
        </is>
      </c>
      <c r="H454">
        <f>HYPERLINK("https://booking.roadsurfer.com/es/rally/pick?pickup_date=2026-03-26&amp;return_date=2026-04-02&amp;currency=EUR&amp;startStation=9&amp;endStation=17", "Clic para verlo en la web de RoadSurfer")</f>
        <v/>
      </c>
    </row>
    <row r="455">
      <c r="A455" t="inlineStr">
        <is>
          <t>Alemania</t>
        </is>
      </c>
      <c r="B455" t="inlineStr">
        <is>
          <t>Friburgo-Basilea (Alemania)</t>
        </is>
      </c>
      <c r="C455" t="inlineStr">
        <is>
          <t>España</t>
        </is>
      </c>
      <c r="D455" t="inlineStr">
        <is>
          <t>Barcelona</t>
        </is>
      </c>
      <c r="E455" t="inlineStr">
        <is>
          <t>2026-03-03</t>
        </is>
      </c>
      <c r="F455" t="inlineStr">
        <is>
          <t>2026-03-10</t>
        </is>
      </c>
      <c r="G455" t="inlineStr">
        <is>
          <t xml:space="preserve"> - Camper Cabin Deluxe</t>
        </is>
      </c>
      <c r="H455">
        <f>HYPERLINK("https://booking.roadsurfer.com/es/rally/pick?pickup_date=2026-03-03&amp;return_date=2026-03-10&amp;currency=EUR&amp;startStation=9&amp;endStation=17", "Clic para verlo en la web de RoadSurfer")</f>
        <v/>
      </c>
    </row>
    <row r="456">
      <c r="A456" t="inlineStr">
        <is>
          <t>Alemania</t>
        </is>
      </c>
      <c r="B456" t="inlineStr">
        <is>
          <t>Friburgo-Basilea (Alemania)</t>
        </is>
      </c>
      <c r="C456" t="inlineStr">
        <is>
          <t>Austria</t>
        </is>
      </c>
      <c r="D456" t="inlineStr">
        <is>
          <t>Linz</t>
        </is>
      </c>
      <c r="E456" t="inlineStr">
        <is>
          <t>2026-03-25</t>
        </is>
      </c>
      <c r="F456" t="inlineStr">
        <is>
          <t>2026-04-01</t>
        </is>
      </c>
      <c r="G456" t="inlineStr">
        <is>
          <t xml:space="preserve"> - Camper Castle</t>
        </is>
      </c>
      <c r="H456">
        <f>HYPERLINK("https://booking.roadsurfer.com/es/rally/pick?pickup_date=2026-03-25&amp;return_date=2026-04-01&amp;currency=EUR&amp;startStation=9&amp;endStation=116", "Clic para verlo en la web de RoadSurfer")</f>
        <v/>
      </c>
    </row>
    <row r="457">
      <c r="A457" t="inlineStr">
        <is>
          <t>Alemania</t>
        </is>
      </c>
      <c r="B457" t="inlineStr">
        <is>
          <t>Friburgo-Basilea (Alemania)</t>
        </is>
      </c>
      <c r="C457" t="inlineStr">
        <is>
          <t>Francia</t>
        </is>
      </c>
      <c r="D457" t="inlineStr">
        <is>
          <t>Burdeos</t>
        </is>
      </c>
      <c r="E457" t="inlineStr">
        <is>
          <t>2026-03-25</t>
        </is>
      </c>
      <c r="F457" t="inlineStr">
        <is>
          <t>2026-04-01</t>
        </is>
      </c>
      <c r="G457" t="inlineStr">
        <is>
          <t xml:space="preserve"> - Camper Castle</t>
        </is>
      </c>
      <c r="H457">
        <f>HYPERLINK("https://booking.roadsurfer.com/es/rally/pick?pickup_date=2026-03-25&amp;return_date=2026-04-01&amp;currency=EUR&amp;startStation=9&amp;endStation=13", "Clic para verlo en la web de RoadSurfer")</f>
        <v/>
      </c>
    </row>
    <row r="458">
      <c r="A458" t="inlineStr">
        <is>
          <t>Alemania</t>
        </is>
      </c>
      <c r="B458" t="inlineStr">
        <is>
          <t>Friburgo-Basilea (Alemania)</t>
        </is>
      </c>
      <c r="C458" t="inlineStr">
        <is>
          <t>Francia</t>
        </is>
      </c>
      <c r="D458" t="inlineStr">
        <is>
          <t>Nantes</t>
        </is>
      </c>
      <c r="E458" t="inlineStr">
        <is>
          <t>2026-03-13</t>
        </is>
      </c>
      <c r="F458" t="inlineStr">
        <is>
          <t>2026-03-20</t>
        </is>
      </c>
      <c r="G458" t="inlineStr">
        <is>
          <t xml:space="preserve"> - Camper Castle</t>
        </is>
      </c>
      <c r="H458">
        <f>HYPERLINK("https://booking.roadsurfer.com/es/rally/pick?pickup_date=2026-03-13&amp;return_date=2026-03-20&amp;currency=EUR&amp;startStation=9&amp;endStation=31", "Clic para verlo en la web de RoadSurfer")</f>
        <v/>
      </c>
    </row>
    <row r="459">
      <c r="A459" t="inlineStr">
        <is>
          <t>Alemania</t>
        </is>
      </c>
      <c r="B459" t="inlineStr">
        <is>
          <t>Friburgo-Basilea (Alemania)</t>
        </is>
      </c>
      <c r="C459" t="inlineStr">
        <is>
          <t>Francia</t>
        </is>
      </c>
      <c r="D459" t="inlineStr">
        <is>
          <t>Toulouse</t>
        </is>
      </c>
      <c r="E459" t="inlineStr">
        <is>
          <t>2026-03-20</t>
        </is>
      </c>
      <c r="F459" t="inlineStr">
        <is>
          <t>2026-03-27</t>
        </is>
      </c>
      <c r="G459" t="inlineStr">
        <is>
          <t xml:space="preserve"> - Family Finca</t>
        </is>
      </c>
      <c r="H459">
        <f>HYPERLINK("https://booking.roadsurfer.com/es/rally/pick?pickup_date=2026-03-20&amp;return_date=2026-03-27&amp;currency=EUR&amp;startStation=9&amp;endStation=30", "Clic para verlo en la web de RoadSurfer")</f>
        <v/>
      </c>
    </row>
    <row r="460">
      <c r="A460" t="inlineStr">
        <is>
          <t>Alemania</t>
        </is>
      </c>
      <c r="B460" t="inlineStr">
        <is>
          <t>Friburgo-Basilea (Alemania)</t>
        </is>
      </c>
      <c r="C460" t="inlineStr">
        <is>
          <t>Italia</t>
        </is>
      </c>
      <c r="D460" t="inlineStr">
        <is>
          <t>Bérgamo</t>
        </is>
      </c>
      <c r="E460" t="inlineStr">
        <is>
          <t>2026-02-26</t>
        </is>
      </c>
      <c r="F460" t="inlineStr">
        <is>
          <t>2026-03-05</t>
        </is>
      </c>
      <c r="G460" t="inlineStr">
        <is>
          <t xml:space="preserve"> - Family Finca</t>
        </is>
      </c>
      <c r="H460">
        <f>HYPERLINK("https://booking.roadsurfer.com/es/rally/pick?pickup_date=2026-02-26&amp;return_date=2026-03-05&amp;currency=EUR&amp;startStation=9&amp;endStation=94", "Clic para verlo en la web de RoadSurfer")</f>
        <v/>
      </c>
    </row>
    <row r="461">
      <c r="A461" t="inlineStr">
        <is>
          <t>Alemania</t>
        </is>
      </c>
      <c r="B461" t="inlineStr">
        <is>
          <t>Friburgo-Basilea (Alemania)</t>
        </is>
      </c>
      <c r="C461" t="inlineStr">
        <is>
          <t>Italia</t>
        </is>
      </c>
      <c r="D461" t="inlineStr">
        <is>
          <t>Venecia</t>
        </is>
      </c>
      <c r="E461" t="inlineStr">
        <is>
          <t>2026-03-02</t>
        </is>
      </c>
      <c r="F461" t="inlineStr">
        <is>
          <t>2026-03-09</t>
        </is>
      </c>
      <c r="G461" t="inlineStr">
        <is>
          <t xml:space="preserve"> - Family Finca</t>
        </is>
      </c>
      <c r="H461">
        <f>HYPERLINK("https://booking.roadsurfer.com/es/rally/pick?pickup_date=2026-03-02&amp;return_date=2026-03-09&amp;currency=EUR&amp;startStation=9&amp;endStation=78", "Clic para verlo en la web de RoadSurfer")</f>
        <v/>
      </c>
    </row>
    <row r="462">
      <c r="A462" t="inlineStr">
        <is>
          <t>Alemania</t>
        </is>
      </c>
      <c r="B462" t="inlineStr">
        <is>
          <t>Friburgo-Basilea (Alemania)</t>
        </is>
      </c>
      <c r="C462" t="inlineStr">
        <is>
          <t>Alemania</t>
        </is>
      </c>
      <c r="D462" t="inlineStr">
        <is>
          <t>Colonia-Bonn</t>
        </is>
      </c>
      <c r="E462" t="inlineStr">
        <is>
          <t>2026-03-05</t>
        </is>
      </c>
      <c r="F462" t="inlineStr">
        <is>
          <t>2026-03-12</t>
        </is>
      </c>
      <c r="G462" t="inlineStr">
        <is>
          <t xml:space="preserve"> - Couple Cottage</t>
        </is>
      </c>
      <c r="H462">
        <f>HYPERLINK("https://booking.roadsurfer.com/es/rally/pick?pickup_date=2026-03-05&amp;return_date=2026-03-12&amp;currency=EUR&amp;startStation=9&amp;endStation=52", "Clic para verlo en la web de RoadSurfer")</f>
        <v/>
      </c>
    </row>
    <row r="463">
      <c r="A463" t="inlineStr">
        <is>
          <t>Alemania</t>
        </is>
      </c>
      <c r="B463" t="inlineStr">
        <is>
          <t>Friburgo-Basilea (Alemania)</t>
        </is>
      </c>
      <c r="C463" t="inlineStr">
        <is>
          <t>Italia</t>
        </is>
      </c>
      <c r="D463" t="inlineStr">
        <is>
          <t>Turín</t>
        </is>
      </c>
      <c r="E463" t="inlineStr">
        <is>
          <t>2026-03-16</t>
        </is>
      </c>
      <c r="F463" t="inlineStr">
        <is>
          <t>2026-03-23</t>
        </is>
      </c>
      <c r="G463" t="inlineStr">
        <is>
          <t xml:space="preserve"> - Cozy Cottage</t>
        </is>
      </c>
      <c r="H463">
        <f>HYPERLINK("https://booking.roadsurfer.com/es/rally/pick?pickup_date=2026-03-16&amp;return_date=2026-03-23&amp;currency=EUR&amp;startStation=9&amp;endStation=58", "Clic para verlo en la web de RoadSurfer")</f>
        <v/>
      </c>
    </row>
    <row r="464">
      <c r="A464" t="inlineStr">
        <is>
          <t>Francia</t>
        </is>
      </c>
      <c r="B464" t="inlineStr">
        <is>
          <t>Ginebra-Pays de Gex (Francia)</t>
        </is>
      </c>
      <c r="C464" t="inlineStr">
        <is>
          <t>Alemania</t>
        </is>
      </c>
      <c r="D464" t="inlineStr">
        <is>
          <t>Marburg</t>
        </is>
      </c>
      <c r="E464" t="inlineStr">
        <is>
          <t>2026-02-23</t>
        </is>
      </c>
      <c r="F464" t="inlineStr">
        <is>
          <t>2026-03-02</t>
        </is>
      </c>
      <c r="G464" t="inlineStr">
        <is>
          <t xml:space="preserve"> - Surfer Suite - Family Finca</t>
        </is>
      </c>
      <c r="H464">
        <f>HYPERLINK("https://booking.roadsurfer.com/es/rally/pick?pickup_date=2026-02-23&amp;return_date=2026-03-02&amp;currency=EUR&amp;startStation=29&amp;endStation=22", "Clic para verlo en la web de RoadSurfer")</f>
        <v/>
      </c>
    </row>
    <row r="465">
      <c r="A465" t="inlineStr">
        <is>
          <t>Francia</t>
        </is>
      </c>
      <c r="B465" t="inlineStr">
        <is>
          <t>Ginebra-Pays de Gex (Francia)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2026-02-20</t>
        </is>
      </c>
      <c r="F465" t="inlineStr">
        <is>
          <t>2026-02-27</t>
        </is>
      </c>
      <c r="G465" t="inlineStr">
        <is>
          <t xml:space="preserve"> - Surfer Suite</t>
        </is>
      </c>
      <c r="H465">
        <f>HYPERLINK("https://booking.roadsurfer.com/es/rally/pick?pickup_date=2026-02-20&amp;return_date=2026-02-27&amp;currency=EUR&amp;startStation=29&amp;endStation=22", "Clic para verlo en la web de RoadSurfer")</f>
        <v/>
      </c>
    </row>
    <row r="466">
      <c r="A466" t="inlineStr">
        <is>
          <t>Francia</t>
        </is>
      </c>
      <c r="B466" t="inlineStr">
        <is>
          <t>Ginebra-Pays de Gex (Francia)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2026-02-21</t>
        </is>
      </c>
      <c r="F466" t="inlineStr">
        <is>
          <t>2026-02-28</t>
        </is>
      </c>
      <c r="G466" t="inlineStr">
        <is>
          <t xml:space="preserve"> - No hay coche</t>
        </is>
      </c>
      <c r="H466">
        <f>HYPERLINK("https://booking.roadsurfer.com/es/rally/pick?pickup_date=2026-02-21&amp;return_date=2026-02-28&amp;currency=EUR&amp;startStation=29&amp;endStation=22", "Clic para verlo en la web de RoadSurfer")</f>
        <v/>
      </c>
    </row>
    <row r="467">
      <c r="A467" t="inlineStr">
        <is>
          <t>Francia</t>
        </is>
      </c>
      <c r="B467" t="inlineStr">
        <is>
          <t>Ginebra-Pays de Gex (Francia)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2026-02-27</t>
        </is>
      </c>
      <c r="F467" t="inlineStr">
        <is>
          <t>2026-03-06</t>
        </is>
      </c>
      <c r="G467" t="inlineStr">
        <is>
          <t xml:space="preserve"> - Beach Hostel</t>
        </is>
      </c>
      <c r="H467">
        <f>HYPERLINK("https://booking.roadsurfer.com/es/rally/pick?pickup_date=2026-02-27&amp;return_date=2026-03-06&amp;currency=EUR&amp;startStation=29&amp;endStation=22", "Clic para verlo en la web de RoadSurfer")</f>
        <v/>
      </c>
    </row>
    <row r="468">
      <c r="A468" t="inlineStr">
        <is>
          <t>Francia</t>
        </is>
      </c>
      <c r="B468" t="inlineStr">
        <is>
          <t>Ginebra-Pays de Gex (Francia)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2026-03-14</t>
        </is>
      </c>
      <c r="F468" t="inlineStr">
        <is>
          <t>2026-03-21</t>
        </is>
      </c>
      <c r="G468" t="inlineStr">
        <is>
          <t xml:space="preserve"> - No hay coche</t>
        </is>
      </c>
      <c r="H468">
        <f>HYPERLINK("https://booking.roadsurfer.com/es/rally/pick?pickup_date=2026-03-14&amp;return_date=2026-03-21&amp;currency=EUR&amp;startStation=29&amp;endStation=22", "Clic para verlo en la web de RoadSurfer")</f>
        <v/>
      </c>
    </row>
    <row r="469">
      <c r="A469" t="inlineStr">
        <is>
          <t>Francia</t>
        </is>
      </c>
      <c r="B469" t="inlineStr">
        <is>
          <t>Ginebra-Pays de Gex (Francia)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2026-03-19</t>
        </is>
      </c>
      <c r="F469" t="inlineStr">
        <is>
          <t>2026-03-26</t>
        </is>
      </c>
      <c r="G469" t="inlineStr">
        <is>
          <t xml:space="preserve"> - Surfer Suite</t>
        </is>
      </c>
      <c r="H469">
        <f>HYPERLINK("https://booking.roadsurfer.com/es/rally/pick?pickup_date=2026-03-19&amp;return_date=2026-03-26&amp;currency=EUR&amp;startStation=29&amp;endStation=22", "Clic para verlo en la web de RoadSurfer")</f>
        <v/>
      </c>
    </row>
    <row r="470">
      <c r="A470" t="inlineStr">
        <is>
          <t>Francia</t>
        </is>
      </c>
      <c r="B470" t="inlineStr">
        <is>
          <t>Ginebra-Pays de Gex (Francia)</t>
        </is>
      </c>
      <c r="C470" t="inlineStr">
        <is>
          <t>Alemania</t>
        </is>
      </c>
      <c r="D470" t="inlineStr">
        <is>
          <t>Marburg</t>
        </is>
      </c>
      <c r="E470" t="inlineStr">
        <is>
          <t>2026-02-25</t>
        </is>
      </c>
      <c r="F470" t="inlineStr">
        <is>
          <t>2026-03-04</t>
        </is>
      </c>
      <c r="G470" t="inlineStr">
        <is>
          <t xml:space="preserve"> - Family Finca</t>
        </is>
      </c>
      <c r="H470">
        <f>HYPERLINK("https://booking.roadsurfer.com/es/rally/pick?pickup_date=2026-02-25&amp;return_date=2026-03-04&amp;currency=EUR&amp;startStation=29&amp;endStation=22", "Clic para verlo en la web de RoadSurfer")</f>
        <v/>
      </c>
    </row>
    <row r="471">
      <c r="A471" t="inlineStr">
        <is>
          <t>Francia</t>
        </is>
      </c>
      <c r="B471" t="inlineStr">
        <is>
          <t>Ginebra-Pays de Gex (Francia)</t>
        </is>
      </c>
      <c r="C471" t="inlineStr">
        <is>
          <t>Alemania</t>
        </is>
      </c>
      <c r="D471" t="inlineStr">
        <is>
          <t>Colonia-Bonn</t>
        </is>
      </c>
      <c r="E471" t="inlineStr">
        <is>
          <t>2026-03-17</t>
        </is>
      </c>
      <c r="F471" t="inlineStr">
        <is>
          <t>2026-03-24</t>
        </is>
      </c>
      <c r="G471" t="inlineStr">
        <is>
          <t xml:space="preserve"> - Beach Hostel</t>
        </is>
      </c>
      <c r="H471">
        <f>HYPERLINK("https://booking.roadsurfer.com/es/rally/pick?pickup_date=2026-03-17&amp;return_date=2026-03-24&amp;currency=EUR&amp;startStation=29&amp;endStation=52", "Clic para verlo en la web de RoadSurfer")</f>
        <v/>
      </c>
    </row>
    <row r="472">
      <c r="A472" t="inlineStr">
        <is>
          <t>Francia</t>
        </is>
      </c>
      <c r="B472" t="inlineStr">
        <is>
          <t>Ginebra-Pays de Gex (Francia)</t>
        </is>
      </c>
      <c r="C472" t="inlineStr">
        <is>
          <t>Alemania</t>
        </is>
      </c>
      <c r="D472" t="inlineStr">
        <is>
          <t>Colonia-Bonn</t>
        </is>
      </c>
      <c r="E472" t="inlineStr">
        <is>
          <t>2026-03-16</t>
        </is>
      </c>
      <c r="F472" t="inlineStr">
        <is>
          <t>2026-03-23</t>
        </is>
      </c>
      <c r="G472" t="inlineStr">
        <is>
          <t xml:space="preserve"> - SURFER SUITE</t>
        </is>
      </c>
      <c r="H472">
        <f>HYPERLINK("https://booking.roadsurfer.com/es/rally/pick?pickup_date=2026-03-16&amp;return_date=2026-03-23&amp;currency=EUR&amp;startStation=29&amp;endStation=52", "Clic para verlo en la web de RoadSurfer")</f>
        <v/>
      </c>
    </row>
    <row r="473">
      <c r="A473" t="inlineStr">
        <is>
          <t>Francia</t>
        </is>
      </c>
      <c r="B473" t="inlineStr">
        <is>
          <t>Ginebra-Pays de Gex (Francia)</t>
        </is>
      </c>
      <c r="C473" t="inlineStr">
        <is>
          <t>Alemania</t>
        </is>
      </c>
      <c r="D473" t="inlineStr">
        <is>
          <t>Colonia-Bonn</t>
        </is>
      </c>
      <c r="E473" t="inlineStr">
        <is>
          <t>2026-03-14</t>
        </is>
      </c>
      <c r="F473" t="inlineStr">
        <is>
          <t>2026-03-21</t>
        </is>
      </c>
      <c r="G473" t="inlineStr">
        <is>
          <t xml:space="preserve"> - Beach Hostel</t>
        </is>
      </c>
      <c r="H473">
        <f>HYPERLINK("https://booking.roadsurfer.com/es/rally/pick?pickup_date=2026-03-14&amp;return_date=2026-03-21&amp;currency=EUR&amp;startStation=29&amp;endStation=52", "Clic para verlo en la web de RoadSurfer")</f>
        <v/>
      </c>
    </row>
    <row r="474">
      <c r="A474" t="inlineStr">
        <is>
          <t>Francia</t>
        </is>
      </c>
      <c r="B474" t="inlineStr">
        <is>
          <t>Ginebra-Pays de Gex (Francia)</t>
        </is>
      </c>
      <c r="C474" t="inlineStr">
        <is>
          <t>Alemania</t>
        </is>
      </c>
      <c r="D474" t="inlineStr">
        <is>
          <t>Colonia-Bonn</t>
        </is>
      </c>
      <c r="E474" t="inlineStr">
        <is>
          <t>2026-03-18</t>
        </is>
      </c>
      <c r="F474" t="inlineStr">
        <is>
          <t>2026-03-25</t>
        </is>
      </c>
      <c r="G474" t="inlineStr">
        <is>
          <t xml:space="preserve"> - Surfer Suite - Road House</t>
        </is>
      </c>
      <c r="H474">
        <f>HYPERLINK("https://booking.roadsurfer.com/es/rally/pick?pickup_date=2026-03-18&amp;return_date=2026-03-25&amp;currency=EUR&amp;startStation=29&amp;endStation=52", "Clic para verlo en la web de RoadSurfer")</f>
        <v/>
      </c>
    </row>
    <row r="475">
      <c r="A475" t="inlineStr">
        <is>
          <t>Francia</t>
        </is>
      </c>
      <c r="B475" t="inlineStr">
        <is>
          <t>Ginebra-Pays de Gex (Francia)</t>
        </is>
      </c>
      <c r="C475" t="inlineStr">
        <is>
          <t>Alemania</t>
        </is>
      </c>
      <c r="D475" t="inlineStr">
        <is>
          <t>Fráncfort</t>
        </is>
      </c>
      <c r="E475" t="inlineStr">
        <is>
          <t>2026-03-16</t>
        </is>
      </c>
      <c r="F475" t="inlineStr">
        <is>
          <t>2026-03-23</t>
        </is>
      </c>
      <c r="G475" t="inlineStr">
        <is>
          <t xml:space="preserve"> - Surfer Suite</t>
        </is>
      </c>
      <c r="H475">
        <f>HYPERLINK("https://booking.roadsurfer.com/es/rally/pick?pickup_date=2026-03-16&amp;return_date=2026-03-23&amp;currency=EUR&amp;startStation=29&amp;endStation=2", "Clic para verlo en la web de RoadSurfer")</f>
        <v/>
      </c>
    </row>
    <row r="476">
      <c r="A476" t="inlineStr">
        <is>
          <t>Francia</t>
        </is>
      </c>
      <c r="B476" t="inlineStr">
        <is>
          <t>Ginebra-Pays de Gex (Francia)</t>
        </is>
      </c>
      <c r="C476" t="inlineStr">
        <is>
          <t>Alemania</t>
        </is>
      </c>
      <c r="D476" t="inlineStr">
        <is>
          <t>Fráncfort</t>
        </is>
      </c>
      <c r="E476" t="inlineStr">
        <is>
          <t>2026-03-19</t>
        </is>
      </c>
      <c r="F476" t="inlineStr">
        <is>
          <t>2026-03-26</t>
        </is>
      </c>
      <c r="G476" t="inlineStr">
        <is>
          <t xml:space="preserve"> - Beach Hostel</t>
        </is>
      </c>
      <c r="H476">
        <f>HYPERLINK("https://booking.roadsurfer.com/es/rally/pick?pickup_date=2026-03-19&amp;return_date=2026-03-26&amp;currency=EUR&amp;startStation=29&amp;endStation=2", "Clic para verlo en la web de RoadSurfer")</f>
        <v/>
      </c>
    </row>
    <row r="477">
      <c r="A477" t="inlineStr">
        <is>
          <t>Francia</t>
        </is>
      </c>
      <c r="B477" t="inlineStr">
        <is>
          <t>Ginebra-Pays de Gex (Francia)</t>
        </is>
      </c>
      <c r="C477" t="inlineStr">
        <is>
          <t>Alemania</t>
        </is>
      </c>
      <c r="D477" t="inlineStr">
        <is>
          <t>Fráncfort</t>
        </is>
      </c>
      <c r="E477" t="inlineStr">
        <is>
          <t>2026-03-17</t>
        </is>
      </c>
      <c r="F477" t="inlineStr">
        <is>
          <t>2026-03-24</t>
        </is>
      </c>
      <c r="G477" t="inlineStr">
        <is>
          <t xml:space="preserve"> - Sunrise Suite</t>
        </is>
      </c>
      <c r="H477">
        <f>HYPERLINK("https://booking.roadsurfer.com/es/rally/pick?pickup_date=2026-03-17&amp;return_date=2026-03-24&amp;currency=EUR&amp;startStation=29&amp;endStation=2", "Clic para verlo en la web de RoadSurfer")</f>
        <v/>
      </c>
    </row>
    <row r="478">
      <c r="A478" t="inlineStr">
        <is>
          <t>Francia</t>
        </is>
      </c>
      <c r="B478" t="inlineStr">
        <is>
          <t>Ginebra-Pays de Gex (Francia)</t>
        </is>
      </c>
      <c r="C478" t="inlineStr">
        <is>
          <t>Alemania</t>
        </is>
      </c>
      <c r="D478" t="inlineStr">
        <is>
          <t>Colonia-Düsseldorf</t>
        </is>
      </c>
      <c r="E478" t="inlineStr">
        <is>
          <t>2026-03-13</t>
        </is>
      </c>
      <c r="F478" t="inlineStr">
        <is>
          <t>2026-03-20</t>
        </is>
      </c>
      <c r="G478" t="inlineStr">
        <is>
          <t xml:space="preserve"> - Family Finca</t>
        </is>
      </c>
      <c r="H478">
        <f>HYPERLINK("https://booking.roadsurfer.com/es/rally/pick?pickup_date=2026-03-13&amp;return_date=2026-03-20&amp;currency=EUR&amp;startStation=29&amp;endStation=4", "Clic para verlo en la web de RoadSurfer")</f>
        <v/>
      </c>
    </row>
    <row r="479">
      <c r="A479" t="inlineStr">
        <is>
          <t>Francia</t>
        </is>
      </c>
      <c r="B479" t="inlineStr">
        <is>
          <t>Ginebra-Pays de Gex (Francia)</t>
        </is>
      </c>
      <c r="C479" t="inlineStr">
        <is>
          <t>Alemania</t>
        </is>
      </c>
      <c r="D479" t="inlineStr">
        <is>
          <t>Colonia-Düsseldorf</t>
        </is>
      </c>
      <c r="E479" t="inlineStr">
        <is>
          <t>2026-03-17</t>
        </is>
      </c>
      <c r="F479" t="inlineStr">
        <is>
          <t>2026-03-24</t>
        </is>
      </c>
      <c r="G479" t="inlineStr">
        <is>
          <t xml:space="preserve"> - Surfer Suite</t>
        </is>
      </c>
      <c r="H479">
        <f>HYPERLINK("https://booking.roadsurfer.com/es/rally/pick?pickup_date=2026-03-17&amp;return_date=2026-03-24&amp;currency=EUR&amp;startStation=29&amp;endStation=4",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2026-02-25</t>
        </is>
      </c>
      <c r="F480" t="inlineStr">
        <is>
          <t>2026-03-04</t>
        </is>
      </c>
      <c r="G480" t="inlineStr">
        <is>
          <t xml:space="preserve"> - Sunrise Suite</t>
        </is>
      </c>
      <c r="H480">
        <f>HYPERLINK("https://booking.roadsurfer.com/es/rally/pick?pickup_date=2026-02-25&amp;return_date=2026-03-04&amp;currency=EUR&amp;startStation=77&amp;endStation=22",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2026-02-21</t>
        </is>
      </c>
      <c r="F481" t="inlineStr">
        <is>
          <t>2026-02-28</t>
        </is>
      </c>
      <c r="G481" t="inlineStr">
        <is>
          <t xml:space="preserve"> - No hay coche</t>
        </is>
      </c>
      <c r="H481">
        <f>HYPERLINK("https://booking.roadsurfer.com/es/rally/pick?pickup_date=2026-02-21&amp;return_date=2026-02-28&amp;currency=EUR&amp;startStation=77&amp;endStation=22",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2026-03-17</t>
        </is>
      </c>
      <c r="F482" t="inlineStr">
        <is>
          <t>2026-03-24</t>
        </is>
      </c>
      <c r="G482" t="inlineStr">
        <is>
          <t xml:space="preserve"> - Beach Hostel</t>
        </is>
      </c>
      <c r="H482">
        <f>HYPERLINK("https://booking.roadsurfer.com/es/rally/pick?pickup_date=2026-03-17&amp;return_date=2026-03-24&amp;currency=EUR&amp;startStation=77&amp;endStation=22",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Dresde</t>
        </is>
      </c>
      <c r="E483" t="inlineStr">
        <is>
          <t>2026-02-23</t>
        </is>
      </c>
      <c r="F483" t="inlineStr">
        <is>
          <t>2026-03-02</t>
        </is>
      </c>
      <c r="G483" t="inlineStr">
        <is>
          <t xml:space="preserve"> - Family Finca</t>
        </is>
      </c>
      <c r="H483">
        <f>HYPERLINK("https://booking.roadsurfer.com/es/rally/pick?pickup_date=2026-02-23&amp;return_date=2026-03-02&amp;currency=EUR&amp;startStation=77&amp;endStation=56",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Hannover</t>
        </is>
      </c>
      <c r="E484" t="inlineStr">
        <is>
          <t>2026-02-20</t>
        </is>
      </c>
      <c r="F484" t="inlineStr">
        <is>
          <t>2026-02-27</t>
        </is>
      </c>
      <c r="G484" t="inlineStr">
        <is>
          <t xml:space="preserve"> - Surfer Suite</t>
        </is>
      </c>
      <c r="H484">
        <f>HYPERLINK("https://booking.roadsurfer.com/es/rally/pick?pickup_date=2026-02-20&amp;return_date=2026-02-27&amp;currency=EUR&amp;startStation=77&amp;endStation=7",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Hannover</t>
        </is>
      </c>
      <c r="E485" t="inlineStr">
        <is>
          <t>2026-02-19</t>
        </is>
      </c>
      <c r="F485" t="inlineStr">
        <is>
          <t>2026-02-26</t>
        </is>
      </c>
      <c r="G485" t="inlineStr">
        <is>
          <t xml:space="preserve"> - Surfer Suite</t>
        </is>
      </c>
      <c r="H485">
        <f>HYPERLINK("https://booking.roadsurfer.com/es/rally/pick?pickup_date=2026-02-19&amp;return_date=2026-02-26&amp;currency=EUR&amp;startStation=77&amp;endStation=7",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Hannover</t>
        </is>
      </c>
      <c r="E486" t="inlineStr">
        <is>
          <t>2026-02-21</t>
        </is>
      </c>
      <c r="F486" t="inlineStr">
        <is>
          <t>2026-02-28</t>
        </is>
      </c>
      <c r="G486" t="inlineStr">
        <is>
          <t xml:space="preserve"> - Surfer Suite</t>
        </is>
      </c>
      <c r="H486">
        <f>HYPERLINK("https://booking.roadsurfer.com/es/rally/pick?pickup_date=2026-02-21&amp;return_date=2026-02-28&amp;currency=EUR&amp;startStation=77&amp;endStation=7",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Hannover</t>
        </is>
      </c>
      <c r="E487" t="inlineStr">
        <is>
          <t>2026-02-27</t>
        </is>
      </c>
      <c r="F487" t="inlineStr">
        <is>
          <t>2026-03-06</t>
        </is>
      </c>
      <c r="G487" t="inlineStr">
        <is>
          <t xml:space="preserve"> - Road House</t>
        </is>
      </c>
      <c r="H487">
        <f>HYPERLINK("https://booking.roadsurfer.com/es/rally/pick?pickup_date=2026-02-27&amp;return_date=2026-03-06&amp;currency=EUR&amp;startStation=77&amp;endStation=7",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Hannover</t>
        </is>
      </c>
      <c r="E488" t="inlineStr">
        <is>
          <t>2026-02-26</t>
        </is>
      </c>
      <c r="F488" t="inlineStr">
        <is>
          <t>2026-03-05</t>
        </is>
      </c>
      <c r="G488" t="inlineStr">
        <is>
          <t xml:space="preserve"> - Couple Cottage</t>
        </is>
      </c>
      <c r="H488">
        <f>HYPERLINK("https://booking.roadsurfer.com/es/rally/pick?pickup_date=2026-02-26&amp;return_date=2026-03-05&amp;currency=EUR&amp;startStation=77&amp;endStation=7",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Bremen</t>
        </is>
      </c>
      <c r="E489" t="inlineStr">
        <is>
          <t>2026-02-20</t>
        </is>
      </c>
      <c r="F489" t="inlineStr">
        <is>
          <t>2026-02-27</t>
        </is>
      </c>
      <c r="G489" t="inlineStr">
        <is>
          <t xml:space="preserve"> - Surfer Suite - Road House</t>
        </is>
      </c>
      <c r="H489">
        <f>HYPERLINK("https://booking.roadsurfer.com/es/rally/pick?pickup_date=2026-02-20&amp;return_date=2026-02-27&amp;currency=EUR&amp;startStation=77&amp;endStation=55",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Bremen</t>
        </is>
      </c>
      <c r="E490" t="inlineStr">
        <is>
          <t>2026-02-24</t>
        </is>
      </c>
      <c r="F490" t="inlineStr">
        <is>
          <t>2026-03-03</t>
        </is>
      </c>
      <c r="G490" t="inlineStr">
        <is>
          <t xml:space="preserve"> - Surfer Suite</t>
        </is>
      </c>
      <c r="H490">
        <f>HYPERLINK("https://booking.roadsurfer.com/es/rally/pick?pickup_date=2026-02-24&amp;return_date=2026-03-03&amp;currency=EUR&amp;startStation=77&amp;endStation=55", "Clic para verlo en la web de RoadSurfer")</f>
        <v/>
      </c>
    </row>
    <row r="491">
      <c r="A491" t="inlineStr">
        <is>
          <t>Suecia</t>
        </is>
      </c>
      <c r="B491" t="inlineStr">
        <is>
          <t>Gotemburgo</t>
        </is>
      </c>
      <c r="C491" t="inlineStr">
        <is>
          <t>Alemania</t>
        </is>
      </c>
      <c r="D491" t="inlineStr">
        <is>
          <t>Hamburgo</t>
        </is>
      </c>
      <c r="E491" t="inlineStr">
        <is>
          <t>2026-02-19</t>
        </is>
      </c>
      <c r="F491" t="inlineStr">
        <is>
          <t>2026-02-26</t>
        </is>
      </c>
      <c r="G491" t="inlineStr">
        <is>
          <t xml:space="preserve"> - Family Finca</t>
        </is>
      </c>
      <c r="H491">
        <f>HYPERLINK("https://booking.roadsurfer.com/es/rally/pick?pickup_date=2026-02-19&amp;return_date=2026-02-26&amp;currency=EUR&amp;startStation=77&amp;endStation=3", "Clic para verlo en la web de RoadSurfer")</f>
        <v/>
      </c>
    </row>
    <row r="492">
      <c r="A492" t="inlineStr">
        <is>
          <t>Suecia</t>
        </is>
      </c>
      <c r="B492" t="inlineStr">
        <is>
          <t>Gotemburgo</t>
        </is>
      </c>
      <c r="C492" t="inlineStr">
        <is>
          <t>Alemania</t>
        </is>
      </c>
      <c r="D492" t="inlineStr">
        <is>
          <t>Hamburgo</t>
        </is>
      </c>
      <c r="E492" t="inlineStr">
        <is>
          <t>2026-03-14</t>
        </is>
      </c>
      <c r="F492" t="inlineStr">
        <is>
          <t>2026-03-21</t>
        </is>
      </c>
      <c r="G492" t="inlineStr">
        <is>
          <t xml:space="preserve"> - SURFER SUITE</t>
        </is>
      </c>
      <c r="H492">
        <f>HYPERLINK("https://booking.roadsurfer.com/es/rally/pick?pickup_date=2026-03-14&amp;return_date=2026-03-21&amp;currency=EUR&amp;startStation=77&amp;endStation=3", "Clic para verlo en la web de RoadSurfer")</f>
        <v/>
      </c>
    </row>
    <row r="493">
      <c r="A493" t="inlineStr">
        <is>
          <t>Suecia</t>
        </is>
      </c>
      <c r="B493" t="inlineStr">
        <is>
          <t>Gotemburgo</t>
        </is>
      </c>
      <c r="C493" t="inlineStr">
        <is>
          <t>Alemania</t>
        </is>
      </c>
      <c r="D493" t="inlineStr">
        <is>
          <t>Hamburgo</t>
        </is>
      </c>
      <c r="E493" t="inlineStr">
        <is>
          <t>2026-03-16</t>
        </is>
      </c>
      <c r="F493" t="inlineStr">
        <is>
          <t>2026-03-23</t>
        </is>
      </c>
      <c r="G493" t="inlineStr">
        <is>
          <t xml:space="preserve"> - Family Finca</t>
        </is>
      </c>
      <c r="H493">
        <f>HYPERLINK("https://booking.roadsurfer.com/es/rally/pick?pickup_date=2026-03-16&amp;return_date=2026-03-23&amp;currency=EUR&amp;startStation=77&amp;endStation=3", "Clic para verlo en la web de RoadSurfer")</f>
        <v/>
      </c>
    </row>
    <row r="494">
      <c r="A494" t="inlineStr">
        <is>
          <t>Suecia</t>
        </is>
      </c>
      <c r="B494" t="inlineStr">
        <is>
          <t>Gotemburgo</t>
        </is>
      </c>
      <c r="C494" t="inlineStr">
        <is>
          <t>Alemania</t>
        </is>
      </c>
      <c r="D494" t="inlineStr">
        <is>
          <t>Berlín</t>
        </is>
      </c>
      <c r="E494" t="inlineStr">
        <is>
          <t>2026-03-10</t>
        </is>
      </c>
      <c r="F494" t="inlineStr">
        <is>
          <t>2026-03-17</t>
        </is>
      </c>
      <c r="G494" t="inlineStr">
        <is>
          <t xml:space="preserve"> - BEACH HOSTEL</t>
        </is>
      </c>
      <c r="H494">
        <f>HYPERLINK("https://booking.roadsurfer.com/es/rally/pick?pickup_date=2026-03-10&amp;return_date=2026-03-17&amp;currency=EUR&amp;startStation=77&amp;endStation=6", "Clic para verlo en la web de RoadSurfer")</f>
        <v/>
      </c>
    </row>
    <row r="495">
      <c r="A495" t="inlineStr">
        <is>
          <t>Suecia</t>
        </is>
      </c>
      <c r="B495" t="inlineStr">
        <is>
          <t>Gotemburgo</t>
        </is>
      </c>
      <c r="C495" t="inlineStr">
        <is>
          <t>Alemania</t>
        </is>
      </c>
      <c r="D495" t="inlineStr">
        <is>
          <t>Berlín</t>
        </is>
      </c>
      <c r="E495" t="inlineStr">
        <is>
          <t>2026-03-11</t>
        </is>
      </c>
      <c r="F495" t="inlineStr">
        <is>
          <t>2026-03-18</t>
        </is>
      </c>
      <c r="G495" t="inlineStr">
        <is>
          <t xml:space="preserve"> - Family Finca</t>
        </is>
      </c>
      <c r="H495">
        <f>HYPERLINK("https://booking.roadsurfer.com/es/rally/pick?pickup_date=2026-03-11&amp;return_date=2026-03-18&amp;currency=EUR&amp;startStation=77&amp;endStation=6", "Clic para verlo en la web de RoadSurfer")</f>
        <v/>
      </c>
    </row>
    <row r="496">
      <c r="A496" t="inlineStr">
        <is>
          <t>Suecia</t>
        </is>
      </c>
      <c r="B496" t="inlineStr">
        <is>
          <t>Gotemburgo</t>
        </is>
      </c>
      <c r="C496" t="inlineStr">
        <is>
          <t>Alemania</t>
        </is>
      </c>
      <c r="D496" t="inlineStr">
        <is>
          <t>Berlín-Schönefeld</t>
        </is>
      </c>
      <c r="E496" t="inlineStr">
        <is>
          <t>2026-03-21</t>
        </is>
      </c>
      <c r="F496" t="inlineStr">
        <is>
          <t>2026-03-28</t>
        </is>
      </c>
      <c r="G496" t="inlineStr">
        <is>
          <t xml:space="preserve"> - Road House</t>
        </is>
      </c>
      <c r="H496">
        <f>HYPERLINK("https://booking.roadsurfer.com/es/rally/pick?pickup_date=2026-03-21&amp;return_date=2026-03-28&amp;currency=EUR&amp;startStation=77&amp;endStation=51", "Clic para verlo en la web de RoadSurfer")</f>
        <v/>
      </c>
    </row>
    <row r="497">
      <c r="A497" t="inlineStr">
        <is>
          <t>Suecia</t>
        </is>
      </c>
      <c r="B497" t="inlineStr">
        <is>
          <t>Gotemburgo</t>
        </is>
      </c>
      <c r="C497" t="inlineStr">
        <is>
          <t>Alemania</t>
        </is>
      </c>
      <c r="D497" t="inlineStr">
        <is>
          <t>Berlín-Schönefeld</t>
        </is>
      </c>
      <c r="E497" t="inlineStr">
        <is>
          <t>2026-03-19</t>
        </is>
      </c>
      <c r="F497" t="inlineStr">
        <is>
          <t>2026-03-26</t>
        </is>
      </c>
      <c r="G497" t="inlineStr">
        <is>
          <t xml:space="preserve"> - Surfer Suite</t>
        </is>
      </c>
      <c r="H497">
        <f>HYPERLINK("https://booking.roadsurfer.com/es/rally/pick?pickup_date=2026-03-19&amp;return_date=2026-03-26&amp;currency=EUR&amp;startStation=77&amp;endStation=51", "Clic para verlo en la web de RoadSurfer")</f>
        <v/>
      </c>
    </row>
    <row r="498">
      <c r="A498" t="inlineStr">
        <is>
          <t>Suecia</t>
        </is>
      </c>
      <c r="B498" t="inlineStr">
        <is>
          <t>Gotemburgo</t>
        </is>
      </c>
      <c r="C498" t="inlineStr">
        <is>
          <t>Alemania</t>
        </is>
      </c>
      <c r="D498" t="inlineStr">
        <is>
          <t>Berlín-Schönefeld</t>
        </is>
      </c>
      <c r="E498" t="inlineStr">
        <is>
          <t>2026-03-20</t>
        </is>
      </c>
      <c r="F498" t="inlineStr">
        <is>
          <t>2026-03-27</t>
        </is>
      </c>
      <c r="G498" t="inlineStr">
        <is>
          <t xml:space="preserve"> - Surfer Suite</t>
        </is>
      </c>
      <c r="H498">
        <f>HYPERLINK("https://booking.roadsurfer.com/es/rally/pick?pickup_date=2026-03-20&amp;return_date=2026-03-27&amp;currency=EUR&amp;startStation=77&amp;endStation=51", "Clic para verlo en la web de RoadSurfer")</f>
        <v/>
      </c>
    </row>
    <row r="499">
      <c r="A499" t="inlineStr">
        <is>
          <t>Suecia</t>
        </is>
      </c>
      <c r="B499" t="inlineStr">
        <is>
          <t>Gotemburgo</t>
        </is>
      </c>
      <c r="C499" t="inlineStr">
        <is>
          <t>Alemania</t>
        </is>
      </c>
      <c r="D499" t="inlineStr">
        <is>
          <t>Erfurt</t>
        </is>
      </c>
      <c r="E499" t="inlineStr">
        <is>
          <t>2026-03-23</t>
        </is>
      </c>
      <c r="F499" t="inlineStr">
        <is>
          <t>2026-03-30</t>
        </is>
      </c>
      <c r="G499" t="inlineStr">
        <is>
          <t xml:space="preserve"> - Road House</t>
        </is>
      </c>
      <c r="H499">
        <f>HYPERLINK("https://booking.roadsurfer.com/es/rally/pick?pickup_date=2026-03-23&amp;return_date=2026-03-30&amp;currency=EUR&amp;startStation=77&amp;endStation=90", "Clic para verlo en la web de RoadSurfer")</f>
        <v/>
      </c>
    </row>
    <row r="500">
      <c r="A500" t="inlineStr">
        <is>
          <t>Suecia</t>
        </is>
      </c>
      <c r="B500" t="inlineStr">
        <is>
          <t>Gotemburgo</t>
        </is>
      </c>
      <c r="C500" t="inlineStr">
        <is>
          <t>Alemania</t>
        </is>
      </c>
      <c r="D500" t="inlineStr">
        <is>
          <t>Bielefeld</t>
        </is>
      </c>
      <c r="E500" t="inlineStr">
        <is>
          <t>2026-03-24</t>
        </is>
      </c>
      <c r="F500" t="inlineStr">
        <is>
          <t>2026-03-31</t>
        </is>
      </c>
      <c r="G500" t="inlineStr">
        <is>
          <t xml:space="preserve"> - Beach Hostel</t>
        </is>
      </c>
      <c r="H500">
        <f>HYPERLINK("https://booking.roadsurfer.com/es/rally/pick?pickup_date=2026-03-24&amp;return_date=2026-03-31&amp;currency=EUR&amp;startStation=77&amp;endStation=91", "Clic para verlo en la web de RoadSurfer")</f>
        <v/>
      </c>
    </row>
    <row r="501">
      <c r="A501" t="inlineStr">
        <is>
          <t>Suecia</t>
        </is>
      </c>
      <c r="B501" t="inlineStr">
        <is>
          <t>Gotemburgo</t>
        </is>
      </c>
      <c r="C501" t="inlineStr">
        <is>
          <t>Alemania</t>
        </is>
      </c>
      <c r="D501" t="inlineStr">
        <is>
          <t>Karlsruhe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Camper Castle</t>
        </is>
      </c>
      <c r="H501">
        <f>HYPERLINK("https://booking.roadsurfer.com/es/rally/pick?pickup_date=2026-03-19&amp;return_date=2026-03-26&amp;currency=EUR&amp;startStation=77&amp;endStation=110", "Clic para verlo en la web de RoadSurfer")</f>
        <v/>
      </c>
    </row>
    <row r="502">
      <c r="A502" t="inlineStr">
        <is>
          <t>Suecia</t>
        </is>
      </c>
      <c r="B502" t="inlineStr">
        <is>
          <t>Gotemburgo</t>
        </is>
      </c>
      <c r="C502" t="inlineStr">
        <is>
          <t>Alemania</t>
        </is>
      </c>
      <c r="D502" t="inlineStr">
        <is>
          <t>Maguncia</t>
        </is>
      </c>
      <c r="E502" t="inlineStr">
        <is>
          <t>2026-03-19</t>
        </is>
      </c>
      <c r="F502" t="inlineStr">
        <is>
          <t>2026-03-26</t>
        </is>
      </c>
      <c r="G502" t="inlineStr">
        <is>
          <t xml:space="preserve"> - Camper Castle</t>
        </is>
      </c>
      <c r="H502">
        <f>HYPERLINK("https://booking.roadsurfer.com/es/rally/pick?pickup_date=2026-03-19&amp;return_date=2026-03-26&amp;currency=EUR&amp;startStation=77&amp;endStation=54", "Clic para verlo en la web de RoadSurfer")</f>
        <v/>
      </c>
    </row>
    <row r="503">
      <c r="A503" t="inlineStr">
        <is>
          <t>Austria</t>
        </is>
      </c>
      <c r="B503" t="inlineStr">
        <is>
          <t>Graz</t>
        </is>
      </c>
      <c r="C503" t="inlineStr">
        <is>
          <t>Alemania</t>
        </is>
      </c>
      <c r="D503" t="inlineStr">
        <is>
          <t>Múnich</t>
        </is>
      </c>
      <c r="E503" t="inlineStr">
        <is>
          <t>2026-04-03</t>
        </is>
      </c>
      <c r="F503" t="inlineStr">
        <is>
          <t>2026-04-10</t>
        </is>
      </c>
      <c r="G503" t="inlineStr">
        <is>
          <t xml:space="preserve"> - Camper Castle</t>
        </is>
      </c>
      <c r="H503">
        <f>HYPERLINK("https://booking.roadsurfer.com/es/rally/pick?pickup_date=2026-04-03&amp;return_date=2026-04-10&amp;currency=EUR&amp;startStation=37&amp;endStation=1", "Clic para verlo en la web de RoadSurfer")</f>
        <v/>
      </c>
    </row>
    <row r="504">
      <c r="A504" t="inlineStr">
        <is>
          <t>Austria</t>
        </is>
      </c>
      <c r="B504" t="inlineStr">
        <is>
          <t>Graz</t>
        </is>
      </c>
      <c r="C504" t="inlineStr">
        <is>
          <t>Alemania</t>
        </is>
      </c>
      <c r="D504" t="inlineStr">
        <is>
          <t>Dresde</t>
        </is>
      </c>
      <c r="E504" t="inlineStr">
        <is>
          <t>2026-02-21</t>
        </is>
      </c>
      <c r="F504" t="inlineStr">
        <is>
          <t>2026-02-28</t>
        </is>
      </c>
      <c r="G504" t="inlineStr">
        <is>
          <t xml:space="preserve"> - Camper Castle</t>
        </is>
      </c>
      <c r="H504">
        <f>HYPERLINK("https://booking.roadsurfer.com/es/rally/pick?pickup_date=2026-02-21&amp;return_date=2026-02-28&amp;currency=EUR&amp;startStation=37&amp;endStation=56", "Clic para verlo en la web de RoadSurfer")</f>
        <v/>
      </c>
    </row>
    <row r="505">
      <c r="A505" t="inlineStr">
        <is>
          <t>Austria</t>
        </is>
      </c>
      <c r="B505" t="inlineStr">
        <is>
          <t>Graz</t>
        </is>
      </c>
      <c r="C505" t="inlineStr">
        <is>
          <t>Alemania</t>
        </is>
      </c>
      <c r="D505" t="inlineStr">
        <is>
          <t>Dresde</t>
        </is>
      </c>
      <c r="E505" t="inlineStr">
        <is>
          <t>2026-03-17</t>
        </is>
      </c>
      <c r="F505" t="inlineStr">
        <is>
          <t>2026-03-24</t>
        </is>
      </c>
      <c r="G505" t="inlineStr">
        <is>
          <t xml:space="preserve"> - Road House</t>
        </is>
      </c>
      <c r="H505">
        <f>HYPERLINK("https://booking.roadsurfer.com/es/rally/pick?pickup_date=2026-03-17&amp;return_date=2026-03-24&amp;currency=EUR&amp;startStation=37&amp;endStation=56", "Clic para verlo en la web de RoadSurfer")</f>
        <v/>
      </c>
    </row>
    <row r="506">
      <c r="A506" t="inlineStr">
        <is>
          <t>Austria</t>
        </is>
      </c>
      <c r="B506" t="inlineStr">
        <is>
          <t>Graz</t>
        </is>
      </c>
      <c r="C506" t="inlineStr">
        <is>
          <t>Alemania</t>
        </is>
      </c>
      <c r="D506" t="inlineStr">
        <is>
          <t>Dresde</t>
        </is>
      </c>
      <c r="E506" t="inlineStr">
        <is>
          <t>2026-03-18</t>
        </is>
      </c>
      <c r="F506" t="inlineStr">
        <is>
          <t>2026-03-25</t>
        </is>
      </c>
      <c r="G506" t="inlineStr">
        <is>
          <t xml:space="preserve"> - Family Finca</t>
        </is>
      </c>
      <c r="H506">
        <f>HYPERLINK("https://booking.roadsurfer.com/es/rally/pick?pickup_date=2026-03-18&amp;return_date=2026-03-25&amp;currency=EUR&amp;startStation=37&amp;endStation=56", "Clic para verlo en la web de RoadSurfer")</f>
        <v/>
      </c>
    </row>
    <row r="507">
      <c r="A507" t="inlineStr">
        <is>
          <t>Austria</t>
        </is>
      </c>
      <c r="B507" t="inlineStr">
        <is>
          <t>Graz</t>
        </is>
      </c>
      <c r="C507" t="inlineStr">
        <is>
          <t>Alemania</t>
        </is>
      </c>
      <c r="D507" t="inlineStr">
        <is>
          <t>Dresde</t>
        </is>
      </c>
      <c r="E507" t="inlineStr">
        <is>
          <t>2026-03-16</t>
        </is>
      </c>
      <c r="F507" t="inlineStr">
        <is>
          <t>2026-03-23</t>
        </is>
      </c>
      <c r="G507" t="inlineStr">
        <is>
          <t xml:space="preserve"> - Road House</t>
        </is>
      </c>
      <c r="H507">
        <f>HYPERLINK("https://booking.roadsurfer.com/es/rally/pick?pickup_date=2026-03-16&amp;return_date=2026-03-23&amp;currency=EUR&amp;startStation=37&amp;endStation=56", "Clic para verlo en la web de RoadSurfer")</f>
        <v/>
      </c>
    </row>
    <row r="508">
      <c r="A508" t="inlineStr">
        <is>
          <t>Austria</t>
        </is>
      </c>
      <c r="B508" t="inlineStr">
        <is>
          <t>Graz</t>
        </is>
      </c>
      <c r="C508" t="inlineStr">
        <is>
          <t>Alemania</t>
        </is>
      </c>
      <c r="D508" t="inlineStr">
        <is>
          <t>Erfurt</t>
        </is>
      </c>
      <c r="E508" t="inlineStr">
        <is>
          <t>2026-02-23</t>
        </is>
      </c>
      <c r="F508" t="inlineStr">
        <is>
          <t>2026-03-02</t>
        </is>
      </c>
      <c r="G508" t="inlineStr">
        <is>
          <t xml:space="preserve"> - Surfer Suite</t>
        </is>
      </c>
      <c r="H508">
        <f>HYPERLINK("https://booking.roadsurfer.com/es/rally/pick?pickup_date=2026-02-23&amp;return_date=2026-03-02&amp;currency=EUR&amp;startStation=37&amp;endStation=90", "Clic para verlo en la web de RoadSurfer")</f>
        <v/>
      </c>
    </row>
    <row r="509">
      <c r="A509" t="inlineStr">
        <is>
          <t>Austria</t>
        </is>
      </c>
      <c r="B509" t="inlineStr">
        <is>
          <t>Graz</t>
        </is>
      </c>
      <c r="C509" t="inlineStr">
        <is>
          <t>Alemania</t>
        </is>
      </c>
      <c r="D509" t="inlineStr">
        <is>
          <t>Erfurt</t>
        </is>
      </c>
      <c r="E509" t="inlineStr">
        <is>
          <t>2026-03-09</t>
        </is>
      </c>
      <c r="F509" t="inlineStr">
        <is>
          <t>2026-03-16</t>
        </is>
      </c>
      <c r="G509" t="inlineStr">
        <is>
          <t xml:space="preserve"> - Surfer Suite</t>
        </is>
      </c>
      <c r="H509">
        <f>HYPERLINK("https://booking.roadsurfer.com/es/rally/pick?pickup_date=2026-03-09&amp;return_date=2026-03-16&amp;currency=EUR&amp;startStation=37&amp;endStation=90", "Clic para verlo en la web de RoadSurfer")</f>
        <v/>
      </c>
    </row>
    <row r="510">
      <c r="A510" t="inlineStr">
        <is>
          <t>Austria</t>
        </is>
      </c>
      <c r="B510" t="inlineStr">
        <is>
          <t>Graz</t>
        </is>
      </c>
      <c r="C510" t="inlineStr">
        <is>
          <t>Alemania</t>
        </is>
      </c>
      <c r="D510" t="inlineStr">
        <is>
          <t>Erfurt</t>
        </is>
      </c>
      <c r="E510" t="inlineStr">
        <is>
          <t>2026-03-11</t>
        </is>
      </c>
      <c r="F510" t="inlineStr">
        <is>
          <t>2026-03-18</t>
        </is>
      </c>
      <c r="G510" t="inlineStr">
        <is>
          <t xml:space="preserve"> - Family Finca</t>
        </is>
      </c>
      <c r="H510">
        <f>HYPERLINK("https://booking.roadsurfer.com/es/rally/pick?pickup_date=2026-03-11&amp;return_date=2026-03-18&amp;currency=EUR&amp;startStation=37&amp;endStation=90", "Clic para verlo en la web de RoadSurfer")</f>
        <v/>
      </c>
    </row>
    <row r="511">
      <c r="A511" t="inlineStr">
        <is>
          <t>Austria</t>
        </is>
      </c>
      <c r="B511" t="inlineStr">
        <is>
          <t>Graz</t>
        </is>
      </c>
      <c r="C511" t="inlineStr">
        <is>
          <t>Alemania</t>
        </is>
      </c>
      <c r="D511" t="inlineStr">
        <is>
          <t>Erfurt</t>
        </is>
      </c>
      <c r="E511" t="inlineStr">
        <is>
          <t>2026-03-10</t>
        </is>
      </c>
      <c r="F511" t="inlineStr">
        <is>
          <t>2026-03-17</t>
        </is>
      </c>
      <c r="G511" t="inlineStr">
        <is>
          <t xml:space="preserve"> - Family Finca</t>
        </is>
      </c>
      <c r="H511">
        <f>HYPERLINK("https://booking.roadsurfer.com/es/rally/pick?pickup_date=2026-03-10&amp;return_date=2026-03-17&amp;currency=EUR&amp;startStation=37&amp;endStation=90", "Clic para verlo en la web de RoadSurfer")</f>
        <v/>
      </c>
    </row>
    <row r="512">
      <c r="A512" t="inlineStr">
        <is>
          <t>Austria</t>
        </is>
      </c>
      <c r="B512" t="inlineStr">
        <is>
          <t>Graz</t>
        </is>
      </c>
      <c r="C512" t="inlineStr">
        <is>
          <t>Alemania</t>
        </is>
      </c>
      <c r="D512" t="inlineStr">
        <is>
          <t>Leipzig</t>
        </is>
      </c>
      <c r="E512" t="inlineStr">
        <is>
          <t>2026-03-12</t>
        </is>
      </c>
      <c r="F512" t="inlineStr">
        <is>
          <t>2026-03-19</t>
        </is>
      </c>
      <c r="G512" t="inlineStr">
        <is>
          <t xml:space="preserve"> - SURFER SUITE</t>
        </is>
      </c>
      <c r="H512">
        <f>HYPERLINK("https://booking.roadsurfer.com/es/rally/pick?pickup_date=2026-03-12&amp;return_date=2026-03-19&amp;currency=EUR&amp;startStation=37&amp;endStation=8", "Clic para verlo en la web de RoadSurfer")</f>
        <v/>
      </c>
    </row>
    <row r="513">
      <c r="A513" t="inlineStr">
        <is>
          <t>Austria</t>
        </is>
      </c>
      <c r="B513" t="inlineStr">
        <is>
          <t>Graz</t>
        </is>
      </c>
      <c r="C513" t="inlineStr">
        <is>
          <t>Alemania</t>
        </is>
      </c>
      <c r="D513" t="inlineStr">
        <is>
          <t>Leipzig</t>
        </is>
      </c>
      <c r="E513" t="inlineStr">
        <is>
          <t>2026-03-09</t>
        </is>
      </c>
      <c r="F513" t="inlineStr">
        <is>
          <t>2026-03-16</t>
        </is>
      </c>
      <c r="G513" t="inlineStr">
        <is>
          <t xml:space="preserve"> - FAMILY FINCA</t>
        </is>
      </c>
      <c r="H513">
        <f>HYPERLINK("https://booking.roadsurfer.com/es/rally/pick?pickup_date=2026-03-09&amp;return_date=2026-03-16&amp;currency=EUR&amp;startStation=37&amp;endStation=8", "Clic para verlo en la web de RoadSurfer")</f>
        <v/>
      </c>
    </row>
    <row r="514">
      <c r="A514" t="inlineStr">
        <is>
          <t>Austria</t>
        </is>
      </c>
      <c r="B514" t="inlineStr">
        <is>
          <t>Graz</t>
        </is>
      </c>
      <c r="C514" t="inlineStr">
        <is>
          <t>Alemania</t>
        </is>
      </c>
      <c r="D514" t="inlineStr">
        <is>
          <t>Colonia-Bonn</t>
        </is>
      </c>
      <c r="E514" t="inlineStr">
        <is>
          <t>2026-03-09</t>
        </is>
      </c>
      <c r="F514" t="inlineStr">
        <is>
          <t>2026-03-16</t>
        </is>
      </c>
      <c r="G514" t="inlineStr">
        <is>
          <t xml:space="preserve"> - Road House</t>
        </is>
      </c>
      <c r="H514">
        <f>HYPERLINK("https://booking.roadsurfer.com/es/rally/pick?pickup_date=2026-03-09&amp;return_date=2026-03-16&amp;currency=EUR&amp;startStation=37&amp;endStation=52", "Clic para verlo en la web de RoadSurfer")</f>
        <v/>
      </c>
    </row>
    <row r="515">
      <c r="A515" t="inlineStr">
        <is>
          <t>Austria</t>
        </is>
      </c>
      <c r="B515" t="inlineStr">
        <is>
          <t>Graz</t>
        </is>
      </c>
      <c r="C515" t="inlineStr">
        <is>
          <t>Austria</t>
        </is>
      </c>
      <c r="D515" t="inlineStr">
        <is>
          <t>Salzburgo</t>
        </is>
      </c>
      <c r="E515" t="inlineStr">
        <is>
          <t>2026-03-19</t>
        </is>
      </c>
      <c r="F515" t="inlineStr">
        <is>
          <t>2026-03-26</t>
        </is>
      </c>
      <c r="G515" t="inlineStr">
        <is>
          <t xml:space="preserve"> - Family Finca</t>
        </is>
      </c>
      <c r="H515">
        <f>HYPERLINK("https://booking.roadsurfer.com/es/rally/pick?pickup_date=2026-03-19&amp;return_date=2026-03-26&amp;currency=EUR&amp;startStation=37&amp;endStation=85", "Clic para verlo en la web de RoadSurfer")</f>
        <v/>
      </c>
    </row>
    <row r="516">
      <c r="A516" t="inlineStr">
        <is>
          <t>Austria</t>
        </is>
      </c>
      <c r="B516" t="inlineStr">
        <is>
          <t>Graz</t>
        </is>
      </c>
      <c r="C516" t="inlineStr">
        <is>
          <t>Austria</t>
        </is>
      </c>
      <c r="D516" t="inlineStr">
        <is>
          <t>Viena Sur</t>
        </is>
      </c>
      <c r="E516" t="inlineStr">
        <is>
          <t>2026-03-12</t>
        </is>
      </c>
      <c r="F516" t="inlineStr">
        <is>
          <t>2026-03-19</t>
        </is>
      </c>
      <c r="G516" t="inlineStr">
        <is>
          <t xml:space="preserve"> - FAMILY FINCA</t>
        </is>
      </c>
      <c r="H516">
        <f>HYPERLINK("https://booking.roadsurfer.com/es/rally/pick?pickup_date=2026-03-12&amp;return_date=2026-03-19&amp;currency=EUR&amp;startStation=37&amp;endStation=45",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Países Bajos</t>
        </is>
      </c>
      <c r="D517" t="inlineStr">
        <is>
          <t>Ámsterdam</t>
        </is>
      </c>
      <c r="E517" t="inlineStr">
        <is>
          <t>2026-03-06</t>
        </is>
      </c>
      <c r="F517" t="inlineStr">
        <is>
          <t>2026-03-13</t>
        </is>
      </c>
      <c r="G517" t="inlineStr">
        <is>
          <t xml:space="preserve"> - Camper Cabin Deluxe</t>
        </is>
      </c>
      <c r="H517">
        <f>HYPERLINK("https://booking.roadsurfer.com/es/rally/pick?pickup_date=2026-03-06&amp;return_date=2026-03-13&amp;currency=EUR&amp;startStation=3&amp;endStation=32",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Países Bajos</t>
        </is>
      </c>
      <c r="D518" t="inlineStr">
        <is>
          <t>Ámsterdam</t>
        </is>
      </c>
      <c r="E518" t="inlineStr">
        <is>
          <t>2026-03-10</t>
        </is>
      </c>
      <c r="F518" t="inlineStr">
        <is>
          <t>2026-03-17</t>
        </is>
      </c>
      <c r="G518" t="inlineStr">
        <is>
          <t xml:space="preserve"> - Surfer Suite</t>
        </is>
      </c>
      <c r="H518">
        <f>HYPERLINK("https://booking.roadsurfer.com/es/rally/pick?pickup_date=2026-03-10&amp;return_date=2026-03-17&amp;currency=EUR&amp;startStation=3&amp;endStation=32", "Clic para verlo en la web de RoadSurfer")</f>
        <v/>
      </c>
    </row>
    <row r="519">
      <c r="A519" t="inlineStr">
        <is>
          <t>Alemania</t>
        </is>
      </c>
      <c r="B519" t="inlineStr">
        <is>
          <t>Hamburgo</t>
        </is>
      </c>
      <c r="C519" t="inlineStr">
        <is>
          <t>Países Bajos</t>
        </is>
      </c>
      <c r="D519" t="inlineStr">
        <is>
          <t>Róterdam</t>
        </is>
      </c>
      <c r="E519" t="inlineStr">
        <is>
          <t>2026-03-23</t>
        </is>
      </c>
      <c r="F519" t="inlineStr">
        <is>
          <t>2026-03-30</t>
        </is>
      </c>
      <c r="G519" t="inlineStr">
        <is>
          <t xml:space="preserve"> - Surfer Suite - Couple Cottage</t>
        </is>
      </c>
      <c r="H519">
        <f>HYPERLINK("https://booking.roadsurfer.com/es/rally/pick?pickup_date=2026-03-23&amp;return_date=2026-03-30&amp;currency=EUR&amp;startStation=3&amp;endStation=33", "Clic para verlo en la web de RoadSurfer")</f>
        <v/>
      </c>
    </row>
    <row r="520">
      <c r="A520" t="inlineStr">
        <is>
          <t>Alemania</t>
        </is>
      </c>
      <c r="B520" t="inlineStr">
        <is>
          <t>Hamburgo</t>
        </is>
      </c>
      <c r="C520" t="inlineStr">
        <is>
          <t>Países Bajos</t>
        </is>
      </c>
      <c r="D520" t="inlineStr">
        <is>
          <t>Róterdam</t>
        </is>
      </c>
      <c r="E520" t="inlineStr">
        <is>
          <t>2026-03-19</t>
        </is>
      </c>
      <c r="F520" t="inlineStr">
        <is>
          <t>2026-03-26</t>
        </is>
      </c>
      <c r="G520" t="inlineStr">
        <is>
          <t xml:space="preserve"> - CAMPER CASTLE</t>
        </is>
      </c>
      <c r="H520">
        <f>HYPERLINK("https://booking.roadsurfer.com/es/rally/pick?pickup_date=2026-03-19&amp;return_date=2026-03-26&amp;currency=EUR&amp;startStation=3&amp;endStation=33", "Clic para verlo en la web de RoadSurfer")</f>
        <v/>
      </c>
    </row>
    <row r="521">
      <c r="A521" t="inlineStr">
        <is>
          <t>Alemania</t>
        </is>
      </c>
      <c r="B521" t="inlineStr">
        <is>
          <t>Hamburgo</t>
        </is>
      </c>
      <c r="C521" t="inlineStr">
        <is>
          <t>España</t>
        </is>
      </c>
      <c r="D521" t="inlineStr">
        <is>
          <t>Valencia</t>
        </is>
      </c>
      <c r="E521" t="inlineStr">
        <is>
          <t>2026-03-02</t>
        </is>
      </c>
      <c r="F521" t="inlineStr">
        <is>
          <t>2026-03-09</t>
        </is>
      </c>
      <c r="G521" t="inlineStr">
        <is>
          <t xml:space="preserve"> - Camper Castle</t>
        </is>
      </c>
      <c r="H521">
        <f>HYPERLINK("https://booking.roadsurfer.com/es/rally/pick?pickup_date=2026-03-02&amp;return_date=2026-03-09&amp;currency=EUR&amp;startStation=3&amp;endStation=38",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España</t>
        </is>
      </c>
      <c r="D522" t="inlineStr">
        <is>
          <t>Valencia</t>
        </is>
      </c>
      <c r="E522" t="inlineStr">
        <is>
          <t>2026-03-26</t>
        </is>
      </c>
      <c r="F522" t="inlineStr">
        <is>
          <t>2026-04-02</t>
        </is>
      </c>
      <c r="G522" t="inlineStr">
        <is>
          <t xml:space="preserve"> - No hay coche</t>
        </is>
      </c>
      <c r="H522">
        <f>HYPERLINK("https://booking.roadsurfer.com/es/rally/pick?pickup_date=2026-03-26&amp;return_date=2026-04-02&amp;currency=EUR&amp;startStation=3&amp;endStation=38",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Suecia</t>
        </is>
      </c>
      <c r="D523" t="inlineStr">
        <is>
          <t>Malmö</t>
        </is>
      </c>
      <c r="E523" t="inlineStr">
        <is>
          <t>2026-03-20</t>
        </is>
      </c>
      <c r="F523" t="inlineStr">
        <is>
          <t>2026-03-27</t>
        </is>
      </c>
      <c r="G523" t="inlineStr">
        <is>
          <t xml:space="preserve"> - Surfer Suite</t>
        </is>
      </c>
      <c r="H523">
        <f>HYPERLINK("https://booking.roadsurfer.com/es/rally/pick?pickup_date=2026-03-20&amp;return_date=2026-03-27&amp;currency=EUR&amp;startStation=3&amp;endStation=60", "Clic para verlo en la web de RoadSurfer")</f>
        <v/>
      </c>
    </row>
    <row r="524">
      <c r="A524" t="inlineStr">
        <is>
          <t>Alemania</t>
        </is>
      </c>
      <c r="B524" t="inlineStr">
        <is>
          <t>Hamburgo</t>
        </is>
      </c>
      <c r="C524" t="inlineStr">
        <is>
          <t>Suecia</t>
        </is>
      </c>
      <c r="D524" t="inlineStr">
        <is>
          <t>Malmö</t>
        </is>
      </c>
      <c r="E524" t="inlineStr">
        <is>
          <t>2026-03-26</t>
        </is>
      </c>
      <c r="F524" t="inlineStr">
        <is>
          <t>2026-04-02</t>
        </is>
      </c>
      <c r="G524" t="inlineStr">
        <is>
          <t xml:space="preserve"> - Beach Hostel</t>
        </is>
      </c>
      <c r="H524">
        <f>HYPERLINK("https://booking.roadsurfer.com/es/rally/pick?pickup_date=2026-03-26&amp;return_date=2026-04-02&amp;currency=EUR&amp;startStation=3&amp;endStation=60", "Clic para verlo en la web de RoadSurfer")</f>
        <v/>
      </c>
    </row>
    <row r="525">
      <c r="A525" t="inlineStr">
        <is>
          <t>Alemania</t>
        </is>
      </c>
      <c r="B525" t="inlineStr">
        <is>
          <t>Hamburgo</t>
        </is>
      </c>
      <c r="C525" t="inlineStr">
        <is>
          <t>Suecia</t>
        </is>
      </c>
      <c r="D525" t="inlineStr">
        <is>
          <t>Malmö</t>
        </is>
      </c>
      <c r="E525" t="inlineStr">
        <is>
          <t>2026-03-23</t>
        </is>
      </c>
      <c r="F525" t="inlineStr">
        <is>
          <t>2026-03-30</t>
        </is>
      </c>
      <c r="G525" t="inlineStr">
        <is>
          <t xml:space="preserve"> - Surfer Suite</t>
        </is>
      </c>
      <c r="H525">
        <f>HYPERLINK("https://booking.roadsurfer.com/es/rally/pick?pickup_date=2026-03-23&amp;return_date=2026-03-30&amp;currency=EUR&amp;startStation=3&amp;endStation=60", "Clic para verlo en la web de RoadSurfer")</f>
        <v/>
      </c>
    </row>
    <row r="526">
      <c r="A526" t="inlineStr">
        <is>
          <t>Alemania</t>
        </is>
      </c>
      <c r="B526" t="inlineStr">
        <is>
          <t>Hamburgo</t>
        </is>
      </c>
      <c r="C526" t="inlineStr">
        <is>
          <t>Suecia</t>
        </is>
      </c>
      <c r="D526" t="inlineStr">
        <is>
          <t>Malmö</t>
        </is>
      </c>
      <c r="E526" t="inlineStr">
        <is>
          <t>2026-03-19</t>
        </is>
      </c>
      <c r="F526" t="inlineStr">
        <is>
          <t>2026-03-26</t>
        </is>
      </c>
      <c r="G526" t="inlineStr">
        <is>
          <t xml:space="preserve"> - Family Finca</t>
        </is>
      </c>
      <c r="H526">
        <f>HYPERLINK("https://booking.roadsurfer.com/es/rally/pick?pickup_date=2026-03-19&amp;return_date=2026-03-26&amp;currency=EUR&amp;startStation=3&amp;endStation=60", "Clic para verlo en la web de RoadSurfer")</f>
        <v/>
      </c>
    </row>
    <row r="527">
      <c r="A527" t="inlineStr">
        <is>
          <t>Alemania</t>
        </is>
      </c>
      <c r="B527" t="inlineStr">
        <is>
          <t>Hamburgo</t>
        </is>
      </c>
      <c r="C527" t="inlineStr">
        <is>
          <t>Suecia</t>
        </is>
      </c>
      <c r="D527" t="inlineStr">
        <is>
          <t>Malmö</t>
        </is>
      </c>
      <c r="E527" t="inlineStr">
        <is>
          <t>2026-03-17</t>
        </is>
      </c>
      <c r="F527" t="inlineStr">
        <is>
          <t>2026-03-24</t>
        </is>
      </c>
      <c r="G527" t="inlineStr">
        <is>
          <t xml:space="preserve"> - Beach Hostel</t>
        </is>
      </c>
      <c r="H527">
        <f>HYPERLINK("https://booking.roadsurfer.com/es/rally/pick?pickup_date=2026-03-17&amp;return_date=2026-03-24&amp;currency=EUR&amp;startStation=3&amp;endStation=60", "Clic para verlo en la web de RoadSurfer")</f>
        <v/>
      </c>
    </row>
    <row r="528">
      <c r="A528" t="inlineStr">
        <is>
          <t>Alemania</t>
        </is>
      </c>
      <c r="B528" t="inlineStr">
        <is>
          <t>Hamburgo</t>
        </is>
      </c>
      <c r="C528" t="inlineStr">
        <is>
          <t>Suecia</t>
        </is>
      </c>
      <c r="D528" t="inlineStr">
        <is>
          <t>Malmö</t>
        </is>
      </c>
      <c r="E528" t="inlineStr">
        <is>
          <t>2026-03-30</t>
        </is>
      </c>
      <c r="F528" t="inlineStr">
        <is>
          <t>2026-04-06</t>
        </is>
      </c>
      <c r="G528" t="inlineStr">
        <is>
          <t xml:space="preserve"> - No hay coche</t>
        </is>
      </c>
      <c r="H528">
        <f>HYPERLINK("https://booking.roadsurfer.com/es/rally/pick?pickup_date=2026-03-30&amp;return_date=2026-04-06&amp;currency=EUR&amp;startStation=3&amp;endStation=60", "Clic para verlo en la web de RoadSurfer")</f>
        <v/>
      </c>
    </row>
    <row r="529">
      <c r="A529" t="inlineStr">
        <is>
          <t>Alemania</t>
        </is>
      </c>
      <c r="B529" t="inlineStr">
        <is>
          <t>Hamburgo</t>
        </is>
      </c>
      <c r="C529" t="inlineStr">
        <is>
          <t>Suecia</t>
        </is>
      </c>
      <c r="D529" t="inlineStr">
        <is>
          <t>Gotemburgo</t>
        </is>
      </c>
      <c r="E529" t="inlineStr">
        <is>
          <t>2026-03-14</t>
        </is>
      </c>
      <c r="F529" t="inlineStr">
        <is>
          <t>2026-03-21</t>
        </is>
      </c>
      <c r="G529" t="inlineStr">
        <is>
          <t xml:space="preserve"> - Surfer Suite</t>
        </is>
      </c>
      <c r="H529">
        <f>HYPERLINK("https://booking.roadsurfer.com/es/rally/pick?pickup_date=2026-03-14&amp;return_date=2026-03-21&amp;currency=EUR&amp;startStation=3&amp;endStation=77", "Clic para verlo en la web de RoadSurfer")</f>
        <v/>
      </c>
    </row>
    <row r="530">
      <c r="A530" t="inlineStr">
        <is>
          <t>Alemania</t>
        </is>
      </c>
      <c r="B530" t="inlineStr">
        <is>
          <t>Hamburgo</t>
        </is>
      </c>
      <c r="C530" t="inlineStr">
        <is>
          <t>Suecia</t>
        </is>
      </c>
      <c r="D530" t="inlineStr">
        <is>
          <t>Gotemburgo</t>
        </is>
      </c>
      <c r="E530" t="inlineStr">
        <is>
          <t>2026-03-19</t>
        </is>
      </c>
      <c r="F530" t="inlineStr">
        <is>
          <t>2026-03-26</t>
        </is>
      </c>
      <c r="G530" t="inlineStr">
        <is>
          <t xml:space="preserve"> - Beach Hostel - Family Finca</t>
        </is>
      </c>
      <c r="H530">
        <f>HYPERLINK("https://booking.roadsurfer.com/es/rally/pick?pickup_date=2026-03-19&amp;return_date=2026-03-26&amp;currency=EUR&amp;startStation=3&amp;endStation=77", "Clic para verlo en la web de RoadSurfer")</f>
        <v/>
      </c>
    </row>
    <row r="531">
      <c r="A531" t="inlineStr">
        <is>
          <t>Alemania</t>
        </is>
      </c>
      <c r="B531" t="inlineStr">
        <is>
          <t>Hamburgo</t>
        </is>
      </c>
      <c r="C531" t="inlineStr">
        <is>
          <t>Suecia</t>
        </is>
      </c>
      <c r="D531" t="inlineStr">
        <is>
          <t>Gotemburgo</t>
        </is>
      </c>
      <c r="E531" t="inlineStr">
        <is>
          <t>2026-03-23</t>
        </is>
      </c>
      <c r="F531" t="inlineStr">
        <is>
          <t>2026-03-30</t>
        </is>
      </c>
      <c r="G531" t="inlineStr">
        <is>
          <t xml:space="preserve"> - Surfer Suite</t>
        </is>
      </c>
      <c r="H531">
        <f>HYPERLINK("https://booking.roadsurfer.com/es/rally/pick?pickup_date=2026-03-23&amp;return_date=2026-03-30&amp;currency=EUR&amp;startStation=3&amp;endStation=77", "Clic para verlo en la web de RoadSurfer")</f>
        <v/>
      </c>
    </row>
    <row r="532">
      <c r="A532" t="inlineStr">
        <is>
          <t>Alemania</t>
        </is>
      </c>
      <c r="B532" t="inlineStr">
        <is>
          <t>Hamburgo</t>
        </is>
      </c>
      <c r="C532" t="inlineStr">
        <is>
          <t>Suecia</t>
        </is>
      </c>
      <c r="D532" t="inlineStr">
        <is>
          <t>Gotemburgo</t>
        </is>
      </c>
      <c r="E532" t="inlineStr">
        <is>
          <t>2026-03-11</t>
        </is>
      </c>
      <c r="F532" t="inlineStr">
        <is>
          <t>2026-03-18</t>
        </is>
      </c>
      <c r="G532" t="inlineStr">
        <is>
          <t xml:space="preserve"> - Surfer Suite</t>
        </is>
      </c>
      <c r="H532">
        <f>HYPERLINK("https://booking.roadsurfer.com/es/rally/pick?pickup_date=2026-03-11&amp;return_date=2026-03-18&amp;currency=EUR&amp;startStation=3&amp;endStation=77", "Clic para verlo en la web de RoadSurfer")</f>
        <v/>
      </c>
    </row>
    <row r="533">
      <c r="A533" t="inlineStr">
        <is>
          <t>Alemania</t>
        </is>
      </c>
      <c r="B533" t="inlineStr">
        <is>
          <t>Hamburgo</t>
        </is>
      </c>
      <c r="C533" t="inlineStr">
        <is>
          <t>Italia</t>
        </is>
      </c>
      <c r="D533" t="inlineStr">
        <is>
          <t>Bérgamo</t>
        </is>
      </c>
      <c r="E533" t="inlineStr">
        <is>
          <t>2026-03-26</t>
        </is>
      </c>
      <c r="F533" t="inlineStr">
        <is>
          <t>2026-04-02</t>
        </is>
      </c>
      <c r="G533" t="inlineStr">
        <is>
          <t xml:space="preserve"> - Family Finca</t>
        </is>
      </c>
      <c r="H533">
        <f>HYPERLINK("https://booking.roadsurfer.com/es/rally/pick?pickup_date=2026-03-26&amp;return_date=2026-04-02&amp;currency=EUR&amp;startStation=3&amp;endStation=94", "Clic para verlo en la web de RoadSurfer")</f>
        <v/>
      </c>
    </row>
    <row r="534">
      <c r="A534" t="inlineStr">
        <is>
          <t>Alemania</t>
        </is>
      </c>
      <c r="B534" t="inlineStr">
        <is>
          <t>Hamburgo</t>
        </is>
      </c>
      <c r="C534" t="inlineStr">
        <is>
          <t>Italia</t>
        </is>
      </c>
      <c r="D534" t="inlineStr">
        <is>
          <t>Bérgamo</t>
        </is>
      </c>
      <c r="E534" t="inlineStr">
        <is>
          <t>2026-03-28</t>
        </is>
      </c>
      <c r="F534" t="inlineStr">
        <is>
          <t>2026-04-04</t>
        </is>
      </c>
      <c r="G534" t="inlineStr">
        <is>
          <t xml:space="preserve"> - No hay coche</t>
        </is>
      </c>
      <c r="H534">
        <f>HYPERLINK("https://booking.roadsurfer.com/es/rally/pick?pickup_date=2026-03-28&amp;return_date=2026-04-04&amp;currency=EUR&amp;startStation=3&amp;endStation=94", "Clic para verlo en la web de RoadSurfer")</f>
        <v/>
      </c>
    </row>
    <row r="535">
      <c r="A535" t="inlineStr">
        <is>
          <t>Alemania</t>
        </is>
      </c>
      <c r="B535" t="inlineStr">
        <is>
          <t>Hamburgo</t>
        </is>
      </c>
      <c r="C535" t="inlineStr">
        <is>
          <t>Francia</t>
        </is>
      </c>
      <c r="D535" t="inlineStr">
        <is>
          <t>París Sur (Orly)</t>
        </is>
      </c>
      <c r="E535" t="inlineStr">
        <is>
          <t>2026-03-23</t>
        </is>
      </c>
      <c r="F535" t="inlineStr">
        <is>
          <t>2026-03-30</t>
        </is>
      </c>
      <c r="G535" t="inlineStr">
        <is>
          <t xml:space="preserve"> - Family Finca</t>
        </is>
      </c>
      <c r="H535">
        <f>HYPERLINK("https://booking.roadsurfer.com/es/rally/pick?pickup_date=2026-03-23&amp;return_date=2026-03-30&amp;currency=EUR&amp;startStation=3&amp;endStation=12", "Clic para verlo en la web de RoadSurfer")</f>
        <v/>
      </c>
    </row>
    <row r="536">
      <c r="A536" t="inlineStr">
        <is>
          <t>Alemania</t>
        </is>
      </c>
      <c r="B536" t="inlineStr">
        <is>
          <t>Hamburgo</t>
        </is>
      </c>
      <c r="C536" t="inlineStr">
        <is>
          <t>Francia</t>
        </is>
      </c>
      <c r="D536" t="inlineStr">
        <is>
          <t>París Sur (Orly)</t>
        </is>
      </c>
      <c r="E536" t="inlineStr">
        <is>
          <t>2026-03-12</t>
        </is>
      </c>
      <c r="F536" t="inlineStr">
        <is>
          <t>2026-03-19</t>
        </is>
      </c>
      <c r="G536" t="inlineStr">
        <is>
          <t xml:space="preserve"> - Family Finca</t>
        </is>
      </c>
      <c r="H536">
        <f>HYPERLINK("https://booking.roadsurfer.com/es/rally/pick?pickup_date=2026-03-12&amp;return_date=2026-03-19&amp;currency=EUR&amp;startStation=3&amp;endStation=12", "Clic para verlo en la web de RoadSurfer")</f>
        <v/>
      </c>
    </row>
    <row r="537">
      <c r="A537" t="inlineStr">
        <is>
          <t>Alemania</t>
        </is>
      </c>
      <c r="B537" t="inlineStr">
        <is>
          <t>Hamburgo</t>
        </is>
      </c>
      <c r="C537" t="inlineStr">
        <is>
          <t>Suecia</t>
        </is>
      </c>
      <c r="D537" t="inlineStr">
        <is>
          <t>Estocolmo</t>
        </is>
      </c>
      <c r="E537" t="inlineStr">
        <is>
          <t>2026-03-19</t>
        </is>
      </c>
      <c r="F537" t="inlineStr">
        <is>
          <t>2026-03-26</t>
        </is>
      </c>
      <c r="G537" t="inlineStr">
        <is>
          <t xml:space="preserve"> - Road House</t>
        </is>
      </c>
      <c r="H537">
        <f>HYPERLINK("https://booking.roadsurfer.com/es/rally/pick?pickup_date=2026-03-19&amp;return_date=2026-03-26&amp;currency=EUR&amp;startStation=3&amp;endStation=59", "Clic para verlo en la web de RoadSurfer")</f>
        <v/>
      </c>
    </row>
    <row r="538">
      <c r="A538" t="inlineStr">
        <is>
          <t>Alemania</t>
        </is>
      </c>
      <c r="B538" t="inlineStr">
        <is>
          <t>Hamburgo</t>
        </is>
      </c>
      <c r="C538" t="inlineStr">
        <is>
          <t>Suecia</t>
        </is>
      </c>
      <c r="D538" t="inlineStr">
        <is>
          <t>Estocolmo</t>
        </is>
      </c>
      <c r="E538" t="inlineStr">
        <is>
          <t>2026-03-20</t>
        </is>
      </c>
      <c r="F538" t="inlineStr">
        <is>
          <t>2026-03-27</t>
        </is>
      </c>
      <c r="G538" t="inlineStr">
        <is>
          <t xml:space="preserve"> - Surfer Suite</t>
        </is>
      </c>
      <c r="H538">
        <f>HYPERLINK("https://booking.roadsurfer.com/es/rally/pick?pickup_date=2026-03-20&amp;return_date=2026-03-27&amp;currency=EUR&amp;startStation=3&amp;endStation=59", "Clic para verlo en la web de RoadSurfer")</f>
        <v/>
      </c>
    </row>
    <row r="539">
      <c r="A539" t="inlineStr">
        <is>
          <t>Alemania</t>
        </is>
      </c>
      <c r="B539" t="inlineStr">
        <is>
          <t>Hamburgo</t>
        </is>
      </c>
      <c r="C539" t="inlineStr">
        <is>
          <t>Suecia</t>
        </is>
      </c>
      <c r="D539" t="inlineStr">
        <is>
          <t>Estocolmo</t>
        </is>
      </c>
      <c r="E539" t="inlineStr">
        <is>
          <t>2026-03-22</t>
        </is>
      </c>
      <c r="F539" t="inlineStr">
        <is>
          <t>2026-03-29</t>
        </is>
      </c>
      <c r="G539" t="inlineStr">
        <is>
          <t xml:space="preserve"> - No hay coche</t>
        </is>
      </c>
      <c r="H539">
        <f>HYPERLINK("https://booking.roadsurfer.com/es/rally/pick?pickup_date=2026-03-22&amp;return_date=2026-03-29&amp;currency=EUR&amp;startStation=3&amp;endStation=59", "Clic para verlo en la web de RoadSurfer")</f>
        <v/>
      </c>
    </row>
    <row r="540">
      <c r="A540" t="inlineStr">
        <is>
          <t>Alemania</t>
        </is>
      </c>
      <c r="B540" t="inlineStr">
        <is>
          <t>Hamburgo</t>
        </is>
      </c>
      <c r="C540" t="inlineStr">
        <is>
          <t>Suecia</t>
        </is>
      </c>
      <c r="D540" t="inlineStr">
        <is>
          <t>Estocolmo</t>
        </is>
      </c>
      <c r="E540" t="inlineStr">
        <is>
          <t>2026-03-23</t>
        </is>
      </c>
      <c r="F540" t="inlineStr">
        <is>
          <t>2026-03-30</t>
        </is>
      </c>
      <c r="G540" t="inlineStr">
        <is>
          <t xml:space="preserve"> - Surfer Suite</t>
        </is>
      </c>
      <c r="H540">
        <f>HYPERLINK("https://booking.roadsurfer.com/es/rally/pick?pickup_date=2026-03-23&amp;return_date=2026-03-30&amp;currency=EUR&amp;startStation=3&amp;endStation=59", "Clic para verlo en la web de RoadSurfer")</f>
        <v/>
      </c>
    </row>
    <row r="541">
      <c r="A541" t="inlineStr">
        <is>
          <t>Alemania</t>
        </is>
      </c>
      <c r="B541" t="inlineStr">
        <is>
          <t>Hamburgo</t>
        </is>
      </c>
      <c r="C541" t="inlineStr">
        <is>
          <t>Suecia</t>
        </is>
      </c>
      <c r="D541" t="inlineStr">
        <is>
          <t>Estocolmo</t>
        </is>
      </c>
      <c r="E541" t="inlineStr">
        <is>
          <t>2026-03-26</t>
        </is>
      </c>
      <c r="F541" t="inlineStr">
        <is>
          <t>2026-04-02</t>
        </is>
      </c>
      <c r="G541" t="inlineStr">
        <is>
          <t xml:space="preserve"> - Beach Hostel - Family Finca</t>
        </is>
      </c>
      <c r="H541">
        <f>HYPERLINK("https://booking.roadsurfer.com/es/rally/pick?pickup_date=2026-03-26&amp;return_date=2026-04-02&amp;currency=EUR&amp;startStation=3&amp;endStation=59", "Clic para verlo en la web de RoadSurfer")</f>
        <v/>
      </c>
    </row>
    <row r="542">
      <c r="A542" t="inlineStr">
        <is>
          <t>Alemania</t>
        </is>
      </c>
      <c r="B542" t="inlineStr">
        <is>
          <t>Hamburgo</t>
        </is>
      </c>
      <c r="C542" t="inlineStr">
        <is>
          <t>Suecia</t>
        </is>
      </c>
      <c r="D542" t="inlineStr">
        <is>
          <t>Estocolmo</t>
        </is>
      </c>
      <c r="E542" t="inlineStr">
        <is>
          <t>2026-03-24</t>
        </is>
      </c>
      <c r="F542" t="inlineStr">
        <is>
          <t>2026-03-31</t>
        </is>
      </c>
      <c r="G542" t="inlineStr">
        <is>
          <t xml:space="preserve"> - Couple Cottage</t>
        </is>
      </c>
      <c r="H542">
        <f>HYPERLINK("https://booking.roadsurfer.com/es/rally/pick?pickup_date=2026-03-24&amp;return_date=2026-03-31&amp;currency=EUR&amp;startStation=3&amp;endStation=59", "Clic para verlo en la web de RoadSurfer")</f>
        <v/>
      </c>
    </row>
    <row r="543">
      <c r="A543" t="inlineStr">
        <is>
          <t>Alemania</t>
        </is>
      </c>
      <c r="B543" t="inlineStr">
        <is>
          <t>Hamburgo</t>
        </is>
      </c>
      <c r="C543" t="inlineStr">
        <is>
          <t>Italia</t>
        </is>
      </c>
      <c r="D543" t="inlineStr">
        <is>
          <t>Milán</t>
        </is>
      </c>
      <c r="E543" t="inlineStr">
        <is>
          <t>2026-03-21</t>
        </is>
      </c>
      <c r="F543" t="inlineStr">
        <is>
          <t>2026-03-28</t>
        </is>
      </c>
      <c r="G543" t="inlineStr">
        <is>
          <t xml:space="preserve"> - No hay coche</t>
        </is>
      </c>
      <c r="H543">
        <f>HYPERLINK("https://booking.roadsurfer.com/es/rally/pick?pickup_date=2026-03-21&amp;return_date=2026-03-28&amp;currency=EUR&amp;startStation=3&amp;endStation=34", "Clic para verlo en la web de RoadSurfer")</f>
        <v/>
      </c>
    </row>
    <row r="544">
      <c r="A544" t="inlineStr">
        <is>
          <t>Alemania</t>
        </is>
      </c>
      <c r="B544" t="inlineStr">
        <is>
          <t>Hamburgo</t>
        </is>
      </c>
      <c r="C544" t="inlineStr">
        <is>
          <t>Bélgica</t>
        </is>
      </c>
      <c r="D544" t="inlineStr">
        <is>
          <t>Bruselas</t>
        </is>
      </c>
      <c r="E544" t="inlineStr">
        <is>
          <t>2026-03-26</t>
        </is>
      </c>
      <c r="F544" t="inlineStr">
        <is>
          <t>2026-04-02</t>
        </is>
      </c>
      <c r="G544" t="inlineStr">
        <is>
          <t xml:space="preserve"> - Road House</t>
        </is>
      </c>
      <c r="H544">
        <f>HYPERLINK("https://booking.roadsurfer.com/es/rally/pick?pickup_date=2026-03-26&amp;return_date=2026-04-02&amp;currency=EUR&amp;startStation=3&amp;endStation=42", "Clic para verlo en la web de RoadSurfer")</f>
        <v/>
      </c>
    </row>
    <row r="545">
      <c r="A545" t="inlineStr">
        <is>
          <t>Alemania</t>
        </is>
      </c>
      <c r="B545" t="inlineStr">
        <is>
          <t>Hamburgo</t>
        </is>
      </c>
      <c r="C545" t="inlineStr">
        <is>
          <t>Bélgica</t>
        </is>
      </c>
      <c r="D545" t="inlineStr">
        <is>
          <t>Bruselas</t>
        </is>
      </c>
      <c r="E545" t="inlineStr">
        <is>
          <t>2026-03-28</t>
        </is>
      </c>
      <c r="F545" t="inlineStr">
        <is>
          <t>2026-04-04</t>
        </is>
      </c>
      <c r="G545" t="inlineStr">
        <is>
          <t xml:space="preserve"> - No hay coche</t>
        </is>
      </c>
      <c r="H545">
        <f>HYPERLINK("https://booking.roadsurfer.com/es/rally/pick?pickup_date=2026-03-28&amp;return_date=2026-04-04&amp;currency=EUR&amp;startStation=3&amp;endStation=42", "Clic para verlo en la web de RoadSurfer")</f>
        <v/>
      </c>
    </row>
    <row r="546">
      <c r="A546" t="inlineStr">
        <is>
          <t>Alemania</t>
        </is>
      </c>
      <c r="B546" t="inlineStr">
        <is>
          <t>Hamburgo</t>
        </is>
      </c>
      <c r="C546" t="inlineStr">
        <is>
          <t>Austria</t>
        </is>
      </c>
      <c r="D546" t="inlineStr">
        <is>
          <t>Graz</t>
        </is>
      </c>
      <c r="E546" t="inlineStr">
        <is>
          <t>2026-02-23</t>
        </is>
      </c>
      <c r="F546" t="inlineStr">
        <is>
          <t>2026-03-02</t>
        </is>
      </c>
      <c r="G546" t="inlineStr">
        <is>
          <t xml:space="preserve"> - ROAD HOUSE</t>
        </is>
      </c>
      <c r="H546">
        <f>HYPERLINK("https://booking.roadsurfer.com/es/rally/pick?pickup_date=2026-02-23&amp;return_date=2026-03-02&amp;currency=EUR&amp;startStation=3&amp;endStation=37", "Clic para verlo en la web de RoadSurfer")</f>
        <v/>
      </c>
    </row>
    <row r="547">
      <c r="A547" t="inlineStr">
        <is>
          <t>Alemania</t>
        </is>
      </c>
      <c r="B547" t="inlineStr">
        <is>
          <t>Hamburgo</t>
        </is>
      </c>
      <c r="C547" t="inlineStr">
        <is>
          <t>Francia</t>
        </is>
      </c>
      <c r="D547" t="inlineStr">
        <is>
          <t>París Aeropuerto CDG</t>
        </is>
      </c>
      <c r="E547" t="inlineStr">
        <is>
          <t>2026-03-28</t>
        </is>
      </c>
      <c r="F547" t="inlineStr">
        <is>
          <t>2026-04-04</t>
        </is>
      </c>
      <c r="G547" t="inlineStr">
        <is>
          <t xml:space="preserve"> - FAMILY FINCA</t>
        </is>
      </c>
      <c r="H547">
        <f>HYPERLINK("https://booking.roadsurfer.com/es/rally/pick?pickup_date=2026-03-28&amp;return_date=2026-04-04&amp;currency=EUR&amp;startStation=3&amp;endStation=48", "Clic para verlo en la web de RoadSurfer")</f>
        <v/>
      </c>
    </row>
    <row r="548">
      <c r="A548" t="inlineStr">
        <is>
          <t>Alemania</t>
        </is>
      </c>
      <c r="B548" t="inlineStr">
        <is>
          <t>Hannover</t>
        </is>
      </c>
      <c r="C548" t="inlineStr">
        <is>
          <t>Países Bajos</t>
        </is>
      </c>
      <c r="D548" t="inlineStr">
        <is>
          <t>Róterdam</t>
        </is>
      </c>
      <c r="E548" t="inlineStr">
        <is>
          <t>2026-03-05</t>
        </is>
      </c>
      <c r="F548" t="inlineStr">
        <is>
          <t>2026-03-12</t>
        </is>
      </c>
      <c r="G548" t="inlineStr">
        <is>
          <t xml:space="preserve"> - Surfer Suite</t>
        </is>
      </c>
      <c r="H548">
        <f>HYPERLINK("https://booking.roadsurfer.com/es/rally/pick?pickup_date=2026-03-05&amp;return_date=2026-03-12&amp;currency=EUR&amp;startStation=7&amp;endStation=33", "Clic para verlo en la web de RoadSurfer")</f>
        <v/>
      </c>
    </row>
    <row r="549">
      <c r="A549" t="inlineStr">
        <is>
          <t>Alemania</t>
        </is>
      </c>
      <c r="B549" t="inlineStr">
        <is>
          <t>Hannover</t>
        </is>
      </c>
      <c r="C549" t="inlineStr">
        <is>
          <t>Alemania</t>
        </is>
      </c>
      <c r="D549" t="inlineStr">
        <is>
          <t>Braunschweig</t>
        </is>
      </c>
      <c r="E549" t="inlineStr">
        <is>
          <t>2026-03-09</t>
        </is>
      </c>
      <c r="F549" t="inlineStr">
        <is>
          <t>2026-03-16</t>
        </is>
      </c>
      <c r="G549" t="inlineStr">
        <is>
          <t xml:space="preserve"> - No hay coche</t>
        </is>
      </c>
      <c r="H549">
        <f>HYPERLINK("https://booking.roadsurfer.com/es/rally/pick?pickup_date=2026-03-09&amp;return_date=2026-03-16&amp;currency=EUR&amp;startStation=7&amp;endStation=128", "Clic para verlo en la web de RoadSurfer")</f>
        <v/>
      </c>
    </row>
    <row r="550">
      <c r="A550" t="inlineStr">
        <is>
          <t>Alemania</t>
        </is>
      </c>
      <c r="B550" t="inlineStr">
        <is>
          <t>Hannover</t>
        </is>
      </c>
      <c r="C550" t="inlineStr">
        <is>
          <t>Alemania</t>
        </is>
      </c>
      <c r="D550" t="inlineStr">
        <is>
          <t>Braunschweig</t>
        </is>
      </c>
      <c r="E550" t="inlineStr">
        <is>
          <t>2026-03-02</t>
        </is>
      </c>
      <c r="F550" t="inlineStr">
        <is>
          <t>2026-03-09</t>
        </is>
      </c>
      <c r="G550" t="inlineStr">
        <is>
          <t xml:space="preserve"> - No hay coche</t>
        </is>
      </c>
      <c r="H550">
        <f>HYPERLINK("https://booking.roadsurfer.com/es/rally/pick?pickup_date=2026-03-02&amp;return_date=2026-03-09&amp;currency=EUR&amp;startStation=7&amp;endStation=128", "Clic para verlo en la web de RoadSurfer")</f>
        <v/>
      </c>
    </row>
    <row r="551">
      <c r="A551" t="inlineStr">
        <is>
          <t>Alemania</t>
        </is>
      </c>
      <c r="B551" t="inlineStr">
        <is>
          <t>Hannover</t>
        </is>
      </c>
      <c r="C551" t="inlineStr">
        <is>
          <t>Alemania</t>
        </is>
      </c>
      <c r="D551" t="inlineStr">
        <is>
          <t>Braunschweig</t>
        </is>
      </c>
      <c r="E551" t="inlineStr">
        <is>
          <t>2026-03-11</t>
        </is>
      </c>
      <c r="F551" t="inlineStr">
        <is>
          <t>2026-03-18</t>
        </is>
      </c>
      <c r="G551" t="inlineStr">
        <is>
          <t xml:space="preserve"> - No hay coche</t>
        </is>
      </c>
      <c r="H551">
        <f>HYPERLINK("https://booking.roadsurfer.com/es/rally/pick?pickup_date=2026-03-11&amp;return_date=2026-03-18&amp;currency=EUR&amp;startStation=7&amp;endStation=128", "Clic para verlo en la web de RoadSurfer")</f>
        <v/>
      </c>
    </row>
    <row r="552">
      <c r="A552" t="inlineStr">
        <is>
          <t>Alemania</t>
        </is>
      </c>
      <c r="B552" t="inlineStr">
        <is>
          <t>Hannover</t>
        </is>
      </c>
      <c r="C552" t="inlineStr">
        <is>
          <t>Suecia</t>
        </is>
      </c>
      <c r="D552" t="inlineStr">
        <is>
          <t>Gotemburgo</t>
        </is>
      </c>
      <c r="E552" t="inlineStr">
        <is>
          <t>2026-03-20</t>
        </is>
      </c>
      <c r="F552" t="inlineStr">
        <is>
          <t>2026-03-27</t>
        </is>
      </c>
      <c r="G552" t="inlineStr">
        <is>
          <t xml:space="preserve"> - Surfer Suite</t>
        </is>
      </c>
      <c r="H552">
        <f>HYPERLINK("https://booking.roadsurfer.com/es/rally/pick?pickup_date=2026-03-20&amp;return_date=2026-03-27&amp;currency=EUR&amp;startStation=7&amp;endStation=77", "Clic para verlo en la web de RoadSurfer")</f>
        <v/>
      </c>
    </row>
    <row r="553">
      <c r="A553" t="inlineStr">
        <is>
          <t>Alemania</t>
        </is>
      </c>
      <c r="B553" t="inlineStr">
        <is>
          <t>Hannover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2026-03-23</t>
        </is>
      </c>
      <c r="F553" t="inlineStr">
        <is>
          <t>2026-03-30</t>
        </is>
      </c>
      <c r="G553" t="inlineStr">
        <is>
          <t xml:space="preserve"> - Road House</t>
        </is>
      </c>
      <c r="H553">
        <f>HYPERLINK("https://booking.roadsurfer.com/es/rally/pick?pickup_date=2026-03-23&amp;return_date=2026-03-30&amp;currency=EUR&amp;startStation=7&amp;endStation=77", "Clic para verlo en la web de RoadSurfer")</f>
        <v/>
      </c>
    </row>
    <row r="554">
      <c r="A554" t="inlineStr">
        <is>
          <t>Alemania</t>
        </is>
      </c>
      <c r="B554" t="inlineStr">
        <is>
          <t>Hannover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2026-03-24</t>
        </is>
      </c>
      <c r="F554" t="inlineStr">
        <is>
          <t>2026-03-31</t>
        </is>
      </c>
      <c r="G554" t="inlineStr">
        <is>
          <t xml:space="preserve"> - Surfer Suite</t>
        </is>
      </c>
      <c r="H554">
        <f>HYPERLINK("https://booking.roadsurfer.com/es/rally/pick?pickup_date=2026-03-24&amp;return_date=2026-03-31&amp;currency=EUR&amp;startStation=7&amp;endStation=77", "Clic para verlo en la web de RoadSurfer")</f>
        <v/>
      </c>
    </row>
    <row r="555">
      <c r="A555" t="inlineStr">
        <is>
          <t>Alemania</t>
        </is>
      </c>
      <c r="B555" t="inlineStr">
        <is>
          <t>Hannover</t>
        </is>
      </c>
      <c r="C555" t="inlineStr">
        <is>
          <t>Suecia</t>
        </is>
      </c>
      <c r="D555" t="inlineStr">
        <is>
          <t>Gotemburgo</t>
        </is>
      </c>
      <c r="E555" t="inlineStr">
        <is>
          <t>2026-03-26</t>
        </is>
      </c>
      <c r="F555" t="inlineStr">
        <is>
          <t>2026-04-02</t>
        </is>
      </c>
      <c r="G555" t="inlineStr">
        <is>
          <t xml:space="preserve"> - Couple Cottage</t>
        </is>
      </c>
      <c r="H555">
        <f>HYPERLINK("https://booking.roadsurfer.com/es/rally/pick?pickup_date=2026-03-26&amp;return_date=2026-04-02&amp;currency=EUR&amp;startStation=7&amp;endStation=77", "Clic para verlo en la web de RoadSurfer")</f>
        <v/>
      </c>
    </row>
    <row r="556">
      <c r="A556" t="inlineStr">
        <is>
          <t>Alemania</t>
        </is>
      </c>
      <c r="B556" t="inlineStr">
        <is>
          <t>Hannover</t>
        </is>
      </c>
      <c r="C556" t="inlineStr">
        <is>
          <t>Suecia</t>
        </is>
      </c>
      <c r="D556" t="inlineStr">
        <is>
          <t>Gotemburgo</t>
        </is>
      </c>
      <c r="E556" t="inlineStr">
        <is>
          <t>2026-03-27</t>
        </is>
      </c>
      <c r="F556" t="inlineStr">
        <is>
          <t>2026-04-03</t>
        </is>
      </c>
      <c r="G556" t="inlineStr">
        <is>
          <t xml:space="preserve"> - No hay coche</t>
        </is>
      </c>
      <c r="H556">
        <f>HYPERLINK("https://booking.roadsurfer.com/es/rally/pick?pickup_date=2026-03-27&amp;return_date=2026-04-03&amp;currency=EUR&amp;startStation=7&amp;endStation=77", "Clic para verlo en la web de RoadSurfer")</f>
        <v/>
      </c>
    </row>
    <row r="557">
      <c r="A557" t="inlineStr">
        <is>
          <t>Alemania</t>
        </is>
      </c>
      <c r="B557" t="inlineStr">
        <is>
          <t>Hannover</t>
        </is>
      </c>
      <c r="C557" t="inlineStr">
        <is>
          <t>Suecia</t>
        </is>
      </c>
      <c r="D557" t="inlineStr">
        <is>
          <t>Gotemburgo</t>
        </is>
      </c>
      <c r="E557" t="inlineStr">
        <is>
          <t>2026-03-13</t>
        </is>
      </c>
      <c r="F557" t="inlineStr">
        <is>
          <t>2026-03-20</t>
        </is>
      </c>
      <c r="G557" t="inlineStr">
        <is>
          <t xml:space="preserve"> - Road House</t>
        </is>
      </c>
      <c r="H557">
        <f>HYPERLINK("https://booking.roadsurfer.com/es/rally/pick?pickup_date=2026-03-13&amp;return_date=2026-03-20&amp;currency=EUR&amp;startStation=7&amp;endStation=77", "Clic para verlo en la web de RoadSurfer")</f>
        <v/>
      </c>
    </row>
    <row r="558">
      <c r="A558" t="inlineStr">
        <is>
          <t>Alemania</t>
        </is>
      </c>
      <c r="B558" t="inlineStr">
        <is>
          <t>Hannover</t>
        </is>
      </c>
      <c r="C558" t="inlineStr">
        <is>
          <t>Suecia</t>
        </is>
      </c>
      <c r="D558" t="inlineStr">
        <is>
          <t>Estocolmo</t>
        </is>
      </c>
      <c r="E558" t="inlineStr">
        <is>
          <t>2026-03-20</t>
        </is>
      </c>
      <c r="F558" t="inlineStr">
        <is>
          <t>2026-03-27</t>
        </is>
      </c>
      <c r="G558" t="inlineStr">
        <is>
          <t xml:space="preserve"> - Road House</t>
        </is>
      </c>
      <c r="H558">
        <f>HYPERLINK("https://booking.roadsurfer.com/es/rally/pick?pickup_date=2026-03-20&amp;return_date=2026-03-27&amp;currency=EUR&amp;startStation=7&amp;endStation=59", "Clic para verlo en la web de RoadSurfer")</f>
        <v/>
      </c>
    </row>
    <row r="559">
      <c r="A559" t="inlineStr">
        <is>
          <t>Alemania</t>
        </is>
      </c>
      <c r="B559" t="inlineStr">
        <is>
          <t>Hannover</t>
        </is>
      </c>
      <c r="C559" t="inlineStr">
        <is>
          <t>Suecia</t>
        </is>
      </c>
      <c r="D559" t="inlineStr">
        <is>
          <t>Estocolmo</t>
        </is>
      </c>
      <c r="E559" t="inlineStr">
        <is>
          <t>2026-03-26</t>
        </is>
      </c>
      <c r="F559" t="inlineStr">
        <is>
          <t>2026-04-02</t>
        </is>
      </c>
      <c r="G559" t="inlineStr">
        <is>
          <t xml:space="preserve"> - Surfer Suite - Road House - Family Finca</t>
        </is>
      </c>
      <c r="H559">
        <f>HYPERLINK("https://booking.roadsurfer.com/es/rally/pick?pickup_date=2026-03-26&amp;return_date=2026-04-02&amp;currency=EUR&amp;startStation=7&amp;endStation=59", "Clic para verlo en la web de RoadSurfer")</f>
        <v/>
      </c>
    </row>
    <row r="560">
      <c r="A560" t="inlineStr">
        <is>
          <t>Alemania</t>
        </is>
      </c>
      <c r="B560" t="inlineStr">
        <is>
          <t>Hannover</t>
        </is>
      </c>
      <c r="C560" t="inlineStr">
        <is>
          <t>Suecia</t>
        </is>
      </c>
      <c r="D560" t="inlineStr">
        <is>
          <t>Estocolmo</t>
        </is>
      </c>
      <c r="E560" t="inlineStr">
        <is>
          <t>2026-03-21</t>
        </is>
      </c>
      <c r="F560" t="inlineStr">
        <is>
          <t>2026-03-28</t>
        </is>
      </c>
      <c r="G560" t="inlineStr">
        <is>
          <t xml:space="preserve"> - Surfer Suite</t>
        </is>
      </c>
      <c r="H560">
        <f>HYPERLINK("https://booking.roadsurfer.com/es/rally/pick?pickup_date=2026-03-21&amp;return_date=2026-03-28&amp;currency=EUR&amp;startStation=7&amp;endStation=59", "Clic para verlo en la web de RoadSurfer")</f>
        <v/>
      </c>
    </row>
    <row r="561">
      <c r="A561" t="inlineStr">
        <is>
          <t>Alemania</t>
        </is>
      </c>
      <c r="B561" t="inlineStr">
        <is>
          <t>Hannover</t>
        </is>
      </c>
      <c r="C561" t="inlineStr">
        <is>
          <t>Suecia</t>
        </is>
      </c>
      <c r="D561" t="inlineStr">
        <is>
          <t>Estocolmo</t>
        </is>
      </c>
      <c r="E561" t="inlineStr">
        <is>
          <t>2026-03-23</t>
        </is>
      </c>
      <c r="F561" t="inlineStr">
        <is>
          <t>2026-03-30</t>
        </is>
      </c>
      <c r="G561" t="inlineStr">
        <is>
          <t xml:space="preserve"> - Surfer Suite</t>
        </is>
      </c>
      <c r="H561">
        <f>HYPERLINK("https://booking.roadsurfer.com/es/rally/pick?pickup_date=2026-03-23&amp;return_date=2026-03-30&amp;currency=EUR&amp;startStation=7&amp;endStation=59", "Clic para verlo en la web de RoadSurfer")</f>
        <v/>
      </c>
    </row>
    <row r="562">
      <c r="A562" t="inlineStr">
        <is>
          <t>Alemania</t>
        </is>
      </c>
      <c r="B562" t="inlineStr">
        <is>
          <t>Hannover</t>
        </is>
      </c>
      <c r="C562" t="inlineStr">
        <is>
          <t>Suecia</t>
        </is>
      </c>
      <c r="D562" t="inlineStr">
        <is>
          <t>Estocolmo</t>
        </is>
      </c>
      <c r="E562" t="inlineStr">
        <is>
          <t>2026-03-30</t>
        </is>
      </c>
      <c r="F562" t="inlineStr">
        <is>
          <t>2026-04-06</t>
        </is>
      </c>
      <c r="G562" t="inlineStr">
        <is>
          <t xml:space="preserve"> - No hay coche</t>
        </is>
      </c>
      <c r="H562">
        <f>HYPERLINK("https://booking.roadsurfer.com/es/rally/pick?pickup_date=2026-03-30&amp;return_date=2026-04-06&amp;currency=EUR&amp;startStation=7&amp;endStation=59", "Clic para verlo en la web de RoadSurfer")</f>
        <v/>
      </c>
    </row>
    <row r="563">
      <c r="A563" t="inlineStr">
        <is>
          <t>Alemania</t>
        </is>
      </c>
      <c r="B563" t="inlineStr">
        <is>
          <t>Hannover</t>
        </is>
      </c>
      <c r="C563" t="inlineStr">
        <is>
          <t>Suecia</t>
        </is>
      </c>
      <c r="D563" t="inlineStr">
        <is>
          <t>Estocolmo</t>
        </is>
      </c>
      <c r="E563" t="inlineStr">
        <is>
          <t>2026-03-31</t>
        </is>
      </c>
      <c r="F563" t="inlineStr">
        <is>
          <t>2026-04-07</t>
        </is>
      </c>
      <c r="G563" t="inlineStr">
        <is>
          <t xml:space="preserve"> - Couple Cottage</t>
        </is>
      </c>
      <c r="H563">
        <f>HYPERLINK("https://booking.roadsurfer.com/es/rally/pick?pickup_date=2026-03-31&amp;return_date=2026-04-07&amp;currency=EUR&amp;startStation=7&amp;endStation=59", "Clic para verlo en la web de RoadSurfer")</f>
        <v/>
      </c>
    </row>
    <row r="564">
      <c r="A564" t="inlineStr">
        <is>
          <t>Alemania</t>
        </is>
      </c>
      <c r="B564" t="inlineStr">
        <is>
          <t>Hannover</t>
        </is>
      </c>
      <c r="C564" t="inlineStr">
        <is>
          <t>Suecia</t>
        </is>
      </c>
      <c r="D564" t="inlineStr">
        <is>
          <t>Estocolmo</t>
        </is>
      </c>
      <c r="E564" t="inlineStr">
        <is>
          <t>2026-03-19</t>
        </is>
      </c>
      <c r="F564" t="inlineStr">
        <is>
          <t>2026-03-26</t>
        </is>
      </c>
      <c r="G564" t="inlineStr">
        <is>
          <t xml:space="preserve"> - Road House</t>
        </is>
      </c>
      <c r="H564">
        <f>HYPERLINK("https://booking.roadsurfer.com/es/rally/pick?pickup_date=2026-03-19&amp;return_date=2026-03-26&amp;currency=EUR&amp;startStation=7&amp;endStation=59", "Clic para verlo en la web de RoadSurfer")</f>
        <v/>
      </c>
    </row>
    <row r="565">
      <c r="A565" t="inlineStr">
        <is>
          <t>Alemania</t>
        </is>
      </c>
      <c r="B565" t="inlineStr">
        <is>
          <t>Hannover</t>
        </is>
      </c>
      <c r="C565" t="inlineStr">
        <is>
          <t>Suecia</t>
        </is>
      </c>
      <c r="D565" t="inlineStr">
        <is>
          <t>Estocolmo</t>
        </is>
      </c>
      <c r="E565" t="inlineStr">
        <is>
          <t>2026-03-16</t>
        </is>
      </c>
      <c r="F565" t="inlineStr">
        <is>
          <t>2026-03-23</t>
        </is>
      </c>
      <c r="G565" t="inlineStr">
        <is>
          <t xml:space="preserve"> - Couple Cottage</t>
        </is>
      </c>
      <c r="H565">
        <f>HYPERLINK("https://booking.roadsurfer.com/es/rally/pick?pickup_date=2026-03-16&amp;return_date=2026-03-23&amp;currency=EUR&amp;startStation=7&amp;endStation=59", "Clic para verlo en la web de RoadSurfer")</f>
        <v/>
      </c>
    </row>
    <row r="566">
      <c r="A566" t="inlineStr">
        <is>
          <t>Alemania</t>
        </is>
      </c>
      <c r="B566" t="inlineStr">
        <is>
          <t>Hannover</t>
        </is>
      </c>
      <c r="C566" t="inlineStr">
        <is>
          <t>Suecia</t>
        </is>
      </c>
      <c r="D566" t="inlineStr">
        <is>
          <t>Malmö</t>
        </is>
      </c>
      <c r="E566" t="inlineStr">
        <is>
          <t>2026-03-13</t>
        </is>
      </c>
      <c r="F566" t="inlineStr">
        <is>
          <t>2026-03-20</t>
        </is>
      </c>
      <c r="G566" t="inlineStr">
        <is>
          <t xml:space="preserve"> - Surfer Suite - Family Finca</t>
        </is>
      </c>
      <c r="H566">
        <f>HYPERLINK("https://booking.roadsurfer.com/es/rally/pick?pickup_date=2026-03-13&amp;return_date=2026-03-20&amp;currency=EUR&amp;startStation=7&amp;endStation=60", "Clic para verlo en la web de RoadSurfer")</f>
        <v/>
      </c>
    </row>
    <row r="567">
      <c r="A567" t="inlineStr">
        <is>
          <t>Alemania</t>
        </is>
      </c>
      <c r="B567" t="inlineStr">
        <is>
          <t>Hannover</t>
        </is>
      </c>
      <c r="C567" t="inlineStr">
        <is>
          <t>Suecia</t>
        </is>
      </c>
      <c r="D567" t="inlineStr">
        <is>
          <t>Malmö</t>
        </is>
      </c>
      <c r="E567" t="inlineStr">
        <is>
          <t>2026-03-23</t>
        </is>
      </c>
      <c r="F567" t="inlineStr">
        <is>
          <t>2026-03-30</t>
        </is>
      </c>
      <c r="G567" t="inlineStr">
        <is>
          <t xml:space="preserve"> - FAMILY FINCA</t>
        </is>
      </c>
      <c r="H567">
        <f>HYPERLINK("https://booking.roadsurfer.com/es/rally/pick?pickup_date=2026-03-23&amp;return_date=2026-03-30&amp;currency=EUR&amp;startStation=7&amp;endStation=60", "Clic para verlo en la web de RoadSurfer")</f>
        <v/>
      </c>
    </row>
    <row r="568">
      <c r="A568" t="inlineStr">
        <is>
          <t>Alemania</t>
        </is>
      </c>
      <c r="B568" t="inlineStr">
        <is>
          <t>Hannover</t>
        </is>
      </c>
      <c r="C568" t="inlineStr">
        <is>
          <t>Suecia</t>
        </is>
      </c>
      <c r="D568" t="inlineStr">
        <is>
          <t>Malmö</t>
        </is>
      </c>
      <c r="E568" t="inlineStr">
        <is>
          <t>2026-03-26</t>
        </is>
      </c>
      <c r="F568" t="inlineStr">
        <is>
          <t>2026-04-02</t>
        </is>
      </c>
      <c r="G568" t="inlineStr">
        <is>
          <t xml:space="preserve"> - Surfer Suite</t>
        </is>
      </c>
      <c r="H568">
        <f>HYPERLINK("https://booking.roadsurfer.com/es/rally/pick?pickup_date=2026-03-26&amp;return_date=2026-04-02&amp;currency=EUR&amp;startStation=7&amp;endStation=60", "Clic para verlo en la web de RoadSurfer")</f>
        <v/>
      </c>
    </row>
    <row r="569">
      <c r="A569" t="inlineStr">
        <is>
          <t>Alemania</t>
        </is>
      </c>
      <c r="B569" t="inlineStr">
        <is>
          <t>Hannover</t>
        </is>
      </c>
      <c r="C569" t="inlineStr">
        <is>
          <t>Suecia</t>
        </is>
      </c>
      <c r="D569" t="inlineStr">
        <is>
          <t>Malmö</t>
        </is>
      </c>
      <c r="E569" t="inlineStr">
        <is>
          <t>2026-03-27</t>
        </is>
      </c>
      <c r="F569" t="inlineStr">
        <is>
          <t>2026-04-03</t>
        </is>
      </c>
      <c r="G569" t="inlineStr">
        <is>
          <t xml:space="preserve"> - No hay coche</t>
        </is>
      </c>
      <c r="H569">
        <f>HYPERLINK("https://booking.roadsurfer.com/es/rally/pick?pickup_date=2026-03-27&amp;return_date=2026-04-03&amp;currency=EUR&amp;startStation=7&amp;endStation=60", "Clic para verlo en la web de RoadSurfer")</f>
        <v/>
      </c>
    </row>
    <row r="570">
      <c r="A570" t="inlineStr">
        <is>
          <t>Alemania</t>
        </is>
      </c>
      <c r="B570" t="inlineStr">
        <is>
          <t>Hannover</t>
        </is>
      </c>
      <c r="C570" t="inlineStr">
        <is>
          <t>Alemania</t>
        </is>
      </c>
      <c r="D570" t="inlineStr">
        <is>
          <t>Kiel</t>
        </is>
      </c>
      <c r="E570" t="inlineStr">
        <is>
          <t>2026-03-23</t>
        </is>
      </c>
      <c r="F570" t="inlineStr">
        <is>
          <t>2026-03-30</t>
        </is>
      </c>
      <c r="G570" t="inlineStr">
        <is>
          <t xml:space="preserve"> - Surfer Suite</t>
        </is>
      </c>
      <c r="H570">
        <f>HYPERLINK("https://booking.roadsurfer.com/es/rally/pick?pickup_date=2026-03-23&amp;return_date=2026-03-30&amp;currency=EUR&amp;startStation=7&amp;endStation=111", "Clic para verlo en la web de RoadSurfer")</f>
        <v/>
      </c>
    </row>
    <row r="571">
      <c r="A571" t="inlineStr">
        <is>
          <t>Alemania</t>
        </is>
      </c>
      <c r="B571" t="inlineStr">
        <is>
          <t>Hannover</t>
        </is>
      </c>
      <c r="C571" t="inlineStr">
        <is>
          <t>Países Bajos</t>
        </is>
      </c>
      <c r="D571" t="inlineStr">
        <is>
          <t>Ámsterdam</t>
        </is>
      </c>
      <c r="E571" t="inlineStr">
        <is>
          <t>2026-03-23</t>
        </is>
      </c>
      <c r="F571" t="inlineStr">
        <is>
          <t>2026-03-30</t>
        </is>
      </c>
      <c r="G571" t="inlineStr">
        <is>
          <t xml:space="preserve"> - Camper Cabin</t>
        </is>
      </c>
      <c r="H571">
        <f>HYPERLINK("https://booking.roadsurfer.com/es/rally/pick?pickup_date=2026-03-23&amp;return_date=2026-03-30&amp;currency=EUR&amp;startStation=7&amp;endStation=32", "Clic para verlo en la web de RoadSurfer")</f>
        <v/>
      </c>
    </row>
    <row r="572">
      <c r="A572" t="inlineStr">
        <is>
          <t>Alemania</t>
        </is>
      </c>
      <c r="B572" t="inlineStr">
        <is>
          <t>Hannover</t>
        </is>
      </c>
      <c r="C572" t="inlineStr">
        <is>
          <t>Francia</t>
        </is>
      </c>
      <c r="D572" t="inlineStr">
        <is>
          <t>Ginebra-Pays de Gex (Francia)</t>
        </is>
      </c>
      <c r="E572" t="inlineStr">
        <is>
          <t>2026-03-02</t>
        </is>
      </c>
      <c r="F572" t="inlineStr">
        <is>
          <t>2026-03-09</t>
        </is>
      </c>
      <c r="G572" t="inlineStr">
        <is>
          <t xml:space="preserve"> - Road House</t>
        </is>
      </c>
      <c r="H572">
        <f>HYPERLINK("https://booking.roadsurfer.com/es/rally/pick?pickup_date=2026-03-02&amp;return_date=2026-03-09&amp;currency=EUR&amp;startStation=7&amp;endStation=29", "Clic para verlo en la web de RoadSurfer")</f>
        <v/>
      </c>
    </row>
    <row r="573">
      <c r="A573" t="inlineStr">
        <is>
          <t>Alemania</t>
        </is>
      </c>
      <c r="B573" t="inlineStr">
        <is>
          <t>Hannover</t>
        </is>
      </c>
      <c r="C573" t="inlineStr">
        <is>
          <t>Francia</t>
        </is>
      </c>
      <c r="D573" t="inlineStr">
        <is>
          <t>Ginebra-Pays de Gex (Francia)</t>
        </is>
      </c>
      <c r="E573" t="inlineStr">
        <is>
          <t>2026-03-26</t>
        </is>
      </c>
      <c r="F573" t="inlineStr">
        <is>
          <t>2026-04-02</t>
        </is>
      </c>
      <c r="G573" t="inlineStr">
        <is>
          <t xml:space="preserve"> - Road House</t>
        </is>
      </c>
      <c r="H573">
        <f>HYPERLINK("https://booking.roadsurfer.com/es/rally/pick?pickup_date=2026-03-26&amp;return_date=2026-04-02&amp;currency=EUR&amp;startStation=7&amp;endStation=29", "Clic para verlo en la web de RoadSurfer")</f>
        <v/>
      </c>
    </row>
    <row r="574">
      <c r="A574" t="inlineStr">
        <is>
          <t>Alemania</t>
        </is>
      </c>
      <c r="B574" t="inlineStr">
        <is>
          <t>Hannover</t>
        </is>
      </c>
      <c r="C574" t="inlineStr">
        <is>
          <t>España</t>
        </is>
      </c>
      <c r="D574" t="inlineStr">
        <is>
          <t>Madrid</t>
        </is>
      </c>
      <c r="E574" t="inlineStr">
        <is>
          <t>2026-03-07</t>
        </is>
      </c>
      <c r="F574" t="inlineStr">
        <is>
          <t>2026-03-14</t>
        </is>
      </c>
      <c r="G574" t="inlineStr">
        <is>
          <t xml:space="preserve"> - Road House</t>
        </is>
      </c>
      <c r="H574">
        <f>HYPERLINK("https://booking.roadsurfer.com/es/rally/pick?pickup_date=2026-03-07&amp;return_date=2026-03-14&amp;currency=EUR&amp;startStation=7&amp;endStation=20", "Clic para verlo en la web de RoadSurfer")</f>
        <v/>
      </c>
    </row>
    <row r="575">
      <c r="A575" t="inlineStr">
        <is>
          <t>Alemania</t>
        </is>
      </c>
      <c r="B575" t="inlineStr">
        <is>
          <t>Hannover</t>
        </is>
      </c>
      <c r="C575" t="inlineStr">
        <is>
          <t>España</t>
        </is>
      </c>
      <c r="D575" t="inlineStr">
        <is>
          <t>Málaga</t>
        </is>
      </c>
      <c r="E575" t="inlineStr">
        <is>
          <t>2026-03-18</t>
        </is>
      </c>
      <c r="F575" t="inlineStr">
        <is>
          <t>2026-03-25</t>
        </is>
      </c>
      <c r="G575" t="inlineStr">
        <is>
          <t xml:space="preserve"> - Camper Castle</t>
        </is>
      </c>
      <c r="H575">
        <f>HYPERLINK("https://booking.roadsurfer.com/es/rally/pick?pickup_date=2026-03-18&amp;return_date=2026-03-25&amp;currency=EUR&amp;startStation=7&amp;endStation=21", "Clic para verlo en la web de RoadSurfer")</f>
        <v/>
      </c>
    </row>
    <row r="576">
      <c r="A576" t="inlineStr">
        <is>
          <t>Alemania</t>
        </is>
      </c>
      <c r="B576" t="inlineStr">
        <is>
          <t>Heidelberg</t>
        </is>
      </c>
      <c r="C576" t="inlineStr">
        <is>
          <t>Francia</t>
        </is>
      </c>
      <c r="D576" t="inlineStr">
        <is>
          <t>Burdeos</t>
        </is>
      </c>
      <c r="E576" t="inlineStr">
        <is>
          <t>2026-02-23</t>
        </is>
      </c>
      <c r="F576" t="inlineStr">
        <is>
          <t>2026-03-02</t>
        </is>
      </c>
      <c r="G576" t="inlineStr">
        <is>
          <t xml:space="preserve"> - ROAD HOUSE</t>
        </is>
      </c>
      <c r="H576">
        <f>HYPERLINK("https://booking.roadsurfer.com/es/rally/pick?pickup_date=2026-02-23&amp;return_date=2026-03-02&amp;currency=EUR&amp;startStation=79&amp;endStation=13", "Clic para verlo en la web de RoadSurfer")</f>
        <v/>
      </c>
    </row>
    <row r="577">
      <c r="A577" t="inlineStr">
        <is>
          <t>Alemania</t>
        </is>
      </c>
      <c r="B577" t="inlineStr">
        <is>
          <t>Heidelberg</t>
        </is>
      </c>
      <c r="C577" t="inlineStr">
        <is>
          <t>Francia</t>
        </is>
      </c>
      <c r="D577" t="inlineStr">
        <is>
          <t>Lyon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Family Finca</t>
        </is>
      </c>
      <c r="H577">
        <f>HYPERLINK("https://booking.roadsurfer.com/es/rally/pick?pickup_date=2026-03-09&amp;return_date=2026-03-16&amp;currency=EUR&amp;startStation=79&amp;endStation=15", "Clic para verlo en la web de RoadSurfer")</f>
        <v/>
      </c>
    </row>
    <row r="578">
      <c r="A578" t="inlineStr">
        <is>
          <t>Austria</t>
        </is>
      </c>
      <c r="B578" t="inlineStr">
        <is>
          <t>Innsbruck-Wiesing</t>
        </is>
      </c>
      <c r="C578" t="inlineStr">
        <is>
          <t>Austria</t>
        </is>
      </c>
      <c r="D578" t="inlineStr">
        <is>
          <t>Viena</t>
        </is>
      </c>
      <c r="E578" t="inlineStr">
        <is>
          <t>2026-03-02</t>
        </is>
      </c>
      <c r="F578" t="inlineStr">
        <is>
          <t>2026-03-09</t>
        </is>
      </c>
      <c r="G578" t="inlineStr">
        <is>
          <t xml:space="preserve"> - BEACH HOSTEL</t>
        </is>
      </c>
      <c r="H578">
        <f>HYPERLINK("https://booking.roadsurfer.com/es/rally/pick?pickup_date=2026-03-02&amp;return_date=2026-03-09&amp;currency=EUR&amp;startStation=46&amp;endStation=36", "Clic para verlo en la web de RoadSurfer")</f>
        <v/>
      </c>
    </row>
    <row r="579">
      <c r="A579" t="inlineStr">
        <is>
          <t>Austria</t>
        </is>
      </c>
      <c r="B579" t="inlineStr">
        <is>
          <t>Innsbruck-Wiesing</t>
        </is>
      </c>
      <c r="C579" t="inlineStr">
        <is>
          <t>Austria</t>
        </is>
      </c>
      <c r="D579" t="inlineStr">
        <is>
          <t>Viena</t>
        </is>
      </c>
      <c r="E579" t="inlineStr">
        <is>
          <t>2026-03-05</t>
        </is>
      </c>
      <c r="F579" t="inlineStr">
        <is>
          <t>2026-03-12</t>
        </is>
      </c>
      <c r="G579" t="inlineStr">
        <is>
          <t xml:space="preserve"> - Road House</t>
        </is>
      </c>
      <c r="H579">
        <f>HYPERLINK("https://booking.roadsurfer.com/es/rally/pick?pickup_date=2026-03-05&amp;return_date=2026-03-12&amp;currency=EUR&amp;startStation=46&amp;endStation=36", "Clic para verlo en la web de RoadSurfer")</f>
        <v/>
      </c>
    </row>
    <row r="580">
      <c r="A580" t="inlineStr">
        <is>
          <t>Austria</t>
        </is>
      </c>
      <c r="B580" t="inlineStr">
        <is>
          <t>Innsbruck-Wiesing</t>
        </is>
      </c>
      <c r="C580" t="inlineStr">
        <is>
          <t>Alemania</t>
        </is>
      </c>
      <c r="D580" t="inlineStr">
        <is>
          <t>Friburgo-Basilea (Alemania)</t>
        </is>
      </c>
      <c r="E580" t="inlineStr">
        <is>
          <t>2026-03-23</t>
        </is>
      </c>
      <c r="F580" t="inlineStr">
        <is>
          <t>2026-03-30</t>
        </is>
      </c>
      <c r="G580" t="inlineStr">
        <is>
          <t xml:space="preserve"> - Family Finca</t>
        </is>
      </c>
      <c r="H580">
        <f>HYPERLINK("https://booking.roadsurfer.com/es/rally/pick?pickup_date=2026-03-23&amp;return_date=2026-03-30&amp;currency=EUR&amp;startStation=46&amp;endStation=9", "Clic para verlo en la web de RoadSurfer")</f>
        <v/>
      </c>
    </row>
    <row r="581">
      <c r="A581" t="inlineStr">
        <is>
          <t>Austria</t>
        </is>
      </c>
      <c r="B581" t="inlineStr">
        <is>
          <t>Innsbruck-Wiesing</t>
        </is>
      </c>
      <c r="C581" t="inlineStr">
        <is>
          <t>Alemania</t>
        </is>
      </c>
      <c r="D581" t="inlineStr">
        <is>
          <t>Fráncfort</t>
        </is>
      </c>
      <c r="E581" t="inlineStr">
        <is>
          <t>2026-03-23</t>
        </is>
      </c>
      <c r="F581" t="inlineStr">
        <is>
          <t>2026-03-30</t>
        </is>
      </c>
      <c r="G581" t="inlineStr">
        <is>
          <t xml:space="preserve"> - Beach Hostel</t>
        </is>
      </c>
      <c r="H581">
        <f>HYPERLINK("https://booking.roadsurfer.com/es/rally/pick?pickup_date=2026-03-23&amp;return_date=2026-03-30&amp;currency=EUR&amp;startStation=46&amp;endStation=2", "Clic para verlo en la web de RoadSurfer")</f>
        <v/>
      </c>
    </row>
    <row r="582">
      <c r="A582" t="inlineStr">
        <is>
          <t>Austria</t>
        </is>
      </c>
      <c r="B582" t="inlineStr">
        <is>
          <t>Innsbruck-Wiesing</t>
        </is>
      </c>
      <c r="C582" t="inlineStr">
        <is>
          <t>Austria</t>
        </is>
      </c>
      <c r="D582" t="inlineStr">
        <is>
          <t>Viena Sur</t>
        </is>
      </c>
      <c r="E582" t="inlineStr">
        <is>
          <t>2026-02-23</t>
        </is>
      </c>
      <c r="F582" t="inlineStr">
        <is>
          <t>2026-03-02</t>
        </is>
      </c>
      <c r="G582" t="inlineStr">
        <is>
          <t xml:space="preserve"> - Family Finca</t>
        </is>
      </c>
      <c r="H582">
        <f>HYPERLINK("https://booking.roadsurfer.com/es/rally/pick?pickup_date=2026-02-23&amp;return_date=2026-03-02&amp;currency=EUR&amp;startStation=46&amp;endStation=45", "Clic para verlo en la web de RoadSurfer")</f>
        <v/>
      </c>
    </row>
    <row r="583">
      <c r="A583" t="inlineStr">
        <is>
          <t>Austria</t>
        </is>
      </c>
      <c r="B583" t="inlineStr">
        <is>
          <t>Innsbruck-Wiesing</t>
        </is>
      </c>
      <c r="C583" t="inlineStr">
        <is>
          <t>Austria</t>
        </is>
      </c>
      <c r="D583" t="inlineStr">
        <is>
          <t>Viena Sur</t>
        </is>
      </c>
      <c r="E583" t="inlineStr">
        <is>
          <t>2026-03-05</t>
        </is>
      </c>
      <c r="F583" t="inlineStr">
        <is>
          <t>2026-03-12</t>
        </is>
      </c>
      <c r="G583" t="inlineStr">
        <is>
          <t xml:space="preserve"> - Family Finca</t>
        </is>
      </c>
      <c r="H583">
        <f>HYPERLINK("https://booking.roadsurfer.com/es/rally/pick?pickup_date=2026-03-05&amp;return_date=2026-03-12&amp;currency=EUR&amp;startStation=46&amp;endStation=45", "Clic para verlo en la web de RoadSurfer")</f>
        <v/>
      </c>
    </row>
    <row r="584">
      <c r="A584" t="inlineStr">
        <is>
          <t>Austria</t>
        </is>
      </c>
      <c r="B584" t="inlineStr">
        <is>
          <t>Innsbruck-Wiesing</t>
        </is>
      </c>
      <c r="C584" t="inlineStr">
        <is>
          <t>Alemania</t>
        </is>
      </c>
      <c r="D584" t="inlineStr">
        <is>
          <t>Aquisgrán</t>
        </is>
      </c>
      <c r="E584" t="inlineStr">
        <is>
          <t>2026-03-02</t>
        </is>
      </c>
      <c r="F584" t="inlineStr">
        <is>
          <t>2026-03-09</t>
        </is>
      </c>
      <c r="G584" t="inlineStr">
        <is>
          <t xml:space="preserve"> - Camper Cabin</t>
        </is>
      </c>
      <c r="H584">
        <f>HYPERLINK("https://booking.roadsurfer.com/es/rally/pick?pickup_date=2026-03-02&amp;return_date=2026-03-09&amp;currency=EUR&amp;startStation=46&amp;endStation=114", "Clic para verlo en la web de RoadSurfer")</f>
        <v/>
      </c>
    </row>
    <row r="585">
      <c r="A585" t="inlineStr">
        <is>
          <t>Alemania</t>
        </is>
      </c>
      <c r="B585" t="inlineStr">
        <is>
          <t>Karlsruhe</t>
        </is>
      </c>
      <c r="C585" t="inlineStr">
        <is>
          <t>Francia</t>
        </is>
      </c>
      <c r="D585" t="inlineStr">
        <is>
          <t>Lyon</t>
        </is>
      </c>
      <c r="E585" t="inlineStr">
        <is>
          <t>2026-03-07</t>
        </is>
      </c>
      <c r="F585" t="inlineStr">
        <is>
          <t>2026-03-14</t>
        </is>
      </c>
      <c r="G585" t="inlineStr">
        <is>
          <t xml:space="preserve"> - Surfer Suite</t>
        </is>
      </c>
      <c r="H585">
        <f>HYPERLINK("https://booking.roadsurfer.com/es/rally/pick?pickup_date=2026-03-07&amp;return_date=2026-03-14&amp;currency=EUR&amp;startStation=110&amp;endStation=15", "Clic para verlo en la web de RoadSurfer")</f>
        <v/>
      </c>
    </row>
    <row r="586">
      <c r="A586" t="inlineStr">
        <is>
          <t>Alemania</t>
        </is>
      </c>
      <c r="B586" t="inlineStr">
        <is>
          <t>Karlsruhe</t>
        </is>
      </c>
      <c r="C586" t="inlineStr">
        <is>
          <t>Italia</t>
        </is>
      </c>
      <c r="D586" t="inlineStr">
        <is>
          <t>Venecia</t>
        </is>
      </c>
      <c r="E586" t="inlineStr">
        <is>
          <t>2026-03-20</t>
        </is>
      </c>
      <c r="F586" t="inlineStr">
        <is>
          <t>2026-03-27</t>
        </is>
      </c>
      <c r="G586" t="inlineStr">
        <is>
          <t xml:space="preserve"> - Camper Cabin</t>
        </is>
      </c>
      <c r="H586">
        <f>HYPERLINK("https://booking.roadsurfer.com/es/rally/pick?pickup_date=2026-03-20&amp;return_date=2026-03-27&amp;currency=EUR&amp;startStation=110&amp;endStation=78", "Clic para verlo en la web de RoadSurfer")</f>
        <v/>
      </c>
    </row>
    <row r="587">
      <c r="A587" t="inlineStr">
        <is>
          <t>Alemania</t>
        </is>
      </c>
      <c r="B587" t="inlineStr">
        <is>
          <t>Karlsruhe</t>
        </is>
      </c>
      <c r="C587" t="inlineStr">
        <is>
          <t>Países Bajos</t>
        </is>
      </c>
      <c r="D587" t="inlineStr">
        <is>
          <t>Róterdam</t>
        </is>
      </c>
      <c r="E587" t="inlineStr">
        <is>
          <t>2026-03-27</t>
        </is>
      </c>
      <c r="F587" t="inlineStr">
        <is>
          <t>2026-04-03</t>
        </is>
      </c>
      <c r="G587" t="inlineStr">
        <is>
          <t xml:space="preserve"> - No hay coche</t>
        </is>
      </c>
      <c r="H587">
        <f>HYPERLINK("https://booking.roadsurfer.com/es/rally/pick?pickup_date=2026-03-27&amp;return_date=2026-04-03&amp;currency=EUR&amp;startStation=110&amp;endStation=33", "Clic para verlo en la web de RoadSurfer")</f>
        <v/>
      </c>
    </row>
    <row r="588">
      <c r="A588" t="inlineStr">
        <is>
          <t>Alemania</t>
        </is>
      </c>
      <c r="B588" t="inlineStr">
        <is>
          <t>Karlsruhe</t>
        </is>
      </c>
      <c r="C588" t="inlineStr">
        <is>
          <t>Francia</t>
        </is>
      </c>
      <c r="D588" t="inlineStr">
        <is>
          <t>Toulouse</t>
        </is>
      </c>
      <c r="E588" t="inlineStr">
        <is>
          <t>2026-03-23</t>
        </is>
      </c>
      <c r="F588" t="inlineStr">
        <is>
          <t>2026-03-30</t>
        </is>
      </c>
      <c r="G588" t="inlineStr">
        <is>
          <t xml:space="preserve"> - Road House</t>
        </is>
      </c>
      <c r="H588">
        <f>HYPERLINK("https://booking.roadsurfer.com/es/rally/pick?pickup_date=2026-03-23&amp;return_date=2026-03-30&amp;currency=EUR&amp;startStation=110&amp;endStation=30", "Clic para verlo en la web de RoadSurfer")</f>
        <v/>
      </c>
    </row>
    <row r="589">
      <c r="A589" t="inlineStr">
        <is>
          <t>Alemania</t>
        </is>
      </c>
      <c r="B589" t="inlineStr">
        <is>
          <t>Kassel</t>
        </is>
      </c>
      <c r="C589" t="inlineStr">
        <is>
          <t>Suecia</t>
        </is>
      </c>
      <c r="D589" t="inlineStr">
        <is>
          <t>Gotemburgo</t>
        </is>
      </c>
      <c r="E589" t="inlineStr">
        <is>
          <t>2026-02-23</t>
        </is>
      </c>
      <c r="F589" t="inlineStr">
        <is>
          <t>2026-03-02</t>
        </is>
      </c>
      <c r="G589" t="inlineStr">
        <is>
          <t xml:space="preserve"> - Surfer Suite</t>
        </is>
      </c>
      <c r="H589">
        <f>HYPERLINK("https://booking.roadsurfer.com/es/rally/pick?pickup_date=2026-02-23&amp;return_date=2026-03-02&amp;currency=EUR&amp;startStation=92&amp;endStation=77", "Clic para verlo en la web de RoadSurfer")</f>
        <v/>
      </c>
    </row>
    <row r="590">
      <c r="A590" t="inlineStr">
        <is>
          <t>Alemania</t>
        </is>
      </c>
      <c r="B590" t="inlineStr">
        <is>
          <t>Kassel</t>
        </is>
      </c>
      <c r="C590" t="inlineStr">
        <is>
          <t>Alemania</t>
        </is>
      </c>
      <c r="D590" t="inlineStr">
        <is>
          <t>Heidelberg</t>
        </is>
      </c>
      <c r="E590" t="inlineStr">
        <is>
          <t>2026-03-09</t>
        </is>
      </c>
      <c r="F590" t="inlineStr">
        <is>
          <t>2026-03-16</t>
        </is>
      </c>
      <c r="G590" t="inlineStr">
        <is>
          <t xml:space="preserve"> - Surfer Suite</t>
        </is>
      </c>
      <c r="H590">
        <f>HYPERLINK("https://booking.roadsurfer.com/es/rally/pick?pickup_date=2026-03-09&amp;return_date=2026-03-16&amp;currency=EUR&amp;startStation=92&amp;endStation=79", "Clic para verlo en la web de RoadSurfer")</f>
        <v/>
      </c>
    </row>
    <row r="591">
      <c r="A591" t="inlineStr">
        <is>
          <t>Alemania</t>
        </is>
      </c>
      <c r="B591" t="inlineStr">
        <is>
          <t>Kassel</t>
        </is>
      </c>
      <c r="C591" t="inlineStr">
        <is>
          <t>Alemania</t>
        </is>
      </c>
      <c r="D591" t="inlineStr">
        <is>
          <t>Heidelberg</t>
        </is>
      </c>
      <c r="E591" t="inlineStr">
        <is>
          <t>2026-03-12</t>
        </is>
      </c>
      <c r="F591" t="inlineStr">
        <is>
          <t>2026-03-19</t>
        </is>
      </c>
      <c r="G591" t="inlineStr">
        <is>
          <t xml:space="preserve"> - Surfer Suite</t>
        </is>
      </c>
      <c r="H591">
        <f>HYPERLINK("https://booking.roadsurfer.com/es/rally/pick?pickup_date=2026-03-12&amp;return_date=2026-03-19&amp;currency=EUR&amp;startStation=92&amp;endStation=79", "Clic para verlo en la web de RoadSurfer")</f>
        <v/>
      </c>
    </row>
    <row r="592">
      <c r="A592" t="inlineStr">
        <is>
          <t>Alemania</t>
        </is>
      </c>
      <c r="B592" t="inlineStr">
        <is>
          <t>Kassel</t>
        </is>
      </c>
      <c r="C592" t="inlineStr">
        <is>
          <t>Alemania</t>
        </is>
      </c>
      <c r="D592" t="inlineStr">
        <is>
          <t>Ulm</t>
        </is>
      </c>
      <c r="E592" t="inlineStr">
        <is>
          <t>2026-03-16</t>
        </is>
      </c>
      <c r="F592" t="inlineStr">
        <is>
          <t>2026-03-23</t>
        </is>
      </c>
      <c r="G592" t="inlineStr">
        <is>
          <t xml:space="preserve"> - Surfer Suite</t>
        </is>
      </c>
      <c r="H592">
        <f>HYPERLINK("https://booking.roadsurfer.com/es/rally/pick?pickup_date=2026-03-16&amp;return_date=2026-03-23&amp;currency=EUR&amp;startStation=92&amp;endStation=112", "Clic para verlo en la web de RoadSurfer")</f>
        <v/>
      </c>
    </row>
    <row r="593">
      <c r="A593" t="inlineStr">
        <is>
          <t>EE.UU.</t>
        </is>
      </c>
      <c r="B593" t="inlineStr">
        <is>
          <t>Las Vegas</t>
        </is>
      </c>
      <c r="C593" t="inlineStr">
        <is>
          <t>EE.UU.</t>
        </is>
      </c>
      <c r="D593" t="inlineStr">
        <is>
          <t>Dallas</t>
        </is>
      </c>
      <c r="E593" t="inlineStr">
        <is>
          <t>2026-02-25</t>
        </is>
      </c>
      <c r="F593" t="inlineStr">
        <is>
          <t>2026-03-11</t>
        </is>
      </c>
      <c r="G593" t="inlineStr">
        <is>
          <t xml:space="preserve"> - Family Freedom</t>
        </is>
      </c>
      <c r="H593">
        <f>HYPERLINK("https://booking.roadsurfer.com/es/rally/pick?pickup_date=2026-02-25&amp;return_date=2026-03-11&amp;currency=EUR&amp;startStation=76&amp;endStation=125", "Clic para verlo en la web de RoadSurfer")</f>
        <v/>
      </c>
    </row>
    <row r="594">
      <c r="A594" t="inlineStr">
        <is>
          <t>EE.UU.</t>
        </is>
      </c>
      <c r="B594" t="inlineStr">
        <is>
          <t>Las Vegas</t>
        </is>
      </c>
      <c r="C594" t="inlineStr">
        <is>
          <t>EE.UU.</t>
        </is>
      </c>
      <c r="D594" t="inlineStr">
        <is>
          <t>Dallas</t>
        </is>
      </c>
      <c r="E594" t="inlineStr">
        <is>
          <t>2026-02-23</t>
        </is>
      </c>
      <c r="F594" t="inlineStr">
        <is>
          <t>2026-03-06</t>
        </is>
      </c>
      <c r="G594" t="inlineStr">
        <is>
          <t xml:space="preserve"> - Family Freedom</t>
        </is>
      </c>
      <c r="H594">
        <f>HYPERLINK("https://booking.roadsurfer.com/es/rally/pick?pickup_date=2026-02-23&amp;return_date=2026-03-06&amp;currency=EUR&amp;startStation=76&amp;endStation=125", "Clic para verlo en la web de RoadSurfer")</f>
        <v/>
      </c>
    </row>
    <row r="595">
      <c r="A595" t="inlineStr">
        <is>
          <t>EE.UU.</t>
        </is>
      </c>
      <c r="B595" t="inlineStr">
        <is>
          <t>Las Vegas</t>
        </is>
      </c>
      <c r="C595" t="inlineStr">
        <is>
          <t>EE.UU.</t>
        </is>
      </c>
      <c r="D595" t="inlineStr">
        <is>
          <t>Seattle</t>
        </is>
      </c>
      <c r="E595" t="inlineStr">
        <is>
          <t>2026-03-20</t>
        </is>
      </c>
      <c r="F595" t="inlineStr">
        <is>
          <t>2026-03-27</t>
        </is>
      </c>
      <c r="G595" t="inlineStr">
        <is>
          <t xml:space="preserve"> - Family Freedom</t>
        </is>
      </c>
      <c r="H595">
        <f>HYPERLINK("https://booking.roadsurfer.com/es/rally/pick?pickup_date=2026-03-20&amp;return_date=2026-03-27&amp;currency=EUR&amp;startStation=76&amp;endStation=107", "Clic para verlo en la web de RoadSurfer")</f>
        <v/>
      </c>
    </row>
    <row r="596">
      <c r="A596" t="inlineStr">
        <is>
          <t>EE.UU.</t>
        </is>
      </c>
      <c r="B596" t="inlineStr">
        <is>
          <t>Las Vegas</t>
        </is>
      </c>
      <c r="C596" t="inlineStr">
        <is>
          <t>EE.UU.</t>
        </is>
      </c>
      <c r="D596" t="inlineStr">
        <is>
          <t>Seattle</t>
        </is>
      </c>
      <c r="E596" t="inlineStr">
        <is>
          <t>2026-03-27</t>
        </is>
      </c>
      <c r="F596" t="inlineStr">
        <is>
          <t>2026-04-03</t>
        </is>
      </c>
      <c r="G596" t="inlineStr">
        <is>
          <t xml:space="preserve"> - Family Freedom</t>
        </is>
      </c>
      <c r="H596">
        <f>HYPERLINK("https://booking.roadsurfer.com/es/rally/pick?pickup_date=2026-03-27&amp;return_date=2026-04-03&amp;currency=EUR&amp;startStation=76&amp;endStation=107", "Clic para verlo en la web de RoadSurfer")</f>
        <v/>
      </c>
    </row>
    <row r="597">
      <c r="A597" t="inlineStr">
        <is>
          <t>EE.UU.</t>
        </is>
      </c>
      <c r="B597" t="inlineStr">
        <is>
          <t>Las Vegas</t>
        </is>
      </c>
      <c r="C597" t="inlineStr">
        <is>
          <t>EE.UU.</t>
        </is>
      </c>
      <c r="D597" t="inlineStr">
        <is>
          <t>Seattle</t>
        </is>
      </c>
      <c r="E597" t="inlineStr">
        <is>
          <t>2026-03-25</t>
        </is>
      </c>
      <c r="F597" t="inlineStr">
        <is>
          <t>2026-04-01</t>
        </is>
      </c>
      <c r="G597" t="inlineStr">
        <is>
          <t xml:space="preserve"> - Liberty Lodge</t>
        </is>
      </c>
      <c r="H597">
        <f>HYPERLINK("https://booking.roadsurfer.com/es/rally/pick?pickup_date=2026-03-25&amp;return_date=2026-04-01&amp;currency=EUR&amp;startStation=76&amp;endStation=107", "Clic para verlo en la web de RoadSurfer")</f>
        <v/>
      </c>
    </row>
    <row r="598">
      <c r="A598" t="inlineStr">
        <is>
          <t>EE.UU.</t>
        </is>
      </c>
      <c r="B598" t="inlineStr">
        <is>
          <t>Las Vegas</t>
        </is>
      </c>
      <c r="C598" t="inlineStr">
        <is>
          <t>EE.UU.</t>
        </is>
      </c>
      <c r="D598" t="inlineStr">
        <is>
          <t>Salt Lake City</t>
        </is>
      </c>
      <c r="E598" t="inlineStr">
        <is>
          <t>2026-03-27</t>
        </is>
      </c>
      <c r="F598" t="inlineStr">
        <is>
          <t>2026-04-03</t>
        </is>
      </c>
      <c r="G598" t="inlineStr">
        <is>
          <t xml:space="preserve"> - Family Freedom</t>
        </is>
      </c>
      <c r="H598">
        <f>HYPERLINK("https://booking.roadsurfer.com/es/rally/pick?pickup_date=2026-03-27&amp;return_date=2026-04-03&amp;currency=EUR&amp;startStation=76&amp;endStation=106", "Clic para verlo en la web de RoadSurfer")</f>
        <v/>
      </c>
    </row>
    <row r="599">
      <c r="A599" t="inlineStr">
        <is>
          <t>EE.UU.</t>
        </is>
      </c>
      <c r="B599" t="inlineStr">
        <is>
          <t>Las Vegas</t>
        </is>
      </c>
      <c r="C599" t="inlineStr">
        <is>
          <t>EE.UU.</t>
        </is>
      </c>
      <c r="D599" t="inlineStr">
        <is>
          <t>Salt Lake City</t>
        </is>
      </c>
      <c r="E599" t="inlineStr">
        <is>
          <t>2026-04-03</t>
        </is>
      </c>
      <c r="F599" t="inlineStr">
        <is>
          <t>2026-04-10</t>
        </is>
      </c>
      <c r="G599" t="inlineStr">
        <is>
          <t xml:space="preserve"> - Family Freedom</t>
        </is>
      </c>
      <c r="H599">
        <f>HYPERLINK("https://booking.roadsurfer.com/es/rally/pick?pickup_date=2026-04-03&amp;return_date=2026-04-10&amp;currency=EUR&amp;startStation=76&amp;endStation=106", "Clic para verlo en la web de RoadSurfer")</f>
        <v/>
      </c>
    </row>
    <row r="600">
      <c r="A600" t="inlineStr">
        <is>
          <t>Alemania</t>
        </is>
      </c>
      <c r="B600" t="inlineStr">
        <is>
          <t>Leipzig</t>
        </is>
      </c>
      <c r="C600" t="inlineStr">
        <is>
          <t>Países Bajos</t>
        </is>
      </c>
      <c r="D600" t="inlineStr">
        <is>
          <t>Ámsterdam</t>
        </is>
      </c>
      <c r="E600" t="inlineStr">
        <is>
          <t>2026-03-14</t>
        </is>
      </c>
      <c r="F600" t="inlineStr">
        <is>
          <t>2026-03-21</t>
        </is>
      </c>
      <c r="G600" t="inlineStr">
        <is>
          <t xml:space="preserve"> - Family Finca</t>
        </is>
      </c>
      <c r="H600">
        <f>HYPERLINK("https://booking.roadsurfer.com/es/rally/pick?pickup_date=2026-03-14&amp;return_date=2026-03-21&amp;currency=EUR&amp;startStation=8&amp;endStation=32", "Clic para verlo en la web de RoadSurfer")</f>
        <v/>
      </c>
    </row>
    <row r="601">
      <c r="A601" t="inlineStr">
        <is>
          <t>Alemania</t>
        </is>
      </c>
      <c r="B601" t="inlineStr">
        <is>
          <t>Leipzig</t>
        </is>
      </c>
      <c r="C601" t="inlineStr">
        <is>
          <t>Países Bajos</t>
        </is>
      </c>
      <c r="D601" t="inlineStr">
        <is>
          <t>Ámsterdam</t>
        </is>
      </c>
      <c r="E601" t="inlineStr">
        <is>
          <t>2026-03-19</t>
        </is>
      </c>
      <c r="F601" t="inlineStr">
        <is>
          <t>2026-03-26</t>
        </is>
      </c>
      <c r="G601" t="inlineStr">
        <is>
          <t xml:space="preserve"> - Camper Cabin Deluxe</t>
        </is>
      </c>
      <c r="H601">
        <f>HYPERLINK("https://booking.roadsurfer.com/es/rally/pick?pickup_date=2026-03-19&amp;return_date=2026-03-26&amp;currency=EUR&amp;startStation=8&amp;endStation=32", "Clic para verlo en la web de RoadSurfer")</f>
        <v/>
      </c>
    </row>
    <row r="602">
      <c r="A602" t="inlineStr">
        <is>
          <t>Alemania</t>
        </is>
      </c>
      <c r="B602" t="inlineStr">
        <is>
          <t>Leipzig</t>
        </is>
      </c>
      <c r="C602" t="inlineStr">
        <is>
          <t>Países Bajos</t>
        </is>
      </c>
      <c r="D602" t="inlineStr">
        <is>
          <t>Róterdam</t>
        </is>
      </c>
      <c r="E602" t="inlineStr">
        <is>
          <t>2026-03-03</t>
        </is>
      </c>
      <c r="F602" t="inlineStr">
        <is>
          <t>2026-03-10</t>
        </is>
      </c>
      <c r="G602" t="inlineStr">
        <is>
          <t xml:space="preserve"> - ROAD HOUSE</t>
        </is>
      </c>
      <c r="H602">
        <f>HYPERLINK("https://booking.roadsurfer.com/es/rally/pick?pickup_date=2026-03-03&amp;return_date=2026-03-10&amp;currency=EUR&amp;startStation=8&amp;endStation=33", "Clic para verlo en la web de RoadSurfer")</f>
        <v/>
      </c>
    </row>
    <row r="603">
      <c r="A603" t="inlineStr">
        <is>
          <t>Alemania</t>
        </is>
      </c>
      <c r="B603" t="inlineStr">
        <is>
          <t>Leipzig</t>
        </is>
      </c>
      <c r="C603" t="inlineStr">
        <is>
          <t>Países Bajos</t>
        </is>
      </c>
      <c r="D603" t="inlineStr">
        <is>
          <t>Róterdam</t>
        </is>
      </c>
      <c r="E603" t="inlineStr">
        <is>
          <t>2026-03-05</t>
        </is>
      </c>
      <c r="F603" t="inlineStr">
        <is>
          <t>2026-03-12</t>
        </is>
      </c>
      <c r="G603" t="inlineStr">
        <is>
          <t xml:space="preserve"> - Road House</t>
        </is>
      </c>
      <c r="H603">
        <f>HYPERLINK("https://booking.roadsurfer.com/es/rally/pick?pickup_date=2026-03-05&amp;return_date=2026-03-12&amp;currency=EUR&amp;startStation=8&amp;endStation=33", "Clic para verlo en la web de RoadSurfer")</f>
        <v/>
      </c>
    </row>
    <row r="604">
      <c r="A604" t="inlineStr">
        <is>
          <t>Alemania</t>
        </is>
      </c>
      <c r="B604" t="inlineStr">
        <is>
          <t>Leipzig</t>
        </is>
      </c>
      <c r="C604" t="inlineStr">
        <is>
          <t>Países Bajos</t>
        </is>
      </c>
      <c r="D604" t="inlineStr">
        <is>
          <t>Róterdam</t>
        </is>
      </c>
      <c r="E604" t="inlineStr">
        <is>
          <t>2026-03-06</t>
        </is>
      </c>
      <c r="F604" t="inlineStr">
        <is>
          <t>2026-03-13</t>
        </is>
      </c>
      <c r="G604" t="inlineStr">
        <is>
          <t xml:space="preserve"> - Road House</t>
        </is>
      </c>
      <c r="H604">
        <f>HYPERLINK("https://booking.roadsurfer.com/es/rally/pick?pickup_date=2026-03-06&amp;return_date=2026-03-13&amp;currency=EUR&amp;startStation=8&amp;endStation=33", "Clic para verlo en la web de RoadSurfer")</f>
        <v/>
      </c>
    </row>
    <row r="605">
      <c r="A605" t="inlineStr">
        <is>
          <t>Alemania</t>
        </is>
      </c>
      <c r="B605" t="inlineStr">
        <is>
          <t>Leipzig</t>
        </is>
      </c>
      <c r="C605" t="inlineStr">
        <is>
          <t>Alemania</t>
        </is>
      </c>
      <c r="D605" t="inlineStr">
        <is>
          <t>Berlín-Schönefeld</t>
        </is>
      </c>
      <c r="E605" t="inlineStr">
        <is>
          <t>2026-03-16</t>
        </is>
      </c>
      <c r="F605" t="inlineStr">
        <is>
          <t>2026-03-23</t>
        </is>
      </c>
      <c r="G605" t="inlineStr">
        <is>
          <t xml:space="preserve"> - Camper Cabin Deluxe</t>
        </is>
      </c>
      <c r="H605">
        <f>HYPERLINK("https://booking.roadsurfer.com/es/rally/pick?pickup_date=2026-03-16&amp;return_date=2026-03-23&amp;currency=EUR&amp;startStation=8&amp;endStation=51", "Clic para verlo en la web de RoadSurfer")</f>
        <v/>
      </c>
    </row>
    <row r="606">
      <c r="A606" t="inlineStr">
        <is>
          <t>Alemania</t>
        </is>
      </c>
      <c r="B606" t="inlineStr">
        <is>
          <t>Leipzig</t>
        </is>
      </c>
      <c r="C606" t="inlineStr">
        <is>
          <t>Alemania</t>
        </is>
      </c>
      <c r="D606" t="inlineStr">
        <is>
          <t>Braunschweig</t>
        </is>
      </c>
      <c r="E606" t="inlineStr">
        <is>
          <t>2026-03-02</t>
        </is>
      </c>
      <c r="F606" t="inlineStr">
        <is>
          <t>2026-03-09</t>
        </is>
      </c>
      <c r="G606" t="inlineStr">
        <is>
          <t xml:space="preserve"> - No hay coche</t>
        </is>
      </c>
      <c r="H606">
        <f>HYPERLINK("https://booking.roadsurfer.com/es/rally/pick?pickup_date=2026-03-02&amp;return_date=2026-03-09&amp;currency=EUR&amp;startStation=8&amp;endStation=128", "Clic para verlo en la web de RoadSurfer")</f>
        <v/>
      </c>
    </row>
    <row r="607">
      <c r="A607" t="inlineStr">
        <is>
          <t>Alemania</t>
        </is>
      </c>
      <c r="B607" t="inlineStr">
        <is>
          <t>Leipzig</t>
        </is>
      </c>
      <c r="C607" t="inlineStr">
        <is>
          <t>Alemania</t>
        </is>
      </c>
      <c r="D607" t="inlineStr">
        <is>
          <t>Braunschweig</t>
        </is>
      </c>
      <c r="E607" t="inlineStr">
        <is>
          <t>2026-03-09</t>
        </is>
      </c>
      <c r="F607" t="inlineStr">
        <is>
          <t>2026-03-16</t>
        </is>
      </c>
      <c r="G607" t="inlineStr">
        <is>
          <t xml:space="preserve"> - No hay coche</t>
        </is>
      </c>
      <c r="H607">
        <f>HYPERLINK("https://booking.roadsurfer.com/es/rally/pick?pickup_date=2026-03-09&amp;return_date=2026-03-16&amp;currency=EUR&amp;startStation=8&amp;endStation=128", "Clic para verlo en la web de RoadSurfer")</f>
        <v/>
      </c>
    </row>
    <row r="608">
      <c r="A608" t="inlineStr">
        <is>
          <t>Alemania</t>
        </is>
      </c>
      <c r="B608" t="inlineStr">
        <is>
          <t>Leipzig</t>
        </is>
      </c>
      <c r="C608" t="inlineStr">
        <is>
          <t>Francia</t>
        </is>
      </c>
      <c r="D608" t="inlineStr">
        <is>
          <t>Estrasburgo</t>
        </is>
      </c>
      <c r="E608" t="inlineStr">
        <is>
          <t>2026-03-23</t>
        </is>
      </c>
      <c r="F608" t="inlineStr">
        <is>
          <t>2026-03-30</t>
        </is>
      </c>
      <c r="G608" t="inlineStr">
        <is>
          <t xml:space="preserve"> - Camper Castle</t>
        </is>
      </c>
      <c r="H608">
        <f>HYPERLINK("https://booking.roadsurfer.com/es/rally/pick?pickup_date=2026-03-23&amp;return_date=2026-03-30&amp;currency=EUR&amp;startStation=8&amp;endStation=49", "Clic para verlo en la web de RoadSurfer")</f>
        <v/>
      </c>
    </row>
    <row r="609">
      <c r="A609" t="inlineStr">
        <is>
          <t>Alemania</t>
        </is>
      </c>
      <c r="B609" t="inlineStr">
        <is>
          <t>Leipzig</t>
        </is>
      </c>
      <c r="C609" t="inlineStr">
        <is>
          <t>Bélgica</t>
        </is>
      </c>
      <c r="D609" t="inlineStr">
        <is>
          <t>Bruselas</t>
        </is>
      </c>
      <c r="E609" t="inlineStr">
        <is>
          <t>2026-03-18</t>
        </is>
      </c>
      <c r="F609" t="inlineStr">
        <is>
          <t>2026-03-25</t>
        </is>
      </c>
      <c r="G609" t="inlineStr">
        <is>
          <t xml:space="preserve"> - Family Finca</t>
        </is>
      </c>
      <c r="H609">
        <f>HYPERLINK("https://booking.roadsurfer.com/es/rally/pick?pickup_date=2026-03-18&amp;return_date=2026-03-25&amp;currency=EUR&amp;startStation=8&amp;endStation=42", "Clic para verlo en la web de RoadSurfer")</f>
        <v/>
      </c>
    </row>
    <row r="610">
      <c r="A610" t="inlineStr">
        <is>
          <t>Alemania</t>
        </is>
      </c>
      <c r="B610" t="inlineStr">
        <is>
          <t>Leipzig</t>
        </is>
      </c>
      <c r="C610" t="inlineStr">
        <is>
          <t>Bélgica</t>
        </is>
      </c>
      <c r="D610" t="inlineStr">
        <is>
          <t>Bruselas</t>
        </is>
      </c>
      <c r="E610" t="inlineStr">
        <is>
          <t>2026-03-21</t>
        </is>
      </c>
      <c r="F610" t="inlineStr">
        <is>
          <t>2026-03-28</t>
        </is>
      </c>
      <c r="G610" t="inlineStr">
        <is>
          <t xml:space="preserve"> - Family Finca</t>
        </is>
      </c>
      <c r="H610">
        <f>HYPERLINK("https://booking.roadsurfer.com/es/rally/pick?pickup_date=2026-03-21&amp;return_date=2026-03-28&amp;currency=EUR&amp;startStation=8&amp;endStation=42", "Clic para verlo en la web de RoadSurfer")</f>
        <v/>
      </c>
    </row>
    <row r="611">
      <c r="A611" t="inlineStr">
        <is>
          <t>Alemania</t>
        </is>
      </c>
      <c r="B611" t="inlineStr">
        <is>
          <t>Leipzig</t>
        </is>
      </c>
      <c r="C611" t="inlineStr">
        <is>
          <t>Francia</t>
        </is>
      </c>
      <c r="D611" t="inlineStr">
        <is>
          <t>Lille</t>
        </is>
      </c>
      <c r="E611" t="inlineStr">
        <is>
          <t>2026-03-12</t>
        </is>
      </c>
      <c r="F611" t="inlineStr">
        <is>
          <t>2026-03-19</t>
        </is>
      </c>
      <c r="G611" t="inlineStr">
        <is>
          <t xml:space="preserve"> - Family Finca</t>
        </is>
      </c>
      <c r="H611">
        <f>HYPERLINK("https://booking.roadsurfer.com/es/rally/pick?pickup_date=2026-03-12&amp;return_date=2026-03-19&amp;currency=EUR&amp;startStation=8&amp;endStation=87", "Clic para verlo en la web de RoadSurfer")</f>
        <v/>
      </c>
    </row>
    <row r="612">
      <c r="A612" t="inlineStr">
        <is>
          <t>Alemania</t>
        </is>
      </c>
      <c r="B612" t="inlineStr">
        <is>
          <t>Leipzig</t>
        </is>
      </c>
      <c r="C612" t="inlineStr">
        <is>
          <t>Francia</t>
        </is>
      </c>
      <c r="D612" t="inlineStr">
        <is>
          <t>Lille</t>
        </is>
      </c>
      <c r="E612" t="inlineStr">
        <is>
          <t>2026-03-26</t>
        </is>
      </c>
      <c r="F612" t="inlineStr">
        <is>
          <t>2026-04-02</t>
        </is>
      </c>
      <c r="G612" t="inlineStr">
        <is>
          <t xml:space="preserve"> - Road House</t>
        </is>
      </c>
      <c r="H612">
        <f>HYPERLINK("https://booking.roadsurfer.com/es/rally/pick?pickup_date=2026-03-26&amp;return_date=2026-04-02&amp;currency=EUR&amp;startStation=8&amp;endStation=87", "Clic para verlo en la web de RoadSurfer")</f>
        <v/>
      </c>
    </row>
    <row r="613">
      <c r="A613" t="inlineStr">
        <is>
          <t>Alemania</t>
        </is>
      </c>
      <c r="B613" t="inlineStr">
        <is>
          <t>Leipzig</t>
        </is>
      </c>
      <c r="C613" t="inlineStr">
        <is>
          <t>Francia</t>
        </is>
      </c>
      <c r="D613" t="inlineStr">
        <is>
          <t>París Sur (Orly)</t>
        </is>
      </c>
      <c r="E613" t="inlineStr">
        <is>
          <t>2026-03-21</t>
        </is>
      </c>
      <c r="F613" t="inlineStr">
        <is>
          <t>2026-03-28</t>
        </is>
      </c>
      <c r="G613" t="inlineStr">
        <is>
          <t xml:space="preserve"> - Couple Cottage</t>
        </is>
      </c>
      <c r="H613">
        <f>HYPERLINK("https://booking.roadsurfer.com/es/rally/pick?pickup_date=2026-03-21&amp;return_date=2026-03-28&amp;currency=EUR&amp;startStation=8&amp;endStation=12", "Clic para verlo en la web de RoadSurfer")</f>
        <v/>
      </c>
    </row>
    <row r="614">
      <c r="A614" t="inlineStr">
        <is>
          <t>Alemania</t>
        </is>
      </c>
      <c r="B614" t="inlineStr">
        <is>
          <t>Leipzig</t>
        </is>
      </c>
      <c r="C614" t="inlineStr">
        <is>
          <t>Francia</t>
        </is>
      </c>
      <c r="D614" t="inlineStr">
        <is>
          <t>París Sur (Orly)</t>
        </is>
      </c>
      <c r="E614" t="inlineStr">
        <is>
          <t>2026-03-20</t>
        </is>
      </c>
      <c r="F614" t="inlineStr">
        <is>
          <t>2026-03-27</t>
        </is>
      </c>
      <c r="G614" t="inlineStr">
        <is>
          <t xml:space="preserve"> - ROAD HOUSE</t>
        </is>
      </c>
      <c r="H614">
        <f>HYPERLINK("https://booking.roadsurfer.com/es/rally/pick?pickup_date=2026-03-20&amp;return_date=2026-03-27&amp;currency=EUR&amp;startStation=8&amp;endStation=12", "Clic para verlo en la web de RoadSurfer")</f>
        <v/>
      </c>
    </row>
    <row r="615">
      <c r="A615" t="inlineStr">
        <is>
          <t>Alemania</t>
        </is>
      </c>
      <c r="B615" t="inlineStr">
        <is>
          <t>Leipzig</t>
        </is>
      </c>
      <c r="C615" t="inlineStr">
        <is>
          <t>Francia</t>
        </is>
      </c>
      <c r="D615" t="inlineStr">
        <is>
          <t>París Sur (Orly)</t>
        </is>
      </c>
      <c r="E615" t="inlineStr">
        <is>
          <t>2026-03-10</t>
        </is>
      </c>
      <c r="F615" t="inlineStr">
        <is>
          <t>2026-03-17</t>
        </is>
      </c>
      <c r="G615" t="inlineStr">
        <is>
          <t xml:space="preserve"> - Family Finca</t>
        </is>
      </c>
      <c r="H615">
        <f>HYPERLINK("https://booking.roadsurfer.com/es/rally/pick?pickup_date=2026-03-10&amp;return_date=2026-03-17&amp;currency=EUR&amp;startStation=8&amp;endStation=12", "Clic para verlo en la web de RoadSurfer")</f>
        <v/>
      </c>
    </row>
    <row r="616">
      <c r="A616" t="inlineStr">
        <is>
          <t>Alemania</t>
        </is>
      </c>
      <c r="B616" t="inlineStr">
        <is>
          <t>Leipzig</t>
        </is>
      </c>
      <c r="C616" t="inlineStr">
        <is>
          <t>Austria</t>
        </is>
      </c>
      <c r="D616" t="inlineStr">
        <is>
          <t>Viena Sur</t>
        </is>
      </c>
      <c r="E616" t="inlineStr">
        <is>
          <t>2026-03-12</t>
        </is>
      </c>
      <c r="F616" t="inlineStr">
        <is>
          <t>2026-03-19</t>
        </is>
      </c>
      <c r="G616" t="inlineStr">
        <is>
          <t xml:space="preserve"> - Road House</t>
        </is>
      </c>
      <c r="H616">
        <f>HYPERLINK("https://booking.roadsurfer.com/es/rally/pick?pickup_date=2026-03-12&amp;return_date=2026-03-19&amp;currency=EUR&amp;startStation=8&amp;endStation=45", "Clic para verlo en la web de RoadSurfer")</f>
        <v/>
      </c>
    </row>
    <row r="617">
      <c r="A617" t="inlineStr">
        <is>
          <t>Alemania</t>
        </is>
      </c>
      <c r="B617" t="inlineStr">
        <is>
          <t>Leipzig</t>
        </is>
      </c>
      <c r="C617" t="inlineStr">
        <is>
          <t>Austria</t>
        </is>
      </c>
      <c r="D617" t="inlineStr">
        <is>
          <t>Viena Sur</t>
        </is>
      </c>
      <c r="E617" t="inlineStr">
        <is>
          <t>2026-03-16</t>
        </is>
      </c>
      <c r="F617" t="inlineStr">
        <is>
          <t>2026-03-23</t>
        </is>
      </c>
      <c r="G617" t="inlineStr">
        <is>
          <t xml:space="preserve"> - Road House</t>
        </is>
      </c>
      <c r="H617">
        <f>HYPERLINK("https://booking.roadsurfer.com/es/rally/pick?pickup_date=2026-03-16&amp;return_date=2026-03-23&amp;currency=EUR&amp;startStation=8&amp;endStation=45", "Clic para verlo en la web de RoadSurfer")</f>
        <v/>
      </c>
    </row>
    <row r="618">
      <c r="A618" t="inlineStr">
        <is>
          <t>Alemania</t>
        </is>
      </c>
      <c r="B618" t="inlineStr">
        <is>
          <t>Leipzig</t>
        </is>
      </c>
      <c r="C618" t="inlineStr">
        <is>
          <t>Austria</t>
        </is>
      </c>
      <c r="D618" t="inlineStr">
        <is>
          <t>Viena Sur</t>
        </is>
      </c>
      <c r="E618" t="inlineStr">
        <is>
          <t>2026-03-09</t>
        </is>
      </c>
      <c r="F618" t="inlineStr">
        <is>
          <t>2026-03-16</t>
        </is>
      </c>
      <c r="G618" t="inlineStr">
        <is>
          <t xml:space="preserve"> - Road House</t>
        </is>
      </c>
      <c r="H618">
        <f>HYPERLINK("https://booking.roadsurfer.com/es/rally/pick?pickup_date=2026-03-09&amp;return_date=2026-03-16&amp;currency=EUR&amp;startStation=8&amp;endStation=45", "Clic para verlo en la web de RoadSurfer")</f>
        <v/>
      </c>
    </row>
    <row r="619">
      <c r="A619" t="inlineStr">
        <is>
          <t>Alemania</t>
        </is>
      </c>
      <c r="B619" t="inlineStr">
        <is>
          <t>Leipzig</t>
        </is>
      </c>
      <c r="C619" t="inlineStr">
        <is>
          <t>Italia</t>
        </is>
      </c>
      <c r="D619" t="inlineStr">
        <is>
          <t>Roma Aeropuerto Fiumicino</t>
        </is>
      </c>
      <c r="E619" t="inlineStr">
        <is>
          <t>2026-02-23</t>
        </is>
      </c>
      <c r="F619" t="inlineStr">
        <is>
          <t>2026-03-02</t>
        </is>
      </c>
      <c r="G619" t="inlineStr">
        <is>
          <t xml:space="preserve"> - Road House</t>
        </is>
      </c>
      <c r="H619">
        <f>HYPERLINK("https://booking.roadsurfer.com/es/rally/pick?pickup_date=2026-02-23&amp;return_date=2026-03-02&amp;currency=EUR&amp;startStation=8&amp;endStation=35", "Clic para verlo en la web de RoadSurfer")</f>
        <v/>
      </c>
    </row>
    <row r="620">
      <c r="A620" t="inlineStr">
        <is>
          <t>Francia</t>
        </is>
      </c>
      <c r="B620" t="inlineStr">
        <is>
          <t>Lille</t>
        </is>
      </c>
      <c r="C620" t="inlineStr">
        <is>
          <t>Alemania</t>
        </is>
      </c>
      <c r="D620" t="inlineStr">
        <is>
          <t>Dresde</t>
        </is>
      </c>
      <c r="E620" t="inlineStr">
        <is>
          <t>2026-02-21</t>
        </is>
      </c>
      <c r="F620" t="inlineStr">
        <is>
          <t>2026-02-28</t>
        </is>
      </c>
      <c r="G620" t="inlineStr">
        <is>
          <t xml:space="preserve"> - Surfer Suite</t>
        </is>
      </c>
      <c r="H620">
        <f>HYPERLINK("https://booking.roadsurfer.com/es/rally/pick?pickup_date=2026-02-21&amp;return_date=2026-02-28&amp;currency=EUR&amp;startStation=87&amp;endStation=56", "Clic para verlo en la web de RoadSurfer")</f>
        <v/>
      </c>
    </row>
    <row r="621">
      <c r="A621" t="inlineStr">
        <is>
          <t>Francia</t>
        </is>
      </c>
      <c r="B621" t="inlineStr">
        <is>
          <t>Lille</t>
        </is>
      </c>
      <c r="C621" t="inlineStr">
        <is>
          <t>Alemania</t>
        </is>
      </c>
      <c r="D621" t="inlineStr">
        <is>
          <t>Bielefeld</t>
        </is>
      </c>
      <c r="E621" t="inlineStr">
        <is>
          <t>2026-03-18</t>
        </is>
      </c>
      <c r="F621" t="inlineStr">
        <is>
          <t>2026-03-25</t>
        </is>
      </c>
      <c r="G621" t="inlineStr">
        <is>
          <t xml:space="preserve"> - Family Finca</t>
        </is>
      </c>
      <c r="H621">
        <f>HYPERLINK("https://booking.roadsurfer.com/es/rally/pick?pickup_date=2026-03-18&amp;return_date=2026-03-25&amp;currency=EUR&amp;startStation=87&amp;endStation=91", "Clic para verlo en la web de RoadSurfer")</f>
        <v/>
      </c>
    </row>
    <row r="622">
      <c r="A622" t="inlineStr">
        <is>
          <t>Francia</t>
        </is>
      </c>
      <c r="B622" t="inlineStr">
        <is>
          <t>Lille</t>
        </is>
      </c>
      <c r="C622" t="inlineStr">
        <is>
          <t>Alemania</t>
        </is>
      </c>
      <c r="D622" t="inlineStr">
        <is>
          <t>Bielefeld</t>
        </is>
      </c>
      <c r="E622" t="inlineStr">
        <is>
          <t>2026-03-20</t>
        </is>
      </c>
      <c r="F622" t="inlineStr">
        <is>
          <t>2026-03-27</t>
        </is>
      </c>
      <c r="G622" t="inlineStr">
        <is>
          <t xml:space="preserve"> - Family Finca</t>
        </is>
      </c>
      <c r="H622">
        <f>HYPERLINK("https://booking.roadsurfer.com/es/rally/pick?pickup_date=2026-03-20&amp;return_date=2026-03-27&amp;currency=EUR&amp;startStation=87&amp;endStation=91", "Clic para verlo en la web de RoadSurfer")</f>
        <v/>
      </c>
    </row>
    <row r="623">
      <c r="A623" t="inlineStr">
        <is>
          <t>Francia</t>
        </is>
      </c>
      <c r="B623" t="inlineStr">
        <is>
          <t>Lille</t>
        </is>
      </c>
      <c r="C623" t="inlineStr">
        <is>
          <t>Alemania</t>
        </is>
      </c>
      <c r="D623" t="inlineStr">
        <is>
          <t>Bielefeld</t>
        </is>
      </c>
      <c r="E623" t="inlineStr">
        <is>
          <t>2026-03-17</t>
        </is>
      </c>
      <c r="F623" t="inlineStr">
        <is>
          <t>2026-03-24</t>
        </is>
      </c>
      <c r="G623" t="inlineStr">
        <is>
          <t xml:space="preserve"> - Surfer Suite</t>
        </is>
      </c>
      <c r="H623">
        <f>HYPERLINK("https://booking.roadsurfer.com/es/rally/pick?pickup_date=2026-03-17&amp;return_date=2026-03-24&amp;currency=EUR&amp;startStation=87&amp;endStation=91", "Clic para verlo en la web de RoadSurfer")</f>
        <v/>
      </c>
    </row>
    <row r="624">
      <c r="A624" t="inlineStr">
        <is>
          <t>Francia</t>
        </is>
      </c>
      <c r="B624" t="inlineStr">
        <is>
          <t>Lille</t>
        </is>
      </c>
      <c r="C624" t="inlineStr">
        <is>
          <t>Alemania</t>
        </is>
      </c>
      <c r="D624" t="inlineStr">
        <is>
          <t>Bielefeld</t>
        </is>
      </c>
      <c r="E624" t="inlineStr">
        <is>
          <t>2026-03-19</t>
        </is>
      </c>
      <c r="F624" t="inlineStr">
        <is>
          <t>2026-03-26</t>
        </is>
      </c>
      <c r="G624" t="inlineStr">
        <is>
          <t xml:space="preserve"> - Surfer Suite</t>
        </is>
      </c>
      <c r="H624">
        <f>HYPERLINK("https://booking.roadsurfer.com/es/rally/pick?pickup_date=2026-03-19&amp;return_date=2026-03-26&amp;currency=EUR&amp;startStation=87&amp;endStation=91", "Clic para verlo en la web de RoadSurfer")</f>
        <v/>
      </c>
    </row>
    <row r="625">
      <c r="A625" t="inlineStr">
        <is>
          <t>Francia</t>
        </is>
      </c>
      <c r="B625" t="inlineStr">
        <is>
          <t>Lille</t>
        </is>
      </c>
      <c r="C625" t="inlineStr">
        <is>
          <t>Alemania</t>
        </is>
      </c>
      <c r="D625" t="inlineStr">
        <is>
          <t>Duisburgo</t>
        </is>
      </c>
      <c r="E625" t="inlineStr">
        <is>
          <t>2026-03-09</t>
        </is>
      </c>
      <c r="F625" t="inlineStr">
        <is>
          <t>2026-03-16</t>
        </is>
      </c>
      <c r="G625" t="inlineStr">
        <is>
          <t xml:space="preserve"> - Family Finca</t>
        </is>
      </c>
      <c r="H625">
        <f>HYPERLINK("https://booking.roadsurfer.com/es/rally/pick?pickup_date=2026-03-09&amp;return_date=2026-03-16&amp;currency=EUR&amp;startStation=87&amp;endStation=113", "Clic para verlo en la web de RoadSurfer")</f>
        <v/>
      </c>
    </row>
    <row r="626">
      <c r="A626" t="inlineStr">
        <is>
          <t>Francia</t>
        </is>
      </c>
      <c r="B626" t="inlineStr">
        <is>
          <t>Lille</t>
        </is>
      </c>
      <c r="C626" t="inlineStr">
        <is>
          <t>Alemania</t>
        </is>
      </c>
      <c r="D626" t="inlineStr">
        <is>
          <t>Duisburgo</t>
        </is>
      </c>
      <c r="E626" t="inlineStr">
        <is>
          <t>2026-03-11</t>
        </is>
      </c>
      <c r="F626" t="inlineStr">
        <is>
          <t>2026-03-18</t>
        </is>
      </c>
      <c r="G626" t="inlineStr">
        <is>
          <t xml:space="preserve"> - Surfer Suite</t>
        </is>
      </c>
      <c r="H626">
        <f>HYPERLINK("https://booking.roadsurfer.com/es/rally/pick?pickup_date=2026-03-11&amp;return_date=2026-03-18&amp;currency=EUR&amp;startStation=87&amp;endStation=113", "Clic para verlo en la web de RoadSurfer")</f>
        <v/>
      </c>
    </row>
    <row r="627">
      <c r="A627" t="inlineStr">
        <is>
          <t>Francia</t>
        </is>
      </c>
      <c r="B627" t="inlineStr">
        <is>
          <t>Lille</t>
        </is>
      </c>
      <c r="C627" t="inlineStr">
        <is>
          <t>Alemania</t>
        </is>
      </c>
      <c r="D627" t="inlineStr">
        <is>
          <t>Duisburgo</t>
        </is>
      </c>
      <c r="E627" t="inlineStr">
        <is>
          <t>2026-03-10</t>
        </is>
      </c>
      <c r="F627" t="inlineStr">
        <is>
          <t>2026-03-17</t>
        </is>
      </c>
      <c r="G627" t="inlineStr">
        <is>
          <t xml:space="preserve"> - Road House</t>
        </is>
      </c>
      <c r="H627">
        <f>HYPERLINK("https://booking.roadsurfer.com/es/rally/pick?pickup_date=2026-03-10&amp;return_date=2026-03-17&amp;currency=EUR&amp;startStation=87&amp;endStation=113", "Clic para verlo en la web de RoadSurfer")</f>
        <v/>
      </c>
    </row>
    <row r="628">
      <c r="A628" t="inlineStr">
        <is>
          <t>Francia</t>
        </is>
      </c>
      <c r="B628" t="inlineStr">
        <is>
          <t>Lille</t>
        </is>
      </c>
      <c r="C628" t="inlineStr">
        <is>
          <t>Alemania</t>
        </is>
      </c>
      <c r="D628" t="inlineStr">
        <is>
          <t>Duisburgo</t>
        </is>
      </c>
      <c r="E628" t="inlineStr">
        <is>
          <t>2026-03-12</t>
        </is>
      </c>
      <c r="F628" t="inlineStr">
        <is>
          <t>2026-03-19</t>
        </is>
      </c>
      <c r="G628" t="inlineStr">
        <is>
          <t xml:space="preserve"> - Surfer Suite</t>
        </is>
      </c>
      <c r="H628">
        <f>HYPERLINK("https://booking.roadsurfer.com/es/rally/pick?pickup_date=2026-03-12&amp;return_date=2026-03-19&amp;currency=EUR&amp;startStation=87&amp;endStation=113", "Clic para verlo en la web de RoadSurfer")</f>
        <v/>
      </c>
    </row>
    <row r="629">
      <c r="A629" t="inlineStr">
        <is>
          <t>Francia</t>
        </is>
      </c>
      <c r="B629" t="inlineStr">
        <is>
          <t>Lille</t>
        </is>
      </c>
      <c r="C629" t="inlineStr">
        <is>
          <t>Alemania</t>
        </is>
      </c>
      <c r="D629" t="inlineStr">
        <is>
          <t>Marburg</t>
        </is>
      </c>
      <c r="E629" t="inlineStr">
        <is>
          <t>2026-02-24</t>
        </is>
      </c>
      <c r="F629" t="inlineStr">
        <is>
          <t>2026-03-03</t>
        </is>
      </c>
      <c r="G629" t="inlineStr">
        <is>
          <t xml:space="preserve"> - Surfer Suite</t>
        </is>
      </c>
      <c r="H629">
        <f>HYPERLINK("https://booking.roadsurfer.com/es/rally/pick?pickup_date=2026-02-24&amp;return_date=2026-03-03&amp;currency=EUR&amp;startStation=87&amp;endStation=22", "Clic para verlo en la web de RoadSurfer")</f>
        <v/>
      </c>
    </row>
    <row r="630">
      <c r="A630" t="inlineStr">
        <is>
          <t>Alemania</t>
        </is>
      </c>
      <c r="B630" t="inlineStr">
        <is>
          <t>Lindau-Wangen</t>
        </is>
      </c>
      <c r="C630" t="inlineStr">
        <is>
          <t>Francia</t>
        </is>
      </c>
      <c r="D630" t="inlineStr">
        <is>
          <t>Burdeos</t>
        </is>
      </c>
      <c r="E630" t="inlineStr">
        <is>
          <t>2026-02-23</t>
        </is>
      </c>
      <c r="F630" t="inlineStr">
        <is>
          <t>2026-03-02</t>
        </is>
      </c>
      <c r="G630" t="inlineStr">
        <is>
          <t xml:space="preserve"> - Road House</t>
        </is>
      </c>
      <c r="H630">
        <f>HYPERLINK("https://booking.roadsurfer.com/es/rally/pick?pickup_date=2026-02-23&amp;return_date=2026-03-02&amp;currency=EUR&amp;startStation=117&amp;endStation=13", "Clic para verlo en la web de RoadSurfer")</f>
        <v/>
      </c>
    </row>
    <row r="631">
      <c r="A631" t="inlineStr">
        <is>
          <t>Alemania</t>
        </is>
      </c>
      <c r="B631" t="inlineStr">
        <is>
          <t>Lindau-Wangen</t>
        </is>
      </c>
      <c r="C631" t="inlineStr">
        <is>
          <t>Italia</t>
        </is>
      </c>
      <c r="D631" t="inlineStr">
        <is>
          <t>Bolonia</t>
        </is>
      </c>
      <c r="E631" t="inlineStr">
        <is>
          <t>2026-03-23</t>
        </is>
      </c>
      <c r="F631" t="inlineStr">
        <is>
          <t>2026-03-30</t>
        </is>
      </c>
      <c r="G631" t="inlineStr">
        <is>
          <t xml:space="preserve"> - Surfer Suite</t>
        </is>
      </c>
      <c r="H631">
        <f>HYPERLINK("https://booking.roadsurfer.com/es/rally/pick?pickup_date=2026-03-23&amp;return_date=2026-03-30&amp;currency=EUR&amp;startStation=117&amp;endStation=57", "Clic para verlo en la web de RoadSurfer")</f>
        <v/>
      </c>
    </row>
    <row r="632">
      <c r="A632" t="inlineStr">
        <is>
          <t>Alemania</t>
        </is>
      </c>
      <c r="B632" t="inlineStr">
        <is>
          <t>Lindau-Wangen</t>
        </is>
      </c>
      <c r="C632" t="inlineStr">
        <is>
          <t>Austria</t>
        </is>
      </c>
      <c r="D632" t="inlineStr">
        <is>
          <t>Salzburgo</t>
        </is>
      </c>
      <c r="E632" t="inlineStr">
        <is>
          <t>2026-03-25</t>
        </is>
      </c>
      <c r="F632" t="inlineStr">
        <is>
          <t>2026-04-01</t>
        </is>
      </c>
      <c r="G632" t="inlineStr">
        <is>
          <t xml:space="preserve"> - Surfer Suite</t>
        </is>
      </c>
      <c r="H632">
        <f>HYPERLINK("https://booking.roadsurfer.com/es/rally/pick?pickup_date=2026-03-25&amp;return_date=2026-04-01&amp;currency=EUR&amp;startStation=117&amp;endStation=85", "Clic para verlo en la web de RoadSurfer")</f>
        <v/>
      </c>
    </row>
    <row r="633">
      <c r="A633" t="inlineStr">
        <is>
          <t>Austria</t>
        </is>
      </c>
      <c r="B633" t="inlineStr">
        <is>
          <t>Linz</t>
        </is>
      </c>
      <c r="C633" t="inlineStr">
        <is>
          <t>Alemania</t>
        </is>
      </c>
      <c r="D633" t="inlineStr">
        <is>
          <t>Núremberg</t>
        </is>
      </c>
      <c r="E633" t="inlineStr">
        <is>
          <t>2026-03-02</t>
        </is>
      </c>
      <c r="F633" t="inlineStr">
        <is>
          <t>2026-03-09</t>
        </is>
      </c>
      <c r="G633" t="inlineStr">
        <is>
          <t xml:space="preserve"> - Couple Cottage</t>
        </is>
      </c>
      <c r="H633">
        <f>HYPERLINK("https://booking.roadsurfer.com/es/rally/pick?pickup_date=2026-03-02&amp;return_date=2026-03-09&amp;currency=EUR&amp;startStation=116&amp;endStation=11", "Clic para verlo en la web de RoadSurfer")</f>
        <v/>
      </c>
    </row>
    <row r="634">
      <c r="A634" t="inlineStr">
        <is>
          <t>Austria</t>
        </is>
      </c>
      <c r="B634" t="inlineStr">
        <is>
          <t>Linz</t>
        </is>
      </c>
      <c r="C634" t="inlineStr">
        <is>
          <t>Alemania</t>
        </is>
      </c>
      <c r="D634" t="inlineStr">
        <is>
          <t>Stuttgart</t>
        </is>
      </c>
      <c r="E634" t="inlineStr">
        <is>
          <t>2026-02-21</t>
        </is>
      </c>
      <c r="F634" t="inlineStr">
        <is>
          <t>2026-02-28</t>
        </is>
      </c>
      <c r="G634" t="inlineStr">
        <is>
          <t xml:space="preserve"> - Surfer Suite</t>
        </is>
      </c>
      <c r="H634">
        <f>HYPERLINK("https://booking.roadsurfer.com/es/rally/pick?pickup_date=2026-02-21&amp;return_date=2026-02-28&amp;currency=EUR&amp;startStation=116&amp;endStation=5", "Clic para verlo en la web de RoadSurfer")</f>
        <v/>
      </c>
    </row>
    <row r="635">
      <c r="A635" t="inlineStr">
        <is>
          <t>Austria</t>
        </is>
      </c>
      <c r="B635" t="inlineStr">
        <is>
          <t>Linz</t>
        </is>
      </c>
      <c r="C635" t="inlineStr">
        <is>
          <t>Alemania</t>
        </is>
      </c>
      <c r="D635" t="inlineStr">
        <is>
          <t>Wurzburgo</t>
        </is>
      </c>
      <c r="E635" t="inlineStr">
        <is>
          <t>2026-02-21</t>
        </is>
      </c>
      <c r="F635" t="inlineStr">
        <is>
          <t>2026-02-28</t>
        </is>
      </c>
      <c r="G635" t="inlineStr">
        <is>
          <t xml:space="preserve"> - Beach Hostel</t>
        </is>
      </c>
      <c r="H635">
        <f>HYPERLINK("https://booking.roadsurfer.com/es/rally/pick?pickup_date=2026-02-21&amp;return_date=2026-02-28&amp;currency=EUR&amp;startStation=116&amp;endStation=115", "Clic para verlo en la web de RoadSurfer")</f>
        <v/>
      </c>
    </row>
    <row r="636">
      <c r="A636" t="inlineStr">
        <is>
          <t>EE.UU.</t>
        </is>
      </c>
      <c r="B636" t="inlineStr">
        <is>
          <t>Los Ángeles</t>
        </is>
      </c>
      <c r="C636" t="inlineStr">
        <is>
          <t>EE.UU.</t>
        </is>
      </c>
      <c r="D636" t="inlineStr">
        <is>
          <t>Seattle</t>
        </is>
      </c>
      <c r="E636" t="inlineStr">
        <is>
          <t>2026-03-02</t>
        </is>
      </c>
      <c r="F636" t="inlineStr">
        <is>
          <t>2026-03-09</t>
        </is>
      </c>
      <c r="G636" t="inlineStr">
        <is>
          <t xml:space="preserve"> - Liberty Lodge</t>
        </is>
      </c>
      <c r="H636">
        <f>HYPERLINK("https://booking.roadsurfer.com/es/rally/pick?pickup_date=2026-03-02&amp;return_date=2026-03-09&amp;currency=EUR&amp;startStation=72&amp;endStation=107", "Clic para verlo en la web de RoadSurfer")</f>
        <v/>
      </c>
    </row>
    <row r="637">
      <c r="A637" t="inlineStr">
        <is>
          <t>Alemania</t>
        </is>
      </c>
      <c r="B637" t="inlineStr">
        <is>
          <t>Lübeck</t>
        </is>
      </c>
      <c r="C637" t="inlineStr">
        <is>
          <t>Francia</t>
        </is>
      </c>
      <c r="D637" t="inlineStr">
        <is>
          <t>Lyon</t>
        </is>
      </c>
      <c r="E637" t="inlineStr">
        <is>
          <t>2026-03-02</t>
        </is>
      </c>
      <c r="F637" t="inlineStr">
        <is>
          <t>2026-03-09</t>
        </is>
      </c>
      <c r="G637" t="inlineStr">
        <is>
          <t xml:space="preserve"> - Road House</t>
        </is>
      </c>
      <c r="H637">
        <f>HYPERLINK("https://booking.roadsurfer.com/es/rally/pick?pickup_date=2026-03-02&amp;return_date=2026-03-09&amp;currency=EUR&amp;startStation=109&amp;endStation=15", "Clic para verlo en la web de RoadSurfer")</f>
        <v/>
      </c>
    </row>
    <row r="638">
      <c r="A638" t="inlineStr">
        <is>
          <t>Alemania</t>
        </is>
      </c>
      <c r="B638" t="inlineStr">
        <is>
          <t>Lübeck</t>
        </is>
      </c>
      <c r="C638" t="inlineStr">
        <is>
          <t>España</t>
        </is>
      </c>
      <c r="D638" t="inlineStr">
        <is>
          <t>Madrid</t>
        </is>
      </c>
      <c r="E638" t="inlineStr">
        <is>
          <t>2026-02-23</t>
        </is>
      </c>
      <c r="F638" t="inlineStr">
        <is>
          <t>2026-03-02</t>
        </is>
      </c>
      <c r="G638" t="inlineStr">
        <is>
          <t xml:space="preserve"> - Road House</t>
        </is>
      </c>
      <c r="H638">
        <f>HYPERLINK("https://booking.roadsurfer.com/es/rally/pick?pickup_date=2026-02-23&amp;return_date=2026-03-02&amp;currency=EUR&amp;startStation=109&amp;endStation=20", "Clic para verlo en la web de RoadSurfer")</f>
        <v/>
      </c>
    </row>
    <row r="639">
      <c r="A639" t="inlineStr">
        <is>
          <t>Alemania</t>
        </is>
      </c>
      <c r="B639" t="inlineStr">
        <is>
          <t>Lübeck</t>
        </is>
      </c>
      <c r="C639" t="inlineStr">
        <is>
          <t>Alemania</t>
        </is>
      </c>
      <c r="D639" t="inlineStr">
        <is>
          <t>Núremberg</t>
        </is>
      </c>
      <c r="E639" t="inlineStr">
        <is>
          <t>2026-03-12</t>
        </is>
      </c>
      <c r="F639" t="inlineStr">
        <is>
          <t>2026-03-19</t>
        </is>
      </c>
      <c r="G639" t="inlineStr">
        <is>
          <t xml:space="preserve"> - Road House</t>
        </is>
      </c>
      <c r="H639">
        <f>HYPERLINK("https://booking.roadsurfer.com/es/rally/pick?pickup_date=2026-03-12&amp;return_date=2026-03-19&amp;currency=EUR&amp;startStation=109&amp;endStation=11", "Clic para verlo en la web de RoadSurfer")</f>
        <v/>
      </c>
    </row>
    <row r="640">
      <c r="A640" t="inlineStr">
        <is>
          <t>Alemania</t>
        </is>
      </c>
      <c r="B640" t="inlineStr">
        <is>
          <t>Lübeck</t>
        </is>
      </c>
      <c r="C640" t="inlineStr">
        <is>
          <t>Suecia</t>
        </is>
      </c>
      <c r="D640" t="inlineStr">
        <is>
          <t>Gotemburgo</t>
        </is>
      </c>
      <c r="E640" t="inlineStr">
        <is>
          <t>2026-03-09</t>
        </is>
      </c>
      <c r="F640" t="inlineStr">
        <is>
          <t>2026-03-16</t>
        </is>
      </c>
      <c r="G640" t="inlineStr">
        <is>
          <t xml:space="preserve"> - Surfer Suite</t>
        </is>
      </c>
      <c r="H640">
        <f>HYPERLINK("https://booking.roadsurfer.com/es/rally/pick?pickup_date=2026-03-09&amp;return_date=2026-03-16&amp;currency=EUR&amp;startStation=109&amp;endStation=77", "Clic para verlo en la web de RoadSurfer")</f>
        <v/>
      </c>
    </row>
    <row r="641">
      <c r="A641" t="inlineStr">
        <is>
          <t>Francia</t>
        </is>
      </c>
      <c r="B641" t="inlineStr">
        <is>
          <t>Lyon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2026-04-02</t>
        </is>
      </c>
      <c r="F641" t="inlineStr">
        <is>
          <t>2026-04-09</t>
        </is>
      </c>
      <c r="G641" t="inlineStr">
        <is>
          <t xml:space="preserve"> - SURFER SUITE</t>
        </is>
      </c>
      <c r="H641">
        <f>HYPERLINK("https://booking.roadsurfer.com/es/rally/pick?pickup_date=2026-04-02&amp;return_date=2026-04-09&amp;currency=EUR&amp;startStation=15&amp;endStation=22", "Clic para verlo en la web de RoadSurfer")</f>
        <v/>
      </c>
    </row>
    <row r="642">
      <c r="A642" t="inlineStr">
        <is>
          <t>Francia</t>
        </is>
      </c>
      <c r="B642" t="inlineStr">
        <is>
          <t>Lyon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2026-02-20</t>
        </is>
      </c>
      <c r="F642" t="inlineStr">
        <is>
          <t>2026-02-27</t>
        </is>
      </c>
      <c r="G642" t="inlineStr">
        <is>
          <t xml:space="preserve"> - Surfer Suite</t>
        </is>
      </c>
      <c r="H642">
        <f>HYPERLINK("https://booking.roadsurfer.com/es/rally/pick?pickup_date=2026-02-20&amp;return_date=2026-02-27&amp;currency=EUR&amp;startStation=15&amp;endStation=22", "Clic para verlo en la web de RoadSurfer")</f>
        <v/>
      </c>
    </row>
    <row r="643">
      <c r="A643" t="inlineStr">
        <is>
          <t>Francia</t>
        </is>
      </c>
      <c r="B643" t="inlineStr">
        <is>
          <t>Lyon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2026-02-28</t>
        </is>
      </c>
      <c r="F643" t="inlineStr">
        <is>
          <t>2026-03-07</t>
        </is>
      </c>
      <c r="G643" t="inlineStr">
        <is>
          <t xml:space="preserve"> - No hay coche</t>
        </is>
      </c>
      <c r="H643">
        <f>HYPERLINK("https://booking.roadsurfer.com/es/rally/pick?pickup_date=2026-02-28&amp;return_date=2026-03-07&amp;currency=EUR&amp;startStation=15&amp;endStation=22", "Clic para verlo en la web de RoadSurfer")</f>
        <v/>
      </c>
    </row>
    <row r="644">
      <c r="A644" t="inlineStr">
        <is>
          <t>Francia</t>
        </is>
      </c>
      <c r="B644" t="inlineStr">
        <is>
          <t>Lyon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2026-03-16</t>
        </is>
      </c>
      <c r="F644" t="inlineStr">
        <is>
          <t>2026-03-23</t>
        </is>
      </c>
      <c r="G644" t="inlineStr">
        <is>
          <t xml:space="preserve"> - Beach Hostel</t>
        </is>
      </c>
      <c r="H644">
        <f>HYPERLINK("https://booking.roadsurfer.com/es/rally/pick?pickup_date=2026-03-16&amp;return_date=2026-03-23&amp;currency=EUR&amp;startStation=15&amp;endStation=22", "Clic para verlo en la web de RoadSurfer")</f>
        <v/>
      </c>
    </row>
    <row r="645">
      <c r="A645" t="inlineStr">
        <is>
          <t>Francia</t>
        </is>
      </c>
      <c r="B645" t="inlineStr">
        <is>
          <t>Lyon</t>
        </is>
      </c>
      <c r="C645" t="inlineStr">
        <is>
          <t>Alemania</t>
        </is>
      </c>
      <c r="D645" t="inlineStr">
        <is>
          <t>Karlsruhe</t>
        </is>
      </c>
      <c r="E645" t="inlineStr">
        <is>
          <t>2026-02-20</t>
        </is>
      </c>
      <c r="F645" t="inlineStr">
        <is>
          <t>2026-02-27</t>
        </is>
      </c>
      <c r="G645" t="inlineStr">
        <is>
          <t xml:space="preserve"> - SURFER SUITE</t>
        </is>
      </c>
      <c r="H645">
        <f>HYPERLINK("https://booking.roadsurfer.com/es/rally/pick?pickup_date=2026-02-20&amp;return_date=2026-02-27&amp;currency=EUR&amp;startStation=15&amp;endStation=110", "Clic para verlo en la web de RoadSurfer")</f>
        <v/>
      </c>
    </row>
    <row r="646">
      <c r="A646" t="inlineStr">
        <is>
          <t>Francia</t>
        </is>
      </c>
      <c r="B646" t="inlineStr">
        <is>
          <t>Lyon</t>
        </is>
      </c>
      <c r="C646" t="inlineStr">
        <is>
          <t>Alemania</t>
        </is>
      </c>
      <c r="D646" t="inlineStr">
        <is>
          <t>Constanza (Aach)</t>
        </is>
      </c>
      <c r="E646" t="inlineStr">
        <is>
          <t>2026-02-19</t>
        </is>
      </c>
      <c r="F646" t="inlineStr">
        <is>
          <t>2026-02-26</t>
        </is>
      </c>
      <c r="G646" t="inlineStr">
        <is>
          <t xml:space="preserve"> - Road House</t>
        </is>
      </c>
      <c r="H646">
        <f>HYPERLINK("https://booking.roadsurfer.com/es/rally/pick?pickup_date=2026-02-19&amp;return_date=2026-02-26&amp;currency=EUR&amp;startStation=15&amp;endStation=10", "Clic para verlo en la web de RoadSurfer")</f>
        <v/>
      </c>
    </row>
    <row r="647">
      <c r="A647" t="inlineStr">
        <is>
          <t>Francia</t>
        </is>
      </c>
      <c r="B647" t="inlineStr">
        <is>
          <t>Lyon</t>
        </is>
      </c>
      <c r="C647" t="inlineStr">
        <is>
          <t>Alemania</t>
        </is>
      </c>
      <c r="D647" t="inlineStr">
        <is>
          <t>Constanza (Aach)</t>
        </is>
      </c>
      <c r="E647" t="inlineStr">
        <is>
          <t>2026-02-23</t>
        </is>
      </c>
      <c r="F647" t="inlineStr">
        <is>
          <t>2026-03-02</t>
        </is>
      </c>
      <c r="G647" t="inlineStr">
        <is>
          <t xml:space="preserve"> - Family Finca</t>
        </is>
      </c>
      <c r="H647">
        <f>HYPERLINK("https://booking.roadsurfer.com/es/rally/pick?pickup_date=2026-02-23&amp;return_date=2026-03-02&amp;currency=EUR&amp;startStation=15&amp;endStation=10", "Clic para verlo en la web de RoadSurfer")</f>
        <v/>
      </c>
    </row>
    <row r="648">
      <c r="A648" t="inlineStr">
        <is>
          <t>Francia</t>
        </is>
      </c>
      <c r="B648" t="inlineStr">
        <is>
          <t>Lyon</t>
        </is>
      </c>
      <c r="C648" t="inlineStr">
        <is>
          <t>Alemania</t>
        </is>
      </c>
      <c r="D648" t="inlineStr">
        <is>
          <t>Constanza (Aach)</t>
        </is>
      </c>
      <c r="E648" t="inlineStr">
        <is>
          <t>2026-02-21</t>
        </is>
      </c>
      <c r="F648" t="inlineStr">
        <is>
          <t>2026-02-28</t>
        </is>
      </c>
      <c r="G648" t="inlineStr">
        <is>
          <t xml:space="preserve"> - Family Finca</t>
        </is>
      </c>
      <c r="H648">
        <f>HYPERLINK("https://booking.roadsurfer.com/es/rally/pick?pickup_date=2026-02-21&amp;return_date=2026-02-28&amp;currency=EUR&amp;startStation=15&amp;endStation=10", "Clic para verlo en la web de RoadSurfer")</f>
        <v/>
      </c>
    </row>
    <row r="649">
      <c r="A649" t="inlineStr">
        <is>
          <t>Francia</t>
        </is>
      </c>
      <c r="B649" t="inlineStr">
        <is>
          <t>Lyon</t>
        </is>
      </c>
      <c r="C649" t="inlineStr">
        <is>
          <t>Alemania</t>
        </is>
      </c>
      <c r="D649" t="inlineStr">
        <is>
          <t>Constanza (Aach)</t>
        </is>
      </c>
      <c r="E649" t="inlineStr">
        <is>
          <t>2026-03-23</t>
        </is>
      </c>
      <c r="F649" t="inlineStr">
        <is>
          <t>2026-03-30</t>
        </is>
      </c>
      <c r="G649" t="inlineStr">
        <is>
          <t xml:space="preserve"> - SURFER SUITE</t>
        </is>
      </c>
      <c r="H649">
        <f>HYPERLINK("https://booking.roadsurfer.com/es/rally/pick?pickup_date=2026-03-23&amp;return_date=2026-03-30&amp;currency=EUR&amp;startStation=15&amp;endStation=10", "Clic para verlo en la web de RoadSurfer")</f>
        <v/>
      </c>
    </row>
    <row r="650">
      <c r="A650" t="inlineStr">
        <is>
          <t>Francia</t>
        </is>
      </c>
      <c r="B650" t="inlineStr">
        <is>
          <t>Lyon</t>
        </is>
      </c>
      <c r="C650" t="inlineStr">
        <is>
          <t>Alemania</t>
        </is>
      </c>
      <c r="D650" t="inlineStr">
        <is>
          <t>Constanza (Aach)</t>
        </is>
      </c>
      <c r="E650" t="inlineStr">
        <is>
          <t>2026-03-24</t>
        </is>
      </c>
      <c r="F650" t="inlineStr">
        <is>
          <t>2026-03-31</t>
        </is>
      </c>
      <c r="G650" t="inlineStr">
        <is>
          <t xml:space="preserve"> - Family Finca</t>
        </is>
      </c>
      <c r="H650">
        <f>HYPERLINK("https://booking.roadsurfer.com/es/rally/pick?pickup_date=2026-03-24&amp;return_date=2026-03-31&amp;currency=EUR&amp;startStation=15&amp;endStation=10", "Clic para verlo en la web de RoadSurfer")</f>
        <v/>
      </c>
    </row>
    <row r="651">
      <c r="A651" t="inlineStr">
        <is>
          <t>Francia</t>
        </is>
      </c>
      <c r="B651" t="inlineStr">
        <is>
          <t>Lyon</t>
        </is>
      </c>
      <c r="C651" t="inlineStr">
        <is>
          <t>Alemania</t>
        </is>
      </c>
      <c r="D651" t="inlineStr">
        <is>
          <t>Heidelberg</t>
        </is>
      </c>
      <c r="E651" t="inlineStr">
        <is>
          <t>2026-03-10</t>
        </is>
      </c>
      <c r="F651" t="inlineStr">
        <is>
          <t>2026-03-17</t>
        </is>
      </c>
      <c r="G651" t="inlineStr">
        <is>
          <t xml:space="preserve"> - SURFER SUITE</t>
        </is>
      </c>
      <c r="H651">
        <f>HYPERLINK("https://booking.roadsurfer.com/es/rally/pick?pickup_date=2026-03-10&amp;return_date=2026-03-17&amp;currency=EUR&amp;startStation=15&amp;endStation=79", "Clic para verlo en la web de RoadSurfer")</f>
        <v/>
      </c>
    </row>
    <row r="652">
      <c r="A652" t="inlineStr">
        <is>
          <t>Francia</t>
        </is>
      </c>
      <c r="B652" t="inlineStr">
        <is>
          <t>Lyon</t>
        </is>
      </c>
      <c r="C652" t="inlineStr">
        <is>
          <t>Alemania</t>
        </is>
      </c>
      <c r="D652" t="inlineStr">
        <is>
          <t>Heidelberg</t>
        </is>
      </c>
      <c r="E652" t="inlineStr">
        <is>
          <t>2026-03-11</t>
        </is>
      </c>
      <c r="F652" t="inlineStr">
        <is>
          <t>2026-03-18</t>
        </is>
      </c>
      <c r="G652" t="inlineStr">
        <is>
          <t xml:space="preserve"> - Beach Hostel</t>
        </is>
      </c>
      <c r="H652">
        <f>HYPERLINK("https://booking.roadsurfer.com/es/rally/pick?pickup_date=2026-03-11&amp;return_date=2026-03-18&amp;currency=EUR&amp;startStation=15&amp;endStation=79", "Clic para verlo en la web de RoadSurfer")</f>
        <v/>
      </c>
    </row>
    <row r="653">
      <c r="A653" t="inlineStr">
        <is>
          <t>Francia</t>
        </is>
      </c>
      <c r="B653" t="inlineStr">
        <is>
          <t>Lyon</t>
        </is>
      </c>
      <c r="C653" t="inlineStr">
        <is>
          <t>Alemania</t>
        </is>
      </c>
      <c r="D653" t="inlineStr">
        <is>
          <t>Fráncfort</t>
        </is>
      </c>
      <c r="E653" t="inlineStr">
        <is>
          <t>2026-03-14</t>
        </is>
      </c>
      <c r="F653" t="inlineStr">
        <is>
          <t>2026-03-21</t>
        </is>
      </c>
      <c r="G653" t="inlineStr">
        <is>
          <t xml:space="preserve"> - Road House</t>
        </is>
      </c>
      <c r="H653">
        <f>HYPERLINK("https://booking.roadsurfer.com/es/rally/pick?pickup_date=2026-03-14&amp;return_date=2026-03-21&amp;currency=EUR&amp;startStation=15&amp;endStation=2", "Clic para verlo en la web de RoadSurfer")</f>
        <v/>
      </c>
    </row>
    <row r="654">
      <c r="A654" t="inlineStr">
        <is>
          <t>Francia</t>
        </is>
      </c>
      <c r="B654" t="inlineStr">
        <is>
          <t>Lyon</t>
        </is>
      </c>
      <c r="C654" t="inlineStr">
        <is>
          <t>Alemania</t>
        </is>
      </c>
      <c r="D654" t="inlineStr">
        <is>
          <t>Fráncfort</t>
        </is>
      </c>
      <c r="E654" t="inlineStr">
        <is>
          <t>2026-03-09</t>
        </is>
      </c>
      <c r="F654" t="inlineStr">
        <is>
          <t>2026-03-16</t>
        </is>
      </c>
      <c r="G654" t="inlineStr">
        <is>
          <t xml:space="preserve"> - Beach Hostel</t>
        </is>
      </c>
      <c r="H654">
        <f>HYPERLINK("https://booking.roadsurfer.com/es/rally/pick?pickup_date=2026-03-09&amp;return_date=2026-03-16&amp;currency=EUR&amp;startStation=15&amp;endStation=2", "Clic para verlo en la web de RoadSurfer")</f>
        <v/>
      </c>
    </row>
    <row r="655">
      <c r="A655" t="inlineStr">
        <is>
          <t>Francia</t>
        </is>
      </c>
      <c r="B655" t="inlineStr">
        <is>
          <t>Lyon</t>
        </is>
      </c>
      <c r="C655" t="inlineStr">
        <is>
          <t>Alemania</t>
        </is>
      </c>
      <c r="D655" t="inlineStr">
        <is>
          <t>Fráncfort</t>
        </is>
      </c>
      <c r="E655" t="inlineStr">
        <is>
          <t>2026-03-10</t>
        </is>
      </c>
      <c r="F655" t="inlineStr">
        <is>
          <t>2026-03-17</t>
        </is>
      </c>
      <c r="G655" t="inlineStr">
        <is>
          <t xml:space="preserve"> - Couple Cottage</t>
        </is>
      </c>
      <c r="H655">
        <f>HYPERLINK("https://booking.roadsurfer.com/es/rally/pick?pickup_date=2026-03-10&amp;return_date=2026-03-17&amp;currency=EUR&amp;startStation=15&amp;endStation=2", "Clic para verlo en la web de RoadSurfer")</f>
        <v/>
      </c>
    </row>
    <row r="656">
      <c r="A656" t="inlineStr">
        <is>
          <t>Francia</t>
        </is>
      </c>
      <c r="B656" t="inlineStr">
        <is>
          <t>Lyon</t>
        </is>
      </c>
      <c r="C656" t="inlineStr">
        <is>
          <t>Alemania</t>
        </is>
      </c>
      <c r="D656" t="inlineStr">
        <is>
          <t>Fráncfort</t>
        </is>
      </c>
      <c r="E656" t="inlineStr">
        <is>
          <t>2026-03-11</t>
        </is>
      </c>
      <c r="F656" t="inlineStr">
        <is>
          <t>2026-03-18</t>
        </is>
      </c>
      <c r="G656" t="inlineStr">
        <is>
          <t xml:space="preserve"> - Camper Cabin Deluxe</t>
        </is>
      </c>
      <c r="H656">
        <f>HYPERLINK("https://booking.roadsurfer.com/es/rally/pick?pickup_date=2026-03-11&amp;return_date=2026-03-18&amp;currency=EUR&amp;startStation=15&amp;endStation=2", "Clic para verlo en la web de RoadSurfer")</f>
        <v/>
      </c>
    </row>
    <row r="657">
      <c r="A657" t="inlineStr">
        <is>
          <t>Francia</t>
        </is>
      </c>
      <c r="B657" t="inlineStr">
        <is>
          <t>Lyon</t>
        </is>
      </c>
      <c r="C657" t="inlineStr">
        <is>
          <t>Alemania</t>
        </is>
      </c>
      <c r="D657" t="inlineStr">
        <is>
          <t>Maguncia</t>
        </is>
      </c>
      <c r="E657" t="inlineStr">
        <is>
          <t>2026-03-23</t>
        </is>
      </c>
      <c r="F657" t="inlineStr">
        <is>
          <t>2026-03-30</t>
        </is>
      </c>
      <c r="G657" t="inlineStr">
        <is>
          <t xml:space="preserve"> - No hay coche</t>
        </is>
      </c>
      <c r="H657">
        <f>HYPERLINK("https://booking.roadsurfer.com/es/rally/pick?pickup_date=2026-03-23&amp;return_date=2026-03-30&amp;currency=EUR&amp;startStation=15&amp;endStation=54", "Clic para verlo en la web de RoadSurfer")</f>
        <v/>
      </c>
    </row>
    <row r="658">
      <c r="A658" t="inlineStr">
        <is>
          <t>España</t>
        </is>
      </c>
      <c r="B658" t="inlineStr">
        <is>
          <t>Madrid</t>
        </is>
      </c>
      <c r="C658" t="inlineStr">
        <is>
          <t>Alemania</t>
        </is>
      </c>
      <c r="D658" t="inlineStr">
        <is>
          <t>Fráncfort</t>
        </is>
      </c>
      <c r="E658" t="inlineStr">
        <is>
          <t>2026-03-10</t>
        </is>
      </c>
      <c r="F658" t="inlineStr">
        <is>
          <t>2026-03-17</t>
        </is>
      </c>
      <c r="G658" t="inlineStr">
        <is>
          <t xml:space="preserve"> - Road House - Family Finca</t>
        </is>
      </c>
      <c r="H658">
        <f>HYPERLINK("https://booking.roadsurfer.com/es/rally/pick?pickup_date=2026-03-10&amp;return_date=2026-03-17&amp;currency=EUR&amp;startStation=20&amp;endStation=2", "Clic para verlo en la web de RoadSurfer")</f>
        <v/>
      </c>
    </row>
    <row r="659">
      <c r="A659" t="inlineStr">
        <is>
          <t>España</t>
        </is>
      </c>
      <c r="B659" t="inlineStr">
        <is>
          <t>Madrid</t>
        </is>
      </c>
      <c r="C659" t="inlineStr">
        <is>
          <t>Alemania</t>
        </is>
      </c>
      <c r="D659" t="inlineStr">
        <is>
          <t>Fráncfort</t>
        </is>
      </c>
      <c r="E659" t="inlineStr">
        <is>
          <t>2026-03-11</t>
        </is>
      </c>
      <c r="F659" t="inlineStr">
        <is>
          <t>2026-03-18</t>
        </is>
      </c>
      <c r="G659" t="inlineStr">
        <is>
          <t xml:space="preserve"> - Family Finca</t>
        </is>
      </c>
      <c r="H659">
        <f>HYPERLINK("https://booking.roadsurfer.com/es/rally/pick?pickup_date=2026-03-11&amp;return_date=2026-03-18&amp;currency=EUR&amp;startStation=20&amp;endStation=2", "Clic para verlo en la web de RoadSurfer")</f>
        <v/>
      </c>
    </row>
    <row r="660">
      <c r="A660" t="inlineStr">
        <is>
          <t>España</t>
        </is>
      </c>
      <c r="B660" t="inlineStr">
        <is>
          <t>Madrid</t>
        </is>
      </c>
      <c r="C660" t="inlineStr">
        <is>
          <t>Alemania</t>
        </is>
      </c>
      <c r="D660" t="inlineStr">
        <is>
          <t>Fráncfort</t>
        </is>
      </c>
      <c r="E660" t="inlineStr">
        <is>
          <t>2026-03-09</t>
        </is>
      </c>
      <c r="F660" t="inlineStr">
        <is>
          <t>2026-03-16</t>
        </is>
      </c>
      <c r="G660" t="inlineStr">
        <is>
          <t xml:space="preserve"> - Surfer Suite</t>
        </is>
      </c>
      <c r="H660">
        <f>HYPERLINK("https://booking.roadsurfer.com/es/rally/pick?pickup_date=2026-03-09&amp;return_date=2026-03-16&amp;currency=EUR&amp;startStation=20&amp;endStation=2", "Clic para verlo en la web de RoadSurfer")</f>
        <v/>
      </c>
    </row>
    <row r="661">
      <c r="A661" t="inlineStr">
        <is>
          <t>España</t>
        </is>
      </c>
      <c r="B661" t="inlineStr">
        <is>
          <t>Madrid</t>
        </is>
      </c>
      <c r="C661" t="inlineStr">
        <is>
          <t>Alemania</t>
        </is>
      </c>
      <c r="D661" t="inlineStr">
        <is>
          <t>Fráncfort</t>
        </is>
      </c>
      <c r="E661" t="inlineStr">
        <is>
          <t>2026-03-12</t>
        </is>
      </c>
      <c r="F661" t="inlineStr">
        <is>
          <t>2026-03-19</t>
        </is>
      </c>
      <c r="G661" t="inlineStr">
        <is>
          <t xml:space="preserve"> - Family Finca</t>
        </is>
      </c>
      <c r="H661">
        <f>HYPERLINK("https://booking.roadsurfer.com/es/rally/pick?pickup_date=2026-03-12&amp;return_date=2026-03-19&amp;currency=EUR&amp;startStation=20&amp;endStation=2", "Clic para verlo en la web de RoadSurfer")</f>
        <v/>
      </c>
    </row>
    <row r="662">
      <c r="A662" t="inlineStr">
        <is>
          <t>España</t>
        </is>
      </c>
      <c r="B662" t="inlineStr">
        <is>
          <t>Madrid</t>
        </is>
      </c>
      <c r="C662" t="inlineStr">
        <is>
          <t>Alemania</t>
        </is>
      </c>
      <c r="D662" t="inlineStr">
        <is>
          <t>Fráncfort</t>
        </is>
      </c>
      <c r="E662" t="inlineStr">
        <is>
          <t>2026-03-19</t>
        </is>
      </c>
      <c r="F662" t="inlineStr">
        <is>
          <t>2026-03-26</t>
        </is>
      </c>
      <c r="G662" t="inlineStr">
        <is>
          <t xml:space="preserve"> - Surfer Suite</t>
        </is>
      </c>
      <c r="H662">
        <f>HYPERLINK("https://booking.roadsurfer.com/es/rally/pick?pickup_date=2026-03-19&amp;return_date=2026-03-26&amp;currency=EUR&amp;startStation=20&amp;endStation=2", "Clic para verlo en la web de RoadSurfer")</f>
        <v/>
      </c>
    </row>
    <row r="663">
      <c r="A663" t="inlineStr">
        <is>
          <t>España</t>
        </is>
      </c>
      <c r="B663" t="inlineStr">
        <is>
          <t>Madrid</t>
        </is>
      </c>
      <c r="C663" t="inlineStr">
        <is>
          <t>Alemania</t>
        </is>
      </c>
      <c r="D663" t="inlineStr">
        <is>
          <t>Fráncfort</t>
        </is>
      </c>
      <c r="E663" t="inlineStr">
        <is>
          <t>2026-03-16</t>
        </is>
      </c>
      <c r="F663" t="inlineStr">
        <is>
          <t>2026-03-23</t>
        </is>
      </c>
      <c r="G663" t="inlineStr">
        <is>
          <t xml:space="preserve"> - Surfer Suite</t>
        </is>
      </c>
      <c r="H663">
        <f>HYPERLINK("https://booking.roadsurfer.com/es/rally/pick?pickup_date=2026-03-16&amp;return_date=2026-03-23&amp;currency=EUR&amp;startStation=20&amp;endStation=2", "Clic para verlo en la web de RoadSurfer")</f>
        <v/>
      </c>
    </row>
    <row r="664">
      <c r="A664" t="inlineStr">
        <is>
          <t>España</t>
        </is>
      </c>
      <c r="B664" t="inlineStr">
        <is>
          <t>Madrid</t>
        </is>
      </c>
      <c r="C664" t="inlineStr">
        <is>
          <t>Alemania</t>
        </is>
      </c>
      <c r="D664" t="inlineStr">
        <is>
          <t>Fráncfort</t>
        </is>
      </c>
      <c r="E664" t="inlineStr">
        <is>
          <t>2026-03-17</t>
        </is>
      </c>
      <c r="F664" t="inlineStr">
        <is>
          <t>2026-03-24</t>
        </is>
      </c>
      <c r="G664" t="inlineStr">
        <is>
          <t xml:space="preserve"> - Camper Castle</t>
        </is>
      </c>
      <c r="H664">
        <f>HYPERLINK("https://booking.roadsurfer.com/es/rally/pick?pickup_date=2026-03-17&amp;return_date=2026-03-24&amp;currency=EUR&amp;startStation=20&amp;endStation=2", "Clic para verlo en la web de RoadSurfer")</f>
        <v/>
      </c>
    </row>
    <row r="665">
      <c r="A665" t="inlineStr">
        <is>
          <t>España</t>
        </is>
      </c>
      <c r="B665" t="inlineStr">
        <is>
          <t>Madrid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2026-03-18</t>
        </is>
      </c>
      <c r="F665" t="inlineStr">
        <is>
          <t>2026-03-25</t>
        </is>
      </c>
      <c r="G665" t="inlineStr">
        <is>
          <t xml:space="preserve"> - CAMPER CASTLE</t>
        </is>
      </c>
      <c r="H665">
        <f>HYPERLINK("https://booking.roadsurfer.com/es/rally/pick?pickup_date=2026-03-18&amp;return_date=2026-03-25&amp;currency=EUR&amp;startStation=20&amp;endStation=22", "Clic para verlo en la web de RoadSurfer")</f>
        <v/>
      </c>
    </row>
    <row r="666">
      <c r="A666" t="inlineStr">
        <is>
          <t>España</t>
        </is>
      </c>
      <c r="B666" t="inlineStr">
        <is>
          <t>Madrid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2026-03-09</t>
        </is>
      </c>
      <c r="F666" t="inlineStr">
        <is>
          <t>2026-03-16</t>
        </is>
      </c>
      <c r="G666" t="inlineStr">
        <is>
          <t xml:space="preserve"> - Family Finca</t>
        </is>
      </c>
      <c r="H666">
        <f>HYPERLINK("https://booking.roadsurfer.com/es/rally/pick?pickup_date=2026-03-09&amp;return_date=2026-03-16&amp;currency=EUR&amp;startStation=20&amp;endStation=22", "Clic para verlo en la web de RoadSurfer")</f>
        <v/>
      </c>
    </row>
    <row r="667">
      <c r="A667" t="inlineStr">
        <is>
          <t>Alemania</t>
        </is>
      </c>
      <c r="B667" t="inlineStr">
        <is>
          <t>Maguncia</t>
        </is>
      </c>
      <c r="C667" t="inlineStr">
        <is>
          <t>Francia</t>
        </is>
      </c>
      <c r="D667" t="inlineStr">
        <is>
          <t>Lyon</t>
        </is>
      </c>
      <c r="E667" t="inlineStr">
        <is>
          <t>2026-02-20</t>
        </is>
      </c>
      <c r="F667" t="inlineStr">
        <is>
          <t>2026-02-27</t>
        </is>
      </c>
      <c r="G667" t="inlineStr">
        <is>
          <t xml:space="preserve"> - Camper Cabin Deluxe</t>
        </is>
      </c>
      <c r="H667">
        <f>HYPERLINK("https://booking.roadsurfer.com/es/rally/pick?pickup_date=2026-02-20&amp;return_date=2026-02-27&amp;currency=EUR&amp;startStation=54&amp;endStation=15", "Clic para verlo en la web de RoadSurfer")</f>
        <v/>
      </c>
    </row>
    <row r="668">
      <c r="A668" t="inlineStr">
        <is>
          <t>Alemania</t>
        </is>
      </c>
      <c r="B668" t="inlineStr">
        <is>
          <t>Maguncia</t>
        </is>
      </c>
      <c r="C668" t="inlineStr">
        <is>
          <t>Francia</t>
        </is>
      </c>
      <c r="D668" t="inlineStr">
        <is>
          <t>Lyon</t>
        </is>
      </c>
      <c r="E668" t="inlineStr">
        <is>
          <t>2026-03-09</t>
        </is>
      </c>
      <c r="F668" t="inlineStr">
        <is>
          <t>2026-03-16</t>
        </is>
      </c>
      <c r="G668" t="inlineStr">
        <is>
          <t xml:space="preserve"> - Family Finca</t>
        </is>
      </c>
      <c r="H668">
        <f>HYPERLINK("https://booking.roadsurfer.com/es/rally/pick?pickup_date=2026-03-09&amp;return_date=2026-03-16&amp;currency=EUR&amp;startStation=54&amp;endStation=15", "Clic para verlo en la web de RoadSurfer")</f>
        <v/>
      </c>
    </row>
    <row r="669">
      <c r="A669" t="inlineStr">
        <is>
          <t>Alemania</t>
        </is>
      </c>
      <c r="B669" t="inlineStr">
        <is>
          <t>Maguncia</t>
        </is>
      </c>
      <c r="C669" t="inlineStr">
        <is>
          <t>Francia</t>
        </is>
      </c>
      <c r="D669" t="inlineStr">
        <is>
          <t>Toulouse</t>
        </is>
      </c>
      <c r="E669" t="inlineStr">
        <is>
          <t>2026-03-20</t>
        </is>
      </c>
      <c r="F669" t="inlineStr">
        <is>
          <t>2026-03-27</t>
        </is>
      </c>
      <c r="G669" t="inlineStr">
        <is>
          <t xml:space="preserve"> - SURFER SUITE</t>
        </is>
      </c>
      <c r="H669">
        <f>HYPERLINK("https://booking.roadsurfer.com/es/rally/pick?pickup_date=2026-03-20&amp;return_date=2026-03-27&amp;currency=EUR&amp;startStation=54&amp;endStation=30", "Clic para verlo en la web de RoadSurfer")</f>
        <v/>
      </c>
    </row>
    <row r="670">
      <c r="A670" t="inlineStr">
        <is>
          <t>Alemania</t>
        </is>
      </c>
      <c r="B670" t="inlineStr">
        <is>
          <t>Maguncia</t>
        </is>
      </c>
      <c r="C670" t="inlineStr">
        <is>
          <t>Francia</t>
        </is>
      </c>
      <c r="D670" t="inlineStr">
        <is>
          <t>Burdeos</t>
        </is>
      </c>
      <c r="E670" t="inlineStr">
        <is>
          <t>2026-03-18</t>
        </is>
      </c>
      <c r="F670" t="inlineStr">
        <is>
          <t>2026-03-25</t>
        </is>
      </c>
      <c r="G670" t="inlineStr">
        <is>
          <t xml:space="preserve"> - Family Finca</t>
        </is>
      </c>
      <c r="H670">
        <f>HYPERLINK("https://booking.roadsurfer.com/es/rally/pick?pickup_date=2026-03-18&amp;return_date=2026-03-25&amp;currency=EUR&amp;startStation=54&amp;endStation=13", "Clic para verlo en la web de RoadSurfer")</f>
        <v/>
      </c>
    </row>
    <row r="671">
      <c r="A671" t="inlineStr">
        <is>
          <t>Alemania</t>
        </is>
      </c>
      <c r="B671" t="inlineStr">
        <is>
          <t>Maguncia</t>
        </is>
      </c>
      <c r="C671" t="inlineStr">
        <is>
          <t>Francia</t>
        </is>
      </c>
      <c r="D671" t="inlineStr">
        <is>
          <t>Burdeos</t>
        </is>
      </c>
      <c r="E671" t="inlineStr">
        <is>
          <t>2026-03-09</t>
        </is>
      </c>
      <c r="F671" t="inlineStr">
        <is>
          <t>2026-03-16</t>
        </is>
      </c>
      <c r="G671" t="inlineStr">
        <is>
          <t xml:space="preserve"> - Couple Cottage</t>
        </is>
      </c>
      <c r="H671">
        <f>HYPERLINK("https://booking.roadsurfer.com/es/rally/pick?pickup_date=2026-03-09&amp;return_date=2026-03-16&amp;currency=EUR&amp;startStation=54&amp;endStation=13", "Clic para verlo en la web de RoadSurfer")</f>
        <v/>
      </c>
    </row>
    <row r="672">
      <c r="A672" t="inlineStr">
        <is>
          <t>Alemania</t>
        </is>
      </c>
      <c r="B672" t="inlineStr">
        <is>
          <t>Maguncia</t>
        </is>
      </c>
      <c r="C672" t="inlineStr">
        <is>
          <t>Francia</t>
        </is>
      </c>
      <c r="D672" t="inlineStr">
        <is>
          <t>Burdeos</t>
        </is>
      </c>
      <c r="E672" t="inlineStr">
        <is>
          <t>2026-03-12</t>
        </is>
      </c>
      <c r="F672" t="inlineStr">
        <is>
          <t>2026-03-19</t>
        </is>
      </c>
      <c r="G672" t="inlineStr">
        <is>
          <t xml:space="preserve"> - Beach Hostel</t>
        </is>
      </c>
      <c r="H672">
        <f>HYPERLINK("https://booking.roadsurfer.com/es/rally/pick?pickup_date=2026-03-12&amp;return_date=2026-03-19&amp;currency=EUR&amp;startStation=54&amp;endStation=13", "Clic para verlo en la web de RoadSurfer")</f>
        <v/>
      </c>
    </row>
    <row r="673">
      <c r="A673" t="inlineStr">
        <is>
          <t>Alemania</t>
        </is>
      </c>
      <c r="B673" t="inlineStr">
        <is>
          <t>Maguncia</t>
        </is>
      </c>
      <c r="C673" t="inlineStr">
        <is>
          <t>Francia</t>
        </is>
      </c>
      <c r="D673" t="inlineStr">
        <is>
          <t>Nantes</t>
        </is>
      </c>
      <c r="E673" t="inlineStr">
        <is>
          <t>2026-03-27</t>
        </is>
      </c>
      <c r="F673" t="inlineStr">
        <is>
          <t>2026-04-03</t>
        </is>
      </c>
      <c r="G673" t="inlineStr">
        <is>
          <t xml:space="preserve"> - Couple Cottage</t>
        </is>
      </c>
      <c r="H673">
        <f>HYPERLINK("https://booking.roadsurfer.com/es/rally/pick?pickup_date=2026-03-27&amp;return_date=2026-04-03&amp;currency=EUR&amp;startStation=54&amp;endStation=31", "Clic para verlo en la web de RoadSurfer")</f>
        <v/>
      </c>
    </row>
    <row r="674">
      <c r="A674" t="inlineStr">
        <is>
          <t>Alemania</t>
        </is>
      </c>
      <c r="B674" t="inlineStr">
        <is>
          <t>Maguncia</t>
        </is>
      </c>
      <c r="C674" t="inlineStr">
        <is>
          <t>Francia</t>
        </is>
      </c>
      <c r="D674" t="inlineStr">
        <is>
          <t>Ginebra-Pays de Gex (Francia)</t>
        </is>
      </c>
      <c r="E674" t="inlineStr">
        <is>
          <t>2026-03-13</t>
        </is>
      </c>
      <c r="F674" t="inlineStr">
        <is>
          <t>2026-03-20</t>
        </is>
      </c>
      <c r="G674" t="inlineStr">
        <is>
          <t xml:space="preserve"> - Beach Hostel</t>
        </is>
      </c>
      <c r="H674">
        <f>HYPERLINK("https://booking.roadsurfer.com/es/rally/pick?pickup_date=2026-03-13&amp;return_date=2026-03-20&amp;currency=EUR&amp;startStation=54&amp;endStation=29", "Clic para verlo en la web de RoadSurfer")</f>
        <v/>
      </c>
    </row>
    <row r="675">
      <c r="A675" t="inlineStr">
        <is>
          <t>Alemania</t>
        </is>
      </c>
      <c r="B675" t="inlineStr">
        <is>
          <t>Maguncia</t>
        </is>
      </c>
      <c r="C675" t="inlineStr">
        <is>
          <t>Francia</t>
        </is>
      </c>
      <c r="D675" t="inlineStr">
        <is>
          <t>Ginebra-Pays de Gex (Francia)</t>
        </is>
      </c>
      <c r="E675" t="inlineStr">
        <is>
          <t>2026-03-16</t>
        </is>
      </c>
      <c r="F675" t="inlineStr">
        <is>
          <t>2026-03-23</t>
        </is>
      </c>
      <c r="G675" t="inlineStr">
        <is>
          <t xml:space="preserve"> - Surfer Suite</t>
        </is>
      </c>
      <c r="H675">
        <f>HYPERLINK("https://booking.roadsurfer.com/es/rally/pick?pickup_date=2026-03-16&amp;return_date=2026-03-23&amp;currency=EUR&amp;startStation=54&amp;endStation=29", "Clic para verlo en la web de RoadSurfer")</f>
        <v/>
      </c>
    </row>
    <row r="676">
      <c r="A676" t="inlineStr">
        <is>
          <t>Alemania</t>
        </is>
      </c>
      <c r="B676" t="inlineStr">
        <is>
          <t>Maguncia</t>
        </is>
      </c>
      <c r="C676" t="inlineStr">
        <is>
          <t>Bélgica</t>
        </is>
      </c>
      <c r="D676" t="inlineStr">
        <is>
          <t>Bruselas</t>
        </is>
      </c>
      <c r="E676" t="inlineStr">
        <is>
          <t>2026-03-19</t>
        </is>
      </c>
      <c r="F676" t="inlineStr">
        <is>
          <t>2026-03-26</t>
        </is>
      </c>
      <c r="G676" t="inlineStr">
        <is>
          <t xml:space="preserve"> - Road House</t>
        </is>
      </c>
      <c r="H676">
        <f>HYPERLINK("https://booking.roadsurfer.com/es/rally/pick?pickup_date=2026-03-19&amp;return_date=2026-03-26&amp;currency=EUR&amp;startStation=54&amp;endStation=42", "Clic para verlo en la web de RoadSurfer")</f>
        <v/>
      </c>
    </row>
    <row r="677">
      <c r="A677" t="inlineStr">
        <is>
          <t>Alemania</t>
        </is>
      </c>
      <c r="B677" t="inlineStr">
        <is>
          <t>Maguncia</t>
        </is>
      </c>
      <c r="C677" t="inlineStr">
        <is>
          <t>Bélgica</t>
        </is>
      </c>
      <c r="D677" t="inlineStr">
        <is>
          <t>Bruselas</t>
        </is>
      </c>
      <c r="E677" t="inlineStr">
        <is>
          <t>2026-03-07</t>
        </is>
      </c>
      <c r="F677" t="inlineStr">
        <is>
          <t>2026-03-14</t>
        </is>
      </c>
      <c r="G677" t="inlineStr">
        <is>
          <t xml:space="preserve"> - Road House</t>
        </is>
      </c>
      <c r="H677">
        <f>HYPERLINK("https://booking.roadsurfer.com/es/rally/pick?pickup_date=2026-03-07&amp;return_date=2026-03-14&amp;currency=EUR&amp;startStation=54&amp;endStation=42", "Clic para verlo en la web de RoadSurfer")</f>
        <v/>
      </c>
    </row>
    <row r="678">
      <c r="A678" t="inlineStr">
        <is>
          <t>Alemania</t>
        </is>
      </c>
      <c r="B678" t="inlineStr">
        <is>
          <t>Maguncia</t>
        </is>
      </c>
      <c r="C678" t="inlineStr">
        <is>
          <t>Francia</t>
        </is>
      </c>
      <c r="D678" t="inlineStr">
        <is>
          <t>París Sur (Orly)</t>
        </is>
      </c>
      <c r="E678" t="inlineStr">
        <is>
          <t>2026-03-05</t>
        </is>
      </c>
      <c r="F678" t="inlineStr">
        <is>
          <t>2026-03-12</t>
        </is>
      </c>
      <c r="G678" t="inlineStr">
        <is>
          <t xml:space="preserve"> - Camper Cabin</t>
        </is>
      </c>
      <c r="H678">
        <f>HYPERLINK("https://booking.roadsurfer.com/es/rally/pick?pickup_date=2026-03-05&amp;return_date=2026-03-12&amp;currency=EUR&amp;startStation=54&amp;endStation=12", "Clic para verlo en la web de RoadSurfer")</f>
        <v/>
      </c>
    </row>
    <row r="679">
      <c r="A679" t="inlineStr">
        <is>
          <t>España</t>
        </is>
      </c>
      <c r="B679" t="inlineStr">
        <is>
          <t>Málaga</t>
        </is>
      </c>
      <c r="C679" t="inlineStr">
        <is>
          <t>Alemania</t>
        </is>
      </c>
      <c r="D679" t="inlineStr">
        <is>
          <t>Wurzburgo</t>
        </is>
      </c>
      <c r="E679" t="inlineStr">
        <is>
          <t>2026-02-23</t>
        </is>
      </c>
      <c r="F679" t="inlineStr">
        <is>
          <t>2026-03-02</t>
        </is>
      </c>
      <c r="G679" t="inlineStr">
        <is>
          <t xml:space="preserve"> - Surfer Suite</t>
        </is>
      </c>
      <c r="H679">
        <f>HYPERLINK("https://booking.roadsurfer.com/es/rally/pick?pickup_date=2026-02-23&amp;return_date=2026-03-02&amp;currency=EUR&amp;startStation=21&amp;endStation=115", "Clic para verlo en la web de RoadSurfer")</f>
        <v/>
      </c>
    </row>
    <row r="680">
      <c r="A680" t="inlineStr">
        <is>
          <t>España</t>
        </is>
      </c>
      <c r="B680" t="inlineStr">
        <is>
          <t>Málaga</t>
        </is>
      </c>
      <c r="C680" t="inlineStr">
        <is>
          <t>Alemania</t>
        </is>
      </c>
      <c r="D680" t="inlineStr">
        <is>
          <t>Friburgo-Basilea (Alemania)</t>
        </is>
      </c>
      <c r="E680" t="inlineStr">
        <is>
          <t>2026-03-16</t>
        </is>
      </c>
      <c r="F680" t="inlineStr">
        <is>
          <t>2026-03-23</t>
        </is>
      </c>
      <c r="G680" t="inlineStr">
        <is>
          <t xml:space="preserve"> - Family Finca</t>
        </is>
      </c>
      <c r="H680">
        <f>HYPERLINK("https://booking.roadsurfer.com/es/rally/pick?pickup_date=2026-03-16&amp;return_date=2026-03-23&amp;currency=EUR&amp;startStation=21&amp;endStation=9", "Clic para verlo en la web de RoadSurfer")</f>
        <v/>
      </c>
    </row>
    <row r="681">
      <c r="A681" t="inlineStr">
        <is>
          <t>España</t>
        </is>
      </c>
      <c r="B681" t="inlineStr">
        <is>
          <t>Málaga</t>
        </is>
      </c>
      <c r="C681" t="inlineStr">
        <is>
          <t>Alemania</t>
        </is>
      </c>
      <c r="D681" t="inlineStr">
        <is>
          <t>Friburgo-Basilea (Alemania)</t>
        </is>
      </c>
      <c r="E681" t="inlineStr">
        <is>
          <t>2026-03-17</t>
        </is>
      </c>
      <c r="F681" t="inlineStr">
        <is>
          <t>2026-03-24</t>
        </is>
      </c>
      <c r="G681" t="inlineStr">
        <is>
          <t xml:space="preserve"> - Surfer Suite</t>
        </is>
      </c>
      <c r="H681">
        <f>HYPERLINK("https://booking.roadsurfer.com/es/rally/pick?pickup_date=2026-03-17&amp;return_date=2026-03-24&amp;currency=EUR&amp;startStation=21&amp;endStation=9", "Clic para verlo en la web de RoadSurfer")</f>
        <v/>
      </c>
    </row>
    <row r="682">
      <c r="A682" t="inlineStr">
        <is>
          <t>España</t>
        </is>
      </c>
      <c r="B682" t="inlineStr">
        <is>
          <t>Málaga</t>
        </is>
      </c>
      <c r="C682" t="inlineStr">
        <is>
          <t>Alemania</t>
        </is>
      </c>
      <c r="D682" t="inlineStr">
        <is>
          <t>Friburgo-Basilea (Alemania)</t>
        </is>
      </c>
      <c r="E682" t="inlineStr">
        <is>
          <t>2026-02-18</t>
        </is>
      </c>
      <c r="F682" t="inlineStr">
        <is>
          <t>2026-02-25</t>
        </is>
      </c>
      <c r="G682" t="inlineStr">
        <is>
          <t xml:space="preserve"> - Surfer Suite</t>
        </is>
      </c>
      <c r="H682">
        <f>HYPERLINK("https://booking.roadsurfer.com/es/rally/pick?pickup_date=2026-02-18&amp;return_date=2026-02-25&amp;currency=EUR&amp;startStation=21&amp;endStation=9", "Clic para verlo en la web de RoadSurfer")</f>
        <v/>
      </c>
    </row>
    <row r="683">
      <c r="A683" t="inlineStr">
        <is>
          <t>España</t>
        </is>
      </c>
      <c r="B683" t="inlineStr">
        <is>
          <t>Málaga</t>
        </is>
      </c>
      <c r="C683" t="inlineStr">
        <is>
          <t>Alemania</t>
        </is>
      </c>
      <c r="D683" t="inlineStr">
        <is>
          <t>Marburg</t>
        </is>
      </c>
      <c r="E683" t="inlineStr">
        <is>
          <t>2026-03-10</t>
        </is>
      </c>
      <c r="F683" t="inlineStr">
        <is>
          <t>2026-03-17</t>
        </is>
      </c>
      <c r="G683" t="inlineStr">
        <is>
          <t xml:space="preserve"> - Beach Hostel</t>
        </is>
      </c>
      <c r="H683">
        <f>HYPERLINK("https://booking.roadsurfer.com/es/rally/pick?pickup_date=2026-03-10&amp;return_date=2026-03-17&amp;currency=EUR&amp;startStation=21&amp;endStation=22", "Clic para verlo en la web de RoadSurfer")</f>
        <v/>
      </c>
    </row>
    <row r="684">
      <c r="A684" t="inlineStr">
        <is>
          <t>España</t>
        </is>
      </c>
      <c r="B684" t="inlineStr">
        <is>
          <t>Málaga</t>
        </is>
      </c>
      <c r="C684" t="inlineStr">
        <is>
          <t>Alemania</t>
        </is>
      </c>
      <c r="D684" t="inlineStr">
        <is>
          <t>Marburg</t>
        </is>
      </c>
      <c r="E684" t="inlineStr">
        <is>
          <t>2026-03-11</t>
        </is>
      </c>
      <c r="F684" t="inlineStr">
        <is>
          <t>2026-03-18</t>
        </is>
      </c>
      <c r="G684" t="inlineStr">
        <is>
          <t xml:space="preserve"> - Road House</t>
        </is>
      </c>
      <c r="H684">
        <f>HYPERLINK("https://booking.roadsurfer.com/es/rally/pick?pickup_date=2026-03-11&amp;return_date=2026-03-18&amp;currency=EUR&amp;startStation=21&amp;endStation=22", "Clic para verlo en la web de RoadSurfer")</f>
        <v/>
      </c>
    </row>
    <row r="685">
      <c r="A685" t="inlineStr">
        <is>
          <t>Suecia</t>
        </is>
      </c>
      <c r="B685" t="inlineStr">
        <is>
          <t>Malmö</t>
        </is>
      </c>
      <c r="C685" t="inlineStr">
        <is>
          <t>Alemania</t>
        </is>
      </c>
      <c r="D685" t="inlineStr">
        <is>
          <t>Marburg</t>
        </is>
      </c>
      <c r="E685" t="inlineStr">
        <is>
          <t>2026-02-23</t>
        </is>
      </c>
      <c r="F685" t="inlineStr">
        <is>
          <t>2026-03-02</t>
        </is>
      </c>
      <c r="G685" t="inlineStr">
        <is>
          <t xml:space="preserve"> - Surfer Suite - SURFER SUITE - Family Finca</t>
        </is>
      </c>
      <c r="H685">
        <f>HYPERLINK("https://booking.roadsurfer.com/es/rally/pick?pickup_date=2026-02-23&amp;return_date=2026-03-02&amp;currency=EUR&amp;startStation=60&amp;endStation=22", "Clic para verlo en la web de RoadSurfer")</f>
        <v/>
      </c>
    </row>
    <row r="686">
      <c r="A686" t="inlineStr">
        <is>
          <t>Suecia</t>
        </is>
      </c>
      <c r="B686" t="inlineStr">
        <is>
          <t>Malmö</t>
        </is>
      </c>
      <c r="C686" t="inlineStr">
        <is>
          <t>Alemania</t>
        </is>
      </c>
      <c r="D686" t="inlineStr">
        <is>
          <t>Marburg</t>
        </is>
      </c>
      <c r="E686" t="inlineStr">
        <is>
          <t>2026-02-20</t>
        </is>
      </c>
      <c r="F686" t="inlineStr">
        <is>
          <t>2026-02-27</t>
        </is>
      </c>
      <c r="G686" t="inlineStr">
        <is>
          <t xml:space="preserve"> - Surfer Suite</t>
        </is>
      </c>
      <c r="H686">
        <f>HYPERLINK("https://booking.roadsurfer.com/es/rally/pick?pickup_date=2026-02-20&amp;return_date=2026-02-27&amp;currency=EUR&amp;startStation=60&amp;endStation=22", "Clic para verlo en la web de RoadSurfer")</f>
        <v/>
      </c>
    </row>
    <row r="687">
      <c r="A687" t="inlineStr">
        <is>
          <t>Suecia</t>
        </is>
      </c>
      <c r="B687" t="inlineStr">
        <is>
          <t>Malmö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2026-02-18</t>
        </is>
      </c>
      <c r="F687" t="inlineStr">
        <is>
          <t>2026-02-25</t>
        </is>
      </c>
      <c r="G687" t="inlineStr">
        <is>
          <t xml:space="preserve"> - Beach Hostel</t>
        </is>
      </c>
      <c r="H687">
        <f>HYPERLINK("https://booking.roadsurfer.com/es/rally/pick?pickup_date=2026-02-18&amp;return_date=2026-02-25&amp;currency=EUR&amp;startStation=60&amp;endStation=22", "Clic para verlo en la web de RoadSurfer")</f>
        <v/>
      </c>
    </row>
    <row r="688">
      <c r="A688" t="inlineStr">
        <is>
          <t>Suecia</t>
        </is>
      </c>
      <c r="B688" t="inlineStr">
        <is>
          <t>Malmö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2026-03-10</t>
        </is>
      </c>
      <c r="F688" t="inlineStr">
        <is>
          <t>2026-03-17</t>
        </is>
      </c>
      <c r="G688" t="inlineStr">
        <is>
          <t xml:space="preserve"> - SURFER SUITE</t>
        </is>
      </c>
      <c r="H688">
        <f>HYPERLINK("https://booking.roadsurfer.com/es/rally/pick?pickup_date=2026-03-10&amp;return_date=2026-03-17&amp;currency=EUR&amp;startStation=60&amp;endStation=22", "Clic para verlo en la web de RoadSurfer")</f>
        <v/>
      </c>
    </row>
    <row r="689">
      <c r="A689" t="inlineStr">
        <is>
          <t>Suecia</t>
        </is>
      </c>
      <c r="B689" t="inlineStr">
        <is>
          <t>Malmö</t>
        </is>
      </c>
      <c r="C689" t="inlineStr">
        <is>
          <t>Alemania</t>
        </is>
      </c>
      <c r="D689" t="inlineStr">
        <is>
          <t>Marburg</t>
        </is>
      </c>
      <c r="E689" t="inlineStr">
        <is>
          <t>2026-03-09</t>
        </is>
      </c>
      <c r="F689" t="inlineStr">
        <is>
          <t>2026-03-16</t>
        </is>
      </c>
      <c r="G689" t="inlineStr">
        <is>
          <t xml:space="preserve"> - Beach Hostel</t>
        </is>
      </c>
      <c r="H689">
        <f>HYPERLINK("https://booking.roadsurfer.com/es/rally/pick?pickup_date=2026-03-09&amp;return_date=2026-03-16&amp;currency=EUR&amp;startStation=60&amp;endStation=22", "Clic para verlo en la web de RoadSurfer")</f>
        <v/>
      </c>
    </row>
    <row r="690">
      <c r="A690" t="inlineStr">
        <is>
          <t>Suecia</t>
        </is>
      </c>
      <c r="B690" t="inlineStr">
        <is>
          <t>Malmö</t>
        </is>
      </c>
      <c r="C690" t="inlineStr">
        <is>
          <t>Alemania</t>
        </is>
      </c>
      <c r="D690" t="inlineStr">
        <is>
          <t>Hamburgo</t>
        </is>
      </c>
      <c r="E690" t="inlineStr">
        <is>
          <t>2026-02-19</t>
        </is>
      </c>
      <c r="F690" t="inlineStr">
        <is>
          <t>2026-02-26</t>
        </is>
      </c>
      <c r="G690" t="inlineStr">
        <is>
          <t xml:space="preserve"> - CAMPER CABIN DELUXE</t>
        </is>
      </c>
      <c r="H690">
        <f>HYPERLINK("https://booking.roadsurfer.com/es/rally/pick?pickup_date=2026-02-19&amp;return_date=2026-02-26&amp;currency=EUR&amp;startStation=60&amp;endStation=3", "Clic para verlo en la web de RoadSurfer")</f>
        <v/>
      </c>
    </row>
    <row r="691">
      <c r="A691" t="inlineStr">
        <is>
          <t>Suecia</t>
        </is>
      </c>
      <c r="B691" t="inlineStr">
        <is>
          <t>Malmö</t>
        </is>
      </c>
      <c r="C691" t="inlineStr">
        <is>
          <t>Alemania</t>
        </is>
      </c>
      <c r="D691" t="inlineStr">
        <is>
          <t>Hamburgo</t>
        </is>
      </c>
      <c r="E691" t="inlineStr">
        <is>
          <t>2026-02-28</t>
        </is>
      </c>
      <c r="F691" t="inlineStr">
        <is>
          <t>2026-03-07</t>
        </is>
      </c>
      <c r="G691" t="inlineStr">
        <is>
          <t xml:space="preserve"> - Surfer Suite</t>
        </is>
      </c>
      <c r="H691">
        <f>HYPERLINK("https://booking.roadsurfer.com/es/rally/pick?pickup_date=2026-02-28&amp;return_date=2026-03-07&amp;currency=EUR&amp;startStation=60&amp;endStation=3", "Clic para verlo en la web de RoadSurfer")</f>
        <v/>
      </c>
    </row>
    <row r="692">
      <c r="A692" t="inlineStr">
        <is>
          <t>Suecia</t>
        </is>
      </c>
      <c r="B692" t="inlineStr">
        <is>
          <t>Malmö</t>
        </is>
      </c>
      <c r="C692" t="inlineStr">
        <is>
          <t>Alemania</t>
        </is>
      </c>
      <c r="D692" t="inlineStr">
        <is>
          <t>Hamburgo</t>
        </is>
      </c>
      <c r="E692" t="inlineStr">
        <is>
          <t>2026-02-23</t>
        </is>
      </c>
      <c r="F692" t="inlineStr">
        <is>
          <t>2026-03-02</t>
        </is>
      </c>
      <c r="G692" t="inlineStr">
        <is>
          <t xml:space="preserve"> - Road House</t>
        </is>
      </c>
      <c r="H692">
        <f>HYPERLINK("https://booking.roadsurfer.com/es/rally/pick?pickup_date=2026-02-23&amp;return_date=2026-03-02&amp;currency=EUR&amp;startStation=60&amp;endStation=3", "Clic para verlo en la web de RoadSurfer")</f>
        <v/>
      </c>
    </row>
    <row r="693">
      <c r="A693" t="inlineStr">
        <is>
          <t>Suecia</t>
        </is>
      </c>
      <c r="B693" t="inlineStr">
        <is>
          <t>Malmö</t>
        </is>
      </c>
      <c r="C693" t="inlineStr">
        <is>
          <t>Alemania</t>
        </is>
      </c>
      <c r="D693" t="inlineStr">
        <is>
          <t>Stuttgart</t>
        </is>
      </c>
      <c r="E693" t="inlineStr">
        <is>
          <t>2026-03-16</t>
        </is>
      </c>
      <c r="F693" t="inlineStr">
        <is>
          <t>2026-03-23</t>
        </is>
      </c>
      <c r="G693" t="inlineStr">
        <is>
          <t xml:space="preserve"> - Camper Castle</t>
        </is>
      </c>
      <c r="H693">
        <f>HYPERLINK("https://booking.roadsurfer.com/es/rally/pick?pickup_date=2026-03-16&amp;return_date=2026-03-23&amp;currency=EUR&amp;startStation=60&amp;endStation=5", "Clic para verlo en la web de RoadSurfer")</f>
        <v/>
      </c>
    </row>
    <row r="694">
      <c r="A694" t="inlineStr">
        <is>
          <t>Suecia</t>
        </is>
      </c>
      <c r="B694" t="inlineStr">
        <is>
          <t>Malmö</t>
        </is>
      </c>
      <c r="C694" t="inlineStr">
        <is>
          <t>Alemania</t>
        </is>
      </c>
      <c r="D694" t="inlineStr">
        <is>
          <t>Hannover</t>
        </is>
      </c>
      <c r="E694" t="inlineStr">
        <is>
          <t>2026-02-17</t>
        </is>
      </c>
      <c r="F694" t="inlineStr">
        <is>
          <t>2026-02-24</t>
        </is>
      </c>
      <c r="G694" t="inlineStr">
        <is>
          <t xml:space="preserve"> - Family Finca</t>
        </is>
      </c>
      <c r="H694">
        <f>HYPERLINK("https://booking.roadsurfer.com/es/rally/pick?pickup_date=2026-02-17&amp;return_date=2026-02-24&amp;currency=EUR&amp;startStation=60&amp;endStation=7", "Clic para verlo en la web de RoadSurfer")</f>
        <v/>
      </c>
    </row>
    <row r="695">
      <c r="A695" t="inlineStr">
        <is>
          <t>Suecia</t>
        </is>
      </c>
      <c r="B695" t="inlineStr">
        <is>
          <t>Malmö</t>
        </is>
      </c>
      <c r="C695" t="inlineStr">
        <is>
          <t>Alemania</t>
        </is>
      </c>
      <c r="D695" t="inlineStr">
        <is>
          <t>Hannover</t>
        </is>
      </c>
      <c r="E695" t="inlineStr">
        <is>
          <t>2026-02-27</t>
        </is>
      </c>
      <c r="F695" t="inlineStr">
        <is>
          <t>2026-03-06</t>
        </is>
      </c>
      <c r="G695" t="inlineStr">
        <is>
          <t xml:space="preserve"> - Family Finca</t>
        </is>
      </c>
      <c r="H695">
        <f>HYPERLINK("https://booking.roadsurfer.com/es/rally/pick?pickup_date=2026-02-27&amp;return_date=2026-03-06&amp;currency=EUR&amp;startStation=60&amp;endStation=7", "Clic para verlo en la web de RoadSurfer")</f>
        <v/>
      </c>
    </row>
    <row r="696">
      <c r="A696" t="inlineStr">
        <is>
          <t>Suecia</t>
        </is>
      </c>
      <c r="B696" t="inlineStr">
        <is>
          <t>Malmö</t>
        </is>
      </c>
      <c r="C696" t="inlineStr">
        <is>
          <t>Alemania</t>
        </is>
      </c>
      <c r="D696" t="inlineStr">
        <is>
          <t>Hannover</t>
        </is>
      </c>
      <c r="E696" t="inlineStr">
        <is>
          <t>2026-03-23</t>
        </is>
      </c>
      <c r="F696" t="inlineStr">
        <is>
          <t>2026-03-30</t>
        </is>
      </c>
      <c r="G696" t="inlineStr">
        <is>
          <t xml:space="preserve"> - Surfer Suite</t>
        </is>
      </c>
      <c r="H696">
        <f>HYPERLINK("https://booking.roadsurfer.com/es/rally/pick?pickup_date=2026-03-23&amp;return_date=2026-03-30&amp;currency=EUR&amp;startStation=60&amp;endStation=7", "Clic para verlo en la web de RoadSurfer")</f>
        <v/>
      </c>
    </row>
    <row r="697">
      <c r="A697" t="inlineStr">
        <is>
          <t>Suecia</t>
        </is>
      </c>
      <c r="B697" t="inlineStr">
        <is>
          <t>Malmö</t>
        </is>
      </c>
      <c r="C697" t="inlineStr">
        <is>
          <t>Alemania</t>
        </is>
      </c>
      <c r="D697" t="inlineStr">
        <is>
          <t>Hannover</t>
        </is>
      </c>
      <c r="E697" t="inlineStr">
        <is>
          <t>2026-03-09</t>
        </is>
      </c>
      <c r="F697" t="inlineStr">
        <is>
          <t>2026-03-16</t>
        </is>
      </c>
      <c r="G697" t="inlineStr">
        <is>
          <t xml:space="preserve"> - Surfer Suite</t>
        </is>
      </c>
      <c r="H697">
        <f>HYPERLINK("https://booking.roadsurfer.com/es/rally/pick?pickup_date=2026-03-09&amp;return_date=2026-03-16&amp;currency=EUR&amp;startStation=60&amp;endStation=7", "Clic para verlo en la web de RoadSurfer")</f>
        <v/>
      </c>
    </row>
    <row r="698">
      <c r="A698" t="inlineStr">
        <is>
          <t>Suecia</t>
        </is>
      </c>
      <c r="B698" t="inlineStr">
        <is>
          <t>Malmö</t>
        </is>
      </c>
      <c r="C698" t="inlineStr">
        <is>
          <t>Alemania</t>
        </is>
      </c>
      <c r="D698" t="inlineStr">
        <is>
          <t>Bremen</t>
        </is>
      </c>
      <c r="E698" t="inlineStr">
        <is>
          <t>2026-02-18</t>
        </is>
      </c>
      <c r="F698" t="inlineStr">
        <is>
          <t>2026-02-25</t>
        </is>
      </c>
      <c r="G698" t="inlineStr">
        <is>
          <t xml:space="preserve"> - Road House</t>
        </is>
      </c>
      <c r="H698">
        <f>HYPERLINK("https://booking.roadsurfer.com/es/rally/pick?pickup_date=2026-02-18&amp;return_date=2026-02-25&amp;currency=EUR&amp;startStation=60&amp;endStation=55", "Clic para verlo en la web de RoadSurfer")</f>
        <v/>
      </c>
    </row>
    <row r="699">
      <c r="A699" t="inlineStr">
        <is>
          <t>Suecia</t>
        </is>
      </c>
      <c r="B699" t="inlineStr">
        <is>
          <t>Malmö</t>
        </is>
      </c>
      <c r="C699" t="inlineStr">
        <is>
          <t>Alemania</t>
        </is>
      </c>
      <c r="D699" t="inlineStr">
        <is>
          <t>Bremen</t>
        </is>
      </c>
      <c r="E699" t="inlineStr">
        <is>
          <t>2026-02-20</t>
        </is>
      </c>
      <c r="F699" t="inlineStr">
        <is>
          <t>2026-02-27</t>
        </is>
      </c>
      <c r="G699" t="inlineStr">
        <is>
          <t xml:space="preserve"> - Road House</t>
        </is>
      </c>
      <c r="H699">
        <f>HYPERLINK("https://booking.roadsurfer.com/es/rally/pick?pickup_date=2026-02-20&amp;return_date=2026-02-27&amp;currency=EUR&amp;startStation=60&amp;endStation=55", "Clic para verlo en la web de RoadSurfer")</f>
        <v/>
      </c>
    </row>
    <row r="700">
      <c r="A700" t="inlineStr">
        <is>
          <t>Suecia</t>
        </is>
      </c>
      <c r="B700" t="inlineStr">
        <is>
          <t>Malmö</t>
        </is>
      </c>
      <c r="C700" t="inlineStr">
        <is>
          <t>Alemania</t>
        </is>
      </c>
      <c r="D700" t="inlineStr">
        <is>
          <t>Bremen</t>
        </is>
      </c>
      <c r="E700" t="inlineStr">
        <is>
          <t>2026-02-24</t>
        </is>
      </c>
      <c r="F700" t="inlineStr">
        <is>
          <t>2026-03-03</t>
        </is>
      </c>
      <c r="G700" t="inlineStr">
        <is>
          <t xml:space="preserve"> - Surfer Suite</t>
        </is>
      </c>
      <c r="H700">
        <f>HYPERLINK("https://booking.roadsurfer.com/es/rally/pick?pickup_date=2026-02-24&amp;return_date=2026-03-03&amp;currency=EUR&amp;startStation=60&amp;endStation=55", "Clic para verlo en la web de RoadSurfer")</f>
        <v/>
      </c>
    </row>
    <row r="701">
      <c r="A701" t="inlineStr">
        <is>
          <t>Suecia</t>
        </is>
      </c>
      <c r="B701" t="inlineStr">
        <is>
          <t>Malmö</t>
        </is>
      </c>
      <c r="C701" t="inlineStr">
        <is>
          <t>Alemania</t>
        </is>
      </c>
      <c r="D701" t="inlineStr">
        <is>
          <t>Berlín-Schönefeld</t>
        </is>
      </c>
      <c r="E701" t="inlineStr">
        <is>
          <t>2026-03-20</t>
        </is>
      </c>
      <c r="F701" t="inlineStr">
        <is>
          <t>2026-03-27</t>
        </is>
      </c>
      <c r="G701" t="inlineStr">
        <is>
          <t xml:space="preserve"> - Beach Hostel</t>
        </is>
      </c>
      <c r="H701">
        <f>HYPERLINK("https://booking.roadsurfer.com/es/rally/pick?pickup_date=2026-03-20&amp;return_date=2026-03-27&amp;currency=EUR&amp;startStation=60&amp;endStation=51", "Clic para verlo en la web de RoadSurfer")</f>
        <v/>
      </c>
    </row>
    <row r="702">
      <c r="A702" t="inlineStr">
        <is>
          <t>Suecia</t>
        </is>
      </c>
      <c r="B702" t="inlineStr">
        <is>
          <t>Malmö</t>
        </is>
      </c>
      <c r="C702" t="inlineStr">
        <is>
          <t>Alemania</t>
        </is>
      </c>
      <c r="D702" t="inlineStr">
        <is>
          <t>Berlín-Schönefeld</t>
        </is>
      </c>
      <c r="E702" t="inlineStr">
        <is>
          <t>2026-03-24</t>
        </is>
      </c>
      <c r="F702" t="inlineStr">
        <is>
          <t>2026-03-31</t>
        </is>
      </c>
      <c r="G702" t="inlineStr">
        <is>
          <t xml:space="preserve"> - Family Finca</t>
        </is>
      </c>
      <c r="H702">
        <f>HYPERLINK("https://booking.roadsurfer.com/es/rally/pick?pickup_date=2026-03-24&amp;return_date=2026-03-31&amp;currency=EUR&amp;startStation=60&amp;endStation=51", "Clic para verlo en la web de RoadSurfer")</f>
        <v/>
      </c>
    </row>
    <row r="703">
      <c r="A703" t="inlineStr">
        <is>
          <t>Suecia</t>
        </is>
      </c>
      <c r="B703" t="inlineStr">
        <is>
          <t>Malmö</t>
        </is>
      </c>
      <c r="C703" t="inlineStr">
        <is>
          <t>Alemania</t>
        </is>
      </c>
      <c r="D703" t="inlineStr">
        <is>
          <t>Berlín</t>
        </is>
      </c>
      <c r="E703" t="inlineStr">
        <is>
          <t>2026-03-18</t>
        </is>
      </c>
      <c r="F703" t="inlineStr">
        <is>
          <t>2026-03-25</t>
        </is>
      </c>
      <c r="G703" t="inlineStr">
        <is>
          <t xml:space="preserve"> - Beach Hostel</t>
        </is>
      </c>
      <c r="H703">
        <f>HYPERLINK("https://booking.roadsurfer.com/es/rally/pick?pickup_date=2026-03-18&amp;return_date=2026-03-25&amp;currency=EUR&amp;startStation=60&amp;endStation=6", "Clic para verlo en la web de RoadSurfer")</f>
        <v/>
      </c>
    </row>
    <row r="704">
      <c r="A704" t="inlineStr">
        <is>
          <t>Suecia</t>
        </is>
      </c>
      <c r="B704" t="inlineStr">
        <is>
          <t>Malmö</t>
        </is>
      </c>
      <c r="C704" t="inlineStr">
        <is>
          <t>Alemania</t>
        </is>
      </c>
      <c r="D704" t="inlineStr">
        <is>
          <t>Berlín</t>
        </is>
      </c>
      <c r="E704" t="inlineStr">
        <is>
          <t>2026-03-19</t>
        </is>
      </c>
      <c r="F704" t="inlineStr">
        <is>
          <t>2026-03-26</t>
        </is>
      </c>
      <c r="G704" t="inlineStr">
        <is>
          <t xml:space="preserve"> - Family Finca</t>
        </is>
      </c>
      <c r="H704">
        <f>HYPERLINK("https://booking.roadsurfer.com/es/rally/pick?pickup_date=2026-03-19&amp;return_date=2026-03-26&amp;currency=EUR&amp;startStation=60&amp;endStation=6", "Clic para verlo en la web de RoadSurfer")</f>
        <v/>
      </c>
    </row>
    <row r="705">
      <c r="A705" t="inlineStr">
        <is>
          <t>Suecia</t>
        </is>
      </c>
      <c r="B705" t="inlineStr">
        <is>
          <t>Malmö</t>
        </is>
      </c>
      <c r="C705" t="inlineStr">
        <is>
          <t>Alemania</t>
        </is>
      </c>
      <c r="D705" t="inlineStr">
        <is>
          <t>Bielefeld</t>
        </is>
      </c>
      <c r="E705" t="inlineStr">
        <is>
          <t>2026-03-24</t>
        </is>
      </c>
      <c r="F705" t="inlineStr">
        <is>
          <t>2026-03-31</t>
        </is>
      </c>
      <c r="G705" t="inlineStr">
        <is>
          <t xml:space="preserve"> - Family Finca</t>
        </is>
      </c>
      <c r="H705">
        <f>HYPERLINK("https://booking.roadsurfer.com/es/rally/pick?pickup_date=2026-03-24&amp;return_date=2026-03-31&amp;currency=EUR&amp;startStation=60&amp;endStation=91", "Clic para verlo en la web de RoadSurfer")</f>
        <v/>
      </c>
    </row>
    <row r="706">
      <c r="A706" t="inlineStr">
        <is>
          <t>Suecia</t>
        </is>
      </c>
      <c r="B706" t="inlineStr">
        <is>
          <t>Malmö</t>
        </is>
      </c>
      <c r="C706" t="inlineStr">
        <is>
          <t>Alemania</t>
        </is>
      </c>
      <c r="D706" t="inlineStr">
        <is>
          <t>Fráncfort</t>
        </is>
      </c>
      <c r="E706" t="inlineStr">
        <is>
          <t>2026-03-10</t>
        </is>
      </c>
      <c r="F706" t="inlineStr">
        <is>
          <t>2026-03-17</t>
        </is>
      </c>
      <c r="G706" t="inlineStr">
        <is>
          <t xml:space="preserve"> - Family Finca</t>
        </is>
      </c>
      <c r="H706">
        <f>HYPERLINK("https://booking.roadsurfer.com/es/rally/pick?pickup_date=2026-03-10&amp;return_date=2026-03-17&amp;currency=EUR&amp;startStation=60&amp;endStation=2", "Clic para verlo en la web de RoadSurfer")</f>
        <v/>
      </c>
    </row>
    <row r="707">
      <c r="A707" t="inlineStr">
        <is>
          <t>Suecia</t>
        </is>
      </c>
      <c r="B707" t="inlineStr">
        <is>
          <t>Malmö</t>
        </is>
      </c>
      <c r="C707" t="inlineStr">
        <is>
          <t>Alemania</t>
        </is>
      </c>
      <c r="D707" t="inlineStr">
        <is>
          <t>Fráncfort</t>
        </is>
      </c>
      <c r="E707" t="inlineStr">
        <is>
          <t>2026-03-11</t>
        </is>
      </c>
      <c r="F707" t="inlineStr">
        <is>
          <t>2026-03-18</t>
        </is>
      </c>
      <c r="G707" t="inlineStr">
        <is>
          <t xml:space="preserve"> - Family Finca</t>
        </is>
      </c>
      <c r="H707">
        <f>HYPERLINK("https://booking.roadsurfer.com/es/rally/pick?pickup_date=2026-03-11&amp;return_date=2026-03-18&amp;currency=EUR&amp;startStation=60&amp;endStation=2", "Clic para verlo en la web de RoadSurfer")</f>
        <v/>
      </c>
    </row>
    <row r="708">
      <c r="A708" t="inlineStr">
        <is>
          <t>Suecia</t>
        </is>
      </c>
      <c r="B708" t="inlineStr">
        <is>
          <t>Malmö</t>
        </is>
      </c>
      <c r="C708" t="inlineStr">
        <is>
          <t>Alemania</t>
        </is>
      </c>
      <c r="D708" t="inlineStr">
        <is>
          <t>Augsburgo</t>
        </is>
      </c>
      <c r="E708" t="inlineStr">
        <is>
          <t>2026-03-12</t>
        </is>
      </c>
      <c r="F708" t="inlineStr">
        <is>
          <t>2026-03-19</t>
        </is>
      </c>
      <c r="G708" t="inlineStr">
        <is>
          <t xml:space="preserve"> - Camper Castle</t>
        </is>
      </c>
      <c r="H708">
        <f>HYPERLINK("https://booking.roadsurfer.com/es/rally/pick?pickup_date=2026-03-12&amp;return_date=2026-03-19&amp;currency=EUR&amp;startStation=60&amp;endStation=108", "Clic para verlo en la web de RoadSurfer")</f>
        <v/>
      </c>
    </row>
    <row r="709">
      <c r="A709" t="inlineStr">
        <is>
          <t>Suecia</t>
        </is>
      </c>
      <c r="B709" t="inlineStr">
        <is>
          <t>Malmö</t>
        </is>
      </c>
      <c r="C709" t="inlineStr">
        <is>
          <t>Suecia</t>
        </is>
      </c>
      <c r="D709" t="inlineStr">
        <is>
          <t>Gotemburgo</t>
        </is>
      </c>
      <c r="E709" t="inlineStr">
        <is>
          <t>2026-03-02</t>
        </is>
      </c>
      <c r="F709" t="inlineStr">
        <is>
          <t>2026-03-09</t>
        </is>
      </c>
      <c r="G709" t="inlineStr">
        <is>
          <t xml:space="preserve"> - Road House</t>
        </is>
      </c>
      <c r="H709">
        <f>HYPERLINK("https://booking.roadsurfer.com/es/rally/pick?pickup_date=2026-03-02&amp;return_date=2026-03-09&amp;currency=EUR&amp;startStation=60&amp;endStation=77", "Clic para verlo en la web de RoadSurfer")</f>
        <v/>
      </c>
    </row>
    <row r="710">
      <c r="A710" t="inlineStr">
        <is>
          <t>Suecia</t>
        </is>
      </c>
      <c r="B710" t="inlineStr">
        <is>
          <t>Malmö</t>
        </is>
      </c>
      <c r="C710" t="inlineStr">
        <is>
          <t>Alemania</t>
        </is>
      </c>
      <c r="D710" t="inlineStr">
        <is>
          <t>Núremberg</t>
        </is>
      </c>
      <c r="E710" t="inlineStr">
        <is>
          <t>2026-03-12</t>
        </is>
      </c>
      <c r="F710" t="inlineStr">
        <is>
          <t>2026-03-19</t>
        </is>
      </c>
      <c r="G710" t="inlineStr">
        <is>
          <t xml:space="preserve"> - Beach Hostel</t>
        </is>
      </c>
      <c r="H710">
        <f>HYPERLINK("https://booking.roadsurfer.com/es/rally/pick?pickup_date=2026-03-12&amp;return_date=2026-03-19&amp;currency=EUR&amp;startStation=60&amp;endStation=11", "Clic para verlo en la web de RoadSurfer")</f>
        <v/>
      </c>
    </row>
    <row r="711">
      <c r="A711" t="inlineStr">
        <is>
          <t>Suecia</t>
        </is>
      </c>
      <c r="B711" t="inlineStr">
        <is>
          <t>Malmö</t>
        </is>
      </c>
      <c r="C711" t="inlineStr">
        <is>
          <t>Suecia</t>
        </is>
      </c>
      <c r="D711" t="inlineStr">
        <is>
          <t>Estocolmo</t>
        </is>
      </c>
      <c r="E711" t="inlineStr">
        <is>
          <t>2026-03-16</t>
        </is>
      </c>
      <c r="F711" t="inlineStr">
        <is>
          <t>2026-03-23</t>
        </is>
      </c>
      <c r="G711" t="inlineStr">
        <is>
          <t xml:space="preserve"> - ROAD HOUSE</t>
        </is>
      </c>
      <c r="H711">
        <f>HYPERLINK("https://booking.roadsurfer.com/es/rally/pick?pickup_date=2026-03-16&amp;return_date=2026-03-23&amp;currency=EUR&amp;startStation=60&amp;endStation=59", "Clic para verlo en la web de RoadSurfer")</f>
        <v/>
      </c>
    </row>
    <row r="712">
      <c r="A712" t="inlineStr">
        <is>
          <t>Suecia</t>
        </is>
      </c>
      <c r="B712" t="inlineStr">
        <is>
          <t>Malmö</t>
        </is>
      </c>
      <c r="C712" t="inlineStr">
        <is>
          <t>Suecia</t>
        </is>
      </c>
      <c r="D712" t="inlineStr">
        <is>
          <t>Estocolmo</t>
        </is>
      </c>
      <c r="E712" t="inlineStr">
        <is>
          <t>2026-03-05</t>
        </is>
      </c>
      <c r="F712" t="inlineStr">
        <is>
          <t>2026-03-12</t>
        </is>
      </c>
      <c r="G712" t="inlineStr">
        <is>
          <t xml:space="preserve"> - Couple Cottage</t>
        </is>
      </c>
      <c r="H712">
        <f>HYPERLINK("https://booking.roadsurfer.com/es/rally/pick?pickup_date=2026-03-05&amp;return_date=2026-03-12&amp;currency=EUR&amp;startStation=60&amp;endStation=59", "Clic para verlo en la web de RoadSurfer")</f>
        <v/>
      </c>
    </row>
    <row r="713">
      <c r="A713" t="inlineStr">
        <is>
          <t>Suecia</t>
        </is>
      </c>
      <c r="B713" t="inlineStr">
        <is>
          <t>Malmö</t>
        </is>
      </c>
      <c r="C713" t="inlineStr">
        <is>
          <t>Alemania</t>
        </is>
      </c>
      <c r="D713" t="inlineStr">
        <is>
          <t>Maguncia</t>
        </is>
      </c>
      <c r="E713" t="inlineStr">
        <is>
          <t>2026-03-23</t>
        </is>
      </c>
      <c r="F713" t="inlineStr">
        <is>
          <t>2026-03-30</t>
        </is>
      </c>
      <c r="G713" t="inlineStr">
        <is>
          <t xml:space="preserve"> - Surfer Suite</t>
        </is>
      </c>
      <c r="H713">
        <f>HYPERLINK("https://booking.roadsurfer.com/es/rally/pick?pickup_date=2026-03-23&amp;return_date=2026-03-30&amp;currency=EUR&amp;startStation=60&amp;endStation=54",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Italia</t>
        </is>
      </c>
      <c r="D714" t="inlineStr">
        <is>
          <t>Venecia</t>
        </is>
      </c>
      <c r="E714" t="inlineStr">
        <is>
          <t>2026-02-21</t>
        </is>
      </c>
      <c r="F714" t="inlineStr">
        <is>
          <t>2026-02-28</t>
        </is>
      </c>
      <c r="G714" t="inlineStr">
        <is>
          <t xml:space="preserve"> - No hay coche</t>
        </is>
      </c>
      <c r="H714">
        <f>HYPERLINK("https://booking.roadsurfer.com/es/rally/pick?pickup_date=2026-02-21&amp;return_date=2026-02-28&amp;currency=EUR&amp;startStation=22&amp;endStation=78",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Italia</t>
        </is>
      </c>
      <c r="D715" t="inlineStr">
        <is>
          <t>Venecia</t>
        </is>
      </c>
      <c r="E715" t="inlineStr">
        <is>
          <t>2026-02-23</t>
        </is>
      </c>
      <c r="F715" t="inlineStr">
        <is>
          <t>2026-03-02</t>
        </is>
      </c>
      <c r="G715" t="inlineStr">
        <is>
          <t xml:space="preserve"> - Surfer Suite</t>
        </is>
      </c>
      <c r="H715">
        <f>HYPERLINK("https://booking.roadsurfer.com/es/rally/pick?pickup_date=2026-02-23&amp;return_date=2026-03-02&amp;currency=EUR&amp;startStation=22&amp;endStation=78",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Italia</t>
        </is>
      </c>
      <c r="D716" t="inlineStr">
        <is>
          <t>Venecia</t>
        </is>
      </c>
      <c r="E716" t="inlineStr">
        <is>
          <t>2026-03-05</t>
        </is>
      </c>
      <c r="F716" t="inlineStr">
        <is>
          <t>2026-03-12</t>
        </is>
      </c>
      <c r="G716" t="inlineStr">
        <is>
          <t xml:space="preserve"> - Surfer Suite</t>
        </is>
      </c>
      <c r="H716">
        <f>HYPERLINK("https://booking.roadsurfer.com/es/rally/pick?pickup_date=2026-03-05&amp;return_date=2026-03-12&amp;currency=EUR&amp;startStation=22&amp;endStation=78",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Italia</t>
        </is>
      </c>
      <c r="D717" t="inlineStr">
        <is>
          <t>Venecia</t>
        </is>
      </c>
      <c r="E717" t="inlineStr">
        <is>
          <t>2026-02-20</t>
        </is>
      </c>
      <c r="F717" t="inlineStr">
        <is>
          <t>2026-02-27</t>
        </is>
      </c>
      <c r="G717" t="inlineStr">
        <is>
          <t xml:space="preserve"> - Surfer Suite</t>
        </is>
      </c>
      <c r="H717">
        <f>HYPERLINK("https://booking.roadsurfer.com/es/rally/pick?pickup_date=2026-02-20&amp;return_date=2026-02-27&amp;currency=EUR&amp;startStation=22&amp;endStation=78",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Francia</t>
        </is>
      </c>
      <c r="D718" t="inlineStr">
        <is>
          <t>Burdeos</t>
        </is>
      </c>
      <c r="E718" t="inlineStr">
        <is>
          <t>2026-02-20</t>
        </is>
      </c>
      <c r="F718" t="inlineStr">
        <is>
          <t>2026-02-27</t>
        </is>
      </c>
      <c r="G718" t="inlineStr">
        <is>
          <t xml:space="preserve"> - Surfer Suite - BEACH HOSTEL - Camper Cabin</t>
        </is>
      </c>
      <c r="H718">
        <f>HYPERLINK("https://booking.roadsurfer.com/es/rally/pick?pickup_date=2026-02-20&amp;return_date=2026-02-27&amp;currency=EUR&amp;startStation=22&amp;endStation=13",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Francia</t>
        </is>
      </c>
      <c r="D719" t="inlineStr">
        <is>
          <t>Burdeos</t>
        </is>
      </c>
      <c r="E719" t="inlineStr">
        <is>
          <t>2026-02-21</t>
        </is>
      </c>
      <c r="F719" t="inlineStr">
        <is>
          <t>2026-02-28</t>
        </is>
      </c>
      <c r="G719" t="inlineStr">
        <is>
          <t xml:space="preserve"> - No hay coche</t>
        </is>
      </c>
      <c r="H719">
        <f>HYPERLINK("https://booking.roadsurfer.com/es/rally/pick?pickup_date=2026-02-21&amp;return_date=2026-02-28&amp;currency=EUR&amp;startStation=22&amp;endStation=13",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Francia</t>
        </is>
      </c>
      <c r="D720" t="inlineStr">
        <is>
          <t>Burdeos</t>
        </is>
      </c>
      <c r="E720" t="inlineStr">
        <is>
          <t>2026-02-23</t>
        </is>
      </c>
      <c r="F720" t="inlineStr">
        <is>
          <t>2026-03-02</t>
        </is>
      </c>
      <c r="G720" t="inlineStr">
        <is>
          <t xml:space="preserve"> - Travel Home</t>
        </is>
      </c>
      <c r="H720">
        <f>HYPERLINK("https://booking.roadsurfer.com/es/rally/pick?pickup_date=2026-02-23&amp;return_date=2026-03-02&amp;currency=EUR&amp;startStation=22&amp;endStation=13",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Francia</t>
        </is>
      </c>
      <c r="D721" t="inlineStr">
        <is>
          <t>Estrasburgo</t>
        </is>
      </c>
      <c r="E721" t="inlineStr">
        <is>
          <t>2026-02-23</t>
        </is>
      </c>
      <c r="F721" t="inlineStr">
        <is>
          <t>2026-03-02</t>
        </is>
      </c>
      <c r="G721" t="inlineStr">
        <is>
          <t xml:space="preserve"> - Surfer Suite</t>
        </is>
      </c>
      <c r="H721">
        <f>HYPERLINK("https://booking.roadsurfer.com/es/rally/pick?pickup_date=2026-02-23&amp;return_date=2026-03-02&amp;currency=EUR&amp;startStation=22&amp;endStation=49",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Francia</t>
        </is>
      </c>
      <c r="D722" t="inlineStr">
        <is>
          <t>Estrasburgo</t>
        </is>
      </c>
      <c r="E722" t="inlineStr">
        <is>
          <t>2026-03-06</t>
        </is>
      </c>
      <c r="F722" t="inlineStr">
        <is>
          <t>2026-03-13</t>
        </is>
      </c>
      <c r="G722" t="inlineStr">
        <is>
          <t xml:space="preserve"> - Surfer Suite</t>
        </is>
      </c>
      <c r="H722">
        <f>HYPERLINK("https://booking.roadsurfer.com/es/rally/pick?pickup_date=2026-03-06&amp;return_date=2026-03-13&amp;currency=EUR&amp;startStation=22&amp;endStation=49",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Suecia</t>
        </is>
      </c>
      <c r="D723" t="inlineStr">
        <is>
          <t>Gotemburgo</t>
        </is>
      </c>
      <c r="E723" t="inlineStr">
        <is>
          <t>2026-02-27</t>
        </is>
      </c>
      <c r="F723" t="inlineStr">
        <is>
          <t>2026-03-06</t>
        </is>
      </c>
      <c r="G723" t="inlineStr">
        <is>
          <t xml:space="preserve"> - Surfer Suite</t>
        </is>
      </c>
      <c r="H723">
        <f>HYPERLINK("https://booking.roadsurfer.com/es/rally/pick?pickup_date=2026-02-27&amp;return_date=2026-03-06&amp;currency=EUR&amp;startStation=22&amp;endStation=77",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Francia</t>
        </is>
      </c>
      <c r="D724" t="inlineStr">
        <is>
          <t>París Sur (Orly)</t>
        </is>
      </c>
      <c r="E724" t="inlineStr">
        <is>
          <t>2026-02-25</t>
        </is>
      </c>
      <c r="F724" t="inlineStr">
        <is>
          <t>2026-03-04</t>
        </is>
      </c>
      <c r="G724" t="inlineStr">
        <is>
          <t xml:space="preserve"> - Surfer Suite</t>
        </is>
      </c>
      <c r="H724">
        <f>HYPERLINK("https://booking.roadsurfer.com/es/rally/pick?pickup_date=2026-02-25&amp;return_date=2026-03-04&amp;currency=EUR&amp;startStation=22&amp;endStation=12",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España</t>
        </is>
      </c>
      <c r="D725" t="inlineStr">
        <is>
          <t>Madrid</t>
        </is>
      </c>
      <c r="E725" t="inlineStr">
        <is>
          <t>2026-03-02</t>
        </is>
      </c>
      <c r="F725" t="inlineStr">
        <is>
          <t>2026-03-09</t>
        </is>
      </c>
      <c r="G725" t="inlineStr">
        <is>
          <t xml:space="preserve"> - Beach Hostel</t>
        </is>
      </c>
      <c r="H725">
        <f>HYPERLINK("https://booking.roadsurfer.com/es/rally/pick?pickup_date=2026-03-02&amp;return_date=2026-03-09&amp;currency=EUR&amp;startStation=22&amp;endStation=20",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España</t>
        </is>
      </c>
      <c r="D726" t="inlineStr">
        <is>
          <t>Madrid</t>
        </is>
      </c>
      <c r="E726" t="inlineStr">
        <is>
          <t>2026-02-20</t>
        </is>
      </c>
      <c r="F726" t="inlineStr">
        <is>
          <t>2026-02-27</t>
        </is>
      </c>
      <c r="G726" t="inlineStr">
        <is>
          <t xml:space="preserve"> - Surfer Suite - Family Finca</t>
        </is>
      </c>
      <c r="H726">
        <f>HYPERLINK("https://booking.roadsurfer.com/es/rally/pick?pickup_date=2026-02-20&amp;return_date=2026-02-27&amp;currency=EUR&amp;startStation=22&amp;endStation=20",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España</t>
        </is>
      </c>
      <c r="D727" t="inlineStr">
        <is>
          <t>Madrid</t>
        </is>
      </c>
      <c r="E727" t="inlineStr">
        <is>
          <t>2026-02-23</t>
        </is>
      </c>
      <c r="F727" t="inlineStr">
        <is>
          <t>2026-03-02</t>
        </is>
      </c>
      <c r="G727" t="inlineStr">
        <is>
          <t xml:space="preserve"> - Surfer Suite - Road House</t>
        </is>
      </c>
      <c r="H727">
        <f>HYPERLINK("https://booking.roadsurfer.com/es/rally/pick?pickup_date=2026-02-23&amp;return_date=2026-03-02&amp;currency=EUR&amp;startStation=22&amp;endStation=20",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España</t>
        </is>
      </c>
      <c r="D728" t="inlineStr">
        <is>
          <t>Madrid</t>
        </is>
      </c>
      <c r="E728" t="inlineStr">
        <is>
          <t>2026-02-21</t>
        </is>
      </c>
      <c r="F728" t="inlineStr">
        <is>
          <t>2026-02-28</t>
        </is>
      </c>
      <c r="G728" t="inlineStr">
        <is>
          <t xml:space="preserve"> - No hay coche</t>
        </is>
      </c>
      <c r="H728">
        <f>HYPERLINK("https://booking.roadsurfer.com/es/rally/pick?pickup_date=2026-02-21&amp;return_date=2026-02-28&amp;currency=EUR&amp;startStation=22&amp;endStation=20",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Francia</t>
        </is>
      </c>
      <c r="D729" t="inlineStr">
        <is>
          <t>Aix-Marsella</t>
        </is>
      </c>
      <c r="E729" t="inlineStr">
        <is>
          <t>2026-03-06</t>
        </is>
      </c>
      <c r="F729" t="inlineStr">
        <is>
          <t>2026-03-13</t>
        </is>
      </c>
      <c r="G729" t="inlineStr">
        <is>
          <t xml:space="preserve"> - Surfer Suite</t>
        </is>
      </c>
      <c r="H729">
        <f>HYPERLINK("https://booking.roadsurfer.com/es/rally/pick?pickup_date=2026-03-06&amp;return_date=2026-03-13&amp;currency=EUR&amp;startStation=22&amp;endStation=16",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Francia</t>
        </is>
      </c>
      <c r="D730" t="inlineStr">
        <is>
          <t>Aix-Marsella</t>
        </is>
      </c>
      <c r="E730" t="inlineStr">
        <is>
          <t>2026-02-23</t>
        </is>
      </c>
      <c r="F730" t="inlineStr">
        <is>
          <t>2026-03-02</t>
        </is>
      </c>
      <c r="G730" t="inlineStr">
        <is>
          <t xml:space="preserve"> - Beach Hostel</t>
        </is>
      </c>
      <c r="H730">
        <f>HYPERLINK("https://booking.roadsurfer.com/es/rally/pick?pickup_date=2026-02-23&amp;return_date=2026-03-02&amp;currency=EUR&amp;startStation=22&amp;endStation=16",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Francia</t>
        </is>
      </c>
      <c r="D731" t="inlineStr">
        <is>
          <t>Aix-Marsella</t>
        </is>
      </c>
      <c r="E731" t="inlineStr">
        <is>
          <t>2026-02-20</t>
        </is>
      </c>
      <c r="F731" t="inlineStr">
        <is>
          <t>2026-02-27</t>
        </is>
      </c>
      <c r="G731" t="inlineStr">
        <is>
          <t xml:space="preserve"> - Road House</t>
        </is>
      </c>
      <c r="H731">
        <f>HYPERLINK("https://booking.roadsurfer.com/es/rally/pick?pickup_date=2026-02-20&amp;return_date=2026-02-27&amp;currency=EUR&amp;startStation=22&amp;endStation=16",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Italia</t>
        </is>
      </c>
      <c r="D732" t="inlineStr">
        <is>
          <t>Bérgamo</t>
        </is>
      </c>
      <c r="E732" t="inlineStr">
        <is>
          <t>2026-03-06</t>
        </is>
      </c>
      <c r="F732" t="inlineStr">
        <is>
          <t>2026-03-13</t>
        </is>
      </c>
      <c r="G732" t="inlineStr">
        <is>
          <t xml:space="preserve"> - Surfer Suite</t>
        </is>
      </c>
      <c r="H732">
        <f>HYPERLINK("https://booking.roadsurfer.com/es/rally/pick?pickup_date=2026-03-06&amp;return_date=2026-03-13&amp;currency=EUR&amp;startStation=22&amp;endStation=94",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Francia</t>
        </is>
      </c>
      <c r="D733" t="inlineStr">
        <is>
          <t>Niza</t>
        </is>
      </c>
      <c r="E733" t="inlineStr">
        <is>
          <t>2026-02-21</t>
        </is>
      </c>
      <c r="F733" t="inlineStr">
        <is>
          <t>2026-02-28</t>
        </is>
      </c>
      <c r="G733" t="inlineStr">
        <is>
          <t xml:space="preserve"> - No hay coche</t>
        </is>
      </c>
      <c r="H733">
        <f>HYPERLINK("https://booking.roadsurfer.com/es/rally/pick?pickup_date=2026-02-21&amp;return_date=2026-02-28&amp;currency=EUR&amp;startStation=22&amp;endStation=88",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Francia</t>
        </is>
      </c>
      <c r="D734" t="inlineStr">
        <is>
          <t>París Aeropuerto CDG</t>
        </is>
      </c>
      <c r="E734" t="inlineStr">
        <is>
          <t>2026-02-21</t>
        </is>
      </c>
      <c r="F734" t="inlineStr">
        <is>
          <t>2026-02-28</t>
        </is>
      </c>
      <c r="G734" t="inlineStr">
        <is>
          <t xml:space="preserve"> - No hay coche</t>
        </is>
      </c>
      <c r="H734">
        <f>HYPERLINK("https://booking.roadsurfer.com/es/rally/pick?pickup_date=2026-02-21&amp;return_date=2026-02-28&amp;currency=EUR&amp;startStation=22&amp;endStation=48",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Francia</t>
        </is>
      </c>
      <c r="D735" t="inlineStr">
        <is>
          <t>París Aeropuerto CDG</t>
        </is>
      </c>
      <c r="E735" t="inlineStr">
        <is>
          <t>2026-03-03</t>
        </is>
      </c>
      <c r="F735" t="inlineStr">
        <is>
          <t>2026-03-13</t>
        </is>
      </c>
      <c r="G735" t="inlineStr">
        <is>
          <t xml:space="preserve"> - Surfer Suite</t>
        </is>
      </c>
      <c r="H735">
        <f>HYPERLINK("https://booking.roadsurfer.com/es/rally/pick?pickup_date=2026-03-03&amp;return_date=2026-03-13&amp;currency=EUR&amp;startStation=22&amp;endStation=48",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Francia</t>
        </is>
      </c>
      <c r="D736" t="inlineStr">
        <is>
          <t>Ginebra-Pays de Gex (Francia)</t>
        </is>
      </c>
      <c r="E736" t="inlineStr">
        <is>
          <t>2026-02-26</t>
        </is>
      </c>
      <c r="F736" t="inlineStr">
        <is>
          <t>2026-03-05</t>
        </is>
      </c>
      <c r="G736" t="inlineStr">
        <is>
          <t xml:space="preserve"> - Surfer Suite</t>
        </is>
      </c>
      <c r="H736">
        <f>HYPERLINK("https://booking.roadsurfer.com/es/rally/pick?pickup_date=2026-02-26&amp;return_date=2026-03-05&amp;currency=EUR&amp;startStation=22&amp;endStation=29", "Clic para verlo en la web de RoadSurfer")</f>
        <v/>
      </c>
    </row>
    <row r="737">
      <c r="A737" t="inlineStr">
        <is>
          <t>Alemania</t>
        </is>
      </c>
      <c r="B737" t="inlineStr">
        <is>
          <t>Marburg</t>
        </is>
      </c>
      <c r="C737" t="inlineStr">
        <is>
          <t>Francia</t>
        </is>
      </c>
      <c r="D737" t="inlineStr">
        <is>
          <t>Ginebra-Pays de Gex (Francia)</t>
        </is>
      </c>
      <c r="E737" t="inlineStr">
        <is>
          <t>2026-02-20</t>
        </is>
      </c>
      <c r="F737" t="inlineStr">
        <is>
          <t>2026-02-27</t>
        </is>
      </c>
      <c r="G737" t="inlineStr">
        <is>
          <t xml:space="preserve"> - Surfer Suite</t>
        </is>
      </c>
      <c r="H737">
        <f>HYPERLINK("https://booking.roadsurfer.com/es/rally/pick?pickup_date=2026-02-20&amp;return_date=2026-02-27&amp;currency=EUR&amp;startStation=22&amp;endStation=29", "Clic para verlo en la web de RoadSurfer")</f>
        <v/>
      </c>
    </row>
    <row r="738">
      <c r="A738" t="inlineStr">
        <is>
          <t>Alemania</t>
        </is>
      </c>
      <c r="B738" t="inlineStr">
        <is>
          <t>Marburg</t>
        </is>
      </c>
      <c r="C738" t="inlineStr">
        <is>
          <t>Francia</t>
        </is>
      </c>
      <c r="D738" t="inlineStr">
        <is>
          <t>Ginebra-Pays de Gex (Francia)</t>
        </is>
      </c>
      <c r="E738" t="inlineStr">
        <is>
          <t>2026-03-23</t>
        </is>
      </c>
      <c r="F738" t="inlineStr">
        <is>
          <t>2026-03-30</t>
        </is>
      </c>
      <c r="G738" t="inlineStr">
        <is>
          <t xml:space="preserve"> - Family Finca</t>
        </is>
      </c>
      <c r="H738">
        <f>HYPERLINK("https://booking.roadsurfer.com/es/rally/pick?pickup_date=2026-03-23&amp;return_date=2026-03-30&amp;currency=EUR&amp;startStation=22&amp;endStation=29", "Clic para verlo en la web de RoadSurfer")</f>
        <v/>
      </c>
    </row>
    <row r="739">
      <c r="A739" t="inlineStr">
        <is>
          <t>Alemania</t>
        </is>
      </c>
      <c r="B739" t="inlineStr">
        <is>
          <t>Marburg</t>
        </is>
      </c>
      <c r="C739" t="inlineStr">
        <is>
          <t>Francia</t>
        </is>
      </c>
      <c r="D739" t="inlineStr">
        <is>
          <t>Ginebra-Pays de Gex (Francia)</t>
        </is>
      </c>
      <c r="E739" t="inlineStr">
        <is>
          <t>2026-03-30</t>
        </is>
      </c>
      <c r="F739" t="inlineStr">
        <is>
          <t>2026-04-06</t>
        </is>
      </c>
      <c r="G739" t="inlineStr">
        <is>
          <t xml:space="preserve"> - No hay coche</t>
        </is>
      </c>
      <c r="H739">
        <f>HYPERLINK("https://booking.roadsurfer.com/es/rally/pick?pickup_date=2026-03-30&amp;return_date=2026-04-06&amp;currency=EUR&amp;startStation=22&amp;endStation=29", "Clic para verlo en la web de RoadSurfer")</f>
        <v/>
      </c>
    </row>
    <row r="740">
      <c r="A740" t="inlineStr">
        <is>
          <t>Alemania</t>
        </is>
      </c>
      <c r="B740" t="inlineStr">
        <is>
          <t>Marburg</t>
        </is>
      </c>
      <c r="C740" t="inlineStr">
        <is>
          <t>Francia</t>
        </is>
      </c>
      <c r="D740" t="inlineStr">
        <is>
          <t>Ginebra-Pays de Gex (Francia)</t>
        </is>
      </c>
      <c r="E740" t="inlineStr">
        <is>
          <t>2026-02-27</t>
        </is>
      </c>
      <c r="F740" t="inlineStr">
        <is>
          <t>2026-03-06</t>
        </is>
      </c>
      <c r="G740" t="inlineStr">
        <is>
          <t xml:space="preserve"> - SURFER SUITE</t>
        </is>
      </c>
      <c r="H740">
        <f>HYPERLINK("https://booking.roadsurfer.com/es/rally/pick?pickup_date=2026-02-27&amp;return_date=2026-03-06&amp;currency=EUR&amp;startStation=22&amp;endStation=29", "Clic para verlo en la web de RoadSurfer")</f>
        <v/>
      </c>
    </row>
    <row r="741">
      <c r="A741" t="inlineStr">
        <is>
          <t>Alemania</t>
        </is>
      </c>
      <c r="B741" t="inlineStr">
        <is>
          <t>Marburg</t>
        </is>
      </c>
      <c r="C741" t="inlineStr">
        <is>
          <t>Francia</t>
        </is>
      </c>
      <c r="D741" t="inlineStr">
        <is>
          <t>Lyon</t>
        </is>
      </c>
      <c r="E741" t="inlineStr">
        <is>
          <t>2026-02-23</t>
        </is>
      </c>
      <c r="F741" t="inlineStr">
        <is>
          <t>2026-03-02</t>
        </is>
      </c>
      <c r="G741" t="inlineStr">
        <is>
          <t xml:space="preserve"> - Surfer Suite</t>
        </is>
      </c>
      <c r="H741">
        <f>HYPERLINK("https://booking.roadsurfer.com/es/rally/pick?pickup_date=2026-02-23&amp;return_date=2026-03-02&amp;currency=EUR&amp;startStation=22&amp;endStation=15", "Clic para verlo en la web de RoadSurfer")</f>
        <v/>
      </c>
    </row>
    <row r="742">
      <c r="A742" t="inlineStr">
        <is>
          <t>Alemania</t>
        </is>
      </c>
      <c r="B742" t="inlineStr">
        <is>
          <t>Marburg</t>
        </is>
      </c>
      <c r="C742" t="inlineStr">
        <is>
          <t>Francia</t>
        </is>
      </c>
      <c r="D742" t="inlineStr">
        <is>
          <t>Lyon</t>
        </is>
      </c>
      <c r="E742" t="inlineStr">
        <is>
          <t>2026-03-16</t>
        </is>
      </c>
      <c r="F742" t="inlineStr">
        <is>
          <t>2026-03-23</t>
        </is>
      </c>
      <c r="G742" t="inlineStr">
        <is>
          <t xml:space="preserve"> - Family Finca</t>
        </is>
      </c>
      <c r="H742">
        <f>HYPERLINK("https://booking.roadsurfer.com/es/rally/pick?pickup_date=2026-03-16&amp;return_date=2026-03-23&amp;currency=EUR&amp;startStation=22&amp;endStation=15", "Clic para verlo en la web de RoadSurfer")</f>
        <v/>
      </c>
    </row>
    <row r="743">
      <c r="A743" t="inlineStr">
        <is>
          <t>Alemania</t>
        </is>
      </c>
      <c r="B743" t="inlineStr">
        <is>
          <t>Marburg</t>
        </is>
      </c>
      <c r="C743" t="inlineStr">
        <is>
          <t>Suecia</t>
        </is>
      </c>
      <c r="D743" t="inlineStr">
        <is>
          <t>Malmö</t>
        </is>
      </c>
      <c r="E743" t="inlineStr">
        <is>
          <t>2026-02-23</t>
        </is>
      </c>
      <c r="F743" t="inlineStr">
        <is>
          <t>2026-03-02</t>
        </is>
      </c>
      <c r="G743" t="inlineStr">
        <is>
          <t xml:space="preserve"> - Surfer Suite</t>
        </is>
      </c>
      <c r="H743">
        <f>HYPERLINK("https://booking.roadsurfer.com/es/rally/pick?pickup_date=2026-02-23&amp;return_date=2026-03-02&amp;currency=EUR&amp;startStation=22&amp;endStation=60", "Clic para verlo en la web de RoadSurfer")</f>
        <v/>
      </c>
    </row>
    <row r="744">
      <c r="A744" t="inlineStr">
        <is>
          <t>Alemania</t>
        </is>
      </c>
      <c r="B744" t="inlineStr">
        <is>
          <t>Marburg</t>
        </is>
      </c>
      <c r="C744" t="inlineStr">
        <is>
          <t>España</t>
        </is>
      </c>
      <c r="D744" t="inlineStr">
        <is>
          <t>Valencia</t>
        </is>
      </c>
      <c r="E744" t="inlineStr">
        <is>
          <t>2026-02-20</t>
        </is>
      </c>
      <c r="F744" t="inlineStr">
        <is>
          <t>2026-02-27</t>
        </is>
      </c>
      <c r="G744" t="inlineStr">
        <is>
          <t xml:space="preserve"> - Surfer Suite</t>
        </is>
      </c>
      <c r="H744">
        <f>HYPERLINK("https://booking.roadsurfer.com/es/rally/pick?pickup_date=2026-02-20&amp;return_date=2026-02-27&amp;currency=EUR&amp;startStation=22&amp;endStation=38", "Clic para verlo en la web de RoadSurfer")</f>
        <v/>
      </c>
    </row>
    <row r="745">
      <c r="A745" t="inlineStr">
        <is>
          <t>Alemania</t>
        </is>
      </c>
      <c r="B745" t="inlineStr">
        <is>
          <t>Marburg</t>
        </is>
      </c>
      <c r="C745" t="inlineStr">
        <is>
          <t>Países Bajos</t>
        </is>
      </c>
      <c r="D745" t="inlineStr">
        <is>
          <t>Ámsterdam</t>
        </is>
      </c>
      <c r="E745" t="inlineStr">
        <is>
          <t>2026-03-20</t>
        </is>
      </c>
      <c r="F745" t="inlineStr">
        <is>
          <t>2026-03-27</t>
        </is>
      </c>
      <c r="G745" t="inlineStr">
        <is>
          <t xml:space="preserve"> - Road House</t>
        </is>
      </c>
      <c r="H745">
        <f>HYPERLINK("https://booking.roadsurfer.com/es/rally/pick?pickup_date=2026-03-20&amp;return_date=2026-03-27&amp;currency=EUR&amp;startStation=22&amp;endStation=32", "Clic para verlo en la web de RoadSurfer")</f>
        <v/>
      </c>
    </row>
    <row r="746">
      <c r="A746" t="inlineStr">
        <is>
          <t>Alemania</t>
        </is>
      </c>
      <c r="B746" t="inlineStr">
        <is>
          <t>Marburg</t>
        </is>
      </c>
      <c r="C746" t="inlineStr">
        <is>
          <t>Países Bajos</t>
        </is>
      </c>
      <c r="D746" t="inlineStr">
        <is>
          <t>Ámsterdam</t>
        </is>
      </c>
      <c r="E746" t="inlineStr">
        <is>
          <t>2026-04-06</t>
        </is>
      </c>
      <c r="F746" t="inlineStr">
        <is>
          <t>2026-04-13</t>
        </is>
      </c>
      <c r="G746" t="inlineStr">
        <is>
          <t xml:space="preserve"> - Surfer Suite - Family Finca</t>
        </is>
      </c>
      <c r="H746">
        <f>HYPERLINK("https://booking.roadsurfer.com/es/rally/pick?pickup_date=2026-04-06&amp;return_date=2026-04-13&amp;currency=EUR&amp;startStation=22&amp;endStation=32", "Clic para verlo en la web de RoadSurfer")</f>
        <v/>
      </c>
    </row>
    <row r="747">
      <c r="A747" t="inlineStr">
        <is>
          <t>Alemania</t>
        </is>
      </c>
      <c r="B747" t="inlineStr">
        <is>
          <t>Marburg</t>
        </is>
      </c>
      <c r="C747" t="inlineStr">
        <is>
          <t>España</t>
        </is>
      </c>
      <c r="D747" t="inlineStr">
        <is>
          <t>Málaga</t>
        </is>
      </c>
      <c r="E747" t="inlineStr">
        <is>
          <t>2026-02-23</t>
        </is>
      </c>
      <c r="F747" t="inlineStr">
        <is>
          <t>2026-03-02</t>
        </is>
      </c>
      <c r="G747" t="inlineStr">
        <is>
          <t xml:space="preserve"> - SURFER SUITE</t>
        </is>
      </c>
      <c r="H747">
        <f>HYPERLINK("https://booking.roadsurfer.com/es/rally/pick?pickup_date=2026-02-23&amp;return_date=2026-03-02&amp;currency=EUR&amp;startStation=22&amp;endStation=21", "Clic para verlo en la web de RoadSurfer")</f>
        <v/>
      </c>
    </row>
    <row r="748">
      <c r="A748" t="inlineStr">
        <is>
          <t>Alemania</t>
        </is>
      </c>
      <c r="B748" t="inlineStr">
        <is>
          <t>Marburg</t>
        </is>
      </c>
      <c r="C748" t="inlineStr">
        <is>
          <t>España</t>
        </is>
      </c>
      <c r="D748" t="inlineStr">
        <is>
          <t>Málaga</t>
        </is>
      </c>
      <c r="E748" t="inlineStr">
        <is>
          <t>2026-02-20</t>
        </is>
      </c>
      <c r="F748" t="inlineStr">
        <is>
          <t>2026-02-27</t>
        </is>
      </c>
      <c r="G748" t="inlineStr">
        <is>
          <t xml:space="preserve"> - Beach Hostel</t>
        </is>
      </c>
      <c r="H748">
        <f>HYPERLINK("https://booking.roadsurfer.com/es/rally/pick?pickup_date=2026-02-20&amp;return_date=2026-02-27&amp;currency=EUR&amp;startStation=22&amp;endStation=21", "Clic para verlo en la web de RoadSurfer")</f>
        <v/>
      </c>
    </row>
    <row r="749">
      <c r="A749" t="inlineStr">
        <is>
          <t>Alemania</t>
        </is>
      </c>
      <c r="B749" t="inlineStr">
        <is>
          <t>Marburg</t>
        </is>
      </c>
      <c r="C749" t="inlineStr">
        <is>
          <t>Francia</t>
        </is>
      </c>
      <c r="D749" t="inlineStr">
        <is>
          <t>Toulouse</t>
        </is>
      </c>
      <c r="E749" t="inlineStr">
        <is>
          <t>2026-02-20</t>
        </is>
      </c>
      <c r="F749" t="inlineStr">
        <is>
          <t>2026-02-27</t>
        </is>
      </c>
      <c r="G749" t="inlineStr">
        <is>
          <t xml:space="preserve"> - Beach Hostel</t>
        </is>
      </c>
      <c r="H749">
        <f>HYPERLINK("https://booking.roadsurfer.com/es/rally/pick?pickup_date=2026-02-20&amp;return_date=2026-02-27&amp;currency=EUR&amp;startStation=22&amp;endStation=30", "Clic para verlo en la web de RoadSurfer")</f>
        <v/>
      </c>
    </row>
    <row r="750">
      <c r="A750" t="inlineStr">
        <is>
          <t>Alemania</t>
        </is>
      </c>
      <c r="B750" t="inlineStr">
        <is>
          <t>Marburg</t>
        </is>
      </c>
      <c r="C750" t="inlineStr">
        <is>
          <t>Italia</t>
        </is>
      </c>
      <c r="D750" t="inlineStr">
        <is>
          <t>Roma Aeropuerto Fiumicino</t>
        </is>
      </c>
      <c r="E750" t="inlineStr">
        <is>
          <t>2026-03-05</t>
        </is>
      </c>
      <c r="F750" t="inlineStr">
        <is>
          <t>2026-03-12</t>
        </is>
      </c>
      <c r="G750" t="inlineStr">
        <is>
          <t xml:space="preserve"> - Beach Hostel</t>
        </is>
      </c>
      <c r="H750">
        <f>HYPERLINK("https://booking.roadsurfer.com/es/rally/pick?pickup_date=2026-03-05&amp;return_date=2026-03-12&amp;currency=EUR&amp;startStation=22&amp;endStation=35", "Clic para verlo en la web de RoadSurfer")</f>
        <v/>
      </c>
    </row>
    <row r="751">
      <c r="A751" t="inlineStr">
        <is>
          <t>Alemania</t>
        </is>
      </c>
      <c r="B751" t="inlineStr">
        <is>
          <t>Marburg</t>
        </is>
      </c>
      <c r="C751" t="inlineStr">
        <is>
          <t>España</t>
        </is>
      </c>
      <c r="D751" t="inlineStr">
        <is>
          <t>Sevilla</t>
        </is>
      </c>
      <c r="E751" t="inlineStr">
        <is>
          <t>2026-02-20</t>
        </is>
      </c>
      <c r="F751" t="inlineStr">
        <is>
          <t>2026-02-27</t>
        </is>
      </c>
      <c r="G751" t="inlineStr">
        <is>
          <t xml:space="preserve"> - Road House</t>
        </is>
      </c>
      <c r="H751">
        <f>HYPERLINK("https://booking.roadsurfer.com/es/rally/pick?pickup_date=2026-02-20&amp;return_date=2026-02-27&amp;currency=EUR&amp;startStation=22&amp;endStation=39", "Clic para verlo en la web de RoadSurfer")</f>
        <v/>
      </c>
    </row>
    <row r="752">
      <c r="A752" t="inlineStr">
        <is>
          <t>Alemania</t>
        </is>
      </c>
      <c r="B752" t="inlineStr">
        <is>
          <t>Marburg</t>
        </is>
      </c>
      <c r="C752" t="inlineStr">
        <is>
          <t>España</t>
        </is>
      </c>
      <c r="D752" t="inlineStr">
        <is>
          <t>Sevilla</t>
        </is>
      </c>
      <c r="E752" t="inlineStr">
        <is>
          <t>2026-03-09</t>
        </is>
      </c>
      <c r="F752" t="inlineStr">
        <is>
          <t>2026-03-16</t>
        </is>
      </c>
      <c r="G752" t="inlineStr">
        <is>
          <t xml:space="preserve"> - Beach Hostel</t>
        </is>
      </c>
      <c r="H752">
        <f>HYPERLINK("https://booking.roadsurfer.com/es/rally/pick?pickup_date=2026-03-09&amp;return_date=2026-03-16&amp;currency=EUR&amp;startStation=22&amp;endStation=39", "Clic para verlo en la web de RoadSurfer")</f>
        <v/>
      </c>
    </row>
    <row r="753">
      <c r="A753" t="inlineStr">
        <is>
          <t>Alemania</t>
        </is>
      </c>
      <c r="B753" t="inlineStr">
        <is>
          <t>Marburg</t>
        </is>
      </c>
      <c r="C753" t="inlineStr">
        <is>
          <t>Italia</t>
        </is>
      </c>
      <c r="D753" t="inlineStr">
        <is>
          <t>Milán</t>
        </is>
      </c>
      <c r="E753" t="inlineStr">
        <is>
          <t>2026-03-02</t>
        </is>
      </c>
      <c r="F753" t="inlineStr">
        <is>
          <t>2026-03-09</t>
        </is>
      </c>
      <c r="G753" t="inlineStr">
        <is>
          <t xml:space="preserve"> - Beach Hostel</t>
        </is>
      </c>
      <c r="H753">
        <f>HYPERLINK("https://booking.roadsurfer.com/es/rally/pick?pickup_date=2026-03-02&amp;return_date=2026-03-09&amp;currency=EUR&amp;startStation=22&amp;endStation=34", "Clic para verlo en la web de RoadSurfer")</f>
        <v/>
      </c>
    </row>
    <row r="754">
      <c r="A754" t="inlineStr">
        <is>
          <t>Alemania</t>
        </is>
      </c>
      <c r="B754" t="inlineStr">
        <is>
          <t>Marburg</t>
        </is>
      </c>
      <c r="C754" t="inlineStr">
        <is>
          <t>Italia</t>
        </is>
      </c>
      <c r="D754" t="inlineStr">
        <is>
          <t>Turín</t>
        </is>
      </c>
      <c r="E754" t="inlineStr">
        <is>
          <t>2026-03-06</t>
        </is>
      </c>
      <c r="F754" t="inlineStr">
        <is>
          <t>2026-03-13</t>
        </is>
      </c>
      <c r="G754" t="inlineStr">
        <is>
          <t xml:space="preserve"> - Family Finca</t>
        </is>
      </c>
      <c r="H754">
        <f>HYPERLINK("https://booking.roadsurfer.com/es/rally/pick?pickup_date=2026-03-06&amp;return_date=2026-03-13&amp;currency=EUR&amp;startStation=22&amp;endStation=58", "Clic para verlo en la web de RoadSurfer")</f>
        <v/>
      </c>
    </row>
    <row r="755">
      <c r="A755" t="inlineStr">
        <is>
          <t>Alemania</t>
        </is>
      </c>
      <c r="B755" t="inlineStr">
        <is>
          <t>Marburg</t>
        </is>
      </c>
      <c r="C755" t="inlineStr">
        <is>
          <t>Bélgica</t>
        </is>
      </c>
      <c r="D755" t="inlineStr">
        <is>
          <t>Amberes</t>
        </is>
      </c>
      <c r="E755" t="inlineStr">
        <is>
          <t>2026-02-20</t>
        </is>
      </c>
      <c r="F755" t="inlineStr">
        <is>
          <t>2026-02-27</t>
        </is>
      </c>
      <c r="G755" t="inlineStr">
        <is>
          <t xml:space="preserve"> - Sunrise Suite</t>
        </is>
      </c>
      <c r="H755">
        <f>HYPERLINK("https://booking.roadsurfer.com/es/rally/pick?pickup_date=2026-02-20&amp;return_date=2026-02-27&amp;currency=EUR&amp;startStation=22&amp;endStation=47", "Clic para verlo en la web de RoadSurfer")</f>
        <v/>
      </c>
    </row>
    <row r="756">
      <c r="A756" t="inlineStr">
        <is>
          <t>Italia</t>
        </is>
      </c>
      <c r="B756" t="inlineStr">
        <is>
          <t>Milán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2026-02-20</t>
        </is>
      </c>
      <c r="F756" t="inlineStr">
        <is>
          <t>2026-02-27</t>
        </is>
      </c>
      <c r="G756" t="inlineStr">
        <is>
          <t xml:space="preserve"> - Beach Hostel</t>
        </is>
      </c>
      <c r="H756">
        <f>HYPERLINK("https://booking.roadsurfer.com/es/rally/pick?pickup_date=2026-02-20&amp;return_date=2026-02-27&amp;currency=EUR&amp;startStation=34&amp;endStation=22", "Clic para verlo en la web de RoadSurfer")</f>
        <v/>
      </c>
    </row>
    <row r="757">
      <c r="A757" t="inlineStr">
        <is>
          <t>Italia</t>
        </is>
      </c>
      <c r="B757" t="inlineStr">
        <is>
          <t>Milán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2026-02-23</t>
        </is>
      </c>
      <c r="F757" t="inlineStr">
        <is>
          <t>2026-03-02</t>
        </is>
      </c>
      <c r="G757" t="inlineStr">
        <is>
          <t xml:space="preserve"> - Surfer Suite - Beach Hostel</t>
        </is>
      </c>
      <c r="H757">
        <f>HYPERLINK("https://booking.roadsurfer.com/es/rally/pick?pickup_date=2026-02-23&amp;return_date=2026-03-02&amp;currency=EUR&amp;startStation=34&amp;endStation=22", "Clic para verlo en la web de RoadSurfer")</f>
        <v/>
      </c>
    </row>
    <row r="758">
      <c r="A758" t="inlineStr">
        <is>
          <t>Italia</t>
        </is>
      </c>
      <c r="B758" t="inlineStr">
        <is>
          <t>Milán</t>
        </is>
      </c>
      <c r="C758" t="inlineStr">
        <is>
          <t>Alemania</t>
        </is>
      </c>
      <c r="D758" t="inlineStr">
        <is>
          <t>Marburg</t>
        </is>
      </c>
      <c r="E758" t="inlineStr">
        <is>
          <t>2026-02-23</t>
        </is>
      </c>
      <c r="F758" t="inlineStr">
        <is>
          <t>2026-03-05</t>
        </is>
      </c>
      <c r="G758" t="inlineStr">
        <is>
          <t xml:space="preserve"> - Beach Hostel</t>
        </is>
      </c>
      <c r="H758">
        <f>HYPERLINK("https://booking.roadsurfer.com/es/rally/pick?pickup_date=2026-02-23&amp;return_date=2026-03-05&amp;currency=EUR&amp;startStation=34&amp;endStation=22", "Clic para verlo en la web de RoadSurfer")</f>
        <v/>
      </c>
    </row>
    <row r="759">
      <c r="A759" t="inlineStr">
        <is>
          <t>Italia</t>
        </is>
      </c>
      <c r="B759" t="inlineStr">
        <is>
          <t>Milán</t>
        </is>
      </c>
      <c r="C759" t="inlineStr">
        <is>
          <t>Alemania</t>
        </is>
      </c>
      <c r="D759" t="inlineStr">
        <is>
          <t>Marburg</t>
        </is>
      </c>
      <c r="E759" t="inlineStr">
        <is>
          <t>2026-02-27</t>
        </is>
      </c>
      <c r="F759" t="inlineStr">
        <is>
          <t>2026-03-06</t>
        </is>
      </c>
      <c r="G759" t="inlineStr">
        <is>
          <t xml:space="preserve"> - Beach Hostel</t>
        </is>
      </c>
      <c r="H759">
        <f>HYPERLINK("https://booking.roadsurfer.com/es/rally/pick?pickup_date=2026-02-27&amp;return_date=2026-03-06&amp;currency=EUR&amp;startStation=34&amp;endStation=22", "Clic para verlo en la web de RoadSurfer")</f>
        <v/>
      </c>
    </row>
    <row r="760">
      <c r="A760" t="inlineStr">
        <is>
          <t>Italia</t>
        </is>
      </c>
      <c r="B760" t="inlineStr">
        <is>
          <t>Milán</t>
        </is>
      </c>
      <c r="C760" t="inlineStr">
        <is>
          <t>Alemania</t>
        </is>
      </c>
      <c r="D760" t="inlineStr">
        <is>
          <t>Marburg</t>
        </is>
      </c>
      <c r="E760" t="inlineStr">
        <is>
          <t>2026-03-19</t>
        </is>
      </c>
      <c r="F760" t="inlineStr">
        <is>
          <t>2026-03-26</t>
        </is>
      </c>
      <c r="G760" t="inlineStr">
        <is>
          <t xml:space="preserve"> - SURFER SUITE</t>
        </is>
      </c>
      <c r="H760">
        <f>HYPERLINK("https://booking.roadsurfer.com/es/rally/pick?pickup_date=2026-03-19&amp;return_date=2026-03-26&amp;currency=EUR&amp;startStation=34&amp;endStation=22", "Clic para verlo en la web de RoadSurfer")</f>
        <v/>
      </c>
    </row>
    <row r="761">
      <c r="A761" t="inlineStr">
        <is>
          <t>Italia</t>
        </is>
      </c>
      <c r="B761" t="inlineStr">
        <is>
          <t>Milán</t>
        </is>
      </c>
      <c r="C761" t="inlineStr">
        <is>
          <t>Alemania</t>
        </is>
      </c>
      <c r="D761" t="inlineStr">
        <is>
          <t>Marburg</t>
        </is>
      </c>
      <c r="E761" t="inlineStr">
        <is>
          <t>2026-03-16</t>
        </is>
      </c>
      <c r="F761" t="inlineStr">
        <is>
          <t>2026-03-23</t>
        </is>
      </c>
      <c r="G761" t="inlineStr">
        <is>
          <t xml:space="preserve"> - Family Finca</t>
        </is>
      </c>
      <c r="H761">
        <f>HYPERLINK("https://booking.roadsurfer.com/es/rally/pick?pickup_date=2026-03-16&amp;return_date=2026-03-23&amp;currency=EUR&amp;startStation=34&amp;endStation=22", "Clic para verlo en la web de RoadSurfer")</f>
        <v/>
      </c>
    </row>
    <row r="762">
      <c r="A762" t="inlineStr">
        <is>
          <t>Italia</t>
        </is>
      </c>
      <c r="B762" t="inlineStr">
        <is>
          <t>Milán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2026-03-17</t>
        </is>
      </c>
      <c r="F762" t="inlineStr">
        <is>
          <t>2026-03-24</t>
        </is>
      </c>
      <c r="G762" t="inlineStr">
        <is>
          <t xml:space="preserve"> - Family Finca</t>
        </is>
      </c>
      <c r="H762">
        <f>HYPERLINK("https://booking.roadsurfer.com/es/rally/pick?pickup_date=2026-03-17&amp;return_date=2026-03-24&amp;currency=EUR&amp;startStation=34&amp;endStation=22", "Clic para verlo en la web de RoadSurfer")</f>
        <v/>
      </c>
    </row>
    <row r="763">
      <c r="A763" t="inlineStr">
        <is>
          <t>Italia</t>
        </is>
      </c>
      <c r="B763" t="inlineStr">
        <is>
          <t>Milán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2026-03-09</t>
        </is>
      </c>
      <c r="F763" t="inlineStr">
        <is>
          <t>2026-03-16</t>
        </is>
      </c>
      <c r="G763" t="inlineStr">
        <is>
          <t xml:space="preserve"> - Beach Hostel</t>
        </is>
      </c>
      <c r="H763">
        <f>HYPERLINK("https://booking.roadsurfer.com/es/rally/pick?pickup_date=2026-03-09&amp;return_date=2026-03-16&amp;currency=EUR&amp;startStation=34&amp;endStation=22", "Clic para verlo en la web de RoadSurfer")</f>
        <v/>
      </c>
    </row>
    <row r="764">
      <c r="A764" t="inlineStr">
        <is>
          <t>Italia</t>
        </is>
      </c>
      <c r="B764" t="inlineStr">
        <is>
          <t>Milán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2026-03-10</t>
        </is>
      </c>
      <c r="F764" t="inlineStr">
        <is>
          <t>2026-03-17</t>
        </is>
      </c>
      <c r="G764" t="inlineStr">
        <is>
          <t xml:space="preserve"> - Surfer Suite</t>
        </is>
      </c>
      <c r="H764">
        <f>HYPERLINK("https://booking.roadsurfer.com/es/rally/pick?pickup_date=2026-03-10&amp;return_date=2026-03-17&amp;currency=EUR&amp;startStation=34&amp;endStation=22", "Clic para verlo en la web de RoadSurfer")</f>
        <v/>
      </c>
    </row>
    <row r="765">
      <c r="A765" t="inlineStr">
        <is>
          <t>Italia</t>
        </is>
      </c>
      <c r="B765" t="inlineStr">
        <is>
          <t>Milán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2026-03-15</t>
        </is>
      </c>
      <c r="F765" t="inlineStr">
        <is>
          <t>2026-03-22</t>
        </is>
      </c>
      <c r="G765" t="inlineStr">
        <is>
          <t xml:space="preserve"> - No hay coche</t>
        </is>
      </c>
      <c r="H765">
        <f>HYPERLINK("https://booking.roadsurfer.com/es/rally/pick?pickup_date=2026-03-15&amp;return_date=2026-03-22&amp;currency=EUR&amp;startStation=34&amp;endStation=22", "Clic para verlo en la web de RoadSurfer")</f>
        <v/>
      </c>
    </row>
    <row r="766">
      <c r="A766" t="inlineStr">
        <is>
          <t>Italia</t>
        </is>
      </c>
      <c r="B766" t="inlineStr">
        <is>
          <t>Milán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2026-02-24</t>
        </is>
      </c>
      <c r="F766" t="inlineStr">
        <is>
          <t>2026-03-03</t>
        </is>
      </c>
      <c r="G766" t="inlineStr">
        <is>
          <t xml:space="preserve"> - Beach Hostel</t>
        </is>
      </c>
      <c r="H766">
        <f>HYPERLINK("https://booking.roadsurfer.com/es/rally/pick?pickup_date=2026-02-24&amp;return_date=2026-03-03&amp;currency=EUR&amp;startStation=34&amp;endStation=22", "Clic para verlo en la web de RoadSurfer")</f>
        <v/>
      </c>
    </row>
    <row r="767">
      <c r="A767" t="inlineStr">
        <is>
          <t>Italia</t>
        </is>
      </c>
      <c r="B767" t="inlineStr">
        <is>
          <t>Milán</t>
        </is>
      </c>
      <c r="C767" t="inlineStr">
        <is>
          <t>Alemania</t>
        </is>
      </c>
      <c r="D767" t="inlineStr">
        <is>
          <t>Bielefeld</t>
        </is>
      </c>
      <c r="E767" t="inlineStr">
        <is>
          <t>2026-02-21</t>
        </is>
      </c>
      <c r="F767" t="inlineStr">
        <is>
          <t>2026-02-28</t>
        </is>
      </c>
      <c r="G767" t="inlineStr">
        <is>
          <t xml:space="preserve"> - Family Finca</t>
        </is>
      </c>
      <c r="H767">
        <f>HYPERLINK("https://booking.roadsurfer.com/es/rally/pick?pickup_date=2026-02-21&amp;return_date=2026-02-28&amp;currency=EUR&amp;startStation=34&amp;endStation=91", "Clic para verlo en la web de RoadSurfer")</f>
        <v/>
      </c>
    </row>
    <row r="768">
      <c r="A768" t="inlineStr">
        <is>
          <t>Italia</t>
        </is>
      </c>
      <c r="B768" t="inlineStr">
        <is>
          <t>Milán</t>
        </is>
      </c>
      <c r="C768" t="inlineStr">
        <is>
          <t>Alemania</t>
        </is>
      </c>
      <c r="D768" t="inlineStr">
        <is>
          <t>Bielefeld</t>
        </is>
      </c>
      <c r="E768" t="inlineStr">
        <is>
          <t>2026-03-11</t>
        </is>
      </c>
      <c r="F768" t="inlineStr">
        <is>
          <t>2026-03-18</t>
        </is>
      </c>
      <c r="G768" t="inlineStr">
        <is>
          <t xml:space="preserve"> - Family Finca</t>
        </is>
      </c>
      <c r="H768">
        <f>HYPERLINK("https://booking.roadsurfer.com/es/rally/pick?pickup_date=2026-03-11&amp;return_date=2026-03-18&amp;currency=EUR&amp;startStation=34&amp;endStation=91", "Clic para verlo en la web de RoadSurfer")</f>
        <v/>
      </c>
    </row>
    <row r="769">
      <c r="A769" t="inlineStr">
        <is>
          <t>Italia</t>
        </is>
      </c>
      <c r="B769" t="inlineStr">
        <is>
          <t>Milán</t>
        </is>
      </c>
      <c r="C769" t="inlineStr">
        <is>
          <t>Alemania</t>
        </is>
      </c>
      <c r="D769" t="inlineStr">
        <is>
          <t>Hamburgo</t>
        </is>
      </c>
      <c r="E769" t="inlineStr">
        <is>
          <t>2026-02-19</t>
        </is>
      </c>
      <c r="F769" t="inlineStr">
        <is>
          <t>2026-02-26</t>
        </is>
      </c>
      <c r="G769" t="inlineStr">
        <is>
          <t xml:space="preserve"> - Couple Cottage</t>
        </is>
      </c>
      <c r="H769">
        <f>HYPERLINK("https://booking.roadsurfer.com/es/rally/pick?pickup_date=2026-02-19&amp;return_date=2026-02-26&amp;currency=EUR&amp;startStation=34&amp;endStation=3", "Clic para verlo en la web de RoadSurfer")</f>
        <v/>
      </c>
    </row>
    <row r="770">
      <c r="A770" t="inlineStr">
        <is>
          <t>Italia</t>
        </is>
      </c>
      <c r="B770" t="inlineStr">
        <is>
          <t>Milán</t>
        </is>
      </c>
      <c r="C770" t="inlineStr">
        <is>
          <t>Alemania</t>
        </is>
      </c>
      <c r="D770" t="inlineStr">
        <is>
          <t>Hamburgo</t>
        </is>
      </c>
      <c r="E770" t="inlineStr">
        <is>
          <t>2026-03-14</t>
        </is>
      </c>
      <c r="F770" t="inlineStr">
        <is>
          <t>2026-03-21</t>
        </is>
      </c>
      <c r="G770" t="inlineStr">
        <is>
          <t xml:space="preserve"> - Road House</t>
        </is>
      </c>
      <c r="H770">
        <f>HYPERLINK("https://booking.roadsurfer.com/es/rally/pick?pickup_date=2026-03-14&amp;return_date=2026-03-21&amp;currency=EUR&amp;startStation=34&amp;endStation=3", "Clic para verlo en la web de RoadSurfer")</f>
        <v/>
      </c>
    </row>
    <row r="771">
      <c r="A771" t="inlineStr">
        <is>
          <t>Italia</t>
        </is>
      </c>
      <c r="B771" t="inlineStr">
        <is>
          <t>Milán</t>
        </is>
      </c>
      <c r="C771" t="inlineStr">
        <is>
          <t>Alemania</t>
        </is>
      </c>
      <c r="D771" t="inlineStr">
        <is>
          <t>Hamburgo</t>
        </is>
      </c>
      <c r="E771" t="inlineStr">
        <is>
          <t>2026-03-16</t>
        </is>
      </c>
      <c r="F771" t="inlineStr">
        <is>
          <t>2026-03-23</t>
        </is>
      </c>
      <c r="G771" t="inlineStr">
        <is>
          <t xml:space="preserve"> - Surfer Suite</t>
        </is>
      </c>
      <c r="H771">
        <f>HYPERLINK("https://booking.roadsurfer.com/es/rally/pick?pickup_date=2026-03-16&amp;return_date=2026-03-23&amp;currency=EUR&amp;startStation=34&amp;endStation=3", "Clic para verlo en la web de RoadSurfer")</f>
        <v/>
      </c>
    </row>
    <row r="772">
      <c r="A772" t="inlineStr">
        <is>
          <t>Italia</t>
        </is>
      </c>
      <c r="B772" t="inlineStr">
        <is>
          <t>Milán</t>
        </is>
      </c>
      <c r="C772" t="inlineStr">
        <is>
          <t>Alemania</t>
        </is>
      </c>
      <c r="D772" t="inlineStr">
        <is>
          <t>Colonia-Bonn</t>
        </is>
      </c>
      <c r="E772" t="inlineStr">
        <is>
          <t>2026-03-09</t>
        </is>
      </c>
      <c r="F772" t="inlineStr">
        <is>
          <t>2026-03-16</t>
        </is>
      </c>
      <c r="G772" t="inlineStr">
        <is>
          <t xml:space="preserve"> - Surfer Suite</t>
        </is>
      </c>
      <c r="H772">
        <f>HYPERLINK("https://booking.roadsurfer.com/es/rally/pick?pickup_date=2026-03-09&amp;return_date=2026-03-16&amp;currency=EUR&amp;startStation=34&amp;endStation=52", "Clic para verlo en la web de RoadSurfer")</f>
        <v/>
      </c>
    </row>
    <row r="773">
      <c r="A773" t="inlineStr">
        <is>
          <t>Italia</t>
        </is>
      </c>
      <c r="B773" t="inlineStr">
        <is>
          <t>Milán</t>
        </is>
      </c>
      <c r="C773" t="inlineStr">
        <is>
          <t>Alemania</t>
        </is>
      </c>
      <c r="D773" t="inlineStr">
        <is>
          <t>Colonia-Bonn</t>
        </is>
      </c>
      <c r="E773" t="inlineStr">
        <is>
          <t>2026-03-10</t>
        </is>
      </c>
      <c r="F773" t="inlineStr">
        <is>
          <t>2026-03-17</t>
        </is>
      </c>
      <c r="G773" t="inlineStr">
        <is>
          <t xml:space="preserve"> - Family Finca</t>
        </is>
      </c>
      <c r="H773">
        <f>HYPERLINK("https://booking.roadsurfer.com/es/rally/pick?pickup_date=2026-03-10&amp;return_date=2026-03-17&amp;currency=EUR&amp;startStation=34&amp;endStation=52", "Clic para verlo en la web de RoadSurfer")</f>
        <v/>
      </c>
    </row>
    <row r="774">
      <c r="A774" t="inlineStr">
        <is>
          <t>Italia</t>
        </is>
      </c>
      <c r="B774" t="inlineStr">
        <is>
          <t>Milán</t>
        </is>
      </c>
      <c r="C774" t="inlineStr">
        <is>
          <t>Alemania</t>
        </is>
      </c>
      <c r="D774" t="inlineStr">
        <is>
          <t>Colonia-Bonn</t>
        </is>
      </c>
      <c r="E774" t="inlineStr">
        <is>
          <t>2026-02-21</t>
        </is>
      </c>
      <c r="F774" t="inlineStr">
        <is>
          <t>2026-02-28</t>
        </is>
      </c>
      <c r="G774" t="inlineStr">
        <is>
          <t xml:space="preserve"> - Surfer Suite</t>
        </is>
      </c>
      <c r="H774">
        <f>HYPERLINK("https://booking.roadsurfer.com/es/rally/pick?pickup_date=2026-02-21&amp;return_date=2026-02-28&amp;currency=EUR&amp;startStation=34&amp;endStation=52", "Clic para verlo en la web de RoadSurfer")</f>
        <v/>
      </c>
    </row>
    <row r="775">
      <c r="A775" t="inlineStr">
        <is>
          <t>Italia</t>
        </is>
      </c>
      <c r="B775" t="inlineStr">
        <is>
          <t>Milán</t>
        </is>
      </c>
      <c r="C775" t="inlineStr">
        <is>
          <t>Alemania</t>
        </is>
      </c>
      <c r="D775" t="inlineStr">
        <is>
          <t>Múnich</t>
        </is>
      </c>
      <c r="E775" t="inlineStr">
        <is>
          <t>2026-03-16</t>
        </is>
      </c>
      <c r="F775" t="inlineStr">
        <is>
          <t>2026-03-23</t>
        </is>
      </c>
      <c r="G775" t="inlineStr">
        <is>
          <t xml:space="preserve"> - Surfer Suite</t>
        </is>
      </c>
      <c r="H775">
        <f>HYPERLINK("https://booking.roadsurfer.com/es/rally/pick?pickup_date=2026-03-16&amp;return_date=2026-03-23&amp;currency=EUR&amp;startStation=34&amp;endStation=1", "Clic para verlo en la web de RoadSurfer")</f>
        <v/>
      </c>
    </row>
    <row r="776">
      <c r="A776" t="inlineStr">
        <is>
          <t>Italia</t>
        </is>
      </c>
      <c r="B776" t="inlineStr">
        <is>
          <t>Milán</t>
        </is>
      </c>
      <c r="C776" t="inlineStr">
        <is>
          <t>Alemania</t>
        </is>
      </c>
      <c r="D776" t="inlineStr">
        <is>
          <t>Múnich</t>
        </is>
      </c>
      <c r="E776" t="inlineStr">
        <is>
          <t>2026-03-17</t>
        </is>
      </c>
      <c r="F776" t="inlineStr">
        <is>
          <t>2026-03-24</t>
        </is>
      </c>
      <c r="G776" t="inlineStr">
        <is>
          <t xml:space="preserve"> - Family Finca</t>
        </is>
      </c>
      <c r="H776">
        <f>HYPERLINK("https://booking.roadsurfer.com/es/rally/pick?pickup_date=2026-03-17&amp;return_date=2026-03-24&amp;currency=EUR&amp;startStation=34&amp;endStation=1", "Clic para verlo en la web de RoadSurfer")</f>
        <v/>
      </c>
    </row>
    <row r="777">
      <c r="A777" t="inlineStr">
        <is>
          <t>Italia</t>
        </is>
      </c>
      <c r="B777" t="inlineStr">
        <is>
          <t>Milán</t>
        </is>
      </c>
      <c r="C777" t="inlineStr">
        <is>
          <t>Alemania</t>
        </is>
      </c>
      <c r="D777" t="inlineStr">
        <is>
          <t>Fráncfort</t>
        </is>
      </c>
      <c r="E777" t="inlineStr">
        <is>
          <t>2026-03-18</t>
        </is>
      </c>
      <c r="F777" t="inlineStr">
        <is>
          <t>2026-03-25</t>
        </is>
      </c>
      <c r="G777" t="inlineStr">
        <is>
          <t xml:space="preserve"> - CAMPER CASTLE</t>
        </is>
      </c>
      <c r="H777">
        <f>HYPERLINK("https://booking.roadsurfer.com/es/rally/pick?pickup_date=2026-03-18&amp;return_date=2026-03-25&amp;currency=EUR&amp;startStation=34&amp;endStation=2", "Clic para verlo en la web de RoadSurfer")</f>
        <v/>
      </c>
    </row>
    <row r="778">
      <c r="A778" t="inlineStr">
        <is>
          <t>Italia</t>
        </is>
      </c>
      <c r="B778" t="inlineStr">
        <is>
          <t>Milán</t>
        </is>
      </c>
      <c r="C778" t="inlineStr">
        <is>
          <t>Alemania</t>
        </is>
      </c>
      <c r="D778" t="inlineStr">
        <is>
          <t>Fráncfort</t>
        </is>
      </c>
      <c r="E778" t="inlineStr">
        <is>
          <t>2026-03-13</t>
        </is>
      </c>
      <c r="F778" t="inlineStr">
        <is>
          <t>2026-03-20</t>
        </is>
      </c>
      <c r="G778" t="inlineStr">
        <is>
          <t xml:space="preserve"> - Surfer Suite</t>
        </is>
      </c>
      <c r="H778">
        <f>HYPERLINK("https://booking.roadsurfer.com/es/rally/pick?pickup_date=2026-03-13&amp;return_date=2026-03-20&amp;currency=EUR&amp;startStation=34&amp;endStation=2", "Clic para verlo en la web de RoadSurfer")</f>
        <v/>
      </c>
    </row>
    <row r="779">
      <c r="A779" t="inlineStr">
        <is>
          <t>Italia</t>
        </is>
      </c>
      <c r="B779" t="inlineStr">
        <is>
          <t>Milán</t>
        </is>
      </c>
      <c r="C779" t="inlineStr">
        <is>
          <t>Alemania</t>
        </is>
      </c>
      <c r="D779" t="inlineStr">
        <is>
          <t>Duisburgo</t>
        </is>
      </c>
      <c r="E779" t="inlineStr">
        <is>
          <t>2026-03-14</t>
        </is>
      </c>
      <c r="F779" t="inlineStr">
        <is>
          <t>2026-03-21</t>
        </is>
      </c>
      <c r="G779" t="inlineStr">
        <is>
          <t xml:space="preserve"> - Surfer Suite</t>
        </is>
      </c>
      <c r="H779">
        <f>HYPERLINK("https://booking.roadsurfer.com/es/rally/pick?pickup_date=2026-03-14&amp;return_date=2026-03-21&amp;currency=EUR&amp;startStation=34&amp;endStation=113", "Clic para verlo en la web de RoadSurfer")</f>
        <v/>
      </c>
    </row>
    <row r="780">
      <c r="A780" t="inlineStr">
        <is>
          <t>Italia</t>
        </is>
      </c>
      <c r="B780" t="inlineStr">
        <is>
          <t>Milán</t>
        </is>
      </c>
      <c r="C780" t="inlineStr">
        <is>
          <t>Alemania</t>
        </is>
      </c>
      <c r="D780" t="inlineStr">
        <is>
          <t>Duisburgo</t>
        </is>
      </c>
      <c r="E780" t="inlineStr">
        <is>
          <t>2026-03-12</t>
        </is>
      </c>
      <c r="F780" t="inlineStr">
        <is>
          <t>2026-03-19</t>
        </is>
      </c>
      <c r="G780" t="inlineStr">
        <is>
          <t xml:space="preserve"> - Family Finca</t>
        </is>
      </c>
      <c r="H780">
        <f>HYPERLINK("https://booking.roadsurfer.com/es/rally/pick?pickup_date=2026-03-12&amp;return_date=2026-03-19&amp;currency=EUR&amp;startStation=34&amp;endStation=113", "Clic para verlo en la web de RoadSurfer")</f>
        <v/>
      </c>
    </row>
    <row r="781">
      <c r="A781" t="inlineStr">
        <is>
          <t>Italia</t>
        </is>
      </c>
      <c r="B781" t="inlineStr">
        <is>
          <t>Milán</t>
        </is>
      </c>
      <c r="C781" t="inlineStr">
        <is>
          <t>Alemania</t>
        </is>
      </c>
      <c r="D781" t="inlineStr">
        <is>
          <t>Berlín</t>
        </is>
      </c>
      <c r="E781" t="inlineStr">
        <is>
          <t>2026-02-17</t>
        </is>
      </c>
      <c r="F781" t="inlineStr">
        <is>
          <t>2026-02-24</t>
        </is>
      </c>
      <c r="G781" t="inlineStr">
        <is>
          <t xml:space="preserve"> - Beach Hostel</t>
        </is>
      </c>
      <c r="H781">
        <f>HYPERLINK("https://booking.roadsurfer.com/es/rally/pick?pickup_date=2026-02-17&amp;return_date=2026-02-24&amp;currency=EUR&amp;startStation=34&amp;endStation=6", "Clic para verlo en la web de RoadSurfer")</f>
        <v/>
      </c>
    </row>
    <row r="782">
      <c r="A782" t="inlineStr">
        <is>
          <t>Italia</t>
        </is>
      </c>
      <c r="B782" t="inlineStr">
        <is>
          <t>Milán</t>
        </is>
      </c>
      <c r="C782" t="inlineStr">
        <is>
          <t>Alemania</t>
        </is>
      </c>
      <c r="D782" t="inlineStr">
        <is>
          <t>Karlsruhe</t>
        </is>
      </c>
      <c r="E782" t="inlineStr">
        <is>
          <t>2026-03-02</t>
        </is>
      </c>
      <c r="F782" t="inlineStr">
        <is>
          <t>2026-03-09</t>
        </is>
      </c>
      <c r="G782" t="inlineStr">
        <is>
          <t xml:space="preserve"> - COUPLE COTTAGE</t>
        </is>
      </c>
      <c r="H782">
        <f>HYPERLINK("https://booking.roadsurfer.com/es/rally/pick?pickup_date=2026-03-02&amp;return_date=2026-03-09&amp;currency=EUR&amp;startStation=34&amp;endStation=110", "Clic para verlo en la web de RoadSurfer")</f>
        <v/>
      </c>
    </row>
    <row r="783">
      <c r="A783" t="inlineStr">
        <is>
          <t>Italia</t>
        </is>
      </c>
      <c r="B783" t="inlineStr">
        <is>
          <t>Milán</t>
        </is>
      </c>
      <c r="C783" t="inlineStr">
        <is>
          <t>Alemania</t>
        </is>
      </c>
      <c r="D783" t="inlineStr">
        <is>
          <t>Karlsruhe</t>
        </is>
      </c>
      <c r="E783" t="inlineStr">
        <is>
          <t>2026-02-26</t>
        </is>
      </c>
      <c r="F783" t="inlineStr">
        <is>
          <t>2026-03-05</t>
        </is>
      </c>
      <c r="G783" t="inlineStr">
        <is>
          <t xml:space="preserve"> - No hay coche</t>
        </is>
      </c>
      <c r="H783">
        <f>HYPERLINK("https://booking.roadsurfer.com/es/rally/pick?pickup_date=2026-02-26&amp;return_date=2026-03-05&amp;currency=EUR&amp;startStation=34&amp;endStation=110",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Italia</t>
        </is>
      </c>
      <c r="D784" t="inlineStr">
        <is>
          <t>Bolonia</t>
        </is>
      </c>
      <c r="E784" t="inlineStr">
        <is>
          <t>2026-03-20</t>
        </is>
      </c>
      <c r="F784" t="inlineStr">
        <is>
          <t>2026-03-27</t>
        </is>
      </c>
      <c r="G784" t="inlineStr">
        <is>
          <t xml:space="preserve"> - Beach Hostel - Family Finca</t>
        </is>
      </c>
      <c r="H784">
        <f>HYPERLINK("https://booking.roadsurfer.com/es/rally/pick?pickup_date=2026-03-20&amp;return_date=2026-03-27&amp;currency=EUR&amp;startStation=1&amp;endStation=57", "Clic para verlo en la web de RoadSurfer")</f>
        <v/>
      </c>
    </row>
    <row r="785">
      <c r="A785" t="inlineStr">
        <is>
          <t>Alemania</t>
        </is>
      </c>
      <c r="B785" t="inlineStr">
        <is>
          <t>Múnich</t>
        </is>
      </c>
      <c r="C785" t="inlineStr">
        <is>
          <t>Italia</t>
        </is>
      </c>
      <c r="D785" t="inlineStr">
        <is>
          <t>Bolonia</t>
        </is>
      </c>
      <c r="E785" t="inlineStr">
        <is>
          <t>2026-03-03</t>
        </is>
      </c>
      <c r="F785" t="inlineStr">
        <is>
          <t>2026-03-10</t>
        </is>
      </c>
      <c r="G785" t="inlineStr">
        <is>
          <t xml:space="preserve"> - Surfer Suite</t>
        </is>
      </c>
      <c r="H785">
        <f>HYPERLINK("https://booking.roadsurfer.com/es/rally/pick?pickup_date=2026-03-03&amp;return_date=2026-03-10&amp;currency=EUR&amp;startStation=1&amp;endStation=57", "Clic para verlo en la web de RoadSurfer")</f>
        <v/>
      </c>
    </row>
    <row r="786">
      <c r="A786" t="inlineStr">
        <is>
          <t>Alemania</t>
        </is>
      </c>
      <c r="B786" t="inlineStr">
        <is>
          <t>Múnich</t>
        </is>
      </c>
      <c r="C786" t="inlineStr">
        <is>
          <t>Italia</t>
        </is>
      </c>
      <c r="D786" t="inlineStr">
        <is>
          <t>Bolonia</t>
        </is>
      </c>
      <c r="E786" t="inlineStr">
        <is>
          <t>2026-03-11</t>
        </is>
      </c>
      <c r="F786" t="inlineStr">
        <is>
          <t>2026-03-18</t>
        </is>
      </c>
      <c r="G786" t="inlineStr">
        <is>
          <t xml:space="preserve"> - Beach Hostel</t>
        </is>
      </c>
      <c r="H786">
        <f>HYPERLINK("https://booking.roadsurfer.com/es/rally/pick?pickup_date=2026-03-11&amp;return_date=2026-03-18&amp;currency=EUR&amp;startStation=1&amp;endStation=57", "Clic para verlo en la web de RoadSurfer")</f>
        <v/>
      </c>
    </row>
    <row r="787">
      <c r="A787" t="inlineStr">
        <is>
          <t>Alemania</t>
        </is>
      </c>
      <c r="B787" t="inlineStr">
        <is>
          <t>Múnich</t>
        </is>
      </c>
      <c r="C787" t="inlineStr">
        <is>
          <t>Italia</t>
        </is>
      </c>
      <c r="D787" t="inlineStr">
        <is>
          <t>Bolonia</t>
        </is>
      </c>
      <c r="E787" t="inlineStr">
        <is>
          <t>2026-03-06</t>
        </is>
      </c>
      <c r="F787" t="inlineStr">
        <is>
          <t>2026-03-13</t>
        </is>
      </c>
      <c r="G787" t="inlineStr">
        <is>
          <t xml:space="preserve"> - Beach Hostel</t>
        </is>
      </c>
      <c r="H787">
        <f>HYPERLINK("https://booking.roadsurfer.com/es/rally/pick?pickup_date=2026-03-06&amp;return_date=2026-03-13&amp;currency=EUR&amp;startStation=1&amp;endStation=57", "Clic para verlo en la web de RoadSurfer")</f>
        <v/>
      </c>
    </row>
    <row r="788">
      <c r="A788" t="inlineStr">
        <is>
          <t>Alemania</t>
        </is>
      </c>
      <c r="B788" t="inlineStr">
        <is>
          <t>Múnich</t>
        </is>
      </c>
      <c r="C788" t="inlineStr">
        <is>
          <t>Italia</t>
        </is>
      </c>
      <c r="D788" t="inlineStr">
        <is>
          <t>Bolonia</t>
        </is>
      </c>
      <c r="E788" t="inlineStr">
        <is>
          <t>2026-03-19</t>
        </is>
      </c>
      <c r="F788" t="inlineStr">
        <is>
          <t>2026-03-26</t>
        </is>
      </c>
      <c r="G788" t="inlineStr">
        <is>
          <t xml:space="preserve"> - Camper Castle</t>
        </is>
      </c>
      <c r="H788">
        <f>HYPERLINK("https://booking.roadsurfer.com/es/rally/pick?pickup_date=2026-03-19&amp;return_date=2026-03-26&amp;currency=EUR&amp;startStation=1&amp;endStation=57", "Clic para verlo en la web de RoadSurfer")</f>
        <v/>
      </c>
    </row>
    <row r="789">
      <c r="A789" t="inlineStr">
        <is>
          <t>Alemania</t>
        </is>
      </c>
      <c r="B789" t="inlineStr">
        <is>
          <t>Múnich</t>
        </is>
      </c>
      <c r="C789" t="inlineStr">
        <is>
          <t>Italia</t>
        </is>
      </c>
      <c r="D789" t="inlineStr">
        <is>
          <t>Bolonia</t>
        </is>
      </c>
      <c r="E789" t="inlineStr">
        <is>
          <t>2026-03-16</t>
        </is>
      </c>
      <c r="F789" t="inlineStr">
        <is>
          <t>2026-03-23</t>
        </is>
      </c>
      <c r="G789" t="inlineStr">
        <is>
          <t xml:space="preserve"> - Family Finca - FAMILY FINCA</t>
        </is>
      </c>
      <c r="H789">
        <f>HYPERLINK("https://booking.roadsurfer.com/es/rally/pick?pickup_date=2026-03-16&amp;return_date=2026-03-23&amp;currency=EUR&amp;startStation=1&amp;endStation=57", "Clic para verlo en la web de RoadSurfer")</f>
        <v/>
      </c>
    </row>
    <row r="790">
      <c r="A790" t="inlineStr">
        <is>
          <t>Alemania</t>
        </is>
      </c>
      <c r="B790" t="inlineStr">
        <is>
          <t>Múnich</t>
        </is>
      </c>
      <c r="C790" t="inlineStr">
        <is>
          <t>Italia</t>
        </is>
      </c>
      <c r="D790" t="inlineStr">
        <is>
          <t>Florencia</t>
        </is>
      </c>
      <c r="E790" t="inlineStr">
        <is>
          <t>2026-03-02</t>
        </is>
      </c>
      <c r="F790" t="inlineStr">
        <is>
          <t>2026-03-09</t>
        </is>
      </c>
      <c r="G790" t="inlineStr">
        <is>
          <t xml:space="preserve"> - Surfer Suite</t>
        </is>
      </c>
      <c r="H790">
        <f>HYPERLINK("https://booking.roadsurfer.com/es/rally/pick?pickup_date=2026-03-02&amp;return_date=2026-03-09&amp;currency=EUR&amp;startStation=1&amp;endStation=80", "Clic para verlo en la web de RoadSurfer")</f>
        <v/>
      </c>
    </row>
    <row r="791">
      <c r="A791" t="inlineStr">
        <is>
          <t>Alemania</t>
        </is>
      </c>
      <c r="B791" t="inlineStr">
        <is>
          <t>Múnich</t>
        </is>
      </c>
      <c r="C791" t="inlineStr">
        <is>
          <t>Italia</t>
        </is>
      </c>
      <c r="D791" t="inlineStr">
        <is>
          <t>Florencia</t>
        </is>
      </c>
      <c r="E791" t="inlineStr">
        <is>
          <t>2026-03-13</t>
        </is>
      </c>
      <c r="F791" t="inlineStr">
        <is>
          <t>2026-03-20</t>
        </is>
      </c>
      <c r="G791" t="inlineStr">
        <is>
          <t xml:space="preserve"> - Surfer Suite</t>
        </is>
      </c>
      <c r="H791">
        <f>HYPERLINK("https://booking.roadsurfer.com/es/rally/pick?pickup_date=2026-03-13&amp;return_date=2026-03-20&amp;currency=EUR&amp;startStation=1&amp;endStation=80", "Clic para verlo en la web de RoadSurfer")</f>
        <v/>
      </c>
    </row>
    <row r="792">
      <c r="A792" t="inlineStr">
        <is>
          <t>Alemania</t>
        </is>
      </c>
      <c r="B792" t="inlineStr">
        <is>
          <t>Múnich</t>
        </is>
      </c>
      <c r="C792" t="inlineStr">
        <is>
          <t>Italia</t>
        </is>
      </c>
      <c r="D792" t="inlineStr">
        <is>
          <t>Florencia</t>
        </is>
      </c>
      <c r="E792" t="inlineStr">
        <is>
          <t>2026-04-02</t>
        </is>
      </c>
      <c r="F792" t="inlineStr">
        <is>
          <t>2026-04-09</t>
        </is>
      </c>
      <c r="G792" t="inlineStr">
        <is>
          <t xml:space="preserve"> - Surfer Suite</t>
        </is>
      </c>
      <c r="H792">
        <f>HYPERLINK("https://booking.roadsurfer.com/es/rally/pick?pickup_date=2026-04-02&amp;return_date=2026-04-09&amp;currency=EUR&amp;startStation=1&amp;endStation=80", "Clic para verlo en la web de RoadSurfer")</f>
        <v/>
      </c>
    </row>
    <row r="793">
      <c r="A793" t="inlineStr">
        <is>
          <t>Alemania</t>
        </is>
      </c>
      <c r="B793" t="inlineStr">
        <is>
          <t>Múnich</t>
        </is>
      </c>
      <c r="C793" t="inlineStr">
        <is>
          <t>Países Bajos</t>
        </is>
      </c>
      <c r="D793" t="inlineStr">
        <is>
          <t>Ámsterdam</t>
        </is>
      </c>
      <c r="E793" t="inlineStr">
        <is>
          <t>2026-03-12</t>
        </is>
      </c>
      <c r="F793" t="inlineStr">
        <is>
          <t>2026-03-19</t>
        </is>
      </c>
      <c r="G793" t="inlineStr">
        <is>
          <t xml:space="preserve"> - Surfer Suite</t>
        </is>
      </c>
      <c r="H793">
        <f>HYPERLINK("https://booking.roadsurfer.com/es/rally/pick?pickup_date=2026-03-12&amp;return_date=2026-03-19&amp;currency=EUR&amp;startStation=1&amp;endStation=32", "Clic para verlo en la web de RoadSurfer")</f>
        <v/>
      </c>
    </row>
    <row r="794">
      <c r="A794" t="inlineStr">
        <is>
          <t>Alemania</t>
        </is>
      </c>
      <c r="B794" t="inlineStr">
        <is>
          <t>Múnich</t>
        </is>
      </c>
      <c r="C794" t="inlineStr">
        <is>
          <t>Países Bajos</t>
        </is>
      </c>
      <c r="D794" t="inlineStr">
        <is>
          <t>Ámsterdam</t>
        </is>
      </c>
      <c r="E794" t="inlineStr">
        <is>
          <t>2026-03-14</t>
        </is>
      </c>
      <c r="F794" t="inlineStr">
        <is>
          <t>2026-03-21</t>
        </is>
      </c>
      <c r="G794" t="inlineStr">
        <is>
          <t xml:space="preserve"> - Surfer Suite</t>
        </is>
      </c>
      <c r="H794">
        <f>HYPERLINK("https://booking.roadsurfer.com/es/rally/pick?pickup_date=2026-03-14&amp;return_date=2026-03-21&amp;currency=EUR&amp;startStation=1&amp;endStation=32",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Países Bajos</t>
        </is>
      </c>
      <c r="D795" t="inlineStr">
        <is>
          <t>Ámsterdam</t>
        </is>
      </c>
      <c r="E795" t="inlineStr">
        <is>
          <t>2026-03-16</t>
        </is>
      </c>
      <c r="F795" t="inlineStr">
        <is>
          <t>2026-03-23</t>
        </is>
      </c>
      <c r="G795" t="inlineStr">
        <is>
          <t xml:space="preserve"> - Road House</t>
        </is>
      </c>
      <c r="H795">
        <f>HYPERLINK("https://booking.roadsurfer.com/es/rally/pick?pickup_date=2026-03-16&amp;return_date=2026-03-23&amp;currency=EUR&amp;startStation=1&amp;endStation=32", "Clic para verlo en la web de RoadSurfer")</f>
        <v/>
      </c>
    </row>
    <row r="796">
      <c r="A796" t="inlineStr">
        <is>
          <t>Alemania</t>
        </is>
      </c>
      <c r="B796" t="inlineStr">
        <is>
          <t>Múnich</t>
        </is>
      </c>
      <c r="C796" t="inlineStr">
        <is>
          <t>Países Bajos</t>
        </is>
      </c>
      <c r="D796" t="inlineStr">
        <is>
          <t>Ámsterdam</t>
        </is>
      </c>
      <c r="E796" t="inlineStr">
        <is>
          <t>2026-03-17</t>
        </is>
      </c>
      <c r="F796" t="inlineStr">
        <is>
          <t>2026-03-24</t>
        </is>
      </c>
      <c r="G796" t="inlineStr">
        <is>
          <t xml:space="preserve"> - Camper Cabin</t>
        </is>
      </c>
      <c r="H796">
        <f>HYPERLINK("https://booking.roadsurfer.com/es/rally/pick?pickup_date=2026-03-17&amp;return_date=2026-03-24&amp;currency=EUR&amp;startStation=1&amp;endStation=32", "Clic para verlo en la web de RoadSurfer")</f>
        <v/>
      </c>
    </row>
    <row r="797">
      <c r="A797" t="inlineStr">
        <is>
          <t>Alemania</t>
        </is>
      </c>
      <c r="B797" t="inlineStr">
        <is>
          <t>Múnich</t>
        </is>
      </c>
      <c r="C797" t="inlineStr">
        <is>
          <t>Países Bajos</t>
        </is>
      </c>
      <c r="D797" t="inlineStr">
        <is>
          <t>Ámsterdam</t>
        </is>
      </c>
      <c r="E797" t="inlineStr">
        <is>
          <t>2026-03-19</t>
        </is>
      </c>
      <c r="F797" t="inlineStr">
        <is>
          <t>2026-03-26</t>
        </is>
      </c>
      <c r="G797" t="inlineStr">
        <is>
          <t xml:space="preserve"> - Camper Castle</t>
        </is>
      </c>
      <c r="H797">
        <f>HYPERLINK("https://booking.roadsurfer.com/es/rally/pick?pickup_date=2026-03-19&amp;return_date=2026-03-26&amp;currency=EUR&amp;startStation=1&amp;endStation=32", "Clic para verlo en la web de RoadSurfer")</f>
        <v/>
      </c>
    </row>
    <row r="798">
      <c r="A798" t="inlineStr">
        <is>
          <t>Alemania</t>
        </is>
      </c>
      <c r="B798" t="inlineStr">
        <is>
          <t>Múnich</t>
        </is>
      </c>
      <c r="C798" t="inlineStr">
        <is>
          <t>Países Bajos</t>
        </is>
      </c>
      <c r="D798" t="inlineStr">
        <is>
          <t>Ámsterdam</t>
        </is>
      </c>
      <c r="E798" t="inlineStr">
        <is>
          <t>2026-03-26</t>
        </is>
      </c>
      <c r="F798" t="inlineStr">
        <is>
          <t>2026-04-02</t>
        </is>
      </c>
      <c r="G798" t="inlineStr">
        <is>
          <t xml:space="preserve"> - Surfer Suite</t>
        </is>
      </c>
      <c r="H798">
        <f>HYPERLINK("https://booking.roadsurfer.com/es/rally/pick?pickup_date=2026-03-26&amp;return_date=2026-04-02&amp;currency=EUR&amp;startStation=1&amp;endStation=32", "Clic para verlo en la web de RoadSurfer")</f>
        <v/>
      </c>
    </row>
    <row r="799">
      <c r="A799" t="inlineStr">
        <is>
          <t>Alemania</t>
        </is>
      </c>
      <c r="B799" t="inlineStr">
        <is>
          <t>Múnich</t>
        </is>
      </c>
      <c r="C799" t="inlineStr">
        <is>
          <t>Países Bajos</t>
        </is>
      </c>
      <c r="D799" t="inlineStr">
        <is>
          <t>Róterdam</t>
        </is>
      </c>
      <c r="E799" t="inlineStr">
        <is>
          <t>2026-03-06</t>
        </is>
      </c>
      <c r="F799" t="inlineStr">
        <is>
          <t>2026-03-13</t>
        </is>
      </c>
      <c r="G799" t="inlineStr">
        <is>
          <t xml:space="preserve"> - Surfer Suite</t>
        </is>
      </c>
      <c r="H799">
        <f>HYPERLINK("https://booking.roadsurfer.com/es/rally/pick?pickup_date=2026-03-06&amp;return_date=2026-03-13&amp;currency=EUR&amp;startStation=1&amp;endStation=33", "Clic para verlo en la web de RoadSurfer")</f>
        <v/>
      </c>
    </row>
    <row r="800">
      <c r="A800" t="inlineStr">
        <is>
          <t>Alemania</t>
        </is>
      </c>
      <c r="B800" t="inlineStr">
        <is>
          <t>Múnich</t>
        </is>
      </c>
      <c r="C800" t="inlineStr">
        <is>
          <t>Países Bajos</t>
        </is>
      </c>
      <c r="D800" t="inlineStr">
        <is>
          <t>Róterdam</t>
        </is>
      </c>
      <c r="E800" t="inlineStr">
        <is>
          <t>2026-03-23</t>
        </is>
      </c>
      <c r="F800" t="inlineStr">
        <is>
          <t>2026-03-30</t>
        </is>
      </c>
      <c r="G800" t="inlineStr">
        <is>
          <t xml:space="preserve"> - SURFER SUITE</t>
        </is>
      </c>
      <c r="H800">
        <f>HYPERLINK("https://booking.roadsurfer.com/es/rally/pick?pickup_date=2026-03-23&amp;return_date=2026-03-30&amp;currency=EUR&amp;startStation=1&amp;endStation=33", "Clic para verlo en la web de RoadSurfer")</f>
        <v/>
      </c>
    </row>
    <row r="801">
      <c r="A801" t="inlineStr">
        <is>
          <t>Alemania</t>
        </is>
      </c>
      <c r="B801" t="inlineStr">
        <is>
          <t>Múnich</t>
        </is>
      </c>
      <c r="C801" t="inlineStr">
        <is>
          <t>Francia</t>
        </is>
      </c>
      <c r="D801" t="inlineStr">
        <is>
          <t>Aix-Marsella</t>
        </is>
      </c>
      <c r="E801" t="inlineStr">
        <is>
          <t>2026-03-04</t>
        </is>
      </c>
      <c r="F801" t="inlineStr">
        <is>
          <t>2026-03-11</t>
        </is>
      </c>
      <c r="G801" t="inlineStr">
        <is>
          <t xml:space="preserve"> - Surfer Suite</t>
        </is>
      </c>
      <c r="H801">
        <f>HYPERLINK("https://booking.roadsurfer.com/es/rally/pick?pickup_date=2026-03-04&amp;return_date=2026-03-11&amp;currency=EUR&amp;startStation=1&amp;endStation=16", "Clic para verlo en la web de RoadSurfer")</f>
        <v/>
      </c>
    </row>
    <row r="802">
      <c r="A802" t="inlineStr">
        <is>
          <t>Alemania</t>
        </is>
      </c>
      <c r="B802" t="inlineStr">
        <is>
          <t>Múnich</t>
        </is>
      </c>
      <c r="C802" t="inlineStr">
        <is>
          <t>Francia</t>
        </is>
      </c>
      <c r="D802" t="inlineStr">
        <is>
          <t>Aix-Marsella</t>
        </is>
      </c>
      <c r="E802" t="inlineStr">
        <is>
          <t>2026-03-25</t>
        </is>
      </c>
      <c r="F802" t="inlineStr">
        <is>
          <t>2026-04-01</t>
        </is>
      </c>
      <c r="G802" t="inlineStr">
        <is>
          <t xml:space="preserve"> - Camper Castle</t>
        </is>
      </c>
      <c r="H802">
        <f>HYPERLINK("https://booking.roadsurfer.com/es/rally/pick?pickup_date=2026-03-25&amp;return_date=2026-04-01&amp;currency=EUR&amp;startStation=1&amp;endStation=16", "Clic para verlo en la web de RoadSurfer")</f>
        <v/>
      </c>
    </row>
    <row r="803">
      <c r="A803" t="inlineStr">
        <is>
          <t>Alemania</t>
        </is>
      </c>
      <c r="B803" t="inlineStr">
        <is>
          <t>Múnich</t>
        </is>
      </c>
      <c r="C803" t="inlineStr">
        <is>
          <t>Austria</t>
        </is>
      </c>
      <c r="D803" t="inlineStr">
        <is>
          <t>Viena</t>
        </is>
      </c>
      <c r="E803" t="inlineStr">
        <is>
          <t>2026-03-07</t>
        </is>
      </c>
      <c r="F803" t="inlineStr">
        <is>
          <t>2026-03-14</t>
        </is>
      </c>
      <c r="G803" t="inlineStr">
        <is>
          <t xml:space="preserve"> - Surfer Suite</t>
        </is>
      </c>
      <c r="H803">
        <f>HYPERLINK("https://booking.roadsurfer.com/es/rally/pick?pickup_date=2026-03-07&amp;return_date=2026-03-14&amp;currency=EUR&amp;startStation=1&amp;endStation=36", "Clic para verlo en la web de RoadSurfer")</f>
        <v/>
      </c>
    </row>
    <row r="804">
      <c r="A804" t="inlineStr">
        <is>
          <t>Alemania</t>
        </is>
      </c>
      <c r="B804" t="inlineStr">
        <is>
          <t>Múnich</t>
        </is>
      </c>
      <c r="C804" t="inlineStr">
        <is>
          <t>Austria</t>
        </is>
      </c>
      <c r="D804" t="inlineStr">
        <is>
          <t>Viena</t>
        </is>
      </c>
      <c r="E804" t="inlineStr">
        <is>
          <t>2026-03-21</t>
        </is>
      </c>
      <c r="F804" t="inlineStr">
        <is>
          <t>2026-03-28</t>
        </is>
      </c>
      <c r="G804" t="inlineStr">
        <is>
          <t xml:space="preserve"> - Surfer Suite</t>
        </is>
      </c>
      <c r="H804">
        <f>HYPERLINK("https://booking.roadsurfer.com/es/rally/pick?pickup_date=2026-03-21&amp;return_date=2026-03-28&amp;currency=EUR&amp;startStation=1&amp;endStation=36", "Clic para verlo en la web de RoadSurfer")</f>
        <v/>
      </c>
    </row>
    <row r="805">
      <c r="A805" t="inlineStr">
        <is>
          <t>Alemania</t>
        </is>
      </c>
      <c r="B805" t="inlineStr">
        <is>
          <t>Múnich</t>
        </is>
      </c>
      <c r="C805" t="inlineStr">
        <is>
          <t>Austria</t>
        </is>
      </c>
      <c r="D805" t="inlineStr">
        <is>
          <t>Viena</t>
        </is>
      </c>
      <c r="E805" t="inlineStr">
        <is>
          <t>2026-03-13</t>
        </is>
      </c>
      <c r="F805" t="inlineStr">
        <is>
          <t>2026-03-20</t>
        </is>
      </c>
      <c r="G805" t="inlineStr">
        <is>
          <t xml:space="preserve"> - Family Finca</t>
        </is>
      </c>
      <c r="H805">
        <f>HYPERLINK("https://booking.roadsurfer.com/es/rally/pick?pickup_date=2026-03-13&amp;return_date=2026-03-20&amp;currency=EUR&amp;startStation=1&amp;endStation=36", "Clic para verlo en la web de RoadSurfer")</f>
        <v/>
      </c>
    </row>
    <row r="806">
      <c r="A806" t="inlineStr">
        <is>
          <t>Alemania</t>
        </is>
      </c>
      <c r="B806" t="inlineStr">
        <is>
          <t>Múnich</t>
        </is>
      </c>
      <c r="C806" t="inlineStr">
        <is>
          <t>Austria</t>
        </is>
      </c>
      <c r="D806" t="inlineStr">
        <is>
          <t>Viena</t>
        </is>
      </c>
      <c r="E806" t="inlineStr">
        <is>
          <t>2026-03-12</t>
        </is>
      </c>
      <c r="F806" t="inlineStr">
        <is>
          <t>2026-03-19</t>
        </is>
      </c>
      <c r="G806" t="inlineStr">
        <is>
          <t xml:space="preserve"> - Surfer Suite</t>
        </is>
      </c>
      <c r="H806">
        <f>HYPERLINK("https://booking.roadsurfer.com/es/rally/pick?pickup_date=2026-03-12&amp;return_date=2026-03-19&amp;currency=EUR&amp;startStation=1&amp;endStation=36", "Clic para verlo en la web de RoadSurfer")</f>
        <v/>
      </c>
    </row>
    <row r="807">
      <c r="A807" t="inlineStr">
        <is>
          <t>Alemania</t>
        </is>
      </c>
      <c r="B807" t="inlineStr">
        <is>
          <t>Múnich</t>
        </is>
      </c>
      <c r="C807" t="inlineStr">
        <is>
          <t>Austria</t>
        </is>
      </c>
      <c r="D807" t="inlineStr">
        <is>
          <t>Viena</t>
        </is>
      </c>
      <c r="E807" t="inlineStr">
        <is>
          <t>2026-03-23</t>
        </is>
      </c>
      <c r="F807" t="inlineStr">
        <is>
          <t>2026-03-30</t>
        </is>
      </c>
      <c r="G807" t="inlineStr">
        <is>
          <t xml:space="preserve"> - Road House</t>
        </is>
      </c>
      <c r="H807">
        <f>HYPERLINK("https://booking.roadsurfer.com/es/rally/pick?pickup_date=2026-03-23&amp;return_date=2026-03-30&amp;currency=EUR&amp;startStation=1&amp;endStation=36", "Clic para verlo en la web de RoadSurfer")</f>
        <v/>
      </c>
    </row>
    <row r="808">
      <c r="A808" t="inlineStr">
        <is>
          <t>Alemania</t>
        </is>
      </c>
      <c r="B808" t="inlineStr">
        <is>
          <t>Múnich</t>
        </is>
      </c>
      <c r="C808" t="inlineStr">
        <is>
          <t>Austria</t>
        </is>
      </c>
      <c r="D808" t="inlineStr">
        <is>
          <t>Viena</t>
        </is>
      </c>
      <c r="E808" t="inlineStr">
        <is>
          <t>2026-03-16</t>
        </is>
      </c>
      <c r="F808" t="inlineStr">
        <is>
          <t>2026-03-23</t>
        </is>
      </c>
      <c r="G808" t="inlineStr">
        <is>
          <t xml:space="preserve"> - Road House</t>
        </is>
      </c>
      <c r="H808">
        <f>HYPERLINK("https://booking.roadsurfer.com/es/rally/pick?pickup_date=2026-03-16&amp;return_date=2026-03-23&amp;currency=EUR&amp;startStation=1&amp;endStation=36", "Clic para verlo en la web de RoadSurfer")</f>
        <v/>
      </c>
    </row>
    <row r="809">
      <c r="A809" t="inlineStr">
        <is>
          <t>Alemania</t>
        </is>
      </c>
      <c r="B809" t="inlineStr">
        <is>
          <t>Múnich</t>
        </is>
      </c>
      <c r="C809" t="inlineStr">
        <is>
          <t>Austria</t>
        </is>
      </c>
      <c r="D809" t="inlineStr">
        <is>
          <t>Viena</t>
        </is>
      </c>
      <c r="E809" t="inlineStr">
        <is>
          <t>2026-03-02</t>
        </is>
      </c>
      <c r="F809" t="inlineStr">
        <is>
          <t>2026-03-09</t>
        </is>
      </c>
      <c r="G809" t="inlineStr">
        <is>
          <t xml:space="preserve"> - Surfer Suite</t>
        </is>
      </c>
      <c r="H809">
        <f>HYPERLINK("https://booking.roadsurfer.com/es/rally/pick?pickup_date=2026-03-02&amp;return_date=2026-03-09&amp;currency=EUR&amp;startStation=1&amp;endStation=36", "Clic para verlo en la web de RoadSurfer")</f>
        <v/>
      </c>
    </row>
    <row r="810">
      <c r="A810" t="inlineStr">
        <is>
          <t>Alemania</t>
        </is>
      </c>
      <c r="B810" t="inlineStr">
        <is>
          <t>Múnich</t>
        </is>
      </c>
      <c r="C810" t="inlineStr">
        <is>
          <t>Austria</t>
        </is>
      </c>
      <c r="D810" t="inlineStr">
        <is>
          <t>Viena</t>
        </is>
      </c>
      <c r="E810" t="inlineStr">
        <is>
          <t>2026-03-04</t>
        </is>
      </c>
      <c r="F810" t="inlineStr">
        <is>
          <t>2026-03-11</t>
        </is>
      </c>
      <c r="G810" t="inlineStr">
        <is>
          <t xml:space="preserve"> - Surfer Suite</t>
        </is>
      </c>
      <c r="H810">
        <f>HYPERLINK("https://booking.roadsurfer.com/es/rally/pick?pickup_date=2026-03-04&amp;return_date=2026-03-11&amp;currency=EUR&amp;startStation=1&amp;endStation=36", "Clic para verlo en la web de RoadSurfer")</f>
        <v/>
      </c>
    </row>
    <row r="811">
      <c r="A811" t="inlineStr">
        <is>
          <t>Alemania</t>
        </is>
      </c>
      <c r="B811" t="inlineStr">
        <is>
          <t>Múnich</t>
        </is>
      </c>
      <c r="C811" t="inlineStr">
        <is>
          <t>Austria</t>
        </is>
      </c>
      <c r="D811" t="inlineStr">
        <is>
          <t>Viena</t>
        </is>
      </c>
      <c r="E811" t="inlineStr">
        <is>
          <t>2026-03-09</t>
        </is>
      </c>
      <c r="F811" t="inlineStr">
        <is>
          <t>2026-03-16</t>
        </is>
      </c>
      <c r="G811" t="inlineStr">
        <is>
          <t xml:space="preserve"> - Surfer Suite</t>
        </is>
      </c>
      <c r="H811">
        <f>HYPERLINK("https://booking.roadsurfer.com/es/rally/pick?pickup_date=2026-03-09&amp;return_date=2026-03-16&amp;currency=EUR&amp;startStation=1&amp;endStation=36", "Clic para verlo en la web de RoadSurfer")</f>
        <v/>
      </c>
    </row>
    <row r="812">
      <c r="A812" t="inlineStr">
        <is>
          <t>Alemania</t>
        </is>
      </c>
      <c r="B812" t="inlineStr">
        <is>
          <t>Múnich</t>
        </is>
      </c>
      <c r="C812" t="inlineStr">
        <is>
          <t>Austria</t>
        </is>
      </c>
      <c r="D812" t="inlineStr">
        <is>
          <t>Viena</t>
        </is>
      </c>
      <c r="E812" t="inlineStr">
        <is>
          <t>2026-03-11</t>
        </is>
      </c>
      <c r="F812" t="inlineStr">
        <is>
          <t>2026-03-18</t>
        </is>
      </c>
      <c r="G812" t="inlineStr">
        <is>
          <t xml:space="preserve"> - Surfer Suite</t>
        </is>
      </c>
      <c r="H812">
        <f>HYPERLINK("https://booking.roadsurfer.com/es/rally/pick?pickup_date=2026-03-11&amp;return_date=2026-03-18&amp;currency=EUR&amp;startStation=1&amp;endStation=36", "Clic para verlo en la web de RoadSurfer")</f>
        <v/>
      </c>
    </row>
    <row r="813">
      <c r="A813" t="inlineStr">
        <is>
          <t>Alemania</t>
        </is>
      </c>
      <c r="B813" t="inlineStr">
        <is>
          <t>Múnich</t>
        </is>
      </c>
      <c r="C813" t="inlineStr">
        <is>
          <t>Italia</t>
        </is>
      </c>
      <c r="D813" t="inlineStr">
        <is>
          <t>Milán</t>
        </is>
      </c>
      <c r="E813" t="inlineStr">
        <is>
          <t>2026-03-12</t>
        </is>
      </c>
      <c r="F813" t="inlineStr">
        <is>
          <t>2026-03-19</t>
        </is>
      </c>
      <c r="G813" t="inlineStr">
        <is>
          <t xml:space="preserve"> - Surfer Suite</t>
        </is>
      </c>
      <c r="H813">
        <f>HYPERLINK("https://booking.roadsurfer.com/es/rally/pick?pickup_date=2026-03-12&amp;return_date=2026-03-19&amp;currency=EUR&amp;startStation=1&amp;endStation=34", "Clic para verlo en la web de RoadSurfer")</f>
        <v/>
      </c>
    </row>
    <row r="814">
      <c r="A814" t="inlineStr">
        <is>
          <t>Alemania</t>
        </is>
      </c>
      <c r="B814" t="inlineStr">
        <is>
          <t>Múnich</t>
        </is>
      </c>
      <c r="C814" t="inlineStr">
        <is>
          <t>Italia</t>
        </is>
      </c>
      <c r="D814" t="inlineStr">
        <is>
          <t>Milán</t>
        </is>
      </c>
      <c r="E814" t="inlineStr">
        <is>
          <t>2026-03-14</t>
        </is>
      </c>
      <c r="F814" t="inlineStr">
        <is>
          <t>2026-03-21</t>
        </is>
      </c>
      <c r="G814" t="inlineStr">
        <is>
          <t xml:space="preserve"> - Surfer Suite</t>
        </is>
      </c>
      <c r="H814">
        <f>HYPERLINK("https://booking.roadsurfer.com/es/rally/pick?pickup_date=2026-03-14&amp;return_date=2026-03-21&amp;currency=EUR&amp;startStation=1&amp;endStation=34", "Clic para verlo en la web de RoadSurfer")</f>
        <v/>
      </c>
    </row>
    <row r="815">
      <c r="A815" t="inlineStr">
        <is>
          <t>Alemania</t>
        </is>
      </c>
      <c r="B815" t="inlineStr">
        <is>
          <t>Múnich</t>
        </is>
      </c>
      <c r="C815" t="inlineStr">
        <is>
          <t>Italia</t>
        </is>
      </c>
      <c r="D815" t="inlineStr">
        <is>
          <t>Milán</t>
        </is>
      </c>
      <c r="E815" t="inlineStr">
        <is>
          <t>2026-03-19</t>
        </is>
      </c>
      <c r="F815" t="inlineStr">
        <is>
          <t>2026-03-26</t>
        </is>
      </c>
      <c r="G815" t="inlineStr">
        <is>
          <t xml:space="preserve"> - No hay coche</t>
        </is>
      </c>
      <c r="H815">
        <f>HYPERLINK("https://booking.roadsurfer.com/es/rally/pick?pickup_date=2026-03-19&amp;return_date=2026-03-26&amp;currency=EUR&amp;startStation=1&amp;endStation=34", "Clic para verlo en la web de RoadSurfer")</f>
        <v/>
      </c>
    </row>
    <row r="816">
      <c r="A816" t="inlineStr">
        <is>
          <t>Alemania</t>
        </is>
      </c>
      <c r="B816" t="inlineStr">
        <is>
          <t>Múnich</t>
        </is>
      </c>
      <c r="C816" t="inlineStr">
        <is>
          <t>Italia</t>
        </is>
      </c>
      <c r="D816" t="inlineStr">
        <is>
          <t>Milán</t>
        </is>
      </c>
      <c r="E816" t="inlineStr">
        <is>
          <t>2026-03-16</t>
        </is>
      </c>
      <c r="F816" t="inlineStr">
        <is>
          <t>2026-03-23</t>
        </is>
      </c>
      <c r="G816" t="inlineStr">
        <is>
          <t xml:space="preserve"> - BEACH HOSTEL</t>
        </is>
      </c>
      <c r="H816">
        <f>HYPERLINK("https://booking.roadsurfer.com/es/rally/pick?pickup_date=2026-03-16&amp;return_date=2026-03-23&amp;currency=EUR&amp;startStation=1&amp;endStation=34", "Clic para verlo en la web de RoadSurfer")</f>
        <v/>
      </c>
    </row>
    <row r="817">
      <c r="A817" t="inlineStr">
        <is>
          <t>Alemania</t>
        </is>
      </c>
      <c r="B817" t="inlineStr">
        <is>
          <t>Múnich</t>
        </is>
      </c>
      <c r="C817" t="inlineStr">
        <is>
          <t>Francia</t>
        </is>
      </c>
      <c r="D817" t="inlineStr">
        <is>
          <t>Toulouse</t>
        </is>
      </c>
      <c r="E817" t="inlineStr">
        <is>
          <t>2026-03-20</t>
        </is>
      </c>
      <c r="F817" t="inlineStr">
        <is>
          <t>2026-03-27</t>
        </is>
      </c>
      <c r="G817" t="inlineStr">
        <is>
          <t xml:space="preserve"> - Surfer Suite</t>
        </is>
      </c>
      <c r="H817">
        <f>HYPERLINK("https://booking.roadsurfer.com/es/rally/pick?pickup_date=2026-03-20&amp;return_date=2026-03-27&amp;currency=EUR&amp;startStation=1&amp;endStation=30", "Clic para verlo en la web de RoadSurfer")</f>
        <v/>
      </c>
    </row>
    <row r="818">
      <c r="A818" t="inlineStr">
        <is>
          <t>Alemania</t>
        </is>
      </c>
      <c r="B818" t="inlineStr">
        <is>
          <t>Múnich</t>
        </is>
      </c>
      <c r="C818" t="inlineStr">
        <is>
          <t>Francia</t>
        </is>
      </c>
      <c r="D818" t="inlineStr">
        <is>
          <t>Toulouse</t>
        </is>
      </c>
      <c r="E818" t="inlineStr">
        <is>
          <t>2026-03-24</t>
        </is>
      </c>
      <c r="F818" t="inlineStr">
        <is>
          <t>2026-03-31</t>
        </is>
      </c>
      <c r="G818" t="inlineStr">
        <is>
          <t xml:space="preserve"> - Surfer Suite</t>
        </is>
      </c>
      <c r="H818">
        <f>HYPERLINK("https://booking.roadsurfer.com/es/rally/pick?pickup_date=2026-03-24&amp;return_date=2026-03-31&amp;currency=EUR&amp;startStation=1&amp;endStation=30", "Clic para verlo en la web de RoadSurfer")</f>
        <v/>
      </c>
    </row>
    <row r="819">
      <c r="A819" t="inlineStr">
        <is>
          <t>Alemania</t>
        </is>
      </c>
      <c r="B819" t="inlineStr">
        <is>
          <t>Múnich</t>
        </is>
      </c>
      <c r="C819" t="inlineStr">
        <is>
          <t>Italia</t>
        </is>
      </c>
      <c r="D819" t="inlineStr">
        <is>
          <t>Venecia</t>
        </is>
      </c>
      <c r="E819" t="inlineStr">
        <is>
          <t>2026-03-07</t>
        </is>
      </c>
      <c r="F819" t="inlineStr">
        <is>
          <t>2026-03-14</t>
        </is>
      </c>
      <c r="G819" t="inlineStr">
        <is>
          <t xml:space="preserve"> - Couple Cottage</t>
        </is>
      </c>
      <c r="H819">
        <f>HYPERLINK("https://booking.roadsurfer.com/es/rally/pick?pickup_date=2026-03-07&amp;return_date=2026-03-14&amp;currency=EUR&amp;startStation=1&amp;endStation=78", "Clic para verlo en la web de RoadSurfer")</f>
        <v/>
      </c>
    </row>
    <row r="820">
      <c r="A820" t="inlineStr">
        <is>
          <t>Alemania</t>
        </is>
      </c>
      <c r="B820" t="inlineStr">
        <is>
          <t>Múnich</t>
        </is>
      </c>
      <c r="C820" t="inlineStr">
        <is>
          <t>Italia</t>
        </is>
      </c>
      <c r="D820" t="inlineStr">
        <is>
          <t>Venecia</t>
        </is>
      </c>
      <c r="E820" t="inlineStr">
        <is>
          <t>2026-03-14</t>
        </is>
      </c>
      <c r="F820" t="inlineStr">
        <is>
          <t>2026-03-21</t>
        </is>
      </c>
      <c r="G820" t="inlineStr">
        <is>
          <t xml:space="preserve"> - No hay coche</t>
        </is>
      </c>
      <c r="H820">
        <f>HYPERLINK("https://booking.roadsurfer.com/es/rally/pick?pickup_date=2026-03-14&amp;return_date=2026-03-21&amp;currency=EUR&amp;startStation=1&amp;endStation=78", "Clic para verlo en la web de RoadSurfer")</f>
        <v/>
      </c>
    </row>
    <row r="821">
      <c r="A821" t="inlineStr">
        <is>
          <t>Alemania</t>
        </is>
      </c>
      <c r="B821" t="inlineStr">
        <is>
          <t>Múnich</t>
        </is>
      </c>
      <c r="C821" t="inlineStr">
        <is>
          <t>Italia</t>
        </is>
      </c>
      <c r="D821" t="inlineStr">
        <is>
          <t>Venecia</t>
        </is>
      </c>
      <c r="E821" t="inlineStr">
        <is>
          <t>2026-03-12</t>
        </is>
      </c>
      <c r="F821" t="inlineStr">
        <is>
          <t>2026-03-19</t>
        </is>
      </c>
      <c r="G821" t="inlineStr">
        <is>
          <t xml:space="preserve"> - Camper Castle</t>
        </is>
      </c>
      <c r="H821">
        <f>HYPERLINK("https://booking.roadsurfer.com/es/rally/pick?pickup_date=2026-03-12&amp;return_date=2026-03-19&amp;currency=EUR&amp;startStation=1&amp;endStation=78", "Clic para verlo en la web de RoadSurfer")</f>
        <v/>
      </c>
    </row>
    <row r="822">
      <c r="A822" t="inlineStr">
        <is>
          <t>Alemania</t>
        </is>
      </c>
      <c r="B822" t="inlineStr">
        <is>
          <t>Múnich</t>
        </is>
      </c>
      <c r="C822" t="inlineStr">
        <is>
          <t>Italia</t>
        </is>
      </c>
      <c r="D822" t="inlineStr">
        <is>
          <t>Venecia</t>
        </is>
      </c>
      <c r="E822" t="inlineStr">
        <is>
          <t>2026-03-15</t>
        </is>
      </c>
      <c r="F822" t="inlineStr">
        <is>
          <t>2026-03-22</t>
        </is>
      </c>
      <c r="G822" t="inlineStr">
        <is>
          <t xml:space="preserve"> - No hay coche</t>
        </is>
      </c>
      <c r="H822">
        <f>HYPERLINK("https://booking.roadsurfer.com/es/rally/pick?pickup_date=2026-03-15&amp;return_date=2026-03-22&amp;currency=EUR&amp;startStation=1&amp;endStation=78", "Clic para verlo en la web de RoadSurfer")</f>
        <v/>
      </c>
    </row>
    <row r="823">
      <c r="A823" t="inlineStr">
        <is>
          <t>Alemania</t>
        </is>
      </c>
      <c r="B823" t="inlineStr">
        <is>
          <t>Múnich</t>
        </is>
      </c>
      <c r="C823" t="inlineStr">
        <is>
          <t>Italia</t>
        </is>
      </c>
      <c r="D823" t="inlineStr">
        <is>
          <t>Venecia</t>
        </is>
      </c>
      <c r="E823" t="inlineStr">
        <is>
          <t>2026-03-13</t>
        </is>
      </c>
      <c r="F823" t="inlineStr">
        <is>
          <t>2026-03-20</t>
        </is>
      </c>
      <c r="G823" t="inlineStr">
        <is>
          <t xml:space="preserve"> - Surfer Suite - Camper Castle</t>
        </is>
      </c>
      <c r="H823">
        <f>HYPERLINK("https://booking.roadsurfer.com/es/rally/pick?pickup_date=2026-03-13&amp;return_date=2026-03-20&amp;currency=EUR&amp;startStation=1&amp;endStation=78", "Clic para verlo en la web de RoadSurfer")</f>
        <v/>
      </c>
    </row>
    <row r="824">
      <c r="A824" t="inlineStr">
        <is>
          <t>Alemania</t>
        </is>
      </c>
      <c r="B824" t="inlineStr">
        <is>
          <t>Múnich</t>
        </is>
      </c>
      <c r="C824" t="inlineStr">
        <is>
          <t>Italia</t>
        </is>
      </c>
      <c r="D824" t="inlineStr">
        <is>
          <t>Venecia</t>
        </is>
      </c>
      <c r="E824" t="inlineStr">
        <is>
          <t>2026-03-16</t>
        </is>
      </c>
      <c r="F824" t="inlineStr">
        <is>
          <t>2026-03-23</t>
        </is>
      </c>
      <c r="G824" t="inlineStr">
        <is>
          <t xml:space="preserve"> - Family Finca - Couple Cottage - FAMILY FINCA</t>
        </is>
      </c>
      <c r="H824">
        <f>HYPERLINK("https://booking.roadsurfer.com/es/rally/pick?pickup_date=2026-03-16&amp;return_date=2026-03-23&amp;currency=EUR&amp;startStation=1&amp;endStation=78", "Clic para verlo en la web de RoadSurfer")</f>
        <v/>
      </c>
    </row>
    <row r="825">
      <c r="A825" t="inlineStr">
        <is>
          <t>Alemania</t>
        </is>
      </c>
      <c r="B825" t="inlineStr">
        <is>
          <t>Múnich</t>
        </is>
      </c>
      <c r="C825" t="inlineStr">
        <is>
          <t>Italia</t>
        </is>
      </c>
      <c r="D825" t="inlineStr">
        <is>
          <t>Venecia</t>
        </is>
      </c>
      <c r="E825" t="inlineStr">
        <is>
          <t>2026-03-17</t>
        </is>
      </c>
      <c r="F825" t="inlineStr">
        <is>
          <t>2026-03-24</t>
        </is>
      </c>
      <c r="G825" t="inlineStr">
        <is>
          <t xml:space="preserve"> - Surfer Suite</t>
        </is>
      </c>
      <c r="H825">
        <f>HYPERLINK("https://booking.roadsurfer.com/es/rally/pick?pickup_date=2026-03-17&amp;return_date=2026-03-24&amp;currency=EUR&amp;startStation=1&amp;endStation=78", "Clic para verlo en la web de RoadSurfer")</f>
        <v/>
      </c>
    </row>
    <row r="826">
      <c r="A826" t="inlineStr">
        <is>
          <t>Alemania</t>
        </is>
      </c>
      <c r="B826" t="inlineStr">
        <is>
          <t>Múnich</t>
        </is>
      </c>
      <c r="C826" t="inlineStr">
        <is>
          <t>Italia</t>
        </is>
      </c>
      <c r="D826" t="inlineStr">
        <is>
          <t>Venecia</t>
        </is>
      </c>
      <c r="E826" t="inlineStr">
        <is>
          <t>2026-03-27</t>
        </is>
      </c>
      <c r="F826" t="inlineStr">
        <is>
          <t>2026-04-03</t>
        </is>
      </c>
      <c r="G826" t="inlineStr">
        <is>
          <t xml:space="preserve"> - Surfer Suite - Road House</t>
        </is>
      </c>
      <c r="H826">
        <f>HYPERLINK("https://booking.roadsurfer.com/es/rally/pick?pickup_date=2026-03-27&amp;return_date=2026-04-03&amp;currency=EUR&amp;startStation=1&amp;endStation=78", "Clic para verlo en la web de RoadSurfer")</f>
        <v/>
      </c>
    </row>
    <row r="827">
      <c r="A827" t="inlineStr">
        <is>
          <t>Alemania</t>
        </is>
      </c>
      <c r="B827" t="inlineStr">
        <is>
          <t>Múnich</t>
        </is>
      </c>
      <c r="C827" t="inlineStr">
        <is>
          <t>Italia</t>
        </is>
      </c>
      <c r="D827" t="inlineStr">
        <is>
          <t>Venecia</t>
        </is>
      </c>
      <c r="E827" t="inlineStr">
        <is>
          <t>2026-03-28</t>
        </is>
      </c>
      <c r="F827" t="inlineStr">
        <is>
          <t>2026-04-04</t>
        </is>
      </c>
      <c r="G827" t="inlineStr">
        <is>
          <t xml:space="preserve"> - Road House</t>
        </is>
      </c>
      <c r="H827">
        <f>HYPERLINK("https://booking.roadsurfer.com/es/rally/pick?pickup_date=2026-03-28&amp;return_date=2026-04-04&amp;currency=EUR&amp;startStation=1&amp;endStation=78", "Clic para verlo en la web de RoadSurfer")</f>
        <v/>
      </c>
    </row>
    <row r="828">
      <c r="A828" t="inlineStr">
        <is>
          <t>Alemania</t>
        </is>
      </c>
      <c r="B828" t="inlineStr">
        <is>
          <t>Múnich</t>
        </is>
      </c>
      <c r="C828" t="inlineStr">
        <is>
          <t>Italia</t>
        </is>
      </c>
      <c r="D828" t="inlineStr">
        <is>
          <t>Venecia</t>
        </is>
      </c>
      <c r="E828" t="inlineStr">
        <is>
          <t>2026-03-26</t>
        </is>
      </c>
      <c r="F828" t="inlineStr">
        <is>
          <t>2026-04-02</t>
        </is>
      </c>
      <c r="G828" t="inlineStr">
        <is>
          <t xml:space="preserve"> - Beach Hostel</t>
        </is>
      </c>
      <c r="H828">
        <f>HYPERLINK("https://booking.roadsurfer.com/es/rally/pick?pickup_date=2026-03-26&amp;return_date=2026-04-02&amp;currency=EUR&amp;startStation=1&amp;endStation=78", "Clic para verlo en la web de RoadSurfer")</f>
        <v/>
      </c>
    </row>
    <row r="829">
      <c r="A829" t="inlineStr">
        <is>
          <t>Alemania</t>
        </is>
      </c>
      <c r="B829" t="inlineStr">
        <is>
          <t>Múnich</t>
        </is>
      </c>
      <c r="C829" t="inlineStr">
        <is>
          <t>Austria</t>
        </is>
      </c>
      <c r="D829" t="inlineStr">
        <is>
          <t>Innsbruck-Wiesing</t>
        </is>
      </c>
      <c r="E829" t="inlineStr">
        <is>
          <t>2026-03-19</t>
        </is>
      </c>
      <c r="F829" t="inlineStr">
        <is>
          <t>2026-03-26</t>
        </is>
      </c>
      <c r="G829" t="inlineStr">
        <is>
          <t xml:space="preserve"> - Beach Hostel</t>
        </is>
      </c>
      <c r="H829">
        <f>HYPERLINK("https://booking.roadsurfer.com/es/rally/pick?pickup_date=2026-03-19&amp;return_date=2026-03-26&amp;currency=EUR&amp;startStation=1&amp;endStation=46", "Clic para verlo en la web de RoadSurfer")</f>
        <v/>
      </c>
    </row>
    <row r="830">
      <c r="A830" t="inlineStr">
        <is>
          <t>Alemania</t>
        </is>
      </c>
      <c r="B830" t="inlineStr">
        <is>
          <t>Múnich</t>
        </is>
      </c>
      <c r="C830" t="inlineStr">
        <is>
          <t>España</t>
        </is>
      </c>
      <c r="D830" t="inlineStr">
        <is>
          <t>Sevilla</t>
        </is>
      </c>
      <c r="E830" t="inlineStr">
        <is>
          <t>2026-02-19</t>
        </is>
      </c>
      <c r="F830" t="inlineStr">
        <is>
          <t>2026-02-26</t>
        </is>
      </c>
      <c r="G830" t="inlineStr">
        <is>
          <t xml:space="preserve"> - Surfer Suite</t>
        </is>
      </c>
      <c r="H830">
        <f>HYPERLINK("https://booking.roadsurfer.com/es/rally/pick?pickup_date=2026-02-19&amp;return_date=2026-02-26&amp;currency=EUR&amp;startStation=1&amp;endStation=39", "Clic para verlo en la web de RoadSurfer")</f>
        <v/>
      </c>
    </row>
    <row r="831">
      <c r="A831" t="inlineStr">
        <is>
          <t>Alemania</t>
        </is>
      </c>
      <c r="B831" t="inlineStr">
        <is>
          <t>Múnich</t>
        </is>
      </c>
      <c r="C831" t="inlineStr">
        <is>
          <t>Austria</t>
        </is>
      </c>
      <c r="D831" t="inlineStr">
        <is>
          <t>Viena Sur</t>
        </is>
      </c>
      <c r="E831" t="inlineStr">
        <is>
          <t>2026-03-23</t>
        </is>
      </c>
      <c r="F831" t="inlineStr">
        <is>
          <t>2026-03-30</t>
        </is>
      </c>
      <c r="G831" t="inlineStr">
        <is>
          <t xml:space="preserve"> - Cozy Cottage</t>
        </is>
      </c>
      <c r="H831">
        <f>HYPERLINK("https://booking.roadsurfer.com/es/rally/pick?pickup_date=2026-03-23&amp;return_date=2026-03-30&amp;currency=EUR&amp;startStation=1&amp;endStation=45", "Clic para verlo en la web de RoadSurfer")</f>
        <v/>
      </c>
    </row>
    <row r="832">
      <c r="A832" t="inlineStr">
        <is>
          <t>Alemania</t>
        </is>
      </c>
      <c r="B832" t="inlineStr">
        <is>
          <t>Múnich</t>
        </is>
      </c>
      <c r="C832" t="inlineStr">
        <is>
          <t>Austria</t>
        </is>
      </c>
      <c r="D832" t="inlineStr">
        <is>
          <t>Viena Sur</t>
        </is>
      </c>
      <c r="E832" t="inlineStr">
        <is>
          <t>2026-03-20</t>
        </is>
      </c>
      <c r="F832" t="inlineStr">
        <is>
          <t>2026-03-27</t>
        </is>
      </c>
      <c r="G832" t="inlineStr">
        <is>
          <t xml:space="preserve"> - Road House</t>
        </is>
      </c>
      <c r="H832">
        <f>HYPERLINK("https://booking.roadsurfer.com/es/rally/pick?pickup_date=2026-03-20&amp;return_date=2026-03-27&amp;currency=EUR&amp;startStation=1&amp;endStation=45", "Clic para verlo en la web de RoadSurfer")</f>
        <v/>
      </c>
    </row>
    <row r="833">
      <c r="A833" t="inlineStr">
        <is>
          <t>Alemania</t>
        </is>
      </c>
      <c r="B833" t="inlineStr">
        <is>
          <t>Múnich</t>
        </is>
      </c>
      <c r="C833" t="inlineStr">
        <is>
          <t>Austria</t>
        </is>
      </c>
      <c r="D833" t="inlineStr">
        <is>
          <t>Viena Sur</t>
        </is>
      </c>
      <c r="E833" t="inlineStr">
        <is>
          <t>2026-04-10</t>
        </is>
      </c>
      <c r="F833" t="inlineStr">
        <is>
          <t>2026-04-17</t>
        </is>
      </c>
      <c r="G833" t="inlineStr">
        <is>
          <t xml:space="preserve"> - Road House</t>
        </is>
      </c>
      <c r="H833">
        <f>HYPERLINK("https://booking.roadsurfer.com/es/rally/pick?pickup_date=2026-04-10&amp;return_date=2026-04-17&amp;currency=EUR&amp;startStation=1&amp;endStation=45", "Clic para verlo en la web de RoadSurfer")</f>
        <v/>
      </c>
    </row>
    <row r="834">
      <c r="A834" t="inlineStr">
        <is>
          <t>Alemania</t>
        </is>
      </c>
      <c r="B834" t="inlineStr">
        <is>
          <t>Múnich</t>
        </is>
      </c>
      <c r="C834" t="inlineStr">
        <is>
          <t>Austria</t>
        </is>
      </c>
      <c r="D834" t="inlineStr">
        <is>
          <t>Viena Sur</t>
        </is>
      </c>
      <c r="E834" t="inlineStr">
        <is>
          <t>2026-03-02</t>
        </is>
      </c>
      <c r="F834" t="inlineStr">
        <is>
          <t>2026-03-09</t>
        </is>
      </c>
      <c r="G834" t="inlineStr">
        <is>
          <t xml:space="preserve"> - CAMPER CABIN DELUXE</t>
        </is>
      </c>
      <c r="H834">
        <f>HYPERLINK("https://booking.roadsurfer.com/es/rally/pick?pickup_date=2026-03-02&amp;return_date=2026-03-09&amp;currency=EUR&amp;startStation=1&amp;endStation=45", "Clic para verlo en la web de RoadSurfer")</f>
        <v/>
      </c>
    </row>
    <row r="835">
      <c r="A835" t="inlineStr">
        <is>
          <t>Alemania</t>
        </is>
      </c>
      <c r="B835" t="inlineStr">
        <is>
          <t>Múnich</t>
        </is>
      </c>
      <c r="C835" t="inlineStr">
        <is>
          <t>Austria</t>
        </is>
      </c>
      <c r="D835" t="inlineStr">
        <is>
          <t>Viena Sur</t>
        </is>
      </c>
      <c r="E835" t="inlineStr">
        <is>
          <t>2026-03-09</t>
        </is>
      </c>
      <c r="F835" t="inlineStr">
        <is>
          <t>2026-03-16</t>
        </is>
      </c>
      <c r="G835" t="inlineStr">
        <is>
          <t xml:space="preserve"> - Surfer Suite</t>
        </is>
      </c>
      <c r="H835">
        <f>HYPERLINK("https://booking.roadsurfer.com/es/rally/pick?pickup_date=2026-03-09&amp;return_date=2026-03-16&amp;currency=EUR&amp;startStation=1&amp;endStation=45", "Clic para verlo en la web de RoadSurfer")</f>
        <v/>
      </c>
    </row>
    <row r="836">
      <c r="A836" t="inlineStr">
        <is>
          <t>Alemania</t>
        </is>
      </c>
      <c r="B836" t="inlineStr">
        <is>
          <t>Múnich</t>
        </is>
      </c>
      <c r="C836" t="inlineStr">
        <is>
          <t>Italia</t>
        </is>
      </c>
      <c r="D836" t="inlineStr">
        <is>
          <t>Bérgamo</t>
        </is>
      </c>
      <c r="E836" t="inlineStr">
        <is>
          <t>2026-03-14</t>
        </is>
      </c>
      <c r="F836" t="inlineStr">
        <is>
          <t>2026-03-21</t>
        </is>
      </c>
      <c r="G836" t="inlineStr">
        <is>
          <t xml:space="preserve"> - Beach Hostel</t>
        </is>
      </c>
      <c r="H836">
        <f>HYPERLINK("https://booking.roadsurfer.com/es/rally/pick?pickup_date=2026-03-14&amp;return_date=2026-03-21&amp;currency=EUR&amp;startStation=1&amp;endStation=94", "Clic para verlo en la web de RoadSurfer")</f>
        <v/>
      </c>
    </row>
    <row r="837">
      <c r="A837" t="inlineStr">
        <is>
          <t>Alemania</t>
        </is>
      </c>
      <c r="B837" t="inlineStr">
        <is>
          <t>Múnich</t>
        </is>
      </c>
      <c r="C837" t="inlineStr">
        <is>
          <t>Italia</t>
        </is>
      </c>
      <c r="D837" t="inlineStr">
        <is>
          <t>Bérgamo</t>
        </is>
      </c>
      <c r="E837" t="inlineStr">
        <is>
          <t>2026-03-04</t>
        </is>
      </c>
      <c r="F837" t="inlineStr">
        <is>
          <t>2026-03-11</t>
        </is>
      </c>
      <c r="G837" t="inlineStr">
        <is>
          <t xml:space="preserve"> - Road House</t>
        </is>
      </c>
      <c r="H837">
        <f>HYPERLINK("https://booking.roadsurfer.com/es/rally/pick?pickup_date=2026-03-04&amp;return_date=2026-03-11&amp;currency=EUR&amp;startStation=1&amp;endStation=94", "Clic para verlo en la web de RoadSurfer")</f>
        <v/>
      </c>
    </row>
    <row r="838">
      <c r="A838" t="inlineStr">
        <is>
          <t>Alemania</t>
        </is>
      </c>
      <c r="B838" t="inlineStr">
        <is>
          <t>Múnich</t>
        </is>
      </c>
      <c r="C838" t="inlineStr">
        <is>
          <t>Italia</t>
        </is>
      </c>
      <c r="D838" t="inlineStr">
        <is>
          <t>Bérgamo</t>
        </is>
      </c>
      <c r="E838" t="inlineStr">
        <is>
          <t>2026-03-09</t>
        </is>
      </c>
      <c r="F838" t="inlineStr">
        <is>
          <t>2026-03-16</t>
        </is>
      </c>
      <c r="G838" t="inlineStr">
        <is>
          <t xml:space="preserve"> - Beach Hostel</t>
        </is>
      </c>
      <c r="H838">
        <f>HYPERLINK("https://booking.roadsurfer.com/es/rally/pick?pickup_date=2026-03-09&amp;return_date=2026-03-16&amp;currency=EUR&amp;startStation=1&amp;endStation=94", "Clic para verlo en la web de RoadSurfer")</f>
        <v/>
      </c>
    </row>
    <row r="839">
      <c r="A839" t="inlineStr">
        <is>
          <t>Alemania</t>
        </is>
      </c>
      <c r="B839" t="inlineStr">
        <is>
          <t>Múnich</t>
        </is>
      </c>
      <c r="C839" t="inlineStr">
        <is>
          <t>España</t>
        </is>
      </c>
      <c r="D839" t="inlineStr">
        <is>
          <t>Madrid</t>
        </is>
      </c>
      <c r="E839" t="inlineStr">
        <is>
          <t>2026-03-24</t>
        </is>
      </c>
      <c r="F839" t="inlineStr">
        <is>
          <t>2026-03-31</t>
        </is>
      </c>
      <c r="G839" t="inlineStr">
        <is>
          <t xml:space="preserve"> - Beach Hostel</t>
        </is>
      </c>
      <c r="H839">
        <f>HYPERLINK("https://booking.roadsurfer.com/es/rally/pick?pickup_date=2026-03-24&amp;return_date=2026-03-31&amp;currency=EUR&amp;startStation=1&amp;endStation=20", "Clic para verlo en la web de RoadSurfer")</f>
        <v/>
      </c>
    </row>
    <row r="840">
      <c r="A840" t="inlineStr">
        <is>
          <t>Alemania</t>
        </is>
      </c>
      <c r="B840" t="inlineStr">
        <is>
          <t>Múnich</t>
        </is>
      </c>
      <c r="C840" t="inlineStr">
        <is>
          <t>España</t>
        </is>
      </c>
      <c r="D840" t="inlineStr">
        <is>
          <t>Valencia</t>
        </is>
      </c>
      <c r="E840" t="inlineStr">
        <is>
          <t>2026-03-20</t>
        </is>
      </c>
      <c r="F840" t="inlineStr">
        <is>
          <t>2026-03-27</t>
        </is>
      </c>
      <c r="G840" t="inlineStr">
        <is>
          <t xml:space="preserve"> - Road House</t>
        </is>
      </c>
      <c r="H840">
        <f>HYPERLINK("https://booking.roadsurfer.com/es/rally/pick?pickup_date=2026-03-20&amp;return_date=2026-03-27&amp;currency=EUR&amp;startStation=1&amp;endStation=38", "Clic para verlo en la web de RoadSurfer")</f>
        <v/>
      </c>
    </row>
    <row r="841">
      <c r="A841" t="inlineStr">
        <is>
          <t>Alemania</t>
        </is>
      </c>
      <c r="B841" t="inlineStr">
        <is>
          <t>Múnich</t>
        </is>
      </c>
      <c r="C841" t="inlineStr">
        <is>
          <t>España</t>
        </is>
      </c>
      <c r="D841" t="inlineStr">
        <is>
          <t>Valencia</t>
        </is>
      </c>
      <c r="E841" t="inlineStr">
        <is>
          <t>2026-03-02</t>
        </is>
      </c>
      <c r="F841" t="inlineStr">
        <is>
          <t>2026-03-09</t>
        </is>
      </c>
      <c r="G841" t="inlineStr">
        <is>
          <t xml:space="preserve"> - BEACH HOSTEL</t>
        </is>
      </c>
      <c r="H841">
        <f>HYPERLINK("https://booking.roadsurfer.com/es/rally/pick?pickup_date=2026-03-02&amp;return_date=2026-03-09&amp;currency=EUR&amp;startStation=1&amp;endStation=38", "Clic para verlo en la web de RoadSurfer")</f>
        <v/>
      </c>
    </row>
    <row r="842">
      <c r="A842" t="inlineStr">
        <is>
          <t>Alemania</t>
        </is>
      </c>
      <c r="B842" t="inlineStr">
        <is>
          <t>Múnich</t>
        </is>
      </c>
      <c r="C842" t="inlineStr">
        <is>
          <t>España</t>
        </is>
      </c>
      <c r="D842" t="inlineStr">
        <is>
          <t>Bilbao</t>
        </is>
      </c>
      <c r="E842" t="inlineStr">
        <is>
          <t>2026-03-19</t>
        </is>
      </c>
      <c r="F842" t="inlineStr">
        <is>
          <t>2026-03-26</t>
        </is>
      </c>
      <c r="G842" t="inlineStr">
        <is>
          <t xml:space="preserve"> - Road House</t>
        </is>
      </c>
      <c r="H842">
        <f>HYPERLINK("https://booking.roadsurfer.com/es/rally/pick?pickup_date=2026-03-19&amp;return_date=2026-03-26&amp;currency=EUR&amp;startStation=1&amp;endStation=40", "Clic para verlo en la web de RoadSurfer")</f>
        <v/>
      </c>
    </row>
    <row r="843">
      <c r="A843" t="inlineStr">
        <is>
          <t>Alemania</t>
        </is>
      </c>
      <c r="B843" t="inlineStr">
        <is>
          <t>Múnich</t>
        </is>
      </c>
      <c r="C843" t="inlineStr">
        <is>
          <t>España</t>
        </is>
      </c>
      <c r="D843" t="inlineStr">
        <is>
          <t>Bilbao</t>
        </is>
      </c>
      <c r="E843" t="inlineStr">
        <is>
          <t>2026-03-02</t>
        </is>
      </c>
      <c r="F843" t="inlineStr">
        <is>
          <t>2026-03-09</t>
        </is>
      </c>
      <c r="G843" t="inlineStr">
        <is>
          <t xml:space="preserve"> - Family Finca</t>
        </is>
      </c>
      <c r="H843">
        <f>HYPERLINK("https://booking.roadsurfer.com/es/rally/pick?pickup_date=2026-03-02&amp;return_date=2026-03-09&amp;currency=EUR&amp;startStation=1&amp;endStation=40", "Clic para verlo en la web de RoadSurfer")</f>
        <v/>
      </c>
    </row>
    <row r="844">
      <c r="A844" t="inlineStr">
        <is>
          <t>Alemania</t>
        </is>
      </c>
      <c r="B844" t="inlineStr">
        <is>
          <t>Múnich</t>
        </is>
      </c>
      <c r="C844" t="inlineStr">
        <is>
          <t>España</t>
        </is>
      </c>
      <c r="D844" t="inlineStr">
        <is>
          <t>Bilbao</t>
        </is>
      </c>
      <c r="E844" t="inlineStr">
        <is>
          <t>2026-03-05</t>
        </is>
      </c>
      <c r="F844" t="inlineStr">
        <is>
          <t>2026-03-12</t>
        </is>
      </c>
      <c r="G844" t="inlineStr">
        <is>
          <t xml:space="preserve"> - Camper Cabin</t>
        </is>
      </c>
      <c r="H844">
        <f>HYPERLINK("https://booking.roadsurfer.com/es/rally/pick?pickup_date=2026-03-05&amp;return_date=2026-03-12&amp;currency=EUR&amp;startStation=1&amp;endStation=40", "Clic para verlo en la web de RoadSurfer")</f>
        <v/>
      </c>
    </row>
    <row r="845">
      <c r="A845" t="inlineStr">
        <is>
          <t>Alemania</t>
        </is>
      </c>
      <c r="B845" t="inlineStr">
        <is>
          <t>Múnich</t>
        </is>
      </c>
      <c r="C845" t="inlineStr">
        <is>
          <t>Francia</t>
        </is>
      </c>
      <c r="D845" t="inlineStr">
        <is>
          <t>Lille</t>
        </is>
      </c>
      <c r="E845" t="inlineStr">
        <is>
          <t>2026-02-22</t>
        </is>
      </c>
      <c r="F845" t="inlineStr">
        <is>
          <t>2026-03-01</t>
        </is>
      </c>
      <c r="G845" t="inlineStr">
        <is>
          <t xml:space="preserve"> - No hay coche</t>
        </is>
      </c>
      <c r="H845">
        <f>HYPERLINK("https://booking.roadsurfer.com/es/rally/pick?pickup_date=2026-02-22&amp;return_date=2026-03-01&amp;currency=EUR&amp;startStation=1&amp;endStation=87", "Clic para verlo en la web de RoadSurfer")</f>
        <v/>
      </c>
    </row>
    <row r="846">
      <c r="A846" t="inlineStr">
        <is>
          <t>Alemania</t>
        </is>
      </c>
      <c r="B846" t="inlineStr">
        <is>
          <t>Múnich</t>
        </is>
      </c>
      <c r="C846" t="inlineStr">
        <is>
          <t>Italia</t>
        </is>
      </c>
      <c r="D846" t="inlineStr">
        <is>
          <t>Roma Aeropuerto Fiumicino</t>
        </is>
      </c>
      <c r="E846" t="inlineStr">
        <is>
          <t>2026-03-17</t>
        </is>
      </c>
      <c r="F846" t="inlineStr">
        <is>
          <t>2026-03-24</t>
        </is>
      </c>
      <c r="G846" t="inlineStr">
        <is>
          <t xml:space="preserve"> - Road House</t>
        </is>
      </c>
      <c r="H846">
        <f>HYPERLINK("https://booking.roadsurfer.com/es/rally/pick?pickup_date=2026-03-17&amp;return_date=2026-03-24&amp;currency=EUR&amp;startStation=1&amp;endStation=35", "Clic para verlo en la web de RoadSurfer")</f>
        <v/>
      </c>
    </row>
    <row r="847">
      <c r="A847" t="inlineStr">
        <is>
          <t>Alemania</t>
        </is>
      </c>
      <c r="B847" t="inlineStr">
        <is>
          <t>Múnich</t>
        </is>
      </c>
      <c r="C847" t="inlineStr">
        <is>
          <t>Francia</t>
        </is>
      </c>
      <c r="D847" t="inlineStr">
        <is>
          <t>París Sur (Orly)</t>
        </is>
      </c>
      <c r="E847" t="inlineStr">
        <is>
          <t>2026-03-27</t>
        </is>
      </c>
      <c r="F847" t="inlineStr">
        <is>
          <t>2026-04-03</t>
        </is>
      </c>
      <c r="G847" t="inlineStr">
        <is>
          <t xml:space="preserve"> - Road House</t>
        </is>
      </c>
      <c r="H847">
        <f>HYPERLINK("https://booking.roadsurfer.com/es/rally/pick?pickup_date=2026-03-27&amp;return_date=2026-04-03&amp;currency=EUR&amp;startStation=1&amp;endStation=12", "Clic para verlo en la web de RoadSurfer")</f>
        <v/>
      </c>
    </row>
    <row r="848">
      <c r="A848" t="inlineStr">
        <is>
          <t>Alemania</t>
        </is>
      </c>
      <c r="B848" t="inlineStr">
        <is>
          <t>Múnich</t>
        </is>
      </c>
      <c r="C848" t="inlineStr">
        <is>
          <t>Austria</t>
        </is>
      </c>
      <c r="D848" t="inlineStr">
        <is>
          <t>Salzburgo</t>
        </is>
      </c>
      <c r="E848" t="inlineStr">
        <is>
          <t>2026-02-19</t>
        </is>
      </c>
      <c r="F848" t="inlineStr">
        <is>
          <t>2026-02-26</t>
        </is>
      </c>
      <c r="G848" t="inlineStr">
        <is>
          <t xml:space="preserve"> - No hay coche</t>
        </is>
      </c>
      <c r="H848">
        <f>HYPERLINK("https://booking.roadsurfer.com/es/rally/pick?pickup_date=2026-02-19&amp;return_date=2026-02-26&amp;currency=EUR&amp;startStation=1&amp;endStation=85", "Clic para verlo en la web de RoadSurfer")</f>
        <v/>
      </c>
    </row>
    <row r="849">
      <c r="A849" t="inlineStr">
        <is>
          <t>Alemania</t>
        </is>
      </c>
      <c r="B849" t="inlineStr">
        <is>
          <t>Múnich</t>
        </is>
      </c>
      <c r="C849" t="inlineStr">
        <is>
          <t>Francia</t>
        </is>
      </c>
      <c r="D849" t="inlineStr">
        <is>
          <t>Niza</t>
        </is>
      </c>
      <c r="E849" t="inlineStr">
        <is>
          <t>2026-03-02</t>
        </is>
      </c>
      <c r="F849" t="inlineStr">
        <is>
          <t>2026-03-09</t>
        </is>
      </c>
      <c r="G849" t="inlineStr">
        <is>
          <t xml:space="preserve"> - Camper Castle</t>
        </is>
      </c>
      <c r="H849">
        <f>HYPERLINK("https://booking.roadsurfer.com/es/rally/pick?pickup_date=2026-03-02&amp;return_date=2026-03-09&amp;currency=EUR&amp;startStation=1&amp;endStation=88", "Clic para verlo en la web de RoadSurfer")</f>
        <v/>
      </c>
    </row>
    <row r="850">
      <c r="A850" t="inlineStr">
        <is>
          <t>Alemania</t>
        </is>
      </c>
      <c r="B850" t="inlineStr">
        <is>
          <t>Múnich</t>
        </is>
      </c>
      <c r="C850" t="inlineStr">
        <is>
          <t>Austria</t>
        </is>
      </c>
      <c r="D850" t="inlineStr">
        <is>
          <t>Graz</t>
        </is>
      </c>
      <c r="E850" t="inlineStr">
        <is>
          <t>2026-03-02</t>
        </is>
      </c>
      <c r="F850" t="inlineStr">
        <is>
          <t>2026-03-09</t>
        </is>
      </c>
      <c r="G850" t="inlineStr">
        <is>
          <t xml:space="preserve"> - Camper Castle</t>
        </is>
      </c>
      <c r="H850">
        <f>HYPERLINK("https://booking.roadsurfer.com/es/rally/pick?pickup_date=2026-03-02&amp;return_date=2026-03-09&amp;currency=EUR&amp;startStation=1&amp;endStation=37", "Clic para verlo en la web de RoadSurfer")</f>
        <v/>
      </c>
    </row>
    <row r="851">
      <c r="A851" t="inlineStr">
        <is>
          <t>Alemania</t>
        </is>
      </c>
      <c r="B851" t="inlineStr">
        <is>
          <t>Múnich</t>
        </is>
      </c>
      <c r="C851" t="inlineStr">
        <is>
          <t>Alemania</t>
        </is>
      </c>
      <c r="D851" t="inlineStr">
        <is>
          <t>Braunschweig</t>
        </is>
      </c>
      <c r="E851" t="inlineStr">
        <is>
          <t>2026-03-02</t>
        </is>
      </c>
      <c r="F851" t="inlineStr">
        <is>
          <t>2026-03-09</t>
        </is>
      </c>
      <c r="G851" t="inlineStr">
        <is>
          <t xml:space="preserve"> - No hay coche</t>
        </is>
      </c>
      <c r="H851">
        <f>HYPERLINK("https://booking.roadsurfer.com/es/rally/pick?pickup_date=2026-03-02&amp;return_date=2026-03-09&amp;currency=EUR&amp;startStation=1&amp;endStation=128", "Clic para verlo en la web de RoadSurfer")</f>
        <v/>
      </c>
    </row>
    <row r="852">
      <c r="A852" t="inlineStr">
        <is>
          <t>Alemania</t>
        </is>
      </c>
      <c r="B852" t="inlineStr">
        <is>
          <t>Múnich</t>
        </is>
      </c>
      <c r="C852" t="inlineStr">
        <is>
          <t>Francia</t>
        </is>
      </c>
      <c r="D852" t="inlineStr">
        <is>
          <t>Burdeos</t>
        </is>
      </c>
      <c r="E852" t="inlineStr">
        <is>
          <t>2026-02-18</t>
        </is>
      </c>
      <c r="F852" t="inlineStr">
        <is>
          <t>2026-02-25</t>
        </is>
      </c>
      <c r="G852" t="inlineStr">
        <is>
          <t xml:space="preserve"> - Sunrise Suite</t>
        </is>
      </c>
      <c r="H852">
        <f>HYPERLINK("https://booking.roadsurfer.com/es/rally/pick?pickup_date=2026-02-18&amp;return_date=2026-02-25&amp;currency=EUR&amp;startStation=1&amp;endStation=13", "Clic para verlo en la web de RoadSurfer")</f>
        <v/>
      </c>
    </row>
    <row r="853">
      <c r="A853" t="inlineStr">
        <is>
          <t>Francia</t>
        </is>
      </c>
      <c r="B853" t="inlineStr">
        <is>
          <t>Nantes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2026-02-27</t>
        </is>
      </c>
      <c r="F853" t="inlineStr">
        <is>
          <t>2026-03-06</t>
        </is>
      </c>
      <c r="G853" t="inlineStr">
        <is>
          <t xml:space="preserve"> - Surfer Suite</t>
        </is>
      </c>
      <c r="H853">
        <f>HYPERLINK("https://booking.roadsurfer.com/es/rally/pick?pickup_date=2026-02-27&amp;return_date=2026-03-06&amp;currency=EUR&amp;startStation=31&amp;endStation=22", "Clic para verlo en la web de RoadSurfer")</f>
        <v/>
      </c>
    </row>
    <row r="854">
      <c r="A854" t="inlineStr">
        <is>
          <t>Francia</t>
        </is>
      </c>
      <c r="B854" t="inlineStr">
        <is>
          <t>Nantes</t>
        </is>
      </c>
      <c r="C854" t="inlineStr">
        <is>
          <t>Alemania</t>
        </is>
      </c>
      <c r="D854" t="inlineStr">
        <is>
          <t>Marburg</t>
        </is>
      </c>
      <c r="E854" t="inlineStr">
        <is>
          <t>2026-02-20</t>
        </is>
      </c>
      <c r="F854" t="inlineStr">
        <is>
          <t>2026-02-27</t>
        </is>
      </c>
      <c r="G854" t="inlineStr">
        <is>
          <t xml:space="preserve"> - Surfer Suite</t>
        </is>
      </c>
      <c r="H854">
        <f>HYPERLINK("https://booking.roadsurfer.com/es/rally/pick?pickup_date=2026-02-20&amp;return_date=2026-02-27&amp;currency=EUR&amp;startStation=31&amp;endStation=22", "Clic para verlo en la web de RoadSurfer")</f>
        <v/>
      </c>
    </row>
    <row r="855">
      <c r="A855" t="inlineStr">
        <is>
          <t>Francia</t>
        </is>
      </c>
      <c r="B855" t="inlineStr">
        <is>
          <t>Nantes</t>
        </is>
      </c>
      <c r="C855" t="inlineStr">
        <is>
          <t>Alemania</t>
        </is>
      </c>
      <c r="D855" t="inlineStr">
        <is>
          <t>Marburg</t>
        </is>
      </c>
      <c r="E855" t="inlineStr">
        <is>
          <t>2026-03-02</t>
        </is>
      </c>
      <c r="F855" t="inlineStr">
        <is>
          <t>2026-03-09</t>
        </is>
      </c>
      <c r="G855" t="inlineStr">
        <is>
          <t xml:space="preserve"> - CAMPER CABIN</t>
        </is>
      </c>
      <c r="H855">
        <f>HYPERLINK("https://booking.roadsurfer.com/es/rally/pick?pickup_date=2026-03-02&amp;return_date=2026-03-09&amp;currency=EUR&amp;startStation=31&amp;endStation=22", "Clic para verlo en la web de RoadSurfer")</f>
        <v/>
      </c>
    </row>
    <row r="856">
      <c r="A856" t="inlineStr">
        <is>
          <t>Francia</t>
        </is>
      </c>
      <c r="B856" t="inlineStr">
        <is>
          <t>Nantes</t>
        </is>
      </c>
      <c r="C856" t="inlineStr">
        <is>
          <t>Alemania</t>
        </is>
      </c>
      <c r="D856" t="inlineStr">
        <is>
          <t>Marburg</t>
        </is>
      </c>
      <c r="E856" t="inlineStr">
        <is>
          <t>2026-02-17</t>
        </is>
      </c>
      <c r="F856" t="inlineStr">
        <is>
          <t>2026-02-24</t>
        </is>
      </c>
      <c r="G856" t="inlineStr">
        <is>
          <t xml:space="preserve"> - BEACH HOSTEL</t>
        </is>
      </c>
      <c r="H856">
        <f>HYPERLINK("https://booking.roadsurfer.com/es/rally/pick?pickup_date=2026-02-17&amp;return_date=2026-02-24&amp;currency=EUR&amp;startStation=31&amp;endStation=22", "Clic para verlo en la web de RoadSurfer")</f>
        <v/>
      </c>
    </row>
    <row r="857">
      <c r="A857" t="inlineStr">
        <is>
          <t>Francia</t>
        </is>
      </c>
      <c r="B857" t="inlineStr">
        <is>
          <t>Nantes</t>
        </is>
      </c>
      <c r="C857" t="inlineStr">
        <is>
          <t>Alemania</t>
        </is>
      </c>
      <c r="D857" t="inlineStr">
        <is>
          <t>Marburg</t>
        </is>
      </c>
      <c r="E857" t="inlineStr">
        <is>
          <t>2026-02-26</t>
        </is>
      </c>
      <c r="F857" t="inlineStr">
        <is>
          <t>2026-03-05</t>
        </is>
      </c>
      <c r="G857" t="inlineStr">
        <is>
          <t xml:space="preserve"> - No hay coche</t>
        </is>
      </c>
      <c r="H857">
        <f>HYPERLINK("https://booking.roadsurfer.com/es/rally/pick?pickup_date=2026-02-26&amp;return_date=2026-03-05&amp;currency=EUR&amp;startStation=31&amp;endStation=22", "Clic para verlo en la web de RoadSurfer")</f>
        <v/>
      </c>
    </row>
    <row r="858">
      <c r="A858" t="inlineStr">
        <is>
          <t>Francia</t>
        </is>
      </c>
      <c r="B858" t="inlineStr">
        <is>
          <t>Nantes</t>
        </is>
      </c>
      <c r="C858" t="inlineStr">
        <is>
          <t>Alemania</t>
        </is>
      </c>
      <c r="D858" t="inlineStr">
        <is>
          <t>Marburg</t>
        </is>
      </c>
      <c r="E858" t="inlineStr">
        <is>
          <t>2026-02-25</t>
        </is>
      </c>
      <c r="F858" t="inlineStr">
        <is>
          <t>2026-03-04</t>
        </is>
      </c>
      <c r="G858" t="inlineStr">
        <is>
          <t xml:space="preserve"> - Surfer Suite</t>
        </is>
      </c>
      <c r="H858">
        <f>HYPERLINK("https://booking.roadsurfer.com/es/rally/pick?pickup_date=2026-02-25&amp;return_date=2026-03-04&amp;currency=EUR&amp;startStation=31&amp;endStation=22", "Clic para verlo en la web de RoadSurfer")</f>
        <v/>
      </c>
    </row>
    <row r="859">
      <c r="A859" t="inlineStr">
        <is>
          <t>Francia</t>
        </is>
      </c>
      <c r="B859" t="inlineStr">
        <is>
          <t>Nantes</t>
        </is>
      </c>
      <c r="C859" t="inlineStr">
        <is>
          <t>Alemania</t>
        </is>
      </c>
      <c r="D859" t="inlineStr">
        <is>
          <t>Marburg</t>
        </is>
      </c>
      <c r="E859" t="inlineStr">
        <is>
          <t>2026-02-21</t>
        </is>
      </c>
      <c r="F859" t="inlineStr">
        <is>
          <t>2026-02-28</t>
        </is>
      </c>
      <c r="G859" t="inlineStr">
        <is>
          <t xml:space="preserve"> - No hay coche</t>
        </is>
      </c>
      <c r="H859">
        <f>HYPERLINK("https://booking.roadsurfer.com/es/rally/pick?pickup_date=2026-02-21&amp;return_date=2026-02-28&amp;currency=EUR&amp;startStation=31&amp;endStation=22", "Clic para verlo en la web de RoadSurfer")</f>
        <v/>
      </c>
    </row>
    <row r="860">
      <c r="A860" t="inlineStr">
        <is>
          <t>Francia</t>
        </is>
      </c>
      <c r="B860" t="inlineStr">
        <is>
          <t>Nantes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2026-03-09</t>
        </is>
      </c>
      <c r="F860" t="inlineStr">
        <is>
          <t>2026-03-16</t>
        </is>
      </c>
      <c r="G860" t="inlineStr">
        <is>
          <t xml:space="preserve"> - Surfer Suite</t>
        </is>
      </c>
      <c r="H860">
        <f>HYPERLINK("https://booking.roadsurfer.com/es/rally/pick?pickup_date=2026-03-09&amp;return_date=2026-03-16&amp;currency=EUR&amp;startStation=31&amp;endStation=22", "Clic para verlo en la web de RoadSurfer")</f>
        <v/>
      </c>
    </row>
    <row r="861">
      <c r="A861" t="inlineStr">
        <is>
          <t>Francia</t>
        </is>
      </c>
      <c r="B861" t="inlineStr">
        <is>
          <t>Nantes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2026-03-10</t>
        </is>
      </c>
      <c r="F861" t="inlineStr">
        <is>
          <t>2026-03-17</t>
        </is>
      </c>
      <c r="G861" t="inlineStr">
        <is>
          <t xml:space="preserve"> - Surfer Suite</t>
        </is>
      </c>
      <c r="H861">
        <f>HYPERLINK("https://booking.roadsurfer.com/es/rally/pick?pickup_date=2026-03-10&amp;return_date=2026-03-17&amp;currency=EUR&amp;startStation=31&amp;endStation=22", "Clic para verlo en la web de RoadSurfer")</f>
        <v/>
      </c>
    </row>
    <row r="862">
      <c r="A862" t="inlineStr">
        <is>
          <t>Francia</t>
        </is>
      </c>
      <c r="B862" t="inlineStr">
        <is>
          <t>Nantes</t>
        </is>
      </c>
      <c r="C862" t="inlineStr">
        <is>
          <t>Alemania</t>
        </is>
      </c>
      <c r="D862" t="inlineStr">
        <is>
          <t>Kassel</t>
        </is>
      </c>
      <c r="E862" t="inlineStr">
        <is>
          <t>2026-03-09</t>
        </is>
      </c>
      <c r="F862" t="inlineStr">
        <is>
          <t>2026-03-16</t>
        </is>
      </c>
      <c r="G862" t="inlineStr">
        <is>
          <t xml:space="preserve"> - Camper Cabin</t>
        </is>
      </c>
      <c r="H862">
        <f>HYPERLINK("https://booking.roadsurfer.com/es/rally/pick?pickup_date=2026-03-09&amp;return_date=2026-03-16&amp;currency=EUR&amp;startStation=31&amp;endStation=92", "Clic para verlo en la web de RoadSurfer")</f>
        <v/>
      </c>
    </row>
    <row r="863">
      <c r="A863" t="inlineStr">
        <is>
          <t>Francia</t>
        </is>
      </c>
      <c r="B863" t="inlineStr">
        <is>
          <t>Nantes</t>
        </is>
      </c>
      <c r="C863" t="inlineStr">
        <is>
          <t>Alemania</t>
        </is>
      </c>
      <c r="D863" t="inlineStr">
        <is>
          <t>Bielefeld</t>
        </is>
      </c>
      <c r="E863" t="inlineStr">
        <is>
          <t>2026-02-18</t>
        </is>
      </c>
      <c r="F863" t="inlineStr">
        <is>
          <t>2026-02-25</t>
        </is>
      </c>
      <c r="G863" t="inlineStr">
        <is>
          <t xml:space="preserve"> - BEACH HOSTEL</t>
        </is>
      </c>
      <c r="H863">
        <f>HYPERLINK("https://booking.roadsurfer.com/es/rally/pick?pickup_date=2026-02-18&amp;return_date=2026-02-25&amp;currency=EUR&amp;startStation=31&amp;endStation=91", "Clic para verlo en la web de RoadSurfer")</f>
        <v/>
      </c>
    </row>
    <row r="864">
      <c r="A864" t="inlineStr">
        <is>
          <t>Francia</t>
        </is>
      </c>
      <c r="B864" t="inlineStr">
        <is>
          <t>Nantes</t>
        </is>
      </c>
      <c r="C864" t="inlineStr">
        <is>
          <t>Alemania</t>
        </is>
      </c>
      <c r="D864" t="inlineStr">
        <is>
          <t>Bielefeld</t>
        </is>
      </c>
      <c r="E864" t="inlineStr">
        <is>
          <t>2026-03-04</t>
        </is>
      </c>
      <c r="F864" t="inlineStr">
        <is>
          <t>2026-03-11</t>
        </is>
      </c>
      <c r="G864" t="inlineStr">
        <is>
          <t xml:space="preserve"> - Family Finca</t>
        </is>
      </c>
      <c r="H864">
        <f>HYPERLINK("https://booking.roadsurfer.com/es/rally/pick?pickup_date=2026-03-04&amp;return_date=2026-03-11&amp;currency=EUR&amp;startStation=31&amp;endStation=91", "Clic para verlo en la web de RoadSurfer")</f>
        <v/>
      </c>
    </row>
    <row r="865">
      <c r="A865" t="inlineStr">
        <is>
          <t>Francia</t>
        </is>
      </c>
      <c r="B865" t="inlineStr">
        <is>
          <t>Nantes</t>
        </is>
      </c>
      <c r="C865" t="inlineStr">
        <is>
          <t>Alemania</t>
        </is>
      </c>
      <c r="D865" t="inlineStr">
        <is>
          <t>Colonia-Düsseldorf</t>
        </is>
      </c>
      <c r="E865" t="inlineStr">
        <is>
          <t>2026-02-20</t>
        </is>
      </c>
      <c r="F865" t="inlineStr">
        <is>
          <t>2026-02-27</t>
        </is>
      </c>
      <c r="G865" t="inlineStr">
        <is>
          <t xml:space="preserve"> - Surfer Suite</t>
        </is>
      </c>
      <c r="H865">
        <f>HYPERLINK("https://booking.roadsurfer.com/es/rally/pick?pickup_date=2026-02-20&amp;return_date=2026-02-27&amp;currency=EUR&amp;startStation=31&amp;endStation=4", "Clic para verlo en la web de RoadSurfer")</f>
        <v/>
      </c>
    </row>
    <row r="866">
      <c r="A866" t="inlineStr">
        <is>
          <t>Francia</t>
        </is>
      </c>
      <c r="B866" t="inlineStr">
        <is>
          <t>Nantes</t>
        </is>
      </c>
      <c r="C866" t="inlineStr">
        <is>
          <t>Alemania</t>
        </is>
      </c>
      <c r="D866" t="inlineStr">
        <is>
          <t>Colonia-Düsseldorf</t>
        </is>
      </c>
      <c r="E866" t="inlineStr">
        <is>
          <t>2026-02-23</t>
        </is>
      </c>
      <c r="F866" t="inlineStr">
        <is>
          <t>2026-03-02</t>
        </is>
      </c>
      <c r="G866" t="inlineStr">
        <is>
          <t xml:space="preserve"> - Surfer Suite</t>
        </is>
      </c>
      <c r="H866">
        <f>HYPERLINK("https://booking.roadsurfer.com/es/rally/pick?pickup_date=2026-02-23&amp;return_date=2026-03-02&amp;currency=EUR&amp;startStation=31&amp;endStation=4", "Clic para verlo en la web de RoadSurfer")</f>
        <v/>
      </c>
    </row>
    <row r="867">
      <c r="A867" t="inlineStr">
        <is>
          <t>Francia</t>
        </is>
      </c>
      <c r="B867" t="inlineStr">
        <is>
          <t>Nantes</t>
        </is>
      </c>
      <c r="C867" t="inlineStr">
        <is>
          <t>Alemania</t>
        </is>
      </c>
      <c r="D867" t="inlineStr">
        <is>
          <t>Colonia-Düsseldorf</t>
        </is>
      </c>
      <c r="E867" t="inlineStr">
        <is>
          <t>2026-03-13</t>
        </is>
      </c>
      <c r="F867" t="inlineStr">
        <is>
          <t>2026-03-20</t>
        </is>
      </c>
      <c r="G867" t="inlineStr">
        <is>
          <t xml:space="preserve"> - Road House</t>
        </is>
      </c>
      <c r="H867">
        <f>HYPERLINK("https://booking.roadsurfer.com/es/rally/pick?pickup_date=2026-03-13&amp;return_date=2026-03-20&amp;currency=EUR&amp;startStation=31&amp;endStation=4", "Clic para verlo en la web de RoadSurfer")</f>
        <v/>
      </c>
    </row>
    <row r="868">
      <c r="A868" t="inlineStr">
        <is>
          <t>Francia</t>
        </is>
      </c>
      <c r="B868" t="inlineStr">
        <is>
          <t>Nantes</t>
        </is>
      </c>
      <c r="C868" t="inlineStr">
        <is>
          <t>Alemania</t>
        </is>
      </c>
      <c r="D868" t="inlineStr">
        <is>
          <t>Dresde</t>
        </is>
      </c>
      <c r="E868" t="inlineStr">
        <is>
          <t>2026-03-09</t>
        </is>
      </c>
      <c r="F868" t="inlineStr">
        <is>
          <t>2026-03-16</t>
        </is>
      </c>
      <c r="G868" t="inlineStr">
        <is>
          <t xml:space="preserve"> - Camper Castle</t>
        </is>
      </c>
      <c r="H868">
        <f>HYPERLINK("https://booking.roadsurfer.com/es/rally/pick?pickup_date=2026-03-09&amp;return_date=2026-03-16&amp;currency=EUR&amp;startStation=31&amp;endStation=56", "Clic para verlo en la web de RoadSurfer")</f>
        <v/>
      </c>
    </row>
    <row r="869">
      <c r="A869" t="inlineStr">
        <is>
          <t>Francia</t>
        </is>
      </c>
      <c r="B869" t="inlineStr">
        <is>
          <t>Nantes</t>
        </is>
      </c>
      <c r="C869" t="inlineStr">
        <is>
          <t>Alemania</t>
        </is>
      </c>
      <c r="D869" t="inlineStr">
        <is>
          <t>Stuttgart</t>
        </is>
      </c>
      <c r="E869" t="inlineStr">
        <is>
          <t>2026-03-10</t>
        </is>
      </c>
      <c r="F869" t="inlineStr">
        <is>
          <t>2026-03-20</t>
        </is>
      </c>
      <c r="G869" t="inlineStr">
        <is>
          <t xml:space="preserve"> - Beach Hostel</t>
        </is>
      </c>
      <c r="H869">
        <f>HYPERLINK("https://booking.roadsurfer.com/es/rally/pick?pickup_date=2026-03-10&amp;return_date=2026-03-20&amp;currency=EUR&amp;startStation=31&amp;endStation=5", "Clic para verlo en la web de RoadSurfer")</f>
        <v/>
      </c>
    </row>
    <row r="870">
      <c r="A870" t="inlineStr">
        <is>
          <t>Francia</t>
        </is>
      </c>
      <c r="B870" t="inlineStr">
        <is>
          <t>Nantes</t>
        </is>
      </c>
      <c r="C870" t="inlineStr">
        <is>
          <t>Alemania</t>
        </is>
      </c>
      <c r="D870" t="inlineStr">
        <is>
          <t>Colonia-Bonn</t>
        </is>
      </c>
      <c r="E870" t="inlineStr">
        <is>
          <t>2026-02-23</t>
        </is>
      </c>
      <c r="F870" t="inlineStr">
        <is>
          <t>2026-03-02</t>
        </is>
      </c>
      <c r="G870" t="inlineStr">
        <is>
          <t xml:space="preserve"> - Family Finca</t>
        </is>
      </c>
      <c r="H870">
        <f>HYPERLINK("https://booking.roadsurfer.com/es/rally/pick?pickup_date=2026-02-23&amp;return_date=2026-03-02&amp;currency=EUR&amp;startStation=31&amp;endStation=52", "Clic para verlo en la web de RoadSurfer")</f>
        <v/>
      </c>
    </row>
    <row r="871">
      <c r="A871" t="inlineStr">
        <is>
          <t>Francia</t>
        </is>
      </c>
      <c r="B871" t="inlineStr">
        <is>
          <t>Nantes</t>
        </is>
      </c>
      <c r="C871" t="inlineStr">
        <is>
          <t>Alemania</t>
        </is>
      </c>
      <c r="D871" t="inlineStr">
        <is>
          <t>Colonia-Bonn</t>
        </is>
      </c>
      <c r="E871" t="inlineStr">
        <is>
          <t>2026-02-20</t>
        </is>
      </c>
      <c r="F871" t="inlineStr">
        <is>
          <t>2026-02-27</t>
        </is>
      </c>
      <c r="G871" t="inlineStr">
        <is>
          <t xml:space="preserve"> - Family Finca</t>
        </is>
      </c>
      <c r="H871">
        <f>HYPERLINK("https://booking.roadsurfer.com/es/rally/pick?pickup_date=2026-02-20&amp;return_date=2026-02-27&amp;currency=EUR&amp;startStation=31&amp;endStation=52", "Clic para verlo en la web de RoadSurfer")</f>
        <v/>
      </c>
    </row>
    <row r="872">
      <c r="A872" t="inlineStr">
        <is>
          <t>Francia</t>
        </is>
      </c>
      <c r="B872" t="inlineStr">
        <is>
          <t>Nantes</t>
        </is>
      </c>
      <c r="C872" t="inlineStr">
        <is>
          <t>Alemania</t>
        </is>
      </c>
      <c r="D872" t="inlineStr">
        <is>
          <t>Colonia-Bonn</t>
        </is>
      </c>
      <c r="E872" t="inlineStr">
        <is>
          <t>2026-03-13</t>
        </is>
      </c>
      <c r="F872" t="inlineStr">
        <is>
          <t>2026-03-20</t>
        </is>
      </c>
      <c r="G872" t="inlineStr">
        <is>
          <t xml:space="preserve"> - Road House</t>
        </is>
      </c>
      <c r="H872">
        <f>HYPERLINK("https://booking.roadsurfer.com/es/rally/pick?pickup_date=2026-03-13&amp;return_date=2026-03-20&amp;currency=EUR&amp;startStation=31&amp;endStation=52", "Clic para verlo en la web de RoadSurfer")</f>
        <v/>
      </c>
    </row>
    <row r="873">
      <c r="A873" t="inlineStr">
        <is>
          <t>Francia</t>
        </is>
      </c>
      <c r="B873" t="inlineStr">
        <is>
          <t>Nantes</t>
        </is>
      </c>
      <c r="C873" t="inlineStr">
        <is>
          <t>Alemania</t>
        </is>
      </c>
      <c r="D873" t="inlineStr">
        <is>
          <t>Colonia-Bonn</t>
        </is>
      </c>
      <c r="E873" t="inlineStr">
        <is>
          <t>2026-03-17</t>
        </is>
      </c>
      <c r="F873" t="inlineStr">
        <is>
          <t>2026-03-24</t>
        </is>
      </c>
      <c r="G873" t="inlineStr">
        <is>
          <t xml:space="preserve"> - Travel Home</t>
        </is>
      </c>
      <c r="H873">
        <f>HYPERLINK("https://booking.roadsurfer.com/es/rally/pick?pickup_date=2026-03-17&amp;return_date=2026-03-24&amp;currency=EUR&amp;startStation=31&amp;endStation=52", "Clic para verlo en la web de RoadSurfer")</f>
        <v/>
      </c>
    </row>
    <row r="874">
      <c r="A874" t="inlineStr">
        <is>
          <t>Francia</t>
        </is>
      </c>
      <c r="B874" t="inlineStr">
        <is>
          <t>Nantes</t>
        </is>
      </c>
      <c r="C874" t="inlineStr">
        <is>
          <t>Alemania</t>
        </is>
      </c>
      <c r="D874" t="inlineStr">
        <is>
          <t>Colonia-Bonn</t>
        </is>
      </c>
      <c r="E874" t="inlineStr">
        <is>
          <t>2026-03-14</t>
        </is>
      </c>
      <c r="F874" t="inlineStr">
        <is>
          <t>2026-03-21</t>
        </is>
      </c>
      <c r="G874" t="inlineStr">
        <is>
          <t xml:space="preserve"> - Surfer Suite</t>
        </is>
      </c>
      <c r="H874">
        <f>HYPERLINK("https://booking.roadsurfer.com/es/rally/pick?pickup_date=2026-03-14&amp;return_date=2026-03-21&amp;currency=EUR&amp;startStation=31&amp;endStation=52", "Clic para verlo en la web de RoadSurfer")</f>
        <v/>
      </c>
    </row>
    <row r="875">
      <c r="A875" t="inlineStr">
        <is>
          <t>Francia</t>
        </is>
      </c>
      <c r="B875" t="inlineStr">
        <is>
          <t>Nantes</t>
        </is>
      </c>
      <c r="C875" t="inlineStr">
        <is>
          <t>Alemania</t>
        </is>
      </c>
      <c r="D875" t="inlineStr">
        <is>
          <t>Colonia-Bonn</t>
        </is>
      </c>
      <c r="E875" t="inlineStr">
        <is>
          <t>2026-03-16</t>
        </is>
      </c>
      <c r="F875" t="inlineStr">
        <is>
          <t>2026-03-23</t>
        </is>
      </c>
      <c r="G875" t="inlineStr">
        <is>
          <t xml:space="preserve"> - Surfer Suite</t>
        </is>
      </c>
      <c r="H875">
        <f>HYPERLINK("https://booking.roadsurfer.com/es/rally/pick?pickup_date=2026-03-16&amp;return_date=2026-03-23&amp;currency=EUR&amp;startStation=31&amp;endStation=52", "Clic para verlo en la web de RoadSurfer")</f>
        <v/>
      </c>
    </row>
    <row r="876">
      <c r="A876" t="inlineStr">
        <is>
          <t>Francia</t>
        </is>
      </c>
      <c r="B876" t="inlineStr">
        <is>
          <t>Nantes</t>
        </is>
      </c>
      <c r="C876" t="inlineStr">
        <is>
          <t>Alemania</t>
        </is>
      </c>
      <c r="D876" t="inlineStr">
        <is>
          <t>Ulm</t>
        </is>
      </c>
      <c r="E876" t="inlineStr">
        <is>
          <t>2026-03-11</t>
        </is>
      </c>
      <c r="F876" t="inlineStr">
        <is>
          <t>2026-03-18</t>
        </is>
      </c>
      <c r="G876" t="inlineStr">
        <is>
          <t xml:space="preserve"> - Beach Hostel</t>
        </is>
      </c>
      <c r="H876">
        <f>HYPERLINK("https://booking.roadsurfer.com/es/rally/pick?pickup_date=2026-03-11&amp;return_date=2026-03-18&amp;currency=EUR&amp;startStation=31&amp;endStation=112", "Clic para verlo en la web de RoadSurfer")</f>
        <v/>
      </c>
    </row>
    <row r="877">
      <c r="A877" t="inlineStr">
        <is>
          <t>Francia</t>
        </is>
      </c>
      <c r="B877" t="inlineStr">
        <is>
          <t>Nantes</t>
        </is>
      </c>
      <c r="C877" t="inlineStr">
        <is>
          <t>Alemania</t>
        </is>
      </c>
      <c r="D877" t="inlineStr">
        <is>
          <t>Núremberg</t>
        </is>
      </c>
      <c r="E877" t="inlineStr">
        <is>
          <t>2026-03-09</t>
        </is>
      </c>
      <c r="F877" t="inlineStr">
        <is>
          <t>2026-03-16</t>
        </is>
      </c>
      <c r="G877" t="inlineStr">
        <is>
          <t xml:space="preserve"> - Camper Cabin</t>
        </is>
      </c>
      <c r="H877">
        <f>HYPERLINK("https://booking.roadsurfer.com/es/rally/pick?pickup_date=2026-03-09&amp;return_date=2026-03-16&amp;currency=EUR&amp;startStation=31&amp;endStation=11", "Clic para verlo en la web de RoadSurfer")</f>
        <v/>
      </c>
    </row>
    <row r="878">
      <c r="A878" t="inlineStr">
        <is>
          <t>Francia</t>
        </is>
      </c>
      <c r="B878" t="inlineStr">
        <is>
          <t>Nantes</t>
        </is>
      </c>
      <c r="C878" t="inlineStr">
        <is>
          <t>Alemania</t>
        </is>
      </c>
      <c r="D878" t="inlineStr">
        <is>
          <t>Kiel</t>
        </is>
      </c>
      <c r="E878" t="inlineStr">
        <is>
          <t>2026-03-09</t>
        </is>
      </c>
      <c r="F878" t="inlineStr">
        <is>
          <t>2026-03-16</t>
        </is>
      </c>
      <c r="G878" t="inlineStr">
        <is>
          <t xml:space="preserve"> - Camper Cabin</t>
        </is>
      </c>
      <c r="H878">
        <f>HYPERLINK("https://booking.roadsurfer.com/es/rally/pick?pickup_date=2026-03-09&amp;return_date=2026-03-16&amp;currency=EUR&amp;startStation=31&amp;endStation=111", "Clic para verlo en la web de RoadSurfer")</f>
        <v/>
      </c>
    </row>
    <row r="879">
      <c r="A879" t="inlineStr">
        <is>
          <t>Francia</t>
        </is>
      </c>
      <c r="B879" t="inlineStr">
        <is>
          <t>Niza</t>
        </is>
      </c>
      <c r="C879" t="inlineStr">
        <is>
          <t>Alemania</t>
        </is>
      </c>
      <c r="D879" t="inlineStr">
        <is>
          <t>Marburg</t>
        </is>
      </c>
      <c r="E879" t="inlineStr">
        <is>
          <t>2026-03-02</t>
        </is>
      </c>
      <c r="F879" t="inlineStr">
        <is>
          <t>2026-03-09</t>
        </is>
      </c>
      <c r="G879" t="inlineStr">
        <is>
          <t xml:space="preserve"> - Surfer Suite</t>
        </is>
      </c>
      <c r="H879">
        <f>HYPERLINK("https://booking.roadsurfer.com/es/rally/pick?pickup_date=2026-03-02&amp;return_date=2026-03-09&amp;currency=EUR&amp;startStation=88&amp;endStation=22", "Clic para verlo en la web de RoadSurfer")</f>
        <v/>
      </c>
    </row>
    <row r="880">
      <c r="A880" t="inlineStr">
        <is>
          <t>Francia</t>
        </is>
      </c>
      <c r="B880" t="inlineStr">
        <is>
          <t>Niza</t>
        </is>
      </c>
      <c r="C880" t="inlineStr">
        <is>
          <t>Alemania</t>
        </is>
      </c>
      <c r="D880" t="inlineStr">
        <is>
          <t>Marburg</t>
        </is>
      </c>
      <c r="E880" t="inlineStr">
        <is>
          <t>2026-02-20</t>
        </is>
      </c>
      <c r="F880" t="inlineStr">
        <is>
          <t>2026-02-27</t>
        </is>
      </c>
      <c r="G880" t="inlineStr">
        <is>
          <t xml:space="preserve"> - Surfer Suite</t>
        </is>
      </c>
      <c r="H880">
        <f>HYPERLINK("https://booking.roadsurfer.com/es/rally/pick?pickup_date=2026-02-20&amp;return_date=2026-02-27&amp;currency=EUR&amp;startStation=88&amp;endStation=22", "Clic para verlo en la web de RoadSurfer")</f>
        <v/>
      </c>
    </row>
    <row r="881">
      <c r="A881" t="inlineStr">
        <is>
          <t>Francia</t>
        </is>
      </c>
      <c r="B881" t="inlineStr">
        <is>
          <t>Niza</t>
        </is>
      </c>
      <c r="C881" t="inlineStr">
        <is>
          <t>Alemania</t>
        </is>
      </c>
      <c r="D881" t="inlineStr">
        <is>
          <t>Múnich</t>
        </is>
      </c>
      <c r="E881" t="inlineStr">
        <is>
          <t>2026-02-26</t>
        </is>
      </c>
      <c r="F881" t="inlineStr">
        <is>
          <t>2026-03-05</t>
        </is>
      </c>
      <c r="G881" t="inlineStr">
        <is>
          <t xml:space="preserve"> - Family Finca</t>
        </is>
      </c>
      <c r="H881">
        <f>HYPERLINK("https://booking.roadsurfer.com/es/rally/pick?pickup_date=2026-02-26&amp;return_date=2026-03-05&amp;currency=EUR&amp;startStation=88&amp;endStation=1", "Clic para verlo en la web de RoadSurfer")</f>
        <v/>
      </c>
    </row>
    <row r="882">
      <c r="A882" t="inlineStr">
        <is>
          <t>Francia</t>
        </is>
      </c>
      <c r="B882" t="inlineStr">
        <is>
          <t>Niza</t>
        </is>
      </c>
      <c r="C882" t="inlineStr">
        <is>
          <t>Alemania</t>
        </is>
      </c>
      <c r="D882" t="inlineStr">
        <is>
          <t>Múnich</t>
        </is>
      </c>
      <c r="E882" t="inlineStr">
        <is>
          <t>2026-03-20</t>
        </is>
      </c>
      <c r="F882" t="inlineStr">
        <is>
          <t>2026-03-27</t>
        </is>
      </c>
      <c r="G882" t="inlineStr">
        <is>
          <t xml:space="preserve"> - Surfer Suite</t>
        </is>
      </c>
      <c r="H882">
        <f>HYPERLINK("https://booking.roadsurfer.com/es/rally/pick?pickup_date=2026-03-20&amp;return_date=2026-03-27&amp;currency=EUR&amp;startStation=88&amp;endStation=1", "Clic para verlo en la web de RoadSurfer")</f>
        <v/>
      </c>
    </row>
    <row r="883">
      <c r="A883" t="inlineStr">
        <is>
          <t>Francia</t>
        </is>
      </c>
      <c r="B883" t="inlineStr">
        <is>
          <t>Niza</t>
        </is>
      </c>
      <c r="C883" t="inlineStr">
        <is>
          <t>Alemania</t>
        </is>
      </c>
      <c r="D883" t="inlineStr">
        <is>
          <t>Fráncfort</t>
        </is>
      </c>
      <c r="E883" t="inlineStr">
        <is>
          <t>2026-03-19</t>
        </is>
      </c>
      <c r="F883" t="inlineStr">
        <is>
          <t>2026-03-26</t>
        </is>
      </c>
      <c r="G883" t="inlineStr">
        <is>
          <t xml:space="preserve"> - Beach Hostel</t>
        </is>
      </c>
      <c r="H883">
        <f>HYPERLINK("https://booking.roadsurfer.com/es/rally/pick?pickup_date=2026-03-19&amp;return_date=2026-03-26&amp;currency=EUR&amp;startStation=88&amp;endStation=2", "Clic para verlo en la web de RoadSurfer")</f>
        <v/>
      </c>
    </row>
    <row r="884">
      <c r="A884" t="inlineStr">
        <is>
          <t>Alemania</t>
        </is>
      </c>
      <c r="B884" t="inlineStr">
        <is>
          <t>Núremberg</t>
        </is>
      </c>
      <c r="C884" t="inlineStr">
        <is>
          <t>Austria</t>
        </is>
      </c>
      <c r="D884" t="inlineStr">
        <is>
          <t>Viena</t>
        </is>
      </c>
      <c r="E884" t="inlineStr">
        <is>
          <t>2026-03-31</t>
        </is>
      </c>
      <c r="F884" t="inlineStr">
        <is>
          <t>2026-04-07</t>
        </is>
      </c>
      <c r="G884" t="inlineStr">
        <is>
          <t xml:space="preserve"> - Couple Cottage</t>
        </is>
      </c>
      <c r="H884">
        <f>HYPERLINK("https://booking.roadsurfer.com/es/rally/pick?pickup_date=2026-03-31&amp;return_date=2026-04-07&amp;currency=EUR&amp;startStation=11&amp;endStation=36", "Clic para verlo en la web de RoadSurfer")</f>
        <v/>
      </c>
    </row>
    <row r="885">
      <c r="A885" t="inlineStr">
        <is>
          <t>Alemania</t>
        </is>
      </c>
      <c r="B885" t="inlineStr">
        <is>
          <t>Núremberg</t>
        </is>
      </c>
      <c r="C885" t="inlineStr">
        <is>
          <t>Austria</t>
        </is>
      </c>
      <c r="D885" t="inlineStr">
        <is>
          <t>Viena Sur</t>
        </is>
      </c>
      <c r="E885" t="inlineStr">
        <is>
          <t>2026-02-27</t>
        </is>
      </c>
      <c r="F885" t="inlineStr">
        <is>
          <t>2026-03-06</t>
        </is>
      </c>
      <c r="G885" t="inlineStr">
        <is>
          <t xml:space="preserve"> - Camper Cabin Deluxe</t>
        </is>
      </c>
      <c r="H885">
        <f>HYPERLINK("https://booking.roadsurfer.com/es/rally/pick?pickup_date=2026-02-27&amp;return_date=2026-03-06&amp;currency=EUR&amp;startStation=11&amp;endStation=45", "Clic para verlo en la web de RoadSurfer")</f>
        <v/>
      </c>
    </row>
    <row r="886">
      <c r="A886" t="inlineStr">
        <is>
          <t>Alemania</t>
        </is>
      </c>
      <c r="B886" t="inlineStr">
        <is>
          <t>Núremberg</t>
        </is>
      </c>
      <c r="C886" t="inlineStr">
        <is>
          <t>Francia</t>
        </is>
      </c>
      <c r="D886" t="inlineStr">
        <is>
          <t>Toulouse</t>
        </is>
      </c>
      <c r="E886" t="inlineStr">
        <is>
          <t>2026-02-23</t>
        </is>
      </c>
      <c r="F886" t="inlineStr">
        <is>
          <t>2026-03-02</t>
        </is>
      </c>
      <c r="G886" t="inlineStr">
        <is>
          <t xml:space="preserve"> - Camper Castle</t>
        </is>
      </c>
      <c r="H886">
        <f>HYPERLINK("https://booking.roadsurfer.com/es/rally/pick?pickup_date=2026-02-23&amp;return_date=2026-03-02&amp;currency=EUR&amp;startStation=11&amp;endStation=30", "Clic para verlo en la web de RoadSurfer")</f>
        <v/>
      </c>
    </row>
    <row r="887">
      <c r="A887" t="inlineStr">
        <is>
          <t>Alemania</t>
        </is>
      </c>
      <c r="B887" t="inlineStr">
        <is>
          <t>Núremberg</t>
        </is>
      </c>
      <c r="C887" t="inlineStr">
        <is>
          <t>España</t>
        </is>
      </c>
      <c r="D887" t="inlineStr">
        <is>
          <t>Sevilla</t>
        </is>
      </c>
      <c r="E887" t="inlineStr">
        <is>
          <t>2026-03-25</t>
        </is>
      </c>
      <c r="F887" t="inlineStr">
        <is>
          <t>2026-04-01</t>
        </is>
      </c>
      <c r="G887" t="inlineStr">
        <is>
          <t xml:space="preserve"> - Cozy Cottage</t>
        </is>
      </c>
      <c r="H887">
        <f>HYPERLINK("https://booking.roadsurfer.com/es/rally/pick?pickup_date=2026-03-25&amp;return_date=2026-04-01&amp;currency=EUR&amp;startStation=11&amp;endStation=39", "Clic para verlo en la web de RoadSurfer")</f>
        <v/>
      </c>
    </row>
    <row r="888">
      <c r="A888" t="inlineStr">
        <is>
          <t>Francia</t>
        </is>
      </c>
      <c r="B888" t="inlineStr">
        <is>
          <t>París Sur (Orly)</t>
        </is>
      </c>
      <c r="C888" t="inlineStr">
        <is>
          <t>Alemania</t>
        </is>
      </c>
      <c r="D888" t="inlineStr">
        <is>
          <t>Fráncfort</t>
        </is>
      </c>
      <c r="E888" t="inlineStr">
        <is>
          <t>2026-03-20</t>
        </is>
      </c>
      <c r="F888" t="inlineStr">
        <is>
          <t>2026-03-27</t>
        </is>
      </c>
      <c r="G888" t="inlineStr">
        <is>
          <t xml:space="preserve"> - Surfer Suite</t>
        </is>
      </c>
      <c r="H888">
        <f>HYPERLINK("https://booking.roadsurfer.com/es/rally/pick?pickup_date=2026-03-20&amp;return_date=2026-03-27&amp;currency=EUR&amp;startStation=12&amp;endStation=2", "Clic para verlo en la web de RoadSurfer")</f>
        <v/>
      </c>
    </row>
    <row r="889">
      <c r="A889" t="inlineStr">
        <is>
          <t>Francia</t>
        </is>
      </c>
      <c r="B889" t="inlineStr">
        <is>
          <t>París Sur (Orly)</t>
        </is>
      </c>
      <c r="C889" t="inlineStr">
        <is>
          <t>Alemania</t>
        </is>
      </c>
      <c r="D889" t="inlineStr">
        <is>
          <t>Fráncfort</t>
        </is>
      </c>
      <c r="E889" t="inlineStr">
        <is>
          <t>2026-03-21</t>
        </is>
      </c>
      <c r="F889" t="inlineStr">
        <is>
          <t>2026-03-28</t>
        </is>
      </c>
      <c r="G889" t="inlineStr">
        <is>
          <t xml:space="preserve"> - BEACH HOSTEL</t>
        </is>
      </c>
      <c r="H889">
        <f>HYPERLINK("https://booking.roadsurfer.com/es/rally/pick?pickup_date=2026-03-21&amp;return_date=2026-03-28&amp;currency=EUR&amp;startStation=12&amp;endStation=2", "Clic para verlo en la web de RoadSurfer")</f>
        <v/>
      </c>
    </row>
    <row r="890">
      <c r="A890" t="inlineStr">
        <is>
          <t>Francia</t>
        </is>
      </c>
      <c r="B890" t="inlineStr">
        <is>
          <t>París Sur (Orly)</t>
        </is>
      </c>
      <c r="C890" t="inlineStr">
        <is>
          <t>Francia</t>
        </is>
      </c>
      <c r="D890" t="inlineStr">
        <is>
          <t>París Aeropuerto CDG</t>
        </is>
      </c>
      <c r="E890" t="inlineStr">
        <is>
          <t>2026-03-05</t>
        </is>
      </c>
      <c r="F890" t="inlineStr">
        <is>
          <t>2026-03-12</t>
        </is>
      </c>
      <c r="G890" t="inlineStr">
        <is>
          <t xml:space="preserve"> - Surfer Suite</t>
        </is>
      </c>
      <c r="H890">
        <f>HYPERLINK("https://booking.roadsurfer.com/es/rally/pick?pickup_date=2026-03-05&amp;return_date=2026-03-12&amp;currency=EUR&amp;startStation=12&amp;endStation=48", "Clic para verlo en la web de RoadSurfer")</f>
        <v/>
      </c>
    </row>
    <row r="891">
      <c r="A891" t="inlineStr">
        <is>
          <t>Francia</t>
        </is>
      </c>
      <c r="B891" t="inlineStr">
        <is>
          <t>París Sur (Orly)</t>
        </is>
      </c>
      <c r="C891" t="inlineStr">
        <is>
          <t>Francia</t>
        </is>
      </c>
      <c r="D891" t="inlineStr">
        <is>
          <t>París Aeropuerto CDG</t>
        </is>
      </c>
      <c r="E891" t="inlineStr">
        <is>
          <t>2026-03-09</t>
        </is>
      </c>
      <c r="F891" t="inlineStr">
        <is>
          <t>2026-03-16</t>
        </is>
      </c>
      <c r="G891" t="inlineStr">
        <is>
          <t xml:space="preserve"> - Surfer Suite</t>
        </is>
      </c>
      <c r="H891">
        <f>HYPERLINK("https://booking.roadsurfer.com/es/rally/pick?pickup_date=2026-03-09&amp;return_date=2026-03-16&amp;currency=EUR&amp;startStation=12&amp;endStation=48", "Clic para verlo en la web de RoadSurfer")</f>
        <v/>
      </c>
    </row>
    <row r="892">
      <c r="A892" t="inlineStr">
        <is>
          <t>Francia</t>
        </is>
      </c>
      <c r="B892" t="inlineStr">
        <is>
          <t>París Sur (Orly)</t>
        </is>
      </c>
      <c r="C892" t="inlineStr">
        <is>
          <t>Francia</t>
        </is>
      </c>
      <c r="D892" t="inlineStr">
        <is>
          <t>París Aeropuerto CDG</t>
        </is>
      </c>
      <c r="E892" t="inlineStr">
        <is>
          <t>2026-03-12</t>
        </is>
      </c>
      <c r="F892" t="inlineStr">
        <is>
          <t>2026-03-19</t>
        </is>
      </c>
      <c r="G892" t="inlineStr">
        <is>
          <t xml:space="preserve"> - Surfer Suite</t>
        </is>
      </c>
      <c r="H892">
        <f>HYPERLINK("https://booking.roadsurfer.com/es/rally/pick?pickup_date=2026-03-12&amp;return_date=2026-03-19&amp;currency=EUR&amp;startStation=12&amp;endStation=48", "Clic para verlo en la web de RoadSurfer")</f>
        <v/>
      </c>
    </row>
    <row r="893">
      <c r="A893" t="inlineStr">
        <is>
          <t>Francia</t>
        </is>
      </c>
      <c r="B893" t="inlineStr">
        <is>
          <t>París Sur (Orly)</t>
        </is>
      </c>
      <c r="C893" t="inlineStr">
        <is>
          <t>Alemania</t>
        </is>
      </c>
      <c r="D893" t="inlineStr">
        <is>
          <t>Augsburgo</t>
        </is>
      </c>
      <c r="E893" t="inlineStr">
        <is>
          <t>2026-03-19</t>
        </is>
      </c>
      <c r="F893" t="inlineStr">
        <is>
          <t>2026-03-26</t>
        </is>
      </c>
      <c r="G893" t="inlineStr">
        <is>
          <t xml:space="preserve"> - Beach Hostel</t>
        </is>
      </c>
      <c r="H893">
        <f>HYPERLINK("https://booking.roadsurfer.com/es/rally/pick?pickup_date=2026-03-19&amp;return_date=2026-03-26&amp;currency=EUR&amp;startStation=12&amp;endStation=108", "Clic para verlo en la web de RoadSurfer")</f>
        <v/>
      </c>
    </row>
    <row r="894">
      <c r="A894" t="inlineStr">
        <is>
          <t>Francia</t>
        </is>
      </c>
      <c r="B894" t="inlineStr">
        <is>
          <t>París Sur (Orly)</t>
        </is>
      </c>
      <c r="C894" t="inlineStr">
        <is>
          <t>Alemania</t>
        </is>
      </c>
      <c r="D894" t="inlineStr">
        <is>
          <t>Colonia-Düsseldorf</t>
        </is>
      </c>
      <c r="E894" t="inlineStr">
        <is>
          <t>2026-02-26</t>
        </is>
      </c>
      <c r="F894" t="inlineStr">
        <is>
          <t>2026-03-05</t>
        </is>
      </c>
      <c r="G894" t="inlineStr">
        <is>
          <t xml:space="preserve"> - Beach Hostel</t>
        </is>
      </c>
      <c r="H894">
        <f>HYPERLINK("https://booking.roadsurfer.com/es/rally/pick?pickup_date=2026-02-26&amp;return_date=2026-03-05&amp;currency=EUR&amp;startStation=12&amp;endStation=4", "Clic para verlo en la web de RoadSurfer")</f>
        <v/>
      </c>
    </row>
    <row r="895">
      <c r="A895" t="inlineStr">
        <is>
          <t>Francia</t>
        </is>
      </c>
      <c r="B895" t="inlineStr">
        <is>
          <t>París Sur (Orly)</t>
        </is>
      </c>
      <c r="C895" t="inlineStr">
        <is>
          <t>Alemania</t>
        </is>
      </c>
      <c r="D895" t="inlineStr">
        <is>
          <t>Aquisgrán</t>
        </is>
      </c>
      <c r="E895" t="inlineStr">
        <is>
          <t>2026-03-23</t>
        </is>
      </c>
      <c r="F895" t="inlineStr">
        <is>
          <t>2026-03-30</t>
        </is>
      </c>
      <c r="G895" t="inlineStr">
        <is>
          <t xml:space="preserve"> - No hay coche</t>
        </is>
      </c>
      <c r="H895">
        <f>HYPERLINK("https://booking.roadsurfer.com/es/rally/pick?pickup_date=2026-03-23&amp;return_date=2026-03-30&amp;currency=EUR&amp;startStation=12&amp;endStation=114", "Clic para verlo en la web de RoadSurfer")</f>
        <v/>
      </c>
    </row>
    <row r="896">
      <c r="A896" t="inlineStr">
        <is>
          <t>Francia</t>
        </is>
      </c>
      <c r="B896" t="inlineStr">
        <is>
          <t>París Sur (Orly)</t>
        </is>
      </c>
      <c r="C896" t="inlineStr">
        <is>
          <t>Alemania</t>
        </is>
      </c>
      <c r="D896" t="inlineStr">
        <is>
          <t>Dresde</t>
        </is>
      </c>
      <c r="E896" t="inlineStr">
        <is>
          <t>2026-02-20</t>
        </is>
      </c>
      <c r="F896" t="inlineStr">
        <is>
          <t>2026-02-27</t>
        </is>
      </c>
      <c r="G896" t="inlineStr">
        <is>
          <t xml:space="preserve"> - Road House</t>
        </is>
      </c>
      <c r="H896">
        <f>HYPERLINK("https://booking.roadsurfer.com/es/rally/pick?pickup_date=2026-02-20&amp;return_date=2026-02-27&amp;currency=EUR&amp;startStation=12&amp;endStation=56", "Clic para verlo en la web de RoadSurfer")</f>
        <v/>
      </c>
    </row>
    <row r="897">
      <c r="A897" t="inlineStr">
        <is>
          <t>Francia</t>
        </is>
      </c>
      <c r="B897" t="inlineStr">
        <is>
          <t>París Sur (Orly)</t>
        </is>
      </c>
      <c r="C897" t="inlineStr">
        <is>
          <t>Alemania</t>
        </is>
      </c>
      <c r="D897" t="inlineStr">
        <is>
          <t>Heidelberg</t>
        </is>
      </c>
      <c r="E897" t="inlineStr">
        <is>
          <t>2026-03-09</t>
        </is>
      </c>
      <c r="F897" t="inlineStr">
        <is>
          <t>2026-03-16</t>
        </is>
      </c>
      <c r="G897" t="inlineStr">
        <is>
          <t xml:space="preserve"> - Road House</t>
        </is>
      </c>
      <c r="H897">
        <f>HYPERLINK("https://booking.roadsurfer.com/es/rally/pick?pickup_date=2026-03-09&amp;return_date=2026-03-16&amp;currency=EUR&amp;startStation=12&amp;endStation=79", "Clic para verlo en la web de RoadSurfer")</f>
        <v/>
      </c>
    </row>
    <row r="898">
      <c r="A898" t="inlineStr">
        <is>
          <t>Francia</t>
        </is>
      </c>
      <c r="B898" t="inlineStr">
        <is>
          <t>París Sur (Orly)</t>
        </is>
      </c>
      <c r="C898" t="inlineStr">
        <is>
          <t>Alemania</t>
        </is>
      </c>
      <c r="D898" t="inlineStr">
        <is>
          <t>Heidelberg</t>
        </is>
      </c>
      <c r="E898" t="inlineStr">
        <is>
          <t>2026-03-12</t>
        </is>
      </c>
      <c r="F898" t="inlineStr">
        <is>
          <t>2026-03-19</t>
        </is>
      </c>
      <c r="G898" t="inlineStr">
        <is>
          <t xml:space="preserve"> - Road House</t>
        </is>
      </c>
      <c r="H898">
        <f>HYPERLINK("https://booking.roadsurfer.com/es/rally/pick?pickup_date=2026-03-12&amp;return_date=2026-03-19&amp;currency=EUR&amp;startStation=12&amp;endStation=79", "Clic para verlo en la web de RoadSurfer")</f>
        <v/>
      </c>
    </row>
    <row r="899">
      <c r="A899" t="inlineStr">
        <is>
          <t>Francia</t>
        </is>
      </c>
      <c r="B899" t="inlineStr">
        <is>
          <t>París Sur (Orly)</t>
        </is>
      </c>
      <c r="C899" t="inlineStr">
        <is>
          <t>Alemania</t>
        </is>
      </c>
      <c r="D899" t="inlineStr">
        <is>
          <t>Heidelberg</t>
        </is>
      </c>
      <c r="E899" t="inlineStr">
        <is>
          <t>2026-03-05</t>
        </is>
      </c>
      <c r="F899" t="inlineStr">
        <is>
          <t>2026-03-12</t>
        </is>
      </c>
      <c r="G899" t="inlineStr">
        <is>
          <t xml:space="preserve"> - Road House</t>
        </is>
      </c>
      <c r="H899">
        <f>HYPERLINK("https://booking.roadsurfer.com/es/rally/pick?pickup_date=2026-03-05&amp;return_date=2026-03-12&amp;currency=EUR&amp;startStation=12&amp;endStation=79", "Clic para verlo en la web de RoadSurfer")</f>
        <v/>
      </c>
    </row>
    <row r="900">
      <c r="A900" t="inlineStr">
        <is>
          <t>Francia</t>
        </is>
      </c>
      <c r="B900" t="inlineStr">
        <is>
          <t>París Sur (Orly)</t>
        </is>
      </c>
      <c r="C900" t="inlineStr">
        <is>
          <t>Alemania</t>
        </is>
      </c>
      <c r="D900" t="inlineStr">
        <is>
          <t>Friburgo-Basilea (Alemania)</t>
        </is>
      </c>
      <c r="E900" t="inlineStr">
        <is>
          <t>2026-03-09</t>
        </is>
      </c>
      <c r="F900" t="inlineStr">
        <is>
          <t>2026-03-16</t>
        </is>
      </c>
      <c r="G900" t="inlineStr">
        <is>
          <t xml:space="preserve"> - Road House</t>
        </is>
      </c>
      <c r="H900">
        <f>HYPERLINK("https://booking.roadsurfer.com/es/rally/pick?pickup_date=2026-03-09&amp;return_date=2026-03-16&amp;currency=EUR&amp;startStation=12&amp;endStation=9", "Clic para verlo en la web de RoadSurfer")</f>
        <v/>
      </c>
    </row>
    <row r="901">
      <c r="A901" t="inlineStr">
        <is>
          <t>Francia</t>
        </is>
      </c>
      <c r="B901" t="inlineStr">
        <is>
          <t>París Sur (Orly)</t>
        </is>
      </c>
      <c r="C901" t="inlineStr">
        <is>
          <t>Alemania</t>
        </is>
      </c>
      <c r="D901" t="inlineStr">
        <is>
          <t>Bochum</t>
        </is>
      </c>
      <c r="E901" t="inlineStr">
        <is>
          <t>2026-03-12</t>
        </is>
      </c>
      <c r="F901" t="inlineStr">
        <is>
          <t>2026-03-19</t>
        </is>
      </c>
      <c r="G901" t="inlineStr">
        <is>
          <t xml:space="preserve"> - Road House</t>
        </is>
      </c>
      <c r="H901">
        <f>HYPERLINK("https://booking.roadsurfer.com/es/rally/pick?pickup_date=2026-03-12&amp;return_date=2026-03-19&amp;currency=EUR&amp;startStation=12&amp;endStation=24", "Clic para verlo en la web de RoadSurfer")</f>
        <v/>
      </c>
    </row>
    <row r="902">
      <c r="A902" t="inlineStr">
        <is>
          <t>Francia</t>
        </is>
      </c>
      <c r="B902" t="inlineStr">
        <is>
          <t>París Sur (Orly)</t>
        </is>
      </c>
      <c r="C902" t="inlineStr">
        <is>
          <t>Alemania</t>
        </is>
      </c>
      <c r="D902" t="inlineStr">
        <is>
          <t>Colonia-Bonn</t>
        </is>
      </c>
      <c r="E902" t="inlineStr">
        <is>
          <t>2026-03-17</t>
        </is>
      </c>
      <c r="F902" t="inlineStr">
        <is>
          <t>2026-03-24</t>
        </is>
      </c>
      <c r="G902" t="inlineStr">
        <is>
          <t xml:space="preserve"> - Camper Cabin Deluxe</t>
        </is>
      </c>
      <c r="H902">
        <f>HYPERLINK("https://booking.roadsurfer.com/es/rally/pick?pickup_date=2026-03-17&amp;return_date=2026-03-24&amp;currency=EUR&amp;startStation=12&amp;endStation=52", "Clic para verlo en la web de RoadSurfer")</f>
        <v/>
      </c>
    </row>
    <row r="903">
      <c r="A903" t="inlineStr">
        <is>
          <t>Francia</t>
        </is>
      </c>
      <c r="B903" t="inlineStr">
        <is>
          <t>París Sur (Orly)</t>
        </is>
      </c>
      <c r="C903" t="inlineStr">
        <is>
          <t>Alemania</t>
        </is>
      </c>
      <c r="D903" t="inlineStr">
        <is>
          <t>Colonia-Bonn</t>
        </is>
      </c>
      <c r="E903" t="inlineStr">
        <is>
          <t>2026-03-18</t>
        </is>
      </c>
      <c r="F903" t="inlineStr">
        <is>
          <t>2026-03-25</t>
        </is>
      </c>
      <c r="G903" t="inlineStr">
        <is>
          <t xml:space="preserve"> - Family Finca</t>
        </is>
      </c>
      <c r="H903">
        <f>HYPERLINK("https://booking.roadsurfer.com/es/rally/pick?pickup_date=2026-03-18&amp;return_date=2026-03-25&amp;currency=EUR&amp;startStation=12&amp;endStation=52", "Clic para verlo en la web de RoadSurfer")</f>
        <v/>
      </c>
    </row>
    <row r="904">
      <c r="A904" t="inlineStr">
        <is>
          <t>Francia</t>
        </is>
      </c>
      <c r="B904" t="inlineStr">
        <is>
          <t>París Sur (Orly)</t>
        </is>
      </c>
      <c r="C904" t="inlineStr">
        <is>
          <t>Alemania</t>
        </is>
      </c>
      <c r="D904" t="inlineStr">
        <is>
          <t>Erfurt</t>
        </is>
      </c>
      <c r="E904" t="inlineStr">
        <is>
          <t>2026-02-23</t>
        </is>
      </c>
      <c r="F904" t="inlineStr">
        <is>
          <t>2026-03-02</t>
        </is>
      </c>
      <c r="G904" t="inlineStr">
        <is>
          <t xml:space="preserve"> - Family Finca</t>
        </is>
      </c>
      <c r="H904">
        <f>HYPERLINK("https://booking.roadsurfer.com/es/rally/pick?pickup_date=2026-02-23&amp;return_date=2026-03-02&amp;currency=EUR&amp;startStation=12&amp;endStation=90", "Clic para verlo en la web de RoadSurfer")</f>
        <v/>
      </c>
    </row>
    <row r="905">
      <c r="A905" t="inlineStr">
        <is>
          <t>Francia</t>
        </is>
      </c>
      <c r="B905" t="inlineStr">
        <is>
          <t>París Sur (Orly)</t>
        </is>
      </c>
      <c r="C905" t="inlineStr">
        <is>
          <t>Alemania</t>
        </is>
      </c>
      <c r="D905" t="inlineStr">
        <is>
          <t>Bielefeld</t>
        </is>
      </c>
      <c r="E905" t="inlineStr">
        <is>
          <t>2026-02-17</t>
        </is>
      </c>
      <c r="F905" t="inlineStr">
        <is>
          <t>2026-02-24</t>
        </is>
      </c>
      <c r="G905" t="inlineStr">
        <is>
          <t xml:space="preserve"> - FAMILY FINCA</t>
        </is>
      </c>
      <c r="H905">
        <f>HYPERLINK("https://booking.roadsurfer.com/es/rally/pick?pickup_date=2026-02-17&amp;return_date=2026-02-24&amp;currency=EUR&amp;startStation=12&amp;endStation=91", "Clic para verlo en la web de RoadSurfer")</f>
        <v/>
      </c>
    </row>
    <row r="906">
      <c r="A906" t="inlineStr">
        <is>
          <t>Francia</t>
        </is>
      </c>
      <c r="B906" t="inlineStr">
        <is>
          <t>París Sur (Orly)</t>
        </is>
      </c>
      <c r="C906" t="inlineStr">
        <is>
          <t>Francia</t>
        </is>
      </c>
      <c r="D906" t="inlineStr">
        <is>
          <t>Ginebra-Pays de Gex (Francia)</t>
        </is>
      </c>
      <c r="E906" t="inlineStr">
        <is>
          <t>2026-03-12</t>
        </is>
      </c>
      <c r="F906" t="inlineStr">
        <is>
          <t>2026-03-19</t>
        </is>
      </c>
      <c r="G906" t="inlineStr">
        <is>
          <t xml:space="preserve"> - FAMILY FINCA</t>
        </is>
      </c>
      <c r="H906">
        <f>HYPERLINK("https://booking.roadsurfer.com/es/rally/pick?pickup_date=2026-03-12&amp;return_date=2026-03-19&amp;currency=EUR&amp;startStation=12&amp;endStation=29", "Clic para verlo en la web de RoadSurfer")</f>
        <v/>
      </c>
    </row>
    <row r="907">
      <c r="A907" t="inlineStr">
        <is>
          <t>Francia</t>
        </is>
      </c>
      <c r="B907" t="inlineStr">
        <is>
          <t>París Sur (Orly)</t>
        </is>
      </c>
      <c r="C907" t="inlineStr">
        <is>
          <t>Alemania</t>
        </is>
      </c>
      <c r="D907" t="inlineStr">
        <is>
          <t>Marburg</t>
        </is>
      </c>
      <c r="E907" t="inlineStr">
        <is>
          <t>2026-03-12</t>
        </is>
      </c>
      <c r="F907" t="inlineStr">
        <is>
          <t>2026-03-19</t>
        </is>
      </c>
      <c r="G907" t="inlineStr">
        <is>
          <t xml:space="preserve"> - Sunrise Suite</t>
        </is>
      </c>
      <c r="H907">
        <f>HYPERLINK("https://booking.roadsurfer.com/es/rally/pick?pickup_date=2026-03-12&amp;return_date=2026-03-19&amp;currency=EUR&amp;startStation=12&amp;endStation=22", "Clic para verlo en la web de RoadSurfer")</f>
        <v/>
      </c>
    </row>
    <row r="908">
      <c r="A908" t="inlineStr">
        <is>
          <t>Francia</t>
        </is>
      </c>
      <c r="B908" t="inlineStr">
        <is>
          <t>París Sur (Orly)</t>
        </is>
      </c>
      <c r="C908" t="inlineStr">
        <is>
          <t>Alemania</t>
        </is>
      </c>
      <c r="D908" t="inlineStr">
        <is>
          <t>Marburg</t>
        </is>
      </c>
      <c r="E908" t="inlineStr">
        <is>
          <t>2026-03-13</t>
        </is>
      </c>
      <c r="F908" t="inlineStr">
        <is>
          <t>2026-03-20</t>
        </is>
      </c>
      <c r="G908" t="inlineStr">
        <is>
          <t xml:space="preserve"> - Sunrise Suite</t>
        </is>
      </c>
      <c r="H908">
        <f>HYPERLINK("https://booking.roadsurfer.com/es/rally/pick?pickup_date=2026-03-13&amp;return_date=2026-03-20&amp;currency=EUR&amp;startStation=12&amp;endStation=22", "Clic para verlo en la web de RoadSurfer")</f>
        <v/>
      </c>
    </row>
    <row r="909">
      <c r="A909" t="inlineStr">
        <is>
          <t>Francia</t>
        </is>
      </c>
      <c r="B909" t="inlineStr">
        <is>
          <t>París Aeropuerto CDG</t>
        </is>
      </c>
      <c r="C909" t="inlineStr">
        <is>
          <t>Alemania</t>
        </is>
      </c>
      <c r="D909" t="inlineStr">
        <is>
          <t>Dresde</t>
        </is>
      </c>
      <c r="E909" t="inlineStr">
        <is>
          <t>2026-02-17</t>
        </is>
      </c>
      <c r="F909" t="inlineStr">
        <is>
          <t>2026-02-24</t>
        </is>
      </c>
      <c r="G909" t="inlineStr">
        <is>
          <t xml:space="preserve"> - Road House</t>
        </is>
      </c>
      <c r="H909">
        <f>HYPERLINK("https://booking.roadsurfer.com/es/rally/pick?pickup_date=2026-02-17&amp;return_date=2026-02-24&amp;currency=EUR&amp;startStation=48&amp;endStation=56", "Clic para verlo en la web de RoadSurfer")</f>
        <v/>
      </c>
    </row>
    <row r="910">
      <c r="A910" t="inlineStr">
        <is>
          <t>Francia</t>
        </is>
      </c>
      <c r="B910" t="inlineStr">
        <is>
          <t>París Aeropuerto CDG</t>
        </is>
      </c>
      <c r="C910" t="inlineStr">
        <is>
          <t>Alemania</t>
        </is>
      </c>
      <c r="D910" t="inlineStr">
        <is>
          <t>Erfurt</t>
        </is>
      </c>
      <c r="E910" t="inlineStr">
        <is>
          <t>2026-03-01</t>
        </is>
      </c>
      <c r="F910" t="inlineStr">
        <is>
          <t>2026-03-08</t>
        </is>
      </c>
      <c r="G910" t="inlineStr">
        <is>
          <t xml:space="preserve"> - No hay coche</t>
        </is>
      </c>
      <c r="H910">
        <f>HYPERLINK("https://booking.roadsurfer.com/es/rally/pick?pickup_date=2026-03-01&amp;return_date=2026-03-08&amp;currency=EUR&amp;startStation=48&amp;endStation=90", "Clic para verlo en la web de RoadSurfer")</f>
        <v/>
      </c>
    </row>
    <row r="911">
      <c r="A911" t="inlineStr">
        <is>
          <t>Francia</t>
        </is>
      </c>
      <c r="B911" t="inlineStr">
        <is>
          <t>París Aeropuerto CDG</t>
        </is>
      </c>
      <c r="C911" t="inlineStr">
        <is>
          <t>Alemania</t>
        </is>
      </c>
      <c r="D911" t="inlineStr">
        <is>
          <t>Colonia-Bonn</t>
        </is>
      </c>
      <c r="E911" t="inlineStr">
        <is>
          <t>2026-03-19</t>
        </is>
      </c>
      <c r="F911" t="inlineStr">
        <is>
          <t>2026-03-26</t>
        </is>
      </c>
      <c r="G911" t="inlineStr">
        <is>
          <t xml:space="preserve"> - Family Finca</t>
        </is>
      </c>
      <c r="H911">
        <f>HYPERLINK("https://booking.roadsurfer.com/es/rally/pick?pickup_date=2026-03-19&amp;return_date=2026-03-26&amp;currency=EUR&amp;startStation=48&amp;endStation=52", "Clic para verlo en la web de RoadSurfer")</f>
        <v/>
      </c>
    </row>
    <row r="912">
      <c r="A912" t="inlineStr">
        <is>
          <t>Francia</t>
        </is>
      </c>
      <c r="B912" t="inlineStr">
        <is>
          <t>París Aeropuerto CDG</t>
        </is>
      </c>
      <c r="C912" t="inlineStr">
        <is>
          <t>Alemania</t>
        </is>
      </c>
      <c r="D912" t="inlineStr">
        <is>
          <t>Colonia-Bonn</t>
        </is>
      </c>
      <c r="E912" t="inlineStr">
        <is>
          <t>2026-03-20</t>
        </is>
      </c>
      <c r="F912" t="inlineStr">
        <is>
          <t>2026-03-27</t>
        </is>
      </c>
      <c r="G912" t="inlineStr">
        <is>
          <t xml:space="preserve"> - Family Finca</t>
        </is>
      </c>
      <c r="H912">
        <f>HYPERLINK("https://booking.roadsurfer.com/es/rally/pick?pickup_date=2026-03-20&amp;return_date=2026-03-27&amp;currency=EUR&amp;startStation=48&amp;endStation=52", "Clic para verlo en la web de RoadSurfer")</f>
        <v/>
      </c>
    </row>
    <row r="913">
      <c r="A913" t="inlineStr">
        <is>
          <t>Francia</t>
        </is>
      </c>
      <c r="B913" t="inlineStr">
        <is>
          <t>París Aeropuerto CDG</t>
        </is>
      </c>
      <c r="C913" t="inlineStr">
        <is>
          <t>Alemania</t>
        </is>
      </c>
      <c r="D913" t="inlineStr">
        <is>
          <t>Colonia-Bonn</t>
        </is>
      </c>
      <c r="E913" t="inlineStr">
        <is>
          <t>2026-03-07</t>
        </is>
      </c>
      <c r="F913" t="inlineStr">
        <is>
          <t>2026-03-13</t>
        </is>
      </c>
      <c r="G913" t="inlineStr">
        <is>
          <t xml:space="preserve"> - SURFER SUITE</t>
        </is>
      </c>
      <c r="H913">
        <f>HYPERLINK("https://booking.roadsurfer.com/es/rally/pick?pickup_date=2026-03-07&amp;return_date=2026-03-13&amp;currency=EUR&amp;startStation=48&amp;endStation=52", "Clic para verlo en la web de RoadSurfer")</f>
        <v/>
      </c>
    </row>
    <row r="914">
      <c r="A914" t="inlineStr">
        <is>
          <t>Francia</t>
        </is>
      </c>
      <c r="B914" t="inlineStr">
        <is>
          <t>París Aeropuerto CDG</t>
        </is>
      </c>
      <c r="C914" t="inlineStr">
        <is>
          <t>Alemania</t>
        </is>
      </c>
      <c r="D914" t="inlineStr">
        <is>
          <t>Fráncfort</t>
        </is>
      </c>
      <c r="E914" t="inlineStr">
        <is>
          <t>2026-03-14</t>
        </is>
      </c>
      <c r="F914" t="inlineStr">
        <is>
          <t>2026-03-21</t>
        </is>
      </c>
      <c r="G914" t="inlineStr">
        <is>
          <t xml:space="preserve"> - Road House</t>
        </is>
      </c>
      <c r="H914">
        <f>HYPERLINK("https://booking.roadsurfer.com/es/rally/pick?pickup_date=2026-03-14&amp;return_date=2026-03-21&amp;currency=EUR&amp;startStation=48&amp;endStation=2", "Clic para verlo en la web de RoadSurfer")</f>
        <v/>
      </c>
    </row>
    <row r="915">
      <c r="A915" t="inlineStr">
        <is>
          <t>Francia</t>
        </is>
      </c>
      <c r="B915" t="inlineStr">
        <is>
          <t>París Aeropuerto CDG</t>
        </is>
      </c>
      <c r="C915" t="inlineStr">
        <is>
          <t>Alemania</t>
        </is>
      </c>
      <c r="D915" t="inlineStr">
        <is>
          <t>Fráncfort</t>
        </is>
      </c>
      <c r="E915" t="inlineStr">
        <is>
          <t>2026-03-16</t>
        </is>
      </c>
      <c r="F915" t="inlineStr">
        <is>
          <t>2026-03-23</t>
        </is>
      </c>
      <c r="G915" t="inlineStr">
        <is>
          <t xml:space="preserve"> - Surfer Suite</t>
        </is>
      </c>
      <c r="H915">
        <f>HYPERLINK("https://booking.roadsurfer.com/es/rally/pick?pickup_date=2026-03-16&amp;return_date=2026-03-23&amp;currency=EUR&amp;startStation=48&amp;endStation=2", "Clic para verlo en la web de RoadSurfer")</f>
        <v/>
      </c>
    </row>
    <row r="916">
      <c r="A916" t="inlineStr">
        <is>
          <t>Francia</t>
        </is>
      </c>
      <c r="B916" t="inlineStr">
        <is>
          <t>París Aeropuerto CDG</t>
        </is>
      </c>
      <c r="C916" t="inlineStr">
        <is>
          <t>Alemania</t>
        </is>
      </c>
      <c r="D916" t="inlineStr">
        <is>
          <t>Fráncfort</t>
        </is>
      </c>
      <c r="E916" t="inlineStr">
        <is>
          <t>2026-03-17</t>
        </is>
      </c>
      <c r="F916" t="inlineStr">
        <is>
          <t>2026-03-24</t>
        </is>
      </c>
      <c r="G916" t="inlineStr">
        <is>
          <t xml:space="preserve"> - Surfer Suite</t>
        </is>
      </c>
      <c r="H916">
        <f>HYPERLINK("https://booking.roadsurfer.com/es/rally/pick?pickup_date=2026-03-17&amp;return_date=2026-03-24&amp;currency=EUR&amp;startStation=48&amp;endStation=2", "Clic para verlo en la web de RoadSurfer")</f>
        <v/>
      </c>
    </row>
    <row r="917">
      <c r="A917" t="inlineStr">
        <is>
          <t>Francia</t>
        </is>
      </c>
      <c r="B917" t="inlineStr">
        <is>
          <t>París Aeropuerto CDG</t>
        </is>
      </c>
      <c r="C917" t="inlineStr">
        <is>
          <t>Francia</t>
        </is>
      </c>
      <c r="D917" t="inlineStr">
        <is>
          <t>Aix-Marsella</t>
        </is>
      </c>
      <c r="E917" t="inlineStr">
        <is>
          <t>2026-03-16</t>
        </is>
      </c>
      <c r="F917" t="inlineStr">
        <is>
          <t>2026-03-23</t>
        </is>
      </c>
      <c r="G917" t="inlineStr">
        <is>
          <t xml:space="preserve"> - Couple Cottage</t>
        </is>
      </c>
      <c r="H917">
        <f>HYPERLINK("https://booking.roadsurfer.com/es/rally/pick?pickup_date=2026-03-16&amp;return_date=2026-03-23&amp;currency=EUR&amp;startStation=48&amp;endStation=16", "Clic para verlo en la web de RoadSurfer")</f>
        <v/>
      </c>
    </row>
    <row r="918">
      <c r="A918" t="inlineStr">
        <is>
          <t>Francia</t>
        </is>
      </c>
      <c r="B918" t="inlineStr">
        <is>
          <t>París Aeropuerto CDG</t>
        </is>
      </c>
      <c r="C918" t="inlineStr">
        <is>
          <t>Alemania</t>
        </is>
      </c>
      <c r="D918" t="inlineStr">
        <is>
          <t>Hamburgo</t>
        </is>
      </c>
      <c r="E918" t="inlineStr">
        <is>
          <t>2026-02-23</t>
        </is>
      </c>
      <c r="F918" t="inlineStr">
        <is>
          <t>2026-03-02</t>
        </is>
      </c>
      <c r="G918" t="inlineStr">
        <is>
          <t xml:space="preserve"> - Travel Home</t>
        </is>
      </c>
      <c r="H918">
        <f>HYPERLINK("https://booking.roadsurfer.com/es/rally/pick?pickup_date=2026-02-23&amp;return_date=2026-03-02&amp;currency=EUR&amp;startStation=48&amp;endStation=3", "Clic para verlo en la web de RoadSurfer")</f>
        <v/>
      </c>
    </row>
    <row r="919">
      <c r="A919" t="inlineStr">
        <is>
          <t>Francia</t>
        </is>
      </c>
      <c r="B919" t="inlineStr">
        <is>
          <t>París Aeropuerto CDG</t>
        </is>
      </c>
      <c r="C919" t="inlineStr">
        <is>
          <t>Alemania</t>
        </is>
      </c>
      <c r="D919" t="inlineStr">
        <is>
          <t>Hamburgo</t>
        </is>
      </c>
      <c r="E919" t="inlineStr">
        <is>
          <t>2026-02-28</t>
        </is>
      </c>
      <c r="F919" t="inlineStr">
        <is>
          <t>2026-03-07</t>
        </is>
      </c>
      <c r="G919" t="inlineStr">
        <is>
          <t xml:space="preserve"> - FAMILY FINCA</t>
        </is>
      </c>
      <c r="H919">
        <f>HYPERLINK("https://booking.roadsurfer.com/es/rally/pick?pickup_date=2026-02-28&amp;return_date=2026-03-07&amp;currency=EUR&amp;startStation=48&amp;endStation=3", "Clic para verlo en la web de RoadSurfer")</f>
        <v/>
      </c>
    </row>
    <row r="920">
      <c r="A920" t="inlineStr">
        <is>
          <t>Francia</t>
        </is>
      </c>
      <c r="B920" t="inlineStr">
        <is>
          <t>París Aeropuerto CDG</t>
        </is>
      </c>
      <c r="C920" t="inlineStr">
        <is>
          <t>Alemania</t>
        </is>
      </c>
      <c r="D920" t="inlineStr">
        <is>
          <t>Stuttgart</t>
        </is>
      </c>
      <c r="E920" t="inlineStr">
        <is>
          <t>2026-03-23</t>
        </is>
      </c>
      <c r="F920" t="inlineStr">
        <is>
          <t>2026-03-30</t>
        </is>
      </c>
      <c r="G920" t="inlineStr">
        <is>
          <t xml:space="preserve"> - Camper Castle</t>
        </is>
      </c>
      <c r="H920">
        <f>HYPERLINK("https://booking.roadsurfer.com/es/rally/pick?pickup_date=2026-03-23&amp;return_date=2026-03-30&amp;currency=EUR&amp;startStation=48&amp;endStation=5", "Clic para verlo en la web de RoadSurfer")</f>
        <v/>
      </c>
    </row>
    <row r="921">
      <c r="A921" t="inlineStr">
        <is>
          <t>EE.UU.</t>
        </is>
      </c>
      <c r="B921" t="inlineStr">
        <is>
          <t>Phoenix</t>
        </is>
      </c>
      <c r="C921" t="inlineStr">
        <is>
          <t>EE.UU.</t>
        </is>
      </c>
      <c r="D921" t="inlineStr">
        <is>
          <t>Dallas</t>
        </is>
      </c>
      <c r="E921" t="inlineStr">
        <is>
          <t>2026-03-19</t>
        </is>
      </c>
      <c r="F921" t="inlineStr">
        <is>
          <t>2026-03-26</t>
        </is>
      </c>
      <c r="G921" t="inlineStr">
        <is>
          <t xml:space="preserve"> - Couple Condo</t>
        </is>
      </c>
      <c r="H921">
        <f>HYPERLINK("https://booking.roadsurfer.com/es/rally/pick?pickup_date=2026-03-19&amp;return_date=2026-03-26&amp;currency=EUR&amp;startStation=105&amp;endStation=125", "Clic para verlo en la web de RoadSurfer")</f>
        <v/>
      </c>
    </row>
    <row r="922">
      <c r="A922" t="inlineStr">
        <is>
          <t>Alemania</t>
        </is>
      </c>
      <c r="B922" t="inlineStr">
        <is>
          <t>Ratisbona</t>
        </is>
      </c>
      <c r="C922" t="inlineStr">
        <is>
          <t>Francia</t>
        </is>
      </c>
      <c r="D922" t="inlineStr">
        <is>
          <t>Lyon</t>
        </is>
      </c>
      <c r="E922" t="inlineStr">
        <is>
          <t>2026-03-09</t>
        </is>
      </c>
      <c r="F922" t="inlineStr">
        <is>
          <t>2026-03-16</t>
        </is>
      </c>
      <c r="G922" t="inlineStr">
        <is>
          <t xml:space="preserve"> - Travel Home</t>
        </is>
      </c>
      <c r="H922">
        <f>HYPERLINK("https://booking.roadsurfer.com/es/rally/pick?pickup_date=2026-03-09&amp;return_date=2026-03-16&amp;currency=EUR&amp;startStation=89&amp;endStation=15", "Clic para verlo en la web de RoadSurfer")</f>
        <v/>
      </c>
    </row>
    <row r="923">
      <c r="A923" t="inlineStr">
        <is>
          <t>Alemania</t>
        </is>
      </c>
      <c r="B923" t="inlineStr">
        <is>
          <t>Ratisbona</t>
        </is>
      </c>
      <c r="C923" t="inlineStr">
        <is>
          <t>Alemania</t>
        </is>
      </c>
      <c r="D923" t="inlineStr">
        <is>
          <t>Bremen</t>
        </is>
      </c>
      <c r="E923" t="inlineStr">
        <is>
          <t>2026-03-09</t>
        </is>
      </c>
      <c r="F923" t="inlineStr">
        <is>
          <t>2026-03-16</t>
        </is>
      </c>
      <c r="G923" t="inlineStr">
        <is>
          <t xml:space="preserve"> - Travel Home - TRAVEL HOME</t>
        </is>
      </c>
      <c r="H923">
        <f>HYPERLINK("https://booking.roadsurfer.com/es/rally/pick?pickup_date=2026-03-09&amp;return_date=2026-03-16&amp;currency=EUR&amp;startStation=89&amp;endStation=55", "Clic para verlo en la web de RoadSurfer")</f>
        <v/>
      </c>
    </row>
    <row r="924">
      <c r="A924" t="inlineStr">
        <is>
          <t>Italia</t>
        </is>
      </c>
      <c r="B924" t="inlineStr">
        <is>
          <t>Roma Aeropuerto Fiumicino</t>
        </is>
      </c>
      <c r="C924" t="inlineStr">
        <is>
          <t>Alemania</t>
        </is>
      </c>
      <c r="D924" t="inlineStr">
        <is>
          <t>Múnich</t>
        </is>
      </c>
      <c r="E924" t="inlineStr">
        <is>
          <t>2026-02-28</t>
        </is>
      </c>
      <c r="F924" t="inlineStr">
        <is>
          <t>2026-03-07</t>
        </is>
      </c>
      <c r="G924" t="inlineStr">
        <is>
          <t xml:space="preserve"> - No hay coche</t>
        </is>
      </c>
      <c r="H924">
        <f>HYPERLINK("https://booking.roadsurfer.com/es/rally/pick?pickup_date=2026-02-28&amp;return_date=2026-03-07&amp;currency=EUR&amp;startStation=35&amp;endStation=1", "Clic para verlo en la web de RoadSurfer")</f>
        <v/>
      </c>
    </row>
    <row r="925">
      <c r="A925" t="inlineStr">
        <is>
          <t>Italia</t>
        </is>
      </c>
      <c r="B925" t="inlineStr">
        <is>
          <t>Roma Aeropuerto Fiumicino</t>
        </is>
      </c>
      <c r="C925" t="inlineStr">
        <is>
          <t>Alemania</t>
        </is>
      </c>
      <c r="D925" t="inlineStr">
        <is>
          <t>Múnich</t>
        </is>
      </c>
      <c r="E925" t="inlineStr">
        <is>
          <t>2026-03-20</t>
        </is>
      </c>
      <c r="F925" t="inlineStr">
        <is>
          <t>2026-03-27</t>
        </is>
      </c>
      <c r="G925" t="inlineStr">
        <is>
          <t xml:space="preserve"> - BEACH HOSTEL</t>
        </is>
      </c>
      <c r="H925">
        <f>HYPERLINK("https://booking.roadsurfer.com/es/rally/pick?pickup_date=2026-03-20&amp;return_date=2026-03-27&amp;currency=EUR&amp;startStation=35&amp;endStation=1", "Clic para verlo en la web de RoadSurfer")</f>
        <v/>
      </c>
    </row>
    <row r="926">
      <c r="A926" t="inlineStr">
        <is>
          <t>Italia</t>
        </is>
      </c>
      <c r="B926" t="inlineStr">
        <is>
          <t>Roma Aeropuerto Fiumicino</t>
        </is>
      </c>
      <c r="C926" t="inlineStr">
        <is>
          <t>Alemania</t>
        </is>
      </c>
      <c r="D926" t="inlineStr">
        <is>
          <t>Múnich</t>
        </is>
      </c>
      <c r="E926" t="inlineStr">
        <is>
          <t>2026-03-21</t>
        </is>
      </c>
      <c r="F926" t="inlineStr">
        <is>
          <t>2026-03-28</t>
        </is>
      </c>
      <c r="G926" t="inlineStr">
        <is>
          <t xml:space="preserve"> - Road House</t>
        </is>
      </c>
      <c r="H926">
        <f>HYPERLINK("https://booking.roadsurfer.com/es/rally/pick?pickup_date=2026-03-21&amp;return_date=2026-03-28&amp;currency=EUR&amp;startStation=35&amp;endStation=1", "Clic para verlo en la web de RoadSurfer")</f>
        <v/>
      </c>
    </row>
    <row r="927">
      <c r="A927" t="inlineStr">
        <is>
          <t>Italia</t>
        </is>
      </c>
      <c r="B927" t="inlineStr">
        <is>
          <t>Roma Aeropuerto Fiumicino</t>
        </is>
      </c>
      <c r="C927" t="inlineStr">
        <is>
          <t>Alemania</t>
        </is>
      </c>
      <c r="D927" t="inlineStr">
        <is>
          <t>Múnich</t>
        </is>
      </c>
      <c r="E927" t="inlineStr">
        <is>
          <t>2026-03-09</t>
        </is>
      </c>
      <c r="F927" t="inlineStr">
        <is>
          <t>2026-03-16</t>
        </is>
      </c>
      <c r="G927" t="inlineStr">
        <is>
          <t xml:space="preserve"> - Beach Hostel</t>
        </is>
      </c>
      <c r="H927">
        <f>HYPERLINK("https://booking.roadsurfer.com/es/rally/pick?pickup_date=2026-03-09&amp;return_date=2026-03-16&amp;currency=EUR&amp;startStation=35&amp;endStation=1", "Clic para verlo en la web de RoadSurfer")</f>
        <v/>
      </c>
    </row>
    <row r="928">
      <c r="A928" t="inlineStr">
        <is>
          <t>Italia</t>
        </is>
      </c>
      <c r="B928" t="inlineStr">
        <is>
          <t>Roma Aeropuerto Fiumicino</t>
        </is>
      </c>
      <c r="C928" t="inlineStr">
        <is>
          <t>Alemania</t>
        </is>
      </c>
      <c r="D928" t="inlineStr">
        <is>
          <t>Múnich</t>
        </is>
      </c>
      <c r="E928" t="inlineStr">
        <is>
          <t>2026-03-23</t>
        </is>
      </c>
      <c r="F928" t="inlineStr">
        <is>
          <t>2026-03-30</t>
        </is>
      </c>
      <c r="G928" t="inlineStr">
        <is>
          <t xml:space="preserve"> - Family Finca</t>
        </is>
      </c>
      <c r="H928">
        <f>HYPERLINK("https://booking.roadsurfer.com/es/rally/pick?pickup_date=2026-03-23&amp;return_date=2026-03-30&amp;currency=EUR&amp;startStation=35&amp;endStation=1", "Clic para verlo en la web de RoadSurfer")</f>
        <v/>
      </c>
    </row>
    <row r="929">
      <c r="A929" t="inlineStr">
        <is>
          <t>Italia</t>
        </is>
      </c>
      <c r="B929" t="inlineStr">
        <is>
          <t>Roma Aeropuerto Fiumicino</t>
        </is>
      </c>
      <c r="C929" t="inlineStr">
        <is>
          <t>Alemania</t>
        </is>
      </c>
      <c r="D929" t="inlineStr">
        <is>
          <t>Fráncfort</t>
        </is>
      </c>
      <c r="E929" t="inlineStr">
        <is>
          <t>2026-03-20</t>
        </is>
      </c>
      <c r="F929" t="inlineStr">
        <is>
          <t>2026-03-27</t>
        </is>
      </c>
      <c r="G929" t="inlineStr">
        <is>
          <t xml:space="preserve"> - Surfer Suite</t>
        </is>
      </c>
      <c r="H929">
        <f>HYPERLINK("https://booking.roadsurfer.com/es/rally/pick?pickup_date=2026-03-20&amp;return_date=2026-03-27&amp;currency=EUR&amp;startStation=35&amp;endStation=2", "Clic para verlo en la web de RoadSurfer")</f>
        <v/>
      </c>
    </row>
    <row r="930">
      <c r="A930" t="inlineStr">
        <is>
          <t>Italia</t>
        </is>
      </c>
      <c r="B930" t="inlineStr">
        <is>
          <t>Roma Aeropuerto Fiumicino</t>
        </is>
      </c>
      <c r="C930" t="inlineStr">
        <is>
          <t>Alemania</t>
        </is>
      </c>
      <c r="D930" t="inlineStr">
        <is>
          <t>Marburg</t>
        </is>
      </c>
      <c r="E930" t="inlineStr">
        <is>
          <t>2026-03-20</t>
        </is>
      </c>
      <c r="F930" t="inlineStr">
        <is>
          <t>2026-03-27</t>
        </is>
      </c>
      <c r="G930" t="inlineStr">
        <is>
          <t xml:space="preserve"> - Surfer Suite</t>
        </is>
      </c>
      <c r="H930">
        <f>HYPERLINK("https://booking.roadsurfer.com/es/rally/pick?pickup_date=2026-03-20&amp;return_date=2026-03-27&amp;currency=EUR&amp;startStation=35&amp;endStation=22", "Clic para verlo en la web de RoadSurfer")</f>
        <v/>
      </c>
    </row>
    <row r="931">
      <c r="A931" t="inlineStr">
        <is>
          <t>Italia</t>
        </is>
      </c>
      <c r="B931" t="inlineStr">
        <is>
          <t>Roma Aeropuerto Fiumicino</t>
        </is>
      </c>
      <c r="C931" t="inlineStr">
        <is>
          <t>Alemania</t>
        </is>
      </c>
      <c r="D931" t="inlineStr">
        <is>
          <t>Marburg</t>
        </is>
      </c>
      <c r="E931" t="inlineStr">
        <is>
          <t>2026-03-23</t>
        </is>
      </c>
      <c r="F931" t="inlineStr">
        <is>
          <t>2026-03-30</t>
        </is>
      </c>
      <c r="G931" t="inlineStr">
        <is>
          <t xml:space="preserve"> - Surfer Suite</t>
        </is>
      </c>
      <c r="H931">
        <f>HYPERLINK("https://booking.roadsurfer.com/es/rally/pick?pickup_date=2026-03-23&amp;return_date=2026-03-30&amp;currency=EUR&amp;startStation=35&amp;endStation=22", "Clic para verlo en la web de RoadSurfer")</f>
        <v/>
      </c>
    </row>
    <row r="932">
      <c r="A932" t="inlineStr">
        <is>
          <t>Italia</t>
        </is>
      </c>
      <c r="B932" t="inlineStr">
        <is>
          <t>Roma Aeropuerto Fiumicino</t>
        </is>
      </c>
      <c r="C932" t="inlineStr">
        <is>
          <t>Alemania</t>
        </is>
      </c>
      <c r="D932" t="inlineStr">
        <is>
          <t>Marburg</t>
        </is>
      </c>
      <c r="E932" t="inlineStr">
        <is>
          <t>2026-03-24</t>
        </is>
      </c>
      <c r="F932" t="inlineStr">
        <is>
          <t>2026-03-31</t>
        </is>
      </c>
      <c r="G932" t="inlineStr">
        <is>
          <t xml:space="preserve"> - Beach Hostel</t>
        </is>
      </c>
      <c r="H932">
        <f>HYPERLINK("https://booking.roadsurfer.com/es/rally/pick?pickup_date=2026-03-24&amp;return_date=2026-03-31&amp;currency=EUR&amp;startStation=35&amp;endStation=22", "Clic para verlo en la web de RoadSurfer")</f>
        <v/>
      </c>
    </row>
    <row r="933">
      <c r="A933" t="inlineStr">
        <is>
          <t>Italia</t>
        </is>
      </c>
      <c r="B933" t="inlineStr">
        <is>
          <t>Roma Aeropuerto Fiumicino</t>
        </is>
      </c>
      <c r="C933" t="inlineStr">
        <is>
          <t>Alemania</t>
        </is>
      </c>
      <c r="D933" t="inlineStr">
        <is>
          <t>Marburg</t>
        </is>
      </c>
      <c r="E933" t="inlineStr">
        <is>
          <t>2026-02-23</t>
        </is>
      </c>
      <c r="F933" t="inlineStr">
        <is>
          <t>2026-03-02</t>
        </is>
      </c>
      <c r="G933" t="inlineStr">
        <is>
          <t xml:space="preserve"> - Beach Hostel</t>
        </is>
      </c>
      <c r="H933">
        <f>HYPERLINK("https://booking.roadsurfer.com/es/rally/pick?pickup_date=2026-02-23&amp;return_date=2026-03-02&amp;currency=EUR&amp;startStation=35&amp;endStation=22", "Clic para verlo en la web de RoadSurfer")</f>
        <v/>
      </c>
    </row>
    <row r="934">
      <c r="A934" t="inlineStr">
        <is>
          <t>Italia</t>
        </is>
      </c>
      <c r="B934" t="inlineStr">
        <is>
          <t>Roma Aeropuerto Fiumicino</t>
        </is>
      </c>
      <c r="C934" t="inlineStr">
        <is>
          <t>Alemania</t>
        </is>
      </c>
      <c r="D934" t="inlineStr">
        <is>
          <t>Núremberg</t>
        </is>
      </c>
      <c r="E934" t="inlineStr">
        <is>
          <t>2026-03-10</t>
        </is>
      </c>
      <c r="F934" t="inlineStr">
        <is>
          <t>2026-03-17</t>
        </is>
      </c>
      <c r="G934" t="inlineStr">
        <is>
          <t xml:space="preserve"> - Family Finca</t>
        </is>
      </c>
      <c r="H934">
        <f>HYPERLINK("https://booking.roadsurfer.com/es/rally/pick?pickup_date=2026-03-10&amp;return_date=2026-03-17&amp;currency=EUR&amp;startStation=35&amp;endStation=11", "Clic para verlo en la web de RoadSurfer")</f>
        <v/>
      </c>
    </row>
    <row r="935">
      <c r="A935" t="inlineStr">
        <is>
          <t>Países Bajos</t>
        </is>
      </c>
      <c r="B935" t="inlineStr">
        <is>
          <t>Róterdam</t>
        </is>
      </c>
      <c r="C935" t="inlineStr">
        <is>
          <t>Alemania</t>
        </is>
      </c>
      <c r="D935" t="inlineStr">
        <is>
          <t>Duisburgo</t>
        </is>
      </c>
      <c r="E935" t="inlineStr">
        <is>
          <t>2026-02-23</t>
        </is>
      </c>
      <c r="F935" t="inlineStr">
        <is>
          <t>2026-03-02</t>
        </is>
      </c>
      <c r="G935" t="inlineStr">
        <is>
          <t xml:space="preserve"> - Surfer Suite</t>
        </is>
      </c>
      <c r="H935">
        <f>HYPERLINK("https://booking.roadsurfer.com/es/rally/pick?pickup_date=2026-02-23&amp;return_date=2026-03-02&amp;currency=EUR&amp;startStation=33&amp;endStation=113", "Clic para verlo en la web de RoadSurfer")</f>
        <v/>
      </c>
    </row>
    <row r="936">
      <c r="A936" t="inlineStr">
        <is>
          <t>Países Bajos</t>
        </is>
      </c>
      <c r="B936" t="inlineStr">
        <is>
          <t>Róterdam</t>
        </is>
      </c>
      <c r="C936" t="inlineStr">
        <is>
          <t>Alemania</t>
        </is>
      </c>
      <c r="D936" t="inlineStr">
        <is>
          <t>Dresde</t>
        </is>
      </c>
      <c r="E936" t="inlineStr">
        <is>
          <t>2026-02-26</t>
        </is>
      </c>
      <c r="F936" t="inlineStr">
        <is>
          <t>2026-03-05</t>
        </is>
      </c>
      <c r="G936" t="inlineStr">
        <is>
          <t xml:space="preserve"> - Camper Castle</t>
        </is>
      </c>
      <c r="H936">
        <f>HYPERLINK("https://booking.roadsurfer.com/es/rally/pick?pickup_date=2026-02-26&amp;return_date=2026-03-05&amp;currency=EUR&amp;startStation=33&amp;endStation=56", "Clic para verlo en la web de RoadSurfer")</f>
        <v/>
      </c>
    </row>
    <row r="937">
      <c r="A937" t="inlineStr">
        <is>
          <t>Países Bajos</t>
        </is>
      </c>
      <c r="B937" t="inlineStr">
        <is>
          <t>Róterdam</t>
        </is>
      </c>
      <c r="C937" t="inlineStr">
        <is>
          <t>Alemania</t>
        </is>
      </c>
      <c r="D937" t="inlineStr">
        <is>
          <t>Hamburgo</t>
        </is>
      </c>
      <c r="E937" t="inlineStr">
        <is>
          <t>2026-02-23</t>
        </is>
      </c>
      <c r="F937" t="inlineStr">
        <is>
          <t>2026-03-02</t>
        </is>
      </c>
      <c r="G937" t="inlineStr">
        <is>
          <t xml:space="preserve"> - Surfer Suite</t>
        </is>
      </c>
      <c r="H937">
        <f>HYPERLINK("https://booking.roadsurfer.com/es/rally/pick?pickup_date=2026-02-23&amp;return_date=2026-03-02&amp;currency=EUR&amp;startStation=33&amp;endStation=3", "Clic para verlo en la web de RoadSurfer")</f>
        <v/>
      </c>
    </row>
    <row r="938">
      <c r="A938" t="inlineStr">
        <is>
          <t>Países Bajos</t>
        </is>
      </c>
      <c r="B938" t="inlineStr">
        <is>
          <t>Róterdam</t>
        </is>
      </c>
      <c r="C938" t="inlineStr">
        <is>
          <t>Alemania</t>
        </is>
      </c>
      <c r="D938" t="inlineStr">
        <is>
          <t>Marburg</t>
        </is>
      </c>
      <c r="E938" t="inlineStr">
        <is>
          <t>2026-03-02</t>
        </is>
      </c>
      <c r="F938" t="inlineStr">
        <is>
          <t>2026-03-09</t>
        </is>
      </c>
      <c r="G938" t="inlineStr">
        <is>
          <t xml:space="preserve"> - Surfer Suite</t>
        </is>
      </c>
      <c r="H938">
        <f>HYPERLINK("https://booking.roadsurfer.com/es/rally/pick?pickup_date=2026-03-02&amp;return_date=2026-03-09&amp;currency=EUR&amp;startStation=33&amp;endStation=22", "Clic para verlo en la web de RoadSurfer")</f>
        <v/>
      </c>
    </row>
    <row r="939">
      <c r="A939" t="inlineStr">
        <is>
          <t>Países Bajos</t>
        </is>
      </c>
      <c r="B939" t="inlineStr">
        <is>
          <t>Róterdam</t>
        </is>
      </c>
      <c r="C939" t="inlineStr">
        <is>
          <t>Alemania</t>
        </is>
      </c>
      <c r="D939" t="inlineStr">
        <is>
          <t>Marburg</t>
        </is>
      </c>
      <c r="E939" t="inlineStr">
        <is>
          <t>2026-03-07</t>
        </is>
      </c>
      <c r="F939" t="inlineStr">
        <is>
          <t>2026-03-14</t>
        </is>
      </c>
      <c r="G939" t="inlineStr">
        <is>
          <t xml:space="preserve"> - No hay coche</t>
        </is>
      </c>
      <c r="H939">
        <f>HYPERLINK("https://booking.roadsurfer.com/es/rally/pick?pickup_date=2026-03-07&amp;return_date=2026-03-14&amp;currency=EUR&amp;startStation=33&amp;endStation=22", "Clic para verlo en la web de RoadSurfer")</f>
        <v/>
      </c>
    </row>
    <row r="940">
      <c r="A940" t="inlineStr">
        <is>
          <t>Austria</t>
        </is>
      </c>
      <c r="B940" t="inlineStr">
        <is>
          <t>Salzburgo</t>
        </is>
      </c>
      <c r="C940" t="inlineStr">
        <is>
          <t>Francia</t>
        </is>
      </c>
      <c r="D940" t="inlineStr">
        <is>
          <t>Aix-Marsella</t>
        </is>
      </c>
      <c r="E940" t="inlineStr">
        <is>
          <t>2026-03-23</t>
        </is>
      </c>
      <c r="F940" t="inlineStr">
        <is>
          <t>2026-03-30</t>
        </is>
      </c>
      <c r="G940" t="inlineStr">
        <is>
          <t xml:space="preserve"> - Road House</t>
        </is>
      </c>
      <c r="H940">
        <f>HYPERLINK("https://booking.roadsurfer.com/es/rally/pick?pickup_date=2026-03-23&amp;return_date=2026-03-30&amp;currency=EUR&amp;startStation=85&amp;endStation=16", "Clic para verlo en la web de RoadSurfer")</f>
        <v/>
      </c>
    </row>
    <row r="941">
      <c r="A941" t="inlineStr">
        <is>
          <t>Austria</t>
        </is>
      </c>
      <c r="B941" t="inlineStr">
        <is>
          <t>Salzburgo</t>
        </is>
      </c>
      <c r="C941" t="inlineStr">
        <is>
          <t>Alemania</t>
        </is>
      </c>
      <c r="D941" t="inlineStr">
        <is>
          <t>Colonia-Bonn</t>
        </is>
      </c>
      <c r="E941" t="inlineStr">
        <is>
          <t>2026-02-25</t>
        </is>
      </c>
      <c r="F941" t="inlineStr">
        <is>
          <t>2026-03-04</t>
        </is>
      </c>
      <c r="G941" t="inlineStr">
        <is>
          <t xml:space="preserve"> - Road House</t>
        </is>
      </c>
      <c r="H941">
        <f>HYPERLINK("https://booking.roadsurfer.com/es/rally/pick?pickup_date=2026-02-25&amp;return_date=2026-03-04&amp;currency=EUR&amp;startStation=85&amp;endStation=52", "Clic para verlo en la web de RoadSurfer")</f>
        <v/>
      </c>
    </row>
    <row r="942">
      <c r="A942" t="inlineStr">
        <is>
          <t>Austria</t>
        </is>
      </c>
      <c r="B942" t="inlineStr">
        <is>
          <t>Salzburgo</t>
        </is>
      </c>
      <c r="C942" t="inlineStr">
        <is>
          <t>Alemania</t>
        </is>
      </c>
      <c r="D942" t="inlineStr">
        <is>
          <t>Bielefeld</t>
        </is>
      </c>
      <c r="E942" t="inlineStr">
        <is>
          <t>2026-02-25</t>
        </is>
      </c>
      <c r="F942" t="inlineStr">
        <is>
          <t>2026-03-04</t>
        </is>
      </c>
      <c r="G942" t="inlineStr">
        <is>
          <t xml:space="preserve"> - Family Finca</t>
        </is>
      </c>
      <c r="H942">
        <f>HYPERLINK("https://booking.roadsurfer.com/es/rally/pick?pickup_date=2026-02-25&amp;return_date=2026-03-04&amp;currency=EUR&amp;startStation=85&amp;endStation=91", "Clic para verlo en la web de RoadSurfer")</f>
        <v/>
      </c>
    </row>
    <row r="943">
      <c r="A943" t="inlineStr">
        <is>
          <t>España</t>
        </is>
      </c>
      <c r="B943" t="inlineStr">
        <is>
          <t>Sevilla</t>
        </is>
      </c>
      <c r="C943" t="inlineStr">
        <is>
          <t>Alemania</t>
        </is>
      </c>
      <c r="D943" t="inlineStr">
        <is>
          <t>Friburgo-Basilea (Alemania)</t>
        </is>
      </c>
      <c r="E943" t="inlineStr">
        <is>
          <t>2026-02-23</t>
        </is>
      </c>
      <c r="F943" t="inlineStr">
        <is>
          <t>2026-03-02</t>
        </is>
      </c>
      <c r="G943" t="inlineStr">
        <is>
          <t xml:space="preserve"> - Road House</t>
        </is>
      </c>
      <c r="H943">
        <f>HYPERLINK("https://booking.roadsurfer.com/es/rally/pick?pickup_date=2026-02-23&amp;return_date=2026-03-02&amp;currency=EUR&amp;startStation=39&amp;endStation=9", "Clic para verlo en la web de RoadSurfer")</f>
        <v/>
      </c>
    </row>
    <row r="944">
      <c r="A944" t="inlineStr">
        <is>
          <t>España</t>
        </is>
      </c>
      <c r="B944" t="inlineStr">
        <is>
          <t>Sevilla</t>
        </is>
      </c>
      <c r="C944" t="inlineStr">
        <is>
          <t>Alemania</t>
        </is>
      </c>
      <c r="D944" t="inlineStr">
        <is>
          <t>Friburgo-Basilea (Alemania)</t>
        </is>
      </c>
      <c r="E944" t="inlineStr">
        <is>
          <t>2026-03-17</t>
        </is>
      </c>
      <c r="F944" t="inlineStr">
        <is>
          <t>2026-03-24</t>
        </is>
      </c>
      <c r="G944" t="inlineStr">
        <is>
          <t xml:space="preserve"> - Camper Castle</t>
        </is>
      </c>
      <c r="H944">
        <f>HYPERLINK("https://booking.roadsurfer.com/es/rally/pick?pickup_date=2026-03-17&amp;return_date=2026-03-24&amp;currency=EUR&amp;startStation=39&amp;endStation=9", "Clic para verlo en la web de RoadSurfer")</f>
        <v/>
      </c>
    </row>
    <row r="945">
      <c r="A945" t="inlineStr">
        <is>
          <t>España</t>
        </is>
      </c>
      <c r="B945" t="inlineStr">
        <is>
          <t>Sevilla</t>
        </is>
      </c>
      <c r="C945" t="inlineStr">
        <is>
          <t>Alemania</t>
        </is>
      </c>
      <c r="D945" t="inlineStr">
        <is>
          <t>Maguncia</t>
        </is>
      </c>
      <c r="E945" t="inlineStr">
        <is>
          <t>2026-03-12</t>
        </is>
      </c>
      <c r="F945" t="inlineStr">
        <is>
          <t>2026-03-19</t>
        </is>
      </c>
      <c r="G945" t="inlineStr">
        <is>
          <t xml:space="preserve"> - Family Finca</t>
        </is>
      </c>
      <c r="H945">
        <f>HYPERLINK("https://booking.roadsurfer.com/es/rally/pick?pickup_date=2026-03-12&amp;return_date=2026-03-19&amp;currency=EUR&amp;startStation=39&amp;endStation=54", "Clic para verlo en la web de RoadSurfer")</f>
        <v/>
      </c>
    </row>
    <row r="946">
      <c r="A946" t="inlineStr">
        <is>
          <t>España</t>
        </is>
      </c>
      <c r="B946" t="inlineStr">
        <is>
          <t>Sevilla</t>
        </is>
      </c>
      <c r="C946" t="inlineStr">
        <is>
          <t>Alemania</t>
        </is>
      </c>
      <c r="D946" t="inlineStr">
        <is>
          <t>Bielefeld</t>
        </is>
      </c>
      <c r="E946" t="inlineStr">
        <is>
          <t>2026-03-12</t>
        </is>
      </c>
      <c r="F946" t="inlineStr">
        <is>
          <t>2026-03-19</t>
        </is>
      </c>
      <c r="G946" t="inlineStr">
        <is>
          <t xml:space="preserve"> - Beach Hostel</t>
        </is>
      </c>
      <c r="H946">
        <f>HYPERLINK("https://booking.roadsurfer.com/es/rally/pick?pickup_date=2026-03-12&amp;return_date=2026-03-19&amp;currency=EUR&amp;startStation=39&amp;endStation=91", "Clic para verlo en la web de RoadSurfer")</f>
        <v/>
      </c>
    </row>
    <row r="947">
      <c r="A947" t="inlineStr">
        <is>
          <t>España</t>
        </is>
      </c>
      <c r="B947" t="inlineStr">
        <is>
          <t>Sevilla</t>
        </is>
      </c>
      <c r="C947" t="inlineStr">
        <is>
          <t>Alemania</t>
        </is>
      </c>
      <c r="D947" t="inlineStr">
        <is>
          <t>Múnich</t>
        </is>
      </c>
      <c r="E947" t="inlineStr">
        <is>
          <t>2026-03-02</t>
        </is>
      </c>
      <c r="F947" t="inlineStr">
        <is>
          <t>2026-03-09</t>
        </is>
      </c>
      <c r="G947" t="inlineStr">
        <is>
          <t xml:space="preserve"> - Family Finca</t>
        </is>
      </c>
      <c r="H947">
        <f>HYPERLINK("https://booking.roadsurfer.com/es/rally/pick?pickup_date=2026-03-02&amp;return_date=2026-03-09&amp;currency=EUR&amp;startStation=39&amp;endStation=1", "Clic para verlo en la web de RoadSurfer")</f>
        <v/>
      </c>
    </row>
    <row r="948">
      <c r="A948" t="inlineStr">
        <is>
          <t>España</t>
        </is>
      </c>
      <c r="B948" t="inlineStr">
        <is>
          <t>Sevilla</t>
        </is>
      </c>
      <c r="C948" t="inlineStr">
        <is>
          <t>Alemania</t>
        </is>
      </c>
      <c r="D948" t="inlineStr">
        <is>
          <t>Marburg</t>
        </is>
      </c>
      <c r="E948" t="inlineStr">
        <is>
          <t>2026-03-16</t>
        </is>
      </c>
      <c r="F948" t="inlineStr">
        <is>
          <t>2026-03-23</t>
        </is>
      </c>
      <c r="G948" t="inlineStr">
        <is>
          <t xml:space="preserve"> - Road House</t>
        </is>
      </c>
      <c r="H948">
        <f>HYPERLINK("https://booking.roadsurfer.com/es/rally/pick?pickup_date=2026-03-16&amp;return_date=2026-03-23&amp;currency=EUR&amp;startStation=39&amp;endStation=22",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Marburg</t>
        </is>
      </c>
      <c r="E949" t="inlineStr">
        <is>
          <t>2026-02-20</t>
        </is>
      </c>
      <c r="F949" t="inlineStr">
        <is>
          <t>2026-02-27</t>
        </is>
      </c>
      <c r="G949" t="inlineStr">
        <is>
          <t xml:space="preserve"> - Surfer Suite</t>
        </is>
      </c>
      <c r="H949">
        <f>HYPERLINK("https://booking.roadsurfer.com/es/rally/pick?pickup_date=2026-02-20&amp;return_date=2026-02-27&amp;currency=EUR&amp;startStation=59&amp;endStation=22", "Clic para verlo en la web de RoadSurfer")</f>
        <v/>
      </c>
    </row>
    <row r="950">
      <c r="A950" t="inlineStr">
        <is>
          <t>Suecia</t>
        </is>
      </c>
      <c r="B950" t="inlineStr">
        <is>
          <t>Estocolmo</t>
        </is>
      </c>
      <c r="C950" t="inlineStr">
        <is>
          <t>Alemania</t>
        </is>
      </c>
      <c r="D950" t="inlineStr">
        <is>
          <t>Marburg</t>
        </is>
      </c>
      <c r="E950" t="inlineStr">
        <is>
          <t>2026-02-24</t>
        </is>
      </c>
      <c r="F950" t="inlineStr">
        <is>
          <t>2026-03-03</t>
        </is>
      </c>
      <c r="G950" t="inlineStr">
        <is>
          <t xml:space="preserve"> - Surfer Suite</t>
        </is>
      </c>
      <c r="H950">
        <f>HYPERLINK("https://booking.roadsurfer.com/es/rally/pick?pickup_date=2026-02-24&amp;return_date=2026-03-03&amp;currency=EUR&amp;startStation=59&amp;endStation=22", "Clic para verlo en la web de RoadSurfer")</f>
        <v/>
      </c>
    </row>
    <row r="951">
      <c r="A951" t="inlineStr">
        <is>
          <t>Suecia</t>
        </is>
      </c>
      <c r="B951" t="inlineStr">
        <is>
          <t>Estocolmo</t>
        </is>
      </c>
      <c r="C951" t="inlineStr">
        <is>
          <t>Alemania</t>
        </is>
      </c>
      <c r="D951" t="inlineStr">
        <is>
          <t>Marburg</t>
        </is>
      </c>
      <c r="E951" t="inlineStr">
        <is>
          <t>2026-02-17</t>
        </is>
      </c>
      <c r="F951" t="inlineStr">
        <is>
          <t>2026-02-24</t>
        </is>
      </c>
      <c r="G951" t="inlineStr">
        <is>
          <t xml:space="preserve"> - SURFER SUITE</t>
        </is>
      </c>
      <c r="H951">
        <f>HYPERLINK("https://booking.roadsurfer.com/es/rally/pick?pickup_date=2026-02-17&amp;return_date=2026-02-24&amp;currency=EUR&amp;startStation=59&amp;endStation=22", "Clic para verlo en la web de RoadSurfer")</f>
        <v/>
      </c>
    </row>
    <row r="952">
      <c r="A952" t="inlineStr">
        <is>
          <t>Suecia</t>
        </is>
      </c>
      <c r="B952" t="inlineStr">
        <is>
          <t>Estocolmo</t>
        </is>
      </c>
      <c r="C952" t="inlineStr">
        <is>
          <t>Alemania</t>
        </is>
      </c>
      <c r="D952" t="inlineStr">
        <is>
          <t>Marburg</t>
        </is>
      </c>
      <c r="E952" t="inlineStr">
        <is>
          <t>2026-02-23</t>
        </is>
      </c>
      <c r="F952" t="inlineStr">
        <is>
          <t>2026-03-02</t>
        </is>
      </c>
      <c r="G952" t="inlineStr">
        <is>
          <t xml:space="preserve"> - BEACH HOSTEL</t>
        </is>
      </c>
      <c r="H952">
        <f>HYPERLINK("https://booking.roadsurfer.com/es/rally/pick?pickup_date=2026-02-23&amp;return_date=2026-03-02&amp;currency=EUR&amp;startStation=59&amp;endStation=22", "Clic para verlo en la web de RoadSurfer")</f>
        <v/>
      </c>
    </row>
    <row r="953">
      <c r="A953" t="inlineStr">
        <is>
          <t>Suecia</t>
        </is>
      </c>
      <c r="B953" t="inlineStr">
        <is>
          <t>Estocolmo</t>
        </is>
      </c>
      <c r="C953" t="inlineStr">
        <is>
          <t>Alemania</t>
        </is>
      </c>
      <c r="D953" t="inlineStr">
        <is>
          <t>Marburg</t>
        </is>
      </c>
      <c r="E953" t="inlineStr">
        <is>
          <t>2026-03-09</t>
        </is>
      </c>
      <c r="F953" t="inlineStr">
        <is>
          <t>2026-03-16</t>
        </is>
      </c>
      <c r="G953" t="inlineStr">
        <is>
          <t xml:space="preserve"> - Surfer Suite</t>
        </is>
      </c>
      <c r="H953">
        <f>HYPERLINK("https://booking.roadsurfer.com/es/rally/pick?pickup_date=2026-03-09&amp;return_date=2026-03-16&amp;currency=EUR&amp;startStation=59&amp;endStation=22", "Clic para verlo en la web de RoadSurfer")</f>
        <v/>
      </c>
    </row>
    <row r="954">
      <c r="A954" t="inlineStr">
        <is>
          <t>Suecia</t>
        </is>
      </c>
      <c r="B954" t="inlineStr">
        <is>
          <t>Estocolmo</t>
        </is>
      </c>
      <c r="C954" t="inlineStr">
        <is>
          <t>Alemania</t>
        </is>
      </c>
      <c r="D954" t="inlineStr">
        <is>
          <t>Marburg</t>
        </is>
      </c>
      <c r="E954" t="inlineStr">
        <is>
          <t>2026-03-16</t>
        </is>
      </c>
      <c r="F954" t="inlineStr">
        <is>
          <t>2026-03-23</t>
        </is>
      </c>
      <c r="G954" t="inlineStr">
        <is>
          <t xml:space="preserve"> - Sunrise Suite</t>
        </is>
      </c>
      <c r="H954">
        <f>HYPERLINK("https://booking.roadsurfer.com/es/rally/pick?pickup_date=2026-03-16&amp;return_date=2026-03-23&amp;currency=EUR&amp;startStation=59&amp;endStation=22", "Clic para verlo en la web de RoadSurfer")</f>
        <v/>
      </c>
    </row>
    <row r="955">
      <c r="A955" t="inlineStr">
        <is>
          <t>Suecia</t>
        </is>
      </c>
      <c r="B955" t="inlineStr">
        <is>
          <t>Estocolmo</t>
        </is>
      </c>
      <c r="C955" t="inlineStr">
        <is>
          <t>Alemania</t>
        </is>
      </c>
      <c r="D955" t="inlineStr">
        <is>
          <t>Marburg</t>
        </is>
      </c>
      <c r="E955" t="inlineStr">
        <is>
          <t>2026-03-17</t>
        </is>
      </c>
      <c r="F955" t="inlineStr">
        <is>
          <t>2026-03-24</t>
        </is>
      </c>
      <c r="G955" t="inlineStr">
        <is>
          <t xml:space="preserve"> - Surfer Suite</t>
        </is>
      </c>
      <c r="H955">
        <f>HYPERLINK("https://booking.roadsurfer.com/es/rally/pick?pickup_date=2026-03-17&amp;return_date=2026-03-24&amp;currency=EUR&amp;startStation=59&amp;endStation=22", "Clic para verlo en la web de RoadSurfer")</f>
        <v/>
      </c>
    </row>
    <row r="956">
      <c r="A956" t="inlineStr">
        <is>
          <t>Suecia</t>
        </is>
      </c>
      <c r="B956" t="inlineStr">
        <is>
          <t>Estocolmo</t>
        </is>
      </c>
      <c r="C956" t="inlineStr">
        <is>
          <t>Alemania</t>
        </is>
      </c>
      <c r="D956" t="inlineStr">
        <is>
          <t>Marburg</t>
        </is>
      </c>
      <c r="E956" t="inlineStr">
        <is>
          <t>2026-03-05</t>
        </is>
      </c>
      <c r="F956" t="inlineStr">
        <is>
          <t>2026-03-12</t>
        </is>
      </c>
      <c r="G956" t="inlineStr">
        <is>
          <t xml:space="preserve"> - Camper Castle</t>
        </is>
      </c>
      <c r="H956">
        <f>HYPERLINK("https://booking.roadsurfer.com/es/rally/pick?pickup_date=2026-03-05&amp;return_date=2026-03-12&amp;currency=EUR&amp;startStation=59&amp;endStation=22", "Clic para verlo en la web de RoadSurfer")</f>
        <v/>
      </c>
    </row>
    <row r="957">
      <c r="A957" t="inlineStr">
        <is>
          <t>Suecia</t>
        </is>
      </c>
      <c r="B957" t="inlineStr">
        <is>
          <t>Estocolmo</t>
        </is>
      </c>
      <c r="C957" t="inlineStr">
        <is>
          <t>Alemania</t>
        </is>
      </c>
      <c r="D957" t="inlineStr">
        <is>
          <t>Hannover</t>
        </is>
      </c>
      <c r="E957" t="inlineStr">
        <is>
          <t>2026-02-23</t>
        </is>
      </c>
      <c r="F957" t="inlineStr">
        <is>
          <t>2026-03-02</t>
        </is>
      </c>
      <c r="G957" t="inlineStr">
        <is>
          <t xml:space="preserve"> - Family Finca</t>
        </is>
      </c>
      <c r="H957">
        <f>HYPERLINK("https://booking.roadsurfer.com/es/rally/pick?pickup_date=2026-02-23&amp;return_date=2026-03-02&amp;currency=EUR&amp;startStation=59&amp;endStation=7", "Clic para verlo en la web de RoadSurfer")</f>
        <v/>
      </c>
    </row>
    <row r="958">
      <c r="A958" t="inlineStr">
        <is>
          <t>Suecia</t>
        </is>
      </c>
      <c r="B958" t="inlineStr">
        <is>
          <t>Estocolmo</t>
        </is>
      </c>
      <c r="C958" t="inlineStr">
        <is>
          <t>Alemania</t>
        </is>
      </c>
      <c r="D958" t="inlineStr">
        <is>
          <t>Hannover</t>
        </is>
      </c>
      <c r="E958" t="inlineStr">
        <is>
          <t>2026-02-25</t>
        </is>
      </c>
      <c r="F958" t="inlineStr">
        <is>
          <t>2026-03-04</t>
        </is>
      </c>
      <c r="G958" t="inlineStr">
        <is>
          <t xml:space="preserve"> - Surfer Suite</t>
        </is>
      </c>
      <c r="H958">
        <f>HYPERLINK("https://booking.roadsurfer.com/es/rally/pick?pickup_date=2026-02-25&amp;return_date=2026-03-04&amp;currency=EUR&amp;startStation=59&amp;endStation=7", "Clic para verlo en la web de RoadSurfer")</f>
        <v/>
      </c>
    </row>
    <row r="959">
      <c r="A959" t="inlineStr">
        <is>
          <t>Suecia</t>
        </is>
      </c>
      <c r="B959" t="inlineStr">
        <is>
          <t>Estocolmo</t>
        </is>
      </c>
      <c r="C959" t="inlineStr">
        <is>
          <t>Alemania</t>
        </is>
      </c>
      <c r="D959" t="inlineStr">
        <is>
          <t>Hannover</t>
        </is>
      </c>
      <c r="E959" t="inlineStr">
        <is>
          <t>2026-02-27</t>
        </is>
      </c>
      <c r="F959" t="inlineStr">
        <is>
          <t>2026-03-06</t>
        </is>
      </c>
      <c r="G959" t="inlineStr">
        <is>
          <t xml:space="preserve"> - Surfer Suite</t>
        </is>
      </c>
      <c r="H959">
        <f>HYPERLINK("https://booking.roadsurfer.com/es/rally/pick?pickup_date=2026-02-27&amp;return_date=2026-03-06&amp;currency=EUR&amp;startStation=59&amp;endStation=7", "Clic para verlo en la web de RoadSurfer")</f>
        <v/>
      </c>
    </row>
    <row r="960">
      <c r="A960" t="inlineStr">
        <is>
          <t>Suecia</t>
        </is>
      </c>
      <c r="B960" t="inlineStr">
        <is>
          <t>Estocolmo</t>
        </is>
      </c>
      <c r="C960" t="inlineStr">
        <is>
          <t>Alemania</t>
        </is>
      </c>
      <c r="D960" t="inlineStr">
        <is>
          <t>Hannover</t>
        </is>
      </c>
      <c r="E960" t="inlineStr">
        <is>
          <t>2026-02-18</t>
        </is>
      </c>
      <c r="F960" t="inlineStr">
        <is>
          <t>2026-02-25</t>
        </is>
      </c>
      <c r="G960" t="inlineStr">
        <is>
          <t xml:space="preserve"> - Surfer Suite</t>
        </is>
      </c>
      <c r="H960">
        <f>HYPERLINK("https://booking.roadsurfer.com/es/rally/pick?pickup_date=2026-02-18&amp;return_date=2026-02-25&amp;currency=EUR&amp;startStation=59&amp;endStation=7", "Clic para verlo en la web de RoadSurfer")</f>
        <v/>
      </c>
    </row>
    <row r="961">
      <c r="A961" t="inlineStr">
        <is>
          <t>Suecia</t>
        </is>
      </c>
      <c r="B961" t="inlineStr">
        <is>
          <t>Estocolmo</t>
        </is>
      </c>
      <c r="C961" t="inlineStr">
        <is>
          <t>Alemania</t>
        </is>
      </c>
      <c r="D961" t="inlineStr">
        <is>
          <t>Hannover</t>
        </is>
      </c>
      <c r="E961" t="inlineStr">
        <is>
          <t>2026-02-20</t>
        </is>
      </c>
      <c r="F961" t="inlineStr">
        <is>
          <t>2026-02-27</t>
        </is>
      </c>
      <c r="G961" t="inlineStr">
        <is>
          <t xml:space="preserve"> - Surfer Suite</t>
        </is>
      </c>
      <c r="H961">
        <f>HYPERLINK("https://booking.roadsurfer.com/es/rally/pick?pickup_date=2026-02-20&amp;return_date=2026-02-27&amp;currency=EUR&amp;startStation=59&amp;endStation=7", "Clic para verlo en la web de RoadSurfer")</f>
        <v/>
      </c>
    </row>
    <row r="962">
      <c r="A962" t="inlineStr">
        <is>
          <t>Suecia</t>
        </is>
      </c>
      <c r="B962" t="inlineStr">
        <is>
          <t>Estocolmo</t>
        </is>
      </c>
      <c r="C962" t="inlineStr">
        <is>
          <t>Alemania</t>
        </is>
      </c>
      <c r="D962" t="inlineStr">
        <is>
          <t>Hamburgo</t>
        </is>
      </c>
      <c r="E962" t="inlineStr">
        <is>
          <t>2026-02-17</t>
        </is>
      </c>
      <c r="F962" t="inlineStr">
        <is>
          <t>2026-02-24</t>
        </is>
      </c>
      <c r="G962" t="inlineStr">
        <is>
          <t xml:space="preserve"> - Surfer Suite</t>
        </is>
      </c>
      <c r="H962">
        <f>HYPERLINK("https://booking.roadsurfer.com/es/rally/pick?pickup_date=2026-02-17&amp;return_date=2026-02-24&amp;currency=EUR&amp;startStation=59&amp;endStation=3", "Clic para verlo en la web de RoadSurfer")</f>
        <v/>
      </c>
    </row>
    <row r="963">
      <c r="A963" t="inlineStr">
        <is>
          <t>Suecia</t>
        </is>
      </c>
      <c r="B963" t="inlineStr">
        <is>
          <t>Estocolmo</t>
        </is>
      </c>
      <c r="C963" t="inlineStr">
        <is>
          <t>Alemania</t>
        </is>
      </c>
      <c r="D963" t="inlineStr">
        <is>
          <t>Hamburgo</t>
        </is>
      </c>
      <c r="E963" t="inlineStr">
        <is>
          <t>2026-02-26</t>
        </is>
      </c>
      <c r="F963" t="inlineStr">
        <is>
          <t>2026-03-05</t>
        </is>
      </c>
      <c r="G963" t="inlineStr">
        <is>
          <t xml:space="preserve"> - Beach Hostel - Family Finca</t>
        </is>
      </c>
      <c r="H963">
        <f>HYPERLINK("https://booking.roadsurfer.com/es/rally/pick?pickup_date=2026-02-26&amp;return_date=2026-03-05&amp;currency=EUR&amp;startStation=59&amp;endStation=3", "Clic para verlo en la web de RoadSurfer")</f>
        <v/>
      </c>
    </row>
    <row r="964">
      <c r="A964" t="inlineStr">
        <is>
          <t>Suecia</t>
        </is>
      </c>
      <c r="B964" t="inlineStr">
        <is>
          <t>Estocolmo</t>
        </is>
      </c>
      <c r="C964" t="inlineStr">
        <is>
          <t>Alemania</t>
        </is>
      </c>
      <c r="D964" t="inlineStr">
        <is>
          <t>Bremen</t>
        </is>
      </c>
      <c r="E964" t="inlineStr">
        <is>
          <t>2026-03-01</t>
        </is>
      </c>
      <c r="F964" t="inlineStr">
        <is>
          <t>2026-03-08</t>
        </is>
      </c>
      <c r="G964" t="inlineStr">
        <is>
          <t xml:space="preserve"> - No hay coche</t>
        </is>
      </c>
      <c r="H964">
        <f>HYPERLINK("https://booking.roadsurfer.com/es/rally/pick?pickup_date=2026-03-01&amp;return_date=2026-03-08&amp;currency=EUR&amp;startStation=59&amp;endStation=55", "Clic para verlo en la web de RoadSurfer")</f>
        <v/>
      </c>
    </row>
    <row r="965">
      <c r="A965" t="inlineStr">
        <is>
          <t>Suecia</t>
        </is>
      </c>
      <c r="B965" t="inlineStr">
        <is>
          <t>Estocolmo</t>
        </is>
      </c>
      <c r="C965" t="inlineStr">
        <is>
          <t>Alemania</t>
        </is>
      </c>
      <c r="D965" t="inlineStr">
        <is>
          <t>Bremen</t>
        </is>
      </c>
      <c r="E965" t="inlineStr">
        <is>
          <t>2026-02-18</t>
        </is>
      </c>
      <c r="F965" t="inlineStr">
        <is>
          <t>2026-02-25</t>
        </is>
      </c>
      <c r="G965" t="inlineStr">
        <is>
          <t xml:space="preserve"> - Road House</t>
        </is>
      </c>
      <c r="H965">
        <f>HYPERLINK("https://booking.roadsurfer.com/es/rally/pick?pickup_date=2026-02-18&amp;return_date=2026-02-25&amp;currency=EUR&amp;startStation=59&amp;endStation=55", "Clic para verlo en la web de RoadSurfer")</f>
        <v/>
      </c>
    </row>
    <row r="966">
      <c r="A966" t="inlineStr">
        <is>
          <t>Suecia</t>
        </is>
      </c>
      <c r="B966" t="inlineStr">
        <is>
          <t>Estocolmo</t>
        </is>
      </c>
      <c r="C966" t="inlineStr">
        <is>
          <t>Alemania</t>
        </is>
      </c>
      <c r="D966" t="inlineStr">
        <is>
          <t>Bremen</t>
        </is>
      </c>
      <c r="E966" t="inlineStr">
        <is>
          <t>2026-02-23</t>
        </is>
      </c>
      <c r="F966" t="inlineStr">
        <is>
          <t>2026-03-02</t>
        </is>
      </c>
      <c r="G966" t="inlineStr">
        <is>
          <t xml:space="preserve"> - Surfer Suite</t>
        </is>
      </c>
      <c r="H966">
        <f>HYPERLINK("https://booking.roadsurfer.com/es/rally/pick?pickup_date=2026-02-23&amp;return_date=2026-03-02&amp;currency=EUR&amp;startStation=59&amp;endStation=55", "Clic para verlo en la web de RoadSurfer")</f>
        <v/>
      </c>
    </row>
    <row r="967">
      <c r="A967" t="inlineStr">
        <is>
          <t>Suecia</t>
        </is>
      </c>
      <c r="B967" t="inlineStr">
        <is>
          <t>Estocolmo</t>
        </is>
      </c>
      <c r="C967" t="inlineStr">
        <is>
          <t>Alemania</t>
        </is>
      </c>
      <c r="D967" t="inlineStr">
        <is>
          <t>Berlín</t>
        </is>
      </c>
      <c r="E967" t="inlineStr">
        <is>
          <t>2026-02-19</t>
        </is>
      </c>
      <c r="F967" t="inlineStr">
        <is>
          <t>2026-02-26</t>
        </is>
      </c>
      <c r="G967" t="inlineStr">
        <is>
          <t xml:space="preserve"> - Beach Hostel</t>
        </is>
      </c>
      <c r="H967">
        <f>HYPERLINK("https://booking.roadsurfer.com/es/rally/pick?pickup_date=2026-02-19&amp;return_date=2026-02-26&amp;currency=EUR&amp;startStation=59&amp;endStation=6", "Clic para verlo en la web de RoadSurfer")</f>
        <v/>
      </c>
    </row>
    <row r="968">
      <c r="A968" t="inlineStr">
        <is>
          <t>Suecia</t>
        </is>
      </c>
      <c r="B968" t="inlineStr">
        <is>
          <t>Estocolmo</t>
        </is>
      </c>
      <c r="C968" t="inlineStr">
        <is>
          <t>Alemania</t>
        </is>
      </c>
      <c r="D968" t="inlineStr">
        <is>
          <t>Berlín</t>
        </is>
      </c>
      <c r="E968" t="inlineStr">
        <is>
          <t>2026-03-20</t>
        </is>
      </c>
      <c r="F968" t="inlineStr">
        <is>
          <t>2026-03-27</t>
        </is>
      </c>
      <c r="G968" t="inlineStr">
        <is>
          <t xml:space="preserve"> - Surfer Suite</t>
        </is>
      </c>
      <c r="H968">
        <f>HYPERLINK("https://booking.roadsurfer.com/es/rally/pick?pickup_date=2026-03-20&amp;return_date=2026-03-27&amp;currency=EUR&amp;startStation=59&amp;endStation=6", "Clic para verlo en la web de RoadSurfer")</f>
        <v/>
      </c>
    </row>
    <row r="969">
      <c r="A969" t="inlineStr">
        <is>
          <t>Suecia</t>
        </is>
      </c>
      <c r="B969" t="inlineStr">
        <is>
          <t>Estocolmo</t>
        </is>
      </c>
      <c r="C969" t="inlineStr">
        <is>
          <t>Alemania</t>
        </is>
      </c>
      <c r="D969" t="inlineStr">
        <is>
          <t>Berlín</t>
        </is>
      </c>
      <c r="E969" t="inlineStr">
        <is>
          <t>2026-03-24</t>
        </is>
      </c>
      <c r="F969" t="inlineStr">
        <is>
          <t>2026-03-31</t>
        </is>
      </c>
      <c r="G969" t="inlineStr">
        <is>
          <t xml:space="preserve"> - Couple Cottage</t>
        </is>
      </c>
      <c r="H969">
        <f>HYPERLINK("https://booking.roadsurfer.com/es/rally/pick?pickup_date=2026-03-24&amp;return_date=2026-03-31&amp;currency=EUR&amp;startStation=59&amp;endStation=6", "Clic para verlo en la web de RoadSurfer")</f>
        <v/>
      </c>
    </row>
    <row r="970">
      <c r="A970" t="inlineStr">
        <is>
          <t>Suecia</t>
        </is>
      </c>
      <c r="B970" t="inlineStr">
        <is>
          <t>Estocolmo</t>
        </is>
      </c>
      <c r="C970" t="inlineStr">
        <is>
          <t>Alemania</t>
        </is>
      </c>
      <c r="D970" t="inlineStr">
        <is>
          <t>Berlín-Schönefeld</t>
        </is>
      </c>
      <c r="E970" t="inlineStr">
        <is>
          <t>2026-03-11</t>
        </is>
      </c>
      <c r="F970" t="inlineStr">
        <is>
          <t>2026-03-18</t>
        </is>
      </c>
      <c r="G970" t="inlineStr">
        <is>
          <t xml:space="preserve"> - FAMILY FINCA</t>
        </is>
      </c>
      <c r="H970">
        <f>HYPERLINK("https://booking.roadsurfer.com/es/rally/pick?pickup_date=2026-03-11&amp;return_date=2026-03-18&amp;currency=EUR&amp;startStation=59&amp;endStation=51", "Clic para verlo en la web de RoadSurfer")</f>
        <v/>
      </c>
    </row>
    <row r="971">
      <c r="A971" t="inlineStr">
        <is>
          <t>Suecia</t>
        </is>
      </c>
      <c r="B971" t="inlineStr">
        <is>
          <t>Estocolmo</t>
        </is>
      </c>
      <c r="C971" t="inlineStr">
        <is>
          <t>Alemania</t>
        </is>
      </c>
      <c r="D971" t="inlineStr">
        <is>
          <t>Berlín-Schönefeld</t>
        </is>
      </c>
      <c r="E971" t="inlineStr">
        <is>
          <t>2026-03-13</t>
        </is>
      </c>
      <c r="F971" t="inlineStr">
        <is>
          <t>2026-03-20</t>
        </is>
      </c>
      <c r="G971" t="inlineStr">
        <is>
          <t xml:space="preserve"> - CAMPER CASTLE</t>
        </is>
      </c>
      <c r="H971">
        <f>HYPERLINK("https://booking.roadsurfer.com/es/rally/pick?pickup_date=2026-03-13&amp;return_date=2026-03-20&amp;currency=EUR&amp;startStation=59&amp;endStation=51", "Clic para verlo en la web de RoadSurfer")</f>
        <v/>
      </c>
    </row>
    <row r="972">
      <c r="A972" t="inlineStr">
        <is>
          <t>Suecia</t>
        </is>
      </c>
      <c r="B972" t="inlineStr">
        <is>
          <t>Estocolmo</t>
        </is>
      </c>
      <c r="C972" t="inlineStr">
        <is>
          <t>Alemania</t>
        </is>
      </c>
      <c r="D972" t="inlineStr">
        <is>
          <t>Berlín-Schönefeld</t>
        </is>
      </c>
      <c r="E972" t="inlineStr">
        <is>
          <t>2026-03-17</t>
        </is>
      </c>
      <c r="F972" t="inlineStr">
        <is>
          <t>2026-03-24</t>
        </is>
      </c>
      <c r="G972" t="inlineStr">
        <is>
          <t xml:space="preserve"> - Surfer Suite - Family Finca</t>
        </is>
      </c>
      <c r="H972">
        <f>HYPERLINK("https://booking.roadsurfer.com/es/rally/pick?pickup_date=2026-03-17&amp;return_date=2026-03-24&amp;currency=EUR&amp;startStation=59&amp;endStation=51", "Clic para verlo en la web de RoadSurfer")</f>
        <v/>
      </c>
    </row>
    <row r="973">
      <c r="A973" t="inlineStr">
        <is>
          <t>Suecia</t>
        </is>
      </c>
      <c r="B973" t="inlineStr">
        <is>
          <t>Estocolmo</t>
        </is>
      </c>
      <c r="C973" t="inlineStr">
        <is>
          <t>Alemania</t>
        </is>
      </c>
      <c r="D973" t="inlineStr">
        <is>
          <t>Berlín-Schönefeld</t>
        </is>
      </c>
      <c r="E973" t="inlineStr">
        <is>
          <t>2026-03-19</t>
        </is>
      </c>
      <c r="F973" t="inlineStr">
        <is>
          <t>2026-03-26</t>
        </is>
      </c>
      <c r="G973" t="inlineStr">
        <is>
          <t xml:space="preserve"> - Sunrise Suite</t>
        </is>
      </c>
      <c r="H973">
        <f>HYPERLINK("https://booking.roadsurfer.com/es/rally/pick?pickup_date=2026-03-19&amp;return_date=2026-03-26&amp;currency=EUR&amp;startStation=59&amp;endStation=51", "Clic para verlo en la web de RoadSurfer")</f>
        <v/>
      </c>
    </row>
    <row r="974">
      <c r="A974" t="inlineStr">
        <is>
          <t>Suecia</t>
        </is>
      </c>
      <c r="B974" t="inlineStr">
        <is>
          <t>Estocolmo</t>
        </is>
      </c>
      <c r="C974" t="inlineStr">
        <is>
          <t>Alemania</t>
        </is>
      </c>
      <c r="D974" t="inlineStr">
        <is>
          <t>Berlín-Schönefeld</t>
        </is>
      </c>
      <c r="E974" t="inlineStr">
        <is>
          <t>2026-03-10</t>
        </is>
      </c>
      <c r="F974" t="inlineStr">
        <is>
          <t>2026-03-17</t>
        </is>
      </c>
      <c r="G974" t="inlineStr">
        <is>
          <t xml:space="preserve"> - Road House</t>
        </is>
      </c>
      <c r="H974">
        <f>HYPERLINK("https://booking.roadsurfer.com/es/rally/pick?pickup_date=2026-03-10&amp;return_date=2026-03-17&amp;currency=EUR&amp;startStation=59&amp;endStation=51", "Clic para verlo en la web de RoadSurfer")</f>
        <v/>
      </c>
    </row>
    <row r="975">
      <c r="A975" t="inlineStr">
        <is>
          <t>Suecia</t>
        </is>
      </c>
      <c r="B975" t="inlineStr">
        <is>
          <t>Estocolmo</t>
        </is>
      </c>
      <c r="C975" t="inlineStr">
        <is>
          <t>Alemania</t>
        </is>
      </c>
      <c r="D975" t="inlineStr">
        <is>
          <t>Berlín-Schönefeld</t>
        </is>
      </c>
      <c r="E975" t="inlineStr">
        <is>
          <t>2026-03-14</t>
        </is>
      </c>
      <c r="F975" t="inlineStr">
        <is>
          <t>2026-03-21</t>
        </is>
      </c>
      <c r="G975" t="inlineStr">
        <is>
          <t xml:space="preserve"> - Road House</t>
        </is>
      </c>
      <c r="H975">
        <f>HYPERLINK("https://booking.roadsurfer.com/es/rally/pick?pickup_date=2026-03-14&amp;return_date=2026-03-21&amp;currency=EUR&amp;startStation=59&amp;endStation=51", "Clic para verlo en la web de RoadSurfer")</f>
        <v/>
      </c>
    </row>
    <row r="976">
      <c r="A976" t="inlineStr">
        <is>
          <t>Suecia</t>
        </is>
      </c>
      <c r="B976" t="inlineStr">
        <is>
          <t>Estocolmo</t>
        </is>
      </c>
      <c r="C976" t="inlineStr">
        <is>
          <t>Alemania</t>
        </is>
      </c>
      <c r="D976" t="inlineStr">
        <is>
          <t>Berlín-Schönefeld</t>
        </is>
      </c>
      <c r="E976" t="inlineStr">
        <is>
          <t>2026-03-16</t>
        </is>
      </c>
      <c r="F976" t="inlineStr">
        <is>
          <t>2026-03-23</t>
        </is>
      </c>
      <c r="G976" t="inlineStr">
        <is>
          <t xml:space="preserve"> - Surfer Suite</t>
        </is>
      </c>
      <c r="H976">
        <f>HYPERLINK("https://booking.roadsurfer.com/es/rally/pick?pickup_date=2026-03-16&amp;return_date=2026-03-23&amp;currency=EUR&amp;startStation=59&amp;endStation=51", "Clic para verlo en la web de RoadSurfer")</f>
        <v/>
      </c>
    </row>
    <row r="977">
      <c r="A977" t="inlineStr">
        <is>
          <t>Suecia</t>
        </is>
      </c>
      <c r="B977" t="inlineStr">
        <is>
          <t>Estocolmo</t>
        </is>
      </c>
      <c r="C977" t="inlineStr">
        <is>
          <t>Alemania</t>
        </is>
      </c>
      <c r="D977" t="inlineStr">
        <is>
          <t>Berlín-Schönefeld</t>
        </is>
      </c>
      <c r="E977" t="inlineStr">
        <is>
          <t>2026-03-18</t>
        </is>
      </c>
      <c r="F977" t="inlineStr">
        <is>
          <t>2026-03-25</t>
        </is>
      </c>
      <c r="G977" t="inlineStr">
        <is>
          <t xml:space="preserve"> - Sunrise Suite</t>
        </is>
      </c>
      <c r="H977">
        <f>HYPERLINK("https://booking.roadsurfer.com/es/rally/pick?pickup_date=2026-03-18&amp;return_date=2026-03-25&amp;currency=EUR&amp;startStation=59&amp;endStation=51", "Clic para verlo en la web de RoadSurfer")</f>
        <v/>
      </c>
    </row>
    <row r="978">
      <c r="A978" t="inlineStr">
        <is>
          <t>Suecia</t>
        </is>
      </c>
      <c r="B978" t="inlineStr">
        <is>
          <t>Estocolmo</t>
        </is>
      </c>
      <c r="C978" t="inlineStr">
        <is>
          <t>Alemania</t>
        </is>
      </c>
      <c r="D978" t="inlineStr">
        <is>
          <t>Berlín-Schönefeld</t>
        </is>
      </c>
      <c r="E978" t="inlineStr">
        <is>
          <t>2026-03-12</t>
        </is>
      </c>
      <c r="F978" t="inlineStr">
        <is>
          <t>2026-03-19</t>
        </is>
      </c>
      <c r="G978" t="inlineStr">
        <is>
          <t xml:space="preserve"> - Surfer Suite</t>
        </is>
      </c>
      <c r="H978">
        <f>HYPERLINK("https://booking.roadsurfer.com/es/rally/pick?pickup_date=2026-03-12&amp;return_date=2026-03-19&amp;currency=EUR&amp;startStation=59&amp;endStation=51", "Clic para verlo en la web de RoadSurfer")</f>
        <v/>
      </c>
    </row>
    <row r="979">
      <c r="A979" t="inlineStr">
        <is>
          <t>Suecia</t>
        </is>
      </c>
      <c r="B979" t="inlineStr">
        <is>
          <t>Estocolmo</t>
        </is>
      </c>
      <c r="C979" t="inlineStr">
        <is>
          <t>Alemania</t>
        </is>
      </c>
      <c r="D979" t="inlineStr">
        <is>
          <t>Duisburgo</t>
        </is>
      </c>
      <c r="E979" t="inlineStr">
        <is>
          <t>2026-03-10</t>
        </is>
      </c>
      <c r="F979" t="inlineStr">
        <is>
          <t>2026-03-17</t>
        </is>
      </c>
      <c r="G979" t="inlineStr">
        <is>
          <t xml:space="preserve"> - Road House</t>
        </is>
      </c>
      <c r="H979">
        <f>HYPERLINK("https://booking.roadsurfer.com/es/rally/pick?pickup_date=2026-03-10&amp;return_date=2026-03-17&amp;currency=EUR&amp;startStation=59&amp;endStation=113", "Clic para verlo en la web de RoadSurfer")</f>
        <v/>
      </c>
    </row>
    <row r="980">
      <c r="A980" t="inlineStr">
        <is>
          <t>Suecia</t>
        </is>
      </c>
      <c r="B980" t="inlineStr">
        <is>
          <t>Estocolmo</t>
        </is>
      </c>
      <c r="C980" t="inlineStr">
        <is>
          <t>Alemania</t>
        </is>
      </c>
      <c r="D980" t="inlineStr">
        <is>
          <t>Duisburgo</t>
        </is>
      </c>
      <c r="E980" t="inlineStr">
        <is>
          <t>2026-03-17</t>
        </is>
      </c>
      <c r="F980" t="inlineStr">
        <is>
          <t>2026-03-24</t>
        </is>
      </c>
      <c r="G980" t="inlineStr">
        <is>
          <t xml:space="preserve"> - Camper Castle</t>
        </is>
      </c>
      <c r="H980">
        <f>HYPERLINK("https://booking.roadsurfer.com/es/rally/pick?pickup_date=2026-03-17&amp;return_date=2026-03-24&amp;currency=EUR&amp;startStation=59&amp;endStation=113", "Clic para verlo en la web de RoadSurfer")</f>
        <v/>
      </c>
    </row>
    <row r="981">
      <c r="A981" t="inlineStr">
        <is>
          <t>Suecia</t>
        </is>
      </c>
      <c r="B981" t="inlineStr">
        <is>
          <t>Estocolmo</t>
        </is>
      </c>
      <c r="C981" t="inlineStr">
        <is>
          <t>Alemania</t>
        </is>
      </c>
      <c r="D981" t="inlineStr">
        <is>
          <t>Duisburgo</t>
        </is>
      </c>
      <c r="E981" t="inlineStr">
        <is>
          <t>2026-03-24</t>
        </is>
      </c>
      <c r="F981" t="inlineStr">
        <is>
          <t>2026-03-31</t>
        </is>
      </c>
      <c r="G981" t="inlineStr">
        <is>
          <t xml:space="preserve"> - Surfer Suite</t>
        </is>
      </c>
      <c r="H981">
        <f>HYPERLINK("https://booking.roadsurfer.com/es/rally/pick?pickup_date=2026-03-24&amp;return_date=2026-03-31&amp;currency=EUR&amp;startStation=59&amp;endStation=113", "Clic para verlo en la web de RoadSurfer")</f>
        <v/>
      </c>
    </row>
    <row r="982">
      <c r="A982" t="inlineStr">
        <is>
          <t>Suecia</t>
        </is>
      </c>
      <c r="B982" t="inlineStr">
        <is>
          <t>Estocolmo</t>
        </is>
      </c>
      <c r="C982" t="inlineStr">
        <is>
          <t>Alemania</t>
        </is>
      </c>
      <c r="D982" t="inlineStr">
        <is>
          <t>Duisburgo</t>
        </is>
      </c>
      <c r="E982" t="inlineStr">
        <is>
          <t>2026-03-16</t>
        </is>
      </c>
      <c r="F982" t="inlineStr">
        <is>
          <t>2026-03-23</t>
        </is>
      </c>
      <c r="G982" t="inlineStr">
        <is>
          <t xml:space="preserve"> - Camper Castle</t>
        </is>
      </c>
      <c r="H982">
        <f>HYPERLINK("https://booking.roadsurfer.com/es/rally/pick?pickup_date=2026-03-16&amp;return_date=2026-03-23&amp;currency=EUR&amp;startStation=59&amp;endStation=113", "Clic para verlo en la web de RoadSurfer")</f>
        <v/>
      </c>
    </row>
    <row r="983">
      <c r="A983" t="inlineStr">
        <is>
          <t>Suecia</t>
        </is>
      </c>
      <c r="B983" t="inlineStr">
        <is>
          <t>Estocolmo</t>
        </is>
      </c>
      <c r="C983" t="inlineStr">
        <is>
          <t>Alemania</t>
        </is>
      </c>
      <c r="D983" t="inlineStr">
        <is>
          <t>Erfurt</t>
        </is>
      </c>
      <c r="E983" t="inlineStr">
        <is>
          <t>2026-03-23</t>
        </is>
      </c>
      <c r="F983" t="inlineStr">
        <is>
          <t>2026-03-30</t>
        </is>
      </c>
      <c r="G983" t="inlineStr">
        <is>
          <t xml:space="preserve"> - Couple Cottage</t>
        </is>
      </c>
      <c r="H983">
        <f>HYPERLINK("https://booking.roadsurfer.com/es/rally/pick?pickup_date=2026-03-23&amp;return_date=2026-03-30&amp;currency=EUR&amp;startStation=59&amp;endStation=90", "Clic para verlo en la web de RoadSurfer")</f>
        <v/>
      </c>
    </row>
    <row r="984">
      <c r="A984" t="inlineStr">
        <is>
          <t>Suecia</t>
        </is>
      </c>
      <c r="B984" t="inlineStr">
        <is>
          <t>Estocolmo</t>
        </is>
      </c>
      <c r="C984" t="inlineStr">
        <is>
          <t>Alemania</t>
        </is>
      </c>
      <c r="D984" t="inlineStr">
        <is>
          <t>Erfurt</t>
        </is>
      </c>
      <c r="E984" t="inlineStr">
        <is>
          <t>2026-03-24</t>
        </is>
      </c>
      <c r="F984" t="inlineStr">
        <is>
          <t>2026-03-31</t>
        </is>
      </c>
      <c r="G984" t="inlineStr">
        <is>
          <t xml:space="preserve"> - Surfer Suite - Sunrise Suite</t>
        </is>
      </c>
      <c r="H984">
        <f>HYPERLINK("https://booking.roadsurfer.com/es/rally/pick?pickup_date=2026-03-24&amp;return_date=2026-03-31&amp;currency=EUR&amp;startStation=59&amp;endStation=90", "Clic para verlo en la web de RoadSurfer")</f>
        <v/>
      </c>
    </row>
    <row r="985">
      <c r="A985" t="inlineStr">
        <is>
          <t>Suecia</t>
        </is>
      </c>
      <c r="B985" t="inlineStr">
        <is>
          <t>Estocolmo</t>
        </is>
      </c>
      <c r="C985" t="inlineStr">
        <is>
          <t>Alemania</t>
        </is>
      </c>
      <c r="D985" t="inlineStr">
        <is>
          <t>Erfurt</t>
        </is>
      </c>
      <c r="E985" t="inlineStr">
        <is>
          <t>2026-03-19</t>
        </is>
      </c>
      <c r="F985" t="inlineStr">
        <is>
          <t>2026-03-26</t>
        </is>
      </c>
      <c r="G985" t="inlineStr">
        <is>
          <t xml:space="preserve"> - Road House</t>
        </is>
      </c>
      <c r="H985">
        <f>HYPERLINK("https://booking.roadsurfer.com/es/rally/pick?pickup_date=2026-03-19&amp;return_date=2026-03-26&amp;currency=EUR&amp;startStation=59&amp;endStation=90", "Clic para verlo en la web de RoadSurfer")</f>
        <v/>
      </c>
    </row>
    <row r="986">
      <c r="A986" t="inlineStr">
        <is>
          <t>Suecia</t>
        </is>
      </c>
      <c r="B986" t="inlineStr">
        <is>
          <t>Estocolmo</t>
        </is>
      </c>
      <c r="C986" t="inlineStr">
        <is>
          <t>Alemania</t>
        </is>
      </c>
      <c r="D986" t="inlineStr">
        <is>
          <t>Erfurt</t>
        </is>
      </c>
      <c r="E986" t="inlineStr">
        <is>
          <t>2026-03-20</t>
        </is>
      </c>
      <c r="F986" t="inlineStr">
        <is>
          <t>2026-03-27</t>
        </is>
      </c>
      <c r="G986" t="inlineStr">
        <is>
          <t xml:space="preserve"> - Surfer Suite</t>
        </is>
      </c>
      <c r="H986">
        <f>HYPERLINK("https://booking.roadsurfer.com/es/rally/pick?pickup_date=2026-03-20&amp;return_date=2026-03-27&amp;currency=EUR&amp;startStation=59&amp;endStation=90", "Clic para verlo en la web de RoadSurfer")</f>
        <v/>
      </c>
    </row>
    <row r="987">
      <c r="A987" t="inlineStr">
        <is>
          <t>Suecia</t>
        </is>
      </c>
      <c r="B987" t="inlineStr">
        <is>
          <t>Estocolmo</t>
        </is>
      </c>
      <c r="C987" t="inlineStr">
        <is>
          <t>Alemania</t>
        </is>
      </c>
      <c r="D987" t="inlineStr">
        <is>
          <t>Erfurt</t>
        </is>
      </c>
      <c r="E987" t="inlineStr">
        <is>
          <t>2026-03-21</t>
        </is>
      </c>
      <c r="F987" t="inlineStr">
        <is>
          <t>2026-03-28</t>
        </is>
      </c>
      <c r="G987" t="inlineStr">
        <is>
          <t xml:space="preserve"> - Surfer Suite</t>
        </is>
      </c>
      <c r="H987">
        <f>HYPERLINK("https://booking.roadsurfer.com/es/rally/pick?pickup_date=2026-03-21&amp;return_date=2026-03-28&amp;currency=EUR&amp;startStation=59&amp;endStation=90", "Clic para verlo en la web de RoadSurfer")</f>
        <v/>
      </c>
    </row>
    <row r="988">
      <c r="A988" t="inlineStr">
        <is>
          <t>Suecia</t>
        </is>
      </c>
      <c r="B988" t="inlineStr">
        <is>
          <t>Estocolmo</t>
        </is>
      </c>
      <c r="C988" t="inlineStr">
        <is>
          <t>Alemania</t>
        </is>
      </c>
      <c r="D988" t="inlineStr">
        <is>
          <t>Ratisbona</t>
        </is>
      </c>
      <c r="E988" t="inlineStr">
        <is>
          <t>2026-03-12</t>
        </is>
      </c>
      <c r="F988" t="inlineStr">
        <is>
          <t>2026-03-19</t>
        </is>
      </c>
      <c r="G988" t="inlineStr">
        <is>
          <t xml:space="preserve"> - Camper Castle</t>
        </is>
      </c>
      <c r="H988">
        <f>HYPERLINK("https://booking.roadsurfer.com/es/rally/pick?pickup_date=2026-03-12&amp;return_date=2026-03-19&amp;currency=EUR&amp;startStation=59&amp;endStation=89", "Clic para verlo en la web de RoadSurfer")</f>
        <v/>
      </c>
    </row>
    <row r="989">
      <c r="A989" t="inlineStr">
        <is>
          <t>Suecia</t>
        </is>
      </c>
      <c r="B989" t="inlineStr">
        <is>
          <t>Estocolmo</t>
        </is>
      </c>
      <c r="C989" t="inlineStr">
        <is>
          <t>Alemania</t>
        </is>
      </c>
      <c r="D989" t="inlineStr">
        <is>
          <t>Ratisbona</t>
        </is>
      </c>
      <c r="E989" t="inlineStr">
        <is>
          <t>2026-03-06</t>
        </is>
      </c>
      <c r="F989" t="inlineStr">
        <is>
          <t>2026-03-13</t>
        </is>
      </c>
      <c r="G989" t="inlineStr">
        <is>
          <t xml:space="preserve"> - Camper Castle</t>
        </is>
      </c>
      <c r="H989">
        <f>HYPERLINK("https://booking.roadsurfer.com/es/rally/pick?pickup_date=2026-03-06&amp;return_date=2026-03-13&amp;currency=EUR&amp;startStation=59&amp;endStation=89", "Clic para verlo en la web de RoadSurfer")</f>
        <v/>
      </c>
    </row>
    <row r="990">
      <c r="A990" t="inlineStr">
        <is>
          <t>Suecia</t>
        </is>
      </c>
      <c r="B990" t="inlineStr">
        <is>
          <t>Estocolmo</t>
        </is>
      </c>
      <c r="C990" t="inlineStr">
        <is>
          <t>Alemania</t>
        </is>
      </c>
      <c r="D990" t="inlineStr">
        <is>
          <t>Ratisbona</t>
        </is>
      </c>
      <c r="E990" t="inlineStr">
        <is>
          <t>2026-03-21</t>
        </is>
      </c>
      <c r="F990" t="inlineStr">
        <is>
          <t>2026-03-28</t>
        </is>
      </c>
      <c r="G990" t="inlineStr">
        <is>
          <t xml:space="preserve"> - Surfer Suite</t>
        </is>
      </c>
      <c r="H990">
        <f>HYPERLINK("https://booking.roadsurfer.com/es/rally/pick?pickup_date=2026-03-21&amp;return_date=2026-03-28&amp;currency=EUR&amp;startStation=59&amp;endStation=89", "Clic para verlo en la web de RoadSurfer")</f>
        <v/>
      </c>
    </row>
    <row r="991">
      <c r="A991" t="inlineStr">
        <is>
          <t>Suecia</t>
        </is>
      </c>
      <c r="B991" t="inlineStr">
        <is>
          <t>Estocolmo</t>
        </is>
      </c>
      <c r="C991" t="inlineStr">
        <is>
          <t>Alemania</t>
        </is>
      </c>
      <c r="D991" t="inlineStr">
        <is>
          <t>Bielefeld</t>
        </is>
      </c>
      <c r="E991" t="inlineStr">
        <is>
          <t>2026-03-16</t>
        </is>
      </c>
      <c r="F991" t="inlineStr">
        <is>
          <t>2026-03-23</t>
        </is>
      </c>
      <c r="G991" t="inlineStr">
        <is>
          <t xml:space="preserve"> - Road House</t>
        </is>
      </c>
      <c r="H991">
        <f>HYPERLINK("https://booking.roadsurfer.com/es/rally/pick?pickup_date=2026-03-16&amp;return_date=2026-03-23&amp;currency=EUR&amp;startStation=59&amp;endStation=91", "Clic para verlo en la web de RoadSurfer")</f>
        <v/>
      </c>
    </row>
    <row r="992">
      <c r="A992" t="inlineStr">
        <is>
          <t>Suecia</t>
        </is>
      </c>
      <c r="B992" t="inlineStr">
        <is>
          <t>Estocolmo</t>
        </is>
      </c>
      <c r="C992" t="inlineStr">
        <is>
          <t>Alemania</t>
        </is>
      </c>
      <c r="D992" t="inlineStr">
        <is>
          <t>Bielefeld</t>
        </is>
      </c>
      <c r="E992" t="inlineStr">
        <is>
          <t>2026-03-17</t>
        </is>
      </c>
      <c r="F992" t="inlineStr">
        <is>
          <t>2026-03-24</t>
        </is>
      </c>
      <c r="G992" t="inlineStr">
        <is>
          <t xml:space="preserve"> - Beach Hostel - Road House</t>
        </is>
      </c>
      <c r="H992">
        <f>HYPERLINK("https://booking.roadsurfer.com/es/rally/pick?pickup_date=2026-03-17&amp;return_date=2026-03-24&amp;currency=EUR&amp;startStation=59&amp;endStation=91", "Clic para verlo en la web de RoadSurfer")</f>
        <v/>
      </c>
    </row>
    <row r="993">
      <c r="A993" t="inlineStr">
        <is>
          <t>Suecia</t>
        </is>
      </c>
      <c r="B993" t="inlineStr">
        <is>
          <t>Estocolmo</t>
        </is>
      </c>
      <c r="C993" t="inlineStr">
        <is>
          <t>Alemania</t>
        </is>
      </c>
      <c r="D993" t="inlineStr">
        <is>
          <t>Dresde</t>
        </is>
      </c>
      <c r="E993" t="inlineStr">
        <is>
          <t>2026-02-23</t>
        </is>
      </c>
      <c r="F993" t="inlineStr">
        <is>
          <t>2026-03-02</t>
        </is>
      </c>
      <c r="G993" t="inlineStr">
        <is>
          <t xml:space="preserve"> - Road House</t>
        </is>
      </c>
      <c r="H993">
        <f>HYPERLINK("https://booking.roadsurfer.com/es/rally/pick?pickup_date=2026-02-23&amp;return_date=2026-03-02&amp;currency=EUR&amp;startStation=59&amp;endStation=56", "Clic para verlo en la web de RoadSurfer")</f>
        <v/>
      </c>
    </row>
    <row r="994">
      <c r="A994" t="inlineStr">
        <is>
          <t>Suecia</t>
        </is>
      </c>
      <c r="B994" t="inlineStr">
        <is>
          <t>Estocolmo</t>
        </is>
      </c>
      <c r="C994" t="inlineStr">
        <is>
          <t>Alemania</t>
        </is>
      </c>
      <c r="D994" t="inlineStr">
        <is>
          <t>Dresde</t>
        </is>
      </c>
      <c r="E994" t="inlineStr">
        <is>
          <t>2026-02-21</t>
        </is>
      </c>
      <c r="F994" t="inlineStr">
        <is>
          <t>2026-02-28</t>
        </is>
      </c>
      <c r="G994" t="inlineStr">
        <is>
          <t xml:space="preserve"> - Road House</t>
        </is>
      </c>
      <c r="H994">
        <f>HYPERLINK("https://booking.roadsurfer.com/es/rally/pick?pickup_date=2026-02-21&amp;return_date=2026-02-28&amp;currency=EUR&amp;startStation=59&amp;endStation=56", "Clic para verlo en la web de RoadSurfer")</f>
        <v/>
      </c>
    </row>
    <row r="995">
      <c r="A995" t="inlineStr">
        <is>
          <t>Suecia</t>
        </is>
      </c>
      <c r="B995" t="inlineStr">
        <is>
          <t>Estocolmo</t>
        </is>
      </c>
      <c r="C995" t="inlineStr">
        <is>
          <t>Alemania</t>
        </is>
      </c>
      <c r="D995" t="inlineStr">
        <is>
          <t>Dresde</t>
        </is>
      </c>
      <c r="E995" t="inlineStr">
        <is>
          <t>2026-02-17</t>
        </is>
      </c>
      <c r="F995" t="inlineStr">
        <is>
          <t>2026-02-24</t>
        </is>
      </c>
      <c r="G995" t="inlineStr">
        <is>
          <t xml:space="preserve"> - Family Finca</t>
        </is>
      </c>
      <c r="H995">
        <f>HYPERLINK("https://booking.roadsurfer.com/es/rally/pick?pickup_date=2026-02-17&amp;return_date=2026-02-24&amp;currency=EUR&amp;startStation=59&amp;endStation=56", "Clic para verlo en la web de RoadSurfer")</f>
        <v/>
      </c>
    </row>
    <row r="996">
      <c r="A996" t="inlineStr">
        <is>
          <t>Suecia</t>
        </is>
      </c>
      <c r="B996" t="inlineStr">
        <is>
          <t>Estocolmo</t>
        </is>
      </c>
      <c r="C996" t="inlineStr">
        <is>
          <t>Alemania</t>
        </is>
      </c>
      <c r="D996" t="inlineStr">
        <is>
          <t>Augsburgo</t>
        </is>
      </c>
      <c r="E996" t="inlineStr">
        <is>
          <t>2026-03-12</t>
        </is>
      </c>
      <c r="F996" t="inlineStr">
        <is>
          <t>2026-03-19</t>
        </is>
      </c>
      <c r="G996" t="inlineStr">
        <is>
          <t xml:space="preserve"> - Camper Castle</t>
        </is>
      </c>
      <c r="H996">
        <f>HYPERLINK("https://booking.roadsurfer.com/es/rally/pick?pickup_date=2026-03-12&amp;return_date=2026-03-19&amp;currency=EUR&amp;startStation=59&amp;endStation=108", "Clic para verlo en la web de RoadSurfer")</f>
        <v/>
      </c>
    </row>
    <row r="997">
      <c r="A997" t="inlineStr">
        <is>
          <t>Suecia</t>
        </is>
      </c>
      <c r="B997" t="inlineStr">
        <is>
          <t>Estocolmo</t>
        </is>
      </c>
      <c r="C997" t="inlineStr">
        <is>
          <t>Alemania</t>
        </is>
      </c>
      <c r="D997" t="inlineStr">
        <is>
          <t>Augsburgo</t>
        </is>
      </c>
      <c r="E997" t="inlineStr">
        <is>
          <t>2026-03-18</t>
        </is>
      </c>
      <c r="F997" t="inlineStr">
        <is>
          <t>2026-03-25</t>
        </is>
      </c>
      <c r="G997" t="inlineStr">
        <is>
          <t xml:space="preserve"> - Camper Castle</t>
        </is>
      </c>
      <c r="H997">
        <f>HYPERLINK("https://booking.roadsurfer.com/es/rally/pick?pickup_date=2026-03-18&amp;return_date=2026-03-25&amp;currency=EUR&amp;startStation=59&amp;endStation=108", "Clic para verlo en la web de RoadSurfer")</f>
        <v/>
      </c>
    </row>
    <row r="998">
      <c r="A998" t="inlineStr">
        <is>
          <t>Suecia</t>
        </is>
      </c>
      <c r="B998" t="inlineStr">
        <is>
          <t>Estocolmo</t>
        </is>
      </c>
      <c r="C998" t="inlineStr">
        <is>
          <t>Alemania</t>
        </is>
      </c>
      <c r="D998" t="inlineStr">
        <is>
          <t>Karlsruhe</t>
        </is>
      </c>
      <c r="E998" t="inlineStr">
        <is>
          <t>2026-03-19</t>
        </is>
      </c>
      <c r="F998" t="inlineStr">
        <is>
          <t>2026-03-26</t>
        </is>
      </c>
      <c r="G998" t="inlineStr">
        <is>
          <t xml:space="preserve"> - Camper Castle</t>
        </is>
      </c>
      <c r="H998">
        <f>HYPERLINK("https://booking.roadsurfer.com/es/rally/pick?pickup_date=2026-03-19&amp;return_date=2026-03-26&amp;currency=EUR&amp;startStation=59&amp;endStation=110", "Clic para verlo en la web de RoadSurfer")</f>
        <v/>
      </c>
    </row>
    <row r="999">
      <c r="A999" t="inlineStr">
        <is>
          <t>Suecia</t>
        </is>
      </c>
      <c r="B999" t="inlineStr">
        <is>
          <t>Estocolmo</t>
        </is>
      </c>
      <c r="C999" t="inlineStr">
        <is>
          <t>Alemania</t>
        </is>
      </c>
      <c r="D999" t="inlineStr">
        <is>
          <t>Karlsruhe</t>
        </is>
      </c>
      <c r="E999" t="inlineStr">
        <is>
          <t>2026-03-13</t>
        </is>
      </c>
      <c r="F999" t="inlineStr">
        <is>
          <t>2026-03-20</t>
        </is>
      </c>
      <c r="G999" t="inlineStr">
        <is>
          <t xml:space="preserve"> - Camper Castle</t>
        </is>
      </c>
      <c r="H999">
        <f>HYPERLINK("https://booking.roadsurfer.com/es/rally/pick?pickup_date=2026-03-13&amp;return_date=2026-03-20&amp;currency=EUR&amp;startStation=59&amp;endStation=110", "Clic para verlo en la web de RoadSurfer")</f>
        <v/>
      </c>
    </row>
    <row r="1000">
      <c r="A1000" t="inlineStr">
        <is>
          <t>Suecia</t>
        </is>
      </c>
      <c r="B1000" t="inlineStr">
        <is>
          <t>Estocolmo</t>
        </is>
      </c>
      <c r="C1000" t="inlineStr">
        <is>
          <t>Alemania</t>
        </is>
      </c>
      <c r="D1000" t="inlineStr">
        <is>
          <t>Lindau-Wangen</t>
        </is>
      </c>
      <c r="E1000" t="inlineStr">
        <is>
          <t>2026-03-20</t>
        </is>
      </c>
      <c r="F1000" t="inlineStr">
        <is>
          <t>2026-03-27</t>
        </is>
      </c>
      <c r="G1000" t="inlineStr">
        <is>
          <t xml:space="preserve"> - Camper Castle</t>
        </is>
      </c>
      <c r="H1000">
        <f>HYPERLINK("https://booking.roadsurfer.com/es/rally/pick?pickup_date=2026-03-20&amp;return_date=2026-03-27&amp;currency=EUR&amp;startStation=59&amp;endStation=117", "Clic para verlo en la web de RoadSurfer")</f>
        <v/>
      </c>
    </row>
    <row r="1001">
      <c r="A1001" t="inlineStr">
        <is>
          <t>Suecia</t>
        </is>
      </c>
      <c r="B1001" t="inlineStr">
        <is>
          <t>Estocolmo</t>
        </is>
      </c>
      <c r="C1001" t="inlineStr">
        <is>
          <t>Alemania</t>
        </is>
      </c>
      <c r="D1001" t="inlineStr">
        <is>
          <t>Fráncfort</t>
        </is>
      </c>
      <c r="E1001" t="inlineStr">
        <is>
          <t>2026-03-09</t>
        </is>
      </c>
      <c r="F1001" t="inlineStr">
        <is>
          <t>2026-03-16</t>
        </is>
      </c>
      <c r="G1001" t="inlineStr">
        <is>
          <t xml:space="preserve"> - Sunrise Suite</t>
        </is>
      </c>
      <c r="H1001">
        <f>HYPERLINK("https://booking.roadsurfer.com/es/rally/pick?pickup_date=2026-03-09&amp;return_date=2026-03-16&amp;currency=EUR&amp;startStation=59&amp;endStation=2", "Clic para verlo en la web de RoadSurfer")</f>
        <v/>
      </c>
    </row>
    <row r="1002">
      <c r="A1002" t="inlineStr">
        <is>
          <t>Suecia</t>
        </is>
      </c>
      <c r="B1002" t="inlineStr">
        <is>
          <t>Estocolmo</t>
        </is>
      </c>
      <c r="C1002" t="inlineStr">
        <is>
          <t>Alemania</t>
        </is>
      </c>
      <c r="D1002" t="inlineStr">
        <is>
          <t>Fráncfort</t>
        </is>
      </c>
      <c r="E1002" t="inlineStr">
        <is>
          <t>2026-03-10</t>
        </is>
      </c>
      <c r="F1002" t="inlineStr">
        <is>
          <t>2026-03-17</t>
        </is>
      </c>
      <c r="G1002" t="inlineStr">
        <is>
          <t xml:space="preserve"> - Sunrise Suite</t>
        </is>
      </c>
      <c r="H1002">
        <f>HYPERLINK("https://booking.roadsurfer.com/es/rally/pick?pickup_date=2026-03-10&amp;return_date=2026-03-17&amp;currency=EUR&amp;startStation=59&amp;endStation=2", "Clic para verlo en la web de RoadSurfer")</f>
        <v/>
      </c>
    </row>
    <row r="1003">
      <c r="A1003" t="inlineStr">
        <is>
          <t>Francia</t>
        </is>
      </c>
      <c r="B1003" t="inlineStr">
        <is>
          <t>Estrasburgo</t>
        </is>
      </c>
      <c r="C1003" t="inlineStr">
        <is>
          <t>Alemania</t>
        </is>
      </c>
      <c r="D1003" t="inlineStr">
        <is>
          <t>Fráncfort</t>
        </is>
      </c>
      <c r="E1003" t="inlineStr">
        <is>
          <t>2026-03-09</t>
        </is>
      </c>
      <c r="F1003" t="inlineStr">
        <is>
          <t>2026-03-16</t>
        </is>
      </c>
      <c r="G1003" t="inlineStr">
        <is>
          <t xml:space="preserve"> - Beach Hostel</t>
        </is>
      </c>
      <c r="H1003">
        <f>HYPERLINK("https://booking.roadsurfer.com/es/rally/pick?pickup_date=2026-03-09&amp;return_date=2026-03-16&amp;currency=EUR&amp;startStation=49&amp;endStation=2", "Clic para verlo en la web de RoadSurfer")</f>
        <v/>
      </c>
    </row>
    <row r="1004">
      <c r="A1004" t="inlineStr">
        <is>
          <t>Francia</t>
        </is>
      </c>
      <c r="B1004" t="inlineStr">
        <is>
          <t>Estrasburgo</t>
        </is>
      </c>
      <c r="C1004" t="inlineStr">
        <is>
          <t>Alemania</t>
        </is>
      </c>
      <c r="D1004" t="inlineStr">
        <is>
          <t>Stuttgart</t>
        </is>
      </c>
      <c r="E1004" t="inlineStr">
        <is>
          <t>2026-03-09</t>
        </is>
      </c>
      <c r="F1004" t="inlineStr">
        <is>
          <t>2026-03-16</t>
        </is>
      </c>
      <c r="G1004" t="inlineStr">
        <is>
          <t xml:space="preserve"> - Family Finca</t>
        </is>
      </c>
      <c r="H1004">
        <f>HYPERLINK("https://booking.roadsurfer.com/es/rally/pick?pickup_date=2026-03-09&amp;return_date=2026-03-16&amp;currency=EUR&amp;startStation=49&amp;endStation=5", "Clic para verlo en la web de RoadSurfer")</f>
        <v/>
      </c>
    </row>
    <row r="1005">
      <c r="A1005" t="inlineStr">
        <is>
          <t>Francia</t>
        </is>
      </c>
      <c r="B1005" t="inlineStr">
        <is>
          <t>Estrasburgo</t>
        </is>
      </c>
      <c r="C1005" t="inlineStr">
        <is>
          <t>Alemania</t>
        </is>
      </c>
      <c r="D1005" t="inlineStr">
        <is>
          <t>Bielefeld</t>
        </is>
      </c>
      <c r="E1005" t="inlineStr">
        <is>
          <t>2026-03-14</t>
        </is>
      </c>
      <c r="F1005" t="inlineStr">
        <is>
          <t>2026-03-21</t>
        </is>
      </c>
      <c r="G1005" t="inlineStr">
        <is>
          <t xml:space="preserve"> - Family Finca</t>
        </is>
      </c>
      <c r="H1005">
        <f>HYPERLINK("https://booking.roadsurfer.com/es/rally/pick?pickup_date=2026-03-14&amp;return_date=2026-03-21&amp;currency=EUR&amp;startStation=49&amp;endStation=91", "Clic para verlo en la web de RoadSurfer")</f>
        <v/>
      </c>
    </row>
    <row r="1006">
      <c r="A1006" t="inlineStr">
        <is>
          <t>Alemania</t>
        </is>
      </c>
      <c r="B1006" t="inlineStr">
        <is>
          <t>Stuttgart</t>
        </is>
      </c>
      <c r="C1006" t="inlineStr">
        <is>
          <t>España</t>
        </is>
      </c>
      <c r="D1006" t="inlineStr">
        <is>
          <t>Bilbao</t>
        </is>
      </c>
      <c r="E1006" t="inlineStr">
        <is>
          <t>2026-03-19</t>
        </is>
      </c>
      <c r="F1006" t="inlineStr">
        <is>
          <t>2026-03-26</t>
        </is>
      </c>
      <c r="G1006" t="inlineStr">
        <is>
          <t xml:space="preserve"> - Surfer Suite - Road House</t>
        </is>
      </c>
      <c r="H1006">
        <f>HYPERLINK("https://booking.roadsurfer.com/es/rally/pick?pickup_date=2026-03-19&amp;return_date=2026-03-26&amp;currency=EUR&amp;startStation=5&amp;endStation=40", "Clic para verlo en la web de RoadSurfer")</f>
        <v/>
      </c>
    </row>
    <row r="1007">
      <c r="A1007" t="inlineStr">
        <is>
          <t>Alemania</t>
        </is>
      </c>
      <c r="B1007" t="inlineStr">
        <is>
          <t>Stuttgart</t>
        </is>
      </c>
      <c r="C1007" t="inlineStr">
        <is>
          <t>España</t>
        </is>
      </c>
      <c r="D1007" t="inlineStr">
        <is>
          <t>Bilbao</t>
        </is>
      </c>
      <c r="E1007" t="inlineStr">
        <is>
          <t>2026-03-20</t>
        </is>
      </c>
      <c r="F1007" t="inlineStr">
        <is>
          <t>2026-03-27</t>
        </is>
      </c>
      <c r="G1007" t="inlineStr">
        <is>
          <t xml:space="preserve"> - Family Finca</t>
        </is>
      </c>
      <c r="H1007">
        <f>HYPERLINK("https://booking.roadsurfer.com/es/rally/pick?pickup_date=2026-03-20&amp;return_date=2026-03-27&amp;currency=EUR&amp;startStation=5&amp;endStation=40", "Clic para verlo en la web de RoadSurfer")</f>
        <v/>
      </c>
    </row>
    <row r="1008">
      <c r="A1008" t="inlineStr">
        <is>
          <t>Alemania</t>
        </is>
      </c>
      <c r="B1008" t="inlineStr">
        <is>
          <t>Stuttgart</t>
        </is>
      </c>
      <c r="C1008" t="inlineStr">
        <is>
          <t>España</t>
        </is>
      </c>
      <c r="D1008" t="inlineStr">
        <is>
          <t>Bilbao</t>
        </is>
      </c>
      <c r="E1008" t="inlineStr">
        <is>
          <t>2026-03-16</t>
        </is>
      </c>
      <c r="F1008" t="inlineStr">
        <is>
          <t>2026-03-23</t>
        </is>
      </c>
      <c r="G1008" t="inlineStr">
        <is>
          <t xml:space="preserve"> - Road House</t>
        </is>
      </c>
      <c r="H1008">
        <f>HYPERLINK("https://booking.roadsurfer.com/es/rally/pick?pickup_date=2026-03-16&amp;return_date=2026-03-23&amp;currency=EUR&amp;startStation=5&amp;endStation=40", "Clic para verlo en la web de RoadSurfer")</f>
        <v/>
      </c>
    </row>
    <row r="1009">
      <c r="A1009" t="inlineStr">
        <is>
          <t>Alemania</t>
        </is>
      </c>
      <c r="B1009" t="inlineStr">
        <is>
          <t>Stuttgart</t>
        </is>
      </c>
      <c r="C1009" t="inlineStr">
        <is>
          <t>España</t>
        </is>
      </c>
      <c r="D1009" t="inlineStr">
        <is>
          <t>Bilbao</t>
        </is>
      </c>
      <c r="E1009" t="inlineStr">
        <is>
          <t>2026-02-28</t>
        </is>
      </c>
      <c r="F1009" t="inlineStr">
        <is>
          <t>2026-03-07</t>
        </is>
      </c>
      <c r="G1009" t="inlineStr">
        <is>
          <t xml:space="preserve"> - Beach Hostel</t>
        </is>
      </c>
      <c r="H1009">
        <f>HYPERLINK("https://booking.roadsurfer.com/es/rally/pick?pickup_date=2026-02-28&amp;return_date=2026-03-07&amp;currency=EUR&amp;startStation=5&amp;endStation=40", "Clic para verlo en la web de RoadSurfer")</f>
        <v/>
      </c>
    </row>
    <row r="1010">
      <c r="A1010" t="inlineStr">
        <is>
          <t>Alemania</t>
        </is>
      </c>
      <c r="B1010" t="inlineStr">
        <is>
          <t>Stuttgart</t>
        </is>
      </c>
      <c r="C1010" t="inlineStr">
        <is>
          <t>Italia</t>
        </is>
      </c>
      <c r="D1010" t="inlineStr">
        <is>
          <t>Milán</t>
        </is>
      </c>
      <c r="E1010" t="inlineStr">
        <is>
          <t>2026-02-27</t>
        </is>
      </c>
      <c r="F1010" t="inlineStr">
        <is>
          <t>2026-03-06</t>
        </is>
      </c>
      <c r="G1010" t="inlineStr">
        <is>
          <t xml:space="preserve"> - No hay coche</t>
        </is>
      </c>
      <c r="H1010">
        <f>HYPERLINK("https://booking.roadsurfer.com/es/rally/pick?pickup_date=2026-02-27&amp;return_date=2026-03-06&amp;currency=EUR&amp;startStation=5&amp;endStation=34", "Clic para verlo en la web de RoadSurfer")</f>
        <v/>
      </c>
    </row>
    <row r="1011">
      <c r="A1011" t="inlineStr">
        <is>
          <t>Alemania</t>
        </is>
      </c>
      <c r="B1011" t="inlineStr">
        <is>
          <t>Stuttgart</t>
        </is>
      </c>
      <c r="C1011" t="inlineStr">
        <is>
          <t>Italia</t>
        </is>
      </c>
      <c r="D1011" t="inlineStr">
        <is>
          <t>Milán</t>
        </is>
      </c>
      <c r="E1011" t="inlineStr">
        <is>
          <t>2026-03-13</t>
        </is>
      </c>
      <c r="F1011" t="inlineStr">
        <is>
          <t>2026-03-20</t>
        </is>
      </c>
      <c r="G1011" t="inlineStr">
        <is>
          <t xml:space="preserve"> - Surfer Suite</t>
        </is>
      </c>
      <c r="H1011">
        <f>HYPERLINK("https://booking.roadsurfer.com/es/rally/pick?pickup_date=2026-03-13&amp;return_date=2026-03-20&amp;currency=EUR&amp;startStation=5&amp;endStation=34", "Clic para verlo en la web de RoadSurfer")</f>
        <v/>
      </c>
    </row>
    <row r="1012">
      <c r="A1012" t="inlineStr">
        <is>
          <t>Alemania</t>
        </is>
      </c>
      <c r="B1012" t="inlineStr">
        <is>
          <t>Stuttgart</t>
        </is>
      </c>
      <c r="C1012" t="inlineStr">
        <is>
          <t>Italia</t>
        </is>
      </c>
      <c r="D1012" t="inlineStr">
        <is>
          <t>Milán</t>
        </is>
      </c>
      <c r="E1012" t="inlineStr">
        <is>
          <t>2026-02-28</t>
        </is>
      </c>
      <c r="F1012" t="inlineStr">
        <is>
          <t>2026-03-07</t>
        </is>
      </c>
      <c r="G1012" t="inlineStr">
        <is>
          <t xml:space="preserve"> - Surfer Suite</t>
        </is>
      </c>
      <c r="H1012">
        <f>HYPERLINK("https://booking.roadsurfer.com/es/rally/pick?pickup_date=2026-02-28&amp;return_date=2026-03-07&amp;currency=EUR&amp;startStation=5&amp;endStation=34", "Clic para verlo en la web de RoadSurfer")</f>
        <v/>
      </c>
    </row>
    <row r="1013">
      <c r="A1013" t="inlineStr">
        <is>
          <t>Alemania</t>
        </is>
      </c>
      <c r="B1013" t="inlineStr">
        <is>
          <t>Stuttgart</t>
        </is>
      </c>
      <c r="C1013" t="inlineStr">
        <is>
          <t>Italia</t>
        </is>
      </c>
      <c r="D1013" t="inlineStr">
        <is>
          <t>Turín</t>
        </is>
      </c>
      <c r="E1013" t="inlineStr">
        <is>
          <t>2026-03-20</t>
        </is>
      </c>
      <c r="F1013" t="inlineStr">
        <is>
          <t>2026-03-27</t>
        </is>
      </c>
      <c r="G1013" t="inlineStr">
        <is>
          <t xml:space="preserve"> - Surfer Suite</t>
        </is>
      </c>
      <c r="H1013">
        <f>HYPERLINK("https://booking.roadsurfer.com/es/rally/pick?pickup_date=2026-03-20&amp;return_date=2026-03-27&amp;currency=EUR&amp;startStation=5&amp;endStation=58", "Clic para verlo en la web de RoadSurfer")</f>
        <v/>
      </c>
    </row>
    <row r="1014">
      <c r="A1014" t="inlineStr">
        <is>
          <t>Alemania</t>
        </is>
      </c>
      <c r="B1014" t="inlineStr">
        <is>
          <t>Stuttgart</t>
        </is>
      </c>
      <c r="C1014" t="inlineStr">
        <is>
          <t>Italia</t>
        </is>
      </c>
      <c r="D1014" t="inlineStr">
        <is>
          <t>Turín</t>
        </is>
      </c>
      <c r="E1014" t="inlineStr">
        <is>
          <t>2026-02-19</t>
        </is>
      </c>
      <c r="F1014" t="inlineStr">
        <is>
          <t>2026-02-26</t>
        </is>
      </c>
      <c r="G1014" t="inlineStr">
        <is>
          <t xml:space="preserve"> - Road House</t>
        </is>
      </c>
      <c r="H1014">
        <f>HYPERLINK("https://booking.roadsurfer.com/es/rally/pick?pickup_date=2026-02-19&amp;return_date=2026-02-26&amp;currency=EUR&amp;startStation=5&amp;endStation=58", "Clic para verlo en la web de RoadSurfer")</f>
        <v/>
      </c>
    </row>
    <row r="1015">
      <c r="A1015" t="inlineStr">
        <is>
          <t>Alemania</t>
        </is>
      </c>
      <c r="B1015" t="inlineStr">
        <is>
          <t>Stuttgart</t>
        </is>
      </c>
      <c r="C1015" t="inlineStr">
        <is>
          <t>Austria</t>
        </is>
      </c>
      <c r="D1015" t="inlineStr">
        <is>
          <t>Viena</t>
        </is>
      </c>
      <c r="E1015" t="inlineStr">
        <is>
          <t>2026-03-23</t>
        </is>
      </c>
      <c r="F1015" t="inlineStr">
        <is>
          <t>2026-03-30</t>
        </is>
      </c>
      <c r="G1015" t="inlineStr">
        <is>
          <t xml:space="preserve"> - Surfer Suite</t>
        </is>
      </c>
      <c r="H1015">
        <f>HYPERLINK("https://booking.roadsurfer.com/es/rally/pick?pickup_date=2026-03-23&amp;return_date=2026-03-30&amp;currency=EUR&amp;startStation=5&amp;endStation=36", "Clic para verlo en la web de RoadSurfer")</f>
        <v/>
      </c>
    </row>
    <row r="1016">
      <c r="A1016" t="inlineStr">
        <is>
          <t>Alemania</t>
        </is>
      </c>
      <c r="B1016" t="inlineStr">
        <is>
          <t>Stuttgart</t>
        </is>
      </c>
      <c r="C1016" t="inlineStr">
        <is>
          <t>Austria</t>
        </is>
      </c>
      <c r="D1016" t="inlineStr">
        <is>
          <t>Viena Sur</t>
        </is>
      </c>
      <c r="E1016" t="inlineStr">
        <is>
          <t>2026-02-25</t>
        </is>
      </c>
      <c r="F1016" t="inlineStr">
        <is>
          <t>2026-03-04</t>
        </is>
      </c>
      <c r="G1016" t="inlineStr">
        <is>
          <t xml:space="preserve"> - Surfer Suite</t>
        </is>
      </c>
      <c r="H1016">
        <f>HYPERLINK("https://booking.roadsurfer.com/es/rally/pick?pickup_date=2026-02-25&amp;return_date=2026-03-04&amp;currency=EUR&amp;startStation=5&amp;endStation=45", "Clic para verlo en la web de RoadSurfer")</f>
        <v/>
      </c>
    </row>
    <row r="1017">
      <c r="A1017" t="inlineStr">
        <is>
          <t>Alemania</t>
        </is>
      </c>
      <c r="B1017" t="inlineStr">
        <is>
          <t>Stuttgart</t>
        </is>
      </c>
      <c r="C1017" t="inlineStr">
        <is>
          <t>España</t>
        </is>
      </c>
      <c r="D1017" t="inlineStr">
        <is>
          <t>Madrid</t>
        </is>
      </c>
      <c r="E1017" t="inlineStr">
        <is>
          <t>2026-03-25</t>
        </is>
      </c>
      <c r="F1017" t="inlineStr">
        <is>
          <t>2026-04-01</t>
        </is>
      </c>
      <c r="G1017" t="inlineStr">
        <is>
          <t xml:space="preserve"> - Beach Hostel</t>
        </is>
      </c>
      <c r="H1017">
        <f>HYPERLINK("https://booking.roadsurfer.com/es/rally/pick?pickup_date=2026-03-25&amp;return_date=2026-04-01&amp;currency=EUR&amp;startStation=5&amp;endStation=20", "Clic para verlo en la web de RoadSurfer")</f>
        <v/>
      </c>
    </row>
    <row r="1018">
      <c r="A1018" t="inlineStr">
        <is>
          <t>Alemania</t>
        </is>
      </c>
      <c r="B1018" t="inlineStr">
        <is>
          <t>Stuttgart</t>
        </is>
      </c>
      <c r="C1018" t="inlineStr">
        <is>
          <t>España</t>
        </is>
      </c>
      <c r="D1018" t="inlineStr">
        <is>
          <t>Madrid</t>
        </is>
      </c>
      <c r="E1018" t="inlineStr">
        <is>
          <t>2026-03-28</t>
        </is>
      </c>
      <c r="F1018" t="inlineStr">
        <is>
          <t>2026-04-04</t>
        </is>
      </c>
      <c r="G1018" t="inlineStr">
        <is>
          <t xml:space="preserve"> - Beach Hostel</t>
        </is>
      </c>
      <c r="H1018">
        <f>HYPERLINK("https://booking.roadsurfer.com/es/rally/pick?pickup_date=2026-03-28&amp;return_date=2026-04-04&amp;currency=EUR&amp;startStation=5&amp;endStation=20", "Clic para verlo en la web de RoadSurfer")</f>
        <v/>
      </c>
    </row>
    <row r="1019">
      <c r="A1019" t="inlineStr">
        <is>
          <t>Alemania</t>
        </is>
      </c>
      <c r="B1019" t="inlineStr">
        <is>
          <t>Stuttgart</t>
        </is>
      </c>
      <c r="C1019" t="inlineStr">
        <is>
          <t>España</t>
        </is>
      </c>
      <c r="D1019" t="inlineStr">
        <is>
          <t>Madrid</t>
        </is>
      </c>
      <c r="E1019" t="inlineStr">
        <is>
          <t>2026-03-02</t>
        </is>
      </c>
      <c r="F1019" t="inlineStr">
        <is>
          <t>2026-03-09</t>
        </is>
      </c>
      <c r="G1019" t="inlineStr">
        <is>
          <t xml:space="preserve"> - Surfer Suite</t>
        </is>
      </c>
      <c r="H1019">
        <f>HYPERLINK("https://booking.roadsurfer.com/es/rally/pick?pickup_date=2026-03-02&amp;return_date=2026-03-09&amp;currency=EUR&amp;startStation=5&amp;endStation=20", "Clic para verlo en la web de RoadSurfer")</f>
        <v/>
      </c>
    </row>
    <row r="1020">
      <c r="A1020" t="inlineStr">
        <is>
          <t>Alemania</t>
        </is>
      </c>
      <c r="B1020" t="inlineStr">
        <is>
          <t>Stuttgart</t>
        </is>
      </c>
      <c r="C1020" t="inlineStr">
        <is>
          <t>Portugal</t>
        </is>
      </c>
      <c r="D1020" t="inlineStr">
        <is>
          <t>Lisboa</t>
        </is>
      </c>
      <c r="E1020" t="inlineStr">
        <is>
          <t>2026-03-02</t>
        </is>
      </c>
      <c r="F1020" t="inlineStr">
        <is>
          <t>2026-03-09</t>
        </is>
      </c>
      <c r="G1020" t="inlineStr">
        <is>
          <t xml:space="preserve"> - Surfer Suite</t>
        </is>
      </c>
      <c r="H1020">
        <f>HYPERLINK("https://booking.roadsurfer.com/es/rally/pick?pickup_date=2026-03-02&amp;return_date=2026-03-09&amp;currency=EUR&amp;startStation=5&amp;endStation=18", "Clic para verlo en la web de RoadSurfer")</f>
        <v/>
      </c>
    </row>
    <row r="1021">
      <c r="A1021" t="inlineStr">
        <is>
          <t>Alemania</t>
        </is>
      </c>
      <c r="B1021" t="inlineStr">
        <is>
          <t>Stuttgart</t>
        </is>
      </c>
      <c r="C1021" t="inlineStr">
        <is>
          <t>Países Bajos</t>
        </is>
      </c>
      <c r="D1021" t="inlineStr">
        <is>
          <t>Ámsterdam</t>
        </is>
      </c>
      <c r="E1021" t="inlineStr">
        <is>
          <t>2026-03-05</t>
        </is>
      </c>
      <c r="F1021" t="inlineStr">
        <is>
          <t>2026-03-12</t>
        </is>
      </c>
      <c r="G1021" t="inlineStr">
        <is>
          <t xml:space="preserve"> - SURFER SUITE</t>
        </is>
      </c>
      <c r="H1021">
        <f>HYPERLINK("https://booking.roadsurfer.com/es/rally/pick?pickup_date=2026-03-05&amp;return_date=2026-03-12&amp;currency=EUR&amp;startStation=5&amp;endStation=32", "Clic para verlo en la web de RoadSurfer")</f>
        <v/>
      </c>
    </row>
    <row r="1022">
      <c r="A1022" t="inlineStr">
        <is>
          <t>Alemania</t>
        </is>
      </c>
      <c r="B1022" t="inlineStr">
        <is>
          <t>Stuttgart</t>
        </is>
      </c>
      <c r="C1022" t="inlineStr">
        <is>
          <t>Francia</t>
        </is>
      </c>
      <c r="D1022" t="inlineStr">
        <is>
          <t>Niza</t>
        </is>
      </c>
      <c r="E1022" t="inlineStr">
        <is>
          <t>2026-03-19</t>
        </is>
      </c>
      <c r="F1022" t="inlineStr">
        <is>
          <t>2026-03-26</t>
        </is>
      </c>
      <c r="G1022" t="inlineStr">
        <is>
          <t xml:space="preserve"> - Beach Hostel</t>
        </is>
      </c>
      <c r="H1022">
        <f>HYPERLINK("https://booking.roadsurfer.com/es/rally/pick?pickup_date=2026-03-19&amp;return_date=2026-03-26&amp;currency=EUR&amp;startStation=5&amp;endStation=88", "Clic para verlo en la web de RoadSurfer")</f>
        <v/>
      </c>
    </row>
    <row r="1023">
      <c r="A1023" t="inlineStr">
        <is>
          <t>Alemania</t>
        </is>
      </c>
      <c r="B1023" t="inlineStr">
        <is>
          <t>Stuttgart</t>
        </is>
      </c>
      <c r="C1023" t="inlineStr">
        <is>
          <t>España</t>
        </is>
      </c>
      <c r="D1023" t="inlineStr">
        <is>
          <t>Sevilla</t>
        </is>
      </c>
      <c r="E1023" t="inlineStr">
        <is>
          <t>2026-03-03</t>
        </is>
      </c>
      <c r="F1023" t="inlineStr">
        <is>
          <t>2026-03-10</t>
        </is>
      </c>
      <c r="G1023" t="inlineStr">
        <is>
          <t xml:space="preserve"> - BEACH HOSTEL</t>
        </is>
      </c>
      <c r="H1023">
        <f>HYPERLINK("https://booking.roadsurfer.com/es/rally/pick?pickup_date=2026-03-03&amp;return_date=2026-03-10&amp;currency=EUR&amp;startStation=5&amp;endStation=39", "Clic para verlo en la web de RoadSurfer")</f>
        <v/>
      </c>
    </row>
    <row r="1024">
      <c r="A1024" t="inlineStr">
        <is>
          <t>Alemania</t>
        </is>
      </c>
      <c r="B1024" t="inlineStr">
        <is>
          <t>Stuttgart</t>
        </is>
      </c>
      <c r="C1024" t="inlineStr">
        <is>
          <t>España</t>
        </is>
      </c>
      <c r="D1024" t="inlineStr">
        <is>
          <t>Sevilla</t>
        </is>
      </c>
      <c r="E1024" t="inlineStr">
        <is>
          <t>2026-03-18</t>
        </is>
      </c>
      <c r="F1024" t="inlineStr">
        <is>
          <t>2026-03-25</t>
        </is>
      </c>
      <c r="G1024" t="inlineStr">
        <is>
          <t xml:space="preserve"> - Beach Hostel - Road House</t>
        </is>
      </c>
      <c r="H1024">
        <f>HYPERLINK("https://booking.roadsurfer.com/es/rally/pick?pickup_date=2026-03-18&amp;return_date=2026-03-25&amp;currency=EUR&amp;startStation=5&amp;endStation=39", "Clic para verlo en la web de RoadSurfer")</f>
        <v/>
      </c>
    </row>
    <row r="1025">
      <c r="A1025" t="inlineStr">
        <is>
          <t>Alemania</t>
        </is>
      </c>
      <c r="B1025" t="inlineStr">
        <is>
          <t>Stuttgart</t>
        </is>
      </c>
      <c r="C1025" t="inlineStr">
        <is>
          <t>España</t>
        </is>
      </c>
      <c r="D1025" t="inlineStr">
        <is>
          <t>Valencia</t>
        </is>
      </c>
      <c r="E1025" t="inlineStr">
        <is>
          <t>2026-03-19</t>
        </is>
      </c>
      <c r="F1025" t="inlineStr">
        <is>
          <t>2026-03-26</t>
        </is>
      </c>
      <c r="G1025" t="inlineStr">
        <is>
          <t xml:space="preserve"> - Camper Castle</t>
        </is>
      </c>
      <c r="H1025">
        <f>HYPERLINK("https://booking.roadsurfer.com/es/rally/pick?pickup_date=2026-03-19&amp;return_date=2026-03-26&amp;currency=EUR&amp;startStation=5&amp;endStation=38", "Clic para verlo en la web de RoadSurfer")</f>
        <v/>
      </c>
    </row>
    <row r="1026">
      <c r="A1026" t="inlineStr">
        <is>
          <t>Alemania</t>
        </is>
      </c>
      <c r="B1026" t="inlineStr">
        <is>
          <t>Stuttgart</t>
        </is>
      </c>
      <c r="C1026" t="inlineStr">
        <is>
          <t>España</t>
        </is>
      </c>
      <c r="D1026" t="inlineStr">
        <is>
          <t>Valencia</t>
        </is>
      </c>
      <c r="E1026" t="inlineStr">
        <is>
          <t>2026-03-25</t>
        </is>
      </c>
      <c r="F1026" t="inlineStr">
        <is>
          <t>2026-04-01</t>
        </is>
      </c>
      <c r="G1026" t="inlineStr">
        <is>
          <t xml:space="preserve"> - Beach Hostel</t>
        </is>
      </c>
      <c r="H1026">
        <f>HYPERLINK("https://booking.roadsurfer.com/es/rally/pick?pickup_date=2026-03-25&amp;return_date=2026-04-01&amp;currency=EUR&amp;startStation=5&amp;endStation=38", "Clic para verlo en la web de RoadSurfer")</f>
        <v/>
      </c>
    </row>
    <row r="1027">
      <c r="A1027" t="inlineStr">
        <is>
          <t>Alemania</t>
        </is>
      </c>
      <c r="B1027" t="inlineStr">
        <is>
          <t>Stuttgart</t>
        </is>
      </c>
      <c r="C1027" t="inlineStr">
        <is>
          <t>Austria</t>
        </is>
      </c>
      <c r="D1027" t="inlineStr">
        <is>
          <t>Linz</t>
        </is>
      </c>
      <c r="E1027" t="inlineStr">
        <is>
          <t>2026-03-20</t>
        </is>
      </c>
      <c r="F1027" t="inlineStr">
        <is>
          <t>2026-03-27</t>
        </is>
      </c>
      <c r="G1027" t="inlineStr">
        <is>
          <t xml:space="preserve"> - Beach Hostel</t>
        </is>
      </c>
      <c r="H1027">
        <f>HYPERLINK("https://booking.roadsurfer.com/es/rally/pick?pickup_date=2026-03-20&amp;return_date=2026-03-27&amp;currency=EUR&amp;startStation=5&amp;endStation=116", "Clic para verlo en la web de RoadSurfer")</f>
        <v/>
      </c>
    </row>
    <row r="1028">
      <c r="A1028" t="inlineStr">
        <is>
          <t>Alemania</t>
        </is>
      </c>
      <c r="B1028" t="inlineStr">
        <is>
          <t>Stuttgart</t>
        </is>
      </c>
      <c r="C1028" t="inlineStr">
        <is>
          <t>Países Bajos</t>
        </is>
      </c>
      <c r="D1028" t="inlineStr">
        <is>
          <t>Róterdam</t>
        </is>
      </c>
      <c r="E1028" t="inlineStr">
        <is>
          <t>2026-03-25</t>
        </is>
      </c>
      <c r="F1028" t="inlineStr">
        <is>
          <t>2026-04-01</t>
        </is>
      </c>
      <c r="G1028" t="inlineStr">
        <is>
          <t xml:space="preserve"> - Camper Castle</t>
        </is>
      </c>
      <c r="H1028">
        <f>HYPERLINK("https://booking.roadsurfer.com/es/rally/pick?pickup_date=2026-03-25&amp;return_date=2026-04-01&amp;currency=EUR&amp;startStation=5&amp;endStation=33", "Clic para verlo en la web de RoadSurfer")</f>
        <v/>
      </c>
    </row>
    <row r="1029">
      <c r="A1029" t="inlineStr">
        <is>
          <t>Alemania</t>
        </is>
      </c>
      <c r="B1029" t="inlineStr">
        <is>
          <t>Stuttgart</t>
        </is>
      </c>
      <c r="C1029" t="inlineStr">
        <is>
          <t>Países Bajos</t>
        </is>
      </c>
      <c r="D1029" t="inlineStr">
        <is>
          <t>Róterdam</t>
        </is>
      </c>
      <c r="E1029" t="inlineStr">
        <is>
          <t>2026-03-23</t>
        </is>
      </c>
      <c r="F1029" t="inlineStr">
        <is>
          <t>2026-03-30</t>
        </is>
      </c>
      <c r="G1029" t="inlineStr">
        <is>
          <t xml:space="preserve"> - Camper Cabin</t>
        </is>
      </c>
      <c r="H1029">
        <f>HYPERLINK("https://booking.roadsurfer.com/es/rally/pick?pickup_date=2026-03-23&amp;return_date=2026-03-30&amp;currency=EUR&amp;startStation=5&amp;endStation=33", "Clic para verlo en la web de RoadSurfer")</f>
        <v/>
      </c>
    </row>
    <row r="1030">
      <c r="A1030" t="inlineStr">
        <is>
          <t>Alemania</t>
        </is>
      </c>
      <c r="B1030" t="inlineStr">
        <is>
          <t>Stuttgart</t>
        </is>
      </c>
      <c r="C1030" t="inlineStr">
        <is>
          <t>Francia</t>
        </is>
      </c>
      <c r="D1030" t="inlineStr">
        <is>
          <t>Ginebra-Pays de Gex (Francia)</t>
        </is>
      </c>
      <c r="E1030" t="inlineStr">
        <is>
          <t>2026-03-05</t>
        </is>
      </c>
      <c r="F1030" t="inlineStr">
        <is>
          <t>2026-03-12</t>
        </is>
      </c>
      <c r="G1030" t="inlineStr">
        <is>
          <t xml:space="preserve"> - Camper Cabin - Road House</t>
        </is>
      </c>
      <c r="H1030">
        <f>HYPERLINK("https://booking.roadsurfer.com/es/rally/pick?pickup_date=2026-03-05&amp;return_date=2026-03-12&amp;currency=EUR&amp;startStation=5&amp;endStation=29", "Clic para verlo en la web de RoadSurfer")</f>
        <v/>
      </c>
    </row>
    <row r="1031">
      <c r="A1031" t="inlineStr">
        <is>
          <t>Alemania</t>
        </is>
      </c>
      <c r="B1031" t="inlineStr">
        <is>
          <t>Stuttgart</t>
        </is>
      </c>
      <c r="C1031" t="inlineStr">
        <is>
          <t>Francia</t>
        </is>
      </c>
      <c r="D1031" t="inlineStr">
        <is>
          <t>París Aeropuerto CDG</t>
        </is>
      </c>
      <c r="E1031" t="inlineStr">
        <is>
          <t>2026-03-20</t>
        </is>
      </c>
      <c r="F1031" t="inlineStr">
        <is>
          <t>2026-03-27</t>
        </is>
      </c>
      <c r="G1031" t="inlineStr">
        <is>
          <t xml:space="preserve"> - Family Finca</t>
        </is>
      </c>
      <c r="H1031">
        <f>HYPERLINK("https://booking.roadsurfer.com/es/rally/pick?pickup_date=2026-03-20&amp;return_date=2026-03-27&amp;currency=EUR&amp;startStation=5&amp;endStation=48", "Clic para verlo en la web de RoadSurfer")</f>
        <v/>
      </c>
    </row>
    <row r="1032">
      <c r="A1032" t="inlineStr">
        <is>
          <t>Alemania</t>
        </is>
      </c>
      <c r="B1032" t="inlineStr">
        <is>
          <t>Stuttgart</t>
        </is>
      </c>
      <c r="C1032" t="inlineStr">
        <is>
          <t>Francia</t>
        </is>
      </c>
      <c r="D1032" t="inlineStr">
        <is>
          <t>París Aeropuerto CDG</t>
        </is>
      </c>
      <c r="E1032" t="inlineStr">
        <is>
          <t>2026-03-21</t>
        </is>
      </c>
      <c r="F1032" t="inlineStr">
        <is>
          <t>2026-03-28</t>
        </is>
      </c>
      <c r="G1032" t="inlineStr">
        <is>
          <t xml:space="preserve"> - Road House</t>
        </is>
      </c>
      <c r="H1032">
        <f>HYPERLINK("https://booking.roadsurfer.com/es/rally/pick?pickup_date=2026-03-21&amp;return_date=2026-03-28&amp;currency=EUR&amp;startStation=5&amp;endStation=48", "Clic para verlo en la web de RoadSurfer")</f>
        <v/>
      </c>
    </row>
    <row r="1033">
      <c r="A1033" t="inlineStr">
        <is>
          <t>Alemania</t>
        </is>
      </c>
      <c r="B1033" t="inlineStr">
        <is>
          <t>Stuttgart</t>
        </is>
      </c>
      <c r="C1033" t="inlineStr">
        <is>
          <t>Austria</t>
        </is>
      </c>
      <c r="D1033" t="inlineStr">
        <is>
          <t>Graz</t>
        </is>
      </c>
      <c r="E1033" t="inlineStr">
        <is>
          <t>2026-03-24</t>
        </is>
      </c>
      <c r="F1033" t="inlineStr">
        <is>
          <t>2026-03-31</t>
        </is>
      </c>
      <c r="G1033" t="inlineStr">
        <is>
          <t xml:space="preserve"> - Road House</t>
        </is>
      </c>
      <c r="H1033">
        <f>HYPERLINK("https://booking.roadsurfer.com/es/rally/pick?pickup_date=2026-03-24&amp;return_date=2026-03-31&amp;currency=EUR&amp;startStation=5&amp;endStation=37", "Clic para verlo en la web de RoadSurfer")</f>
        <v/>
      </c>
    </row>
    <row r="1034">
      <c r="A1034" t="inlineStr">
        <is>
          <t>Alemania</t>
        </is>
      </c>
      <c r="B1034" t="inlineStr">
        <is>
          <t>Stuttgart</t>
        </is>
      </c>
      <c r="C1034" t="inlineStr">
        <is>
          <t>Austria</t>
        </is>
      </c>
      <c r="D1034" t="inlineStr">
        <is>
          <t>Innsbruck-Wiesing</t>
        </is>
      </c>
      <c r="E1034" t="inlineStr">
        <is>
          <t>2026-02-24</t>
        </is>
      </c>
      <c r="F1034" t="inlineStr">
        <is>
          <t>2026-03-03</t>
        </is>
      </c>
      <c r="G1034" t="inlineStr">
        <is>
          <t xml:space="preserve"> - Camper Castle</t>
        </is>
      </c>
      <c r="H1034">
        <f>HYPERLINK("https://booking.roadsurfer.com/es/rally/pick?pickup_date=2026-02-24&amp;return_date=2026-03-03&amp;currency=EUR&amp;startStation=5&amp;endStation=46", "Clic para verlo en la web de RoadSurfer")</f>
        <v/>
      </c>
    </row>
    <row r="1035">
      <c r="A1035" t="inlineStr">
        <is>
          <t>Alemania</t>
        </is>
      </c>
      <c r="B1035" t="inlineStr">
        <is>
          <t>Stuttgart</t>
        </is>
      </c>
      <c r="C1035" t="inlineStr">
        <is>
          <t>Francia</t>
        </is>
      </c>
      <c r="D1035" t="inlineStr">
        <is>
          <t>Burdeos</t>
        </is>
      </c>
      <c r="E1035" t="inlineStr">
        <is>
          <t>2026-03-13</t>
        </is>
      </c>
      <c r="F1035" t="inlineStr">
        <is>
          <t>2026-03-20</t>
        </is>
      </c>
      <c r="G1035" t="inlineStr">
        <is>
          <t xml:space="preserve"> - Family Finca</t>
        </is>
      </c>
      <c r="H1035">
        <f>HYPERLINK("https://booking.roadsurfer.com/es/rally/pick?pickup_date=2026-03-13&amp;return_date=2026-03-20&amp;currency=EUR&amp;startStation=5&amp;endStation=13", "Clic para verlo en la web de RoadSurfer")</f>
        <v/>
      </c>
    </row>
    <row r="1036">
      <c r="A1036" t="inlineStr">
        <is>
          <t>Alemania</t>
        </is>
      </c>
      <c r="B1036" t="inlineStr">
        <is>
          <t>Stuttgart</t>
        </is>
      </c>
      <c r="C1036" t="inlineStr">
        <is>
          <t>Francia</t>
        </is>
      </c>
      <c r="D1036" t="inlineStr">
        <is>
          <t>Burdeos</t>
        </is>
      </c>
      <c r="E1036" t="inlineStr">
        <is>
          <t>2026-03-06</t>
        </is>
      </c>
      <c r="F1036" t="inlineStr">
        <is>
          <t>2026-03-13</t>
        </is>
      </c>
      <c r="G1036" t="inlineStr">
        <is>
          <t xml:space="preserve"> - Family Finca</t>
        </is>
      </c>
      <c r="H1036">
        <f>HYPERLINK("https://booking.roadsurfer.com/es/rally/pick?pickup_date=2026-03-06&amp;return_date=2026-03-13&amp;currency=EUR&amp;startStation=5&amp;endStation=13", "Clic para verlo en la web de RoadSurfer")</f>
        <v/>
      </c>
    </row>
    <row r="1037">
      <c r="A1037" t="inlineStr">
        <is>
          <t>Alemania</t>
        </is>
      </c>
      <c r="B1037" t="inlineStr">
        <is>
          <t>Stuttgart</t>
        </is>
      </c>
      <c r="C1037" t="inlineStr">
        <is>
          <t>Francia</t>
        </is>
      </c>
      <c r="D1037" t="inlineStr">
        <is>
          <t>Nantes</t>
        </is>
      </c>
      <c r="E1037" t="inlineStr">
        <is>
          <t>2026-03-20</t>
        </is>
      </c>
      <c r="F1037" t="inlineStr">
        <is>
          <t>2026-03-27</t>
        </is>
      </c>
      <c r="G1037" t="inlineStr">
        <is>
          <t xml:space="preserve"> - Family Finca</t>
        </is>
      </c>
      <c r="H1037">
        <f>HYPERLINK("https://booking.roadsurfer.com/es/rally/pick?pickup_date=2026-03-20&amp;return_date=2026-03-27&amp;currency=EUR&amp;startStation=5&amp;endStation=31", "Clic para verlo en la web de RoadSurfer")</f>
        <v/>
      </c>
    </row>
    <row r="1038">
      <c r="A1038" t="inlineStr">
        <is>
          <t>Alemania</t>
        </is>
      </c>
      <c r="B1038" t="inlineStr">
        <is>
          <t>Stuttgart</t>
        </is>
      </c>
      <c r="C1038" t="inlineStr">
        <is>
          <t>Francia</t>
        </is>
      </c>
      <c r="D1038" t="inlineStr">
        <is>
          <t>Aix-Marsella</t>
        </is>
      </c>
      <c r="E1038" t="inlineStr">
        <is>
          <t>2026-03-24</t>
        </is>
      </c>
      <c r="F1038" t="inlineStr">
        <is>
          <t>2026-03-31</t>
        </is>
      </c>
      <c r="G1038" t="inlineStr">
        <is>
          <t xml:space="preserve"> - Family Finca</t>
        </is>
      </c>
      <c r="H1038">
        <f>HYPERLINK("https://booking.roadsurfer.com/es/rally/pick?pickup_date=2026-03-24&amp;return_date=2026-03-31&amp;currency=EUR&amp;startStation=5&amp;endStation=16", "Clic para verlo en la web de RoadSurfer")</f>
        <v/>
      </c>
    </row>
    <row r="1039">
      <c r="A1039" t="inlineStr">
        <is>
          <t>Alemania</t>
        </is>
      </c>
      <c r="B1039" t="inlineStr">
        <is>
          <t>Stuttgart</t>
        </is>
      </c>
      <c r="C1039" t="inlineStr">
        <is>
          <t>Italia</t>
        </is>
      </c>
      <c r="D1039" t="inlineStr">
        <is>
          <t>Florencia</t>
        </is>
      </c>
      <c r="E1039" t="inlineStr">
        <is>
          <t>2026-02-21</t>
        </is>
      </c>
      <c r="F1039" t="inlineStr">
        <is>
          <t>2026-02-28</t>
        </is>
      </c>
      <c r="G1039" t="inlineStr">
        <is>
          <t xml:space="preserve"> - No hay coche</t>
        </is>
      </c>
      <c r="H1039">
        <f>HYPERLINK("https://booking.roadsurfer.com/es/rally/pick?pickup_date=2026-02-21&amp;return_date=2026-02-28&amp;currency=EUR&amp;startStation=5&amp;endStation=80", "Clic para verlo en la web de RoadSurfer")</f>
        <v/>
      </c>
    </row>
    <row r="1040">
      <c r="A1040" t="inlineStr">
        <is>
          <t>Alemania</t>
        </is>
      </c>
      <c r="B1040" t="inlineStr">
        <is>
          <t>Stuttgart</t>
        </is>
      </c>
      <c r="C1040" t="inlineStr">
        <is>
          <t>España</t>
        </is>
      </c>
      <c r="D1040" t="inlineStr">
        <is>
          <t>Barcelona</t>
        </is>
      </c>
      <c r="E1040" t="inlineStr">
        <is>
          <t>2026-03-19</t>
        </is>
      </c>
      <c r="F1040" t="inlineStr">
        <is>
          <t>2026-03-26</t>
        </is>
      </c>
      <c r="G1040" t="inlineStr">
        <is>
          <t xml:space="preserve"> - Couple Cottage</t>
        </is>
      </c>
      <c r="H1040">
        <f>HYPERLINK("https://booking.roadsurfer.com/es/rally/pick?pickup_date=2026-03-19&amp;return_date=2026-03-26&amp;currency=EUR&amp;startStation=5&amp;endStation=17", "Clic para verlo en la web de RoadSurfer")</f>
        <v/>
      </c>
    </row>
    <row r="1041">
      <c r="A1041" t="inlineStr">
        <is>
          <t>Alemania</t>
        </is>
      </c>
      <c r="B1041" t="inlineStr">
        <is>
          <t>Stuttgart</t>
        </is>
      </c>
      <c r="C1041" t="inlineStr">
        <is>
          <t>España</t>
        </is>
      </c>
      <c r="D1041" t="inlineStr">
        <is>
          <t>Barcelona</t>
        </is>
      </c>
      <c r="E1041" t="inlineStr">
        <is>
          <t>2026-03-20</t>
        </is>
      </c>
      <c r="F1041" t="inlineStr">
        <is>
          <t>2026-03-27</t>
        </is>
      </c>
      <c r="G1041" t="inlineStr">
        <is>
          <t xml:space="preserve"> - Couple Cottage</t>
        </is>
      </c>
      <c r="H1041">
        <f>HYPERLINK("https://booking.roadsurfer.com/es/rally/pick?pickup_date=2026-03-20&amp;return_date=2026-03-27&amp;currency=EUR&amp;startStation=5&amp;endStation=17", "Clic para verlo en la web de RoadSurfer")</f>
        <v/>
      </c>
    </row>
    <row r="1042">
      <c r="A1042" t="inlineStr">
        <is>
          <t>Alemania</t>
        </is>
      </c>
      <c r="B1042" t="inlineStr">
        <is>
          <t>Stuttgart</t>
        </is>
      </c>
      <c r="C1042" t="inlineStr">
        <is>
          <t>España</t>
        </is>
      </c>
      <c r="D1042" t="inlineStr">
        <is>
          <t>Barcelona</t>
        </is>
      </c>
      <c r="E1042" t="inlineStr">
        <is>
          <t>2026-03-16</t>
        </is>
      </c>
      <c r="F1042" t="inlineStr">
        <is>
          <t>2026-03-23</t>
        </is>
      </c>
      <c r="G1042" t="inlineStr">
        <is>
          <t xml:space="preserve"> - Sunrise Suite</t>
        </is>
      </c>
      <c r="H1042">
        <f>HYPERLINK("https://booking.roadsurfer.com/es/rally/pick?pickup_date=2026-03-16&amp;return_date=2026-03-23&amp;currency=EUR&amp;startStation=5&amp;endStation=17", "Clic para verlo en la web de RoadSurfer")</f>
        <v/>
      </c>
    </row>
    <row r="1043">
      <c r="A1043" t="inlineStr">
        <is>
          <t>Alemania</t>
        </is>
      </c>
      <c r="B1043" t="inlineStr">
        <is>
          <t>Stuttgart</t>
        </is>
      </c>
      <c r="C1043" t="inlineStr">
        <is>
          <t>Alemania</t>
        </is>
      </c>
      <c r="D1043" t="inlineStr">
        <is>
          <t>Fráncfort</t>
        </is>
      </c>
      <c r="E1043" t="inlineStr">
        <is>
          <t>2026-03-16</t>
        </is>
      </c>
      <c r="F1043" t="inlineStr">
        <is>
          <t>2026-03-23</t>
        </is>
      </c>
      <c r="G1043" t="inlineStr">
        <is>
          <t xml:space="preserve"> - Sunrise Suite</t>
        </is>
      </c>
      <c r="H1043">
        <f>HYPERLINK("https://booking.roadsurfer.com/es/rally/pick?pickup_date=2026-03-16&amp;return_date=2026-03-23&amp;currency=EUR&amp;startStation=5&amp;endStation=2", "Clic para verlo en la web de RoadSurfer")</f>
        <v/>
      </c>
    </row>
    <row r="1044">
      <c r="A1044" t="inlineStr">
        <is>
          <t>Francia</t>
        </is>
      </c>
      <c r="B1044" t="inlineStr">
        <is>
          <t>Toulouse</t>
        </is>
      </c>
      <c r="C1044" t="inlineStr">
        <is>
          <t>Alemania</t>
        </is>
      </c>
      <c r="D1044" t="inlineStr">
        <is>
          <t>Marburg</t>
        </is>
      </c>
      <c r="E1044" t="inlineStr">
        <is>
          <t>2026-02-20</t>
        </is>
      </c>
      <c r="F1044" t="inlineStr">
        <is>
          <t>2026-02-27</t>
        </is>
      </c>
      <c r="G1044" t="inlineStr">
        <is>
          <t xml:space="preserve"> - Surfer Suite</t>
        </is>
      </c>
      <c r="H1044">
        <f>HYPERLINK("https://booking.roadsurfer.com/es/rally/pick?pickup_date=2026-02-20&amp;return_date=2026-02-27&amp;currency=EUR&amp;startStation=30&amp;endStation=22", "Clic para verlo en la web de RoadSurfer")</f>
        <v/>
      </c>
    </row>
    <row r="1045">
      <c r="A1045" t="inlineStr">
        <is>
          <t>Francia</t>
        </is>
      </c>
      <c r="B1045" t="inlineStr">
        <is>
          <t>Toulouse</t>
        </is>
      </c>
      <c r="C1045" t="inlineStr">
        <is>
          <t>Alemania</t>
        </is>
      </c>
      <c r="D1045" t="inlineStr">
        <is>
          <t>Marburg</t>
        </is>
      </c>
      <c r="E1045" t="inlineStr">
        <is>
          <t>2026-02-19</t>
        </is>
      </c>
      <c r="F1045" t="inlineStr">
        <is>
          <t>2026-02-26</t>
        </is>
      </c>
      <c r="G1045" t="inlineStr">
        <is>
          <t xml:space="preserve"> - Beach Hostel</t>
        </is>
      </c>
      <c r="H1045">
        <f>HYPERLINK("https://booking.roadsurfer.com/es/rally/pick?pickup_date=2026-02-19&amp;return_date=2026-02-26&amp;currency=EUR&amp;startStation=30&amp;endStation=22", "Clic para verlo en la web de RoadSurfer")</f>
        <v/>
      </c>
    </row>
    <row r="1046">
      <c r="A1046" t="inlineStr">
        <is>
          <t>Francia</t>
        </is>
      </c>
      <c r="B1046" t="inlineStr">
        <is>
          <t>Toulouse</t>
        </is>
      </c>
      <c r="C1046" t="inlineStr">
        <is>
          <t>Alemania</t>
        </is>
      </c>
      <c r="D1046" t="inlineStr">
        <is>
          <t>Marburg</t>
        </is>
      </c>
      <c r="E1046" t="inlineStr">
        <is>
          <t>2026-03-23</t>
        </is>
      </c>
      <c r="F1046" t="inlineStr">
        <is>
          <t>2026-03-30</t>
        </is>
      </c>
      <c r="G1046" t="inlineStr">
        <is>
          <t xml:space="preserve"> - Travel Home</t>
        </is>
      </c>
      <c r="H1046">
        <f>HYPERLINK("https://booking.roadsurfer.com/es/rally/pick?pickup_date=2026-03-23&amp;return_date=2026-03-30&amp;currency=EUR&amp;startStation=30&amp;endStation=22", "Clic para verlo en la web de RoadSurfer")</f>
        <v/>
      </c>
    </row>
    <row r="1047">
      <c r="A1047" t="inlineStr">
        <is>
          <t>Francia</t>
        </is>
      </c>
      <c r="B1047" t="inlineStr">
        <is>
          <t>Toulouse</t>
        </is>
      </c>
      <c r="C1047" t="inlineStr">
        <is>
          <t>Alemania</t>
        </is>
      </c>
      <c r="D1047" t="inlineStr">
        <is>
          <t>Marburg</t>
        </is>
      </c>
      <c r="E1047" t="inlineStr">
        <is>
          <t>2026-02-23</t>
        </is>
      </c>
      <c r="F1047" t="inlineStr">
        <is>
          <t>2026-03-02</t>
        </is>
      </c>
      <c r="G1047" t="inlineStr">
        <is>
          <t xml:space="preserve"> - Beach Hostel</t>
        </is>
      </c>
      <c r="H1047">
        <f>HYPERLINK("https://booking.roadsurfer.com/es/rally/pick?pickup_date=2026-02-23&amp;return_date=2026-03-02&amp;currency=EUR&amp;startStation=30&amp;endStation=22", "Clic para verlo en la web de RoadSurfer")</f>
        <v/>
      </c>
    </row>
    <row r="1048">
      <c r="A1048" t="inlineStr">
        <is>
          <t>Francia</t>
        </is>
      </c>
      <c r="B1048" t="inlineStr">
        <is>
          <t>Toulouse</t>
        </is>
      </c>
      <c r="C1048" t="inlineStr">
        <is>
          <t>Alemania</t>
        </is>
      </c>
      <c r="D1048" t="inlineStr">
        <is>
          <t>Marburg</t>
        </is>
      </c>
      <c r="E1048" t="inlineStr">
        <is>
          <t>2026-02-21</t>
        </is>
      </c>
      <c r="F1048" t="inlineStr">
        <is>
          <t>2026-02-28</t>
        </is>
      </c>
      <c r="G1048" t="inlineStr">
        <is>
          <t xml:space="preserve"> - No hay coche</t>
        </is>
      </c>
      <c r="H1048">
        <f>HYPERLINK("https://booking.roadsurfer.com/es/rally/pick?pickup_date=2026-02-21&amp;return_date=2026-02-28&amp;currency=EUR&amp;startStation=30&amp;endStation=22", "Clic para verlo en la web de RoadSurfer")</f>
        <v/>
      </c>
    </row>
    <row r="1049">
      <c r="A1049" t="inlineStr">
        <is>
          <t>Francia</t>
        </is>
      </c>
      <c r="B1049" t="inlineStr">
        <is>
          <t>Toulouse</t>
        </is>
      </c>
      <c r="C1049" t="inlineStr">
        <is>
          <t>Alemania</t>
        </is>
      </c>
      <c r="D1049" t="inlineStr">
        <is>
          <t>Marburg</t>
        </is>
      </c>
      <c r="E1049" t="inlineStr">
        <is>
          <t>2026-03-25</t>
        </is>
      </c>
      <c r="F1049" t="inlineStr">
        <is>
          <t>2026-04-01</t>
        </is>
      </c>
      <c r="G1049" t="inlineStr">
        <is>
          <t xml:space="preserve"> - FAMILY FINCA</t>
        </is>
      </c>
      <c r="H1049">
        <f>HYPERLINK("https://booking.roadsurfer.com/es/rally/pick?pickup_date=2026-03-25&amp;return_date=2026-04-01&amp;currency=EUR&amp;startStation=30&amp;endStation=22", "Clic para verlo en la web de RoadSurfer")</f>
        <v/>
      </c>
    </row>
    <row r="1050">
      <c r="A1050" t="inlineStr">
        <is>
          <t>Francia</t>
        </is>
      </c>
      <c r="B1050" t="inlineStr">
        <is>
          <t>Toulouse</t>
        </is>
      </c>
      <c r="C1050" t="inlineStr">
        <is>
          <t>Alemania</t>
        </is>
      </c>
      <c r="D1050" t="inlineStr">
        <is>
          <t>Duisburgo</t>
        </is>
      </c>
      <c r="E1050" t="inlineStr">
        <is>
          <t>2026-02-18</t>
        </is>
      </c>
      <c r="F1050" t="inlineStr">
        <is>
          <t>2026-02-25</t>
        </is>
      </c>
      <c r="G1050" t="inlineStr">
        <is>
          <t xml:space="preserve"> - Road House</t>
        </is>
      </c>
      <c r="H1050">
        <f>HYPERLINK("https://booking.roadsurfer.com/es/rally/pick?pickup_date=2026-02-18&amp;return_date=2026-02-25&amp;currency=EUR&amp;startStation=30&amp;endStation=113", "Clic para verlo en la web de RoadSurfer")</f>
        <v/>
      </c>
    </row>
    <row r="1051">
      <c r="A1051" t="inlineStr">
        <is>
          <t>Francia</t>
        </is>
      </c>
      <c r="B1051" t="inlineStr">
        <is>
          <t>Toulouse</t>
        </is>
      </c>
      <c r="C1051" t="inlineStr">
        <is>
          <t>Alemania</t>
        </is>
      </c>
      <c r="D1051" t="inlineStr">
        <is>
          <t>Duisburgo</t>
        </is>
      </c>
      <c r="E1051" t="inlineStr">
        <is>
          <t>2026-02-17</t>
        </is>
      </c>
      <c r="F1051" t="inlineStr">
        <is>
          <t>2026-02-24</t>
        </is>
      </c>
      <c r="G1051" t="inlineStr">
        <is>
          <t xml:space="preserve"> - Family Finca</t>
        </is>
      </c>
      <c r="H1051">
        <f>HYPERLINK("https://booking.roadsurfer.com/es/rally/pick?pickup_date=2026-02-17&amp;return_date=2026-02-24&amp;currency=EUR&amp;startStation=30&amp;endStation=113", "Clic para verlo en la web de RoadSurfer")</f>
        <v/>
      </c>
    </row>
    <row r="1052">
      <c r="A1052" t="inlineStr">
        <is>
          <t>Francia</t>
        </is>
      </c>
      <c r="B1052" t="inlineStr">
        <is>
          <t>Toulouse</t>
        </is>
      </c>
      <c r="C1052" t="inlineStr">
        <is>
          <t>Alemania</t>
        </is>
      </c>
      <c r="D1052" t="inlineStr">
        <is>
          <t>Friburgo-Basilea (Alemania)</t>
        </is>
      </c>
      <c r="E1052" t="inlineStr">
        <is>
          <t>2026-02-20</t>
        </is>
      </c>
      <c r="F1052" t="inlineStr">
        <is>
          <t>2026-02-27</t>
        </is>
      </c>
      <c r="G1052" t="inlineStr">
        <is>
          <t xml:space="preserve"> - Family Finca</t>
        </is>
      </c>
      <c r="H1052">
        <f>HYPERLINK("https://booking.roadsurfer.com/es/rally/pick?pickup_date=2026-02-20&amp;return_date=2026-02-27&amp;currency=EUR&amp;startStation=30&amp;endStation=9", "Clic para verlo en la web de RoadSurfer")</f>
        <v/>
      </c>
    </row>
    <row r="1053">
      <c r="A1053" t="inlineStr">
        <is>
          <t>Francia</t>
        </is>
      </c>
      <c r="B1053" t="inlineStr">
        <is>
          <t>Toulouse</t>
        </is>
      </c>
      <c r="C1053" t="inlineStr">
        <is>
          <t>Alemania</t>
        </is>
      </c>
      <c r="D1053" t="inlineStr">
        <is>
          <t>Friburgo-Basilea (Alemania)</t>
        </is>
      </c>
      <c r="E1053" t="inlineStr">
        <is>
          <t>2026-03-17</t>
        </is>
      </c>
      <c r="F1053" t="inlineStr">
        <is>
          <t>2026-03-24</t>
        </is>
      </c>
      <c r="G1053" t="inlineStr">
        <is>
          <t xml:space="preserve"> - Family Finca</t>
        </is>
      </c>
      <c r="H1053">
        <f>HYPERLINK("https://booking.roadsurfer.com/es/rally/pick?pickup_date=2026-03-17&amp;return_date=2026-03-24&amp;currency=EUR&amp;startStation=30&amp;endStation=9", "Clic para verlo en la web de RoadSurfer")</f>
        <v/>
      </c>
    </row>
    <row r="1054">
      <c r="A1054" t="inlineStr">
        <is>
          <t>Francia</t>
        </is>
      </c>
      <c r="B1054" t="inlineStr">
        <is>
          <t>Toulouse</t>
        </is>
      </c>
      <c r="C1054" t="inlineStr">
        <is>
          <t>Alemania</t>
        </is>
      </c>
      <c r="D1054" t="inlineStr">
        <is>
          <t>Friburgo-Basilea (Alemania)</t>
        </is>
      </c>
      <c r="E1054" t="inlineStr">
        <is>
          <t>2026-03-16</t>
        </is>
      </c>
      <c r="F1054" t="inlineStr">
        <is>
          <t>2026-03-23</t>
        </is>
      </c>
      <c r="G1054" t="inlineStr">
        <is>
          <t xml:space="preserve"> - Surfer Suite</t>
        </is>
      </c>
      <c r="H1054">
        <f>HYPERLINK("https://booking.roadsurfer.com/es/rally/pick?pickup_date=2026-03-16&amp;return_date=2026-03-23&amp;currency=EUR&amp;startStation=30&amp;endStation=9", "Clic para verlo en la web de RoadSurfer")</f>
        <v/>
      </c>
    </row>
    <row r="1055">
      <c r="A1055" t="inlineStr">
        <is>
          <t>Francia</t>
        </is>
      </c>
      <c r="B1055" t="inlineStr">
        <is>
          <t>Toulouse</t>
        </is>
      </c>
      <c r="C1055" t="inlineStr">
        <is>
          <t>Alemania</t>
        </is>
      </c>
      <c r="D1055" t="inlineStr">
        <is>
          <t>Friburgo-Basilea (Alemania)</t>
        </is>
      </c>
      <c r="E1055" t="inlineStr">
        <is>
          <t>2026-03-18</t>
        </is>
      </c>
      <c r="F1055" t="inlineStr">
        <is>
          <t>2026-03-25</t>
        </is>
      </c>
      <c r="G1055" t="inlineStr">
        <is>
          <t xml:space="preserve"> - Family Finca</t>
        </is>
      </c>
      <c r="H1055">
        <f>HYPERLINK("https://booking.roadsurfer.com/es/rally/pick?pickup_date=2026-03-18&amp;return_date=2026-03-25&amp;currency=EUR&amp;startStation=30&amp;endStation=9", "Clic para verlo en la web de RoadSurfer")</f>
        <v/>
      </c>
    </row>
    <row r="1056">
      <c r="A1056" t="inlineStr">
        <is>
          <t>Francia</t>
        </is>
      </c>
      <c r="B1056" t="inlineStr">
        <is>
          <t>Toulouse</t>
        </is>
      </c>
      <c r="C1056" t="inlineStr">
        <is>
          <t>Alemania</t>
        </is>
      </c>
      <c r="D1056" t="inlineStr">
        <is>
          <t>Fráncfort</t>
        </is>
      </c>
      <c r="E1056" t="inlineStr">
        <is>
          <t>2026-03-19</t>
        </is>
      </c>
      <c r="F1056" t="inlineStr">
        <is>
          <t>2026-03-26</t>
        </is>
      </c>
      <c r="G1056" t="inlineStr">
        <is>
          <t xml:space="preserve"> - Beach Hostel</t>
        </is>
      </c>
      <c r="H1056">
        <f>HYPERLINK("https://booking.roadsurfer.com/es/rally/pick?pickup_date=2026-03-19&amp;return_date=2026-03-26&amp;currency=EUR&amp;startStation=30&amp;endStation=2", "Clic para verlo en la web de RoadSurfer")</f>
        <v/>
      </c>
    </row>
    <row r="1057">
      <c r="A1057" t="inlineStr">
        <is>
          <t>Francia</t>
        </is>
      </c>
      <c r="B1057" t="inlineStr">
        <is>
          <t>Toulouse</t>
        </is>
      </c>
      <c r="C1057" t="inlineStr">
        <is>
          <t>Alemania</t>
        </is>
      </c>
      <c r="D1057" t="inlineStr">
        <is>
          <t>Erfurt</t>
        </is>
      </c>
      <c r="E1057" t="inlineStr">
        <is>
          <t>2026-03-16</t>
        </is>
      </c>
      <c r="F1057" t="inlineStr">
        <is>
          <t>2026-03-23</t>
        </is>
      </c>
      <c r="G1057" t="inlineStr">
        <is>
          <t xml:space="preserve"> - Camper Castle</t>
        </is>
      </c>
      <c r="H1057">
        <f>HYPERLINK("https://booking.roadsurfer.com/es/rally/pick?pickup_date=2026-03-16&amp;return_date=2026-03-23&amp;currency=EUR&amp;startStation=30&amp;endStation=90", "Clic para verlo en la web de RoadSurfer")</f>
        <v/>
      </c>
    </row>
    <row r="1058">
      <c r="A1058" t="inlineStr">
        <is>
          <t>Francia</t>
        </is>
      </c>
      <c r="B1058" t="inlineStr">
        <is>
          <t>Toulouse</t>
        </is>
      </c>
      <c r="C1058" t="inlineStr">
        <is>
          <t>Alemania</t>
        </is>
      </c>
      <c r="D1058" t="inlineStr">
        <is>
          <t>Erfurt</t>
        </is>
      </c>
      <c r="E1058" t="inlineStr">
        <is>
          <t>2026-03-17</t>
        </is>
      </c>
      <c r="F1058" t="inlineStr">
        <is>
          <t>2026-03-24</t>
        </is>
      </c>
      <c r="G1058" t="inlineStr">
        <is>
          <t xml:space="preserve"> - Road House</t>
        </is>
      </c>
      <c r="H1058">
        <f>HYPERLINK("https://booking.roadsurfer.com/es/rally/pick?pickup_date=2026-03-17&amp;return_date=2026-03-24&amp;currency=EUR&amp;startStation=30&amp;endStation=90", "Clic para verlo en la web de RoadSurfer")</f>
        <v/>
      </c>
    </row>
    <row r="1059">
      <c r="A1059" t="inlineStr">
        <is>
          <t>Francia</t>
        </is>
      </c>
      <c r="B1059" t="inlineStr">
        <is>
          <t>Toulouse</t>
        </is>
      </c>
      <c r="C1059" t="inlineStr">
        <is>
          <t>Alemania</t>
        </is>
      </c>
      <c r="D1059" t="inlineStr">
        <is>
          <t>Erfurt</t>
        </is>
      </c>
      <c r="E1059" t="inlineStr">
        <is>
          <t>2026-03-18</t>
        </is>
      </c>
      <c r="F1059" t="inlineStr">
        <is>
          <t>2026-03-25</t>
        </is>
      </c>
      <c r="G1059" t="inlineStr">
        <is>
          <t xml:space="preserve"> - Family Finca</t>
        </is>
      </c>
      <c r="H1059">
        <f>HYPERLINK("https://booking.roadsurfer.com/es/rally/pick?pickup_date=2026-03-18&amp;return_date=2026-03-25&amp;currency=EUR&amp;startStation=30&amp;endStation=90", "Clic para verlo en la web de RoadSurfer")</f>
        <v/>
      </c>
    </row>
    <row r="1060">
      <c r="A1060" t="inlineStr">
        <is>
          <t>Francia</t>
        </is>
      </c>
      <c r="B1060" t="inlineStr">
        <is>
          <t>Toulouse</t>
        </is>
      </c>
      <c r="C1060" t="inlineStr">
        <is>
          <t>Alemania</t>
        </is>
      </c>
      <c r="D1060" t="inlineStr">
        <is>
          <t>Kassel</t>
        </is>
      </c>
      <c r="E1060" t="inlineStr">
        <is>
          <t>2026-03-12</t>
        </is>
      </c>
      <c r="F1060" t="inlineStr">
        <is>
          <t>2026-03-19</t>
        </is>
      </c>
      <c r="G1060" t="inlineStr">
        <is>
          <t xml:space="preserve"> - Family Finca</t>
        </is>
      </c>
      <c r="H1060">
        <f>HYPERLINK("https://booking.roadsurfer.com/es/rally/pick?pickup_date=2026-03-12&amp;return_date=2026-03-19&amp;currency=EUR&amp;startStation=30&amp;endStation=92", "Clic para verlo en la web de RoadSurfer")</f>
        <v/>
      </c>
    </row>
    <row r="1061">
      <c r="A1061" t="inlineStr">
        <is>
          <t>Alemania</t>
        </is>
      </c>
      <c r="B1061" t="inlineStr">
        <is>
          <t>Tréveris</t>
        </is>
      </c>
      <c r="C1061" t="inlineStr">
        <is>
          <t>Países Bajos</t>
        </is>
      </c>
      <c r="D1061" t="inlineStr">
        <is>
          <t>Róterdam</t>
        </is>
      </c>
      <c r="E1061" t="inlineStr">
        <is>
          <t>2026-03-03</t>
        </is>
      </c>
      <c r="F1061" t="inlineStr">
        <is>
          <t>2026-03-10</t>
        </is>
      </c>
      <c r="G1061" t="inlineStr">
        <is>
          <t xml:space="preserve"> - Road House</t>
        </is>
      </c>
      <c r="H1061">
        <f>HYPERLINK("https://booking.roadsurfer.com/es/rally/pick?pickup_date=2026-03-03&amp;return_date=2026-03-10&amp;currency=EUR&amp;startStation=28&amp;endStation=33", "Clic para verlo en la web de RoadSurfer")</f>
        <v/>
      </c>
    </row>
    <row r="1062">
      <c r="A1062" t="inlineStr">
        <is>
          <t>Alemania</t>
        </is>
      </c>
      <c r="B1062" t="inlineStr">
        <is>
          <t>Tréveris</t>
        </is>
      </c>
      <c r="C1062" t="inlineStr">
        <is>
          <t>Alemania</t>
        </is>
      </c>
      <c r="D1062" t="inlineStr">
        <is>
          <t>Fráncfort</t>
        </is>
      </c>
      <c r="E1062" t="inlineStr">
        <is>
          <t>2026-03-12</t>
        </is>
      </c>
      <c r="F1062" t="inlineStr">
        <is>
          <t>2026-03-19</t>
        </is>
      </c>
      <c r="G1062" t="inlineStr">
        <is>
          <t xml:space="preserve"> - TRAVEL HOME</t>
        </is>
      </c>
      <c r="H1062">
        <f>HYPERLINK("https://booking.roadsurfer.com/es/rally/pick?pickup_date=2026-03-12&amp;return_date=2026-03-19&amp;currency=EUR&amp;startStation=28&amp;endStation=2", "Clic para verlo en la web de RoadSurfer")</f>
        <v/>
      </c>
    </row>
    <row r="1063">
      <c r="A1063" t="inlineStr">
        <is>
          <t>Alemania</t>
        </is>
      </c>
      <c r="B1063" t="inlineStr">
        <is>
          <t>Tréveris</t>
        </is>
      </c>
      <c r="C1063" t="inlineStr">
        <is>
          <t>Países Bajos</t>
        </is>
      </c>
      <c r="D1063" t="inlineStr">
        <is>
          <t>Ámsterdam</t>
        </is>
      </c>
      <c r="E1063" t="inlineStr">
        <is>
          <t>2026-03-02</t>
        </is>
      </c>
      <c r="F1063" t="inlineStr">
        <is>
          <t>2026-03-09</t>
        </is>
      </c>
      <c r="G1063" t="inlineStr">
        <is>
          <t xml:space="preserve"> - Camper Cabin</t>
        </is>
      </c>
      <c r="H1063">
        <f>HYPERLINK("https://booking.roadsurfer.com/es/rally/pick?pickup_date=2026-03-02&amp;return_date=2026-03-09&amp;currency=EUR&amp;startStation=28&amp;endStation=32", "Clic para verlo en la web de RoadSurfer")</f>
        <v/>
      </c>
    </row>
    <row r="1064">
      <c r="A1064" t="inlineStr">
        <is>
          <t>Alemania</t>
        </is>
      </c>
      <c r="B1064" t="inlineStr">
        <is>
          <t>Tréveris</t>
        </is>
      </c>
      <c r="C1064" t="inlineStr">
        <is>
          <t>Alemania</t>
        </is>
      </c>
      <c r="D1064" t="inlineStr">
        <is>
          <t>Augsburgo</t>
        </is>
      </c>
      <c r="E1064" t="inlineStr">
        <is>
          <t>2026-03-16</t>
        </is>
      </c>
      <c r="F1064" t="inlineStr">
        <is>
          <t>2026-03-23</t>
        </is>
      </c>
      <c r="G1064" t="inlineStr">
        <is>
          <t xml:space="preserve"> - Camper Cabin</t>
        </is>
      </c>
      <c r="H1064">
        <f>HYPERLINK("https://booking.roadsurfer.com/es/rally/pick?pickup_date=2026-03-16&amp;return_date=2026-03-23&amp;currency=EUR&amp;startStation=28&amp;endStation=108", "Clic para verlo en la web de RoadSurfer")</f>
        <v/>
      </c>
    </row>
    <row r="1065">
      <c r="A1065" t="inlineStr">
        <is>
          <t>Alemania</t>
        </is>
      </c>
      <c r="B1065" t="inlineStr">
        <is>
          <t>Tréveris</t>
        </is>
      </c>
      <c r="C1065" t="inlineStr">
        <is>
          <t>Alemania</t>
        </is>
      </c>
      <c r="D1065" t="inlineStr">
        <is>
          <t>Múnich</t>
        </is>
      </c>
      <c r="E1065" t="inlineStr">
        <is>
          <t>2026-03-12</t>
        </is>
      </c>
      <c r="F1065" t="inlineStr">
        <is>
          <t>2026-03-19</t>
        </is>
      </c>
      <c r="G1065" t="inlineStr">
        <is>
          <t xml:space="preserve"> - Camper Cabin</t>
        </is>
      </c>
      <c r="H1065">
        <f>HYPERLINK("https://booking.roadsurfer.com/es/rally/pick?pickup_date=2026-03-12&amp;return_date=2026-03-19&amp;currency=EUR&amp;startStation=28&amp;endStation=1", "Clic para verlo en la web de RoadSurfer")</f>
        <v/>
      </c>
    </row>
    <row r="1066">
      <c r="A1066" t="inlineStr">
        <is>
          <t>Alemania</t>
        </is>
      </c>
      <c r="B1066" t="inlineStr">
        <is>
          <t>Tréveris</t>
        </is>
      </c>
      <c r="C1066" t="inlineStr">
        <is>
          <t>Alemania</t>
        </is>
      </c>
      <c r="D1066" t="inlineStr">
        <is>
          <t>Hamburgo Aeropuerto</t>
        </is>
      </c>
      <c r="E1066" t="inlineStr">
        <is>
          <t>2026-03-06</t>
        </is>
      </c>
      <c r="F1066" t="inlineStr">
        <is>
          <t>2026-03-13</t>
        </is>
      </c>
      <c r="G1066" t="inlineStr">
        <is>
          <t xml:space="preserve"> - Family Finca</t>
        </is>
      </c>
      <c r="H1066">
        <f>HYPERLINK("https://booking.roadsurfer.com/es/rally/pick?pickup_date=2026-03-06&amp;return_date=2026-03-13&amp;currency=EUR&amp;startStation=28&amp;endStation=65", "Clic para verlo en la web de RoadSurfer")</f>
        <v/>
      </c>
    </row>
    <row r="1067">
      <c r="A1067" t="inlineStr">
        <is>
          <t>Alemania</t>
        </is>
      </c>
      <c r="B1067" t="inlineStr">
        <is>
          <t>Tréveris</t>
        </is>
      </c>
      <c r="C1067" t="inlineStr">
        <is>
          <t>Alemania</t>
        </is>
      </c>
      <c r="D1067" t="inlineStr">
        <is>
          <t>Maguncia</t>
        </is>
      </c>
      <c r="E1067" t="inlineStr">
        <is>
          <t>2026-03-19</t>
        </is>
      </c>
      <c r="F1067" t="inlineStr">
        <is>
          <t>2026-03-26</t>
        </is>
      </c>
      <c r="G1067" t="inlineStr">
        <is>
          <t xml:space="preserve"> - Surfer Suite</t>
        </is>
      </c>
      <c r="H1067">
        <f>HYPERLINK("https://booking.roadsurfer.com/es/rally/pick?pickup_date=2026-03-19&amp;return_date=2026-03-26&amp;currency=EUR&amp;startStation=28&amp;endStation=54", "Clic para verlo en la web de RoadSurfer")</f>
        <v/>
      </c>
    </row>
    <row r="1068">
      <c r="A1068" t="inlineStr">
        <is>
          <t>Italia</t>
        </is>
      </c>
      <c r="B1068" t="inlineStr">
        <is>
          <t>Turín</t>
        </is>
      </c>
      <c r="C1068" t="inlineStr">
        <is>
          <t>Alemania</t>
        </is>
      </c>
      <c r="D1068" t="inlineStr">
        <is>
          <t>Marburg</t>
        </is>
      </c>
      <c r="E1068" t="inlineStr">
        <is>
          <t>2026-02-20</t>
        </is>
      </c>
      <c r="F1068" t="inlineStr">
        <is>
          <t>2026-02-27</t>
        </is>
      </c>
      <c r="G1068" t="inlineStr">
        <is>
          <t xml:space="preserve"> - Surfer Suite</t>
        </is>
      </c>
      <c r="H1068">
        <f>HYPERLINK("https://booking.roadsurfer.com/es/rally/pick?pickup_date=2026-02-20&amp;return_date=2026-02-27&amp;currency=EUR&amp;startStation=58&amp;endStation=22", "Clic para verlo en la web de RoadSurfer")</f>
        <v/>
      </c>
    </row>
    <row r="1069">
      <c r="A1069" t="inlineStr">
        <is>
          <t>Italia</t>
        </is>
      </c>
      <c r="B1069" t="inlineStr">
        <is>
          <t>Turín</t>
        </is>
      </c>
      <c r="C1069" t="inlineStr">
        <is>
          <t>Alemania</t>
        </is>
      </c>
      <c r="D1069" t="inlineStr">
        <is>
          <t>Marburg</t>
        </is>
      </c>
      <c r="E1069" t="inlineStr">
        <is>
          <t>2026-02-28</t>
        </is>
      </c>
      <c r="F1069" t="inlineStr">
        <is>
          <t>2026-03-07</t>
        </is>
      </c>
      <c r="G1069" t="inlineStr">
        <is>
          <t xml:space="preserve"> - No hay coche</t>
        </is>
      </c>
      <c r="H1069">
        <f>HYPERLINK("https://booking.roadsurfer.com/es/rally/pick?pickup_date=2026-02-28&amp;return_date=2026-03-07&amp;currency=EUR&amp;startStation=58&amp;endStation=22", "Clic para verlo en la web de RoadSurfer")</f>
        <v/>
      </c>
    </row>
    <row r="1070">
      <c r="A1070" t="inlineStr">
        <is>
          <t>Italia</t>
        </is>
      </c>
      <c r="B1070" t="inlineStr">
        <is>
          <t>Turín</t>
        </is>
      </c>
      <c r="C1070" t="inlineStr">
        <is>
          <t>Alemania</t>
        </is>
      </c>
      <c r="D1070" t="inlineStr">
        <is>
          <t>Marburg</t>
        </is>
      </c>
      <c r="E1070" t="inlineStr">
        <is>
          <t>2026-02-17</t>
        </is>
      </c>
      <c r="F1070" t="inlineStr">
        <is>
          <t>2026-02-24</t>
        </is>
      </c>
      <c r="G1070" t="inlineStr">
        <is>
          <t xml:space="preserve"> - Surfer Suite</t>
        </is>
      </c>
      <c r="H1070">
        <f>HYPERLINK("https://booking.roadsurfer.com/es/rally/pick?pickup_date=2026-02-17&amp;return_date=2026-02-24&amp;currency=EUR&amp;startStation=58&amp;endStation=22", "Clic para verlo en la web de RoadSurfer")</f>
        <v/>
      </c>
    </row>
    <row r="1071">
      <c r="A1071" t="inlineStr">
        <is>
          <t>Italia</t>
        </is>
      </c>
      <c r="B1071" t="inlineStr">
        <is>
          <t>Turín</t>
        </is>
      </c>
      <c r="C1071" t="inlineStr">
        <is>
          <t>Alemania</t>
        </is>
      </c>
      <c r="D1071" t="inlineStr">
        <is>
          <t>Marburg</t>
        </is>
      </c>
      <c r="E1071" t="inlineStr">
        <is>
          <t>2026-03-02</t>
        </is>
      </c>
      <c r="F1071" t="inlineStr">
        <is>
          <t>2026-03-09</t>
        </is>
      </c>
      <c r="G1071" t="inlineStr">
        <is>
          <t xml:space="preserve"> - Family Finca</t>
        </is>
      </c>
      <c r="H1071">
        <f>HYPERLINK("https://booking.roadsurfer.com/es/rally/pick?pickup_date=2026-03-02&amp;return_date=2026-03-09&amp;currency=EUR&amp;startStation=58&amp;endStation=22", "Clic para verlo en la web de RoadSurfer")</f>
        <v/>
      </c>
    </row>
    <row r="1072">
      <c r="A1072" t="inlineStr">
        <is>
          <t>Italia</t>
        </is>
      </c>
      <c r="B1072" t="inlineStr">
        <is>
          <t>Turín</t>
        </is>
      </c>
      <c r="C1072" t="inlineStr">
        <is>
          <t>Alemania</t>
        </is>
      </c>
      <c r="D1072" t="inlineStr">
        <is>
          <t>Marburg</t>
        </is>
      </c>
      <c r="E1072" t="inlineStr">
        <is>
          <t>2026-02-19</t>
        </is>
      </c>
      <c r="F1072" t="inlineStr">
        <is>
          <t>2026-02-26</t>
        </is>
      </c>
      <c r="G1072" t="inlineStr">
        <is>
          <t xml:space="preserve"> - Road House</t>
        </is>
      </c>
      <c r="H1072">
        <f>HYPERLINK("https://booking.roadsurfer.com/es/rally/pick?pickup_date=2026-02-19&amp;return_date=2026-02-26&amp;currency=EUR&amp;startStation=58&amp;endStation=22", "Clic para verlo en la web de RoadSurfer")</f>
        <v/>
      </c>
    </row>
    <row r="1073">
      <c r="A1073" t="inlineStr">
        <is>
          <t>Italia</t>
        </is>
      </c>
      <c r="B1073" t="inlineStr">
        <is>
          <t>Turín</t>
        </is>
      </c>
      <c r="C1073" t="inlineStr">
        <is>
          <t>Alemania</t>
        </is>
      </c>
      <c r="D1073" t="inlineStr">
        <is>
          <t>Berlín-Schönefeld</t>
        </is>
      </c>
      <c r="E1073" t="inlineStr">
        <is>
          <t>2026-02-21</t>
        </is>
      </c>
      <c r="F1073" t="inlineStr">
        <is>
          <t>2026-02-28</t>
        </is>
      </c>
      <c r="G1073" t="inlineStr">
        <is>
          <t xml:space="preserve"> - Couple Cottage</t>
        </is>
      </c>
      <c r="H1073">
        <f>HYPERLINK("https://booking.roadsurfer.com/es/rally/pick?pickup_date=2026-02-21&amp;return_date=2026-02-28&amp;currency=EUR&amp;startStation=58&amp;endStation=51", "Clic para verlo en la web de RoadSurfer")</f>
        <v/>
      </c>
    </row>
    <row r="1074">
      <c r="A1074" t="inlineStr">
        <is>
          <t>Italia</t>
        </is>
      </c>
      <c r="B1074" t="inlineStr">
        <is>
          <t>Turín</t>
        </is>
      </c>
      <c r="C1074" t="inlineStr">
        <is>
          <t>Alemania</t>
        </is>
      </c>
      <c r="D1074" t="inlineStr">
        <is>
          <t>Múnich</t>
        </is>
      </c>
      <c r="E1074" t="inlineStr">
        <is>
          <t>2026-03-14</t>
        </is>
      </c>
      <c r="F1074" t="inlineStr">
        <is>
          <t>2026-03-21</t>
        </is>
      </c>
      <c r="G1074" t="inlineStr">
        <is>
          <t xml:space="preserve"> - Surfer Suite</t>
        </is>
      </c>
      <c r="H1074">
        <f>HYPERLINK("https://booking.roadsurfer.com/es/rally/pick?pickup_date=2026-03-14&amp;return_date=2026-03-21&amp;currency=EUR&amp;startStation=58&amp;endStation=1", "Clic para verlo en la web de RoadSurfer")</f>
        <v/>
      </c>
    </row>
    <row r="1075">
      <c r="A1075" t="inlineStr">
        <is>
          <t>Italia</t>
        </is>
      </c>
      <c r="B1075" t="inlineStr">
        <is>
          <t>Turín</t>
        </is>
      </c>
      <c r="C1075" t="inlineStr">
        <is>
          <t>Alemania</t>
        </is>
      </c>
      <c r="D1075" t="inlineStr">
        <is>
          <t>Núremberg</t>
        </is>
      </c>
      <c r="E1075" t="inlineStr">
        <is>
          <t>2026-03-19</t>
        </is>
      </c>
      <c r="F1075" t="inlineStr">
        <is>
          <t>2026-03-26</t>
        </is>
      </c>
      <c r="G1075" t="inlineStr">
        <is>
          <t xml:space="preserve"> - Road House</t>
        </is>
      </c>
      <c r="H1075">
        <f>HYPERLINK("https://booking.roadsurfer.com/es/rally/pick?pickup_date=2026-03-19&amp;return_date=2026-03-26&amp;currency=EUR&amp;startStation=58&amp;endStation=11", "Clic para verlo en la web de RoadSurfer")</f>
        <v/>
      </c>
    </row>
    <row r="1076">
      <c r="A1076" t="inlineStr">
        <is>
          <t>Italia</t>
        </is>
      </c>
      <c r="B1076" t="inlineStr">
        <is>
          <t>Turín</t>
        </is>
      </c>
      <c r="C1076" t="inlineStr">
        <is>
          <t>Alemania</t>
        </is>
      </c>
      <c r="D1076" t="inlineStr">
        <is>
          <t>Núremberg</t>
        </is>
      </c>
      <c r="E1076" t="inlineStr">
        <is>
          <t>2026-03-20</t>
        </is>
      </c>
      <c r="F1076" t="inlineStr">
        <is>
          <t>2026-03-27</t>
        </is>
      </c>
      <c r="G1076" t="inlineStr">
        <is>
          <t xml:space="preserve"> - Surfer Suite</t>
        </is>
      </c>
      <c r="H1076">
        <f>HYPERLINK("https://booking.roadsurfer.com/es/rally/pick?pickup_date=2026-03-20&amp;return_date=2026-03-27&amp;currency=EUR&amp;startStation=58&amp;endStation=11", "Clic para verlo en la web de RoadSurfer")</f>
        <v/>
      </c>
    </row>
    <row r="1077">
      <c r="A1077" t="inlineStr">
        <is>
          <t>Italia</t>
        </is>
      </c>
      <c r="B1077" t="inlineStr">
        <is>
          <t>Turín</t>
        </is>
      </c>
      <c r="C1077" t="inlineStr">
        <is>
          <t>Alemania</t>
        </is>
      </c>
      <c r="D1077" t="inlineStr">
        <is>
          <t>Duisburgo</t>
        </is>
      </c>
      <c r="E1077" t="inlineStr">
        <is>
          <t>2026-03-13</t>
        </is>
      </c>
      <c r="F1077" t="inlineStr">
        <is>
          <t>2026-03-20</t>
        </is>
      </c>
      <c r="G1077" t="inlineStr">
        <is>
          <t xml:space="preserve"> - Surfer Suite</t>
        </is>
      </c>
      <c r="H1077">
        <f>HYPERLINK("https://booking.roadsurfer.com/es/rally/pick?pickup_date=2026-03-13&amp;return_date=2026-03-20&amp;currency=EUR&amp;startStation=58&amp;endStation=113", "Clic para verlo en la web de RoadSurfer")</f>
        <v/>
      </c>
    </row>
    <row r="1078">
      <c r="A1078" t="inlineStr">
        <is>
          <t>Italia</t>
        </is>
      </c>
      <c r="B1078" t="inlineStr">
        <is>
          <t>Turín</t>
        </is>
      </c>
      <c r="C1078" t="inlineStr">
        <is>
          <t>Alemania</t>
        </is>
      </c>
      <c r="D1078" t="inlineStr">
        <is>
          <t>Kiel</t>
        </is>
      </c>
      <c r="E1078" t="inlineStr">
        <is>
          <t>2026-03-12</t>
        </is>
      </c>
      <c r="F1078" t="inlineStr">
        <is>
          <t>2026-03-19</t>
        </is>
      </c>
      <c r="G1078" t="inlineStr">
        <is>
          <t xml:space="preserve"> - Family Finca</t>
        </is>
      </c>
      <c r="H1078">
        <f>HYPERLINK("https://booking.roadsurfer.com/es/rally/pick?pickup_date=2026-03-12&amp;return_date=2026-03-19&amp;currency=EUR&amp;startStation=58&amp;endStation=111", "Clic para verlo en la web de RoadSurfer")</f>
        <v/>
      </c>
    </row>
    <row r="1079">
      <c r="A1079" t="inlineStr">
        <is>
          <t>Italia</t>
        </is>
      </c>
      <c r="B1079" t="inlineStr">
        <is>
          <t>Turín</t>
        </is>
      </c>
      <c r="C1079" t="inlineStr">
        <is>
          <t>Alemania</t>
        </is>
      </c>
      <c r="D1079" t="inlineStr">
        <is>
          <t>Dresde</t>
        </is>
      </c>
      <c r="E1079" t="inlineStr">
        <is>
          <t>2026-03-16</t>
        </is>
      </c>
      <c r="F1079" t="inlineStr">
        <is>
          <t>2026-03-23</t>
        </is>
      </c>
      <c r="G1079" t="inlineStr">
        <is>
          <t xml:space="preserve"> - Family Finca</t>
        </is>
      </c>
      <c r="H1079">
        <f>HYPERLINK("https://booking.roadsurfer.com/es/rally/pick?pickup_date=2026-03-16&amp;return_date=2026-03-23&amp;currency=EUR&amp;startStation=58&amp;endStation=56", "Clic para verlo en la web de RoadSurfer")</f>
        <v/>
      </c>
    </row>
    <row r="1080">
      <c r="A1080" t="inlineStr">
        <is>
          <t>Alemania</t>
        </is>
      </c>
      <c r="B1080" t="inlineStr">
        <is>
          <t>Ulm</t>
        </is>
      </c>
      <c r="C1080" t="inlineStr">
        <is>
          <t>España</t>
        </is>
      </c>
      <c r="D1080" t="inlineStr">
        <is>
          <t>Madrid</t>
        </is>
      </c>
      <c r="E1080" t="inlineStr">
        <is>
          <t>2026-03-19</t>
        </is>
      </c>
      <c r="F1080" t="inlineStr">
        <is>
          <t>2026-03-26</t>
        </is>
      </c>
      <c r="G1080" t="inlineStr">
        <is>
          <t xml:space="preserve"> - Travel Home</t>
        </is>
      </c>
      <c r="H1080">
        <f>HYPERLINK("https://booking.roadsurfer.com/es/rally/pick?pickup_date=2026-03-19&amp;return_date=2026-03-26&amp;currency=EUR&amp;startStation=112&amp;endStation=20", "Clic para verlo en la web de RoadSurfer")</f>
        <v/>
      </c>
    </row>
    <row r="1081">
      <c r="A1081" t="inlineStr">
        <is>
          <t>Alemania</t>
        </is>
      </c>
      <c r="B1081" t="inlineStr">
        <is>
          <t>Ulm</t>
        </is>
      </c>
      <c r="C1081" t="inlineStr">
        <is>
          <t>España</t>
        </is>
      </c>
      <c r="D1081" t="inlineStr">
        <is>
          <t>Madrid</t>
        </is>
      </c>
      <c r="E1081" t="inlineStr">
        <is>
          <t>2026-02-20</t>
        </is>
      </c>
      <c r="F1081" t="inlineStr">
        <is>
          <t>2026-02-27</t>
        </is>
      </c>
      <c r="G1081" t="inlineStr">
        <is>
          <t xml:space="preserve"> - Surfer Suite</t>
        </is>
      </c>
      <c r="H1081">
        <f>HYPERLINK("https://booking.roadsurfer.com/es/rally/pick?pickup_date=2026-02-20&amp;return_date=2026-02-27&amp;currency=EUR&amp;startStation=112&amp;endStation=20", "Clic para verlo en la web de RoadSurfer")</f>
        <v/>
      </c>
    </row>
    <row r="1082">
      <c r="A1082" t="inlineStr">
        <is>
          <t>Alemania</t>
        </is>
      </c>
      <c r="B1082" t="inlineStr">
        <is>
          <t>Ulm</t>
        </is>
      </c>
      <c r="C1082" t="inlineStr">
        <is>
          <t>Francia</t>
        </is>
      </c>
      <c r="D1082" t="inlineStr">
        <is>
          <t>Ginebra-Pays de Gex (Francia)</t>
        </is>
      </c>
      <c r="E1082" t="inlineStr">
        <is>
          <t>2026-02-25</t>
        </is>
      </c>
      <c r="F1082" t="inlineStr">
        <is>
          <t>2026-03-04</t>
        </is>
      </c>
      <c r="G1082" t="inlineStr">
        <is>
          <t xml:space="preserve"> - Family Finca</t>
        </is>
      </c>
      <c r="H1082">
        <f>HYPERLINK("https://booking.roadsurfer.com/es/rally/pick?pickup_date=2026-02-25&amp;return_date=2026-03-04&amp;currency=EUR&amp;startStation=112&amp;endStation=29", "Clic para verlo en la web de RoadSurfer")</f>
        <v/>
      </c>
    </row>
    <row r="1083">
      <c r="A1083" t="inlineStr">
        <is>
          <t>Alemania</t>
        </is>
      </c>
      <c r="B1083" t="inlineStr">
        <is>
          <t>Ulm</t>
        </is>
      </c>
      <c r="C1083" t="inlineStr">
        <is>
          <t>Francia</t>
        </is>
      </c>
      <c r="D1083" t="inlineStr">
        <is>
          <t>Ginebra-Pays de Gex (Francia)</t>
        </is>
      </c>
      <c r="E1083" t="inlineStr">
        <is>
          <t>2026-02-27</t>
        </is>
      </c>
      <c r="F1083" t="inlineStr">
        <is>
          <t>2026-03-06</t>
        </is>
      </c>
      <c r="G1083" t="inlineStr">
        <is>
          <t xml:space="preserve"> - Road House</t>
        </is>
      </c>
      <c r="H1083">
        <f>HYPERLINK("https://booking.roadsurfer.com/es/rally/pick?pickup_date=2026-02-27&amp;return_date=2026-03-06&amp;currency=EUR&amp;startStation=112&amp;endStation=29", "Clic para verlo en la web de RoadSurfer")</f>
        <v/>
      </c>
    </row>
    <row r="1084">
      <c r="A1084" t="inlineStr">
        <is>
          <t>Alemania</t>
        </is>
      </c>
      <c r="B1084" t="inlineStr">
        <is>
          <t>Ulm</t>
        </is>
      </c>
      <c r="C1084" t="inlineStr">
        <is>
          <t>Países Bajos</t>
        </is>
      </c>
      <c r="D1084" t="inlineStr">
        <is>
          <t>Ámsterdam</t>
        </is>
      </c>
      <c r="E1084" t="inlineStr">
        <is>
          <t>2026-03-25</t>
        </is>
      </c>
      <c r="F1084" t="inlineStr">
        <is>
          <t>2026-04-01</t>
        </is>
      </c>
      <c r="G1084" t="inlineStr">
        <is>
          <t xml:space="preserve"> - Cozy Cottage</t>
        </is>
      </c>
      <c r="H1084">
        <f>HYPERLINK("https://booking.roadsurfer.com/es/rally/pick?pickup_date=2026-03-25&amp;return_date=2026-04-01&amp;currency=EUR&amp;startStation=112&amp;endStation=32", "Clic para verlo en la web de RoadSurfer")</f>
        <v/>
      </c>
    </row>
    <row r="1085">
      <c r="A1085" t="inlineStr">
        <is>
          <t>Alemania</t>
        </is>
      </c>
      <c r="B1085" t="inlineStr">
        <is>
          <t>Ulm</t>
        </is>
      </c>
      <c r="C1085" t="inlineStr">
        <is>
          <t>España</t>
        </is>
      </c>
      <c r="D1085" t="inlineStr">
        <is>
          <t>Sevilla</t>
        </is>
      </c>
      <c r="E1085" t="inlineStr">
        <is>
          <t>2026-02-26</t>
        </is>
      </c>
      <c r="F1085" t="inlineStr">
        <is>
          <t>2026-03-05</t>
        </is>
      </c>
      <c r="G1085" t="inlineStr">
        <is>
          <t xml:space="preserve"> - Road House</t>
        </is>
      </c>
      <c r="H1085">
        <f>HYPERLINK("https://booking.roadsurfer.com/es/rally/pick?pickup_date=2026-02-26&amp;return_date=2026-03-05&amp;currency=EUR&amp;startStation=112&amp;endStation=39", "Clic para verlo en la web de RoadSurfer")</f>
        <v/>
      </c>
    </row>
    <row r="1086">
      <c r="A1086" t="inlineStr">
        <is>
          <t>Alemania</t>
        </is>
      </c>
      <c r="B1086" t="inlineStr">
        <is>
          <t>Ulm</t>
        </is>
      </c>
      <c r="C1086" t="inlineStr">
        <is>
          <t>España</t>
        </is>
      </c>
      <c r="D1086" t="inlineStr">
        <is>
          <t>Sevilla</t>
        </is>
      </c>
      <c r="E1086" t="inlineStr">
        <is>
          <t>2026-02-23</t>
        </is>
      </c>
      <c r="F1086" t="inlineStr">
        <is>
          <t>2026-03-02</t>
        </is>
      </c>
      <c r="G1086" t="inlineStr">
        <is>
          <t xml:space="preserve"> - Family Finca</t>
        </is>
      </c>
      <c r="H1086">
        <f>HYPERLINK("https://booking.roadsurfer.com/es/rally/pick?pickup_date=2026-02-23&amp;return_date=2026-03-02&amp;currency=EUR&amp;startStation=112&amp;endStation=39", "Clic para verlo en la web de RoadSurfer")</f>
        <v/>
      </c>
    </row>
    <row r="1087">
      <c r="A1087" t="inlineStr">
        <is>
          <t>Alemania</t>
        </is>
      </c>
      <c r="B1087" t="inlineStr">
        <is>
          <t>Ulm</t>
        </is>
      </c>
      <c r="C1087" t="inlineStr">
        <is>
          <t>Países Bajos</t>
        </is>
      </c>
      <c r="D1087" t="inlineStr">
        <is>
          <t>Róterdam</t>
        </is>
      </c>
      <c r="E1087" t="inlineStr">
        <is>
          <t>2026-03-16</t>
        </is>
      </c>
      <c r="F1087" t="inlineStr">
        <is>
          <t>2026-03-23</t>
        </is>
      </c>
      <c r="G1087" t="inlineStr">
        <is>
          <t xml:space="preserve"> - Surfer Suite</t>
        </is>
      </c>
      <c r="H1087">
        <f>HYPERLINK("https://booking.roadsurfer.com/es/rally/pick?pickup_date=2026-03-16&amp;return_date=2026-03-23&amp;currency=EUR&amp;startStation=112&amp;endStation=33", "Clic para verlo en la web de RoadSurfer")</f>
        <v/>
      </c>
    </row>
    <row r="1088">
      <c r="A1088" t="inlineStr">
        <is>
          <t>Alemania</t>
        </is>
      </c>
      <c r="B1088" t="inlineStr">
        <is>
          <t>Ulm</t>
        </is>
      </c>
      <c r="C1088" t="inlineStr">
        <is>
          <t>Alemania</t>
        </is>
      </c>
      <c r="D1088" t="inlineStr">
        <is>
          <t>Ratisbona</t>
        </is>
      </c>
      <c r="E1088" t="inlineStr">
        <is>
          <t>2026-03-09</t>
        </is>
      </c>
      <c r="F1088" t="inlineStr">
        <is>
          <t>2026-03-16</t>
        </is>
      </c>
      <c r="G1088" t="inlineStr">
        <is>
          <t xml:space="preserve"> - Family Finca</t>
        </is>
      </c>
      <c r="H1088">
        <f>HYPERLINK("https://booking.roadsurfer.com/es/rally/pick?pickup_date=2026-03-09&amp;return_date=2026-03-16&amp;currency=EUR&amp;startStation=112&amp;endStation=89", "Clic para verlo en la web de RoadSurfer")</f>
        <v/>
      </c>
    </row>
    <row r="1089">
      <c r="A1089" t="inlineStr">
        <is>
          <t>España</t>
        </is>
      </c>
      <c r="B1089" t="inlineStr">
        <is>
          <t>Valencia</t>
        </is>
      </c>
      <c r="C1089" t="inlineStr">
        <is>
          <t>Alemania</t>
        </is>
      </c>
      <c r="D1089" t="inlineStr">
        <is>
          <t>Maguncia</t>
        </is>
      </c>
      <c r="E1089" t="inlineStr">
        <is>
          <t>2026-03-09</t>
        </is>
      </c>
      <c r="F1089" t="inlineStr">
        <is>
          <t>2026-03-16</t>
        </is>
      </c>
      <c r="G1089" t="inlineStr">
        <is>
          <t xml:space="preserve"> - TRAVEL HOME</t>
        </is>
      </c>
      <c r="H1089">
        <f>HYPERLINK("https://booking.roadsurfer.com/es/rally/pick?pickup_date=2026-03-09&amp;return_date=2026-03-16&amp;currency=EUR&amp;startStation=38&amp;endStation=54", "Clic para verlo en la web de RoadSurfer")</f>
        <v/>
      </c>
    </row>
    <row r="1090">
      <c r="A1090" t="inlineStr">
        <is>
          <t>España</t>
        </is>
      </c>
      <c r="B1090" t="inlineStr">
        <is>
          <t>Valencia</t>
        </is>
      </c>
      <c r="C1090" t="inlineStr">
        <is>
          <t>Alemania</t>
        </is>
      </c>
      <c r="D1090" t="inlineStr">
        <is>
          <t>Friburgo-Basilea (Alemania)</t>
        </is>
      </c>
      <c r="E1090" t="inlineStr">
        <is>
          <t>2026-03-24</t>
        </is>
      </c>
      <c r="F1090" t="inlineStr">
        <is>
          <t>2026-03-31</t>
        </is>
      </c>
      <c r="G1090" t="inlineStr">
        <is>
          <t xml:space="preserve"> - No hay coche</t>
        </is>
      </c>
      <c r="H1090">
        <f>HYPERLINK("https://booking.roadsurfer.com/es/rally/pick?pickup_date=2026-03-24&amp;return_date=2026-03-31&amp;currency=EUR&amp;startStation=38&amp;endStation=9", "Clic para verlo en la web de RoadSurfer")</f>
        <v/>
      </c>
    </row>
    <row r="1091">
      <c r="A1091" t="inlineStr">
        <is>
          <t>España</t>
        </is>
      </c>
      <c r="B1091" t="inlineStr">
        <is>
          <t>Valencia</t>
        </is>
      </c>
      <c r="C1091" t="inlineStr">
        <is>
          <t>Alemania</t>
        </is>
      </c>
      <c r="D1091" t="inlineStr">
        <is>
          <t>Leipzig</t>
        </is>
      </c>
      <c r="E1091" t="inlineStr">
        <is>
          <t>2026-03-20</t>
        </is>
      </c>
      <c r="F1091" t="inlineStr">
        <is>
          <t>2026-03-27</t>
        </is>
      </c>
      <c r="G1091" t="inlineStr">
        <is>
          <t xml:space="preserve"> - Family Finca</t>
        </is>
      </c>
      <c r="H1091">
        <f>HYPERLINK("https://booking.roadsurfer.com/es/rally/pick?pickup_date=2026-03-20&amp;return_date=2026-03-27&amp;currency=EUR&amp;startStation=38&amp;endStation=8", "Clic para verlo en la web de RoadSurfer")</f>
        <v/>
      </c>
    </row>
    <row r="1092">
      <c r="A1092" t="inlineStr">
        <is>
          <t>España</t>
        </is>
      </c>
      <c r="B1092" t="inlineStr">
        <is>
          <t>Valencia</t>
        </is>
      </c>
      <c r="C1092" t="inlineStr">
        <is>
          <t>Alemania</t>
        </is>
      </c>
      <c r="D1092" t="inlineStr">
        <is>
          <t>Leipzig</t>
        </is>
      </c>
      <c r="E1092" t="inlineStr">
        <is>
          <t>2026-03-23</t>
        </is>
      </c>
      <c r="F1092" t="inlineStr">
        <is>
          <t>2026-03-30</t>
        </is>
      </c>
      <c r="G1092" t="inlineStr">
        <is>
          <t xml:space="preserve"> - Beach Hostel</t>
        </is>
      </c>
      <c r="H1092">
        <f>HYPERLINK("https://booking.roadsurfer.com/es/rally/pick?pickup_date=2026-03-23&amp;return_date=2026-03-30&amp;currency=EUR&amp;startStation=38&amp;endStation=8", "Clic para verlo en la web de RoadSurfer")</f>
        <v/>
      </c>
    </row>
    <row r="1093">
      <c r="A1093" t="inlineStr">
        <is>
          <t>España</t>
        </is>
      </c>
      <c r="B1093" t="inlineStr">
        <is>
          <t>Valencia</t>
        </is>
      </c>
      <c r="C1093" t="inlineStr">
        <is>
          <t>Alemania</t>
        </is>
      </c>
      <c r="D1093" t="inlineStr">
        <is>
          <t>Colonia-Düsseldorf</t>
        </is>
      </c>
      <c r="E1093" t="inlineStr">
        <is>
          <t>2026-03-16</t>
        </is>
      </c>
      <c r="F1093" t="inlineStr">
        <is>
          <t>2026-03-23</t>
        </is>
      </c>
      <c r="G1093" t="inlineStr">
        <is>
          <t xml:space="preserve"> - Road House</t>
        </is>
      </c>
      <c r="H1093">
        <f>HYPERLINK("https://booking.roadsurfer.com/es/rally/pick?pickup_date=2026-03-16&amp;return_date=2026-03-23&amp;currency=EUR&amp;startStation=38&amp;endStation=4", "Clic para verlo en la web de RoadSurfer")</f>
        <v/>
      </c>
    </row>
    <row r="1094">
      <c r="A1094" t="inlineStr">
        <is>
          <t>España</t>
        </is>
      </c>
      <c r="B1094" t="inlineStr">
        <is>
          <t>Valencia</t>
        </is>
      </c>
      <c r="C1094" t="inlineStr">
        <is>
          <t>Alemania</t>
        </is>
      </c>
      <c r="D1094" t="inlineStr">
        <is>
          <t>Colonia-Bonn</t>
        </is>
      </c>
      <c r="E1094" t="inlineStr">
        <is>
          <t>2026-03-09</t>
        </is>
      </c>
      <c r="F1094" t="inlineStr">
        <is>
          <t>2026-03-16</t>
        </is>
      </c>
      <c r="G1094" t="inlineStr">
        <is>
          <t xml:space="preserve"> - Couple Cottage</t>
        </is>
      </c>
      <c r="H1094">
        <f>HYPERLINK("https://booking.roadsurfer.com/es/rally/pick?pickup_date=2026-03-09&amp;return_date=2026-03-16&amp;currency=EUR&amp;startStation=38&amp;endStation=52", "Clic para verlo en la web de RoadSurfer")</f>
        <v/>
      </c>
    </row>
    <row r="1095">
      <c r="A1095" t="inlineStr">
        <is>
          <t>España</t>
        </is>
      </c>
      <c r="B1095" t="inlineStr">
        <is>
          <t>Valencia</t>
        </is>
      </c>
      <c r="C1095" t="inlineStr">
        <is>
          <t>Alemania</t>
        </is>
      </c>
      <c r="D1095" t="inlineStr">
        <is>
          <t>Karlsruhe</t>
        </is>
      </c>
      <c r="E1095" t="inlineStr">
        <is>
          <t>2026-03-02</t>
        </is>
      </c>
      <c r="F1095" t="inlineStr">
        <is>
          <t>2026-03-09</t>
        </is>
      </c>
      <c r="G1095" t="inlineStr">
        <is>
          <t xml:space="preserve"> - Couple Cottage</t>
        </is>
      </c>
      <c r="H1095">
        <f>HYPERLINK("https://booking.roadsurfer.com/es/rally/pick?pickup_date=2026-03-02&amp;return_date=2026-03-09&amp;currency=EUR&amp;startStation=38&amp;endStation=110", "Clic para verlo en la web de RoadSurfer")</f>
        <v/>
      </c>
    </row>
    <row r="1096">
      <c r="A1096" t="inlineStr">
        <is>
          <t>España</t>
        </is>
      </c>
      <c r="B1096" t="inlineStr">
        <is>
          <t>Valencia</t>
        </is>
      </c>
      <c r="C1096" t="inlineStr">
        <is>
          <t>Alemania</t>
        </is>
      </c>
      <c r="D1096" t="inlineStr">
        <is>
          <t>Duisburgo</t>
        </is>
      </c>
      <c r="E1096" t="inlineStr">
        <is>
          <t>2026-03-16</t>
        </is>
      </c>
      <c r="F1096" t="inlineStr">
        <is>
          <t>2026-03-23</t>
        </is>
      </c>
      <c r="G1096" t="inlineStr">
        <is>
          <t xml:space="preserve"> - Surfer Suite</t>
        </is>
      </c>
      <c r="H1096">
        <f>HYPERLINK("https://booking.roadsurfer.com/es/rally/pick?pickup_date=2026-03-16&amp;return_date=2026-03-23&amp;currency=EUR&amp;startStation=38&amp;endStation=113", "Clic para verlo en la web de RoadSurfer")</f>
        <v/>
      </c>
    </row>
    <row r="1097">
      <c r="A1097" t="inlineStr">
        <is>
          <t>España</t>
        </is>
      </c>
      <c r="B1097" t="inlineStr">
        <is>
          <t>Valencia</t>
        </is>
      </c>
      <c r="C1097" t="inlineStr">
        <is>
          <t>Alemania</t>
        </is>
      </c>
      <c r="D1097" t="inlineStr">
        <is>
          <t>Duisburgo</t>
        </is>
      </c>
      <c r="E1097" t="inlineStr">
        <is>
          <t>2026-03-23</t>
        </is>
      </c>
      <c r="F1097" t="inlineStr">
        <is>
          <t>2026-03-30</t>
        </is>
      </c>
      <c r="G1097" t="inlineStr">
        <is>
          <t xml:space="preserve"> - Surfer Suite</t>
        </is>
      </c>
      <c r="H1097">
        <f>HYPERLINK("https://booking.roadsurfer.com/es/rally/pick?pickup_date=2026-03-23&amp;return_date=2026-03-30&amp;currency=EUR&amp;startStation=38&amp;endStation=113", "Clic para verlo en la web de RoadSurfer")</f>
        <v/>
      </c>
    </row>
    <row r="1098">
      <c r="A1098" t="inlineStr">
        <is>
          <t>Italia</t>
        </is>
      </c>
      <c r="B1098" t="inlineStr">
        <is>
          <t>Venecia</t>
        </is>
      </c>
      <c r="C1098" t="inlineStr">
        <is>
          <t>Alemania</t>
        </is>
      </c>
      <c r="D1098" t="inlineStr">
        <is>
          <t>Múnich</t>
        </is>
      </c>
      <c r="E1098" t="inlineStr">
        <is>
          <t>2026-02-26</t>
        </is>
      </c>
      <c r="F1098" t="inlineStr">
        <is>
          <t>2026-03-05</t>
        </is>
      </c>
      <c r="G1098" t="inlineStr">
        <is>
          <t xml:space="preserve"> - Surfer Suite</t>
        </is>
      </c>
      <c r="H1098">
        <f>HYPERLINK("https://booking.roadsurfer.com/es/rally/pick?pickup_date=2026-02-26&amp;return_date=2026-03-05&amp;currency=EUR&amp;startStation=78&amp;endStation=1", "Clic para verlo en la web de RoadSurfer")</f>
        <v/>
      </c>
    </row>
    <row r="1099">
      <c r="A1099" t="inlineStr">
        <is>
          <t>Italia</t>
        </is>
      </c>
      <c r="B1099" t="inlineStr">
        <is>
          <t>Venecia</t>
        </is>
      </c>
      <c r="C1099" t="inlineStr">
        <is>
          <t>Alemania</t>
        </is>
      </c>
      <c r="D1099" t="inlineStr">
        <is>
          <t>Múnich</t>
        </is>
      </c>
      <c r="E1099" t="inlineStr">
        <is>
          <t>2026-03-19</t>
        </is>
      </c>
      <c r="F1099" t="inlineStr">
        <is>
          <t>2026-03-26</t>
        </is>
      </c>
      <c r="G1099" t="inlineStr">
        <is>
          <t xml:space="preserve"> - Surfer Suite</t>
        </is>
      </c>
      <c r="H1099">
        <f>HYPERLINK("https://booking.roadsurfer.com/es/rally/pick?pickup_date=2026-03-19&amp;return_date=2026-03-26&amp;currency=EUR&amp;startStation=78&amp;endStation=1", "Clic para verlo en la web de RoadSurfer")</f>
        <v/>
      </c>
    </row>
    <row r="1100">
      <c r="A1100" t="inlineStr">
        <is>
          <t>Italia</t>
        </is>
      </c>
      <c r="B1100" t="inlineStr">
        <is>
          <t>Venecia</t>
        </is>
      </c>
      <c r="C1100" t="inlineStr">
        <is>
          <t>Alemania</t>
        </is>
      </c>
      <c r="D1100" t="inlineStr">
        <is>
          <t>Múnich</t>
        </is>
      </c>
      <c r="E1100" t="inlineStr">
        <is>
          <t>2026-03-09</t>
        </is>
      </c>
      <c r="F1100" t="inlineStr">
        <is>
          <t>2026-03-16</t>
        </is>
      </c>
      <c r="G1100" t="inlineStr">
        <is>
          <t xml:space="preserve"> - Family Finca</t>
        </is>
      </c>
      <c r="H1100">
        <f>HYPERLINK("https://booking.roadsurfer.com/es/rally/pick?pickup_date=2026-03-09&amp;return_date=2026-03-16&amp;currency=EUR&amp;startStation=78&amp;endStation=1", "Clic para verlo en la web de RoadSurfer")</f>
        <v/>
      </c>
    </row>
    <row r="1101">
      <c r="A1101" t="inlineStr">
        <is>
          <t>Italia</t>
        </is>
      </c>
      <c r="B1101" t="inlineStr">
        <is>
          <t>Venecia</t>
        </is>
      </c>
      <c r="C1101" t="inlineStr">
        <is>
          <t>Alemania</t>
        </is>
      </c>
      <c r="D1101" t="inlineStr">
        <is>
          <t>Fráncfort</t>
        </is>
      </c>
      <c r="E1101" t="inlineStr">
        <is>
          <t>2026-03-20</t>
        </is>
      </c>
      <c r="F1101" t="inlineStr">
        <is>
          <t>2026-03-27</t>
        </is>
      </c>
      <c r="G1101" t="inlineStr">
        <is>
          <t xml:space="preserve"> - Surfer Suite</t>
        </is>
      </c>
      <c r="H1101">
        <f>HYPERLINK("https://booking.roadsurfer.com/es/rally/pick?pickup_date=2026-03-20&amp;return_date=2026-03-27&amp;currency=EUR&amp;startStation=78&amp;endStation=2", "Clic para verlo en la web de RoadSurfer")</f>
        <v/>
      </c>
    </row>
    <row r="1102">
      <c r="A1102" t="inlineStr">
        <is>
          <t>Italia</t>
        </is>
      </c>
      <c r="B1102" t="inlineStr">
        <is>
          <t>Venecia</t>
        </is>
      </c>
      <c r="C1102" t="inlineStr">
        <is>
          <t>Alemania</t>
        </is>
      </c>
      <c r="D1102" t="inlineStr">
        <is>
          <t>Heidelberg</t>
        </is>
      </c>
      <c r="E1102" t="inlineStr">
        <is>
          <t>2026-03-12</t>
        </is>
      </c>
      <c r="F1102" t="inlineStr">
        <is>
          <t>2026-03-19</t>
        </is>
      </c>
      <c r="G1102" t="inlineStr">
        <is>
          <t xml:space="preserve"> - Family Finca</t>
        </is>
      </c>
      <c r="H1102">
        <f>HYPERLINK("https://booking.roadsurfer.com/es/rally/pick?pickup_date=2026-03-12&amp;return_date=2026-03-19&amp;currency=EUR&amp;startStation=78&amp;endStation=79", "Clic para verlo en la web de RoadSurfer")</f>
        <v/>
      </c>
    </row>
    <row r="1103">
      <c r="A1103" t="inlineStr">
        <is>
          <t>Italia</t>
        </is>
      </c>
      <c r="B1103" t="inlineStr">
        <is>
          <t>Venecia</t>
        </is>
      </c>
      <c r="C1103" t="inlineStr">
        <is>
          <t>Alemania</t>
        </is>
      </c>
      <c r="D1103" t="inlineStr">
        <is>
          <t>Heidelberg</t>
        </is>
      </c>
      <c r="E1103" t="inlineStr">
        <is>
          <t>2026-03-16</t>
        </is>
      </c>
      <c r="F1103" t="inlineStr">
        <is>
          <t>2026-03-23</t>
        </is>
      </c>
      <c r="G1103" t="inlineStr">
        <is>
          <t xml:space="preserve"> - Surfer Suite - Family Finca</t>
        </is>
      </c>
      <c r="H1103">
        <f>HYPERLINK("https://booking.roadsurfer.com/es/rally/pick?pickup_date=2026-03-16&amp;return_date=2026-03-23&amp;currency=EUR&amp;startStation=78&amp;endStation=79", "Clic para verlo en la web de RoadSurfer")</f>
        <v/>
      </c>
    </row>
    <row r="1104">
      <c r="A1104" t="inlineStr">
        <is>
          <t>Italia</t>
        </is>
      </c>
      <c r="B1104" t="inlineStr">
        <is>
          <t>Venecia</t>
        </is>
      </c>
      <c r="C1104" t="inlineStr">
        <is>
          <t>Alemania</t>
        </is>
      </c>
      <c r="D1104" t="inlineStr">
        <is>
          <t>Constanza (Aach)</t>
        </is>
      </c>
      <c r="E1104" t="inlineStr">
        <is>
          <t>2026-03-09</t>
        </is>
      </c>
      <c r="F1104" t="inlineStr">
        <is>
          <t>2026-03-16</t>
        </is>
      </c>
      <c r="G1104" t="inlineStr">
        <is>
          <t xml:space="preserve"> - Camper Castle</t>
        </is>
      </c>
      <c r="H1104">
        <f>HYPERLINK("https://booking.roadsurfer.com/es/rally/pick?pickup_date=2026-03-09&amp;return_date=2026-03-16&amp;currency=EUR&amp;startStation=78&amp;endStation=10", "Clic para verlo en la web de RoadSurfer")</f>
        <v/>
      </c>
    </row>
    <row r="1105">
      <c r="A1105" t="inlineStr">
        <is>
          <t>Italia</t>
        </is>
      </c>
      <c r="B1105" t="inlineStr">
        <is>
          <t>Venecia</t>
        </is>
      </c>
      <c r="C1105" t="inlineStr">
        <is>
          <t>Alemania</t>
        </is>
      </c>
      <c r="D1105" t="inlineStr">
        <is>
          <t>Leipzig</t>
        </is>
      </c>
      <c r="E1105" t="inlineStr">
        <is>
          <t>2026-03-24</t>
        </is>
      </c>
      <c r="F1105" t="inlineStr">
        <is>
          <t>2026-03-31</t>
        </is>
      </c>
      <c r="G1105" t="inlineStr">
        <is>
          <t xml:space="preserve"> - Family Finca</t>
        </is>
      </c>
      <c r="H1105">
        <f>HYPERLINK("https://booking.roadsurfer.com/es/rally/pick?pickup_date=2026-03-24&amp;return_date=2026-03-31&amp;currency=EUR&amp;startStation=78&amp;endStation=8", "Clic para verlo en la web de RoadSurfer")</f>
        <v/>
      </c>
    </row>
    <row r="1106">
      <c r="A1106" t="inlineStr">
        <is>
          <t>Italia</t>
        </is>
      </c>
      <c r="B1106" t="inlineStr">
        <is>
          <t>Venecia</t>
        </is>
      </c>
      <c r="C1106" t="inlineStr">
        <is>
          <t>Alemania</t>
        </is>
      </c>
      <c r="D1106" t="inlineStr">
        <is>
          <t>Leipzig</t>
        </is>
      </c>
      <c r="E1106" t="inlineStr">
        <is>
          <t>2026-03-23</t>
        </is>
      </c>
      <c r="F1106" t="inlineStr">
        <is>
          <t>2026-03-30</t>
        </is>
      </c>
      <c r="G1106" t="inlineStr">
        <is>
          <t xml:space="preserve"> - Family Finca</t>
        </is>
      </c>
      <c r="H1106">
        <f>HYPERLINK("https://booking.roadsurfer.com/es/rally/pick?pickup_date=2026-03-23&amp;return_date=2026-03-30&amp;currency=EUR&amp;startStation=78&amp;endStation=8", "Clic para verlo en la web de RoadSurfer")</f>
        <v/>
      </c>
    </row>
    <row r="1107">
      <c r="A1107" t="inlineStr">
        <is>
          <t>Italia</t>
        </is>
      </c>
      <c r="B1107" t="inlineStr">
        <is>
          <t>Venecia</t>
        </is>
      </c>
      <c r="C1107" t="inlineStr">
        <is>
          <t>Alemania</t>
        </is>
      </c>
      <c r="D1107" t="inlineStr">
        <is>
          <t>Leipzig</t>
        </is>
      </c>
      <c r="E1107" t="inlineStr">
        <is>
          <t>2026-03-16</t>
        </is>
      </c>
      <c r="F1107" t="inlineStr">
        <is>
          <t>2026-03-23</t>
        </is>
      </c>
      <c r="G1107" t="inlineStr">
        <is>
          <t xml:space="preserve"> - TRAVEL HOME</t>
        </is>
      </c>
      <c r="H1107">
        <f>HYPERLINK("https://booking.roadsurfer.com/es/rally/pick?pickup_date=2026-03-16&amp;return_date=2026-03-23&amp;currency=EUR&amp;startStation=78&amp;endStation=8", "Clic para verlo en la web de RoadSurfer")</f>
        <v/>
      </c>
    </row>
    <row r="1108">
      <c r="A1108" t="inlineStr">
        <is>
          <t>Italia</t>
        </is>
      </c>
      <c r="B1108" t="inlineStr">
        <is>
          <t>Venecia</t>
        </is>
      </c>
      <c r="C1108" t="inlineStr">
        <is>
          <t>Alemania</t>
        </is>
      </c>
      <c r="D1108" t="inlineStr">
        <is>
          <t>Marburg</t>
        </is>
      </c>
      <c r="E1108" t="inlineStr">
        <is>
          <t>2026-03-09</t>
        </is>
      </c>
      <c r="F1108" t="inlineStr">
        <is>
          <t>2026-03-16</t>
        </is>
      </c>
      <c r="G1108" t="inlineStr">
        <is>
          <t xml:space="preserve"> - Road House</t>
        </is>
      </c>
      <c r="H1108">
        <f>HYPERLINK("https://booking.roadsurfer.com/es/rally/pick?pickup_date=2026-03-09&amp;return_date=2026-03-16&amp;currency=EUR&amp;startStation=78&amp;endStation=22", "Clic para verlo en la web de RoadSurfer")</f>
        <v/>
      </c>
    </row>
    <row r="1109">
      <c r="A1109" t="inlineStr">
        <is>
          <t>Italia</t>
        </is>
      </c>
      <c r="B1109" t="inlineStr">
        <is>
          <t>Venecia</t>
        </is>
      </c>
      <c r="C1109" t="inlineStr">
        <is>
          <t>Alemania</t>
        </is>
      </c>
      <c r="D1109" t="inlineStr">
        <is>
          <t>Marburg</t>
        </is>
      </c>
      <c r="E1109" t="inlineStr">
        <is>
          <t>2026-03-10</t>
        </is>
      </c>
      <c r="F1109" t="inlineStr">
        <is>
          <t>2026-03-17</t>
        </is>
      </c>
      <c r="G1109" t="inlineStr">
        <is>
          <t xml:space="preserve"> - Road House</t>
        </is>
      </c>
      <c r="H1109">
        <f>HYPERLINK("https://booking.roadsurfer.com/es/rally/pick?pickup_date=2026-03-10&amp;return_date=2026-03-17&amp;currency=EUR&amp;startStation=78&amp;endStation=22", "Clic para verlo en la web de RoadSurfer")</f>
        <v/>
      </c>
    </row>
    <row r="1110">
      <c r="A1110" t="inlineStr">
        <is>
          <t>Italia</t>
        </is>
      </c>
      <c r="B1110" t="inlineStr">
        <is>
          <t>Venecia</t>
        </is>
      </c>
      <c r="C1110" t="inlineStr">
        <is>
          <t>Alemania</t>
        </is>
      </c>
      <c r="D1110" t="inlineStr">
        <is>
          <t>Marburg</t>
        </is>
      </c>
      <c r="E1110" t="inlineStr">
        <is>
          <t>2026-03-11</t>
        </is>
      </c>
      <c r="F1110" t="inlineStr">
        <is>
          <t>2026-03-18</t>
        </is>
      </c>
      <c r="G1110" t="inlineStr">
        <is>
          <t xml:space="preserve"> - Surfer Suite</t>
        </is>
      </c>
      <c r="H1110">
        <f>HYPERLINK("https://booking.roadsurfer.com/es/rally/pick?pickup_date=2026-03-11&amp;return_date=2026-03-18&amp;currency=EUR&amp;startStation=78&amp;endStation=22", "Clic para verlo en la web de RoadSurfer")</f>
        <v/>
      </c>
    </row>
    <row r="1111">
      <c r="A1111" t="inlineStr">
        <is>
          <t>Italia</t>
        </is>
      </c>
      <c r="B1111" t="inlineStr">
        <is>
          <t>Venecia</t>
        </is>
      </c>
      <c r="C1111" t="inlineStr">
        <is>
          <t>Alemania</t>
        </is>
      </c>
      <c r="D1111" t="inlineStr">
        <is>
          <t>Marburg</t>
        </is>
      </c>
      <c r="E1111" t="inlineStr">
        <is>
          <t>2026-03-12</t>
        </is>
      </c>
      <c r="F1111" t="inlineStr">
        <is>
          <t>2026-03-19</t>
        </is>
      </c>
      <c r="G1111" t="inlineStr">
        <is>
          <t xml:space="preserve"> - Surfer Suite</t>
        </is>
      </c>
      <c r="H1111">
        <f>HYPERLINK("https://booking.roadsurfer.com/es/rally/pick?pickup_date=2026-03-12&amp;return_date=2026-03-19&amp;currency=EUR&amp;startStation=78&amp;endStation=22", "Clic para verlo en la web de RoadSurfer")</f>
        <v/>
      </c>
    </row>
    <row r="1112">
      <c r="A1112" t="inlineStr">
        <is>
          <t>Italia</t>
        </is>
      </c>
      <c r="B1112" t="inlineStr">
        <is>
          <t>Venecia</t>
        </is>
      </c>
      <c r="C1112" t="inlineStr">
        <is>
          <t>Alemania</t>
        </is>
      </c>
      <c r="D1112" t="inlineStr">
        <is>
          <t>Marburg</t>
        </is>
      </c>
      <c r="E1112" t="inlineStr">
        <is>
          <t>2026-03-20</t>
        </is>
      </c>
      <c r="F1112" t="inlineStr">
        <is>
          <t>2026-03-27</t>
        </is>
      </c>
      <c r="G1112" t="inlineStr">
        <is>
          <t xml:space="preserve"> - Beach Hostel</t>
        </is>
      </c>
      <c r="H1112">
        <f>HYPERLINK("https://booking.roadsurfer.com/es/rally/pick?pickup_date=2026-03-20&amp;return_date=2026-03-27&amp;currency=EUR&amp;startStation=78&amp;endStation=22", "Clic para verlo en la web de RoadSurfer")</f>
        <v/>
      </c>
    </row>
    <row r="1113">
      <c r="A1113" t="inlineStr">
        <is>
          <t>Italia</t>
        </is>
      </c>
      <c r="B1113" t="inlineStr">
        <is>
          <t>Venecia</t>
        </is>
      </c>
      <c r="C1113" t="inlineStr">
        <is>
          <t>Alemania</t>
        </is>
      </c>
      <c r="D1113" t="inlineStr">
        <is>
          <t>Marburg</t>
        </is>
      </c>
      <c r="E1113" t="inlineStr">
        <is>
          <t>2026-03-03</t>
        </is>
      </c>
      <c r="F1113" t="inlineStr">
        <is>
          <t>2026-03-10</t>
        </is>
      </c>
      <c r="G1113" t="inlineStr">
        <is>
          <t xml:space="preserve"> - FAMILY FINCA</t>
        </is>
      </c>
      <c r="H1113">
        <f>HYPERLINK("https://booking.roadsurfer.com/es/rally/pick?pickup_date=2026-03-03&amp;return_date=2026-03-10&amp;currency=EUR&amp;startStation=78&amp;endStation=22", "Clic para verlo en la web de RoadSurfer")</f>
        <v/>
      </c>
    </row>
    <row r="1114">
      <c r="A1114" t="inlineStr">
        <is>
          <t>Italia</t>
        </is>
      </c>
      <c r="B1114" t="inlineStr">
        <is>
          <t>Venecia</t>
        </is>
      </c>
      <c r="C1114" t="inlineStr">
        <is>
          <t>Alemania</t>
        </is>
      </c>
      <c r="D1114" t="inlineStr">
        <is>
          <t>Duisburgo</t>
        </is>
      </c>
      <c r="E1114" t="inlineStr">
        <is>
          <t>2026-03-13</t>
        </is>
      </c>
      <c r="F1114" t="inlineStr">
        <is>
          <t>2026-03-20</t>
        </is>
      </c>
      <c r="G1114" t="inlineStr">
        <is>
          <t xml:space="preserve"> - Sunrise Suite</t>
        </is>
      </c>
      <c r="H1114">
        <f>HYPERLINK("https://booking.roadsurfer.com/es/rally/pick?pickup_date=2026-03-13&amp;return_date=2026-03-20&amp;currency=EUR&amp;startStation=78&amp;endStation=113", "Clic para verlo en la web de RoadSurfer")</f>
        <v/>
      </c>
    </row>
    <row r="1115">
      <c r="A1115" t="inlineStr">
        <is>
          <t>Italia</t>
        </is>
      </c>
      <c r="B1115" t="inlineStr">
        <is>
          <t>Venecia</t>
        </is>
      </c>
      <c r="C1115" t="inlineStr">
        <is>
          <t>Alemania</t>
        </is>
      </c>
      <c r="D1115" t="inlineStr">
        <is>
          <t>Duisburgo</t>
        </is>
      </c>
      <c r="E1115" t="inlineStr">
        <is>
          <t>2026-03-11</t>
        </is>
      </c>
      <c r="F1115" t="inlineStr">
        <is>
          <t>2026-03-18</t>
        </is>
      </c>
      <c r="G1115" t="inlineStr">
        <is>
          <t xml:space="preserve"> - Sunrise Suite</t>
        </is>
      </c>
      <c r="H1115">
        <f>HYPERLINK("https://booking.roadsurfer.com/es/rally/pick?pickup_date=2026-03-11&amp;return_date=2026-03-18&amp;currency=EUR&amp;startStation=78&amp;endStation=113", "Clic para verlo en la web de RoadSurfer")</f>
        <v/>
      </c>
    </row>
    <row r="1116">
      <c r="A1116" t="inlineStr">
        <is>
          <t>Italia</t>
        </is>
      </c>
      <c r="B1116" t="inlineStr">
        <is>
          <t>Venecia</t>
        </is>
      </c>
      <c r="C1116" t="inlineStr">
        <is>
          <t>Alemania</t>
        </is>
      </c>
      <c r="D1116" t="inlineStr">
        <is>
          <t>Duisburgo</t>
        </is>
      </c>
      <c r="E1116" t="inlineStr">
        <is>
          <t>2026-03-12</t>
        </is>
      </c>
      <c r="F1116" t="inlineStr">
        <is>
          <t>2026-03-19</t>
        </is>
      </c>
      <c r="G1116" t="inlineStr">
        <is>
          <t xml:space="preserve"> - Sunrise Suite</t>
        </is>
      </c>
      <c r="H1116">
        <f>HYPERLINK("https://booking.roadsurfer.com/es/rally/pick?pickup_date=2026-03-12&amp;return_date=2026-03-19&amp;currency=EUR&amp;startStation=78&amp;endStation=113", "Clic para verlo en la web de RoadSurfer")</f>
        <v/>
      </c>
    </row>
    <row r="1117">
      <c r="A1117" t="inlineStr">
        <is>
          <t>Italia</t>
        </is>
      </c>
      <c r="B1117" t="inlineStr">
        <is>
          <t>Venecia</t>
        </is>
      </c>
      <c r="C1117" t="inlineStr">
        <is>
          <t>Alemania</t>
        </is>
      </c>
      <c r="D1117" t="inlineStr">
        <is>
          <t>Núremberg</t>
        </is>
      </c>
      <c r="E1117" t="inlineStr">
        <is>
          <t>2026-03-10</t>
        </is>
      </c>
      <c r="F1117" t="inlineStr">
        <is>
          <t>2026-03-17</t>
        </is>
      </c>
      <c r="G1117" t="inlineStr">
        <is>
          <t xml:space="preserve"> - Family Finca</t>
        </is>
      </c>
      <c r="H1117">
        <f>HYPERLINK("https://booking.roadsurfer.com/es/rally/pick?pickup_date=2026-03-10&amp;return_date=2026-03-17&amp;currency=EUR&amp;startStation=78&amp;endStation=11", "Clic para verlo en la web de RoadSurfer")</f>
        <v/>
      </c>
    </row>
    <row r="1118">
      <c r="A1118" t="inlineStr">
        <is>
          <t>Italia</t>
        </is>
      </c>
      <c r="B1118" t="inlineStr">
        <is>
          <t>Venecia</t>
        </is>
      </c>
      <c r="C1118" t="inlineStr">
        <is>
          <t>Austria</t>
        </is>
      </c>
      <c r="D1118" t="inlineStr">
        <is>
          <t>Linz</t>
        </is>
      </c>
      <c r="E1118" t="inlineStr">
        <is>
          <t>2026-03-02</t>
        </is>
      </c>
      <c r="F1118" t="inlineStr">
        <is>
          <t>2026-03-09</t>
        </is>
      </c>
      <c r="G1118" t="inlineStr">
        <is>
          <t xml:space="preserve"> - BEACH HOSTEL</t>
        </is>
      </c>
      <c r="H1118">
        <f>HYPERLINK("https://booking.roadsurfer.com/es/rally/pick?pickup_date=2026-03-02&amp;return_date=2026-03-09&amp;currency=EUR&amp;startStation=78&amp;endStation=116", "Clic para verlo en la web de RoadSurfer")</f>
        <v/>
      </c>
    </row>
    <row r="1119">
      <c r="A1119" t="inlineStr">
        <is>
          <t>Italia</t>
        </is>
      </c>
      <c r="B1119" t="inlineStr">
        <is>
          <t>Venecia</t>
        </is>
      </c>
      <c r="C1119" t="inlineStr">
        <is>
          <t>Alemania</t>
        </is>
      </c>
      <c r="D1119" t="inlineStr">
        <is>
          <t>Stuttgart</t>
        </is>
      </c>
      <c r="E1119" t="inlineStr">
        <is>
          <t>2026-03-16</t>
        </is>
      </c>
      <c r="F1119" t="inlineStr">
        <is>
          <t>2026-03-23</t>
        </is>
      </c>
      <c r="G1119" t="inlineStr">
        <is>
          <t xml:space="preserve"> - Road House</t>
        </is>
      </c>
      <c r="H1119">
        <f>HYPERLINK("https://booking.roadsurfer.com/es/rally/pick?pickup_date=2026-03-16&amp;return_date=2026-03-23&amp;currency=EUR&amp;startStation=78&amp;endStation=5", "Clic para verlo en la web de RoadSurfer")</f>
        <v/>
      </c>
    </row>
    <row r="1120">
      <c r="A1120" t="inlineStr">
        <is>
          <t>Italia</t>
        </is>
      </c>
      <c r="B1120" t="inlineStr">
        <is>
          <t>Venecia</t>
        </is>
      </c>
      <c r="C1120" t="inlineStr">
        <is>
          <t>Alemania</t>
        </is>
      </c>
      <c r="D1120" t="inlineStr">
        <is>
          <t>Stuttgart</t>
        </is>
      </c>
      <c r="E1120" t="inlineStr">
        <is>
          <t>2026-03-19</t>
        </is>
      </c>
      <c r="F1120" t="inlineStr">
        <is>
          <t>2026-03-26</t>
        </is>
      </c>
      <c r="G1120" t="inlineStr">
        <is>
          <t xml:space="preserve"> - Road House</t>
        </is>
      </c>
      <c r="H1120">
        <f>HYPERLINK("https://booking.roadsurfer.com/es/rally/pick?pickup_date=2026-03-19&amp;return_date=2026-03-26&amp;currency=EUR&amp;startStation=78&amp;endStation=5", "Clic para verlo en la web de RoadSurfer")</f>
        <v/>
      </c>
    </row>
    <row r="1121">
      <c r="A1121" t="inlineStr">
        <is>
          <t>Italia</t>
        </is>
      </c>
      <c r="B1121" t="inlineStr">
        <is>
          <t>Venecia</t>
        </is>
      </c>
      <c r="C1121" t="inlineStr">
        <is>
          <t>Alemania</t>
        </is>
      </c>
      <c r="D1121" t="inlineStr">
        <is>
          <t>Stuttgart</t>
        </is>
      </c>
      <c r="E1121" t="inlineStr">
        <is>
          <t>2026-03-23</t>
        </is>
      </c>
      <c r="F1121" t="inlineStr">
        <is>
          <t>2026-03-30</t>
        </is>
      </c>
      <c r="G1121" t="inlineStr">
        <is>
          <t xml:space="preserve"> - Road House</t>
        </is>
      </c>
      <c r="H1121">
        <f>HYPERLINK("https://booking.roadsurfer.com/es/rally/pick?pickup_date=2026-03-23&amp;return_date=2026-03-30&amp;currency=EUR&amp;startStation=78&amp;endStation=5", "Clic para verlo en la web de RoadSurfer")</f>
        <v/>
      </c>
    </row>
    <row r="1122">
      <c r="A1122" t="inlineStr">
        <is>
          <t>Italia</t>
        </is>
      </c>
      <c r="B1122" t="inlineStr">
        <is>
          <t>Venecia</t>
        </is>
      </c>
      <c r="C1122" t="inlineStr">
        <is>
          <t>Alemania</t>
        </is>
      </c>
      <c r="D1122" t="inlineStr">
        <is>
          <t>Maguncia</t>
        </is>
      </c>
      <c r="E1122" t="inlineStr">
        <is>
          <t>2026-03-12</t>
        </is>
      </c>
      <c r="F1122" t="inlineStr">
        <is>
          <t>2026-03-19</t>
        </is>
      </c>
      <c r="G1122" t="inlineStr">
        <is>
          <t xml:space="preserve"> - Beach Hostel</t>
        </is>
      </c>
      <c r="H1122">
        <f>HYPERLINK("https://booking.roadsurfer.com/es/rally/pick?pickup_date=2026-03-12&amp;return_date=2026-03-19&amp;currency=EUR&amp;startStation=78&amp;endStation=54", "Clic para verlo en la web de RoadSurfer")</f>
        <v/>
      </c>
    </row>
    <row r="1123">
      <c r="A1123" t="inlineStr">
        <is>
          <t>Italia</t>
        </is>
      </c>
      <c r="B1123" t="inlineStr">
        <is>
          <t>Venecia</t>
        </is>
      </c>
      <c r="C1123" t="inlineStr">
        <is>
          <t>Italia</t>
        </is>
      </c>
      <c r="D1123" t="inlineStr">
        <is>
          <t>Florencia</t>
        </is>
      </c>
      <c r="E1123" t="inlineStr">
        <is>
          <t>2026-03-12</t>
        </is>
      </c>
      <c r="F1123" t="inlineStr">
        <is>
          <t>2026-03-19</t>
        </is>
      </c>
      <c r="G1123" t="inlineStr">
        <is>
          <t xml:space="preserve"> - FAMILY FINCA</t>
        </is>
      </c>
      <c r="H1123">
        <f>HYPERLINK("https://booking.roadsurfer.com/es/rally/pick?pickup_date=2026-03-12&amp;return_date=2026-03-19&amp;currency=EUR&amp;startStation=78&amp;endStation=80", "Clic para verlo en la web de RoadSurfer")</f>
        <v/>
      </c>
    </row>
    <row r="1124">
      <c r="A1124" t="inlineStr">
        <is>
          <t>Italia</t>
        </is>
      </c>
      <c r="B1124" t="inlineStr">
        <is>
          <t>Venecia</t>
        </is>
      </c>
      <c r="C1124" t="inlineStr">
        <is>
          <t>Alemania</t>
        </is>
      </c>
      <c r="D1124" t="inlineStr">
        <is>
          <t>Colonia-Bonn</t>
        </is>
      </c>
      <c r="E1124" t="inlineStr">
        <is>
          <t>2026-02-17</t>
        </is>
      </c>
      <c r="F1124" t="inlineStr">
        <is>
          <t>2026-02-24</t>
        </is>
      </c>
      <c r="G1124" t="inlineStr">
        <is>
          <t xml:space="preserve"> - Beach Hostel</t>
        </is>
      </c>
      <c r="H1124">
        <f>HYPERLINK("https://booking.roadsurfer.com/es/rally/pick?pickup_date=2026-02-17&amp;return_date=2026-02-24&amp;currency=EUR&amp;startStation=78&amp;endStation=52", "Clic para verlo en la web de RoadSurfer")</f>
        <v/>
      </c>
    </row>
    <row r="1125">
      <c r="A1125" t="inlineStr">
        <is>
          <t>Italia</t>
        </is>
      </c>
      <c r="B1125" t="inlineStr">
        <is>
          <t>Venecia</t>
        </is>
      </c>
      <c r="C1125" t="inlineStr">
        <is>
          <t>Alemania</t>
        </is>
      </c>
      <c r="D1125" t="inlineStr">
        <is>
          <t>Friburgo-Basilea (Alemania)</t>
        </is>
      </c>
      <c r="E1125" t="inlineStr">
        <is>
          <t>2026-02-28</t>
        </is>
      </c>
      <c r="F1125" t="inlineStr">
        <is>
          <t>2026-03-07</t>
        </is>
      </c>
      <c r="G1125" t="inlineStr">
        <is>
          <t xml:space="preserve"> - Camper Castle</t>
        </is>
      </c>
      <c r="H1125">
        <f>HYPERLINK("https://booking.roadsurfer.com/es/rally/pick?pickup_date=2026-02-28&amp;return_date=2026-03-07&amp;currency=EUR&amp;startStation=78&amp;endStation=9", "Clic para verlo en la web de RoadSurfer")</f>
        <v/>
      </c>
    </row>
    <row r="1126">
      <c r="A1126" t="inlineStr">
        <is>
          <t>Austria</t>
        </is>
      </c>
      <c r="B1126" t="inlineStr">
        <is>
          <t>Viena</t>
        </is>
      </c>
      <c r="C1126" t="inlineStr">
        <is>
          <t>Alemania</t>
        </is>
      </c>
      <c r="D1126" t="inlineStr">
        <is>
          <t>Marburg</t>
        </is>
      </c>
      <c r="E1126" t="inlineStr">
        <is>
          <t>2026-02-27</t>
        </is>
      </c>
      <c r="F1126" t="inlineStr">
        <is>
          <t>2026-03-06</t>
        </is>
      </c>
      <c r="G1126" t="inlineStr">
        <is>
          <t xml:space="preserve"> - CAMPER CABIN</t>
        </is>
      </c>
      <c r="H1126">
        <f>HYPERLINK("https://booking.roadsurfer.com/es/rally/pick?pickup_date=2026-02-27&amp;return_date=2026-03-06&amp;currency=EUR&amp;startStation=36&amp;endStation=22", "Clic para verlo en la web de RoadSurfer")</f>
        <v/>
      </c>
    </row>
    <row r="1127">
      <c r="A1127" t="inlineStr">
        <is>
          <t>Austria</t>
        </is>
      </c>
      <c r="B1127" t="inlineStr">
        <is>
          <t>Viena</t>
        </is>
      </c>
      <c r="C1127" t="inlineStr">
        <is>
          <t>Alemania</t>
        </is>
      </c>
      <c r="D1127" t="inlineStr">
        <is>
          <t>Marburg</t>
        </is>
      </c>
      <c r="E1127" t="inlineStr">
        <is>
          <t>2026-02-25</t>
        </is>
      </c>
      <c r="F1127" t="inlineStr">
        <is>
          <t>2026-03-04</t>
        </is>
      </c>
      <c r="G1127" t="inlineStr">
        <is>
          <t xml:space="preserve"> - Surfer Suite</t>
        </is>
      </c>
      <c r="H1127">
        <f>HYPERLINK("https://booking.roadsurfer.com/es/rally/pick?pickup_date=2026-02-25&amp;return_date=2026-03-04&amp;currency=EUR&amp;startStation=36&amp;endStation=22", "Clic para verlo en la web de RoadSurfer")</f>
        <v/>
      </c>
    </row>
    <row r="1128">
      <c r="A1128" t="inlineStr">
        <is>
          <t>Austria</t>
        </is>
      </c>
      <c r="B1128" t="inlineStr">
        <is>
          <t>Viena</t>
        </is>
      </c>
      <c r="C1128" t="inlineStr">
        <is>
          <t>Alemania</t>
        </is>
      </c>
      <c r="D1128" t="inlineStr">
        <is>
          <t>Marburg</t>
        </is>
      </c>
      <c r="E1128" t="inlineStr">
        <is>
          <t>2026-02-26</t>
        </is>
      </c>
      <c r="F1128" t="inlineStr">
        <is>
          <t>2026-03-05</t>
        </is>
      </c>
      <c r="G1128" t="inlineStr">
        <is>
          <t xml:space="preserve"> - Surfer Suite</t>
        </is>
      </c>
      <c r="H1128">
        <f>HYPERLINK("https://booking.roadsurfer.com/es/rally/pick?pickup_date=2026-02-26&amp;return_date=2026-03-05&amp;currency=EUR&amp;startStation=36&amp;endStation=22", "Clic para verlo en la web de RoadSurfer")</f>
        <v/>
      </c>
    </row>
    <row r="1129">
      <c r="A1129" t="inlineStr">
        <is>
          <t>Austria</t>
        </is>
      </c>
      <c r="B1129" t="inlineStr">
        <is>
          <t>Viena</t>
        </is>
      </c>
      <c r="C1129" t="inlineStr">
        <is>
          <t>Alemania</t>
        </is>
      </c>
      <c r="D1129" t="inlineStr">
        <is>
          <t>Berlín</t>
        </is>
      </c>
      <c r="E1129" t="inlineStr">
        <is>
          <t>2026-02-20</t>
        </is>
      </c>
      <c r="F1129" t="inlineStr">
        <is>
          <t>2026-02-27</t>
        </is>
      </c>
      <c r="G1129" t="inlineStr">
        <is>
          <t xml:space="preserve"> - Family Finca</t>
        </is>
      </c>
      <c r="H1129">
        <f>HYPERLINK("https://booking.roadsurfer.com/es/rally/pick?pickup_date=2026-02-20&amp;return_date=2026-02-27&amp;currency=EUR&amp;startStation=36&amp;endStation=6", "Clic para verlo en la web de RoadSurfer")</f>
        <v/>
      </c>
    </row>
    <row r="1130">
      <c r="A1130" t="inlineStr">
        <is>
          <t>Austria</t>
        </is>
      </c>
      <c r="B1130" t="inlineStr">
        <is>
          <t>Viena</t>
        </is>
      </c>
      <c r="C1130" t="inlineStr">
        <is>
          <t>Alemania</t>
        </is>
      </c>
      <c r="D1130" t="inlineStr">
        <is>
          <t>Berlín-Schönefeld</t>
        </is>
      </c>
      <c r="E1130" t="inlineStr">
        <is>
          <t>2026-03-04</t>
        </is>
      </c>
      <c r="F1130" t="inlineStr">
        <is>
          <t>2026-03-11</t>
        </is>
      </c>
      <c r="G1130" t="inlineStr">
        <is>
          <t xml:space="preserve"> - FAMILY FINCA</t>
        </is>
      </c>
      <c r="H1130">
        <f>HYPERLINK("https://booking.roadsurfer.com/es/rally/pick?pickup_date=2026-03-04&amp;return_date=2026-03-11&amp;currency=EUR&amp;startStation=36&amp;endStation=51", "Clic para verlo en la web de RoadSurfer")</f>
        <v/>
      </c>
    </row>
    <row r="1131">
      <c r="A1131" t="inlineStr">
        <is>
          <t>Austria</t>
        </is>
      </c>
      <c r="B1131" t="inlineStr">
        <is>
          <t>Viena</t>
        </is>
      </c>
      <c r="C1131" t="inlineStr">
        <is>
          <t>Alemania</t>
        </is>
      </c>
      <c r="D1131" t="inlineStr">
        <is>
          <t>Dresde</t>
        </is>
      </c>
      <c r="E1131" t="inlineStr">
        <is>
          <t>2026-03-14</t>
        </is>
      </c>
      <c r="F1131" t="inlineStr">
        <is>
          <t>2026-03-21</t>
        </is>
      </c>
      <c r="G1131" t="inlineStr">
        <is>
          <t xml:space="preserve"> - Family Finca</t>
        </is>
      </c>
      <c r="H1131">
        <f>HYPERLINK("https://booking.roadsurfer.com/es/rally/pick?pickup_date=2026-03-14&amp;return_date=2026-03-21&amp;currency=EUR&amp;startStation=36&amp;endStation=56", "Clic para verlo en la web de RoadSurfer")</f>
        <v/>
      </c>
    </row>
    <row r="1132">
      <c r="A1132" t="inlineStr">
        <is>
          <t>Austria</t>
        </is>
      </c>
      <c r="B1132" t="inlineStr">
        <is>
          <t>Viena</t>
        </is>
      </c>
      <c r="C1132" t="inlineStr">
        <is>
          <t>Alemania</t>
        </is>
      </c>
      <c r="D1132" t="inlineStr">
        <is>
          <t>Dresde</t>
        </is>
      </c>
      <c r="E1132" t="inlineStr">
        <is>
          <t>2026-03-20</t>
        </is>
      </c>
      <c r="F1132" t="inlineStr">
        <is>
          <t>2026-03-27</t>
        </is>
      </c>
      <c r="G1132" t="inlineStr">
        <is>
          <t xml:space="preserve"> - Surfer Suite</t>
        </is>
      </c>
      <c r="H1132">
        <f>HYPERLINK("https://booking.roadsurfer.com/es/rally/pick?pickup_date=2026-03-20&amp;return_date=2026-03-27&amp;currency=EUR&amp;startStation=36&amp;endStation=56", "Clic para verlo en la web de RoadSurfer")</f>
        <v/>
      </c>
    </row>
    <row r="1133">
      <c r="A1133" t="inlineStr">
        <is>
          <t>Austria</t>
        </is>
      </c>
      <c r="B1133" t="inlineStr">
        <is>
          <t>Viena</t>
        </is>
      </c>
      <c r="C1133" t="inlineStr">
        <is>
          <t>Alemania</t>
        </is>
      </c>
      <c r="D1133" t="inlineStr">
        <is>
          <t>Leipzig</t>
        </is>
      </c>
      <c r="E1133" t="inlineStr">
        <is>
          <t>2026-03-18</t>
        </is>
      </c>
      <c r="F1133" t="inlineStr">
        <is>
          <t>2026-03-25</t>
        </is>
      </c>
      <c r="G1133" t="inlineStr">
        <is>
          <t xml:space="preserve"> - Cozy Cottage</t>
        </is>
      </c>
      <c r="H1133">
        <f>HYPERLINK("https://booking.roadsurfer.com/es/rally/pick?pickup_date=2026-03-18&amp;return_date=2026-03-25&amp;currency=EUR&amp;startStation=36&amp;endStation=8", "Clic para verlo en la web de RoadSurfer")</f>
        <v/>
      </c>
    </row>
    <row r="1134">
      <c r="A1134" t="inlineStr">
        <is>
          <t>Austria</t>
        </is>
      </c>
      <c r="B1134" t="inlineStr">
        <is>
          <t>Viena</t>
        </is>
      </c>
      <c r="C1134" t="inlineStr">
        <is>
          <t>Alemania</t>
        </is>
      </c>
      <c r="D1134" t="inlineStr">
        <is>
          <t>Erfurt</t>
        </is>
      </c>
      <c r="E1134" t="inlineStr">
        <is>
          <t>2026-03-14</t>
        </is>
      </c>
      <c r="F1134" t="inlineStr">
        <is>
          <t>2026-03-21</t>
        </is>
      </c>
      <c r="G1134" t="inlineStr">
        <is>
          <t xml:space="preserve"> - Family Finca</t>
        </is>
      </c>
      <c r="H1134">
        <f>HYPERLINK("https://booking.roadsurfer.com/es/rally/pick?pickup_date=2026-03-14&amp;return_date=2026-03-21&amp;currency=EUR&amp;startStation=36&amp;endStation=90", "Clic para verlo en la web de RoadSurfer")</f>
        <v/>
      </c>
    </row>
    <row r="1135">
      <c r="A1135" t="inlineStr">
        <is>
          <t>Austria</t>
        </is>
      </c>
      <c r="B1135" t="inlineStr">
        <is>
          <t>Viena</t>
        </is>
      </c>
      <c r="C1135" t="inlineStr">
        <is>
          <t>Alemania</t>
        </is>
      </c>
      <c r="D1135" t="inlineStr">
        <is>
          <t>Núremberg</t>
        </is>
      </c>
      <c r="E1135" t="inlineStr">
        <is>
          <t>2026-03-11</t>
        </is>
      </c>
      <c r="F1135" t="inlineStr">
        <is>
          <t>2026-03-18</t>
        </is>
      </c>
      <c r="G1135" t="inlineStr">
        <is>
          <t xml:space="preserve"> - Road House</t>
        </is>
      </c>
      <c r="H1135">
        <f>HYPERLINK("https://booking.roadsurfer.com/es/rally/pick?pickup_date=2026-03-11&amp;return_date=2026-03-18&amp;currency=EUR&amp;startStation=36&amp;endStation=11", "Clic para verlo en la web de RoadSurfer")</f>
        <v/>
      </c>
    </row>
    <row r="1136">
      <c r="A1136" t="inlineStr">
        <is>
          <t>Austria</t>
        </is>
      </c>
      <c r="B1136" t="inlineStr">
        <is>
          <t>Viena Sur</t>
        </is>
      </c>
      <c r="C1136" t="inlineStr">
        <is>
          <t>Alemania</t>
        </is>
      </c>
      <c r="D1136" t="inlineStr">
        <is>
          <t>Leipzig</t>
        </is>
      </c>
      <c r="E1136" t="inlineStr">
        <is>
          <t>2026-03-02</t>
        </is>
      </c>
      <c r="F1136" t="inlineStr">
        <is>
          <t>2026-03-09</t>
        </is>
      </c>
      <c r="G1136" t="inlineStr">
        <is>
          <t xml:space="preserve"> - Travel Home</t>
        </is>
      </c>
      <c r="H1136">
        <f>HYPERLINK("https://booking.roadsurfer.com/es/rally/pick?pickup_date=2026-03-02&amp;return_date=2026-03-09&amp;currency=EUR&amp;startStation=45&amp;endStation=8", "Clic para verlo en la web de RoadSurfer")</f>
        <v/>
      </c>
    </row>
    <row r="1137">
      <c r="A1137" t="inlineStr">
        <is>
          <t>Austria</t>
        </is>
      </c>
      <c r="B1137" t="inlineStr">
        <is>
          <t>Viena Sur</t>
        </is>
      </c>
      <c r="C1137" t="inlineStr">
        <is>
          <t>Alemania</t>
        </is>
      </c>
      <c r="D1137" t="inlineStr">
        <is>
          <t>Leipzig</t>
        </is>
      </c>
      <c r="E1137" t="inlineStr">
        <is>
          <t>2026-03-16</t>
        </is>
      </c>
      <c r="F1137" t="inlineStr">
        <is>
          <t>2026-03-23</t>
        </is>
      </c>
      <c r="G1137" t="inlineStr">
        <is>
          <t xml:space="preserve"> - Family Finca</t>
        </is>
      </c>
      <c r="H1137">
        <f>HYPERLINK("https://booking.roadsurfer.com/es/rally/pick?pickup_date=2026-03-16&amp;return_date=2026-03-23&amp;currency=EUR&amp;startStation=45&amp;endStation=8", "Clic para verlo en la web de RoadSurfer")</f>
        <v/>
      </c>
    </row>
    <row r="1138">
      <c r="A1138" t="inlineStr">
        <is>
          <t>Austria</t>
        </is>
      </c>
      <c r="B1138" t="inlineStr">
        <is>
          <t>Viena Sur</t>
        </is>
      </c>
      <c r="C1138" t="inlineStr">
        <is>
          <t>Alemania</t>
        </is>
      </c>
      <c r="D1138" t="inlineStr">
        <is>
          <t>Leipzig</t>
        </is>
      </c>
      <c r="E1138" t="inlineStr">
        <is>
          <t>2026-03-17</t>
        </is>
      </c>
      <c r="F1138" t="inlineStr">
        <is>
          <t>2026-03-24</t>
        </is>
      </c>
      <c r="G1138" t="inlineStr">
        <is>
          <t xml:space="preserve"> - Family Finca</t>
        </is>
      </c>
      <c r="H1138">
        <f>HYPERLINK("https://booking.roadsurfer.com/es/rally/pick?pickup_date=2026-03-17&amp;return_date=2026-03-24&amp;currency=EUR&amp;startStation=45&amp;endStation=8", "Clic para verlo en la web de RoadSurfer")</f>
        <v/>
      </c>
    </row>
    <row r="1139">
      <c r="A1139" t="inlineStr">
        <is>
          <t>Austria</t>
        </is>
      </c>
      <c r="B1139" t="inlineStr">
        <is>
          <t>Viena Sur</t>
        </is>
      </c>
      <c r="C1139" t="inlineStr">
        <is>
          <t>Alemania</t>
        </is>
      </c>
      <c r="D1139" t="inlineStr">
        <is>
          <t>Constanza (Aach)</t>
        </is>
      </c>
      <c r="E1139" t="inlineStr">
        <is>
          <t>2026-03-02</t>
        </is>
      </c>
      <c r="F1139" t="inlineStr">
        <is>
          <t>2026-03-09</t>
        </is>
      </c>
      <c r="G1139" t="inlineStr">
        <is>
          <t xml:space="preserve"> - Travel Home</t>
        </is>
      </c>
      <c r="H1139">
        <f>HYPERLINK("https://booking.roadsurfer.com/es/rally/pick?pickup_date=2026-03-02&amp;return_date=2026-03-09&amp;currency=EUR&amp;startStation=45&amp;endStation=10", "Clic para verlo en la web de RoadSurfer")</f>
        <v/>
      </c>
    </row>
    <row r="1140">
      <c r="A1140" t="inlineStr">
        <is>
          <t>Austria</t>
        </is>
      </c>
      <c r="B1140" t="inlineStr">
        <is>
          <t>Viena Sur</t>
        </is>
      </c>
      <c r="C1140" t="inlineStr">
        <is>
          <t>Alemania</t>
        </is>
      </c>
      <c r="D1140" t="inlineStr">
        <is>
          <t>Marburg</t>
        </is>
      </c>
      <c r="E1140" t="inlineStr">
        <is>
          <t>2026-02-26</t>
        </is>
      </c>
      <c r="F1140" t="inlineStr">
        <is>
          <t>2026-03-05</t>
        </is>
      </c>
      <c r="G1140" t="inlineStr">
        <is>
          <t xml:space="preserve"> - Surfer Suite</t>
        </is>
      </c>
      <c r="H1140">
        <f>HYPERLINK("https://booking.roadsurfer.com/es/rally/pick?pickup_date=2026-02-26&amp;return_date=2026-03-05&amp;currency=EUR&amp;startStation=45&amp;endStation=22", "Clic para verlo en la web de RoadSurfer")</f>
        <v/>
      </c>
    </row>
    <row r="1141">
      <c r="A1141" t="inlineStr">
        <is>
          <t>Austria</t>
        </is>
      </c>
      <c r="B1141" t="inlineStr">
        <is>
          <t>Viena Sur</t>
        </is>
      </c>
      <c r="C1141" t="inlineStr">
        <is>
          <t>Alemania</t>
        </is>
      </c>
      <c r="D1141" t="inlineStr">
        <is>
          <t>Marburg</t>
        </is>
      </c>
      <c r="E1141" t="inlineStr">
        <is>
          <t>2026-03-05</t>
        </is>
      </c>
      <c r="F1141" t="inlineStr">
        <is>
          <t>2026-03-12</t>
        </is>
      </c>
      <c r="G1141" t="inlineStr">
        <is>
          <t xml:space="preserve"> - Road House</t>
        </is>
      </c>
      <c r="H1141">
        <f>HYPERLINK("https://booking.roadsurfer.com/es/rally/pick?pickup_date=2026-03-05&amp;return_date=2026-03-12&amp;currency=EUR&amp;startStation=45&amp;endStation=22", "Clic para verlo en la web de RoadSurfer")</f>
        <v/>
      </c>
    </row>
    <row r="1142">
      <c r="A1142" t="inlineStr">
        <is>
          <t>Austria</t>
        </is>
      </c>
      <c r="B1142" t="inlineStr">
        <is>
          <t>Viena Sur</t>
        </is>
      </c>
      <c r="C1142" t="inlineStr">
        <is>
          <t>Alemania</t>
        </is>
      </c>
      <c r="D1142" t="inlineStr">
        <is>
          <t>Erfurt</t>
        </is>
      </c>
      <c r="E1142" t="inlineStr">
        <is>
          <t>2026-03-11</t>
        </is>
      </c>
      <c r="F1142" t="inlineStr">
        <is>
          <t>2026-03-18</t>
        </is>
      </c>
      <c r="G1142" t="inlineStr">
        <is>
          <t xml:space="preserve"> - SURFER SUITE</t>
        </is>
      </c>
      <c r="H1142">
        <f>HYPERLINK("https://booking.roadsurfer.com/es/rally/pick?pickup_date=2026-03-11&amp;return_date=2026-03-18&amp;currency=EUR&amp;startStation=45&amp;endStation=90", "Clic para verlo en la web de RoadSurfer")</f>
        <v/>
      </c>
    </row>
    <row r="1143">
      <c r="A1143" t="inlineStr">
        <is>
          <t>Austria</t>
        </is>
      </c>
      <c r="B1143" t="inlineStr">
        <is>
          <t>Viena Sur</t>
        </is>
      </c>
      <c r="C1143" t="inlineStr">
        <is>
          <t>Alemania</t>
        </is>
      </c>
      <c r="D1143" t="inlineStr">
        <is>
          <t>Erfurt</t>
        </is>
      </c>
      <c r="E1143" t="inlineStr">
        <is>
          <t>2026-03-16</t>
        </is>
      </c>
      <c r="F1143" t="inlineStr">
        <is>
          <t>2026-03-23</t>
        </is>
      </c>
      <c r="G1143" t="inlineStr">
        <is>
          <t xml:space="preserve"> - Family Finca</t>
        </is>
      </c>
      <c r="H1143">
        <f>HYPERLINK("https://booking.roadsurfer.com/es/rally/pick?pickup_date=2026-03-16&amp;return_date=2026-03-23&amp;currency=EUR&amp;startStation=45&amp;endStation=90", "Clic para verlo en la web de RoadSurfer")</f>
        <v/>
      </c>
    </row>
    <row r="1144">
      <c r="A1144" t="inlineStr">
        <is>
          <t>Austria</t>
        </is>
      </c>
      <c r="B1144" t="inlineStr">
        <is>
          <t>Viena Sur</t>
        </is>
      </c>
      <c r="C1144" t="inlineStr">
        <is>
          <t>Alemania</t>
        </is>
      </c>
      <c r="D1144" t="inlineStr">
        <is>
          <t>Erfurt</t>
        </is>
      </c>
      <c r="E1144" t="inlineStr">
        <is>
          <t>2026-03-10</t>
        </is>
      </c>
      <c r="F1144" t="inlineStr">
        <is>
          <t>2026-03-17</t>
        </is>
      </c>
      <c r="G1144" t="inlineStr">
        <is>
          <t xml:space="preserve"> - Surfer Suite</t>
        </is>
      </c>
      <c r="H1144">
        <f>HYPERLINK("https://booking.roadsurfer.com/es/rally/pick?pickup_date=2026-03-10&amp;return_date=2026-03-17&amp;currency=EUR&amp;startStation=45&amp;endStation=90", "Clic para verlo en la web de RoadSurfer")</f>
        <v/>
      </c>
    </row>
    <row r="1145">
      <c r="A1145" t="inlineStr">
        <is>
          <t>Austria</t>
        </is>
      </c>
      <c r="B1145" t="inlineStr">
        <is>
          <t>Viena Sur</t>
        </is>
      </c>
      <c r="C1145" t="inlineStr">
        <is>
          <t>Alemania</t>
        </is>
      </c>
      <c r="D1145" t="inlineStr">
        <is>
          <t>Dresde</t>
        </is>
      </c>
      <c r="E1145" t="inlineStr">
        <is>
          <t>2026-03-19</t>
        </is>
      </c>
      <c r="F1145" t="inlineStr">
        <is>
          <t>2026-03-26</t>
        </is>
      </c>
      <c r="G1145" t="inlineStr">
        <is>
          <t xml:space="preserve"> - Family Finca</t>
        </is>
      </c>
      <c r="H1145">
        <f>HYPERLINK("https://booking.roadsurfer.com/es/rally/pick?pickup_date=2026-03-19&amp;return_date=2026-03-26&amp;currency=EUR&amp;startStation=45&amp;endStation=56", "Clic para verlo en la web de RoadSurfer")</f>
        <v/>
      </c>
    </row>
    <row r="1146">
      <c r="A1146" t="inlineStr">
        <is>
          <t>Austria</t>
        </is>
      </c>
      <c r="B1146" t="inlineStr">
        <is>
          <t>Viena Sur</t>
        </is>
      </c>
      <c r="C1146" t="inlineStr">
        <is>
          <t>Alemania</t>
        </is>
      </c>
      <c r="D1146" t="inlineStr">
        <is>
          <t>Núremberg</t>
        </is>
      </c>
      <c r="E1146" t="inlineStr">
        <is>
          <t>2026-03-09</t>
        </is>
      </c>
      <c r="F1146" t="inlineStr">
        <is>
          <t>2026-03-16</t>
        </is>
      </c>
      <c r="G1146" t="inlineStr">
        <is>
          <t xml:space="preserve"> - Couple Cottage</t>
        </is>
      </c>
      <c r="H1146">
        <f>HYPERLINK("https://booking.roadsurfer.com/es/rally/pick?pickup_date=2026-03-09&amp;return_date=2026-03-16&amp;currency=EUR&amp;startStation=45&amp;endStation=11", "Clic para verlo en la web de RoadSurfer")</f>
        <v/>
      </c>
    </row>
    <row r="1147">
      <c r="A1147" t="inlineStr">
        <is>
          <t>Alemania</t>
        </is>
      </c>
      <c r="B1147" t="inlineStr">
        <is>
          <t>Wurzburgo</t>
        </is>
      </c>
      <c r="C1147" t="inlineStr">
        <is>
          <t>España</t>
        </is>
      </c>
      <c r="D1147" t="inlineStr">
        <is>
          <t>Málaga</t>
        </is>
      </c>
      <c r="E1147" t="inlineStr">
        <is>
          <t>2026-03-23</t>
        </is>
      </c>
      <c r="F1147" t="inlineStr">
        <is>
          <t>2026-03-30</t>
        </is>
      </c>
      <c r="G1147" t="inlineStr">
        <is>
          <t xml:space="preserve"> - Surfer Suite - Beach Hostel</t>
        </is>
      </c>
      <c r="H1147">
        <f>HYPERLINK("https://booking.roadsurfer.com/es/rally/pick?pickup_date=2026-03-23&amp;return_date=2026-03-30&amp;currency=EUR&amp;startStation=115&amp;endStation=21", "Clic para verlo en la web de RoadSurfer")</f>
        <v/>
      </c>
    </row>
    <row r="1148">
      <c r="A1148" t="inlineStr">
        <is>
          <t>Alemania</t>
        </is>
      </c>
      <c r="B1148" t="inlineStr">
        <is>
          <t>Wurzburgo</t>
        </is>
      </c>
      <c r="C1148" t="inlineStr">
        <is>
          <t>España</t>
        </is>
      </c>
      <c r="D1148" t="inlineStr">
        <is>
          <t>Málaga</t>
        </is>
      </c>
      <c r="E1148" t="inlineStr">
        <is>
          <t>2026-03-14</t>
        </is>
      </c>
      <c r="F1148" t="inlineStr">
        <is>
          <t>2026-03-21</t>
        </is>
      </c>
      <c r="G1148" t="inlineStr">
        <is>
          <t xml:space="preserve"> - Beach Hostel</t>
        </is>
      </c>
      <c r="H1148">
        <f>HYPERLINK("https://booking.roadsurfer.com/es/rally/pick?pickup_date=2026-03-14&amp;return_date=2026-03-21&amp;currency=EUR&amp;startStation=115&amp;endStation=21", "Clic para verlo en la web de RoadSurfer")</f>
        <v/>
      </c>
    </row>
    <row r="1149">
      <c r="A1149" t="inlineStr">
        <is>
          <t>Alemania</t>
        </is>
      </c>
      <c r="B1149" t="inlineStr">
        <is>
          <t>Wurzburgo</t>
        </is>
      </c>
      <c r="C1149" t="inlineStr">
        <is>
          <t>Países Bajos</t>
        </is>
      </c>
      <c r="D1149" t="inlineStr">
        <is>
          <t>Ámsterdam</t>
        </is>
      </c>
      <c r="E1149" t="inlineStr">
        <is>
          <t>2026-03-02</t>
        </is>
      </c>
      <c r="F1149" t="inlineStr">
        <is>
          <t>2026-03-09</t>
        </is>
      </c>
      <c r="G1149" t="inlineStr">
        <is>
          <t xml:space="preserve"> - Road House</t>
        </is>
      </c>
      <c r="H1149">
        <f>HYPERLINK("https://booking.roadsurfer.com/es/rally/pick?pickup_date=2026-03-02&amp;return_date=2026-03-09&amp;currency=EUR&amp;startStation=115&amp;endStation=32", "Clic para verlo en la web de RoadSurfer")</f>
        <v/>
      </c>
    </row>
    <row r="1150">
      <c r="A1150" t="inlineStr">
        <is>
          <t>Alemania</t>
        </is>
      </c>
      <c r="B1150" t="inlineStr">
        <is>
          <t>Wurzburgo</t>
        </is>
      </c>
      <c r="C1150" t="inlineStr">
        <is>
          <t>Austria</t>
        </is>
      </c>
      <c r="D1150" t="inlineStr">
        <is>
          <t>Viena</t>
        </is>
      </c>
      <c r="E1150" t="inlineStr">
        <is>
          <t>2026-03-21</t>
        </is>
      </c>
      <c r="F1150" t="inlineStr">
        <is>
          <t>2026-03-28</t>
        </is>
      </c>
      <c r="G1150" t="inlineStr">
        <is>
          <t xml:space="preserve"> - Beach Hostel</t>
        </is>
      </c>
      <c r="H1150">
        <f>HYPERLINK("https://booking.roadsurfer.com/es/rally/pick?pickup_date=2026-03-21&amp;return_date=2026-03-28&amp;currency=EUR&amp;startStation=115&amp;endStation=36", "Clic para verlo en la web de RoadSurfer")</f>
        <v/>
      </c>
    </row>
    <row r="1151">
      <c r="A1151" t="inlineStr">
        <is>
          <t>Alemania</t>
        </is>
      </c>
      <c r="B1151" t="inlineStr">
        <is>
          <t>Wurzburgo</t>
        </is>
      </c>
      <c r="C1151" t="inlineStr">
        <is>
          <t>Austria</t>
        </is>
      </c>
      <c r="D1151" t="inlineStr">
        <is>
          <t>Viena</t>
        </is>
      </c>
      <c r="E1151" t="inlineStr">
        <is>
          <t>2026-03-23</t>
        </is>
      </c>
      <c r="F1151" t="inlineStr">
        <is>
          <t>2026-03-30</t>
        </is>
      </c>
      <c r="G1151" t="inlineStr">
        <is>
          <t xml:space="preserve"> - Surfer Suite</t>
        </is>
      </c>
      <c r="H1151">
        <f>HYPERLINK("https://booking.roadsurfer.com/es/rally/pick?pickup_date=2026-03-23&amp;return_date=2026-03-30&amp;currency=EUR&amp;startStation=115&amp;endStation=36", "Clic para verlo en la web de RoadSurfer")</f>
        <v/>
      </c>
    </row>
    <row r="1152">
      <c r="A1152" t="inlineStr">
        <is>
          <t>Alemania</t>
        </is>
      </c>
      <c r="B1152" t="inlineStr">
        <is>
          <t>Wurzburgo</t>
        </is>
      </c>
      <c r="C1152" t="inlineStr">
        <is>
          <t>Alemania</t>
        </is>
      </c>
      <c r="D1152" t="inlineStr">
        <is>
          <t>Hamburgo Aeropuerto</t>
        </is>
      </c>
      <c r="E1152" t="inlineStr">
        <is>
          <t>2026-03-13</t>
        </is>
      </c>
      <c r="F1152" t="inlineStr">
        <is>
          <t>2026-03-20</t>
        </is>
      </c>
      <c r="G1152" t="inlineStr">
        <is>
          <t xml:space="preserve"> - Family Finca</t>
        </is>
      </c>
      <c r="H1152">
        <f>HYPERLINK("https://booking.roadsurfer.com/es/rally/pick?pickup_date=2026-03-13&amp;return_date=2026-03-20&amp;currency=EUR&amp;startStation=115&amp;endStation=65", "Clic para verlo en la web de RoadSurfer")</f>
        <v/>
      </c>
    </row>
    <row r="1153">
      <c r="A1153" t="inlineStr">
        <is>
          <t>Alemania</t>
        </is>
      </c>
      <c r="B1153" t="inlineStr">
        <is>
          <t>Wurzburgo</t>
        </is>
      </c>
      <c r="C1153" t="inlineStr">
        <is>
          <t>Francia</t>
        </is>
      </c>
      <c r="D1153" t="inlineStr">
        <is>
          <t>Ginebra-Pays de Gex (Francia)</t>
        </is>
      </c>
      <c r="E1153" t="inlineStr">
        <is>
          <t>2026-03-31</t>
        </is>
      </c>
      <c r="F1153" t="inlineStr">
        <is>
          <t>2026-04-07</t>
        </is>
      </c>
      <c r="G1153" t="inlineStr">
        <is>
          <t xml:space="preserve"> - Road House</t>
        </is>
      </c>
      <c r="H1153">
        <f>HYPERLINK("https://booking.roadsurfer.com/es/rally/pick?pickup_date=2026-03-31&amp;return_date=2026-04-07&amp;currency=EUR&amp;startStation=115&amp;endStation=29", "Clic para verlo en la web de RoadSurfer")</f>
        <v/>
      </c>
    </row>
    <row r="1154">
      <c r="A1154" t="inlineStr">
        <is>
          <t>Alemania</t>
        </is>
      </c>
      <c r="B1154" t="inlineStr">
        <is>
          <t>Wurzburgo</t>
        </is>
      </c>
      <c r="C1154" t="inlineStr">
        <is>
          <t>España</t>
        </is>
      </c>
      <c r="D1154" t="inlineStr">
        <is>
          <t>Sevilla</t>
        </is>
      </c>
      <c r="E1154" t="inlineStr">
        <is>
          <t>2026-03-23</t>
        </is>
      </c>
      <c r="F1154" t="inlineStr">
        <is>
          <t>2026-03-30</t>
        </is>
      </c>
      <c r="G1154" t="inlineStr">
        <is>
          <t xml:space="preserve"> - Beach Hostel</t>
        </is>
      </c>
      <c r="H1154">
        <f>HYPERLINK("https://booking.roadsurfer.com/es/rally/pick?pickup_date=2026-03-23&amp;return_date=2026-03-30&amp;currency=EUR&amp;startStation=115&amp;endStation=39", "Clic para verlo en la web de RoadSurfer")</f>
        <v/>
      </c>
    </row>
    <row r="1155">
      <c r="A1155" t="inlineStr">
        <is>
          <t>Alemania</t>
        </is>
      </c>
      <c r="B1155" t="inlineStr">
        <is>
          <t>Wurzburgo</t>
        </is>
      </c>
      <c r="C1155" t="inlineStr">
        <is>
          <t>Alemania</t>
        </is>
      </c>
      <c r="D1155" t="inlineStr">
        <is>
          <t>Maguncia</t>
        </is>
      </c>
      <c r="E1155" t="inlineStr">
        <is>
          <t>2026-03-30</t>
        </is>
      </c>
      <c r="F1155" t="inlineStr">
        <is>
          <t>2026-04-06</t>
        </is>
      </c>
      <c r="G1155" t="inlineStr">
        <is>
          <t xml:space="preserve"> - No hay coche</t>
        </is>
      </c>
      <c r="H1155">
        <f>HYPERLINK("https://booking.roadsurfer.com/es/rally/pick?pickup_date=2026-03-30&amp;return_date=2026-04-06&amp;currency=EUR&amp;startStation=115&amp;endStation=54", "Clic para verlo en la web de RoadSurfer")</f>
        <v/>
      </c>
    </row>
    <row r="1156">
      <c r="A1156" t="inlineStr">
        <is>
          <t>Alemania</t>
        </is>
      </c>
      <c r="B1156" t="inlineStr">
        <is>
          <t>Wurzburgo</t>
        </is>
      </c>
      <c r="C1156" t="inlineStr">
        <is>
          <t>España</t>
        </is>
      </c>
      <c r="D1156" t="inlineStr">
        <is>
          <t>Barcelona</t>
        </is>
      </c>
      <c r="E1156" t="inlineStr">
        <is>
          <t>2026-04-02</t>
        </is>
      </c>
      <c r="F1156" t="inlineStr">
        <is>
          <t>2026-04-09</t>
        </is>
      </c>
      <c r="G1156" t="inlineStr">
        <is>
          <t xml:space="preserve"> - Beach Hostel</t>
        </is>
      </c>
      <c r="H1156">
        <f>HYPERLINK("https://booking.roadsurfer.com/es/rally/pick?pickup_date=2026-04-02&amp;return_date=2026-04-09&amp;currency=EUR&amp;startStation=115&amp;endStation=17", "Clic para verlo en la web de RoadSurfer")</f>
        <v/>
      </c>
    </row>
    <row r="1157">
      <c r="A1157" t="inlineStr">
        <is>
          <t>Alemania</t>
        </is>
      </c>
      <c r="B1157" t="inlineStr">
        <is>
          <t>Wurzburgo</t>
        </is>
      </c>
      <c r="C1157" t="inlineStr">
        <is>
          <t>Austria</t>
        </is>
      </c>
      <c r="D1157" t="inlineStr">
        <is>
          <t>Linz</t>
        </is>
      </c>
      <c r="E1157" t="inlineStr">
        <is>
          <t>2026-03-20</t>
        </is>
      </c>
      <c r="F1157" t="inlineStr">
        <is>
          <t>2026-03-27</t>
        </is>
      </c>
      <c r="G1157" t="inlineStr">
        <is>
          <t xml:space="preserve"> - Family Finca</t>
        </is>
      </c>
      <c r="H1157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2026-02-14T20:48:12Z</dcterms:created>
  <dcterms:modified xsi:type="dcterms:W3CDTF">2026-02-14T20:48:12Z</dcterms:modified>
</cp:coreProperties>
</file>