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Niza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Surfer Suite</t>
        </is>
      </c>
      <c r="H3">
        <f>HYPERLINK("https://booking.roadsurfer.com/es/rally/pick?pickup_date=2026-04-27&amp;return_date=2026-05-04&amp;currency=EUR&amp;startStation=16&amp;endStation=88",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2026-05-02</t>
        </is>
      </c>
      <c r="F5" t="inlineStr">
        <is>
          <t>2026-05-09</t>
        </is>
      </c>
      <c r="G5" t="inlineStr">
        <is>
          <t xml:space="preserve"> - Surfer Suite</t>
        </is>
      </c>
      <c r="H5">
        <f>HYPERLINK("https://booking.roadsurfer.com/es/rally/pick?pickup_date=2026-05-02&amp;return_date=2026-05-09&amp;currency=EUR&amp;startStation=16&amp;endStation=2",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2026-04-28</t>
        </is>
      </c>
      <c r="F7" t="inlineStr">
        <is>
          <t>2026-05-05</t>
        </is>
      </c>
      <c r="G7" t="inlineStr">
        <is>
          <t xml:space="preserve"> - Road House</t>
        </is>
      </c>
      <c r="H7">
        <f>HYPERLINK("https://booking.roadsurfer.com/es/rally/pick?pickup_date=2026-04-28&amp;return_date=2026-05-05&amp;currency=EUR&amp;startStation=16&amp;endStation=56",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2026-05-12</t>
        </is>
      </c>
      <c r="F10" t="inlineStr">
        <is>
          <t>2026-05-19</t>
        </is>
      </c>
      <c r="G10" t="inlineStr">
        <is>
          <t xml:space="preserve"> - Couple Cottage</t>
        </is>
      </c>
      <c r="H10">
        <f>HYPERLINK("https://booking.roadsurfer.com/es/rally/pick?pickup_date=2026-05-12&amp;return_date=2026-05-19&amp;currency=EUR&amp;startStation=16&amp;endStation=10",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Surfer Suite</t>
        </is>
      </c>
      <c r="H12">
        <f>HYPERLINK("https://booking.roadsurfer.com/es/rally/pick?pickup_date=2026-04-27&amp;return_date=2026-05-04&amp;currency=EUR&amp;startStation=47&amp;endStation=128",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2026-04-24</t>
        </is>
      </c>
      <c r="F13" t="inlineStr">
        <is>
          <t>2026-05-01</t>
        </is>
      </c>
      <c r="G13" t="inlineStr">
        <is>
          <t xml:space="preserve"> - No hay coche</t>
        </is>
      </c>
      <c r="H13">
        <f>HYPERLINK("https://booking.roadsurfer.com/es/rally/pick?pickup_date=2026-04-24&amp;return_date=2026-05-01&amp;currency=EUR&amp;startStation=47&amp;endStation=128",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Camper Castle</t>
        </is>
      </c>
      <c r="H14">
        <f>HYPERLINK("https://booking.roadsurfer.com/es/rally/pick?pickup_date=2026-06-15&amp;return_date=2026-06-22&amp;currency=EUR&amp;startStation=47&amp;endStation=91",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2026-05-13</t>
        </is>
      </c>
      <c r="F17" t="inlineStr">
        <is>
          <t>2026-05-20</t>
        </is>
      </c>
      <c r="G17" t="inlineStr">
        <is>
          <t xml:space="preserve"> - Couple Cottage</t>
        </is>
      </c>
      <c r="H17">
        <f>HYPERLINK("https://booking.roadsurfer.com/es/rally/pick?pickup_date=2026-05-13&amp;return_date=2026-05-20&amp;currency=EUR&amp;startStation=47&amp;endStation=22",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2026-04-26</t>
        </is>
      </c>
      <c r="F18" t="inlineStr">
        <is>
          <t>2026-05-03</t>
        </is>
      </c>
      <c r="G18" t="inlineStr">
        <is>
          <t xml:space="preserve"> - No hay coche</t>
        </is>
      </c>
      <c r="H18">
        <f>HYPERLINK("https://booking.roadsurfer.com/es/rally/pick?pickup_date=2026-04-26&amp;return_date=2026-05-03&amp;currency=EUR&amp;startStation=108&amp;endStation=88",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Camper Cabin</t>
        </is>
      </c>
      <c r="H19">
        <f>HYPERLINK("https://booking.roadsurfer.com/es/rally/pick?pickup_date=2026-05-16&amp;return_date=2026-05-23&amp;currency=EUR&amp;startStation=108&amp;endStation=45",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CAMPER CABIN</t>
        </is>
      </c>
      <c r="H20">
        <f>HYPERLINK("https://booking.roadsurfer.com/es/rally/pick?pickup_date=2026-05-21&amp;return_date=2026-05-28&amp;currency=EUR&amp;startStation=108&amp;endStation=130",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2026-05-18</t>
        </is>
      </c>
      <c r="F21" t="inlineStr">
        <is>
          <t>2026-05-25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HYPERLINK("https://booking.roadsurfer.com/es/rally/pick?pickup_date=2026-05-18&amp;return_date=2026-05-25&amp;currency=EUR&amp;startStation=108&amp;endStation=130",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2026-04-24</t>
        </is>
      </c>
      <c r="F22" t="inlineStr">
        <is>
          <t>2026-05-01</t>
        </is>
      </c>
      <c r="G22" t="inlineStr">
        <is>
          <t xml:space="preserve"> - No hay coche</t>
        </is>
      </c>
      <c r="H22">
        <f>HYPERLINK("https://booking.roadsurfer.com/es/rally/pick?pickup_date=2026-04-24&amp;return_date=2026-05-01&amp;currency=EUR&amp;startStation=108&amp;endStation=12",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Sunrise Suite</t>
        </is>
      </c>
      <c r="H24">
        <f>HYPERLINK("https://booking.roadsurfer.com/es/rally/pick?pickup_date=2026-05-04&amp;return_date=2026-05-11&amp;currency=EUR&amp;startStation=17&amp;endStation=5",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2026-04-26</t>
        </is>
      </c>
      <c r="F25" t="inlineStr">
        <is>
          <t>2026-05-03</t>
        </is>
      </c>
      <c r="G25" t="inlineStr">
        <is>
          <t xml:space="preserve"> - No hay coche</t>
        </is>
      </c>
      <c r="H25">
        <f>HYPERLINK("https://booking.roadsurfer.com/es/rally/pick?pickup_date=2026-04-26&amp;return_date=2026-05-03&amp;currency=EUR&amp;startStation=17&amp;endStation=5",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2026-05-05</t>
        </is>
      </c>
      <c r="F26" t="inlineStr">
        <is>
          <t>2026-05-12</t>
        </is>
      </c>
      <c r="G26" t="inlineStr">
        <is>
          <t xml:space="preserve"> - Road House</t>
        </is>
      </c>
      <c r="H26">
        <f>HYPERLINK("https://booking.roadsurfer.com/es/rally/pick?pickup_date=2026-05-05&amp;return_date=2026-05-12&amp;currency=EUR&amp;startStation=17&amp;endStation=22",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2026-04-29</t>
        </is>
      </c>
      <c r="F27" t="inlineStr">
        <is>
          <t>2026-05-06</t>
        </is>
      </c>
      <c r="G27" t="inlineStr">
        <is>
          <t xml:space="preserve"> - Family Finca</t>
        </is>
      </c>
      <c r="H27">
        <f>HYPERLINK("https://booking.roadsurfer.com/es/rally/pick?pickup_date=2026-04-29&amp;return_date=2026-05-06&amp;currency=EUR&amp;startStation=17&amp;endStation=9",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HYPERLINK("https://booking.roadsurfer.com/es/rally/pick?pickup_date=2026-05-07&amp;return_date=2026-05-14&amp;currency=EUR&amp;startStation=17&amp;endStation=9",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2026-04-24</t>
        </is>
      </c>
      <c r="F29" t="inlineStr">
        <is>
          <t>2026-05-01</t>
        </is>
      </c>
      <c r="G29" t="inlineStr">
        <is>
          <t xml:space="preserve"> - No hay coche</t>
        </is>
      </c>
      <c r="H29">
        <f>HYPERLINK("https://booking.roadsurfer.com/es/rally/pick?pickup_date=2026-04-24&amp;return_date=2026-05-01&amp;currency=EUR&amp;startStation=94&amp;endStation=90",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2026-04-25</t>
        </is>
      </c>
      <c r="F30" t="inlineStr">
        <is>
          <t>2026-05-02</t>
        </is>
      </c>
      <c r="G30" t="inlineStr">
        <is>
          <t xml:space="preserve"> - No hay coche</t>
        </is>
      </c>
      <c r="H30">
        <f>HYPERLINK("https://booking.roadsurfer.com/es/rally/pick?pickup_date=2026-04-25&amp;return_date=2026-05-02&amp;currency=EUR&amp;startStation=94&amp;endStation=115",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Kiel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Camper Castle</t>
        </is>
      </c>
      <c r="H31">
        <f>HYPERLINK("https://booking.roadsurfer.com/es/rally/pick?pickup_date=2026-05-04&amp;return_date=2026-05-11&amp;currency=EUR&amp;startStation=94&amp;endStation=111",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Couple Cottage</t>
        </is>
      </c>
      <c r="H32">
        <f>HYPERLINK("https://booking.roadsurfer.com/es/rally/pick?pickup_date=2026-05-06&amp;return_date=2026-05-13&amp;currency=EUR&amp;startStation=94&amp;endStation=8",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Couple Cottage</t>
        </is>
      </c>
      <c r="H33">
        <f>HYPERLINK("https://booking.roadsurfer.com/es/rally/pick?pickup_date=2026-05-04&amp;return_date=2026-05-11&amp;currency=EUR&amp;startStation=94&amp;endStation=22",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2026-04-23</t>
        </is>
      </c>
      <c r="F34" t="inlineStr">
        <is>
          <t>2026-04-30</t>
        </is>
      </c>
      <c r="G34" t="inlineStr">
        <is>
          <t xml:space="preserve"> - Cozy Cottage</t>
        </is>
      </c>
      <c r="H34">
        <f>HYPERLINK("https://booking.roadsurfer.com/es/rally/pick?pickup_date=2026-04-23&amp;return_date=2026-04-30&amp;currency=EUR&amp;startStation=94&amp;endStation=91",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Núremberg</t>
        </is>
      </c>
      <c r="E35" t="inlineStr">
        <is>
          <t>2026-04-30</t>
        </is>
      </c>
      <c r="F35" t="inlineStr">
        <is>
          <t>2026-05-07</t>
        </is>
      </c>
      <c r="G35" t="inlineStr">
        <is>
          <t xml:space="preserve"> - COZY COTTAGE</t>
        </is>
      </c>
      <c r="H35">
        <f>HYPERLINK("https://booking.roadsurfer.com/es/rally/pick?pickup_date=2026-04-30&amp;return_date=2026-05-07&amp;currency=EUR&amp;startStation=94&amp;endStation=11",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Países Bajos</t>
        </is>
      </c>
      <c r="D36" t="inlineStr">
        <is>
          <t>Róterdam</t>
        </is>
      </c>
      <c r="E36" t="inlineStr">
        <is>
          <t>2026-04-24</t>
        </is>
      </c>
      <c r="F36" t="inlineStr">
        <is>
          <t>2026-05-01</t>
        </is>
      </c>
      <c r="G36" t="inlineStr">
        <is>
          <t xml:space="preserve"> - Surfer Suite</t>
        </is>
      </c>
      <c r="H36">
        <f>HYPERLINK("https://booking.roadsurfer.com/es/rally/pick?pickup_date=2026-04-24&amp;return_date=2026-05-01&amp;currency=EUR&amp;startStation=6&amp;endStation=33",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2026-05-18</t>
        </is>
      </c>
      <c r="F37" t="inlineStr">
        <is>
          <t>2026-05-25</t>
        </is>
      </c>
      <c r="G37" t="inlineStr">
        <is>
          <t xml:space="preserve"> - No hay coche</t>
        </is>
      </c>
      <c r="H37">
        <f>HYPERLINK("https://booking.roadsurfer.com/es/rally/pick?pickup_date=2026-05-18&amp;return_date=2026-05-25&amp;currency=EUR&amp;startStation=6&amp;endStation=12",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2026-06-02</t>
        </is>
      </c>
      <c r="F38" t="inlineStr">
        <is>
          <t>2026-06-09</t>
        </is>
      </c>
      <c r="G38" t="inlineStr">
        <is>
          <t xml:space="preserve"> - Couple Cottage</t>
        </is>
      </c>
      <c r="H38">
        <f>HYPERLINK("https://booking.roadsurfer.com/es/rally/pick?pickup_date=2026-06-02&amp;return_date=2026-06-09&amp;currency=EUR&amp;startStation=6&amp;endStation=12",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Road House</t>
        </is>
      </c>
      <c r="H39">
        <f>HYPERLINK("https://booking.roadsurfer.com/es/rally/pick?pickup_date=2026-05-04&amp;return_date=2026-05-11&amp;currency=EUR&amp;startStation=6&amp;endStation=32",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Alemania</t>
        </is>
      </c>
      <c r="D40" t="inlineStr">
        <is>
          <t>Flensburgo</t>
        </is>
      </c>
      <c r="E40" t="inlineStr">
        <is>
          <t>2026-04-27</t>
        </is>
      </c>
      <c r="F40" t="inlineStr">
        <is>
          <t>2026-05-04</t>
        </is>
      </c>
      <c r="G40" t="inlineStr">
        <is>
          <t xml:space="preserve"> - Road House - Family Finca</t>
        </is>
      </c>
      <c r="H40">
        <f>HYPERLINK("https://booking.roadsurfer.com/es/rally/pick?pickup_date=2026-04-27&amp;return_date=2026-05-04&amp;currency=EUR&amp;startStation=6&amp;endStation=130",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2026-04-25</t>
        </is>
      </c>
      <c r="F41" t="inlineStr">
        <is>
          <t>2026-05-02</t>
        </is>
      </c>
      <c r="G41" t="inlineStr">
        <is>
          <t xml:space="preserve"> - Road House</t>
        </is>
      </c>
      <c r="H41">
        <f>HYPERLINK("https://booking.roadsurfer.com/es/rally/pick?pickup_date=2026-04-25&amp;return_date=2026-05-02&amp;currency=EUR&amp;startStation=6&amp;endStation=130",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Camper Castle</t>
        </is>
      </c>
      <c r="H42">
        <f>HYPERLINK("https://booking.roadsurfer.com/es/rally/pick?pickup_date=2026-05-21&amp;return_date=2026-05-28&amp;currency=EUR&amp;startStation=6&amp;endStation=42",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París Aeropuerto CDG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Camper Castle</t>
        </is>
      </c>
      <c r="H43">
        <f>HYPERLINK("https://booking.roadsurfer.com/es/rally/pick?pickup_date=2026-05-12&amp;return_date=2026-05-19&amp;currency=EUR&amp;startStation=6&amp;endStation=48",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Francia</t>
        </is>
      </c>
      <c r="D45" t="inlineStr">
        <is>
          <t>Aix-Marsella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Family Finca</t>
        </is>
      </c>
      <c r="H45">
        <f>HYPERLINK("https://booking.roadsurfer.com/es/rally/pick?pickup_date=2026-05-04&amp;return_date=2026-05-11&amp;currency=EUR&amp;startStation=6&amp;endStation=16",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Couple Cottage</t>
        </is>
      </c>
      <c r="H46">
        <f>HYPERLINK("https://booking.roadsurfer.com/es/rally/pick?pickup_date=2026-05-05&amp;return_date=2026-05-12&amp;currency=EUR&amp;startStation=6&amp;endStation=59",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Surfer Suite</t>
        </is>
      </c>
      <c r="H47">
        <f>HYPERLINK("https://booking.roadsurfer.com/es/rally/pick?pickup_date=2026-05-04&amp;return_date=2026-05-11&amp;currency=EUR&amp;startStation=51&amp;endStation=32",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2026-04-27</t>
        </is>
      </c>
      <c r="F48" t="inlineStr">
        <is>
          <t>2026-05-04</t>
        </is>
      </c>
      <c r="G48" t="inlineStr">
        <is>
          <t xml:space="preserve"> - Surfer Suite - Family Finca</t>
        </is>
      </c>
      <c r="H48">
        <f>HYPERLINK("https://booking.roadsurfer.com/es/rally/pick?pickup_date=2026-04-27&amp;return_date=2026-05-04&amp;currency=EUR&amp;startStation=51&amp;endStation=130",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Flensburgo</t>
        </is>
      </c>
      <c r="E49" t="inlineStr">
        <is>
          <t>2026-04-24</t>
        </is>
      </c>
      <c r="F49" t="inlineStr">
        <is>
          <t>2026-05-01</t>
        </is>
      </c>
      <c r="G49" t="inlineStr">
        <is>
          <t xml:space="preserve"> - No hay coche</t>
        </is>
      </c>
      <c r="H49">
        <f>HYPERLINK("https://booking.roadsurfer.com/es/rally/pick?pickup_date=2026-04-24&amp;return_date=2026-05-01&amp;currency=EUR&amp;startStation=51&amp;endStation=130",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2026-05-16</t>
        </is>
      </c>
      <c r="F50" t="inlineStr">
        <is>
          <t>2026-05-23</t>
        </is>
      </c>
      <c r="G50" t="inlineStr">
        <is>
          <t xml:space="preserve"> - Road House</t>
        </is>
      </c>
      <c r="H50">
        <f>HYPERLINK("https://booking.roadsurfer.com/es/rally/pick?pickup_date=2026-05-16&amp;return_date=2026-05-23&amp;currency=EUR&amp;startStation=51&amp;endStation=42",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2026-05-12</t>
        </is>
      </c>
      <c r="F51" t="inlineStr">
        <is>
          <t>2026-05-19</t>
        </is>
      </c>
      <c r="G51" t="inlineStr">
        <is>
          <t xml:space="preserve"> - Road House</t>
        </is>
      </c>
      <c r="H51">
        <f>HYPERLINK("https://booking.roadsurfer.com/es/rally/pick?pickup_date=2026-05-12&amp;return_date=2026-05-19&amp;currency=EUR&amp;startStation=51&amp;endStation=77",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Cozy Cottage</t>
        </is>
      </c>
      <c r="H52">
        <f>HYPERLINK("https://booking.roadsurfer.com/es/rally/pick?pickup_date=2026-05-15&amp;return_date=2026-05-22&amp;currency=EUR&amp;startStation=51&amp;endStation=52",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2026-04-24</t>
        </is>
      </c>
      <c r="F53" t="inlineStr">
        <is>
          <t>2026-05-01</t>
        </is>
      </c>
      <c r="G53" t="inlineStr">
        <is>
          <t xml:space="preserve"> - No hay coche</t>
        </is>
      </c>
      <c r="H53">
        <f>HYPERLINK("https://booking.roadsurfer.com/es/rally/pick?pickup_date=2026-04-24&amp;return_date=2026-05-01&amp;currency=EUR&amp;startStation=51&amp;endStation=52",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Heidelberg</t>
        </is>
      </c>
      <c r="E54" t="inlineStr">
        <is>
          <t>2026-04-23</t>
        </is>
      </c>
      <c r="F54" t="inlineStr">
        <is>
          <t>2026-04-30</t>
        </is>
      </c>
      <c r="G54" t="inlineStr">
        <is>
          <t xml:space="preserve"> - CAMPER CASTLE</t>
        </is>
      </c>
      <c r="H54">
        <f>HYPERLINK("https://booking.roadsurfer.com/es/rally/pick?pickup_date=2026-04-23&amp;return_date=2026-04-30&amp;currency=EUR&amp;startStation=51&amp;endStation=79",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Italia</t>
        </is>
      </c>
      <c r="D55" t="inlineStr">
        <is>
          <t>Venecia</t>
        </is>
      </c>
      <c r="E55" t="inlineStr">
        <is>
          <t>2026-05-15</t>
        </is>
      </c>
      <c r="F55" t="inlineStr">
        <is>
          <t>2026-05-22</t>
        </is>
      </c>
      <c r="G55" t="inlineStr">
        <is>
          <t xml:space="preserve"> - Cozy Cottage</t>
        </is>
      </c>
      <c r="H55">
        <f>HYPERLINK("https://booking.roadsurfer.com/es/rally/pick?pickup_date=2026-05-15&amp;return_date=2026-05-22&amp;currency=EUR&amp;startStation=51&amp;endStation=78",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Países Bajos</t>
        </is>
      </c>
      <c r="D56" t="inlineStr">
        <is>
          <t>Róterdam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No hay coche</t>
        </is>
      </c>
      <c r="H56">
        <f>HYPERLINK("https://booking.roadsurfer.com/es/rally/pick?pickup_date=2026-05-04&amp;return_date=2026-05-11&amp;currency=EUR&amp;startStation=91&amp;endStation=33",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Países Bajos</t>
        </is>
      </c>
      <c r="D57" t="inlineStr">
        <is>
          <t>Róterdam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 - CAMPER CASTLE</t>
        </is>
      </c>
      <c r="H57">
        <f>HYPERLINK("https://booking.roadsurfer.com/es/rally/pick?pickup_date=2026-05-11&amp;return_date=2026-05-18&amp;currency=EUR&amp;startStation=91&amp;endStation=33",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Surfer Suite - Family Finca</t>
        </is>
      </c>
      <c r="H58">
        <f>HYPERLINK("https://booking.roadsurfer.com/es/rally/pick?pickup_date=2026-05-26&amp;return_date=2026-06-02&amp;currency=EUR&amp;startStation=91&amp;endStation=60",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Road House</t>
        </is>
      </c>
      <c r="H59">
        <f>HYPERLINK("https://booking.roadsurfer.com/es/rally/pick?pickup_date=2026-05-11&amp;return_date=2026-05-18&amp;currency=EUR&amp;startStation=91&amp;endStation=60",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2026-04-23</t>
        </is>
      </c>
      <c r="F60" t="inlineStr">
        <is>
          <t>2026-04-30</t>
        </is>
      </c>
      <c r="G60" t="inlineStr">
        <is>
          <t xml:space="preserve"> - No hay coche</t>
        </is>
      </c>
      <c r="H60">
        <f>HYPERLINK("https://booking.roadsurfer.com/es/rally/pick?pickup_date=2026-04-23&amp;return_date=2026-04-30&amp;currency=EUR&amp;startStation=91&amp;endStation=48",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2026-04-28</t>
        </is>
      </c>
      <c r="F61" t="inlineStr">
        <is>
          <t>2026-05-05</t>
        </is>
      </c>
      <c r="G61" t="inlineStr">
        <is>
          <t xml:space="preserve"> - Surfer Suite</t>
        </is>
      </c>
      <c r="H61">
        <f>HYPERLINK("https://booking.roadsurfer.com/es/rally/pick?pickup_date=2026-04-28&amp;return_date=2026-05-05&amp;currency=EUR&amp;startStation=91&amp;endStation=48",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España</t>
        </is>
      </c>
      <c r="D62" t="inlineStr">
        <is>
          <t>Bilbao</t>
        </is>
      </c>
      <c r="E62" t="inlineStr">
        <is>
          <t>2026-05-26</t>
        </is>
      </c>
      <c r="F62" t="inlineStr">
        <is>
          <t>2026-06-02</t>
        </is>
      </c>
      <c r="G62" t="inlineStr">
        <is>
          <t xml:space="preserve"> - Camper Castle</t>
        </is>
      </c>
      <c r="H62">
        <f>HYPERLINK("https://booking.roadsurfer.com/es/rally/pick?pickup_date=2026-05-26&amp;return_date=2026-06-02&amp;currency=EUR&amp;startStation=91&amp;endStation=40",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España</t>
        </is>
      </c>
      <c r="D63" t="inlineStr">
        <is>
          <t>Bilbao</t>
        </is>
      </c>
      <c r="E63" t="inlineStr">
        <is>
          <t>2026-04-26</t>
        </is>
      </c>
      <c r="F63" t="inlineStr">
        <is>
          <t>2026-05-03</t>
        </is>
      </c>
      <c r="G63" t="inlineStr">
        <is>
          <t xml:space="preserve"> - No hay coche</t>
        </is>
      </c>
      <c r="H63">
        <f>HYPERLINK("https://booking.roadsurfer.com/es/rally/pick?pickup_date=2026-04-26&amp;return_date=2026-05-03&amp;currency=EUR&amp;startStation=91&amp;endStation=40",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2026-04-25</t>
        </is>
      </c>
      <c r="F64" t="inlineStr">
        <is>
          <t>2026-05-02</t>
        </is>
      </c>
      <c r="G64" t="inlineStr">
        <is>
          <t xml:space="preserve"> - Road House</t>
        </is>
      </c>
      <c r="H64">
        <f>HYPERLINK("https://booking.roadsurfer.com/es/rally/pick?pickup_date=2026-04-25&amp;return_date=2026-05-02&amp;currency=EUR&amp;startStation=91&amp;endStation=12",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No hay coche</t>
        </is>
      </c>
      <c r="H65">
        <f>HYPERLINK("https://booking.roadsurfer.com/es/rally/pick?pickup_date=2026-04-24&amp;return_date=2026-05-01&amp;currency=EUR&amp;startStation=91&amp;endStation=12",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Road House</t>
        </is>
      </c>
      <c r="H66">
        <f>HYPERLINK("https://booking.roadsurfer.com/es/rally/pick?pickup_date=2026-05-11&amp;return_date=2026-05-18&amp;currency=EUR&amp;startStation=91&amp;endStation=59",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Road House</t>
        </is>
      </c>
      <c r="H67">
        <f>HYPERLINK("https://booking.roadsurfer.com/es/rally/pick?pickup_date=2026-05-26&amp;return_date=2026-06-02&amp;currency=EUR&amp;startStation=91&amp;endStation=59",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2026-05-05</t>
        </is>
      </c>
      <c r="F68" t="inlineStr">
        <is>
          <t>2026-05-12</t>
        </is>
      </c>
      <c r="G68" t="inlineStr">
        <is>
          <t xml:space="preserve"> - Sunrise Suite</t>
        </is>
      </c>
      <c r="H68">
        <f>HYPERLINK("https://booking.roadsurfer.com/es/rally/pick?pickup_date=2026-05-05&amp;return_date=2026-05-12&amp;currency=EUR&amp;startStation=91&amp;endStation=47",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2026-04-25</t>
        </is>
      </c>
      <c r="F69" t="inlineStr">
        <is>
          <t>2026-05-02</t>
        </is>
      </c>
      <c r="G69" t="inlineStr">
        <is>
          <t xml:space="preserve"> - Camper Castle</t>
        </is>
      </c>
      <c r="H69">
        <f>HYPERLINK("https://booking.roadsurfer.com/es/rally/pick?pickup_date=2026-04-25&amp;return_date=2026-05-02&amp;currency=EUR&amp;startStation=91&amp;endStation=47",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Cozy Cottage</t>
        </is>
      </c>
      <c r="H70">
        <f>HYPERLINK("https://booking.roadsurfer.com/es/rally/pick?pickup_date=2026-05-04&amp;return_date=2026-05-11&amp;currency=EUR&amp;startStation=91&amp;endStation=34",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2026-05-08</t>
        </is>
      </c>
      <c r="F71" t="inlineStr">
        <is>
          <t>2026-05-15</t>
        </is>
      </c>
      <c r="G71" t="inlineStr">
        <is>
          <t xml:space="preserve"> - Camper Castle</t>
        </is>
      </c>
      <c r="H71">
        <f>HYPERLINK("https://booking.roadsurfer.com/es/rally/pick?pickup_date=2026-05-08&amp;return_date=2026-05-15&amp;currency=EUR&amp;startStation=91&amp;endStation=34",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Lille</t>
        </is>
      </c>
      <c r="E72" t="inlineStr">
        <is>
          <t>2026-05-12</t>
        </is>
      </c>
      <c r="F72" t="inlineStr">
        <is>
          <t>2026-05-19</t>
        </is>
      </c>
      <c r="G72" t="inlineStr">
        <is>
          <t xml:space="preserve"> - Family Finca</t>
        </is>
      </c>
      <c r="H72">
        <f>HYPERLINK("https://booking.roadsurfer.com/es/rally/pick?pickup_date=2026-05-12&amp;return_date=2026-05-19&amp;currency=EUR&amp;startStation=91&amp;endStation=87",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2026-04-29</t>
        </is>
      </c>
      <c r="F73" t="inlineStr">
        <is>
          <t>2026-05-06</t>
        </is>
      </c>
      <c r="G73" t="inlineStr">
        <is>
          <t xml:space="preserve"> - Family Finca</t>
        </is>
      </c>
      <c r="H73">
        <f>HYPERLINK("https://booking.roadsurfer.com/es/rally/pick?pickup_date=2026-04-29&amp;return_date=2026-05-06&amp;currency=EUR&amp;startStation=91&amp;endStation=77",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2026-05-23</t>
        </is>
      </c>
      <c r="F74" t="inlineStr">
        <is>
          <t>2026-05-30</t>
        </is>
      </c>
      <c r="G74" t="inlineStr">
        <is>
          <t xml:space="preserve"> - Sunrise Suite</t>
        </is>
      </c>
      <c r="H74">
        <f>HYPERLINK("https://booking.roadsurfer.com/es/rally/pick?pickup_date=2026-05-23&amp;return_date=2026-05-30&amp;currency=EUR&amp;startStation=91&amp;endStation=77",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España</t>
        </is>
      </c>
      <c r="D75" t="inlineStr">
        <is>
          <t>Málaga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Family Finca</t>
        </is>
      </c>
      <c r="H75">
        <f>HYPERLINK("https://booking.roadsurfer.com/es/rally/pick?pickup_date=2026-04-30&amp;return_date=2026-05-07&amp;currency=EUR&amp;startStation=91&amp;endStation=21",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2026-04-25</t>
        </is>
      </c>
      <c r="F76" t="inlineStr">
        <is>
          <t>2026-05-02</t>
        </is>
      </c>
      <c r="G76" t="inlineStr">
        <is>
          <t xml:space="preserve"> - Sunrise Suite</t>
        </is>
      </c>
      <c r="H76">
        <f>HYPERLINK("https://booking.roadsurfer.com/es/rally/pick?pickup_date=2026-04-25&amp;return_date=2026-05-02&amp;currency=EUR&amp;startStation=91&amp;endStation=42",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2026-05-07</t>
        </is>
      </c>
      <c r="F77" t="inlineStr">
        <is>
          <t>2026-05-14</t>
        </is>
      </c>
      <c r="G77" t="inlineStr">
        <is>
          <t xml:space="preserve"> - No hay coche</t>
        </is>
      </c>
      <c r="H77">
        <f>HYPERLINK("https://booking.roadsurfer.com/es/rally/pick?pickup_date=2026-05-07&amp;return_date=2026-05-14&amp;currency=EUR&amp;startStation=40&amp;endStation=2",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Fráncfort</t>
        </is>
      </c>
      <c r="E78" t="inlineStr">
        <is>
          <t>2026-04-26</t>
        </is>
      </c>
      <c r="F78" t="inlineStr">
        <is>
          <t>2026-05-03</t>
        </is>
      </c>
      <c r="G78" t="inlineStr">
        <is>
          <t xml:space="preserve"> - No hay coche</t>
        </is>
      </c>
      <c r="H78">
        <f>HYPERLINK("https://booking.roadsurfer.com/es/rally/pick?pickup_date=2026-04-26&amp;return_date=2026-05-03&amp;currency=EUR&amp;startStation=40&amp;endStation=2",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2026-05-30</t>
        </is>
      </c>
      <c r="F79" t="inlineStr">
        <is>
          <t>2026-06-06</t>
        </is>
      </c>
      <c r="G79" t="inlineStr">
        <is>
          <t xml:space="preserve"> - Sunrise Suite</t>
        </is>
      </c>
      <c r="H79">
        <f>HYPERLINK("https://booking.roadsurfer.com/es/rally/pick?pickup_date=2026-05-30&amp;return_date=2026-06-06&amp;currency=EUR&amp;startStation=40&amp;endStation=54",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2026-06-01</t>
        </is>
      </c>
      <c r="F80" t="inlineStr">
        <is>
          <t>2026-06-08</t>
        </is>
      </c>
      <c r="G80" t="inlineStr">
        <is>
          <t xml:space="preserve"> - Couple Cottage</t>
        </is>
      </c>
      <c r="H80">
        <f>HYPERLINK("https://booking.roadsurfer.com/es/rally/pick?pickup_date=2026-06-01&amp;return_date=2026-06-08&amp;currency=EUR&amp;startStation=40&amp;endStation=54",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Maguncia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Surfer Suite</t>
        </is>
      </c>
      <c r="H81">
        <f>HYPERLINK("https://booking.roadsurfer.com/es/rally/pick?pickup_date=2026-05-15&amp;return_date=2026-05-22&amp;currency=EUR&amp;startStation=40&amp;endStation=54",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</t>
        </is>
      </c>
      <c r="H82">
        <f>HYPERLINK("https://booking.roadsurfer.com/es/rally/pick?pickup_date=2026-05-06&amp;return_date=2026-05-13&amp;currency=EUR&amp;startStation=40&amp;endStation=4",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Camper Cabin</t>
        </is>
      </c>
      <c r="H83">
        <f>HYPERLINK("https://booking.roadsurfer.com/es/rally/pick?pickup_date=2026-05-11&amp;return_date=2026-05-18&amp;currency=EUR&amp;startStation=40&amp;endStation=22",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Sunrise Suite</t>
        </is>
      </c>
      <c r="H84">
        <f>HYPERLINK("https://booking.roadsurfer.com/es/rally/pick?pickup_date=2026-05-06&amp;return_date=2026-05-13&amp;currency=EUR&amp;startStation=40&amp;endStation=22",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2026-05-15</t>
        </is>
      </c>
      <c r="F85" t="inlineStr">
        <is>
          <t>2026-05-22</t>
        </is>
      </c>
      <c r="G85" t="inlineStr">
        <is>
          <t xml:space="preserve"> - Beach Hostel</t>
        </is>
      </c>
      <c r="H85">
        <f>HYPERLINK("https://booking.roadsurfer.com/es/rally/pick?pickup_date=2026-05-15&amp;return_date=2026-05-22&amp;currency=EUR&amp;startStation=40&amp;endStation=22",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2026-05-19</t>
        </is>
      </c>
      <c r="F86" t="inlineStr">
        <is>
          <t>2026-05-26</t>
        </is>
      </c>
      <c r="G86" t="inlineStr">
        <is>
          <t xml:space="preserve"> - Couple Cottage</t>
        </is>
      </c>
      <c r="H86">
        <f>HYPERLINK("https://booking.roadsurfer.com/es/rally/pick?pickup_date=2026-05-19&amp;return_date=2026-05-26&amp;currency=EUR&amp;startStation=40&amp;endStation=22",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2026-04-29</t>
        </is>
      </c>
      <c r="F87" t="inlineStr">
        <is>
          <t>2026-05-06</t>
        </is>
      </c>
      <c r="G87" t="inlineStr">
        <is>
          <t xml:space="preserve"> - Couple Cottage - Sunrise Suite</t>
        </is>
      </c>
      <c r="H87">
        <f>HYPERLINK("https://booking.roadsurfer.com/es/rally/pick?pickup_date=2026-04-29&amp;return_date=2026-05-06&amp;currency=EUR&amp;startStation=40&amp;endStation=22",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2026-04-25</t>
        </is>
      </c>
      <c r="F88" t="inlineStr">
        <is>
          <t>2026-05-02</t>
        </is>
      </c>
      <c r="G88" t="inlineStr">
        <is>
          <t xml:space="preserve"> - No hay coche</t>
        </is>
      </c>
      <c r="H88">
        <f>HYPERLINK("https://booking.roadsurfer.com/es/rally/pick?pickup_date=2026-04-25&amp;return_date=2026-05-02&amp;currency=EUR&amp;startStation=40&amp;endStation=22",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2026-04-30</t>
        </is>
      </c>
      <c r="F89" t="inlineStr">
        <is>
          <t>2026-05-07</t>
        </is>
      </c>
      <c r="G89" t="inlineStr">
        <is>
          <t xml:space="preserve"> - Couple Cottage</t>
        </is>
      </c>
      <c r="H89">
        <f>HYPERLINK("https://booking.roadsurfer.com/es/rally/pick?pickup_date=2026-04-30&amp;return_date=2026-05-07&amp;currency=EUR&amp;startStation=40&amp;endStation=22",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2026-04-24</t>
        </is>
      </c>
      <c r="F90" t="inlineStr">
        <is>
          <t>2026-05-01</t>
        </is>
      </c>
      <c r="G90" t="inlineStr">
        <is>
          <t xml:space="preserve"> - Couple Cottage</t>
        </is>
      </c>
      <c r="H90">
        <f>HYPERLINK("https://booking.roadsurfer.com/es/rally/pick?pickup_date=2026-04-24&amp;return_date=2026-05-01&amp;currency=EUR&amp;startStation=40&amp;endStation=22",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Kassel</t>
        </is>
      </c>
      <c r="E91" t="inlineStr">
        <is>
          <t>2026-05-02</t>
        </is>
      </c>
      <c r="F91" t="inlineStr">
        <is>
          <t>2026-05-09</t>
        </is>
      </c>
      <c r="G91" t="inlineStr">
        <is>
          <t xml:space="preserve"> - Travel Home</t>
        </is>
      </c>
      <c r="H91">
        <f>HYPERLINK("https://booking.roadsurfer.com/es/rally/pick?pickup_date=2026-05-02&amp;return_date=2026-05-09&amp;currency=EUR&amp;startStation=40&amp;endStation=92",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2026-06-04</t>
        </is>
      </c>
      <c r="F92" t="inlineStr">
        <is>
          <t>2026-06-11</t>
        </is>
      </c>
      <c r="G92" t="inlineStr">
        <is>
          <t xml:space="preserve"> - Couple Cottage</t>
        </is>
      </c>
      <c r="H92">
        <f>HYPERLINK("https://booking.roadsurfer.com/es/rally/pick?pickup_date=2026-06-04&amp;return_date=2026-06-11&amp;currency=EUR&amp;startStation=40&amp;endStation=91",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Bielefeld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Camper Cabin</t>
        </is>
      </c>
      <c r="H93">
        <f>HYPERLINK("https://booking.roadsurfer.com/es/rally/pick?pickup_date=2026-05-08&amp;return_date=2026-05-15&amp;currency=EUR&amp;startStation=40&amp;endStation=91",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Road House</t>
        </is>
      </c>
      <c r="H94">
        <f>HYPERLINK("https://booking.roadsurfer.com/es/rally/pick?pickup_date=2026-05-04&amp;return_date=2026-05-11&amp;currency=EUR&amp;startStation=40&amp;endStation=91",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2026-04-28</t>
        </is>
      </c>
      <c r="F95" t="inlineStr">
        <is>
          <t>2026-05-05</t>
        </is>
      </c>
      <c r="G95" t="inlineStr">
        <is>
          <t xml:space="preserve"> - Camper Castle</t>
        </is>
      </c>
      <c r="H95">
        <f>HYPERLINK("https://booking.roadsurfer.com/es/rally/pick?pickup_date=2026-04-28&amp;return_date=2026-05-05&amp;currency=EUR&amp;startStation=40&amp;endStation=91",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Camper Cabin</t>
        </is>
      </c>
      <c r="H96">
        <f>HYPERLINK("https://booking.roadsurfer.com/es/rally/pick?pickup_date=2026-05-11&amp;return_date=2026-05-18&amp;currency=EUR&amp;startStation=40&amp;endStation=28",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2026-05-14</t>
        </is>
      </c>
      <c r="F97" t="inlineStr">
        <is>
          <t>2026-05-21</t>
        </is>
      </c>
      <c r="G97" t="inlineStr">
        <is>
          <t xml:space="preserve"> - Sunrise Suite</t>
        </is>
      </c>
      <c r="H97">
        <f>HYPERLINK("https://booking.roadsurfer.com/es/rally/pick?pickup_date=2026-05-14&amp;return_date=2026-05-21&amp;currency=EUR&amp;startStation=40&amp;endStation=28",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No hay coche</t>
        </is>
      </c>
      <c r="H98">
        <f>HYPERLINK("https://booking.roadsurfer.com/es/rally/pick?pickup_date=2026-05-04&amp;return_date=2026-05-11&amp;currency=EUR&amp;startStation=40&amp;endStation=28",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Road House</t>
        </is>
      </c>
      <c r="H99">
        <f>HYPERLINK("https://booking.roadsurfer.com/es/rally/pick?pickup_date=2026-04-27&amp;return_date=2026-05-04&amp;currency=EUR&amp;startStation=40&amp;endStation=90",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Road House</t>
        </is>
      </c>
      <c r="H101">
        <f>HYPERLINK("https://booking.roadsurfer.com/es/rally/pick?pickup_date=2026-05-04&amp;return_date=2026-05-11&amp;currency=EUR&amp;startStation=40&amp;endStation=90",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2026-04-27</t>
        </is>
      </c>
      <c r="F102" t="inlineStr">
        <is>
          <t>2026-05-04</t>
        </is>
      </c>
      <c r="G102" t="inlineStr">
        <is>
          <t xml:space="preserve"> - Road House</t>
        </is>
      </c>
      <c r="H102">
        <f>HYPERLINK("https://booking.roadsurfer.com/es/rally/pick?pickup_date=2026-04-27&amp;return_date=2026-05-04&amp;currency=EUR&amp;startStation=40&amp;endStation=5",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2026-05-05</t>
        </is>
      </c>
      <c r="F103" t="inlineStr">
        <is>
          <t>2026-05-12</t>
        </is>
      </c>
      <c r="G103" t="inlineStr">
        <is>
          <t xml:space="preserve"> - Couple Cottage</t>
        </is>
      </c>
      <c r="H103">
        <f>HYPERLINK("https://booking.roadsurfer.com/es/rally/pick?pickup_date=2026-05-05&amp;return_date=2026-05-12&amp;currency=EUR&amp;startStation=40&amp;endStation=5",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2026-04-30</t>
        </is>
      </c>
      <c r="F104" t="inlineStr">
        <is>
          <t>2026-05-07</t>
        </is>
      </c>
      <c r="G104" t="inlineStr">
        <is>
          <t xml:space="preserve"> - Road House</t>
        </is>
      </c>
      <c r="H104">
        <f>HYPERLINK("https://booking.roadsurfer.com/es/rally/pick?pickup_date=2026-04-30&amp;return_date=2026-05-07&amp;currency=EUR&amp;startStation=40&amp;endStation=52",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2026-04-25</t>
        </is>
      </c>
      <c r="F105" t="inlineStr">
        <is>
          <t>2026-05-02</t>
        </is>
      </c>
      <c r="G105" t="inlineStr">
        <is>
          <t xml:space="preserve"> - Family Finca</t>
        </is>
      </c>
      <c r="H105">
        <f>HYPERLINK("https://booking.roadsurfer.com/es/rally/pick?pickup_date=2026-04-25&amp;return_date=2026-05-02&amp;currency=EUR&amp;startStation=40&amp;endStation=10",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Constanza (Aach)</t>
        </is>
      </c>
      <c r="E106" t="inlineStr">
        <is>
          <t>2026-05-18</t>
        </is>
      </c>
      <c r="F106" t="inlineStr">
        <is>
          <t>2026-05-25</t>
        </is>
      </c>
      <c r="G106" t="inlineStr">
        <is>
          <t xml:space="preserve"> - No hay coche</t>
        </is>
      </c>
      <c r="H106">
        <f>HYPERLINK("https://booking.roadsurfer.com/es/rally/pick?pickup_date=2026-05-18&amp;return_date=2026-05-25&amp;currency=EUR&amp;startStation=40&amp;endStation=10",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Constanza (Aach)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Road House</t>
        </is>
      </c>
      <c r="H107">
        <f>HYPERLINK("https://booking.roadsurfer.com/es/rally/pick?pickup_date=2026-05-11&amp;return_date=2026-05-18&amp;currency=EUR&amp;startStation=40&amp;endStation=10",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Heidelberg</t>
        </is>
      </c>
      <c r="E108" t="inlineStr">
        <is>
          <t>2026-04-30</t>
        </is>
      </c>
      <c r="F108" t="inlineStr">
        <is>
          <t>2026-05-07</t>
        </is>
      </c>
      <c r="G108" t="inlineStr">
        <is>
          <t xml:space="preserve"> - Road House</t>
        </is>
      </c>
      <c r="H108">
        <f>HYPERLINK("https://booking.roadsurfer.com/es/rally/pick?pickup_date=2026-04-30&amp;return_date=2026-05-07&amp;currency=EUR&amp;startStation=40&amp;endStation=79",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2026-04-29</t>
        </is>
      </c>
      <c r="F109" t="inlineStr">
        <is>
          <t>2026-05-06</t>
        </is>
      </c>
      <c r="G109" t="inlineStr">
        <is>
          <t xml:space="preserve"> - Family Finca</t>
        </is>
      </c>
      <c r="H109">
        <f>HYPERLINK("https://booking.roadsurfer.com/es/rally/pick?pickup_date=2026-04-29&amp;return_date=2026-05-06&amp;currency=EUR&amp;startStation=40&amp;endStation=1",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2026-04-24</t>
        </is>
      </c>
      <c r="F110" t="inlineStr">
        <is>
          <t>2026-05-01</t>
        </is>
      </c>
      <c r="G110" t="inlineStr">
        <is>
          <t xml:space="preserve"> - Surfer Suite</t>
        </is>
      </c>
      <c r="H110">
        <f>HYPERLINK("https://booking.roadsurfer.com/es/rally/pick?pickup_date=2026-04-24&amp;return_date=2026-05-01&amp;currency=EUR&amp;startStation=24&amp;endStation=32",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2026-05-21</t>
        </is>
      </c>
      <c r="F111" t="inlineStr">
        <is>
          <t>2026-05-28</t>
        </is>
      </c>
      <c r="G111" t="inlineStr">
        <is>
          <t xml:space="preserve"> - Couple Cottage</t>
        </is>
      </c>
      <c r="H111">
        <f>HYPERLINK("https://booking.roadsurfer.com/es/rally/pick?pickup_date=2026-05-21&amp;return_date=2026-05-28&amp;currency=EUR&amp;startStation=24&amp;endStation=48",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2026-04-29</t>
        </is>
      </c>
      <c r="F112" t="inlineStr">
        <is>
          <t>2026-05-06</t>
        </is>
      </c>
      <c r="G112" t="inlineStr">
        <is>
          <t xml:space="preserve"> - Surfer Suite</t>
        </is>
      </c>
      <c r="H112">
        <f>HYPERLINK("https://booking.roadsurfer.com/es/rally/pick?pickup_date=2026-04-29&amp;return_date=2026-05-06&amp;currency=EUR&amp;startStation=57&amp;endStation=56",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Kassel</t>
        </is>
      </c>
      <c r="E113" t="inlineStr">
        <is>
          <t>2026-05-07</t>
        </is>
      </c>
      <c r="F113" t="inlineStr">
        <is>
          <t>2026-05-14</t>
        </is>
      </c>
      <c r="G113" t="inlineStr">
        <is>
          <t xml:space="preserve"> - No hay coche</t>
        </is>
      </c>
      <c r="H113">
        <f>HYPERLINK("https://booking.roadsurfer.com/es/rally/pick?pickup_date=2026-05-07&amp;return_date=2026-05-14&amp;currency=EUR&amp;startStation=57&amp;endStation=92",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Family Finca</t>
        </is>
      </c>
      <c r="H114">
        <f>HYPERLINK("https://booking.roadsurfer.com/es/rally/pick?pickup_date=2026-05-06&amp;return_date=2026-05-13&amp;currency=EUR&amp;startStation=57&amp;endStation=8",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Road House</t>
        </is>
      </c>
      <c r="H115">
        <f>HYPERLINK("https://booking.roadsurfer.com/es/rally/pick?pickup_date=2026-05-04&amp;return_date=2026-05-11&amp;currency=EUR&amp;startStation=57&amp;endStation=8",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No hay coche</t>
        </is>
      </c>
      <c r="H116">
        <f>HYPERLINK("https://booking.roadsurfer.com/es/rally/pick?pickup_date=2026-06-01&amp;return_date=2026-06-08&amp;currency=EUR&amp;startStation=57&amp;endStation=1",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Friburgo-Basilea (Alemania)</t>
        </is>
      </c>
      <c r="E117" t="inlineStr">
        <is>
          <t>2026-06-01</t>
        </is>
      </c>
      <c r="F117" t="inlineStr">
        <is>
          <t>2026-06-08</t>
        </is>
      </c>
      <c r="G117" t="inlineStr">
        <is>
          <t xml:space="preserve"> - Camper Castle</t>
        </is>
      </c>
      <c r="H117">
        <f>HYPERLINK("https://booking.roadsurfer.com/es/rally/pick?pickup_date=2026-06-01&amp;return_date=2026-06-08&amp;currency=EUR&amp;startStation=57&amp;endStation=9",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Couple Cottage</t>
        </is>
      </c>
      <c r="H118">
        <f>HYPERLINK("https://booking.roadsurfer.com/es/rally/pick?pickup_date=2026-05-19&amp;return_date=2026-05-26&amp;currency=EUR&amp;startStation=57&amp;endStation=22",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Couple Cottage</t>
        </is>
      </c>
      <c r="H119">
        <f>HYPERLINK("https://booking.roadsurfer.com/es/rally/pick?pickup_date=2026-05-06&amp;return_date=2026-05-13&amp;currency=EUR&amp;startStation=57&amp;endStation=22",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Road House</t>
        </is>
      </c>
      <c r="H120">
        <f>HYPERLINK("https://booking.roadsurfer.com/es/rally/pick?pickup_date=2026-05-04&amp;return_date=2026-05-11&amp;currency=EUR&amp;startStation=13&amp;endStation=56",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2026-05-08</t>
        </is>
      </c>
      <c r="F121" t="inlineStr">
        <is>
          <t>2026-05-15</t>
        </is>
      </c>
      <c r="G121" t="inlineStr">
        <is>
          <t xml:space="preserve"> - No hay coche</t>
        </is>
      </c>
      <c r="H121">
        <f>HYPERLINK("https://booking.roadsurfer.com/es/rally/pick?pickup_date=2026-05-08&amp;return_date=2026-05-15&amp;currency=EUR&amp;startStation=13&amp;endStation=56",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Surfer Suite - Road House</t>
        </is>
      </c>
      <c r="H122">
        <f>HYPERLINK("https://booking.roadsurfer.com/es/rally/pick?pickup_date=2026-05-11&amp;return_date=2026-05-18&amp;currency=EUR&amp;startStation=13&amp;endStation=56",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2026-05-26</t>
        </is>
      </c>
      <c r="F123" t="inlineStr">
        <is>
          <t>2026-06-02</t>
        </is>
      </c>
      <c r="G123" t="inlineStr">
        <is>
          <t xml:space="preserve"> - Surfer Suite</t>
        </is>
      </c>
      <c r="H123">
        <f>HYPERLINK("https://booking.roadsurfer.com/es/rally/pick?pickup_date=2026-05-26&amp;return_date=2026-06-02&amp;currency=EUR&amp;startStation=13&amp;endStation=56",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2026-05-07</t>
        </is>
      </c>
      <c r="F124" t="inlineStr">
        <is>
          <t>2026-05-14</t>
        </is>
      </c>
      <c r="G124" t="inlineStr">
        <is>
          <t xml:space="preserve"> - No hay coche</t>
        </is>
      </c>
      <c r="H124">
        <f>HYPERLINK("https://booking.roadsurfer.com/es/rally/pick?pickup_date=2026-05-07&amp;return_date=2026-05-14&amp;currency=EUR&amp;startStation=13&amp;endStation=56",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2026-05-20</t>
        </is>
      </c>
      <c r="F125" t="inlineStr">
        <is>
          <t>2026-05-27</t>
        </is>
      </c>
      <c r="G125" t="inlineStr">
        <is>
          <t xml:space="preserve"> - Surfer Suite</t>
        </is>
      </c>
      <c r="H125">
        <f>HYPERLINK("https://booking.roadsurfer.com/es/rally/pick?pickup_date=2026-05-20&amp;return_date=2026-05-27&amp;currency=EUR&amp;startStation=13&amp;endStation=56",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No hay coche</t>
        </is>
      </c>
      <c r="H126">
        <f>HYPERLINK("https://booking.roadsurfer.com/es/rally/pick?pickup_date=2026-05-08&amp;return_date=2026-05-15&amp;currency=EUR&amp;startStation=13&amp;endStation=22",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Couple Cottage</t>
        </is>
      </c>
      <c r="H127">
        <f>HYPERLINK("https://booking.roadsurfer.com/es/rally/pick?pickup_date=2026-05-11&amp;return_date=2026-05-18&amp;currency=EUR&amp;startStation=13&amp;endStation=22",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No hay coche</t>
        </is>
      </c>
      <c r="H128">
        <f>HYPERLINK("https://booking.roadsurfer.com/es/rally/pick?pickup_date=2026-05-04&amp;return_date=2026-05-11&amp;currency=EUR&amp;startStation=13&amp;endStation=22",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2026-04-27</t>
        </is>
      </c>
      <c r="F129" t="inlineStr">
        <is>
          <t>2026-05-04</t>
        </is>
      </c>
      <c r="G129" t="inlineStr">
        <is>
          <t xml:space="preserve"> - Camper Cabin</t>
        </is>
      </c>
      <c r="H129">
        <f>HYPERLINK("https://booking.roadsurfer.com/es/rally/pick?pickup_date=2026-04-27&amp;return_date=2026-05-04&amp;currency=EUR&amp;startStation=13&amp;endStation=22",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2026-04-27</t>
        </is>
      </c>
      <c r="F130" t="inlineStr">
        <is>
          <t>2026-05-04</t>
        </is>
      </c>
      <c r="G130" t="inlineStr">
        <is>
          <t xml:space="preserve"> - Sunrise Suite</t>
        </is>
      </c>
      <c r="H130">
        <f>HYPERLINK("https://booking.roadsurfer.com/es/rally/pick?pickup_date=2026-04-27&amp;return_date=2026-05-04&amp;currency=EUR&amp;startStation=13&amp;endStation=90",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2026-05-16</t>
        </is>
      </c>
      <c r="F131" t="inlineStr">
        <is>
          <t>2026-05-23</t>
        </is>
      </c>
      <c r="G131" t="inlineStr">
        <is>
          <t xml:space="preserve"> - Surfer Suite</t>
        </is>
      </c>
      <c r="H131">
        <f>HYPERLINK("https://booking.roadsurfer.com/es/rally/pick?pickup_date=2026-05-16&amp;return_date=2026-05-23&amp;currency=EUR&amp;startStation=13&amp;endStation=90",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2026-06-01</t>
        </is>
      </c>
      <c r="F132" t="inlineStr">
        <is>
          <t>2026-06-08</t>
        </is>
      </c>
      <c r="G132" t="inlineStr">
        <is>
          <t xml:space="preserve"> - Sunrise Suite</t>
        </is>
      </c>
      <c r="H132">
        <f>HYPERLINK("https://booking.roadsurfer.com/es/rally/pick?pickup_date=2026-06-01&amp;return_date=2026-06-08&amp;currency=EUR&amp;startStation=13&amp;endStation=90",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2026-05-28</t>
        </is>
      </c>
      <c r="F133" t="inlineStr">
        <is>
          <t>2026-06-04</t>
        </is>
      </c>
      <c r="G133" t="inlineStr">
        <is>
          <t xml:space="preserve"> - Couple Cottage</t>
        </is>
      </c>
      <c r="H133">
        <f>HYPERLINK("https://booking.roadsurfer.com/es/rally/pick?pickup_date=2026-05-28&amp;return_date=2026-06-04&amp;currency=EUR&amp;startStation=13&amp;endStation=90",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2026-04-27</t>
        </is>
      </c>
      <c r="F134" t="inlineStr">
        <is>
          <t>2026-05-04</t>
        </is>
      </c>
      <c r="G134" t="inlineStr">
        <is>
          <t xml:space="preserve"> - Surfer Suite</t>
        </is>
      </c>
      <c r="H134">
        <f>HYPERLINK("https://booking.roadsurfer.com/es/rally/pick?pickup_date=2026-04-27&amp;return_date=2026-05-04&amp;currency=EUR&amp;startStation=13&amp;endStation=29",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Surfer Suite</t>
        </is>
      </c>
      <c r="H135">
        <f>HYPERLINK("https://booking.roadsurfer.com/es/rally/pick?pickup_date=2026-04-27&amp;return_date=2026-05-04&amp;currency=EUR&amp;startStation=13&amp;endStation=130",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Braunschweig</t>
        </is>
      </c>
      <c r="E136" t="inlineStr">
        <is>
          <t>2026-04-27</t>
        </is>
      </c>
      <c r="F136" t="inlineStr">
        <is>
          <t>2026-05-04</t>
        </is>
      </c>
      <c r="G136" t="inlineStr">
        <is>
          <t xml:space="preserve"> - Beach Hostel</t>
        </is>
      </c>
      <c r="H136">
        <f>HYPERLINK("https://booking.roadsurfer.com/es/rally/pick?pickup_date=2026-04-27&amp;return_date=2026-05-04&amp;currency=EUR&amp;startStation=13&amp;endStation=128",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Braunschweig</t>
        </is>
      </c>
      <c r="E137" t="inlineStr">
        <is>
          <t>2026-04-26</t>
        </is>
      </c>
      <c r="F137" t="inlineStr">
        <is>
          <t>2026-05-03</t>
        </is>
      </c>
      <c r="G137" t="inlineStr">
        <is>
          <t xml:space="preserve"> - No hay coche</t>
        </is>
      </c>
      <c r="H137">
        <f>HYPERLINK("https://booking.roadsurfer.com/es/rally/pick?pickup_date=2026-04-26&amp;return_date=2026-05-03&amp;currency=EUR&amp;startStation=13&amp;endStation=128",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Lübeck</t>
        </is>
      </c>
      <c r="E138" t="inlineStr">
        <is>
          <t>2026-04-27</t>
        </is>
      </c>
      <c r="F138" t="inlineStr">
        <is>
          <t>2026-05-04</t>
        </is>
      </c>
      <c r="G138" t="inlineStr">
        <is>
          <t xml:space="preserve"> - Camper Cabin</t>
        </is>
      </c>
      <c r="H138">
        <f>HYPERLINK("https://booking.roadsurfer.com/es/rally/pick?pickup_date=2026-04-27&amp;return_date=2026-05-04&amp;currency=EUR&amp;startStation=13&amp;endStation=109",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Camper Castle</t>
        </is>
      </c>
      <c r="H139">
        <f>HYPERLINK("https://booking.roadsurfer.com/es/rally/pick?pickup_date=2026-05-06&amp;return_date=2026-05-13&amp;currency=EUR&amp;startStation=13&amp;endStation=8",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No hay coche</t>
        </is>
      </c>
      <c r="H140">
        <f>HYPERLINK("https://booking.roadsurfer.com/es/rally/pick?pickup_date=2026-05-13&amp;return_date=2026-05-20&amp;currency=EUR&amp;startStation=13&amp;endStation=8",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Ratisbona</t>
        </is>
      </c>
      <c r="E141" t="inlineStr">
        <is>
          <t>2026-04-26</t>
        </is>
      </c>
      <c r="F141" t="inlineStr">
        <is>
          <t>2026-05-03</t>
        </is>
      </c>
      <c r="G141" t="inlineStr">
        <is>
          <t xml:space="preserve"> - No hay coche</t>
        </is>
      </c>
      <c r="H141">
        <f>HYPERLINK("https://booking.roadsurfer.com/es/rally/pick?pickup_date=2026-04-26&amp;return_date=2026-05-03&amp;currency=EUR&amp;startStation=13&amp;endStation=89",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Ulm</t>
        </is>
      </c>
      <c r="E142" t="inlineStr">
        <is>
          <t>2026-04-26</t>
        </is>
      </c>
      <c r="F142" t="inlineStr">
        <is>
          <t>2026-05-03</t>
        </is>
      </c>
      <c r="G142" t="inlineStr">
        <is>
          <t xml:space="preserve"> - No hay coche</t>
        </is>
      </c>
      <c r="H142">
        <f>HYPERLINK("https://booking.roadsurfer.com/es/rally/pick?pickup_date=2026-04-26&amp;return_date=2026-05-03&amp;currency=EUR&amp;startStation=13&amp;endStation=112",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Lindau-Wangen</t>
        </is>
      </c>
      <c r="E143" t="inlineStr">
        <is>
          <t>2026-04-30</t>
        </is>
      </c>
      <c r="F143" t="inlineStr">
        <is>
          <t>2026-05-07</t>
        </is>
      </c>
      <c r="G143" t="inlineStr">
        <is>
          <t xml:space="preserve"> - Road House</t>
        </is>
      </c>
      <c r="H143">
        <f>HYPERLINK("https://booking.roadsurfer.com/es/rally/pick?pickup_date=2026-04-30&amp;return_date=2026-05-07&amp;currency=EUR&amp;startStation=13&amp;endStation=117",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2026-04-29</t>
        </is>
      </c>
      <c r="F144" t="inlineStr">
        <is>
          <t>2026-05-06</t>
        </is>
      </c>
      <c r="G144" t="inlineStr">
        <is>
          <t xml:space="preserve"> - Family Finca</t>
        </is>
      </c>
      <c r="H144">
        <f>HYPERLINK("https://booking.roadsurfer.com/es/rally/pick?pickup_date=2026-04-29&amp;return_date=2026-05-06&amp;currency=EUR&amp;startStation=13&amp;endStation=4",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Sunrise Suite</t>
        </is>
      </c>
      <c r="H145">
        <f>HYPERLINK("https://booking.roadsurfer.com/es/rally/pick?pickup_date=2026-05-04&amp;return_date=2026-05-11&amp;currency=EUR&amp;startStation=13&amp;endStation=4",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Road House</t>
        </is>
      </c>
      <c r="H146">
        <f>HYPERLINK("https://booking.roadsurfer.com/es/rally/pick?pickup_date=2026-05-13&amp;return_date=2026-05-20&amp;currency=EUR&amp;startStation=13&amp;endStation=4",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2026-04-27</t>
        </is>
      </c>
      <c r="F147" t="inlineStr">
        <is>
          <t>2026-05-04</t>
        </is>
      </c>
      <c r="G147" t="inlineStr">
        <is>
          <t xml:space="preserve"> - Couple Cottage</t>
        </is>
      </c>
      <c r="H147">
        <f>HYPERLINK("https://booking.roadsurfer.com/es/rally/pick?pickup_date=2026-04-27&amp;return_date=2026-05-04&amp;currency=EUR&amp;startStation=13&amp;endStation=15",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2026-05-13</t>
        </is>
      </c>
      <c r="F148" t="inlineStr">
        <is>
          <t>2026-05-20</t>
        </is>
      </c>
      <c r="G148" t="inlineStr">
        <is>
          <t xml:space="preserve"> - BEACH HOSTEL - Couple Cottage</t>
        </is>
      </c>
      <c r="H148">
        <f>HYPERLINK("https://booking.roadsurfer.com/es/rally/pick?pickup_date=2026-05-13&amp;return_date=2026-05-20&amp;currency=EUR&amp;startStation=55&amp;endStation=59",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Surfer Suite</t>
        </is>
      </c>
      <c r="H149">
        <f>HYPERLINK("https://booking.roadsurfer.com/es/rally/pick?pickup_date=2026-04-27&amp;return_date=2026-05-04&amp;currency=EUR&amp;startStation=55&amp;endStation=59",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2026-05-05</t>
        </is>
      </c>
      <c r="F150" t="inlineStr">
        <is>
          <t>2026-05-12</t>
        </is>
      </c>
      <c r="G150" t="inlineStr">
        <is>
          <t xml:space="preserve"> - Couple Cottage</t>
        </is>
      </c>
      <c r="H150">
        <f>HYPERLINK("https://booking.roadsurfer.com/es/rally/pick?pickup_date=2026-05-05&amp;return_date=2026-05-12&amp;currency=EUR&amp;startStation=55&amp;endStation=59",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Alemania</t>
        </is>
      </c>
      <c r="D151" t="inlineStr">
        <is>
          <t>Flensburgo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Surfer Suite</t>
        </is>
      </c>
      <c r="H151">
        <f>HYPERLINK("https://booking.roadsurfer.com/es/rally/pick?pickup_date=2026-04-27&amp;return_date=2026-05-04&amp;currency=EUR&amp;startStation=55&amp;endStation=130",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2026-05-09</t>
        </is>
      </c>
      <c r="F152" t="inlineStr">
        <is>
          <t>2026-05-16</t>
        </is>
      </c>
      <c r="G152" t="inlineStr">
        <is>
          <t xml:space="preserve"> - Cozy Cottage</t>
        </is>
      </c>
      <c r="H152">
        <f>HYPERLINK("https://booking.roadsurfer.com/es/rally/pick?pickup_date=2026-05-09&amp;return_date=2026-05-16&amp;currency=EUR&amp;startStation=55&amp;endStation=60",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2026-04-27</t>
        </is>
      </c>
      <c r="F153" t="inlineStr">
        <is>
          <t>2026-05-04</t>
        </is>
      </c>
      <c r="G153" t="inlineStr">
        <is>
          <t xml:space="preserve"> - Road House</t>
        </is>
      </c>
      <c r="H153">
        <f>HYPERLINK("https://booking.roadsurfer.com/es/rally/pick?pickup_date=2026-04-27&amp;return_date=2026-05-04&amp;currency=EUR&amp;startStation=55&amp;endStation=60",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Bélgica</t>
        </is>
      </c>
      <c r="D154" t="inlineStr">
        <is>
          <t>Bruselas</t>
        </is>
      </c>
      <c r="E154" t="inlineStr">
        <is>
          <t>2026-05-18</t>
        </is>
      </c>
      <c r="F154" t="inlineStr">
        <is>
          <t>2026-05-25</t>
        </is>
      </c>
      <c r="G154" t="inlineStr">
        <is>
          <t xml:space="preserve"> - No hay coche</t>
        </is>
      </c>
      <c r="H154">
        <f>HYPERLINK("https://booking.roadsurfer.com/es/rally/pick?pickup_date=2026-05-18&amp;return_date=2026-05-25&amp;currency=EUR&amp;startStation=55&amp;endStation=42",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2026-04-25</t>
        </is>
      </c>
      <c r="F155" t="inlineStr">
        <is>
          <t>2026-05-02</t>
        </is>
      </c>
      <c r="G155" t="inlineStr">
        <is>
          <t xml:space="preserve"> - Cozy Cottage</t>
        </is>
      </c>
      <c r="H155">
        <f>HYPERLINK("https://booking.roadsurfer.com/es/rally/pick?pickup_date=2026-04-25&amp;return_date=2026-05-02&amp;currency=EUR&amp;startStation=55&amp;endStation=77",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Sunrise Suite</t>
        </is>
      </c>
      <c r="H156">
        <f>HYPERLINK("https://booking.roadsurfer.com/es/rally/pick?pickup_date=2026-06-08&amp;return_date=2026-06-15&amp;currency=EUR&amp;startStation=55&amp;endStation=13",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Bochum</t>
        </is>
      </c>
      <c r="E157" t="inlineStr">
        <is>
          <t>2026-05-11</t>
        </is>
      </c>
      <c r="F157" t="inlineStr">
        <is>
          <t>2026-05-18</t>
        </is>
      </c>
      <c r="G157" t="inlineStr">
        <is>
          <t xml:space="preserve"> - Surfer Suite - Sunrise Suite</t>
        </is>
      </c>
      <c r="H157">
        <f>HYPERLINK("https://booking.roadsurfer.com/es/rally/pick?pickup_date=2026-05-11&amp;return_date=2026-05-18&amp;currency=EUR&amp;startStation=42&amp;endStation=24",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2026-05-12</t>
        </is>
      </c>
      <c r="F158" t="inlineStr">
        <is>
          <t>2026-05-19</t>
        </is>
      </c>
      <c r="G158" t="inlineStr">
        <is>
          <t xml:space="preserve"> - Camper Cabin</t>
        </is>
      </c>
      <c r="H158">
        <f>HYPERLINK("https://booking.roadsurfer.com/es/rally/pick?pickup_date=2026-05-12&amp;return_date=2026-05-19&amp;currency=EUR&amp;startStation=42&amp;endStation=24",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Fráncfort</t>
        </is>
      </c>
      <c r="E159" t="inlineStr">
        <is>
          <t>2026-04-28</t>
        </is>
      </c>
      <c r="F159" t="inlineStr">
        <is>
          <t>2026-05-05</t>
        </is>
      </c>
      <c r="G159" t="inlineStr">
        <is>
          <t xml:space="preserve"> - Surfer Suite</t>
        </is>
      </c>
      <c r="H159">
        <f>HYPERLINK("https://booking.roadsurfer.com/es/rally/pick?pickup_date=2026-04-28&amp;return_date=2026-05-05&amp;currency=EUR&amp;startStation=42&amp;endStation=2",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Couple Cottage</t>
        </is>
      </c>
      <c r="H160">
        <f>HYPERLINK("https://booking.roadsurfer.com/es/rally/pick?pickup_date=2026-05-04&amp;return_date=2026-05-11&amp;currency=EUR&amp;startStation=42&amp;endStation=90",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Beach Hostel</t>
        </is>
      </c>
      <c r="H161">
        <f>HYPERLINK("https://booking.roadsurfer.com/es/rally/pick?pickup_date=2026-04-30&amp;return_date=2026-05-07&amp;currency=EUR&amp;startStation=42&amp;endStation=90",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Couple Cottage</t>
        </is>
      </c>
      <c r="H162">
        <f>HYPERLINK("https://booking.roadsurfer.com/es/rally/pick?pickup_date=2026-04-28&amp;return_date=2026-05-05&amp;currency=EUR&amp;startStation=42&amp;endStation=90",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Sunrise Suite</t>
        </is>
      </c>
      <c r="H163">
        <f>HYPERLINK("https://booking.roadsurfer.com/es/rally/pick?pickup_date=2026-05-26&amp;return_date=2026-06-02&amp;currency=EUR&amp;startStation=42&amp;endStation=55",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Camper Cabin</t>
        </is>
      </c>
      <c r="H164">
        <f>HYPERLINK("https://booking.roadsurfer.com/es/rally/pick?pickup_date=2026-05-06&amp;return_date=2026-05-13&amp;currency=EUR&amp;startStation=42&amp;endStation=55",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Bielefeld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Road House</t>
        </is>
      </c>
      <c r="H165">
        <f>HYPERLINK("https://booking.roadsurfer.com/es/rally/pick?pickup_date=2026-05-06&amp;return_date=2026-05-13&amp;currency=EUR&amp;startStation=42&amp;endStation=91",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Camper Castle</t>
        </is>
      </c>
      <c r="H166">
        <f>HYPERLINK("https://booking.roadsurfer.com/es/rally/pick?pickup_date=2026-05-04&amp;return_date=2026-05-11&amp;currency=EUR&amp;startStation=42&amp;endStation=91",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2026-05-07</t>
        </is>
      </c>
      <c r="F167" t="inlineStr">
        <is>
          <t>2026-05-14</t>
        </is>
      </c>
      <c r="G167" t="inlineStr">
        <is>
          <t xml:space="preserve"> - No hay coche</t>
        </is>
      </c>
      <c r="H167">
        <f>HYPERLINK("https://booking.roadsurfer.com/es/rally/pick?pickup_date=2026-05-07&amp;return_date=2026-05-14&amp;currency=EUR&amp;startStation=52&amp;endStation=29",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2026-04-27</t>
        </is>
      </c>
      <c r="F168" t="inlineStr">
        <is>
          <t>2026-05-04</t>
        </is>
      </c>
      <c r="G168" t="inlineStr">
        <is>
          <t xml:space="preserve"> - Surfer Suite</t>
        </is>
      </c>
      <c r="H168">
        <f>HYPERLINK("https://booking.roadsurfer.com/es/rally/pick?pickup_date=2026-04-27&amp;return_date=2026-05-04&amp;currency=EUR&amp;startStation=52&amp;endStation=29",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Surfer Suite</t>
        </is>
      </c>
      <c r="H169">
        <f>HYPERLINK("https://booking.roadsurfer.com/es/rally/pick?pickup_date=2026-05-11&amp;return_date=2026-05-18&amp;currency=EUR&amp;startStation=52&amp;endStation=32",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Países Bajos</t>
        </is>
      </c>
      <c r="D170" t="inlineStr">
        <is>
          <t>Ámsterdam</t>
        </is>
      </c>
      <c r="E170" t="inlineStr">
        <is>
          <t>2026-05-18</t>
        </is>
      </c>
      <c r="F170" t="inlineStr">
        <is>
          <t>2026-05-25</t>
        </is>
      </c>
      <c r="G170" t="inlineStr">
        <is>
          <t xml:space="preserve"> - No hay coche</t>
        </is>
      </c>
      <c r="H170">
        <f>HYPERLINK("https://booking.roadsurfer.com/es/rally/pick?pickup_date=2026-05-18&amp;return_date=2026-05-25&amp;currency=EUR&amp;startStation=52&amp;endStation=32",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Alemania</t>
        </is>
      </c>
      <c r="D171" t="inlineStr">
        <is>
          <t>Flensburgo</t>
        </is>
      </c>
      <c r="E171" t="inlineStr">
        <is>
          <t>2026-04-27</t>
        </is>
      </c>
      <c r="F171" t="inlineStr">
        <is>
          <t>2026-05-04</t>
        </is>
      </c>
      <c r="G171" t="inlineStr">
        <is>
          <t xml:space="preserve"> - Beach Hostel</t>
        </is>
      </c>
      <c r="H171">
        <f>HYPERLINK("https://booking.roadsurfer.com/es/rally/pick?pickup_date=2026-04-27&amp;return_date=2026-05-04&amp;currency=EUR&amp;startStation=52&amp;endStation=130",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Alemania</t>
        </is>
      </c>
      <c r="D172" t="inlineStr">
        <is>
          <t>Flensburgo</t>
        </is>
      </c>
      <c r="E172" t="inlineStr">
        <is>
          <t>2026-04-24</t>
        </is>
      </c>
      <c r="F172" t="inlineStr">
        <is>
          <t>2026-05-01</t>
        </is>
      </c>
      <c r="G172" t="inlineStr">
        <is>
          <t xml:space="preserve"> - No hay coche</t>
        </is>
      </c>
      <c r="H172">
        <f>HYPERLINK("https://booking.roadsurfer.com/es/rally/pick?pickup_date=2026-04-24&amp;return_date=2026-05-01&amp;currency=EUR&amp;startStation=52&amp;endStation=130",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Alemania</t>
        </is>
      </c>
      <c r="D173" t="inlineStr">
        <is>
          <t>Flensburgo</t>
        </is>
      </c>
      <c r="E173" t="inlineStr">
        <is>
          <t>2026-04-25</t>
        </is>
      </c>
      <c r="F173" t="inlineStr">
        <is>
          <t>2026-05-02</t>
        </is>
      </c>
      <c r="G173" t="inlineStr">
        <is>
          <t xml:space="preserve"> - Camper Cabin</t>
        </is>
      </c>
      <c r="H173">
        <f>HYPERLINK("https://booking.roadsurfer.com/es/rally/pick?pickup_date=2026-04-25&amp;return_date=2026-05-02&amp;currency=EUR&amp;startStation=52&amp;endStation=130",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2026-04-30</t>
        </is>
      </c>
      <c r="F174" t="inlineStr">
        <is>
          <t>2026-05-07</t>
        </is>
      </c>
      <c r="G174" t="inlineStr">
        <is>
          <t xml:space="preserve"> - Travel Home</t>
        </is>
      </c>
      <c r="H174">
        <f>HYPERLINK("https://booking.roadsurfer.com/es/rally/pick?pickup_date=2026-04-30&amp;return_date=2026-05-07&amp;currency=EUR&amp;startStation=52&amp;endStation=31",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2026-04-24</t>
        </is>
      </c>
      <c r="F175" t="inlineStr">
        <is>
          <t>2026-05-01</t>
        </is>
      </c>
      <c r="G175" t="inlineStr">
        <is>
          <t xml:space="preserve"> - No hay coche</t>
        </is>
      </c>
      <c r="H175">
        <f>HYPERLINK("https://booking.roadsurfer.com/es/rally/pick?pickup_date=2026-04-24&amp;return_date=2026-05-01&amp;currency=EUR&amp;startStation=52&amp;endStation=13",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No hay coche</t>
        </is>
      </c>
      <c r="H176">
        <f>HYPERLINK("https://booking.roadsurfer.com/es/rally/pick?pickup_date=2026-04-23&amp;return_date=2026-04-30&amp;currency=EUR&amp;startStation=52&amp;endStation=47",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2026-05-12</t>
        </is>
      </c>
      <c r="F177" t="inlineStr">
        <is>
          <t>2026-05-19</t>
        </is>
      </c>
      <c r="G177" t="inlineStr">
        <is>
          <t xml:space="preserve"> - Couple Cottage</t>
        </is>
      </c>
      <c r="H177">
        <f>HYPERLINK("https://booking.roadsurfer.com/es/rally/pick?pickup_date=2026-05-12&amp;return_date=2026-05-19&amp;currency=EUR&amp;startStation=52&amp;endStation=47",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2026-04-30</t>
        </is>
      </c>
      <c r="F178" t="inlineStr">
        <is>
          <t>2026-05-07</t>
        </is>
      </c>
      <c r="G178" t="inlineStr">
        <is>
          <t xml:space="preserve"> - Sunrise Suite</t>
        </is>
      </c>
      <c r="H178">
        <f>HYPERLINK("https://booking.roadsurfer.com/es/rally/pick?pickup_date=2026-04-30&amp;return_date=2026-05-07&amp;currency=EUR&amp;startStation=52&amp;endStation=47",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2026-05-12</t>
        </is>
      </c>
      <c r="F179" t="inlineStr">
        <is>
          <t>2026-05-19</t>
        </is>
      </c>
      <c r="G179" t="inlineStr">
        <is>
          <t xml:space="preserve"> - Family Finca</t>
        </is>
      </c>
      <c r="H179">
        <f>HYPERLINK("https://booking.roadsurfer.com/es/rally/pick?pickup_date=2026-05-12&amp;return_date=2026-05-19&amp;currency=EUR&amp;startStation=52&amp;endStation=12",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2026-04-24</t>
        </is>
      </c>
      <c r="F180" t="inlineStr">
        <is>
          <t>2026-05-01</t>
        </is>
      </c>
      <c r="G180" t="inlineStr">
        <is>
          <t xml:space="preserve"> - No hay coche</t>
        </is>
      </c>
      <c r="H180">
        <f>HYPERLINK("https://booking.roadsurfer.com/es/rally/pick?pickup_date=2026-04-24&amp;return_date=2026-05-01&amp;currency=EUR&amp;startStation=52&amp;endStation=12",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2026-05-18</t>
        </is>
      </c>
      <c r="F181" t="inlineStr">
        <is>
          <t>2026-05-25</t>
        </is>
      </c>
      <c r="G181" t="inlineStr">
        <is>
          <t xml:space="preserve"> - No hay coche</t>
        </is>
      </c>
      <c r="H181">
        <f>HYPERLINK("https://booking.roadsurfer.com/es/rally/pick?pickup_date=2026-05-18&amp;return_date=2026-05-25&amp;currency=EUR&amp;startStation=52&amp;endStation=48",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2026-04-27</t>
        </is>
      </c>
      <c r="F182" t="inlineStr">
        <is>
          <t>2026-05-04</t>
        </is>
      </c>
      <c r="G182" t="inlineStr">
        <is>
          <t xml:space="preserve"> - COUPLE COTTAGE</t>
        </is>
      </c>
      <c r="H182">
        <f>HYPERLINK("https://booking.roadsurfer.com/es/rally/pick?pickup_date=2026-04-27&amp;return_date=2026-05-04&amp;currency=EUR&amp;startStation=52&amp;endStation=48",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Family Finca</t>
        </is>
      </c>
      <c r="H183">
        <f>HYPERLINK("https://booking.roadsurfer.com/es/rally/pick?pickup_date=2026-04-30&amp;return_date=2026-05-07&amp;currency=EUR&amp;startStation=52&amp;endStation=48",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Surfer Suite</t>
        </is>
      </c>
      <c r="H184">
        <f>HYPERLINK("https://booking.roadsurfer.com/es/rally/pick?pickup_date=2026-05-04&amp;return_date=2026-05-11&amp;currency=EUR&amp;startStation=4&amp;endStation=31",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Austria</t>
        </is>
      </c>
      <c r="D185" t="inlineStr">
        <is>
          <t>Viena Sur</t>
        </is>
      </c>
      <c r="E185" t="inlineStr">
        <is>
          <t>2026-05-05</t>
        </is>
      </c>
      <c r="F185" t="inlineStr">
        <is>
          <t>2026-05-12</t>
        </is>
      </c>
      <c r="G185" t="inlineStr">
        <is>
          <t xml:space="preserve"> - Camper Cabin</t>
        </is>
      </c>
      <c r="H185">
        <f>HYPERLINK("https://booking.roadsurfer.com/es/rally/pick?pickup_date=2026-05-05&amp;return_date=2026-05-12&amp;currency=EUR&amp;startStation=4&amp;endStation=45",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Austria</t>
        </is>
      </c>
      <c r="D186" t="inlineStr">
        <is>
          <t>Viena Sur</t>
        </is>
      </c>
      <c r="E186" t="inlineStr">
        <is>
          <t>2026-05-08</t>
        </is>
      </c>
      <c r="F186" t="inlineStr">
        <is>
          <t>2026-05-15</t>
        </is>
      </c>
      <c r="G186" t="inlineStr">
        <is>
          <t xml:space="preserve"> - No hay coche</t>
        </is>
      </c>
      <c r="H186">
        <f>HYPERLINK("https://booking.roadsurfer.com/es/rally/pick?pickup_date=2026-05-08&amp;return_date=2026-05-15&amp;currency=EUR&amp;startStation=4&amp;endStation=45",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2026-05-05</t>
        </is>
      </c>
      <c r="F187" t="inlineStr">
        <is>
          <t>2026-05-12</t>
        </is>
      </c>
      <c r="G187" t="inlineStr">
        <is>
          <t xml:space="preserve"> - No hay coche</t>
        </is>
      </c>
      <c r="H187">
        <f>HYPERLINK("https://booking.roadsurfer.com/es/rally/pick?pickup_date=2026-05-05&amp;return_date=2026-05-12&amp;currency=EUR&amp;startStation=4&amp;endStation=15",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2026-04-27</t>
        </is>
      </c>
      <c r="F188" t="inlineStr">
        <is>
          <t>2026-05-04</t>
        </is>
      </c>
      <c r="G188" t="inlineStr">
        <is>
          <t xml:space="preserve"> - Family Finca</t>
        </is>
      </c>
      <c r="H188">
        <f>HYPERLINK("https://booking.roadsurfer.com/es/rally/pick?pickup_date=2026-04-27&amp;return_date=2026-05-04&amp;currency=EUR&amp;startStation=4&amp;endStation=29",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2026-05-27</t>
        </is>
      </c>
      <c r="F189" t="inlineStr">
        <is>
          <t>2026-06-03</t>
        </is>
      </c>
      <c r="G189" t="inlineStr">
        <is>
          <t xml:space="preserve"> - Family Finca</t>
        </is>
      </c>
      <c r="H189">
        <f>HYPERLINK("https://booking.roadsurfer.com/es/rally/pick?pickup_date=2026-05-27&amp;return_date=2026-06-03&amp;currency=EUR&amp;startStation=4&amp;endStation=13",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Aix-Marsella</t>
        </is>
      </c>
      <c r="E190" t="inlineStr">
        <is>
          <t>2026-05-08</t>
        </is>
      </c>
      <c r="F190" t="inlineStr">
        <is>
          <t>2026-05-15</t>
        </is>
      </c>
      <c r="G190" t="inlineStr">
        <is>
          <t xml:space="preserve"> - Couple Cottage</t>
        </is>
      </c>
      <c r="H190">
        <f>HYPERLINK("https://booking.roadsurfer.com/es/rally/pick?pickup_date=2026-05-08&amp;return_date=2026-05-15&amp;currency=EUR&amp;startStation=4&amp;endStation=16",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Italia</t>
        </is>
      </c>
      <c r="D191" t="inlineStr">
        <is>
          <t>Milán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Couple Cottage</t>
        </is>
      </c>
      <c r="H191">
        <f>HYPERLINK("https://booking.roadsurfer.com/es/rally/pick?pickup_date=2026-05-13&amp;return_date=2026-05-20&amp;currency=EUR&amp;startStation=4&amp;endStation=34",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2026-05-05</t>
        </is>
      </c>
      <c r="F192" t="inlineStr">
        <is>
          <t>2026-05-12</t>
        </is>
      </c>
      <c r="G192" t="inlineStr">
        <is>
          <t xml:space="preserve"> - Cozy Cottage</t>
        </is>
      </c>
      <c r="H192">
        <f>HYPERLINK("https://booking.roadsurfer.com/es/rally/pick?pickup_date=2026-05-05&amp;return_date=2026-05-12&amp;currency=EUR&amp;startStation=4&amp;endStation=34",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Alemania</t>
        </is>
      </c>
      <c r="D193" t="inlineStr">
        <is>
          <t>Dresde</t>
        </is>
      </c>
      <c r="E193" t="inlineStr">
        <is>
          <t>2026-04-30</t>
        </is>
      </c>
      <c r="F193" t="inlineStr">
        <is>
          <t>2026-05-07</t>
        </is>
      </c>
      <c r="G193" t="inlineStr">
        <is>
          <t xml:space="preserve"> - Cozy Cottage</t>
        </is>
      </c>
      <c r="H193">
        <f>HYPERLINK("https://booking.roadsurfer.com/es/rally/pick?pickup_date=2026-04-30&amp;return_date=2026-05-07&amp;currency=EUR&amp;startStation=4&amp;endStation=56",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Cozy Cottage</t>
        </is>
      </c>
      <c r="H194">
        <f>HYPERLINK("https://booking.roadsurfer.com/es/rally/pick?pickup_date=2026-05-04&amp;return_date=2026-05-11&amp;currency=EUR&amp;startStation=4&amp;endStation=56",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2026-05-18</t>
        </is>
      </c>
      <c r="F195" t="inlineStr">
        <is>
          <t>2026-05-25</t>
        </is>
      </c>
      <c r="G195" t="inlineStr">
        <is>
          <t xml:space="preserve"> - No hay coche</t>
        </is>
      </c>
      <c r="H195">
        <f>HYPERLINK("https://booking.roadsurfer.com/es/rally/pick?pickup_date=2026-05-18&amp;return_date=2026-05-25&amp;currency=EUR&amp;startStation=4&amp;endStation=37",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2026-05-21</t>
        </is>
      </c>
      <c r="F196" t="inlineStr">
        <is>
          <t>2026-05-28</t>
        </is>
      </c>
      <c r="G196" t="inlineStr">
        <is>
          <t xml:space="preserve"> - Surfer Suite</t>
        </is>
      </c>
      <c r="H196">
        <f>HYPERLINK("https://booking.roadsurfer.com/es/rally/pick?pickup_date=2026-05-21&amp;return_date=2026-05-28&amp;currency=EUR&amp;startStation=10&amp;endStation=40",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2026-06-03</t>
        </is>
      </c>
      <c r="F197" t="inlineStr">
        <is>
          <t>2026-06-10</t>
        </is>
      </c>
      <c r="G197" t="inlineStr">
        <is>
          <t xml:space="preserve"> - Surfer Suite</t>
        </is>
      </c>
      <c r="H197">
        <f>HYPERLINK("https://booking.roadsurfer.com/es/rally/pick?pickup_date=2026-06-03&amp;return_date=2026-06-10&amp;currency=EUR&amp;startStation=10&amp;endStation=90",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2026-05-06</t>
        </is>
      </c>
      <c r="F198" t="inlineStr">
        <is>
          <t>2026-05-13</t>
        </is>
      </c>
      <c r="G198" t="inlineStr">
        <is>
          <t xml:space="preserve"> - Road House</t>
        </is>
      </c>
      <c r="H198">
        <f>HYPERLINK("https://booking.roadsurfer.com/es/rally/pick?pickup_date=2026-05-06&amp;return_date=2026-05-13&amp;currency=EUR&amp;startStation=10&amp;endStation=31",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Alemania</t>
        </is>
      </c>
      <c r="D199" t="inlineStr">
        <is>
          <t>Tréveris</t>
        </is>
      </c>
      <c r="E199" t="inlineStr">
        <is>
          <t>2026-04-24</t>
        </is>
      </c>
      <c r="F199" t="inlineStr">
        <is>
          <t>2026-05-01</t>
        </is>
      </c>
      <c r="G199" t="inlineStr">
        <is>
          <t xml:space="preserve"> - No hay coche</t>
        </is>
      </c>
      <c r="H199">
        <f>HYPERLINK("https://booking.roadsurfer.com/es/rally/pick?pickup_date=2026-04-24&amp;return_date=2026-05-01&amp;currency=EUR&amp;startStation=10&amp;endStation=28",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2026-05-21</t>
        </is>
      </c>
      <c r="F200" t="inlineStr">
        <is>
          <t>2026-05-28</t>
        </is>
      </c>
      <c r="G200" t="inlineStr">
        <is>
          <t xml:space="preserve"> - Road House</t>
        </is>
      </c>
      <c r="H200">
        <f>HYPERLINK("https://booking.roadsurfer.com/es/rally/pick?pickup_date=2026-05-21&amp;return_date=2026-05-28&amp;currency=EUR&amp;startStation=10&amp;endStation=17",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2026-05-08</t>
        </is>
      </c>
      <c r="F201" t="inlineStr">
        <is>
          <t>2026-05-15</t>
        </is>
      </c>
      <c r="G201" t="inlineStr">
        <is>
          <t xml:space="preserve"> - Camper Castle</t>
        </is>
      </c>
      <c r="H201">
        <f>HYPERLINK("https://booking.roadsurfer.com/es/rally/pick?pickup_date=2026-05-08&amp;return_date=2026-05-15&amp;currency=EUR&amp;startStation=10&amp;endStation=36",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Italia</t>
        </is>
      </c>
      <c r="D202" t="inlineStr">
        <is>
          <t>Turín</t>
        </is>
      </c>
      <c r="E202" t="inlineStr">
        <is>
          <t>2026-05-11</t>
        </is>
      </c>
      <c r="F202" t="inlineStr">
        <is>
          <t>2026-05-18</t>
        </is>
      </c>
      <c r="G202" t="inlineStr">
        <is>
          <t xml:space="preserve"> - Family Finca</t>
        </is>
      </c>
      <c r="H202">
        <f>HYPERLINK("https://booking.roadsurfer.com/es/rally/pick?pickup_date=2026-05-11&amp;return_date=2026-05-18&amp;currency=EUR&amp;startStation=10&amp;endStation=58",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2026-05-05</t>
        </is>
      </c>
      <c r="F203" t="inlineStr">
        <is>
          <t>2026-05-12</t>
        </is>
      </c>
      <c r="G203" t="inlineStr">
        <is>
          <t xml:space="preserve"> - Family Finca</t>
        </is>
      </c>
      <c r="H203">
        <f>HYPERLINK("https://booking.roadsurfer.com/es/rally/pick?pickup_date=2026-05-05&amp;return_date=2026-05-12&amp;currency=EUR&amp;startStation=10&amp;endStation=15",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Alemania</t>
        </is>
      </c>
      <c r="D204" t="inlineStr">
        <is>
          <t>Braunschweig</t>
        </is>
      </c>
      <c r="E204" t="inlineStr">
        <is>
          <t>2026-04-24</t>
        </is>
      </c>
      <c r="F204" t="inlineStr">
        <is>
          <t>2026-05-01</t>
        </is>
      </c>
      <c r="G204" t="inlineStr">
        <is>
          <t xml:space="preserve"> - No hay coche</t>
        </is>
      </c>
      <c r="H204">
        <f>HYPERLINK("https://booking.roadsurfer.com/es/rally/pick?pickup_date=2026-04-24&amp;return_date=2026-05-01&amp;currency=EUR&amp;startStation=56&amp;endStation=128",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2026-05-16</t>
        </is>
      </c>
      <c r="F205" t="inlineStr">
        <is>
          <t>2026-05-23</t>
        </is>
      </c>
      <c r="G205" t="inlineStr">
        <is>
          <t xml:space="preserve"> - Surfer Suite</t>
        </is>
      </c>
      <c r="H205">
        <f>HYPERLINK("https://booking.roadsurfer.com/es/rally/pick?pickup_date=2026-05-16&amp;return_date=2026-05-23&amp;currency=EUR&amp;startStation=56&amp;endStation=33",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2026-04-23</t>
        </is>
      </c>
      <c r="F206" t="inlineStr">
        <is>
          <t>2026-04-30</t>
        </is>
      </c>
      <c r="G206" t="inlineStr">
        <is>
          <t xml:space="preserve"> - Beach Hostel</t>
        </is>
      </c>
      <c r="H206">
        <f>HYPERLINK("https://booking.roadsurfer.com/es/rally/pick?pickup_date=2026-04-23&amp;return_date=2026-04-30&amp;currency=EUR&amp;startStation=56&amp;endStation=47",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2026-04-24</t>
        </is>
      </c>
      <c r="F207" t="inlineStr">
        <is>
          <t>2026-05-01</t>
        </is>
      </c>
      <c r="G207" t="inlineStr">
        <is>
          <t xml:space="preserve"> - No hay coche</t>
        </is>
      </c>
      <c r="H207">
        <f>HYPERLINK("https://booking.roadsurfer.com/es/rally/pick?pickup_date=2026-04-24&amp;return_date=2026-05-01&amp;currency=EUR&amp;startStation=56&amp;endStation=47",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2026-05-13</t>
        </is>
      </c>
      <c r="F208" t="inlineStr">
        <is>
          <t>2026-05-20</t>
        </is>
      </c>
      <c r="G208" t="inlineStr">
        <is>
          <t xml:space="preserve"> - FAMILY FINCA</t>
        </is>
      </c>
      <c r="H208">
        <f>HYPERLINK("https://booking.roadsurfer.com/es/rally/pick?pickup_date=2026-05-13&amp;return_date=2026-05-20&amp;currency=EUR&amp;startStation=56&amp;endStation=47",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2026-04-26</t>
        </is>
      </c>
      <c r="F209" t="inlineStr">
        <is>
          <t>2026-05-03</t>
        </is>
      </c>
      <c r="G209" t="inlineStr">
        <is>
          <t xml:space="preserve"> - No hay coche</t>
        </is>
      </c>
      <c r="H209">
        <f>HYPERLINK("https://booking.roadsurfer.com/es/rally/pick?pickup_date=2026-04-26&amp;return_date=2026-05-03&amp;currency=EUR&amp;startStation=56&amp;endStation=47",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Alemania</t>
        </is>
      </c>
      <c r="D210" t="inlineStr">
        <is>
          <t>Bochum</t>
        </is>
      </c>
      <c r="E210" t="inlineStr">
        <is>
          <t>2026-04-28</t>
        </is>
      </c>
      <c r="F210" t="inlineStr">
        <is>
          <t>2026-05-05</t>
        </is>
      </c>
      <c r="G210" t="inlineStr">
        <is>
          <t xml:space="preserve"> - Surfer Suite</t>
        </is>
      </c>
      <c r="H210">
        <f>HYPERLINK("https://booking.roadsurfer.com/es/rally/pick?pickup_date=2026-04-28&amp;return_date=2026-05-05&amp;currency=EUR&amp;startStation=56&amp;endStation=24",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2026-05-20</t>
        </is>
      </c>
      <c r="F211" t="inlineStr">
        <is>
          <t>2026-05-27</t>
        </is>
      </c>
      <c r="G211" t="inlineStr">
        <is>
          <t xml:space="preserve"> - Road House</t>
        </is>
      </c>
      <c r="H211">
        <f>HYPERLINK("https://booking.roadsurfer.com/es/rally/pick?pickup_date=2026-05-20&amp;return_date=2026-05-27&amp;currency=EUR&amp;startStation=56&amp;endStation=59",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2026-05-28</t>
        </is>
      </c>
      <c r="F212" t="inlineStr">
        <is>
          <t>2026-06-04</t>
        </is>
      </c>
      <c r="G212" t="inlineStr">
        <is>
          <t xml:space="preserve"> - Road House</t>
        </is>
      </c>
      <c r="H212">
        <f>HYPERLINK("https://booking.roadsurfer.com/es/rally/pick?pickup_date=2026-05-28&amp;return_date=2026-06-04&amp;currency=EUR&amp;startStation=56&amp;endStation=59",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Camper Castle</t>
        </is>
      </c>
      <c r="H213">
        <f>HYPERLINK("https://booking.roadsurfer.com/es/rally/pick?pickup_date=2026-05-04&amp;return_date=2026-05-11&amp;currency=EUR&amp;startStation=56&amp;endStation=37",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2026-05-26</t>
        </is>
      </c>
      <c r="F214" t="inlineStr">
        <is>
          <t>2026-06-02</t>
        </is>
      </c>
      <c r="G214" t="inlineStr">
        <is>
          <t xml:space="preserve"> - Road House</t>
        </is>
      </c>
      <c r="H214">
        <f>HYPERLINK("https://booking.roadsurfer.com/es/rally/pick?pickup_date=2026-05-26&amp;return_date=2026-06-02&amp;currency=EUR&amp;startStation=56&amp;endStation=37",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Road House</t>
        </is>
      </c>
      <c r="H215">
        <f>HYPERLINK("https://booking.roadsurfer.com/es/rally/pick?pickup_date=2026-05-12&amp;return_date=2026-05-19&amp;currency=EUR&amp;startStation=56&amp;endStation=37",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2026-06-01</t>
        </is>
      </c>
      <c r="F216" t="inlineStr">
        <is>
          <t>2026-06-08</t>
        </is>
      </c>
      <c r="G216" t="inlineStr">
        <is>
          <t xml:space="preserve"> - Couple Cottage</t>
        </is>
      </c>
      <c r="H216">
        <f>HYPERLINK("https://booking.roadsurfer.com/es/rally/pick?pickup_date=2026-06-01&amp;return_date=2026-06-08&amp;currency=EUR&amp;startStation=56&amp;endStation=37",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2026-04-27</t>
        </is>
      </c>
      <c r="F217" t="inlineStr">
        <is>
          <t>2026-05-04</t>
        </is>
      </c>
      <c r="G217" t="inlineStr">
        <is>
          <t xml:space="preserve"> - Road House</t>
        </is>
      </c>
      <c r="H217">
        <f>HYPERLINK("https://booking.roadsurfer.com/es/rally/pick?pickup_date=2026-04-27&amp;return_date=2026-05-04&amp;currency=EUR&amp;startStation=56&amp;endStation=77",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2026-04-24</t>
        </is>
      </c>
      <c r="F218" t="inlineStr">
        <is>
          <t>2026-05-01</t>
        </is>
      </c>
      <c r="G218" t="inlineStr">
        <is>
          <t xml:space="preserve"> - No hay coche</t>
        </is>
      </c>
      <c r="H218">
        <f>HYPERLINK("https://booking.roadsurfer.com/es/rally/pick?pickup_date=2026-04-24&amp;return_date=2026-05-01&amp;currency=EUR&amp;startStation=56&amp;endStation=77",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2026-05-09</t>
        </is>
      </c>
      <c r="F219" t="inlineStr">
        <is>
          <t>2026-05-16</t>
        </is>
      </c>
      <c r="G219" t="inlineStr">
        <is>
          <t xml:space="preserve"> - No hay coche</t>
        </is>
      </c>
      <c r="H219">
        <f>HYPERLINK("https://booking.roadsurfer.com/es/rally/pick?pickup_date=2026-05-09&amp;return_date=2026-05-16&amp;currency=EUR&amp;startStation=56&amp;endStation=13",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Sunrise Suite</t>
        </is>
      </c>
      <c r="H220">
        <f>HYPERLINK("https://booking.roadsurfer.com/es/rally/pick?pickup_date=2026-05-04&amp;return_date=2026-05-11&amp;currency=EUR&amp;startStation=56&amp;endStation=13",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2026-05-08</t>
        </is>
      </c>
      <c r="F221" t="inlineStr">
        <is>
          <t>2026-05-15</t>
        </is>
      </c>
      <c r="G221" t="inlineStr">
        <is>
          <t xml:space="preserve"> - Camper Castle</t>
        </is>
      </c>
      <c r="H221">
        <f>HYPERLINK("https://booking.roadsurfer.com/es/rally/pick?pickup_date=2026-05-08&amp;return_date=2026-05-15&amp;currency=EUR&amp;startStation=56&amp;endStation=34",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2026-04-28</t>
        </is>
      </c>
      <c r="F222" t="inlineStr">
        <is>
          <t>2026-05-05</t>
        </is>
      </c>
      <c r="G222" t="inlineStr">
        <is>
          <t xml:space="preserve"> - Camper Castle</t>
        </is>
      </c>
      <c r="H222">
        <f>HYPERLINK("https://booking.roadsurfer.com/es/rally/pick?pickup_date=2026-04-28&amp;return_date=2026-05-05&amp;currency=EUR&amp;startStation=56&amp;endStation=31",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Couple Cottage</t>
        </is>
      </c>
      <c r="H223">
        <f>HYPERLINK("https://booking.roadsurfer.com/es/rally/pick?pickup_date=2026-05-13&amp;return_date=2026-05-20&amp;currency=EUR&amp;startStation=56&amp;endStation=45",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2026-05-12</t>
        </is>
      </c>
      <c r="F224" t="inlineStr">
        <is>
          <t>2026-05-19</t>
        </is>
      </c>
      <c r="G224" t="inlineStr">
        <is>
          <t xml:space="preserve"> - Family Finca</t>
        </is>
      </c>
      <c r="H224">
        <f>HYPERLINK("https://booking.roadsurfer.com/es/rally/pick?pickup_date=2026-05-12&amp;return_date=2026-05-19&amp;currency=EUR&amp;startStation=56&amp;endStation=45", "Clic para verlo en la web de RoadSurfer")</f>
        <v/>
      </c>
    </row>
    <row r="225">
      <c r="A225" t="inlineStr">
        <is>
          <t>Alemania</t>
        </is>
      </c>
      <c r="B225" t="inlineStr">
        <is>
          <t>Duisburgo</t>
        </is>
      </c>
      <c r="C225" t="inlineStr">
        <is>
          <t>Francia</t>
        </is>
      </c>
      <c r="D225" t="inlineStr">
        <is>
          <t>Lille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Beach Hostel</t>
        </is>
      </c>
      <c r="H225">
        <f>HYPERLINK("https://booking.roadsurfer.com/es/rally/pick?pickup_date=2026-04-27&amp;return_date=2026-05-04&amp;currency=EUR&amp;startStation=113&amp;endStation=87", "Clic para verlo en la web de RoadSurfer")</f>
        <v/>
      </c>
    </row>
    <row r="226">
      <c r="A226" t="inlineStr">
        <is>
          <t>Alemania</t>
        </is>
      </c>
      <c r="B226" t="inlineStr">
        <is>
          <t>Duisburgo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2026-04-29</t>
        </is>
      </c>
      <c r="F226" t="inlineStr">
        <is>
          <t>2026-05-06</t>
        </is>
      </c>
      <c r="G226" t="inlineStr">
        <is>
          <t xml:space="preserve"> - Family Finca</t>
        </is>
      </c>
      <c r="H226">
        <f>HYPERLINK("https://booking.roadsurfer.com/es/rally/pick?pickup_date=2026-04-29&amp;return_date=2026-05-06&amp;currency=EUR&amp;startStation=113&amp;endStation=31",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Surfer Suite</t>
        </is>
      </c>
      <c r="H227">
        <f>HYPERLINK("https://booking.roadsurfer.com/es/rally/pick?pickup_date=2026-04-27&amp;return_date=2026-05-04&amp;currency=EUR&amp;startStation=90&amp;endStation=47",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Road House</t>
        </is>
      </c>
      <c r="H228">
        <f>HYPERLINK("https://booking.roadsurfer.com/es/rally/pick?pickup_date=2026-05-04&amp;return_date=2026-05-11&amp;currency=EUR&amp;startStation=90&amp;endStation=47",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Sunrise Suite</t>
        </is>
      </c>
      <c r="H229">
        <f>HYPERLINK("https://booking.roadsurfer.com/es/rally/pick?pickup_date=2026-05-13&amp;return_date=2026-05-20&amp;currency=EUR&amp;startStation=90&amp;endStation=47",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Surfer Suite</t>
        </is>
      </c>
      <c r="H230">
        <f>HYPERLINK("https://booking.roadsurfer.com/es/rally/pick?pickup_date=2026-04-27&amp;return_date=2026-05-04&amp;currency=EUR&amp;startStation=90&amp;endStation=42",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2026-06-04</t>
        </is>
      </c>
      <c r="F231" t="inlineStr">
        <is>
          <t>2026-06-11</t>
        </is>
      </c>
      <c r="G231" t="inlineStr">
        <is>
          <t xml:space="preserve"> - Beach Hostel</t>
        </is>
      </c>
      <c r="H231">
        <f>HYPERLINK("https://booking.roadsurfer.com/es/rally/pick?pickup_date=2026-06-04&amp;return_date=2026-06-11&amp;currency=EUR&amp;startStation=90&amp;endStation=42",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Alemania</t>
        </is>
      </c>
      <c r="D232" t="inlineStr">
        <is>
          <t>Flensburgo</t>
        </is>
      </c>
      <c r="E232" t="inlineStr">
        <is>
          <t>2026-04-24</t>
        </is>
      </c>
      <c r="F232" t="inlineStr">
        <is>
          <t>2026-05-01</t>
        </is>
      </c>
      <c r="G232" t="inlineStr">
        <is>
          <t xml:space="preserve"> - No hay coche</t>
        </is>
      </c>
      <c r="H232">
        <f>HYPERLINK("https://booking.roadsurfer.com/es/rally/pick?pickup_date=2026-04-24&amp;return_date=2026-05-01&amp;currency=EUR&amp;startStation=90&amp;endStation=130",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Austria</t>
        </is>
      </c>
      <c r="D233" t="inlineStr">
        <is>
          <t>Linz</t>
        </is>
      </c>
      <c r="E233" t="inlineStr">
        <is>
          <t>2026-04-30</t>
        </is>
      </c>
      <c r="F233" t="inlineStr">
        <is>
          <t>2026-05-07</t>
        </is>
      </c>
      <c r="G233" t="inlineStr">
        <is>
          <t xml:space="preserve"> - Surfer Suite</t>
        </is>
      </c>
      <c r="H233">
        <f>HYPERLINK("https://booking.roadsurfer.com/es/rally/pick?pickup_date=2026-04-30&amp;return_date=2026-05-07&amp;currency=EUR&amp;startStation=90&amp;endStation=116",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Austria</t>
        </is>
      </c>
      <c r="D234" t="inlineStr">
        <is>
          <t>Graz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Surfer Suite</t>
        </is>
      </c>
      <c r="H234">
        <f>HYPERLINK("https://booking.roadsurfer.com/es/rally/pick?pickup_date=2026-04-27&amp;return_date=2026-05-04&amp;currency=EUR&amp;startStation=90&amp;endStation=37",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2026-05-13</t>
        </is>
      </c>
      <c r="F235" t="inlineStr">
        <is>
          <t>2026-05-20</t>
        </is>
      </c>
      <c r="G235" t="inlineStr">
        <is>
          <t xml:space="preserve"> - Surfer Suite</t>
        </is>
      </c>
      <c r="H235">
        <f>HYPERLINK("https://booking.roadsurfer.com/es/rally/pick?pickup_date=2026-05-13&amp;return_date=2026-05-20&amp;currency=EUR&amp;startStation=90&amp;endStation=37",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2026-04-25</t>
        </is>
      </c>
      <c r="F236" t="inlineStr">
        <is>
          <t>2026-05-02</t>
        </is>
      </c>
      <c r="G236" t="inlineStr">
        <is>
          <t xml:space="preserve"> - Surfer Suite</t>
        </is>
      </c>
      <c r="H236">
        <f>HYPERLINK("https://booking.roadsurfer.com/es/rally/pick?pickup_date=2026-04-25&amp;return_date=2026-05-02&amp;currency=EUR&amp;startStation=90&amp;endStation=48",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Alemania</t>
        </is>
      </c>
      <c r="D237" t="inlineStr">
        <is>
          <t>Augsburgo</t>
        </is>
      </c>
      <c r="E237" t="inlineStr">
        <is>
          <t>2026-04-25</t>
        </is>
      </c>
      <c r="F237" t="inlineStr">
        <is>
          <t>2026-05-02</t>
        </is>
      </c>
      <c r="G237" t="inlineStr">
        <is>
          <t xml:space="preserve"> - Surfer Suite</t>
        </is>
      </c>
      <c r="H237">
        <f>HYPERLINK("https://booking.roadsurfer.com/es/rally/pick?pickup_date=2026-04-25&amp;return_date=2026-05-02&amp;currency=EUR&amp;startStation=90&amp;endStation=108",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Surfer Suite</t>
        </is>
      </c>
      <c r="H238">
        <f>HYPERLINK("https://booking.roadsurfer.com/es/rally/pick?pickup_date=2026-06-01&amp;return_date=2026-06-08&amp;currency=EUR&amp;startStation=90&amp;endStation=30",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Estrasburgo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Beach Hostel</t>
        </is>
      </c>
      <c r="H239">
        <f>HYPERLINK("https://booking.roadsurfer.com/es/rally/pick?pickup_date=2026-05-15&amp;return_date=2026-05-22&amp;currency=EUR&amp;startStation=90&amp;endStation=49",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2026-04-24</t>
        </is>
      </c>
      <c r="F240" t="inlineStr">
        <is>
          <t>2026-05-01</t>
        </is>
      </c>
      <c r="G240" t="inlineStr">
        <is>
          <t xml:space="preserve"> - No hay coche</t>
        </is>
      </c>
      <c r="H240">
        <f>HYPERLINK("https://booking.roadsurfer.com/es/rally/pick?pickup_date=2026-04-24&amp;return_date=2026-05-01&amp;currency=EUR&amp;startStation=90&amp;endStation=15",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2026-05-23</t>
        </is>
      </c>
      <c r="F241" t="inlineStr">
        <is>
          <t>2026-05-30</t>
        </is>
      </c>
      <c r="G241" t="inlineStr">
        <is>
          <t xml:space="preserve"> - Camper Cabin</t>
        </is>
      </c>
      <c r="H241">
        <f>HYPERLINK("https://booking.roadsurfer.com/es/rally/pick?pickup_date=2026-05-23&amp;return_date=2026-05-30&amp;currency=EUR&amp;startStation=90&amp;endStation=15",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2026-05-26</t>
        </is>
      </c>
      <c r="F242" t="inlineStr">
        <is>
          <t>2026-06-02</t>
        </is>
      </c>
      <c r="G242" t="inlineStr">
        <is>
          <t xml:space="preserve"> - Road House</t>
        </is>
      </c>
      <c r="H242">
        <f>HYPERLINK("https://booking.roadsurfer.com/es/rally/pick?pickup_date=2026-05-26&amp;return_date=2026-06-02&amp;currency=EUR&amp;startStation=90&amp;endStation=15",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2026-05-20</t>
        </is>
      </c>
      <c r="F243" t="inlineStr">
        <is>
          <t>2026-05-27</t>
        </is>
      </c>
      <c r="G243" t="inlineStr">
        <is>
          <t xml:space="preserve"> - Family Finca</t>
        </is>
      </c>
      <c r="H243">
        <f>HYPERLINK("https://booking.roadsurfer.com/es/rally/pick?pickup_date=2026-05-20&amp;return_date=2026-05-27&amp;currency=EUR&amp;startStation=90&amp;endStation=77",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2026-04-26</t>
        </is>
      </c>
      <c r="F244" t="inlineStr">
        <is>
          <t>2026-05-03</t>
        </is>
      </c>
      <c r="G244" t="inlineStr">
        <is>
          <t xml:space="preserve"> - No hay coche</t>
        </is>
      </c>
      <c r="H244">
        <f>HYPERLINK("https://booking.roadsurfer.com/es/rally/pick?pickup_date=2026-04-26&amp;return_date=2026-05-03&amp;currency=EUR&amp;startStation=90&amp;endStation=77",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2026-05-26</t>
        </is>
      </c>
      <c r="F245" t="inlineStr">
        <is>
          <t>2026-06-02</t>
        </is>
      </c>
      <c r="G245" t="inlineStr">
        <is>
          <t xml:space="preserve"> - Sunrise Suite</t>
        </is>
      </c>
      <c r="H245">
        <f>HYPERLINK("https://booking.roadsurfer.com/es/rally/pick?pickup_date=2026-05-26&amp;return_date=2026-06-02&amp;currency=EUR&amp;startStation=90&amp;endStation=77",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2026-06-05</t>
        </is>
      </c>
      <c r="F246" t="inlineStr">
        <is>
          <t>2026-06-12</t>
        </is>
      </c>
      <c r="G246" t="inlineStr">
        <is>
          <t xml:space="preserve"> - Beach Hostel</t>
        </is>
      </c>
      <c r="H246">
        <f>HYPERLINK("https://booking.roadsurfer.com/es/rally/pick?pickup_date=2026-06-05&amp;return_date=2026-06-12&amp;currency=EUR&amp;startStation=90&amp;endStation=77",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Travel Home</t>
        </is>
      </c>
      <c r="H247">
        <f>HYPERLINK("https://booking.roadsurfer.com/es/rally/pick?pickup_date=2026-05-06&amp;return_date=2026-05-13&amp;currency=EUR&amp;startStation=90&amp;endStation=13",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2026-05-18</t>
        </is>
      </c>
      <c r="F248" t="inlineStr">
        <is>
          <t>2026-05-25</t>
        </is>
      </c>
      <c r="G248" t="inlineStr">
        <is>
          <t xml:space="preserve"> - Road House</t>
        </is>
      </c>
      <c r="H248">
        <f>HYPERLINK("https://booking.roadsurfer.com/es/rally/pick?pickup_date=2026-05-18&amp;return_date=2026-05-25&amp;currency=EUR&amp;startStation=90&amp;endStation=40",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2026-05-26</t>
        </is>
      </c>
      <c r="F249" t="inlineStr">
        <is>
          <t>2026-06-02</t>
        </is>
      </c>
      <c r="G249" t="inlineStr">
        <is>
          <t xml:space="preserve"> - Road House</t>
        </is>
      </c>
      <c r="H249">
        <f>HYPERLINK("https://booking.roadsurfer.com/es/rally/pick?pickup_date=2026-05-26&amp;return_date=2026-06-02&amp;currency=EUR&amp;startStation=90&amp;endStation=59",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2026-05-12</t>
        </is>
      </c>
      <c r="F250" t="inlineStr">
        <is>
          <t>2026-05-19</t>
        </is>
      </c>
      <c r="G250" t="inlineStr">
        <is>
          <t xml:space="preserve"> - Road House</t>
        </is>
      </c>
      <c r="H250">
        <f>HYPERLINK("https://booking.roadsurfer.com/es/rally/pick?pickup_date=2026-05-12&amp;return_date=2026-05-19&amp;currency=EUR&amp;startStation=90&amp;endStation=52",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2026-04-24</t>
        </is>
      </c>
      <c r="F251" t="inlineStr">
        <is>
          <t>2026-05-01</t>
        </is>
      </c>
      <c r="G251" t="inlineStr">
        <is>
          <t xml:space="preserve"> - No hay coche</t>
        </is>
      </c>
      <c r="H251">
        <f>HYPERLINK("https://booking.roadsurfer.com/es/rally/pick?pickup_date=2026-04-24&amp;return_date=2026-05-01&amp;currency=EUR&amp;startStation=90&amp;endStation=12",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2026-04-26</t>
        </is>
      </c>
      <c r="F252" t="inlineStr">
        <is>
          <t>2026-05-03</t>
        </is>
      </c>
      <c r="G252" t="inlineStr">
        <is>
          <t xml:space="preserve"> - No hay coche</t>
        </is>
      </c>
      <c r="H252">
        <f>HYPERLINK("https://booking.roadsurfer.com/es/rally/pick?pickup_date=2026-04-26&amp;return_date=2026-05-03&amp;currency=EUR&amp;startStation=90&amp;endStation=12",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2026-05-21</t>
        </is>
      </c>
      <c r="F253" t="inlineStr">
        <is>
          <t>2026-05-28</t>
        </is>
      </c>
      <c r="G253" t="inlineStr">
        <is>
          <t xml:space="preserve"> - Couple Cottage</t>
        </is>
      </c>
      <c r="H253">
        <f>HYPERLINK("https://booking.roadsurfer.com/es/rally/pick?pickup_date=2026-05-21&amp;return_date=2026-05-28&amp;currency=EUR&amp;startStation=90&amp;endStation=94",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Italia</t>
        </is>
      </c>
      <c r="D254" t="inlineStr">
        <is>
          <t>Bérgamo</t>
        </is>
      </c>
      <c r="E254" t="inlineStr">
        <is>
          <t>2026-04-29</t>
        </is>
      </c>
      <c r="F254" t="inlineStr">
        <is>
          <t>2026-05-06</t>
        </is>
      </c>
      <c r="G254" t="inlineStr">
        <is>
          <t xml:space="preserve"> - Camper Castle</t>
        </is>
      </c>
      <c r="H254">
        <f>HYPERLINK("https://booking.roadsurfer.com/es/rally/pick?pickup_date=2026-04-29&amp;return_date=2026-05-06&amp;currency=EUR&amp;startStation=90&amp;endStation=94",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2026-05-13</t>
        </is>
      </c>
      <c r="F255" t="inlineStr">
        <is>
          <t>2026-05-20</t>
        </is>
      </c>
      <c r="G255" t="inlineStr">
        <is>
          <t xml:space="preserve"> - Cozy Cottage</t>
        </is>
      </c>
      <c r="H255">
        <f>HYPERLINK("https://booking.roadsurfer.com/es/rally/pick?pickup_date=2026-05-13&amp;return_date=2026-05-20&amp;currency=EUR&amp;startStation=90&amp;endStation=45",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Austria</t>
        </is>
      </c>
      <c r="D256" t="inlineStr">
        <is>
          <t>Viena Sur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Family Finca</t>
        </is>
      </c>
      <c r="H256">
        <f>HYPERLINK("https://booking.roadsurfer.com/es/rally/pick?pickup_date=2026-05-11&amp;return_date=2026-05-18&amp;currency=EUR&amp;startStation=90&amp;endStation=45",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2026-05-12</t>
        </is>
      </c>
      <c r="F257" t="inlineStr">
        <is>
          <t>2026-05-19</t>
        </is>
      </c>
      <c r="G257" t="inlineStr">
        <is>
          <t xml:space="preserve"> - COZY COTTAGE</t>
        </is>
      </c>
      <c r="H257">
        <f>HYPERLINK("https://booking.roadsurfer.com/es/rally/pick?pickup_date=2026-05-12&amp;return_date=2026-05-19&amp;currency=EUR&amp;startStation=90&amp;endStation=60",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2026-05-26</t>
        </is>
      </c>
      <c r="F258" t="inlineStr">
        <is>
          <t>2026-06-01</t>
        </is>
      </c>
      <c r="G258" t="inlineStr">
        <is>
          <t xml:space="preserve"> - Family Finca</t>
        </is>
      </c>
      <c r="H258">
        <f>HYPERLINK("https://booking.roadsurfer.com/es/rally/pick?pickup_date=2026-05-26&amp;return_date=2026-06-01&amp;currency=EUR&amp;startStation=90&amp;endStation=60",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Austria</t>
        </is>
      </c>
      <c r="D259" t="inlineStr">
        <is>
          <t>Viena</t>
        </is>
      </c>
      <c r="E259" t="inlineStr">
        <is>
          <t>2026-05-13</t>
        </is>
      </c>
      <c r="F259" t="inlineStr">
        <is>
          <t>2026-05-20</t>
        </is>
      </c>
      <c r="G259" t="inlineStr">
        <is>
          <t xml:space="preserve"> - Couple Cottage</t>
        </is>
      </c>
      <c r="H259">
        <f>HYPERLINK("https://booking.roadsurfer.com/es/rally/pick?pickup_date=2026-05-13&amp;return_date=2026-05-20&amp;currency=EUR&amp;startStation=90&amp;endStation=36",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2026-04-25</t>
        </is>
      </c>
      <c r="F260" t="inlineStr">
        <is>
          <t>2026-05-02</t>
        </is>
      </c>
      <c r="G260" t="inlineStr">
        <is>
          <t xml:space="preserve"> - No hay coche</t>
        </is>
      </c>
      <c r="H260">
        <f>HYPERLINK("https://booking.roadsurfer.com/es/rally/pick?pickup_date=2026-04-25&amp;return_date=2026-05-02&amp;currency=EUR&amp;startStation=90&amp;endStation=29",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Italia</t>
        </is>
      </c>
      <c r="D261" t="inlineStr">
        <is>
          <t>Venecia</t>
        </is>
      </c>
      <c r="E261" t="inlineStr">
        <is>
          <t>2026-04-27</t>
        </is>
      </c>
      <c r="F261" t="inlineStr">
        <is>
          <t>2026-05-04</t>
        </is>
      </c>
      <c r="G261" t="inlineStr">
        <is>
          <t xml:space="preserve"> - Sunrise Suite</t>
        </is>
      </c>
      <c r="H261">
        <f>HYPERLINK("https://booking.roadsurfer.com/es/rally/pick?pickup_date=2026-04-27&amp;return_date=2026-05-04&amp;currency=EUR&amp;startStation=90&amp;endStation=78", "Clic para verlo en la web de RoadSurfer")</f>
        <v/>
      </c>
    </row>
    <row r="262">
      <c r="A262" t="inlineStr">
        <is>
          <t>Italia</t>
        </is>
      </c>
      <c r="B262" t="inlineStr">
        <is>
          <t>Florencia</t>
        </is>
      </c>
      <c r="C262" t="inlineStr">
        <is>
          <t>Alemania</t>
        </is>
      </c>
      <c r="D262" t="inlineStr">
        <is>
          <t>Augsburgo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Family Finca</t>
        </is>
      </c>
      <c r="H262">
        <f>HYPERLINK("https://booking.roadsurfer.com/es/rally/pick?pickup_date=2026-05-15&amp;return_date=2026-05-22&amp;currency=EUR&amp;startStation=80&amp;endStation=108",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Alemania</t>
        </is>
      </c>
      <c r="D263" t="inlineStr">
        <is>
          <t>Braunschweig</t>
        </is>
      </c>
      <c r="E263" t="inlineStr">
        <is>
          <t>2026-04-24</t>
        </is>
      </c>
      <c r="F263" t="inlineStr">
        <is>
          <t>2026-05-01</t>
        </is>
      </c>
      <c r="G263" t="inlineStr">
        <is>
          <t xml:space="preserve"> - No hay coche</t>
        </is>
      </c>
      <c r="H263">
        <f>HYPERLINK("https://booking.roadsurfer.com/es/rally/pick?pickup_date=2026-04-24&amp;return_date=2026-05-01&amp;currency=EUR&amp;startStation=2&amp;endStation=128",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Alemania</t>
        </is>
      </c>
      <c r="D264" t="inlineStr">
        <is>
          <t>Braunschweig</t>
        </is>
      </c>
      <c r="E264" t="inlineStr">
        <is>
          <t>2026-04-27</t>
        </is>
      </c>
      <c r="F264" t="inlineStr">
        <is>
          <t>2026-05-04</t>
        </is>
      </c>
      <c r="G264" t="inlineStr">
        <is>
          <t xml:space="preserve"> - Road House</t>
        </is>
      </c>
      <c r="H264">
        <f>HYPERLINK("https://booking.roadsurfer.com/es/rally/pick?pickup_date=2026-04-27&amp;return_date=2026-05-04&amp;currency=EUR&amp;startStation=2&amp;endStation=128",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2026-04-26</t>
        </is>
      </c>
      <c r="F265" t="inlineStr">
        <is>
          <t>2026-05-03</t>
        </is>
      </c>
      <c r="G265" t="inlineStr">
        <is>
          <t xml:space="preserve"> - No hay coche</t>
        </is>
      </c>
      <c r="H265">
        <f>HYPERLINK("https://booking.roadsurfer.com/es/rally/pick?pickup_date=2026-04-26&amp;return_date=2026-05-03&amp;currency=EUR&amp;startStation=2&amp;endStation=48",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Italia</t>
        </is>
      </c>
      <c r="D266" t="inlineStr">
        <is>
          <t>Florencia</t>
        </is>
      </c>
      <c r="E266" t="inlineStr">
        <is>
          <t>2026-05-02</t>
        </is>
      </c>
      <c r="F266" t="inlineStr">
        <is>
          <t>2026-05-09</t>
        </is>
      </c>
      <c r="G266" t="inlineStr">
        <is>
          <t xml:space="preserve"> - Couple Cottage</t>
        </is>
      </c>
      <c r="H266">
        <f>HYPERLINK("https://booking.roadsurfer.com/es/rally/pick?pickup_date=2026-05-02&amp;return_date=2026-05-09&amp;currency=EUR&amp;startStation=2&amp;endStation=80",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Italia</t>
        </is>
      </c>
      <c r="D267" t="inlineStr">
        <is>
          <t>Florencia</t>
        </is>
      </c>
      <c r="E267" t="inlineStr">
        <is>
          <t>2026-04-26</t>
        </is>
      </c>
      <c r="F267" t="inlineStr">
        <is>
          <t>2026-05-03</t>
        </is>
      </c>
      <c r="G267" t="inlineStr">
        <is>
          <t xml:space="preserve"> - No hay coche</t>
        </is>
      </c>
      <c r="H267">
        <f>HYPERLINK("https://booking.roadsurfer.com/es/rally/pick?pickup_date=2026-04-26&amp;return_date=2026-05-03&amp;currency=EUR&amp;startStation=2&amp;endStation=80",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2026-05-29</t>
        </is>
      </c>
      <c r="F268" t="inlineStr">
        <is>
          <t>2026-06-05</t>
        </is>
      </c>
      <c r="G268" t="inlineStr">
        <is>
          <t xml:space="preserve"> - Surfer Suite</t>
        </is>
      </c>
      <c r="H268">
        <f>HYPERLINK("https://booking.roadsurfer.com/es/rally/pick?pickup_date=2026-05-29&amp;return_date=2026-06-05&amp;currency=EUR&amp;startStation=2&amp;endStation=40",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2026-05-08</t>
        </is>
      </c>
      <c r="F269" t="inlineStr">
        <is>
          <t>2026-05-15</t>
        </is>
      </c>
      <c r="G269" t="inlineStr">
        <is>
          <t xml:space="preserve"> - Couple Cottage - Sunrise Suite</t>
        </is>
      </c>
      <c r="H269">
        <f>HYPERLINK("https://booking.roadsurfer.com/es/rally/pick?pickup_date=2026-05-08&amp;return_date=2026-05-15&amp;currency=EUR&amp;startStation=2&amp;endStation=40",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No hay coche</t>
        </is>
      </c>
      <c r="H270">
        <f>HYPERLINK("https://booking.roadsurfer.com/es/rally/pick?pickup_date=2026-04-23&amp;return_date=2026-04-30&amp;currency=EUR&amp;startStation=2&amp;endStation=40",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Austria</t>
        </is>
      </c>
      <c r="D271" t="inlineStr">
        <is>
          <t>Innsbruck-Wiesing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Beach Hostel</t>
        </is>
      </c>
      <c r="H271">
        <f>HYPERLINK("https://booking.roadsurfer.com/es/rally/pick?pickup_date=2026-05-11&amp;return_date=2026-05-18&amp;currency=EUR&amp;startStation=2&amp;endStation=46",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Alemania</t>
        </is>
      </c>
      <c r="D272" t="inlineStr">
        <is>
          <t>Flensburgo</t>
        </is>
      </c>
      <c r="E272" t="inlineStr">
        <is>
          <t>2026-04-24</t>
        </is>
      </c>
      <c r="F272" t="inlineStr">
        <is>
          <t>2026-05-01</t>
        </is>
      </c>
      <c r="G272" t="inlineStr">
        <is>
          <t xml:space="preserve"> - No hay coche</t>
        </is>
      </c>
      <c r="H272">
        <f>HYPERLINK("https://booking.roadsurfer.com/es/rally/pick?pickup_date=2026-04-24&amp;return_date=2026-05-01&amp;currency=EUR&amp;startStation=2&amp;endStation=130",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2026-04-27</t>
        </is>
      </c>
      <c r="F273" t="inlineStr">
        <is>
          <t>2026-05-04</t>
        </is>
      </c>
      <c r="G273" t="inlineStr">
        <is>
          <t xml:space="preserve"> - Beach Hostel</t>
        </is>
      </c>
      <c r="H273">
        <f>HYPERLINK("https://booking.roadsurfer.com/es/rally/pick?pickup_date=2026-04-27&amp;return_date=2026-05-04&amp;currency=EUR&amp;startStation=2&amp;endStation=78",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Francia</t>
        </is>
      </c>
      <c r="D274" t="inlineStr">
        <is>
          <t>Burdeos</t>
        </is>
      </c>
      <c r="E274" t="inlineStr">
        <is>
          <t>2026-04-28</t>
        </is>
      </c>
      <c r="F274" t="inlineStr">
        <is>
          <t>2026-05-05</t>
        </is>
      </c>
      <c r="G274" t="inlineStr">
        <is>
          <t xml:space="preserve"> - Travel Home</t>
        </is>
      </c>
      <c r="H274">
        <f>HYPERLINK("https://booking.roadsurfer.com/es/rally/pick?pickup_date=2026-04-28&amp;return_date=2026-05-05&amp;currency=EUR&amp;startStation=2&amp;endStation=13",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Camper Cabin</t>
        </is>
      </c>
      <c r="H275">
        <f>HYPERLINK("https://booking.roadsurfer.com/es/rally/pick?pickup_date=2026-05-04&amp;return_date=2026-05-11&amp;currency=EUR&amp;startStation=2&amp;endStation=3",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Road House</t>
        </is>
      </c>
      <c r="H276">
        <f>HYPERLINK("https://booking.roadsurfer.com/es/rally/pick?pickup_date=2026-05-04&amp;return_date=2026-05-11&amp;currency=EUR&amp;startStation=2&amp;endStation=94",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2026-04-25</t>
        </is>
      </c>
      <c r="F277" t="inlineStr">
        <is>
          <t>2026-05-02</t>
        </is>
      </c>
      <c r="G277" t="inlineStr">
        <is>
          <t xml:space="preserve"> - Camper Cabin Deluxe</t>
        </is>
      </c>
      <c r="H277">
        <f>HYPERLINK("https://booking.roadsurfer.com/es/rally/pick?pickup_date=2026-04-25&amp;return_date=2026-05-02&amp;currency=EUR&amp;startStation=2&amp;endStation=15",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Camper Castle - Couple Cottage</t>
        </is>
      </c>
      <c r="H278">
        <f>HYPERLINK("https://booking.roadsurfer.com/es/rally/pick?pickup_date=2026-05-15&amp;return_date=2026-05-22&amp;currency=EUR&amp;startStation=2&amp;endStation=20",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2026-05-12</t>
        </is>
      </c>
      <c r="F279" t="inlineStr">
        <is>
          <t>2026-05-19</t>
        </is>
      </c>
      <c r="G279" t="inlineStr">
        <is>
          <t xml:space="preserve"> - Camper Castle</t>
        </is>
      </c>
      <c r="H279">
        <f>HYPERLINK("https://booking.roadsurfer.com/es/rally/pick?pickup_date=2026-05-12&amp;return_date=2026-05-19&amp;currency=EUR&amp;startStation=2&amp;endStation=20",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2026-05-05</t>
        </is>
      </c>
      <c r="F280" t="inlineStr">
        <is>
          <t>2026-05-12</t>
        </is>
      </c>
      <c r="G280" t="inlineStr">
        <is>
          <t xml:space="preserve"> - COUPLE COTTAGE</t>
        </is>
      </c>
      <c r="H280">
        <f>HYPERLINK("https://booking.roadsurfer.com/es/rally/pick?pickup_date=2026-05-05&amp;return_date=2026-05-12&amp;currency=EUR&amp;startStation=2&amp;endStation=20",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Camper Castle</t>
        </is>
      </c>
      <c r="H281">
        <f>HYPERLINK("https://booking.roadsurfer.com/es/rally/pick?pickup_date=2026-05-04&amp;return_date=2026-05-11&amp;currency=EUR&amp;startStation=2&amp;endStation=20",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2026-04-30</t>
        </is>
      </c>
      <c r="F282" t="inlineStr">
        <is>
          <t>2026-05-07</t>
        </is>
      </c>
      <c r="G282" t="inlineStr">
        <is>
          <t xml:space="preserve"> - Family Finca</t>
        </is>
      </c>
      <c r="H282">
        <f>HYPERLINK("https://booking.roadsurfer.com/es/rally/pick?pickup_date=2026-04-30&amp;return_date=2026-05-07&amp;currency=EUR&amp;startStation=2&amp;endStation=29",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2026-04-24</t>
        </is>
      </c>
      <c r="F283" t="inlineStr">
        <is>
          <t>2026-05-01</t>
        </is>
      </c>
      <c r="G283" t="inlineStr">
        <is>
          <t xml:space="preserve"> - No hay coche</t>
        </is>
      </c>
      <c r="H283">
        <f>HYPERLINK("https://booking.roadsurfer.com/es/rally/pick?pickup_date=2026-04-24&amp;return_date=2026-05-01&amp;currency=EUR&amp;startStation=2&amp;endStation=29",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Bélgica</t>
        </is>
      </c>
      <c r="D284" t="inlineStr">
        <is>
          <t>Amberes</t>
        </is>
      </c>
      <c r="E284" t="inlineStr">
        <is>
          <t>2026-04-25</t>
        </is>
      </c>
      <c r="F284" t="inlineStr">
        <is>
          <t>2026-05-02</t>
        </is>
      </c>
      <c r="G284" t="inlineStr">
        <is>
          <t xml:space="preserve"> - No hay coche</t>
        </is>
      </c>
      <c r="H284">
        <f>HYPERLINK("https://booking.roadsurfer.com/es/rally/pick?pickup_date=2026-04-25&amp;return_date=2026-05-02&amp;currency=EUR&amp;startStation=2&amp;endStation=47",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Austria</t>
        </is>
      </c>
      <c r="D285" t="inlineStr">
        <is>
          <t>Viena Sur</t>
        </is>
      </c>
      <c r="E285" t="inlineStr">
        <is>
          <t>2026-05-08</t>
        </is>
      </c>
      <c r="F285" t="inlineStr">
        <is>
          <t>2026-05-15</t>
        </is>
      </c>
      <c r="G285" t="inlineStr">
        <is>
          <t xml:space="preserve"> - Couple Cottage</t>
        </is>
      </c>
      <c r="H285">
        <f>HYPERLINK("https://booking.roadsurfer.com/es/rally/pick?pickup_date=2026-05-08&amp;return_date=2026-05-15&amp;currency=EUR&amp;startStation=2&amp;endStation=45",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Couple Cottage</t>
        </is>
      </c>
      <c r="H286">
        <f>HYPERLINK("https://booking.roadsurfer.com/es/rally/pick?pickup_date=2026-05-04&amp;return_date=2026-05-11&amp;currency=EUR&amp;startStation=2&amp;endStation=77",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Suecia</t>
        </is>
      </c>
      <c r="D287" t="inlineStr">
        <is>
          <t>Gotemburgo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Cozy Cottage</t>
        </is>
      </c>
      <c r="H287">
        <f>HYPERLINK("https://booking.roadsurfer.com/es/rally/pick?pickup_date=2026-05-15&amp;return_date=2026-05-22&amp;currency=EUR&amp;startStation=2&amp;endStation=77",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2026-04-24</t>
        </is>
      </c>
      <c r="F288" t="inlineStr">
        <is>
          <t>2026-05-01</t>
        </is>
      </c>
      <c r="G288" t="inlineStr">
        <is>
          <t xml:space="preserve"> - No hay coche</t>
        </is>
      </c>
      <c r="H288">
        <f>HYPERLINK("https://booking.roadsurfer.com/es/rally/pick?pickup_date=2026-04-24&amp;return_date=2026-05-01&amp;currency=EUR&amp;startStation=2&amp;endStation=77",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2026-04-27</t>
        </is>
      </c>
      <c r="F289" t="inlineStr">
        <is>
          <t>2026-05-04</t>
        </is>
      </c>
      <c r="G289" t="inlineStr">
        <is>
          <t xml:space="preserve"> - Cozy Cottage</t>
        </is>
      </c>
      <c r="H289">
        <f>HYPERLINK("https://booking.roadsurfer.com/es/rally/pick?pickup_date=2026-04-27&amp;return_date=2026-05-04&amp;currency=EUR&amp;startStation=2&amp;endStation=77",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Italia</t>
        </is>
      </c>
      <c r="D290" t="inlineStr">
        <is>
          <t>Bolonia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Couple Cottage</t>
        </is>
      </c>
      <c r="H290">
        <f>HYPERLINK("https://booking.roadsurfer.com/es/rally/pick?pickup_date=2026-05-04&amp;return_date=2026-05-11&amp;currency=EUR&amp;startStation=2&amp;endStation=57",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Couple Cottage</t>
        </is>
      </c>
      <c r="H291">
        <f>HYPERLINK("https://booking.roadsurfer.com/es/rally/pick?pickup_date=2026-05-13&amp;return_date=2026-05-20&amp;currency=EUR&amp;startStation=2&amp;endStation=59",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Sevilla</t>
        </is>
      </c>
      <c r="E292" t="inlineStr">
        <is>
          <t>2026-05-26</t>
        </is>
      </c>
      <c r="F292" t="inlineStr">
        <is>
          <t>2026-06-01</t>
        </is>
      </c>
      <c r="G292" t="inlineStr">
        <is>
          <t xml:space="preserve"> - Couple Cottage</t>
        </is>
      </c>
      <c r="H292">
        <f>HYPERLINK("https://booking.roadsurfer.com/es/rally/pick?pickup_date=2026-05-26&amp;return_date=2026-06-01&amp;currency=EUR&amp;startStation=2&amp;endStation=39",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Suecia</t>
        </is>
      </c>
      <c r="D293" t="inlineStr">
        <is>
          <t>Malmö</t>
        </is>
      </c>
      <c r="E293" t="inlineStr">
        <is>
          <t>2026-05-06</t>
        </is>
      </c>
      <c r="F293" t="inlineStr">
        <is>
          <t>2026-05-13</t>
        </is>
      </c>
      <c r="G293" t="inlineStr">
        <is>
          <t xml:space="preserve"> - Couple Cottage</t>
        </is>
      </c>
      <c r="H293">
        <f>HYPERLINK("https://booking.roadsurfer.com/es/rally/pick?pickup_date=2026-05-06&amp;return_date=2026-05-13&amp;currency=EUR&amp;startStation=2&amp;endStation=60",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COUPLE COTTAGE</t>
        </is>
      </c>
      <c r="H294">
        <f>HYPERLINK("https://booking.roadsurfer.com/es/rally/pick?pickup_date=2026-05-04&amp;return_date=2026-05-11&amp;currency=EUR&amp;startStation=2&amp;endStation=33",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Alemania</t>
        </is>
      </c>
      <c r="D295" t="inlineStr">
        <is>
          <t>Hamburgo Aeropuerto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Cozy Cottage</t>
        </is>
      </c>
      <c r="H295">
        <f>HYPERLINK("https://booking.roadsurfer.com/es/rally/pick?pickup_date=2026-05-04&amp;return_date=2026-05-11&amp;currency=EUR&amp;startStation=2&amp;endStation=65",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2026-04-27</t>
        </is>
      </c>
      <c r="F296" t="inlineStr">
        <is>
          <t>2026-05-04</t>
        </is>
      </c>
      <c r="G296" t="inlineStr">
        <is>
          <t xml:space="preserve"> - Cozy Cottage</t>
        </is>
      </c>
      <c r="H296">
        <f>HYPERLINK("https://booking.roadsurfer.com/es/rally/pick?pickup_date=2026-04-27&amp;return_date=2026-05-04&amp;currency=EUR&amp;startStation=2&amp;endStation=91",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2026-04-24</t>
        </is>
      </c>
      <c r="F297" t="inlineStr">
        <is>
          <t>2026-05-01</t>
        </is>
      </c>
      <c r="G297" t="inlineStr">
        <is>
          <t xml:space="preserve"> - No hay coche</t>
        </is>
      </c>
      <c r="H297">
        <f>HYPERLINK("https://booking.roadsurfer.com/es/rally/pick?pickup_date=2026-04-24&amp;return_date=2026-05-01&amp;currency=EUR&amp;startStation=2&amp;endStation=1",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2026-04-27</t>
        </is>
      </c>
      <c r="F298" t="inlineStr">
        <is>
          <t>2026-05-04</t>
        </is>
      </c>
      <c r="G298" t="inlineStr">
        <is>
          <t xml:space="preserve"> - Surfer Suite</t>
        </is>
      </c>
      <c r="H298">
        <f>HYPERLINK("https://booking.roadsurfer.com/es/rally/pick?pickup_date=2026-04-27&amp;return_date=2026-05-04&amp;currency=EUR&amp;startStation=9&amp;endStation=40",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2026-05-13</t>
        </is>
      </c>
      <c r="F299" t="inlineStr">
        <is>
          <t>2026-05-20</t>
        </is>
      </c>
      <c r="G299" t="inlineStr">
        <is>
          <t xml:space="preserve"> - Road House</t>
        </is>
      </c>
      <c r="H299">
        <f>HYPERLINK("https://booking.roadsurfer.com/es/rally/pick?pickup_date=2026-05-13&amp;return_date=2026-05-20&amp;currency=EUR&amp;startStation=9&amp;endStation=40",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2026-04-25</t>
        </is>
      </c>
      <c r="F300" t="inlineStr">
        <is>
          <t>2026-05-02</t>
        </is>
      </c>
      <c r="G300" t="inlineStr">
        <is>
          <t xml:space="preserve"> - Camper Cabin</t>
        </is>
      </c>
      <c r="H300">
        <f>HYPERLINK("https://booking.roadsurfer.com/es/rally/pick?pickup_date=2026-04-25&amp;return_date=2026-05-02&amp;currency=EUR&amp;startStation=9&amp;endStation=40",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2026-05-19</t>
        </is>
      </c>
      <c r="F301" t="inlineStr">
        <is>
          <t>2026-05-26</t>
        </is>
      </c>
      <c r="G301" t="inlineStr">
        <is>
          <t xml:space="preserve"> - Surfer Suite</t>
        </is>
      </c>
      <c r="H301">
        <f>HYPERLINK("https://booking.roadsurfer.com/es/rally/pick?pickup_date=2026-05-19&amp;return_date=2026-05-26&amp;currency=EUR&amp;startStation=9&amp;endStation=40",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Duisburgo</t>
        </is>
      </c>
      <c r="E302" t="inlineStr">
        <is>
          <t>2026-04-25</t>
        </is>
      </c>
      <c r="F302" t="inlineStr">
        <is>
          <t>2026-05-02</t>
        </is>
      </c>
      <c r="G302" t="inlineStr">
        <is>
          <t xml:space="preserve"> - Surfer Suite</t>
        </is>
      </c>
      <c r="H302">
        <f>HYPERLINK("https://booking.roadsurfer.com/es/rally/pick?pickup_date=2026-04-25&amp;return_date=2026-05-02&amp;currency=EUR&amp;startStation=9&amp;endStation=113",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2026-04-24</t>
        </is>
      </c>
      <c r="F303" t="inlineStr">
        <is>
          <t>2026-05-01</t>
        </is>
      </c>
      <c r="G303" t="inlineStr">
        <is>
          <t xml:space="preserve"> - No hay coche</t>
        </is>
      </c>
      <c r="H303">
        <f>HYPERLINK("https://booking.roadsurfer.com/es/rally/pick?pickup_date=2026-04-24&amp;return_date=2026-05-01&amp;currency=EUR&amp;startStation=9&amp;endStation=15",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2026-04-27</t>
        </is>
      </c>
      <c r="F304" t="inlineStr">
        <is>
          <t>2026-05-04</t>
        </is>
      </c>
      <c r="G304" t="inlineStr">
        <is>
          <t xml:space="preserve"> - Surfer Suite</t>
        </is>
      </c>
      <c r="H304">
        <f>HYPERLINK("https://booking.roadsurfer.com/es/rally/pick?pickup_date=2026-04-27&amp;return_date=2026-05-04&amp;currency=EUR&amp;startStation=9&amp;endStation=15",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Surfer Suite</t>
        </is>
      </c>
      <c r="H305">
        <f>HYPERLINK("https://booking.roadsurfer.com/es/rally/pick?pickup_date=2026-05-15&amp;return_date=2026-05-22&amp;currency=EUR&amp;startStation=9&amp;endStation=15",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2026-05-19</t>
        </is>
      </c>
      <c r="F306" t="inlineStr">
        <is>
          <t>2026-05-26</t>
        </is>
      </c>
      <c r="G306" t="inlineStr">
        <is>
          <t xml:space="preserve"> - No hay coche</t>
        </is>
      </c>
      <c r="H306">
        <f>HYPERLINK("https://booking.roadsurfer.com/es/rally/pick?pickup_date=2026-05-19&amp;return_date=2026-05-26&amp;currency=EUR&amp;startStation=9&amp;endStation=20",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Madrid</t>
        </is>
      </c>
      <c r="E307" t="inlineStr">
        <is>
          <t>2026-04-26</t>
        </is>
      </c>
      <c r="F307" t="inlineStr">
        <is>
          <t>2026-05-03</t>
        </is>
      </c>
      <c r="G307" t="inlineStr">
        <is>
          <t xml:space="preserve"> - No hay coche</t>
        </is>
      </c>
      <c r="H307">
        <f>HYPERLINK("https://booking.roadsurfer.com/es/rally/pick?pickup_date=2026-04-26&amp;return_date=2026-05-03&amp;currency=EUR&amp;startStation=9&amp;endStation=20",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Alemania</t>
        </is>
      </c>
      <c r="D308" t="inlineStr">
        <is>
          <t>Aquisgrán</t>
        </is>
      </c>
      <c r="E308" t="inlineStr">
        <is>
          <t>2026-04-27</t>
        </is>
      </c>
      <c r="F308" t="inlineStr">
        <is>
          <t>2026-05-04</t>
        </is>
      </c>
      <c r="G308" t="inlineStr">
        <is>
          <t xml:space="preserve"> - Surfer Suite</t>
        </is>
      </c>
      <c r="H308">
        <f>HYPERLINK("https://booking.roadsurfer.com/es/rally/pick?pickup_date=2026-04-27&amp;return_date=2026-05-04&amp;currency=EUR&amp;startStation=9&amp;endStation=114",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Flensburgo</t>
        </is>
      </c>
      <c r="E309" t="inlineStr">
        <is>
          <t>2026-04-25</t>
        </is>
      </c>
      <c r="F309" t="inlineStr">
        <is>
          <t>2026-05-02</t>
        </is>
      </c>
      <c r="G309" t="inlineStr">
        <is>
          <t xml:space="preserve"> - Surfer Suite</t>
        </is>
      </c>
      <c r="H309">
        <f>HYPERLINK("https://booking.roadsurfer.com/es/rally/pick?pickup_date=2026-04-25&amp;return_date=2026-05-02&amp;currency=EUR&amp;startStation=9&amp;endStation=130",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Francia</t>
        </is>
      </c>
      <c r="D310" t="inlineStr">
        <is>
          <t>Nantes</t>
        </is>
      </c>
      <c r="E310" t="inlineStr">
        <is>
          <t>2026-04-27</t>
        </is>
      </c>
      <c r="F310" t="inlineStr">
        <is>
          <t>2026-05-04</t>
        </is>
      </c>
      <c r="G310" t="inlineStr">
        <is>
          <t xml:space="preserve"> - No hay coche</t>
        </is>
      </c>
      <c r="H310">
        <f>HYPERLINK("https://booking.roadsurfer.com/es/rally/pick?pickup_date=2026-04-27&amp;return_date=2026-05-04&amp;currency=EUR&amp;startStation=9&amp;endStation=31",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Road House</t>
        </is>
      </c>
      <c r="H311">
        <f>HYPERLINK("https://booking.roadsurfer.com/es/rally/pick?pickup_date=2026-05-04&amp;return_date=2026-05-11&amp;currency=EUR&amp;startStation=9&amp;endStation=31",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2026-05-21</t>
        </is>
      </c>
      <c r="F312" t="inlineStr">
        <is>
          <t>2026-05-28</t>
        </is>
      </c>
      <c r="G312" t="inlineStr">
        <is>
          <t xml:space="preserve"> - Camper Cabin</t>
        </is>
      </c>
      <c r="H312">
        <f>HYPERLINK("https://booking.roadsurfer.com/es/rally/pick?pickup_date=2026-05-21&amp;return_date=2026-05-28&amp;currency=EUR&amp;startStation=9&amp;endStation=1",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España</t>
        </is>
      </c>
      <c r="D313" t="inlineStr">
        <is>
          <t>Valencia</t>
        </is>
      </c>
      <c r="E313" t="inlineStr">
        <is>
          <t>2026-06-09</t>
        </is>
      </c>
      <c r="F313" t="inlineStr">
        <is>
          <t>2026-06-16</t>
        </is>
      </c>
      <c r="G313" t="inlineStr">
        <is>
          <t xml:space="preserve"> - Road House</t>
        </is>
      </c>
      <c r="H313">
        <f>HYPERLINK("https://booking.roadsurfer.com/es/rally/pick?pickup_date=2026-06-09&amp;return_date=2026-06-16&amp;currency=EUR&amp;startStation=9&amp;endStation=38",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España</t>
        </is>
      </c>
      <c r="D314" t="inlineStr">
        <is>
          <t>Valencia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Road House</t>
        </is>
      </c>
      <c r="H314">
        <f>HYPERLINK("https://booking.roadsurfer.com/es/rally/pick?pickup_date=2026-05-04&amp;return_date=2026-05-11&amp;currency=EUR&amp;startStation=9&amp;endStation=38",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Alemania</t>
        </is>
      </c>
      <c r="D315" t="inlineStr">
        <is>
          <t>Colonia-Bonn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Road House</t>
        </is>
      </c>
      <c r="H315">
        <f>HYPERLINK("https://booking.roadsurfer.com/es/rally/pick?pickup_date=2026-05-04&amp;return_date=2026-05-11&amp;currency=EUR&amp;startStation=9&amp;endStation=52",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Family Finca</t>
        </is>
      </c>
      <c r="H316">
        <f>HYPERLINK("https://booking.roadsurfer.com/es/rally/pick?pickup_date=2026-05-11&amp;return_date=2026-05-18&amp;currency=EUR&amp;startStation=9&amp;endStation=94",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Italia</t>
        </is>
      </c>
      <c r="D317" t="inlineStr">
        <is>
          <t>Bérgamo</t>
        </is>
      </c>
      <c r="E317" t="inlineStr">
        <is>
          <t>2026-05-18</t>
        </is>
      </c>
      <c r="F317" t="inlineStr">
        <is>
          <t>2026-05-25</t>
        </is>
      </c>
      <c r="G317" t="inlineStr">
        <is>
          <t xml:space="preserve"> - Road House</t>
        </is>
      </c>
      <c r="H317">
        <f>HYPERLINK("https://booking.roadsurfer.com/es/rally/pick?pickup_date=2026-05-18&amp;return_date=2026-05-25&amp;currency=EUR&amp;startStation=9&amp;endStation=94",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Italia</t>
        </is>
      </c>
      <c r="D318" t="inlineStr">
        <is>
          <t>Turín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Camper Castle</t>
        </is>
      </c>
      <c r="H318">
        <f>HYPERLINK("https://booking.roadsurfer.com/es/rally/pick?pickup_date=2026-05-22&amp;return_date=2026-05-29&amp;currency=EUR&amp;startStation=9&amp;endStation=58",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Family Finca</t>
        </is>
      </c>
      <c r="H319">
        <f>HYPERLINK("https://booking.roadsurfer.com/es/rally/pick?pickup_date=2026-05-11&amp;return_date=2026-05-18&amp;currency=EUR&amp;startStation=9&amp;endStation=30",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2026-04-30</t>
        </is>
      </c>
      <c r="F320" t="inlineStr">
        <is>
          <t>2026-05-07</t>
        </is>
      </c>
      <c r="G320" t="inlineStr">
        <is>
          <t xml:space="preserve"> - Couple Cottage</t>
        </is>
      </c>
      <c r="H320">
        <f>HYPERLINK("https://booking.roadsurfer.com/es/rally/pick?pickup_date=2026-04-30&amp;return_date=2026-05-07&amp;currency=EUR&amp;startStation=9&amp;endStation=56",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Francia</t>
        </is>
      </c>
      <c r="D321" t="inlineStr">
        <is>
          <t>Niza</t>
        </is>
      </c>
      <c r="E321" t="inlineStr">
        <is>
          <t>2026-05-11</t>
        </is>
      </c>
      <c r="F321" t="inlineStr">
        <is>
          <t>2026-05-18</t>
        </is>
      </c>
      <c r="G321" t="inlineStr">
        <is>
          <t xml:space="preserve"> - Cozy Cottage</t>
        </is>
      </c>
      <c r="H321">
        <f>HYPERLINK("https://booking.roadsurfer.com/es/rally/pick?pickup_date=2026-05-11&amp;return_date=2026-05-18&amp;currency=EUR&amp;startStation=9&amp;endStation=88",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Camper Cabin</t>
        </is>
      </c>
      <c r="H322">
        <f>HYPERLINK("https://booking.roadsurfer.com/es/rally/pick?pickup_date=2026-05-15&amp;return_date=2026-05-22&amp;currency=EUR&amp;startStation=29&amp;endStation=90",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Surfer Suite</t>
        </is>
      </c>
      <c r="H323">
        <f>HYPERLINK("https://booking.roadsurfer.com/es/rally/pick?pickup_date=2026-05-11&amp;return_date=2026-05-18&amp;currency=EUR&amp;startStation=29&amp;endStation=90",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2026-05-06</t>
        </is>
      </c>
      <c r="F324" t="inlineStr">
        <is>
          <t>2026-05-13</t>
        </is>
      </c>
      <c r="G324" t="inlineStr">
        <is>
          <t xml:space="preserve"> - Surfer Suite</t>
        </is>
      </c>
      <c r="H324">
        <f>HYPERLINK("https://booking.roadsurfer.com/es/rally/pick?pickup_date=2026-05-06&amp;return_date=2026-05-13&amp;currency=EUR&amp;startStation=29&amp;endStation=90",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2026-05-06</t>
        </is>
      </c>
      <c r="F325" t="inlineStr">
        <is>
          <t>2026-05-13</t>
        </is>
      </c>
      <c r="G325" t="inlineStr">
        <is>
          <t xml:space="preserve"> - Beach Hostel</t>
        </is>
      </c>
      <c r="H325">
        <f>HYPERLINK("https://booking.roadsurfer.com/es/rally/pick?pickup_date=2026-05-06&amp;return_date=2026-05-13&amp;currency=EUR&amp;startStation=29&amp;endStation=1",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2026-05-20</t>
        </is>
      </c>
      <c r="F326" t="inlineStr">
        <is>
          <t>2026-05-27</t>
        </is>
      </c>
      <c r="G326" t="inlineStr">
        <is>
          <t xml:space="preserve"> - Camper Castle</t>
        </is>
      </c>
      <c r="H326">
        <f>HYPERLINK("https://booking.roadsurfer.com/es/rally/pick?pickup_date=2026-05-20&amp;return_date=2026-05-27&amp;currency=EUR&amp;startStation=29&amp;endStation=22",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2026-05-06</t>
        </is>
      </c>
      <c r="F327" t="inlineStr">
        <is>
          <t>2026-05-13</t>
        </is>
      </c>
      <c r="G327" t="inlineStr">
        <is>
          <t xml:space="preserve"> - Travel Home</t>
        </is>
      </c>
      <c r="H327">
        <f>HYPERLINK("https://booking.roadsurfer.com/es/rally/pick?pickup_date=2026-05-06&amp;return_date=2026-05-13&amp;currency=EUR&amp;startStation=29&amp;endStation=22",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Camper Cabin</t>
        </is>
      </c>
      <c r="H328">
        <f>HYPERLINK("https://booking.roadsurfer.com/es/rally/pick?pickup_date=2026-05-04&amp;return_date=2026-05-11&amp;currency=EUR&amp;startStation=29&amp;endStation=22",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Kassel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Camper Cabin</t>
        </is>
      </c>
      <c r="H329">
        <f>HYPERLINK("https://booking.roadsurfer.com/es/rally/pick?pickup_date=2026-05-04&amp;return_date=2026-05-11&amp;currency=EUR&amp;startStation=29&amp;endStation=92",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Camper Cabin</t>
        </is>
      </c>
      <c r="H330">
        <f>HYPERLINK("https://booking.roadsurfer.com/es/rally/pick?pickup_date=2026-05-11&amp;return_date=2026-05-18&amp;currency=EUR&amp;startStation=29&amp;endStation=56",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2026-05-08</t>
        </is>
      </c>
      <c r="F331" t="inlineStr">
        <is>
          <t>2026-05-15</t>
        </is>
      </c>
      <c r="G331" t="inlineStr">
        <is>
          <t xml:space="preserve"> - No hay coche</t>
        </is>
      </c>
      <c r="H331">
        <f>HYPERLINK("https://booking.roadsurfer.com/es/rally/pick?pickup_date=2026-05-08&amp;return_date=2026-05-15&amp;currency=EUR&amp;startStation=29&amp;endStation=56",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Sunrise Suite</t>
        </is>
      </c>
      <c r="H332">
        <f>HYPERLINK("https://booking.roadsurfer.com/es/rally/pick?pickup_date=2026-05-15&amp;return_date=2026-05-22&amp;currency=EUR&amp;startStation=29&amp;endStation=56",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Constanza (Aach)</t>
        </is>
      </c>
      <c r="E333" t="inlineStr">
        <is>
          <t>2026-05-15</t>
        </is>
      </c>
      <c r="F333" t="inlineStr">
        <is>
          <t>2026-05-22</t>
        </is>
      </c>
      <c r="G333" t="inlineStr">
        <is>
          <t xml:space="preserve"> - Camper Cabin</t>
        </is>
      </c>
      <c r="H333">
        <f>HYPERLINK("https://booking.roadsurfer.com/es/rally/pick?pickup_date=2026-05-15&amp;return_date=2026-05-22&amp;currency=EUR&amp;startStation=29&amp;endStation=10",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Constanza (Aach)</t>
        </is>
      </c>
      <c r="E334" t="inlineStr">
        <is>
          <t>2026-05-05</t>
        </is>
      </c>
      <c r="F334" t="inlineStr">
        <is>
          <t>2026-05-12</t>
        </is>
      </c>
      <c r="G334" t="inlineStr">
        <is>
          <t xml:space="preserve"> - COUPLE COTTAGE</t>
        </is>
      </c>
      <c r="H334">
        <f>HYPERLINK("https://booking.roadsurfer.com/es/rally/pick?pickup_date=2026-05-05&amp;return_date=2026-05-12&amp;currency=EUR&amp;startStation=29&amp;endStation=10",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Wurzburgo</t>
        </is>
      </c>
      <c r="E335" t="inlineStr">
        <is>
          <t>2026-05-18</t>
        </is>
      </c>
      <c r="F335" t="inlineStr">
        <is>
          <t>2026-05-25</t>
        </is>
      </c>
      <c r="G335" t="inlineStr">
        <is>
          <t xml:space="preserve"> - No hay coche</t>
        </is>
      </c>
      <c r="H335">
        <f>HYPERLINK("https://booking.roadsurfer.com/es/rally/pick?pickup_date=2026-05-18&amp;return_date=2026-05-25&amp;currency=EUR&amp;startStation=29&amp;endStation=115",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Maguncia</t>
        </is>
      </c>
      <c r="E336" t="inlineStr">
        <is>
          <t>2026-04-22</t>
        </is>
      </c>
      <c r="F336" t="inlineStr">
        <is>
          <t>2026-04-29</t>
        </is>
      </c>
      <c r="G336" t="inlineStr">
        <is>
          <t xml:space="preserve"> - Camper Cabin Deluxe</t>
        </is>
      </c>
      <c r="H336">
        <f>HYPERLINK("https://booking.roadsurfer.com/es/rally/pick?pickup_date=2026-04-22&amp;return_date=2026-04-29&amp;currency=EUR&amp;startStation=29&amp;endStation=54",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Bochum</t>
        </is>
      </c>
      <c r="E337" t="inlineStr">
        <is>
          <t>2026-05-18</t>
        </is>
      </c>
      <c r="F337" t="inlineStr">
        <is>
          <t>2026-05-25</t>
        </is>
      </c>
      <c r="G337" t="inlineStr">
        <is>
          <t xml:space="preserve"> - No hay coche</t>
        </is>
      </c>
      <c r="H337">
        <f>HYPERLINK("https://booking.roadsurfer.com/es/rally/pick?pickup_date=2026-05-18&amp;return_date=2026-05-25&amp;currency=EUR&amp;startStation=29&amp;endStation=24",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Lübeck</t>
        </is>
      </c>
      <c r="E338" t="inlineStr">
        <is>
          <t>2026-05-29</t>
        </is>
      </c>
      <c r="F338" t="inlineStr">
        <is>
          <t>2026-06-05</t>
        </is>
      </c>
      <c r="G338" t="inlineStr">
        <is>
          <t xml:space="preserve"> - Couple Cottage</t>
        </is>
      </c>
      <c r="H338">
        <f>HYPERLINK("https://booking.roadsurfer.com/es/rally/pick?pickup_date=2026-05-29&amp;return_date=2026-06-05&amp;currency=EUR&amp;startStation=29&amp;endStation=109",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Colonia-Düsseldorf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No hay coche</t>
        </is>
      </c>
      <c r="H339">
        <f>HYPERLINK("https://booking.roadsurfer.com/es/rally/pick?pickup_date=2026-05-08&amp;return_date=2026-05-15&amp;currency=EUR&amp;startStation=29&amp;endStation=4",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Hamburgo Aeropuerto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Surfer Suite</t>
        </is>
      </c>
      <c r="H340">
        <f>HYPERLINK("https://booking.roadsurfer.com/es/rally/pick?pickup_date=2026-04-30&amp;return_date=2026-05-07&amp;currency=EUR&amp;startStation=77&amp;endStation=65",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Kiel</t>
        </is>
      </c>
      <c r="E341" t="inlineStr">
        <is>
          <t>2026-04-27</t>
        </is>
      </c>
      <c r="F341" t="inlineStr">
        <is>
          <t>2026-05-04</t>
        </is>
      </c>
      <c r="G341" t="inlineStr">
        <is>
          <t xml:space="preserve"> - Surfer Suite</t>
        </is>
      </c>
      <c r="H341">
        <f>HYPERLINK("https://booking.roadsurfer.com/es/rally/pick?pickup_date=2026-04-27&amp;return_date=2026-05-04&amp;currency=EUR&amp;startStation=77&amp;endStation=111",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2026-04-22</t>
        </is>
      </c>
      <c r="F342" t="inlineStr">
        <is>
          <t>2026-04-29</t>
        </is>
      </c>
      <c r="G342" t="inlineStr">
        <is>
          <t xml:space="preserve"> - Beach Hostel</t>
        </is>
      </c>
      <c r="H342">
        <f>HYPERLINK("https://booking.roadsurfer.com/es/rally/pick?pickup_date=2026-04-22&amp;return_date=2026-04-29&amp;currency=EUR&amp;startStation=77&amp;endStation=91",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2026-05-06</t>
        </is>
      </c>
      <c r="F343" t="inlineStr">
        <is>
          <t>2026-05-13</t>
        </is>
      </c>
      <c r="G343" t="inlineStr">
        <is>
          <t xml:space="preserve"> - Road House - Sunrise Suite</t>
        </is>
      </c>
      <c r="H343">
        <f>HYPERLINK("https://booking.roadsurfer.com/es/rally/pick?pickup_date=2026-05-06&amp;return_date=2026-05-13&amp;currency=EUR&amp;startStation=77&amp;endStation=91",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Couple Cottage</t>
        </is>
      </c>
      <c r="H344">
        <f>HYPERLINK("https://booking.roadsurfer.com/es/rally/pick?pickup_date=2026-05-15&amp;return_date=2026-05-22&amp;currency=EUR&amp;startStation=77&amp;endStation=91",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Bielefeld</t>
        </is>
      </c>
      <c r="E345" t="inlineStr">
        <is>
          <t>2026-05-13</t>
        </is>
      </c>
      <c r="F345" t="inlineStr">
        <is>
          <t>2026-05-20</t>
        </is>
      </c>
      <c r="G345" t="inlineStr">
        <is>
          <t xml:space="preserve"> - Couple Cottage</t>
        </is>
      </c>
      <c r="H345">
        <f>HYPERLINK("https://booking.roadsurfer.com/es/rally/pick?pickup_date=2026-05-13&amp;return_date=2026-05-20&amp;currency=EUR&amp;startStation=77&amp;endStation=91",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2026-04-29</t>
        </is>
      </c>
      <c r="F346" t="inlineStr">
        <is>
          <t>2026-05-06</t>
        </is>
      </c>
      <c r="G346" t="inlineStr">
        <is>
          <t xml:space="preserve"> - Surfer Suite</t>
        </is>
      </c>
      <c r="H346">
        <f>HYPERLINK("https://booking.roadsurfer.com/es/rally/pick?pickup_date=2026-04-29&amp;return_date=2026-05-06&amp;currency=EUR&amp;startStation=77&amp;endStation=91",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2026-04-25</t>
        </is>
      </c>
      <c r="F347" t="inlineStr">
        <is>
          <t>2026-05-02</t>
        </is>
      </c>
      <c r="G347" t="inlineStr">
        <is>
          <t xml:space="preserve"> - Sunrise Suite</t>
        </is>
      </c>
      <c r="H347">
        <f>HYPERLINK("https://booking.roadsurfer.com/es/rally/pick?pickup_date=2026-04-25&amp;return_date=2026-05-02&amp;currency=EUR&amp;startStation=77&amp;endStation=91",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2026-04-22</t>
        </is>
      </c>
      <c r="F348" t="inlineStr">
        <is>
          <t>2026-04-29</t>
        </is>
      </c>
      <c r="G348" t="inlineStr">
        <is>
          <t xml:space="preserve"> - Surfer Suite</t>
        </is>
      </c>
      <c r="H348">
        <f>HYPERLINK("https://booking.roadsurfer.com/es/rally/pick?pickup_date=2026-04-22&amp;return_date=2026-04-29&amp;currency=EUR&amp;startStation=77&amp;endStation=55",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2026-04-29</t>
        </is>
      </c>
      <c r="F349" t="inlineStr">
        <is>
          <t>2026-05-06</t>
        </is>
      </c>
      <c r="G349" t="inlineStr">
        <is>
          <t xml:space="preserve"> - Beach Hostel</t>
        </is>
      </c>
      <c r="H349">
        <f>HYPERLINK("https://booking.roadsurfer.com/es/rally/pick?pickup_date=2026-04-29&amp;return_date=2026-05-06&amp;currency=EUR&amp;startStation=77&amp;endStation=22",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2026-04-23</t>
        </is>
      </c>
      <c r="F350" t="inlineStr">
        <is>
          <t>2026-04-30</t>
        </is>
      </c>
      <c r="G350" t="inlineStr">
        <is>
          <t xml:space="preserve"> - Couple Cottage</t>
        </is>
      </c>
      <c r="H350">
        <f>HYPERLINK("https://booking.roadsurfer.com/es/rally/pick?pickup_date=2026-04-23&amp;return_date=2026-04-30&amp;currency=EUR&amp;startStation=77&amp;endStation=22",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2026-04-24</t>
        </is>
      </c>
      <c r="F351" t="inlineStr">
        <is>
          <t>2026-05-01</t>
        </is>
      </c>
      <c r="G351" t="inlineStr">
        <is>
          <t xml:space="preserve"> - Couple Cottage</t>
        </is>
      </c>
      <c r="H351">
        <f>HYPERLINK("https://booking.roadsurfer.com/es/rally/pick?pickup_date=2026-04-24&amp;return_date=2026-05-01&amp;currency=EUR&amp;startStation=77&amp;endStation=22",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2026-04-28</t>
        </is>
      </c>
      <c r="F352" t="inlineStr">
        <is>
          <t>2026-05-05</t>
        </is>
      </c>
      <c r="G352" t="inlineStr">
        <is>
          <t xml:space="preserve"> - Couple Cottage</t>
        </is>
      </c>
      <c r="H352">
        <f>HYPERLINK("https://booking.roadsurfer.com/es/rally/pick?pickup_date=2026-04-28&amp;return_date=2026-05-05&amp;currency=EUR&amp;startStation=77&amp;endStation=22",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2026-04-30</t>
        </is>
      </c>
      <c r="F353" t="inlineStr">
        <is>
          <t>2026-05-07</t>
        </is>
      </c>
      <c r="G353" t="inlineStr">
        <is>
          <t xml:space="preserve"> - Camper Castle</t>
        </is>
      </c>
      <c r="H353">
        <f>HYPERLINK("https://booking.roadsurfer.com/es/rally/pick?pickup_date=2026-04-30&amp;return_date=2026-05-07&amp;currency=EUR&amp;startStation=77&amp;endStation=22",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Beach Hostel</t>
        </is>
      </c>
      <c r="H354">
        <f>HYPERLINK("https://booking.roadsurfer.com/es/rally/pick?pickup_date=2026-05-08&amp;return_date=2026-05-15&amp;currency=EUR&amp;startStation=77&amp;endStation=90",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Sunrise Suite</t>
        </is>
      </c>
      <c r="H355">
        <f>HYPERLINK("https://booking.roadsurfer.com/es/rally/pick?pickup_date=2026-05-11&amp;return_date=2026-05-18&amp;currency=EUR&amp;startStation=77&amp;endStation=90",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Camper Castle</t>
        </is>
      </c>
      <c r="H356">
        <f>HYPERLINK("https://booking.roadsurfer.com/es/rally/pick?pickup_date=2026-04-30&amp;return_date=2026-05-07&amp;currency=EUR&amp;startStation=77&amp;endStation=6",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Hamburgo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Family Finca</t>
        </is>
      </c>
      <c r="H357">
        <f>HYPERLINK("https://booking.roadsurfer.com/es/rally/pick?pickup_date=2026-04-30&amp;return_date=2026-05-07&amp;currency=EUR&amp;startStation=77&amp;endStation=3",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Karlsruhe</t>
        </is>
      </c>
      <c r="E358" t="inlineStr">
        <is>
          <t>2026-04-29</t>
        </is>
      </c>
      <c r="F358" t="inlineStr">
        <is>
          <t>2026-05-06</t>
        </is>
      </c>
      <c r="G358" t="inlineStr">
        <is>
          <t xml:space="preserve"> - CAMPER CASTLE</t>
        </is>
      </c>
      <c r="H358">
        <f>HYPERLINK("https://booking.roadsurfer.com/es/rally/pick?pickup_date=2026-04-29&amp;return_date=2026-05-06&amp;currency=EUR&amp;startStation=77&amp;endStation=110", "Clic para verlo en la web de RoadSurfer")</f>
        <v/>
      </c>
    </row>
    <row r="359">
      <c r="A359" t="inlineStr">
        <is>
          <t>Austria</t>
        </is>
      </c>
      <c r="B359" t="inlineStr">
        <is>
          <t>Graz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SURFER SUITE</t>
        </is>
      </c>
      <c r="H359">
        <f>HYPERLINK("https://booking.roadsurfer.com/es/rally/pick?pickup_date=2026-05-06&amp;return_date=2026-05-13&amp;currency=EUR&amp;startStation=37&amp;endStation=8",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SURFER SUITE - Road House</t>
        </is>
      </c>
      <c r="H360">
        <f>HYPERLINK("https://booking.roadsurfer.com/es/rally/pick?pickup_date=2026-05-04&amp;return_date=2026-05-11&amp;currency=EUR&amp;startStation=37&amp;endStation=8",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HYPERLINK("https://booking.roadsurfer.com/es/rally/pick?pickup_date=2026-05-07&amp;return_date=2026-05-14&amp;currency=EUR&amp;startStation=37&amp;endStation=91",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2026-05-16</t>
        </is>
      </c>
      <c r="F362" t="inlineStr">
        <is>
          <t>2026-05-23</t>
        </is>
      </c>
      <c r="G362" t="inlineStr">
        <is>
          <t xml:space="preserve"> - Family Finca</t>
        </is>
      </c>
      <c r="H362">
        <f>HYPERLINK("https://booking.roadsurfer.com/es/rally/pick?pickup_date=2026-05-16&amp;return_date=2026-05-23&amp;currency=EUR&amp;startStation=37&amp;endStation=56", "Clic para verlo en la web de RoadSurfer")</f>
        <v/>
      </c>
    </row>
    <row r="363">
      <c r="A363" t="inlineStr">
        <is>
          <t>Austria</t>
        </is>
      </c>
      <c r="B363" t="inlineStr">
        <is>
          <t>Graz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Road House</t>
        </is>
      </c>
      <c r="H363">
        <f>HYPERLINK("https://booking.roadsurfer.com/es/rally/pick?pickup_date=2026-04-27&amp;return_date=2026-05-04&amp;currency=EUR&amp;startStation=37&amp;endStation=56", "Clic para verlo en la web de RoadSurfer")</f>
        <v/>
      </c>
    </row>
    <row r="364">
      <c r="A364" t="inlineStr">
        <is>
          <t>Austria</t>
        </is>
      </c>
      <c r="B364" t="inlineStr">
        <is>
          <t>Graz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Camper Castle</t>
        </is>
      </c>
      <c r="H364">
        <f>HYPERLINK("https://booking.roadsurfer.com/es/rally/pick?pickup_date=2026-05-04&amp;return_date=2026-05-11&amp;currency=EUR&amp;startStation=37&amp;endStation=56",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Camper Castle</t>
        </is>
      </c>
      <c r="H365">
        <f>HYPERLINK("https://booking.roadsurfer.com/es/rally/pick?pickup_date=2026-06-08&amp;return_date=2026-06-15&amp;currency=EUR&amp;startStation=37&amp;endStation=56",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2026-05-08</t>
        </is>
      </c>
      <c r="F366" t="inlineStr">
        <is>
          <t>2026-05-15</t>
        </is>
      </c>
      <c r="G366" t="inlineStr">
        <is>
          <t xml:space="preserve"> - Camper Cabin</t>
        </is>
      </c>
      <c r="H366">
        <f>HYPERLINK("https://booking.roadsurfer.com/es/rally/pick?pickup_date=2026-05-08&amp;return_date=2026-05-15&amp;currency=EUR&amp;startStation=37&amp;endStation=56", "Clic para verlo en la web de RoadSurfer")</f>
        <v/>
      </c>
    </row>
    <row r="367">
      <c r="A367" t="inlineStr">
        <is>
          <t>Austria</t>
        </is>
      </c>
      <c r="B367" t="inlineStr">
        <is>
          <t>Graz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2026-05-09</t>
        </is>
      </c>
      <c r="F367" t="inlineStr">
        <is>
          <t>2026-05-16</t>
        </is>
      </c>
      <c r="G367" t="inlineStr">
        <is>
          <t xml:space="preserve"> - Couple Cottage</t>
        </is>
      </c>
      <c r="H367">
        <f>HYPERLINK("https://booking.roadsurfer.com/es/rally/pick?pickup_date=2026-05-09&amp;return_date=2026-05-16&amp;currency=EUR&amp;startStation=37&amp;endStation=56", "Clic para verlo en la web de RoadSurfer")</f>
        <v/>
      </c>
    </row>
    <row r="368">
      <c r="A368" t="inlineStr">
        <is>
          <t>Alemania</t>
        </is>
      </c>
      <c r="B368" t="inlineStr">
        <is>
          <t>Hamburgo</t>
        </is>
      </c>
      <c r="C368" t="inlineStr">
        <is>
          <t>Alemania</t>
        </is>
      </c>
      <c r="D368" t="inlineStr">
        <is>
          <t>Flensburgo</t>
        </is>
      </c>
      <c r="E368" t="inlineStr">
        <is>
          <t>2026-04-30</t>
        </is>
      </c>
      <c r="F368" t="inlineStr">
        <is>
          <t>2026-05-07</t>
        </is>
      </c>
      <c r="G368" t="inlineStr">
        <is>
          <t xml:space="preserve"> - Surfer Suite</t>
        </is>
      </c>
      <c r="H368">
        <f>HYPERLINK("https://booking.roadsurfer.com/es/rally/pick?pickup_date=2026-04-30&amp;return_date=2026-05-07&amp;currency=EUR&amp;startStation=3&amp;endStation=130",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Alemania</t>
        </is>
      </c>
      <c r="D369" t="inlineStr">
        <is>
          <t>Flensburgo</t>
        </is>
      </c>
      <c r="E369" t="inlineStr">
        <is>
          <t>2026-04-27</t>
        </is>
      </c>
      <c r="F369" t="inlineStr">
        <is>
          <t>2026-05-04</t>
        </is>
      </c>
      <c r="G369" t="inlineStr">
        <is>
          <t xml:space="preserve"> - Surfer Suite - SURFER SUITE - Beach Hostel - Road House - Camper Castle - Family Finca</t>
        </is>
      </c>
      <c r="H369">
        <f>HYPERLINK("https://booking.roadsurfer.com/es/rally/pick?pickup_date=2026-04-27&amp;return_date=2026-05-04&amp;currency=EUR&amp;startStation=3&amp;endStation=130",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Alemania</t>
        </is>
      </c>
      <c r="D370" t="inlineStr">
        <is>
          <t>Flensburgo</t>
        </is>
      </c>
      <c r="E370" t="inlineStr">
        <is>
          <t>2026-04-25</t>
        </is>
      </c>
      <c r="F370" t="inlineStr">
        <is>
          <t>2026-05-02</t>
        </is>
      </c>
      <c r="G370" t="inlineStr">
        <is>
          <t xml:space="preserve"> - Beach Hostel</t>
        </is>
      </c>
      <c r="H370">
        <f>HYPERLINK("https://booking.roadsurfer.com/es/rally/pick?pickup_date=2026-04-25&amp;return_date=2026-05-02&amp;currency=EUR&amp;startStation=3&amp;endStation=130", "Clic para verlo en la web de RoadSurfer")</f>
        <v/>
      </c>
    </row>
    <row r="371">
      <c r="A371" t="inlineStr">
        <is>
          <t>Alemania</t>
        </is>
      </c>
      <c r="B371" t="inlineStr">
        <is>
          <t>Hamburgo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2026-04-24</t>
        </is>
      </c>
      <c r="F371" t="inlineStr">
        <is>
          <t>2026-05-01</t>
        </is>
      </c>
      <c r="G371" t="inlineStr">
        <is>
          <t xml:space="preserve"> - No hay coche</t>
        </is>
      </c>
      <c r="H371">
        <f>HYPERLINK("https://booking.roadsurfer.com/es/rally/pick?pickup_date=2026-04-24&amp;return_date=2026-05-01&amp;currency=EUR&amp;startStation=3&amp;endStation=130", "Clic para verlo en la web de RoadSurfer")</f>
        <v/>
      </c>
    </row>
    <row r="372">
      <c r="A372" t="inlineStr">
        <is>
          <t>Alemania</t>
        </is>
      </c>
      <c r="B372" t="inlineStr">
        <is>
          <t>Hamburgo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2026-05-28</t>
        </is>
      </c>
      <c r="F372" t="inlineStr">
        <is>
          <t>2026-06-04</t>
        </is>
      </c>
      <c r="G372" t="inlineStr">
        <is>
          <t xml:space="preserve"> - Family Finca</t>
        </is>
      </c>
      <c r="H372">
        <f>HYPERLINK("https://booking.roadsurfer.com/es/rally/pick?pickup_date=2026-05-28&amp;return_date=2026-06-04&amp;currency=EUR&amp;startStation=3&amp;endStation=77", "Clic para verlo en la web de RoadSurfer")</f>
        <v/>
      </c>
    </row>
    <row r="373">
      <c r="A373" t="inlineStr">
        <is>
          <t>Alemania</t>
        </is>
      </c>
      <c r="B373" t="inlineStr">
        <is>
          <t>Hamburgo</t>
        </is>
      </c>
      <c r="C373" t="inlineStr">
        <is>
          <t>Suecia</t>
        </is>
      </c>
      <c r="D373" t="inlineStr">
        <is>
          <t>Gotemburgo</t>
        </is>
      </c>
      <c r="E373" t="inlineStr">
        <is>
          <t>2026-04-27</t>
        </is>
      </c>
      <c r="F373" t="inlineStr">
        <is>
          <t>2026-05-04</t>
        </is>
      </c>
      <c r="G373" t="inlineStr">
        <is>
          <t xml:space="preserve"> - SURFER SUITE</t>
        </is>
      </c>
      <c r="H373">
        <f>HYPERLINK("https://booking.roadsurfer.com/es/rally/pick?pickup_date=2026-04-27&amp;return_date=2026-05-04&amp;currency=EUR&amp;startStation=3&amp;endStation=77", "Clic para verlo en la web de RoadSurfer")</f>
        <v/>
      </c>
    </row>
    <row r="374">
      <c r="A374" t="inlineStr">
        <is>
          <t>Alemania</t>
        </is>
      </c>
      <c r="B374" t="inlineStr">
        <is>
          <t>Hamburgo</t>
        </is>
      </c>
      <c r="C374" t="inlineStr">
        <is>
          <t>Suecia</t>
        </is>
      </c>
      <c r="D374" t="inlineStr">
        <is>
          <t>Gotemburgo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COZY COTTAGE</t>
        </is>
      </c>
      <c r="H374">
        <f>HYPERLINK("https://booking.roadsurfer.com/es/rally/pick?pickup_date=2026-04-30&amp;return_date=2026-05-07&amp;currency=EUR&amp;startStation=3&amp;endStation=77", "Clic para verlo en la web de RoadSurfer")</f>
        <v/>
      </c>
    </row>
    <row r="375">
      <c r="A375" t="inlineStr">
        <is>
          <t>Alemania</t>
        </is>
      </c>
      <c r="B375" t="inlineStr">
        <is>
          <t>Hamburgo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Beach Hostel</t>
        </is>
      </c>
      <c r="H375">
        <f>HYPERLINK("https://booking.roadsurfer.com/es/rally/pick?pickup_date=2026-05-04&amp;return_date=2026-05-11&amp;currency=EUR&amp;startStation=3&amp;endStation=36", "Clic para verlo en la web de RoadSurfer")</f>
        <v/>
      </c>
    </row>
    <row r="376">
      <c r="A376" t="inlineStr">
        <is>
          <t>Alemania</t>
        </is>
      </c>
      <c r="B376" t="inlineStr">
        <is>
          <t>Hamburgo</t>
        </is>
      </c>
      <c r="C376" t="inlineStr">
        <is>
          <t>Austria</t>
        </is>
      </c>
      <c r="D376" t="inlineStr">
        <is>
          <t>Linz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HYPERLINK("https://booking.roadsurfer.com/es/rally/pick?pickup_date=2026-05-04&amp;return_date=2026-05-11&amp;currency=EUR&amp;startStation=3&amp;endStation=116", "Clic para verlo en la web de RoadSurfer")</f>
        <v/>
      </c>
    </row>
    <row r="377">
      <c r="A377" t="inlineStr">
        <is>
          <t>Alemania</t>
        </is>
      </c>
      <c r="B377" t="inlineStr">
        <is>
          <t>Hamburgo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2026-05-18</t>
        </is>
      </c>
      <c r="F377" t="inlineStr">
        <is>
          <t>2026-05-25</t>
        </is>
      </c>
      <c r="G377" t="inlineStr">
        <is>
          <t xml:space="preserve"> - No hay coche</t>
        </is>
      </c>
      <c r="H377">
        <f>HYPERLINK("https://booking.roadsurfer.com/es/rally/pick?pickup_date=2026-05-18&amp;return_date=2026-05-25&amp;currency=EUR&amp;startStation=3&amp;endStation=33", "Clic para verlo en la web de RoadSurfer")</f>
        <v/>
      </c>
    </row>
    <row r="378">
      <c r="A378" t="inlineStr">
        <is>
          <t>Alemania</t>
        </is>
      </c>
      <c r="B378" t="inlineStr">
        <is>
          <t>Hamburgo</t>
        </is>
      </c>
      <c r="C378" t="inlineStr">
        <is>
          <t>Países Bajos</t>
        </is>
      </c>
      <c r="D378" t="inlineStr">
        <is>
          <t>Ámsterdam</t>
        </is>
      </c>
      <c r="E378" t="inlineStr">
        <is>
          <t>2026-05-19</t>
        </is>
      </c>
      <c r="F378" t="inlineStr">
        <is>
          <t>2026-05-26</t>
        </is>
      </c>
      <c r="G378" t="inlineStr">
        <is>
          <t xml:space="preserve"> - Camper Cabin Deluxe</t>
        </is>
      </c>
      <c r="H378">
        <f>HYPERLINK("https://booking.roadsurfer.com/es/rally/pick?pickup_date=2026-05-19&amp;return_date=2026-05-26&amp;currency=EUR&amp;startStation=3&amp;endStation=32",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Bélgica</t>
        </is>
      </c>
      <c r="D379" t="inlineStr">
        <is>
          <t>Bruselas</t>
        </is>
      </c>
      <c r="E379" t="inlineStr">
        <is>
          <t>2026-05-21</t>
        </is>
      </c>
      <c r="F379" t="inlineStr">
        <is>
          <t>2026-05-28</t>
        </is>
      </c>
      <c r="G379" t="inlineStr">
        <is>
          <t xml:space="preserve"> - Camper Castle</t>
        </is>
      </c>
      <c r="H379">
        <f>HYPERLINK("https://booking.roadsurfer.com/es/rally/pick?pickup_date=2026-05-21&amp;return_date=2026-05-28&amp;currency=EUR&amp;startStation=3&amp;endStation=42",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2026-05-14</t>
        </is>
      </c>
      <c r="F380" t="inlineStr">
        <is>
          <t>2026-05-21</t>
        </is>
      </c>
      <c r="G380" t="inlineStr">
        <is>
          <t xml:space="preserve"> - No hay coche</t>
        </is>
      </c>
      <c r="H380">
        <f>HYPERLINK("https://booking.roadsurfer.com/es/rally/pick?pickup_date=2026-05-14&amp;return_date=2026-05-21&amp;currency=EUR&amp;startStation=3&amp;endStation=59",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2026-05-19</t>
        </is>
      </c>
      <c r="F381" t="inlineStr">
        <is>
          <t>2026-05-26</t>
        </is>
      </c>
      <c r="G381" t="inlineStr">
        <is>
          <t xml:space="preserve"> - Family Finca</t>
        </is>
      </c>
      <c r="H381">
        <f>HYPERLINK("https://booking.roadsurfer.com/es/rally/pick?pickup_date=2026-05-19&amp;return_date=2026-05-26&amp;currency=EUR&amp;startStation=3&amp;endStation=59",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No hay coche</t>
        </is>
      </c>
      <c r="H382">
        <f>HYPERLINK("https://booking.roadsurfer.com/es/rally/pick?pickup_date=2026-04-23&amp;return_date=2026-04-30&amp;currency=EUR&amp;startStation=3&amp;endStation=94",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2026-05-08</t>
        </is>
      </c>
      <c r="F383" t="inlineStr">
        <is>
          <t>2026-05-15</t>
        </is>
      </c>
      <c r="G383" t="inlineStr">
        <is>
          <t xml:space="preserve"> - Family Finca</t>
        </is>
      </c>
      <c r="H383">
        <f>HYPERLINK("https://booking.roadsurfer.com/es/rally/pick?pickup_date=2026-05-08&amp;return_date=2026-05-15&amp;currency=EUR&amp;startStation=3&amp;endStation=60", "Clic para verlo en la web de RoadSurfer")</f>
        <v/>
      </c>
    </row>
    <row r="384">
      <c r="A384" t="inlineStr">
        <is>
          <t>Alemania</t>
        </is>
      </c>
      <c r="B384" t="inlineStr">
        <is>
          <t>Hamburgo Aeropuerto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2026-05-21</t>
        </is>
      </c>
      <c r="F384" t="inlineStr">
        <is>
          <t>2026-05-28</t>
        </is>
      </c>
      <c r="G384" t="inlineStr">
        <is>
          <t xml:space="preserve"> - Camper Cabin Deluxe</t>
        </is>
      </c>
      <c r="H384">
        <f>HYPERLINK("https://booking.roadsurfer.com/es/rally/pick?pickup_date=2026-05-21&amp;return_date=2026-05-28&amp;currency=EUR&amp;startStation=65&amp;endStation=15", "Clic para verlo en la web de RoadSurfer")</f>
        <v/>
      </c>
    </row>
    <row r="385">
      <c r="A385" t="inlineStr">
        <is>
          <t>Alemania</t>
        </is>
      </c>
      <c r="B385" t="inlineStr">
        <is>
          <t>Hannover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2026-04-24</t>
        </is>
      </c>
      <c r="F385" t="inlineStr">
        <is>
          <t>2026-05-01</t>
        </is>
      </c>
      <c r="G385" t="inlineStr">
        <is>
          <t xml:space="preserve"> - No hay coche</t>
        </is>
      </c>
      <c r="H385">
        <f>HYPERLINK("https://booking.roadsurfer.com/es/rally/pick?pickup_date=2026-04-24&amp;return_date=2026-05-01&amp;currency=EUR&amp;startStation=7&amp;endStation=128", "Clic para verlo en la web de RoadSurfer")</f>
        <v/>
      </c>
    </row>
    <row r="386">
      <c r="A386" t="inlineStr">
        <is>
          <t>Alemania</t>
        </is>
      </c>
      <c r="B386" t="inlineStr">
        <is>
          <t>Hannover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2026-04-23</t>
        </is>
      </c>
      <c r="F386" t="inlineStr">
        <is>
          <t>2026-04-30</t>
        </is>
      </c>
      <c r="G386" t="inlineStr">
        <is>
          <t xml:space="preserve"> - Couple Cottage</t>
        </is>
      </c>
      <c r="H386">
        <f>HYPERLINK("https://booking.roadsurfer.com/es/rally/pick?pickup_date=2026-04-23&amp;return_date=2026-04-30&amp;currency=EUR&amp;startStation=7&amp;endStation=59", "Clic para verlo en la web de RoadSurfer")</f>
        <v/>
      </c>
    </row>
    <row r="387">
      <c r="A387" t="inlineStr">
        <is>
          <t>Alemania</t>
        </is>
      </c>
      <c r="B387" t="inlineStr">
        <is>
          <t>Hannover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2026-04-25</t>
        </is>
      </c>
      <c r="F387" t="inlineStr">
        <is>
          <t>2026-05-02</t>
        </is>
      </c>
      <c r="G387" t="inlineStr">
        <is>
          <t xml:space="preserve"> - Surfer Suite</t>
        </is>
      </c>
      <c r="H387">
        <f>HYPERLINK("https://booking.roadsurfer.com/es/rally/pick?pickup_date=2026-04-25&amp;return_date=2026-05-02&amp;currency=EUR&amp;startStation=7&amp;endStation=59", "Clic para verlo en la web de RoadSurfer")</f>
        <v/>
      </c>
    </row>
    <row r="388">
      <c r="A388" t="inlineStr">
        <is>
          <t>Alemania</t>
        </is>
      </c>
      <c r="B388" t="inlineStr">
        <is>
          <t>Hannover</t>
        </is>
      </c>
      <c r="C388" t="inlineStr">
        <is>
          <t>Italia</t>
        </is>
      </c>
      <c r="D388" t="inlineStr">
        <is>
          <t>Milán</t>
        </is>
      </c>
      <c r="E388" t="inlineStr">
        <is>
          <t>2026-04-30</t>
        </is>
      </c>
      <c r="F388" t="inlineStr">
        <is>
          <t>2026-05-07</t>
        </is>
      </c>
      <c r="G388" t="inlineStr">
        <is>
          <t xml:space="preserve"> - Road House</t>
        </is>
      </c>
      <c r="H388">
        <f>HYPERLINK("https://booking.roadsurfer.com/es/rally/pick?pickup_date=2026-04-30&amp;return_date=2026-05-07&amp;currency=EUR&amp;startStation=7&amp;endStation=34", "Clic para verlo en la web de RoadSurfer")</f>
        <v/>
      </c>
    </row>
    <row r="389">
      <c r="A389" t="inlineStr">
        <is>
          <t>Alemania</t>
        </is>
      </c>
      <c r="B389" t="inlineStr">
        <is>
          <t>Hannover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2026-04-29</t>
        </is>
      </c>
      <c r="F389" t="inlineStr">
        <is>
          <t>2026-05-06</t>
        </is>
      </c>
      <c r="G389" t="inlineStr">
        <is>
          <t xml:space="preserve"> - Camper Castle</t>
        </is>
      </c>
      <c r="H389">
        <f>HYPERLINK("https://booking.roadsurfer.com/es/rally/pick?pickup_date=2026-04-29&amp;return_date=2026-05-06&amp;currency=EUR&amp;startStation=7&amp;endStation=40", "Clic para verlo en la web de RoadSurfer")</f>
        <v/>
      </c>
    </row>
    <row r="390">
      <c r="A390" t="inlineStr">
        <is>
          <t>Alemania</t>
        </is>
      </c>
      <c r="B390" t="inlineStr">
        <is>
          <t>Heidelberg</t>
        </is>
      </c>
      <c r="C390" t="inlineStr">
        <is>
          <t>Suecia</t>
        </is>
      </c>
      <c r="D390" t="inlineStr">
        <is>
          <t>Gotemburgo</t>
        </is>
      </c>
      <c r="E390" t="inlineStr">
        <is>
          <t>2026-04-30</t>
        </is>
      </c>
      <c r="F390" t="inlineStr">
        <is>
          <t>2026-05-07</t>
        </is>
      </c>
      <c r="G390" t="inlineStr">
        <is>
          <t xml:space="preserve"> - Surfer Suite</t>
        </is>
      </c>
      <c r="H390">
        <f>HYPERLINK("https://booking.roadsurfer.com/es/rally/pick?pickup_date=2026-04-30&amp;return_date=2026-05-07&amp;currency=EUR&amp;startStation=79&amp;endStation=77", "Clic para verlo en la web de RoadSurfer")</f>
        <v/>
      </c>
    </row>
    <row r="391">
      <c r="A391" t="inlineStr">
        <is>
          <t>Austria</t>
        </is>
      </c>
      <c r="B391" t="inlineStr">
        <is>
          <t>Innsbruck-Wiesing</t>
        </is>
      </c>
      <c r="C391" t="inlineStr">
        <is>
          <t>Alemania</t>
        </is>
      </c>
      <c r="D391" t="inlineStr">
        <is>
          <t>Ulm</t>
        </is>
      </c>
      <c r="E391" t="inlineStr">
        <is>
          <t>2026-04-24</t>
        </is>
      </c>
      <c r="F391" t="inlineStr">
        <is>
          <t>2026-05-01</t>
        </is>
      </c>
      <c r="G391" t="inlineStr">
        <is>
          <t xml:space="preserve"> - No hay coche</t>
        </is>
      </c>
      <c r="H391">
        <f>HYPERLINK("https://booking.roadsurfer.com/es/rally/pick?pickup_date=2026-04-24&amp;return_date=2026-05-01&amp;currency=EUR&amp;startStation=46&amp;endStation=112", "Clic para verlo en la web de RoadSurfer")</f>
        <v/>
      </c>
    </row>
    <row r="392">
      <c r="A392" t="inlineStr">
        <is>
          <t>Austria</t>
        </is>
      </c>
      <c r="B392" t="inlineStr">
        <is>
          <t>Innsbruck-Wiesing</t>
        </is>
      </c>
      <c r="C392" t="inlineStr">
        <is>
          <t>Alemania</t>
        </is>
      </c>
      <c r="D392" t="inlineStr">
        <is>
          <t>Ulm</t>
        </is>
      </c>
      <c r="E392" t="inlineStr">
        <is>
          <t>2026-05-02</t>
        </is>
      </c>
      <c r="F392" t="inlineStr">
        <is>
          <t>2026-05-09</t>
        </is>
      </c>
      <c r="G392" t="inlineStr">
        <is>
          <t xml:space="preserve"> - Surfer Suite</t>
        </is>
      </c>
      <c r="H392">
        <f>HYPERLINK("https://booking.roadsurfer.com/es/rally/pick?pickup_date=2026-05-02&amp;return_date=2026-05-09&amp;currency=EUR&amp;startStation=46&amp;endStation=112", "Clic para verlo en la web de RoadSurfer")</f>
        <v/>
      </c>
    </row>
    <row r="393">
      <c r="A393" t="inlineStr">
        <is>
          <t>Austria</t>
        </is>
      </c>
      <c r="B393" t="inlineStr">
        <is>
          <t>Innsbruck-Wiesing</t>
        </is>
      </c>
      <c r="C393" t="inlineStr">
        <is>
          <t>Alemania</t>
        </is>
      </c>
      <c r="D393" t="inlineStr">
        <is>
          <t>Aquisgrán</t>
        </is>
      </c>
      <c r="E393" t="inlineStr">
        <is>
          <t>2026-04-27</t>
        </is>
      </c>
      <c r="F393" t="inlineStr">
        <is>
          <t>2026-05-04</t>
        </is>
      </c>
      <c r="G393" t="inlineStr">
        <is>
          <t xml:space="preserve"> - Camper Cabin</t>
        </is>
      </c>
      <c r="H393">
        <f>HYPERLINK("https://booking.roadsurfer.com/es/rally/pick?pickup_date=2026-04-27&amp;return_date=2026-05-04&amp;currency=EUR&amp;startStation=46&amp;endStation=114", "Clic para verlo en la web de RoadSurfer")</f>
        <v/>
      </c>
    </row>
    <row r="394">
      <c r="A394" t="inlineStr">
        <is>
          <t>Austria</t>
        </is>
      </c>
      <c r="B394" t="inlineStr">
        <is>
          <t>Innsbruck-Wiesing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2026-04-24</t>
        </is>
      </c>
      <c r="F394" t="inlineStr">
        <is>
          <t>2026-05-01</t>
        </is>
      </c>
      <c r="G394" t="inlineStr">
        <is>
          <t xml:space="preserve"> - No hay coche</t>
        </is>
      </c>
      <c r="H394">
        <f>HYPERLINK("https://booking.roadsurfer.com/es/rally/pick?pickup_date=2026-04-24&amp;return_date=2026-05-01&amp;currency=EUR&amp;startStation=46&amp;endStation=78", "Clic para verlo en la web de RoadSurfer")</f>
        <v/>
      </c>
    </row>
    <row r="395">
      <c r="A395" t="inlineStr">
        <is>
          <t>Austria</t>
        </is>
      </c>
      <c r="B395" t="inlineStr">
        <is>
          <t>Innsbruck-Wiesing</t>
        </is>
      </c>
      <c r="C395" t="inlineStr">
        <is>
          <t>Alemania</t>
        </is>
      </c>
      <c r="D395" t="inlineStr">
        <is>
          <t>Lindau-Wangen</t>
        </is>
      </c>
      <c r="E395" t="inlineStr">
        <is>
          <t>2026-04-27</t>
        </is>
      </c>
      <c r="F395" t="inlineStr">
        <is>
          <t>2026-05-04</t>
        </is>
      </c>
      <c r="G395" t="inlineStr">
        <is>
          <t xml:space="preserve"> - No hay coche</t>
        </is>
      </c>
      <c r="H395">
        <f>HYPERLINK("https://booking.roadsurfer.com/es/rally/pick?pickup_date=2026-04-27&amp;return_date=2026-05-04&amp;currency=EUR&amp;startStation=46&amp;endStation=117", "Clic para verlo en la web de RoadSurfer")</f>
        <v/>
      </c>
    </row>
    <row r="396">
      <c r="A396" t="inlineStr">
        <is>
          <t>Austria</t>
        </is>
      </c>
      <c r="B396" t="inlineStr">
        <is>
          <t>Innsbruck-Wiesing</t>
        </is>
      </c>
      <c r="C396" t="inlineStr">
        <is>
          <t>Alemania</t>
        </is>
      </c>
      <c r="D396" t="inlineStr">
        <is>
          <t>Hamburgo Aeropuerto</t>
        </is>
      </c>
      <c r="E396" t="inlineStr">
        <is>
          <t>2026-04-24</t>
        </is>
      </c>
      <c r="F396" t="inlineStr">
        <is>
          <t>2026-05-01</t>
        </is>
      </c>
      <c r="G396" t="inlineStr">
        <is>
          <t xml:space="preserve"> - No hay coche</t>
        </is>
      </c>
      <c r="H396">
        <f>HYPERLINK("https://booking.roadsurfer.com/es/rally/pick?pickup_date=2026-04-24&amp;return_date=2026-05-01&amp;currency=EUR&amp;startStation=46&amp;endStation=65", "Clic para verlo en la web de RoadSurfer")</f>
        <v/>
      </c>
    </row>
    <row r="397">
      <c r="A397" t="inlineStr">
        <is>
          <t>Alemania</t>
        </is>
      </c>
      <c r="B397" t="inlineStr">
        <is>
          <t>Karlsruhe</t>
        </is>
      </c>
      <c r="C397" t="inlineStr">
        <is>
          <t>Países Bajos</t>
        </is>
      </c>
      <c r="D397" t="inlineStr">
        <is>
          <t>Ámsterdam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Surfer Suite</t>
        </is>
      </c>
      <c r="H397">
        <f>HYPERLINK("https://booking.roadsurfer.com/es/rally/pick?pickup_date=2026-05-04&amp;return_date=2026-05-11&amp;currency=EUR&amp;startStation=110&amp;endStation=32", "Clic para verlo en la web de RoadSurfer")</f>
        <v/>
      </c>
    </row>
    <row r="398">
      <c r="A398" t="inlineStr">
        <is>
          <t>Alemania</t>
        </is>
      </c>
      <c r="B398" t="inlineStr">
        <is>
          <t>Karlsruhe</t>
        </is>
      </c>
      <c r="C398" t="inlineStr">
        <is>
          <t>Francia</t>
        </is>
      </c>
      <c r="D398" t="inlineStr">
        <is>
          <t>Lille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Cozy Cottage</t>
        </is>
      </c>
      <c r="H398">
        <f>HYPERLINK("https://booking.roadsurfer.com/es/rally/pick?pickup_date=2026-04-30&amp;return_date=2026-05-07&amp;currency=EUR&amp;startStation=110&amp;endStation=87", "Clic para verlo en la web de RoadSurfer")</f>
        <v/>
      </c>
    </row>
    <row r="399">
      <c r="A399" t="inlineStr">
        <is>
          <t>Alemania</t>
        </is>
      </c>
      <c r="B399" t="inlineStr">
        <is>
          <t>Karlsruhe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Sunrise Suite</t>
        </is>
      </c>
      <c r="H399">
        <f>HYPERLINK("https://booking.roadsurfer.com/es/rally/pick?pickup_date=2026-05-04&amp;return_date=2026-05-11&amp;currency=EUR&amp;startStation=110&amp;endStation=20", "Clic para verlo en la web de RoadSurfer")</f>
        <v/>
      </c>
    </row>
    <row r="400">
      <c r="A400" t="inlineStr">
        <is>
          <t>Alemania</t>
        </is>
      </c>
      <c r="B400" t="inlineStr">
        <is>
          <t>Karlsruhe</t>
        </is>
      </c>
      <c r="C400" t="inlineStr">
        <is>
          <t>Italia</t>
        </is>
      </c>
      <c r="D400" t="inlineStr">
        <is>
          <t>Bolonia</t>
        </is>
      </c>
      <c r="E400" t="inlineStr">
        <is>
          <t>2026-04-27</t>
        </is>
      </c>
      <c r="F400" t="inlineStr">
        <is>
          <t>2026-05-04</t>
        </is>
      </c>
      <c r="G400" t="inlineStr">
        <is>
          <t xml:space="preserve"> - Road House</t>
        </is>
      </c>
      <c r="H400">
        <f>HYPERLINK("https://booking.roadsurfer.com/es/rally/pick?pickup_date=2026-04-27&amp;return_date=2026-05-04&amp;currency=EUR&amp;startStation=110&amp;endStation=57", "Clic para verlo en la web de RoadSurfer")</f>
        <v/>
      </c>
    </row>
    <row r="401">
      <c r="A401" t="inlineStr">
        <is>
          <t>Alemania</t>
        </is>
      </c>
      <c r="B401" t="inlineStr">
        <is>
          <t>Karlsruhe</t>
        </is>
      </c>
      <c r="C401" t="inlineStr">
        <is>
          <t>España</t>
        </is>
      </c>
      <c r="D401" t="inlineStr">
        <is>
          <t>Málaga</t>
        </is>
      </c>
      <c r="E401" t="inlineStr">
        <is>
          <t>2026-05-23</t>
        </is>
      </c>
      <c r="F401" t="inlineStr">
        <is>
          <t>2026-05-30</t>
        </is>
      </c>
      <c r="G401" t="inlineStr">
        <is>
          <t xml:space="preserve"> - No hay coche</t>
        </is>
      </c>
      <c r="H401">
        <f>HYPERLINK("https://booking.roadsurfer.com/es/rally/pick?pickup_date=2026-05-23&amp;return_date=2026-05-30&amp;currency=EUR&amp;startStation=110&amp;endStation=21", "Clic para verlo en la web de RoadSurfer")</f>
        <v/>
      </c>
    </row>
    <row r="402">
      <c r="A402" t="inlineStr">
        <is>
          <t>Alemania</t>
        </is>
      </c>
      <c r="B402" t="inlineStr">
        <is>
          <t>Karlsruhe</t>
        </is>
      </c>
      <c r="C402" t="inlineStr">
        <is>
          <t>Francia</t>
        </is>
      </c>
      <c r="D402" t="inlineStr">
        <is>
          <t>Burdeos</t>
        </is>
      </c>
      <c r="E402" t="inlineStr">
        <is>
          <t>2026-05-27</t>
        </is>
      </c>
      <c r="F402" t="inlineStr">
        <is>
          <t>2026-06-03</t>
        </is>
      </c>
      <c r="G402" t="inlineStr">
        <is>
          <t xml:space="preserve"> - Camper Cabin</t>
        </is>
      </c>
      <c r="H402">
        <f>HYPERLINK("https://booking.roadsurfer.com/es/rally/pick?pickup_date=2026-05-27&amp;return_date=2026-06-03&amp;currency=EUR&amp;startStation=110&amp;endStation=13", "Clic para verlo en la web de RoadSurfer")</f>
        <v/>
      </c>
    </row>
    <row r="403">
      <c r="A403" t="inlineStr">
        <is>
          <t>Alemania</t>
        </is>
      </c>
      <c r="B403" t="inlineStr">
        <is>
          <t>Kassel</t>
        </is>
      </c>
      <c r="C403" t="inlineStr">
        <is>
          <t>Francia</t>
        </is>
      </c>
      <c r="D403" t="inlineStr">
        <is>
          <t>Burdeos</t>
        </is>
      </c>
      <c r="E403" t="inlineStr">
        <is>
          <t>2026-05-09</t>
        </is>
      </c>
      <c r="F403" t="inlineStr">
        <is>
          <t>2026-05-16</t>
        </is>
      </c>
      <c r="G403" t="inlineStr">
        <is>
          <t xml:space="preserve"> - Beach Hostel</t>
        </is>
      </c>
      <c r="H403">
        <f>HYPERLINK("https://booking.roadsurfer.com/es/rally/pick?pickup_date=2026-05-09&amp;return_date=2026-05-16&amp;currency=EUR&amp;startStation=92&amp;endStation=13", "Clic para verlo en la web de RoadSurfer")</f>
        <v/>
      </c>
    </row>
    <row r="404">
      <c r="A404" t="inlineStr">
        <is>
          <t>Alemania</t>
        </is>
      </c>
      <c r="B404" t="inlineStr">
        <is>
          <t>Kassel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2026-05-08</t>
        </is>
      </c>
      <c r="F404" t="inlineStr">
        <is>
          <t>2026-05-15</t>
        </is>
      </c>
      <c r="G404" t="inlineStr">
        <is>
          <t xml:space="preserve"> - Road House</t>
        </is>
      </c>
      <c r="H404">
        <f>HYPERLINK("https://booking.roadsurfer.com/es/rally/pick?pickup_date=2026-05-08&amp;return_date=2026-05-15&amp;currency=EUR&amp;startStation=92&amp;endStation=29", "Clic para verlo en la web de RoadSurfer")</f>
        <v/>
      </c>
    </row>
    <row r="405">
      <c r="A405" t="inlineStr">
        <is>
          <t>Alemania</t>
        </is>
      </c>
      <c r="B405" t="inlineStr">
        <is>
          <t>Kiel</t>
        </is>
      </c>
      <c r="C405" t="inlineStr">
        <is>
          <t>Alemania</t>
        </is>
      </c>
      <c r="D405" t="inlineStr">
        <is>
          <t>Flensburgo</t>
        </is>
      </c>
      <c r="E405" t="inlineStr">
        <is>
          <t>2026-04-24</t>
        </is>
      </c>
      <c r="F405" t="inlineStr">
        <is>
          <t>2026-05-01</t>
        </is>
      </c>
      <c r="G405" t="inlineStr">
        <is>
          <t xml:space="preserve"> - No hay coche</t>
        </is>
      </c>
      <c r="H405">
        <f>HYPERLINK("https://booking.roadsurfer.com/es/rally/pick?pickup_date=2026-04-24&amp;return_date=2026-05-01&amp;currency=EUR&amp;startStation=111&amp;endStation=130", "Clic para verlo en la web de RoadSurfer")</f>
        <v/>
      </c>
    </row>
    <row r="406">
      <c r="A406" t="inlineStr">
        <is>
          <t>Alemania</t>
        </is>
      </c>
      <c r="B406" t="inlineStr">
        <is>
          <t>Kiel</t>
        </is>
      </c>
      <c r="C406" t="inlineStr">
        <is>
          <t>Alemania</t>
        </is>
      </c>
      <c r="D406" t="inlineStr">
        <is>
          <t>Flensburgo</t>
        </is>
      </c>
      <c r="E406" t="inlineStr">
        <is>
          <t>2026-04-25</t>
        </is>
      </c>
      <c r="F406" t="inlineStr">
        <is>
          <t>2026-05-02</t>
        </is>
      </c>
      <c r="G406" t="inlineStr">
        <is>
          <t xml:space="preserve"> - Surfer Suite</t>
        </is>
      </c>
      <c r="H406">
        <f>HYPERLINK("https://booking.roadsurfer.com/es/rally/pick?pickup_date=2026-04-25&amp;return_date=2026-05-02&amp;currency=EUR&amp;startStation=111&amp;endStation=130", "Clic para verlo en la web de RoadSurfer")</f>
        <v/>
      </c>
    </row>
    <row r="407">
      <c r="A407" t="inlineStr">
        <is>
          <t>Alemania</t>
        </is>
      </c>
      <c r="B407" t="inlineStr">
        <is>
          <t>Kiel</t>
        </is>
      </c>
      <c r="C407" t="inlineStr">
        <is>
          <t>Suecia</t>
        </is>
      </c>
      <c r="D407" t="inlineStr">
        <is>
          <t>Malmö</t>
        </is>
      </c>
      <c r="E407" t="inlineStr">
        <is>
          <t>2026-05-19</t>
        </is>
      </c>
      <c r="F407" t="inlineStr">
        <is>
          <t>2026-05-26</t>
        </is>
      </c>
      <c r="G407" t="inlineStr">
        <is>
          <t xml:space="preserve"> - Camper Castle</t>
        </is>
      </c>
      <c r="H407">
        <f>HYPERLINK("https://booking.roadsurfer.com/es/rally/pick?pickup_date=2026-05-19&amp;return_date=2026-05-26&amp;currency=EUR&amp;startStation=111&amp;endStation=60", "Clic para verlo en la web de RoadSurfer")</f>
        <v/>
      </c>
    </row>
    <row r="408">
      <c r="A408" t="inlineStr">
        <is>
          <t>Alemania</t>
        </is>
      </c>
      <c r="B408" t="inlineStr">
        <is>
          <t>Kiel</t>
        </is>
      </c>
      <c r="C408" t="inlineStr">
        <is>
          <t>Suecia</t>
        </is>
      </c>
      <c r="D408" t="inlineStr">
        <is>
          <t>Malmö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Road House</t>
        </is>
      </c>
      <c r="H408">
        <f>HYPERLINK("https://booking.roadsurfer.com/es/rally/pick?pickup_date=2026-05-04&amp;return_date=2026-05-11&amp;currency=EUR&amp;startStation=111&amp;endStation=60", "Clic para verlo en la web de RoadSurfer")</f>
        <v/>
      </c>
    </row>
    <row r="409">
      <c r="A409" t="inlineStr">
        <is>
          <t>Alemania</t>
        </is>
      </c>
      <c r="B409" t="inlineStr">
        <is>
          <t>Kiel</t>
        </is>
      </c>
      <c r="C409" t="inlineStr">
        <is>
          <t>Alemania</t>
        </is>
      </c>
      <c r="D409" t="inlineStr">
        <is>
          <t>Stuttgart</t>
        </is>
      </c>
      <c r="E409" t="inlineStr">
        <is>
          <t>2026-06-08</t>
        </is>
      </c>
      <c r="F409" t="inlineStr">
        <is>
          <t>2026-06-15</t>
        </is>
      </c>
      <c r="G409" t="inlineStr">
        <is>
          <t xml:space="preserve"> - Camper Cabin Deluxe</t>
        </is>
      </c>
      <c r="H409">
        <f>HYPERLINK("https://booking.roadsurfer.com/es/rally/pick?pickup_date=2026-06-08&amp;return_date=2026-06-15&amp;currency=EUR&amp;startStation=111&amp;endStation=5", "Clic para verlo en la web de RoadSurfer")</f>
        <v/>
      </c>
    </row>
    <row r="410">
      <c r="A410" t="inlineStr">
        <is>
          <t>Alemania</t>
        </is>
      </c>
      <c r="B410" t="inlineStr">
        <is>
          <t>Kiel</t>
        </is>
      </c>
      <c r="C410" t="inlineStr">
        <is>
          <t>Suecia</t>
        </is>
      </c>
      <c r="D410" t="inlineStr">
        <is>
          <t>Gotemburgo</t>
        </is>
      </c>
      <c r="E410" t="inlineStr">
        <is>
          <t>2026-05-18</t>
        </is>
      </c>
      <c r="F410" t="inlineStr">
        <is>
          <t>2026-05-25</t>
        </is>
      </c>
      <c r="G410" t="inlineStr">
        <is>
          <t xml:space="preserve"> - Family Finca</t>
        </is>
      </c>
      <c r="H410">
        <f>HYPERLINK("https://booking.roadsurfer.com/es/rally/pick?pickup_date=2026-05-18&amp;return_date=2026-05-25&amp;currency=EUR&amp;startStation=111&amp;endStation=77", "Clic para verlo en la web de RoadSurfer")</f>
        <v/>
      </c>
    </row>
    <row r="411">
      <c r="A411" t="inlineStr">
        <is>
          <t>EE.UU.</t>
        </is>
      </c>
      <c r="B411" t="inlineStr">
        <is>
          <t>Las Vegas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2026-04-23</t>
        </is>
      </c>
      <c r="F411" t="inlineStr">
        <is>
          <t>2026-04-30</t>
        </is>
      </c>
      <c r="G411" t="inlineStr">
        <is>
          <t xml:space="preserve"> - Family Freedom</t>
        </is>
      </c>
      <c r="H411">
        <f>HYPERLINK("https://booking.roadsurfer.com/es/rally/pick?pickup_date=2026-04-23&amp;return_date=2026-04-30&amp;currency=EUR&amp;startStation=76&amp;endStation=107", "Clic para verlo en la web de RoadSurfer")</f>
        <v/>
      </c>
    </row>
    <row r="412">
      <c r="A412" t="inlineStr">
        <is>
          <t>EE.UU.</t>
        </is>
      </c>
      <c r="B412" t="inlineStr">
        <is>
          <t>Las Vegas</t>
        </is>
      </c>
      <c r="C412" t="inlineStr">
        <is>
          <t>EE.UU.</t>
        </is>
      </c>
      <c r="D412" t="inlineStr">
        <is>
          <t>Seattle</t>
        </is>
      </c>
      <c r="E412" t="inlineStr">
        <is>
          <t>2026-04-21</t>
        </is>
      </c>
      <c r="F412" t="inlineStr">
        <is>
          <t>2026-04-29</t>
        </is>
      </c>
      <c r="G412" t="inlineStr">
        <is>
          <t xml:space="preserve"> - Family Freedom</t>
        </is>
      </c>
      <c r="H412">
        <f>HYPERLINK("https://booking.roadsurfer.com/es/rally/pick?pickup_date=2026-04-21&amp;return_date=2026-04-29&amp;currency=EUR&amp;startStation=76&amp;endStation=107", "Clic para verlo en la web de RoadSurfer")</f>
        <v/>
      </c>
    </row>
    <row r="413">
      <c r="A413" t="inlineStr">
        <is>
          <t>EE.UU.</t>
        </is>
      </c>
      <c r="B413" t="inlineStr">
        <is>
          <t>Las Vegas</t>
        </is>
      </c>
      <c r="C413" t="inlineStr">
        <is>
          <t>EE.UU.</t>
        </is>
      </c>
      <c r="D413" t="inlineStr">
        <is>
          <t>Dallas</t>
        </is>
      </c>
      <c r="E413" t="inlineStr">
        <is>
          <t>2026-05-30</t>
        </is>
      </c>
      <c r="F413" t="inlineStr">
        <is>
          <t>2026-06-06</t>
        </is>
      </c>
      <c r="G413" t="inlineStr">
        <is>
          <t xml:space="preserve"> - Family Freedom</t>
        </is>
      </c>
      <c r="H413">
        <f>HYPERLINK("https://booking.roadsurfer.com/es/rally/pick?pickup_date=2026-05-30&amp;return_date=2026-06-06&amp;currency=EUR&amp;startStation=76&amp;endStation=125",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Países Bajos</t>
        </is>
      </c>
      <c r="D414" t="inlineStr">
        <is>
          <t>Róterdam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 - Camper Cabin - Couple Cottage</t>
        </is>
      </c>
      <c r="H414">
        <f>HYPERLINK("https://booking.roadsurfer.com/es/rally/pick?pickup_date=2026-05-04&amp;return_date=2026-05-11&amp;currency=EUR&amp;startStation=8&amp;endStation=33",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Países Bajos</t>
        </is>
      </c>
      <c r="D415" t="inlineStr">
        <is>
          <t>Róterdam</t>
        </is>
      </c>
      <c r="E415" t="inlineStr">
        <is>
          <t>2026-04-21</t>
        </is>
      </c>
      <c r="F415" t="inlineStr">
        <is>
          <t>2026-04-28</t>
        </is>
      </c>
      <c r="G415" t="inlineStr">
        <is>
          <t xml:space="preserve"> - Couple Cottage</t>
        </is>
      </c>
      <c r="H415">
        <f>HYPERLINK("https://booking.roadsurfer.com/es/rally/pick?pickup_date=2026-04-21&amp;return_date=2026-04-28&amp;currency=EUR&amp;startStation=8&amp;endStation=33",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Países Bajos</t>
        </is>
      </c>
      <c r="D416" t="inlineStr">
        <is>
          <t>Róterdam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Camper Cabin</t>
        </is>
      </c>
      <c r="H416">
        <f>HYPERLINK("https://booking.roadsurfer.com/es/rally/pick?pickup_date=2026-04-30&amp;return_date=2026-05-07&amp;currency=EUR&amp;startStation=8&amp;endStation=33",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Alemania</t>
        </is>
      </c>
      <c r="D417" t="inlineStr">
        <is>
          <t>Braunschweig</t>
        </is>
      </c>
      <c r="E417" t="inlineStr">
        <is>
          <t>2026-04-25</t>
        </is>
      </c>
      <c r="F417" t="inlineStr">
        <is>
          <t>2026-05-02</t>
        </is>
      </c>
      <c r="G417" t="inlineStr">
        <is>
          <t xml:space="preserve"> - Beach Hostel - Road House - Family Finca</t>
        </is>
      </c>
      <c r="H417">
        <f>HYPERLINK("https://booking.roadsurfer.com/es/rally/pick?pickup_date=2026-04-25&amp;return_date=2026-05-02&amp;currency=EUR&amp;startStation=8&amp;endStation=128",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Alemania</t>
        </is>
      </c>
      <c r="D418" t="inlineStr">
        <is>
          <t>Braunschweig</t>
        </is>
      </c>
      <c r="E418" t="inlineStr">
        <is>
          <t>2026-04-24</t>
        </is>
      </c>
      <c r="F418" t="inlineStr">
        <is>
          <t>2026-05-01</t>
        </is>
      </c>
      <c r="G418" t="inlineStr">
        <is>
          <t xml:space="preserve"> - No hay coche</t>
        </is>
      </c>
      <c r="H418">
        <f>HYPERLINK("https://booking.roadsurfer.com/es/rally/pick?pickup_date=2026-04-24&amp;return_date=2026-05-01&amp;currency=EUR&amp;startStation=8&amp;endStation=128",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Alemania</t>
        </is>
      </c>
      <c r="D419" t="inlineStr">
        <is>
          <t>Braunschweig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Beach Hostel</t>
        </is>
      </c>
      <c r="H419">
        <f>HYPERLINK("https://booking.roadsurfer.com/es/rally/pick?pickup_date=2026-04-27&amp;return_date=2026-05-04&amp;currency=EUR&amp;startStation=8&amp;endStation=128",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Francia</t>
        </is>
      </c>
      <c r="D420" t="inlineStr">
        <is>
          <t>Lyon</t>
        </is>
      </c>
      <c r="E420" t="inlineStr">
        <is>
          <t>2026-05-06</t>
        </is>
      </c>
      <c r="F420" t="inlineStr">
        <is>
          <t>2026-05-13</t>
        </is>
      </c>
      <c r="G420" t="inlineStr">
        <is>
          <t xml:space="preserve"> - Camper Cabin</t>
        </is>
      </c>
      <c r="H420">
        <f>HYPERLINK("https://booking.roadsurfer.com/es/rally/pick?pickup_date=2026-05-06&amp;return_date=2026-05-13&amp;currency=EUR&amp;startStation=8&amp;endStation=15",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Austria</t>
        </is>
      </c>
      <c r="D421" t="inlineStr">
        <is>
          <t>Viena</t>
        </is>
      </c>
      <c r="E421" t="inlineStr">
        <is>
          <t>2026-05-16</t>
        </is>
      </c>
      <c r="F421" t="inlineStr">
        <is>
          <t>2026-05-23</t>
        </is>
      </c>
      <c r="G421" t="inlineStr">
        <is>
          <t xml:space="preserve"> - Camper Cabin</t>
        </is>
      </c>
      <c r="H421">
        <f>HYPERLINK("https://booking.roadsurfer.com/es/rally/pick?pickup_date=2026-05-16&amp;return_date=2026-05-23&amp;currency=EUR&amp;startStation=8&amp;endStation=36",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Austria</t>
        </is>
      </c>
      <c r="D422" t="inlineStr">
        <is>
          <t>Viena Sur</t>
        </is>
      </c>
      <c r="E422" t="inlineStr">
        <is>
          <t>2026-05-18</t>
        </is>
      </c>
      <c r="F422" t="inlineStr">
        <is>
          <t>2026-05-25</t>
        </is>
      </c>
      <c r="G422" t="inlineStr">
        <is>
          <t xml:space="preserve"> - No hay coche</t>
        </is>
      </c>
      <c r="H422">
        <f>HYPERLINK("https://booking.roadsurfer.com/es/rally/pick?pickup_date=2026-05-18&amp;return_date=2026-05-25&amp;currency=EUR&amp;startStation=8&amp;endStation=45",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Austria</t>
        </is>
      </c>
      <c r="D423" t="inlineStr">
        <is>
          <t>Viena Sur</t>
        </is>
      </c>
      <c r="E423" t="inlineStr">
        <is>
          <t>2026-05-26</t>
        </is>
      </c>
      <c r="F423" t="inlineStr">
        <is>
          <t>2026-06-02</t>
        </is>
      </c>
      <c r="G423" t="inlineStr">
        <is>
          <t xml:space="preserve"> - Family Finca</t>
        </is>
      </c>
      <c r="H423">
        <f>HYPERLINK("https://booking.roadsurfer.com/es/rally/pick?pickup_date=2026-05-26&amp;return_date=2026-06-02&amp;currency=EUR&amp;startStation=8&amp;endStation=45",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Austria</t>
        </is>
      </c>
      <c r="D424" t="inlineStr">
        <is>
          <t>Viena Sur</t>
        </is>
      </c>
      <c r="E424" t="inlineStr">
        <is>
          <t>2026-05-12</t>
        </is>
      </c>
      <c r="F424" t="inlineStr">
        <is>
          <t>2026-05-19</t>
        </is>
      </c>
      <c r="G424" t="inlineStr">
        <is>
          <t xml:space="preserve"> - Family Finca</t>
        </is>
      </c>
      <c r="H424">
        <f>HYPERLINK("https://booking.roadsurfer.com/es/rally/pick?pickup_date=2026-05-12&amp;return_date=2026-05-19&amp;currency=EUR&amp;startStation=8&amp;endStation=45",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Austria</t>
        </is>
      </c>
      <c r="D425" t="inlineStr">
        <is>
          <t>Viena Sur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Road House</t>
        </is>
      </c>
      <c r="H425">
        <f>HYPERLINK("https://booking.roadsurfer.com/es/rally/pick?pickup_date=2026-05-04&amp;return_date=2026-05-11&amp;currency=EUR&amp;startStation=8&amp;endStation=45",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Austria</t>
        </is>
      </c>
      <c r="D426" t="inlineStr">
        <is>
          <t>Salzburgo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Camper Castle</t>
        </is>
      </c>
      <c r="H426">
        <f>HYPERLINK("https://booking.roadsurfer.com/es/rally/pick?pickup_date=2026-05-11&amp;return_date=2026-05-18&amp;currency=EUR&amp;startStation=8&amp;endStation=85",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Italia</t>
        </is>
      </c>
      <c r="D427" t="inlineStr">
        <is>
          <t>Venecia</t>
        </is>
      </c>
      <c r="E427" t="inlineStr">
        <is>
          <t>2026-05-12</t>
        </is>
      </c>
      <c r="F427" t="inlineStr">
        <is>
          <t>2026-05-19</t>
        </is>
      </c>
      <c r="G427" t="inlineStr">
        <is>
          <t xml:space="preserve"> - Family Finca</t>
        </is>
      </c>
      <c r="H427">
        <f>HYPERLINK("https://booking.roadsurfer.com/es/rally/pick?pickup_date=2026-05-12&amp;return_date=2026-05-19&amp;currency=EUR&amp;startStation=8&amp;endStation=78", "Clic para verlo en la web de RoadSurfer")</f>
        <v/>
      </c>
    </row>
    <row r="428">
      <c r="A428" t="inlineStr">
        <is>
          <t>Alemania</t>
        </is>
      </c>
      <c r="B428" t="inlineStr">
        <is>
          <t>Leipzig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2026-05-25</t>
        </is>
      </c>
      <c r="F428" t="inlineStr">
        <is>
          <t>2026-06-01</t>
        </is>
      </c>
      <c r="G428" t="inlineStr">
        <is>
          <t xml:space="preserve"> - No hay coche</t>
        </is>
      </c>
      <c r="H428">
        <f>HYPERLINK("https://booking.roadsurfer.com/es/rally/pick?pickup_date=2026-05-25&amp;return_date=2026-06-01&amp;currency=EUR&amp;startStation=8&amp;endStation=20",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España</t>
        </is>
      </c>
      <c r="D429" t="inlineStr">
        <is>
          <t>Valencia</t>
        </is>
      </c>
      <c r="E429" t="inlineStr">
        <is>
          <t>2026-06-02</t>
        </is>
      </c>
      <c r="F429" t="inlineStr">
        <is>
          <t>2026-06-09</t>
        </is>
      </c>
      <c r="G429" t="inlineStr">
        <is>
          <t xml:space="preserve"> - Family Finca</t>
        </is>
      </c>
      <c r="H429">
        <f>HYPERLINK("https://booking.roadsurfer.com/es/rally/pick?pickup_date=2026-06-02&amp;return_date=2026-06-09&amp;currency=EUR&amp;startStation=8&amp;endStation=38",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Suecia</t>
        </is>
      </c>
      <c r="D430" t="inlineStr">
        <is>
          <t>Estocolmo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Couple Cottage</t>
        </is>
      </c>
      <c r="H430">
        <f>HYPERLINK("https://booking.roadsurfer.com/es/rally/pick?pickup_date=2026-05-11&amp;return_date=2026-05-18&amp;currency=EUR&amp;startStation=8&amp;endStation=59",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Suecia</t>
        </is>
      </c>
      <c r="D431" t="inlineStr">
        <is>
          <t>Estocolmo</t>
        </is>
      </c>
      <c r="E431" t="inlineStr">
        <is>
          <t>2026-04-24</t>
        </is>
      </c>
      <c r="F431" t="inlineStr">
        <is>
          <t>2026-05-01</t>
        </is>
      </c>
      <c r="G431" t="inlineStr">
        <is>
          <t xml:space="preserve"> - No hay coche</t>
        </is>
      </c>
      <c r="H431">
        <f>HYPERLINK("https://booking.roadsurfer.com/es/rally/pick?pickup_date=2026-04-24&amp;return_date=2026-05-01&amp;currency=EUR&amp;startStation=8&amp;endStation=59", "Clic para verlo en la web de RoadSurfer")</f>
        <v/>
      </c>
    </row>
    <row r="432">
      <c r="A432" t="inlineStr">
        <is>
          <t>Alemania</t>
        </is>
      </c>
      <c r="B432" t="inlineStr">
        <is>
          <t>Leipzig</t>
        </is>
      </c>
      <c r="C432" t="inlineStr">
        <is>
          <t>Austria</t>
        </is>
      </c>
      <c r="D432" t="inlineStr">
        <is>
          <t>Graz</t>
        </is>
      </c>
      <c r="E432" t="inlineStr">
        <is>
          <t>2026-05-23</t>
        </is>
      </c>
      <c r="F432" t="inlineStr">
        <is>
          <t>2026-05-30</t>
        </is>
      </c>
      <c r="G432" t="inlineStr">
        <is>
          <t xml:space="preserve"> - Couple Cottage</t>
        </is>
      </c>
      <c r="H432">
        <f>HYPERLINK("https://booking.roadsurfer.com/es/rally/pick?pickup_date=2026-05-23&amp;return_date=2026-05-30&amp;currency=EUR&amp;startStation=8&amp;endStation=37", "Clic para verlo en la web de RoadSurfer")</f>
        <v/>
      </c>
    </row>
    <row r="433">
      <c r="A433" t="inlineStr">
        <is>
          <t>Alemania</t>
        </is>
      </c>
      <c r="B433" t="inlineStr">
        <is>
          <t>Leipzig</t>
        </is>
      </c>
      <c r="C433" t="inlineStr">
        <is>
          <t>Italia</t>
        </is>
      </c>
      <c r="D433" t="inlineStr">
        <is>
          <t>Turín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Couple Cottage</t>
        </is>
      </c>
      <c r="H433">
        <f>HYPERLINK("https://booking.roadsurfer.com/es/rally/pick?pickup_date=2026-05-11&amp;return_date=2026-05-18&amp;currency=EUR&amp;startStation=8&amp;endStation=58", "Clic para verlo en la web de RoadSurfer")</f>
        <v/>
      </c>
    </row>
    <row r="434">
      <c r="A434" t="inlineStr">
        <is>
          <t>Francia</t>
        </is>
      </c>
      <c r="B434" t="inlineStr">
        <is>
          <t>Lille</t>
        </is>
      </c>
      <c r="C434" t="inlineStr">
        <is>
          <t>Alemania</t>
        </is>
      </c>
      <c r="D434" t="inlineStr">
        <is>
          <t>Braunschweig</t>
        </is>
      </c>
      <c r="E434" t="inlineStr">
        <is>
          <t>2026-04-24</t>
        </is>
      </c>
      <c r="F434" t="inlineStr">
        <is>
          <t>2026-05-01</t>
        </is>
      </c>
      <c r="G434" t="inlineStr">
        <is>
          <t xml:space="preserve"> - No hay coche</t>
        </is>
      </c>
      <c r="H434">
        <f>HYPERLINK("https://booking.roadsurfer.com/es/rally/pick?pickup_date=2026-04-24&amp;return_date=2026-05-01&amp;currency=EUR&amp;startStation=87&amp;endStation=128", "Clic para verlo en la web de RoadSurfer")</f>
        <v/>
      </c>
    </row>
    <row r="435">
      <c r="A435" t="inlineStr">
        <is>
          <t>Francia</t>
        </is>
      </c>
      <c r="B435" t="inlineStr">
        <is>
          <t>Lille</t>
        </is>
      </c>
      <c r="C435" t="inlineStr">
        <is>
          <t>Alemania</t>
        </is>
      </c>
      <c r="D435" t="inlineStr">
        <is>
          <t>Braunschweig</t>
        </is>
      </c>
      <c r="E435" t="inlineStr">
        <is>
          <t>2026-04-27</t>
        </is>
      </c>
      <c r="F435" t="inlineStr">
        <is>
          <t>2026-05-04</t>
        </is>
      </c>
      <c r="G435" t="inlineStr">
        <is>
          <t xml:space="preserve"> - ROAD HOUSE</t>
        </is>
      </c>
      <c r="H435">
        <f>HYPERLINK("https://booking.roadsurfer.com/es/rally/pick?pickup_date=2026-04-27&amp;return_date=2026-05-04&amp;currency=EUR&amp;startStation=87&amp;endStation=128", "Clic para verlo en la web de RoadSurfer")</f>
        <v/>
      </c>
    </row>
    <row r="436">
      <c r="A436" t="inlineStr">
        <is>
          <t>Alemania</t>
        </is>
      </c>
      <c r="B436" t="inlineStr">
        <is>
          <t>Lindau-Wangen</t>
        </is>
      </c>
      <c r="C436" t="inlineStr">
        <is>
          <t>España</t>
        </is>
      </c>
      <c r="D436" t="inlineStr">
        <is>
          <t>Barcelona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Cozy Cottage</t>
        </is>
      </c>
      <c r="H436">
        <f>HYPERLINK("https://booking.roadsurfer.com/es/rally/pick?pickup_date=2026-05-11&amp;return_date=2026-05-18&amp;currency=EUR&amp;startStation=117&amp;endStation=17", "Clic para verlo en la web de RoadSurfer")</f>
        <v/>
      </c>
    </row>
    <row r="437">
      <c r="A437" t="inlineStr">
        <is>
          <t>Alemania</t>
        </is>
      </c>
      <c r="B437" t="inlineStr">
        <is>
          <t>Lindau-Wangen</t>
        </is>
      </c>
      <c r="C437" t="inlineStr">
        <is>
          <t>España</t>
        </is>
      </c>
      <c r="D437" t="inlineStr">
        <is>
          <t>Madrid</t>
        </is>
      </c>
      <c r="E437" t="inlineStr">
        <is>
          <t>2026-04-28</t>
        </is>
      </c>
      <c r="F437" t="inlineStr">
        <is>
          <t>2026-05-05</t>
        </is>
      </c>
      <c r="G437" t="inlineStr">
        <is>
          <t xml:space="preserve"> - Family Finca</t>
        </is>
      </c>
      <c r="H437">
        <f>HYPERLINK("https://booking.roadsurfer.com/es/rally/pick?pickup_date=2026-04-28&amp;return_date=2026-05-05&amp;currency=EUR&amp;startStation=117&amp;endStation=20", "Clic para verlo en la web de RoadSurfer")</f>
        <v/>
      </c>
    </row>
    <row r="438">
      <c r="A438" t="inlineStr">
        <is>
          <t>Alemania</t>
        </is>
      </c>
      <c r="B438" t="inlineStr">
        <is>
          <t>Lindau-Wangen</t>
        </is>
      </c>
      <c r="C438" t="inlineStr">
        <is>
          <t>Alemania</t>
        </is>
      </c>
      <c r="D438" t="inlineStr">
        <is>
          <t>Bochum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Beach Hostel</t>
        </is>
      </c>
      <c r="H438">
        <f>HYPERLINK("https://booking.roadsurfer.com/es/rally/pick?pickup_date=2026-04-27&amp;return_date=2026-05-04&amp;currency=EUR&amp;startStation=117&amp;endStation=24", "Clic para verlo en la web de RoadSurfer")</f>
        <v/>
      </c>
    </row>
    <row r="439">
      <c r="A439" t="inlineStr">
        <is>
          <t>Alemania</t>
        </is>
      </c>
      <c r="B439" t="inlineStr">
        <is>
          <t>Lindau-Wangen</t>
        </is>
      </c>
      <c r="C439" t="inlineStr">
        <is>
          <t>Italia</t>
        </is>
      </c>
      <c r="D439" t="inlineStr">
        <is>
          <t>Venecia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Family Finca</t>
        </is>
      </c>
      <c r="H439">
        <f>HYPERLINK("https://booking.roadsurfer.com/es/rally/pick?pickup_date=2026-05-06&amp;return_date=2026-05-13&amp;currency=EUR&amp;startStation=117&amp;endStation=78", "Clic para verlo en la web de RoadSurfer")</f>
        <v/>
      </c>
    </row>
    <row r="440">
      <c r="A440" t="inlineStr">
        <is>
          <t>Alemania</t>
        </is>
      </c>
      <c r="B440" t="inlineStr">
        <is>
          <t>Lindau-Wangen</t>
        </is>
      </c>
      <c r="C440" t="inlineStr">
        <is>
          <t>Austria</t>
        </is>
      </c>
      <c r="D440" t="inlineStr">
        <is>
          <t>Innsbruck-Wiesing</t>
        </is>
      </c>
      <c r="E440" t="inlineStr">
        <is>
          <t>2026-05-05</t>
        </is>
      </c>
      <c r="F440" t="inlineStr">
        <is>
          <t>2026-05-12</t>
        </is>
      </c>
      <c r="G440" t="inlineStr">
        <is>
          <t xml:space="preserve"> - Road House</t>
        </is>
      </c>
      <c r="H440">
        <f>HYPERLINK("https://booking.roadsurfer.com/es/rally/pick?pickup_date=2026-05-05&amp;return_date=2026-05-12&amp;currency=EUR&amp;startStation=117&amp;endStation=46", "Clic para verlo en la web de RoadSurfer")</f>
        <v/>
      </c>
    </row>
    <row r="441">
      <c r="A441" t="inlineStr">
        <is>
          <t>Alemania</t>
        </is>
      </c>
      <c r="B441" t="inlineStr">
        <is>
          <t>Lindau-Wangen</t>
        </is>
      </c>
      <c r="C441" t="inlineStr">
        <is>
          <t>Alemania</t>
        </is>
      </c>
      <c r="D441" t="inlineStr">
        <is>
          <t>Fráncfort</t>
        </is>
      </c>
      <c r="E441" t="inlineStr">
        <is>
          <t>2026-04-26</t>
        </is>
      </c>
      <c r="F441" t="inlineStr">
        <is>
          <t>2026-05-03</t>
        </is>
      </c>
      <c r="G441" t="inlineStr">
        <is>
          <t xml:space="preserve"> - No hay coche</t>
        </is>
      </c>
      <c r="H441">
        <f>HYPERLINK("https://booking.roadsurfer.com/es/rally/pick?pickup_date=2026-04-26&amp;return_date=2026-05-03&amp;currency=EUR&amp;startStation=117&amp;endStation=2", "Clic para verlo en la web de RoadSurfer")</f>
        <v/>
      </c>
    </row>
    <row r="442">
      <c r="A442" t="inlineStr">
        <is>
          <t>Alemania</t>
        </is>
      </c>
      <c r="B442" t="inlineStr">
        <is>
          <t>Lindau-Wangen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2026-04-30</t>
        </is>
      </c>
      <c r="F442" t="inlineStr">
        <is>
          <t>2026-05-07</t>
        </is>
      </c>
      <c r="G442" t="inlineStr">
        <is>
          <t xml:space="preserve"> - Beach Hostel</t>
        </is>
      </c>
      <c r="H442">
        <f>HYPERLINK("https://booking.roadsurfer.com/es/rally/pick?pickup_date=2026-04-30&amp;return_date=2026-05-07&amp;currency=EUR&amp;startStation=117&amp;endStation=90", "Clic para verlo en la web de RoadSurfer")</f>
        <v/>
      </c>
    </row>
    <row r="443">
      <c r="A443" t="inlineStr">
        <is>
          <t>EE.UU.</t>
        </is>
      </c>
      <c r="B443" t="inlineStr">
        <is>
          <t>Los Ángeles</t>
        </is>
      </c>
      <c r="C443" t="inlineStr">
        <is>
          <t>EE.UU.</t>
        </is>
      </c>
      <c r="D443" t="inlineStr">
        <is>
          <t>Phoenix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Family Freedom</t>
        </is>
      </c>
      <c r="H443">
        <f>HYPERLINK("https://booking.roadsurfer.com/es/rally/pick?pickup_date=2026-05-15&amp;return_date=2026-05-22&amp;currency=EUR&amp;startStation=72&amp;endStation=105", "Clic para verlo en la web de RoadSurfer")</f>
        <v/>
      </c>
    </row>
    <row r="444">
      <c r="A444" t="inlineStr">
        <is>
          <t>Alemania</t>
        </is>
      </c>
      <c r="B444" t="inlineStr">
        <is>
          <t>Lübeck</t>
        </is>
      </c>
      <c r="C444" t="inlineStr">
        <is>
          <t>Italia</t>
        </is>
      </c>
      <c r="D444" t="inlineStr">
        <is>
          <t>Venecia</t>
        </is>
      </c>
      <c r="E444" t="inlineStr">
        <is>
          <t>2026-05-16</t>
        </is>
      </c>
      <c r="F444" t="inlineStr">
        <is>
          <t>2026-05-23</t>
        </is>
      </c>
      <c r="G444" t="inlineStr">
        <is>
          <t xml:space="preserve"> - Cozy Cottage</t>
        </is>
      </c>
      <c r="H444">
        <f>HYPERLINK("https://booking.roadsurfer.com/es/rally/pick?pickup_date=2026-05-16&amp;return_date=2026-05-23&amp;currency=EUR&amp;startStation=109&amp;endStation=78", "Clic para verlo en la web de RoadSurfer")</f>
        <v/>
      </c>
    </row>
    <row r="445">
      <c r="A445" t="inlineStr">
        <is>
          <t>Alemania</t>
        </is>
      </c>
      <c r="B445" t="inlineStr">
        <is>
          <t>Lübeck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2026-04-27</t>
        </is>
      </c>
      <c r="F445" t="inlineStr">
        <is>
          <t>2026-05-04</t>
        </is>
      </c>
      <c r="G445" t="inlineStr">
        <is>
          <t xml:space="preserve"> - Surfer Suite</t>
        </is>
      </c>
      <c r="H445">
        <f>HYPERLINK("https://booking.roadsurfer.com/es/rally/pick?pickup_date=2026-04-27&amp;return_date=2026-05-04&amp;currency=EUR&amp;startStation=109&amp;endStation=77", "Clic para verlo en la web de RoadSurfer")</f>
        <v/>
      </c>
    </row>
    <row r="446">
      <c r="A446" t="inlineStr">
        <is>
          <t>Alemania</t>
        </is>
      </c>
      <c r="B446" t="inlineStr">
        <is>
          <t>Lübeck</t>
        </is>
      </c>
      <c r="C446" t="inlineStr">
        <is>
          <t>España</t>
        </is>
      </c>
      <c r="D446" t="inlineStr">
        <is>
          <t>Bilbao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Surfer Suite</t>
        </is>
      </c>
      <c r="H446">
        <f>HYPERLINK("https://booking.roadsurfer.com/es/rally/pick?pickup_date=2026-04-27&amp;return_date=2026-05-04&amp;currency=EUR&amp;startStation=109&amp;endStation=40", "Clic para verlo en la web de RoadSurfer")</f>
        <v/>
      </c>
    </row>
    <row r="447">
      <c r="A447" t="inlineStr">
        <is>
          <t>Alemania</t>
        </is>
      </c>
      <c r="B447" t="inlineStr">
        <is>
          <t>Lübeck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Road House</t>
        </is>
      </c>
      <c r="H447">
        <f>HYPERLINK("https://booking.roadsurfer.com/es/rally/pick?pickup_date=2026-04-27&amp;return_date=2026-05-04&amp;currency=EUR&amp;startStation=109&amp;endStation=29",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2026-04-30</t>
        </is>
      </c>
      <c r="F448" t="inlineStr">
        <is>
          <t>2026-05-07</t>
        </is>
      </c>
      <c r="G448" t="inlineStr">
        <is>
          <t xml:space="preserve"> - Road House</t>
        </is>
      </c>
      <c r="H448">
        <f>HYPERLINK("https://booking.roadsurfer.com/es/rally/pick?pickup_date=2026-04-30&amp;return_date=2026-05-07&amp;currency=EUR&amp;startStation=15&amp;endStation=8",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Surfer Suite</t>
        </is>
      </c>
      <c r="H449">
        <f>HYPERLINK("https://booking.roadsurfer.com/es/rally/pick?pickup_date=2026-05-11&amp;return_date=2026-05-18&amp;currency=EUR&amp;startStation=15&amp;endStation=8",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Camper Cabin - Couple Cottage</t>
        </is>
      </c>
      <c r="H450">
        <f>HYPERLINK("https://booking.roadsurfer.com/es/rally/pick?pickup_date=2026-05-04&amp;return_date=2026-05-11&amp;currency=EUR&amp;startStation=15&amp;endStation=90",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2026-06-01</t>
        </is>
      </c>
      <c r="F451" t="inlineStr">
        <is>
          <t>2026-06-08</t>
        </is>
      </c>
      <c r="G451" t="inlineStr">
        <is>
          <t xml:space="preserve"> - Camper Cabin - Road House</t>
        </is>
      </c>
      <c r="H451">
        <f>HYPERLINK("https://booking.roadsurfer.com/es/rally/pick?pickup_date=2026-06-01&amp;return_date=2026-06-08&amp;currency=EUR&amp;startStation=15&amp;endStation=90",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Beach Hostel</t>
        </is>
      </c>
      <c r="H452">
        <f>HYPERLINK("https://booking.roadsurfer.com/es/rally/pick?pickup_date=2026-05-11&amp;return_date=2026-05-18&amp;currency=EUR&amp;startStation=15&amp;endStation=90",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2026-05-18</t>
        </is>
      </c>
      <c r="F453" t="inlineStr">
        <is>
          <t>2026-05-25</t>
        </is>
      </c>
      <c r="G453" t="inlineStr">
        <is>
          <t xml:space="preserve"> - No hay coche</t>
        </is>
      </c>
      <c r="H453">
        <f>HYPERLINK("https://booking.roadsurfer.com/es/rally/pick?pickup_date=2026-05-18&amp;return_date=2026-05-25&amp;currency=EUR&amp;startStation=15&amp;endStation=90",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2026-05-07</t>
        </is>
      </c>
      <c r="F454" t="inlineStr">
        <is>
          <t>2026-05-14</t>
        </is>
      </c>
      <c r="G454" t="inlineStr">
        <is>
          <t xml:space="preserve"> - No hay coche</t>
        </is>
      </c>
      <c r="H454">
        <f>HYPERLINK("https://booking.roadsurfer.com/es/rally/pick?pickup_date=2026-05-07&amp;return_date=2026-05-14&amp;currency=EUR&amp;startStation=15&amp;endStation=90",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Erfurt</t>
        </is>
      </c>
      <c r="E455" t="inlineStr">
        <is>
          <t>2026-06-08</t>
        </is>
      </c>
      <c r="F455" t="inlineStr">
        <is>
          <t>2026-06-15</t>
        </is>
      </c>
      <c r="G455" t="inlineStr">
        <is>
          <t xml:space="preserve"> - Road House</t>
        </is>
      </c>
      <c r="H455">
        <f>HYPERLINK("https://booking.roadsurfer.com/es/rally/pick?pickup_date=2026-06-08&amp;return_date=2026-06-15&amp;currency=EUR&amp;startStation=15&amp;endStation=90",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2026-04-25</t>
        </is>
      </c>
      <c r="F456" t="inlineStr">
        <is>
          <t>2026-05-02</t>
        </is>
      </c>
      <c r="G456" t="inlineStr">
        <is>
          <t xml:space="preserve"> - Camper Cabin</t>
        </is>
      </c>
      <c r="H456">
        <f>HYPERLINK("https://booking.roadsurfer.com/es/rally/pick?pickup_date=2026-04-25&amp;return_date=2026-05-02&amp;currency=EUR&amp;startStation=15&amp;endStation=90",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Erfurt</t>
        </is>
      </c>
      <c r="E457" t="inlineStr">
        <is>
          <t>2026-04-30</t>
        </is>
      </c>
      <c r="F457" t="inlineStr">
        <is>
          <t>2026-05-07</t>
        </is>
      </c>
      <c r="G457" t="inlineStr">
        <is>
          <t xml:space="preserve"> - Road House</t>
        </is>
      </c>
      <c r="H457">
        <f>HYPERLINK("https://booking.roadsurfer.com/es/rally/pick?pickup_date=2026-04-30&amp;return_date=2026-05-07&amp;currency=EUR&amp;startStation=15&amp;endStation=90",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2026-05-16</t>
        </is>
      </c>
      <c r="F458" t="inlineStr">
        <is>
          <t>2026-05-23</t>
        </is>
      </c>
      <c r="G458" t="inlineStr">
        <is>
          <t xml:space="preserve"> - Road House</t>
        </is>
      </c>
      <c r="H458">
        <f>HYPERLINK("https://booking.roadsurfer.com/es/rally/pick?pickup_date=2026-05-16&amp;return_date=2026-05-23&amp;currency=EUR&amp;startStation=15&amp;endStation=56",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SURFER SUITE</t>
        </is>
      </c>
      <c r="H459">
        <f>HYPERLINK("https://booking.roadsurfer.com/es/rally/pick?pickup_date=2026-05-15&amp;return_date=2026-05-22&amp;currency=EUR&amp;startStation=15&amp;endStation=56",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Múnich</t>
        </is>
      </c>
      <c r="E460" t="inlineStr">
        <is>
          <t>2026-05-21</t>
        </is>
      </c>
      <c r="F460" t="inlineStr">
        <is>
          <t>2026-05-28</t>
        </is>
      </c>
      <c r="G460" t="inlineStr">
        <is>
          <t xml:space="preserve"> - Camper Cabin</t>
        </is>
      </c>
      <c r="H460">
        <f>HYPERLINK("https://booking.roadsurfer.com/es/rally/pick?pickup_date=2026-05-21&amp;return_date=2026-05-28&amp;currency=EUR&amp;startStation=15&amp;endStation=1",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Múnich</t>
        </is>
      </c>
      <c r="E461" t="inlineStr">
        <is>
          <t>2026-05-14</t>
        </is>
      </c>
      <c r="F461" t="inlineStr">
        <is>
          <t>2026-05-21</t>
        </is>
      </c>
      <c r="G461" t="inlineStr">
        <is>
          <t xml:space="preserve"> - No hay coche</t>
        </is>
      </c>
      <c r="H461">
        <f>HYPERLINK("https://booking.roadsurfer.com/es/rally/pick?pickup_date=2026-05-14&amp;return_date=2026-05-21&amp;currency=EUR&amp;startStation=15&amp;endStation=1",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Múnich</t>
        </is>
      </c>
      <c r="E462" t="inlineStr">
        <is>
          <t>2026-05-20</t>
        </is>
      </c>
      <c r="F462" t="inlineStr">
        <is>
          <t>2026-05-27</t>
        </is>
      </c>
      <c r="G462" t="inlineStr">
        <is>
          <t xml:space="preserve"> - Camper Cabin Deluxe</t>
        </is>
      </c>
      <c r="H462">
        <f>HYPERLINK("https://booking.roadsurfer.com/es/rally/pick?pickup_date=2026-05-20&amp;return_date=2026-05-27&amp;currency=EUR&amp;startStation=15&amp;endStation=1",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Múnich</t>
        </is>
      </c>
      <c r="E463" t="inlineStr">
        <is>
          <t>2026-04-28</t>
        </is>
      </c>
      <c r="F463" t="inlineStr">
        <is>
          <t>2026-05-05</t>
        </is>
      </c>
      <c r="G463" t="inlineStr">
        <is>
          <t xml:space="preserve"> - Camper Cabin</t>
        </is>
      </c>
      <c r="H463">
        <f>HYPERLINK("https://booking.roadsurfer.com/es/rally/pick?pickup_date=2026-04-28&amp;return_date=2026-05-05&amp;currency=EUR&amp;startStation=15&amp;endStation=1",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Colonia-Düsseldorf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Road House</t>
        </is>
      </c>
      <c r="H464">
        <f>HYPERLINK("https://booking.roadsurfer.com/es/rally/pick?pickup_date=2026-05-04&amp;return_date=2026-05-11&amp;currency=EUR&amp;startStation=15&amp;endStation=4",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Colonia-Düsseldorf</t>
        </is>
      </c>
      <c r="E465" t="inlineStr">
        <is>
          <t>2026-05-15</t>
        </is>
      </c>
      <c r="F465" t="inlineStr">
        <is>
          <t>2026-05-22</t>
        </is>
      </c>
      <c r="G465" t="inlineStr">
        <is>
          <t xml:space="preserve"> - Camper Cabin</t>
        </is>
      </c>
      <c r="H465">
        <f>HYPERLINK("https://booking.roadsurfer.com/es/rally/pick?pickup_date=2026-05-15&amp;return_date=2026-05-22&amp;currency=EUR&amp;startStation=15&amp;endStation=4",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2026-05-04</t>
        </is>
      </c>
      <c r="F466" t="inlineStr">
        <is>
          <t>2026-05-11</t>
        </is>
      </c>
      <c r="G466" t="inlineStr">
        <is>
          <t xml:space="preserve"> - Road House</t>
        </is>
      </c>
      <c r="H466">
        <f>HYPERLINK("https://booking.roadsurfer.com/es/rally/pick?pickup_date=2026-05-04&amp;return_date=2026-05-11&amp;currency=EUR&amp;startStation=15&amp;endStation=22",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2026-05-23</t>
        </is>
      </c>
      <c r="F467" t="inlineStr">
        <is>
          <t>2026-05-30</t>
        </is>
      </c>
      <c r="G467" t="inlineStr">
        <is>
          <t xml:space="preserve"> - No hay coche</t>
        </is>
      </c>
      <c r="H467">
        <f>HYPERLINK("https://booking.roadsurfer.com/es/rally/pick?pickup_date=2026-05-23&amp;return_date=2026-05-30&amp;currency=EUR&amp;startStation=15&amp;endStation=22",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Bremen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Family Finca</t>
        </is>
      </c>
      <c r="H468">
        <f>HYPERLINK("https://booking.roadsurfer.com/es/rally/pick?pickup_date=2026-05-04&amp;return_date=2026-05-11&amp;currency=EUR&amp;startStation=15&amp;endStation=55",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Francia</t>
        </is>
      </c>
      <c r="D469" t="inlineStr">
        <is>
          <t>Ginebra-Pays de Gex (Francia)</t>
        </is>
      </c>
      <c r="E469" t="inlineStr">
        <is>
          <t>2026-06-29</t>
        </is>
      </c>
      <c r="F469" t="inlineStr">
        <is>
          <t>2026-07-06</t>
        </is>
      </c>
      <c r="G469" t="inlineStr">
        <is>
          <t xml:space="preserve"> - Cozy Cottage</t>
        </is>
      </c>
      <c r="H469">
        <f>HYPERLINK("https://booking.roadsurfer.com/es/rally/pick?pickup_date=2026-06-29&amp;return_date=2026-07-06&amp;currency=EUR&amp;startStation=15&amp;endStation=29",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Núremberg</t>
        </is>
      </c>
      <c r="E470" t="inlineStr">
        <is>
          <t>2026-05-14</t>
        </is>
      </c>
      <c r="F470" t="inlineStr">
        <is>
          <t>2026-05-21</t>
        </is>
      </c>
      <c r="G470" t="inlineStr">
        <is>
          <t xml:space="preserve"> - Surfer Suite</t>
        </is>
      </c>
      <c r="H470">
        <f>HYPERLINK("https://booking.roadsurfer.com/es/rally/pick?pickup_date=2026-05-14&amp;return_date=2026-05-21&amp;currency=EUR&amp;startStation=20&amp;endStation=11",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2026-05-25</t>
        </is>
      </c>
      <c r="F471" t="inlineStr">
        <is>
          <t>2026-06-01</t>
        </is>
      </c>
      <c r="G471" t="inlineStr">
        <is>
          <t xml:space="preserve"> - Couple Cottage</t>
        </is>
      </c>
      <c r="H471">
        <f>HYPERLINK("https://booking.roadsurfer.com/es/rally/pick?pickup_date=2026-05-25&amp;return_date=2026-06-01&amp;currency=EUR&amp;startStation=20&amp;endStation=11",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Núremberg</t>
        </is>
      </c>
      <c r="E472" t="inlineStr">
        <is>
          <t>2026-05-22</t>
        </is>
      </c>
      <c r="F472" t="inlineStr">
        <is>
          <t>2026-05-29</t>
        </is>
      </c>
      <c r="G472" t="inlineStr">
        <is>
          <t xml:space="preserve"> - Road House</t>
        </is>
      </c>
      <c r="H472">
        <f>HYPERLINK("https://booking.roadsurfer.com/es/rally/pick?pickup_date=2026-05-22&amp;return_date=2026-05-29&amp;currency=EUR&amp;startStation=20&amp;endStation=11",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Stuttgart</t>
        </is>
      </c>
      <c r="E473" t="inlineStr">
        <is>
          <t>2026-05-06</t>
        </is>
      </c>
      <c r="F473" t="inlineStr">
        <is>
          <t>2026-05-13</t>
        </is>
      </c>
      <c r="G473" t="inlineStr">
        <is>
          <t xml:space="preserve"> - Camper Cabin</t>
        </is>
      </c>
      <c r="H473">
        <f>HYPERLINK("https://booking.roadsurfer.com/es/rally/pick?pickup_date=2026-05-06&amp;return_date=2026-05-13&amp;currency=EUR&amp;startStation=20&amp;endStation=5",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Stuttgart</t>
        </is>
      </c>
      <c r="E474" t="inlineStr">
        <is>
          <t>2026-05-08</t>
        </is>
      </c>
      <c r="F474" t="inlineStr">
        <is>
          <t>2026-05-15</t>
        </is>
      </c>
      <c r="G474" t="inlineStr">
        <is>
          <t xml:space="preserve"> - Surfer Suite</t>
        </is>
      </c>
      <c r="H474">
        <f>HYPERLINK("https://booking.roadsurfer.com/es/rally/pick?pickup_date=2026-05-08&amp;return_date=2026-05-15&amp;currency=EUR&amp;startStation=20&amp;endStation=5",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Stuttgart</t>
        </is>
      </c>
      <c r="E475" t="inlineStr">
        <is>
          <t>2026-05-22</t>
        </is>
      </c>
      <c r="F475" t="inlineStr">
        <is>
          <t>2026-05-29</t>
        </is>
      </c>
      <c r="G475" t="inlineStr">
        <is>
          <t xml:space="preserve"> - Road House</t>
        </is>
      </c>
      <c r="H475">
        <f>HYPERLINK("https://booking.roadsurfer.com/es/rally/pick?pickup_date=2026-05-22&amp;return_date=2026-05-29&amp;currency=EUR&amp;startStation=20&amp;endStation=5",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Stuttgart</t>
        </is>
      </c>
      <c r="E476" t="inlineStr">
        <is>
          <t>2026-05-04</t>
        </is>
      </c>
      <c r="F476" t="inlineStr">
        <is>
          <t>2026-05-11</t>
        </is>
      </c>
      <c r="G476" t="inlineStr">
        <is>
          <t xml:space="preserve"> - No hay coche</t>
        </is>
      </c>
      <c r="H476">
        <f>HYPERLINK("https://booking.roadsurfer.com/es/rally/pick?pickup_date=2026-05-04&amp;return_date=2026-05-11&amp;currency=EUR&amp;startStation=20&amp;endStation=5",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Friburgo-Basilea (Alemania)</t>
        </is>
      </c>
      <c r="E477" t="inlineStr">
        <is>
          <t>2026-04-22</t>
        </is>
      </c>
      <c r="F477" t="inlineStr">
        <is>
          <t>2026-04-29</t>
        </is>
      </c>
      <c r="G477" t="inlineStr">
        <is>
          <t xml:space="preserve"> - Surfer Suite</t>
        </is>
      </c>
      <c r="H477">
        <f>HYPERLINK("https://booking.roadsurfer.com/es/rally/pick?pickup_date=2026-04-22&amp;return_date=2026-04-29&amp;currency=EUR&amp;startStation=20&amp;endStation=9",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Friburgo-Basilea (Alemania)</t>
        </is>
      </c>
      <c r="E478" t="inlineStr">
        <is>
          <t>2026-04-21</t>
        </is>
      </c>
      <c r="F478" t="inlineStr">
        <is>
          <t>2026-04-28</t>
        </is>
      </c>
      <c r="G478" t="inlineStr">
        <is>
          <t xml:space="preserve"> - Couple Cottage</t>
        </is>
      </c>
      <c r="H478">
        <f>HYPERLINK("https://booking.roadsurfer.com/es/rally/pick?pickup_date=2026-04-21&amp;return_date=2026-04-28&amp;currency=EUR&amp;startStation=20&amp;endStation=9",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Maguncia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Couple Cottage</t>
        </is>
      </c>
      <c r="H479">
        <f>HYPERLINK("https://booking.roadsurfer.com/es/rally/pick?pickup_date=2026-05-04&amp;return_date=2026-05-11&amp;currency=EUR&amp;startStation=20&amp;endStation=54",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Maguncia</t>
        </is>
      </c>
      <c r="E480" t="inlineStr">
        <is>
          <t>2026-04-27</t>
        </is>
      </c>
      <c r="F480" t="inlineStr">
        <is>
          <t>2026-05-04</t>
        </is>
      </c>
      <c r="G480" t="inlineStr">
        <is>
          <t xml:space="preserve"> - Sunrise Suite</t>
        </is>
      </c>
      <c r="H480">
        <f>HYPERLINK("https://booking.roadsurfer.com/es/rally/pick?pickup_date=2026-04-27&amp;return_date=2026-05-04&amp;currency=EUR&amp;startStation=20&amp;endStation=54",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Maguncia</t>
        </is>
      </c>
      <c r="E481" t="inlineStr">
        <is>
          <t>2026-05-15</t>
        </is>
      </c>
      <c r="F481" t="inlineStr">
        <is>
          <t>2026-05-22</t>
        </is>
      </c>
      <c r="G481" t="inlineStr">
        <is>
          <t xml:space="preserve"> - No hay coche</t>
        </is>
      </c>
      <c r="H481">
        <f>HYPERLINK("https://booking.roadsurfer.com/es/rally/pick?pickup_date=2026-05-15&amp;return_date=2026-05-22&amp;currency=EUR&amp;startStation=20&amp;endStation=54",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Heidelberg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Road House</t>
        </is>
      </c>
      <c r="H482">
        <f>HYPERLINK("https://booking.roadsurfer.com/es/rally/pick?pickup_date=2026-05-11&amp;return_date=2026-05-18&amp;currency=EUR&amp;startStation=20&amp;endStation=79",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Ulm</t>
        </is>
      </c>
      <c r="E483" t="inlineStr">
        <is>
          <t>2026-05-11</t>
        </is>
      </c>
      <c r="F483" t="inlineStr">
        <is>
          <t>2026-05-18</t>
        </is>
      </c>
      <c r="G483" t="inlineStr">
        <is>
          <t xml:space="preserve"> - Road House</t>
        </is>
      </c>
      <c r="H483">
        <f>HYPERLINK("https://booking.roadsurfer.com/es/rally/pick?pickup_date=2026-05-11&amp;return_date=2026-05-18&amp;currency=EUR&amp;startStation=20&amp;endStation=112",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Karlsruhe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Camper Castle</t>
        </is>
      </c>
      <c r="H484">
        <f>HYPERLINK("https://booking.roadsurfer.com/es/rally/pick?pickup_date=2026-05-04&amp;return_date=2026-05-11&amp;currency=EUR&amp;startStation=20&amp;endStation=110",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Karlsruhe</t>
        </is>
      </c>
      <c r="E485" t="inlineStr">
        <is>
          <t>2026-05-13</t>
        </is>
      </c>
      <c r="F485" t="inlineStr">
        <is>
          <t>2026-05-20</t>
        </is>
      </c>
      <c r="G485" t="inlineStr">
        <is>
          <t xml:space="preserve"> - Sunrise Suite</t>
        </is>
      </c>
      <c r="H485">
        <f>HYPERLINK("https://booking.roadsurfer.com/es/rally/pick?pickup_date=2026-05-13&amp;return_date=2026-05-20&amp;currency=EUR&amp;startStation=20&amp;endStation=110",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Karlsruhe</t>
        </is>
      </c>
      <c r="E486" t="inlineStr">
        <is>
          <t>2026-05-15</t>
        </is>
      </c>
      <c r="F486" t="inlineStr">
        <is>
          <t>2026-05-22</t>
        </is>
      </c>
      <c r="G486" t="inlineStr">
        <is>
          <t xml:space="preserve"> - No hay coche</t>
        </is>
      </c>
      <c r="H486">
        <f>HYPERLINK("https://booking.roadsurfer.com/es/rally/pick?pickup_date=2026-05-15&amp;return_date=2026-05-22&amp;currency=EUR&amp;startStation=20&amp;endStation=110",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Wurzburgo</t>
        </is>
      </c>
      <c r="E487" t="inlineStr">
        <is>
          <t>2026-05-15</t>
        </is>
      </c>
      <c r="F487" t="inlineStr">
        <is>
          <t>2026-05-22</t>
        </is>
      </c>
      <c r="G487" t="inlineStr">
        <is>
          <t xml:space="preserve"> - No hay coche</t>
        </is>
      </c>
      <c r="H487">
        <f>HYPERLINK("https://booking.roadsurfer.com/es/rally/pick?pickup_date=2026-05-15&amp;return_date=2026-05-22&amp;currency=EUR&amp;startStation=20&amp;endStation=115",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Wurzburgo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Family Finca</t>
        </is>
      </c>
      <c r="H488">
        <f>HYPERLINK("https://booking.roadsurfer.com/es/rally/pick?pickup_date=2026-05-04&amp;return_date=2026-05-11&amp;currency=EUR&amp;startStation=20&amp;endStation=115",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Lindau-Wangen</t>
        </is>
      </c>
      <c r="E489" t="inlineStr">
        <is>
          <t>2026-04-30</t>
        </is>
      </c>
      <c r="F489" t="inlineStr">
        <is>
          <t>2026-05-07</t>
        </is>
      </c>
      <c r="G489" t="inlineStr">
        <is>
          <t xml:space="preserve"> - Couple Cottage</t>
        </is>
      </c>
      <c r="H489">
        <f>HYPERLINK("https://booking.roadsurfer.com/es/rally/pick?pickup_date=2026-04-30&amp;return_date=2026-05-07&amp;currency=EUR&amp;startStation=20&amp;endStation=117",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Lindau-Wangen</t>
        </is>
      </c>
      <c r="E490" t="inlineStr">
        <is>
          <t>2026-05-25</t>
        </is>
      </c>
      <c r="F490" t="inlineStr">
        <is>
          <t>2026-06-01</t>
        </is>
      </c>
      <c r="G490" t="inlineStr">
        <is>
          <t xml:space="preserve"> - Couple Cottage</t>
        </is>
      </c>
      <c r="H490">
        <f>HYPERLINK("https://booking.roadsurfer.com/es/rally/pick?pickup_date=2026-05-25&amp;return_date=2026-06-01&amp;currency=EUR&amp;startStation=20&amp;endStation=117",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Lindau-Wangen</t>
        </is>
      </c>
      <c r="E491" t="inlineStr">
        <is>
          <t>2026-04-23</t>
        </is>
      </c>
      <c r="F491" t="inlineStr">
        <is>
          <t>2026-04-30</t>
        </is>
      </c>
      <c r="G491" t="inlineStr">
        <is>
          <t xml:space="preserve"> - Family Finca</t>
        </is>
      </c>
      <c r="H491">
        <f>HYPERLINK("https://booking.roadsurfer.com/es/rally/pick?pickup_date=2026-04-23&amp;return_date=2026-04-30&amp;currency=EUR&amp;startStation=20&amp;endStation=117",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Leipzig</t>
        </is>
      </c>
      <c r="E492" t="inlineStr">
        <is>
          <t>2026-04-28</t>
        </is>
      </c>
      <c r="F492" t="inlineStr">
        <is>
          <t>2026-05-05</t>
        </is>
      </c>
      <c r="G492" t="inlineStr">
        <is>
          <t xml:space="preserve"> - Family Finca</t>
        </is>
      </c>
      <c r="H492">
        <f>HYPERLINK("https://booking.roadsurfer.com/es/rally/pick?pickup_date=2026-04-28&amp;return_date=2026-05-05&amp;currency=EUR&amp;startStation=20&amp;endStation=8",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Sunrise Suite</t>
        </is>
      </c>
      <c r="H493">
        <f>HYPERLINK("https://booking.roadsurfer.com/es/rally/pick?pickup_date=2026-04-27&amp;return_date=2026-05-04&amp;currency=EUR&amp;startStation=20&amp;endStation=22", "Clic para verlo en la web de RoadSurfer")</f>
        <v/>
      </c>
    </row>
    <row r="494">
      <c r="A494" t="inlineStr">
        <is>
          <t>Alemania</t>
        </is>
      </c>
      <c r="B494" t="inlineStr">
        <is>
          <t>Maguncia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No hay coche</t>
        </is>
      </c>
      <c r="H494">
        <f>HYPERLINK("https://booking.roadsurfer.com/es/rally/pick?pickup_date=2026-04-27&amp;return_date=2026-05-04&amp;currency=EUR&amp;startStation=54&amp;endStation=29", "Clic para verlo en la web de RoadSurfer")</f>
        <v/>
      </c>
    </row>
    <row r="495">
      <c r="A495" t="inlineStr">
        <is>
          <t>Alemania</t>
        </is>
      </c>
      <c r="B495" t="inlineStr">
        <is>
          <t>Maguncia</t>
        </is>
      </c>
      <c r="C495" t="inlineStr">
        <is>
          <t>Francia</t>
        </is>
      </c>
      <c r="D495" t="inlineStr">
        <is>
          <t>Burdeos</t>
        </is>
      </c>
      <c r="E495" t="inlineStr">
        <is>
          <t>2026-05-08</t>
        </is>
      </c>
      <c r="F495" t="inlineStr">
        <is>
          <t>2026-05-15</t>
        </is>
      </c>
      <c r="G495" t="inlineStr">
        <is>
          <t xml:space="preserve"> - Camper Castle</t>
        </is>
      </c>
      <c r="H495">
        <f>HYPERLINK("https://booking.roadsurfer.com/es/rally/pick?pickup_date=2026-05-08&amp;return_date=2026-05-15&amp;currency=EUR&amp;startStation=54&amp;endStation=13", "Clic para verlo en la web de RoadSurfer")</f>
        <v/>
      </c>
    </row>
    <row r="496">
      <c r="A496" t="inlineStr">
        <is>
          <t>Alemania</t>
        </is>
      </c>
      <c r="B496" t="inlineStr">
        <is>
          <t>Maguncia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Camper Castle</t>
        </is>
      </c>
      <c r="H496">
        <f>HYPERLINK("https://booking.roadsurfer.com/es/rally/pick?pickup_date=2026-04-27&amp;return_date=2026-05-04&amp;currency=EUR&amp;startStation=54&amp;endStation=60", "Clic para verlo en la web de RoadSurfer")</f>
        <v/>
      </c>
    </row>
    <row r="497">
      <c r="A497" t="inlineStr">
        <is>
          <t>España</t>
        </is>
      </c>
      <c r="B497" t="inlineStr">
        <is>
          <t>Málaga</t>
        </is>
      </c>
      <c r="C497" t="inlineStr">
        <is>
          <t>Alemania</t>
        </is>
      </c>
      <c r="D497" t="inlineStr">
        <is>
          <t>Friburgo-Basilea (Alemania)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Surfer Suite</t>
        </is>
      </c>
      <c r="H497">
        <f>HYPERLINK("https://booking.roadsurfer.com/es/rally/pick?pickup_date=2026-05-04&amp;return_date=2026-05-11&amp;currency=EUR&amp;startStation=21&amp;endStation=9", "Clic para verlo en la web de RoadSurfer")</f>
        <v/>
      </c>
    </row>
    <row r="498">
      <c r="A498" t="inlineStr">
        <is>
          <t>España</t>
        </is>
      </c>
      <c r="B498" t="inlineStr">
        <is>
          <t>Málaga</t>
        </is>
      </c>
      <c r="C498" t="inlineStr">
        <is>
          <t>Alemania</t>
        </is>
      </c>
      <c r="D498" t="inlineStr">
        <is>
          <t>Ulm</t>
        </is>
      </c>
      <c r="E498" t="inlineStr">
        <is>
          <t>2026-04-30</t>
        </is>
      </c>
      <c r="F498" t="inlineStr">
        <is>
          <t>2026-05-07</t>
        </is>
      </c>
      <c r="G498" t="inlineStr">
        <is>
          <t xml:space="preserve"> - Surfer Suite</t>
        </is>
      </c>
      <c r="H498">
        <f>HYPERLINK("https://booking.roadsurfer.com/es/rally/pick?pickup_date=2026-04-30&amp;return_date=2026-05-07&amp;currency=EUR&amp;startStation=21&amp;endStation=112", "Clic para verlo en la web de RoadSurfer")</f>
        <v/>
      </c>
    </row>
    <row r="499">
      <c r="A499" t="inlineStr">
        <is>
          <t>España</t>
        </is>
      </c>
      <c r="B499" t="inlineStr">
        <is>
          <t>Málaga</t>
        </is>
      </c>
      <c r="C499" t="inlineStr">
        <is>
          <t>Alemania</t>
        </is>
      </c>
      <c r="D499" t="inlineStr">
        <is>
          <t>Maguncia</t>
        </is>
      </c>
      <c r="E499" t="inlineStr">
        <is>
          <t>2026-05-14</t>
        </is>
      </c>
      <c r="F499" t="inlineStr">
        <is>
          <t>2026-05-21</t>
        </is>
      </c>
      <c r="G499" t="inlineStr">
        <is>
          <t xml:space="preserve"> - Road House</t>
        </is>
      </c>
      <c r="H499">
        <f>HYPERLINK("https://booking.roadsurfer.com/es/rally/pick?pickup_date=2026-05-14&amp;return_date=2026-05-21&amp;currency=EUR&amp;startStation=21&amp;endStation=54", "Clic para verlo en la web de RoadSurfer")</f>
        <v/>
      </c>
    </row>
    <row r="500">
      <c r="A500" t="inlineStr">
        <is>
          <t>España</t>
        </is>
      </c>
      <c r="B500" t="inlineStr">
        <is>
          <t>Málaga</t>
        </is>
      </c>
      <c r="C500" t="inlineStr">
        <is>
          <t>Alemania</t>
        </is>
      </c>
      <c r="D500" t="inlineStr">
        <is>
          <t>Colonia-Düsseldorf</t>
        </is>
      </c>
      <c r="E500" t="inlineStr">
        <is>
          <t>2026-04-25</t>
        </is>
      </c>
      <c r="F500" t="inlineStr">
        <is>
          <t>2026-05-02</t>
        </is>
      </c>
      <c r="G500" t="inlineStr">
        <is>
          <t xml:space="preserve"> - Family Finca</t>
        </is>
      </c>
      <c r="H500">
        <f>HYPERLINK("https://booking.roadsurfer.com/es/rally/pick?pickup_date=2026-04-25&amp;return_date=2026-05-02&amp;currency=EUR&amp;startStation=21&amp;endStation=4",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Bremen</t>
        </is>
      </c>
      <c r="E501" t="inlineStr">
        <is>
          <t>2026-04-28</t>
        </is>
      </c>
      <c r="F501" t="inlineStr">
        <is>
          <t>2026-05-05</t>
        </is>
      </c>
      <c r="G501" t="inlineStr">
        <is>
          <t xml:space="preserve"> - Surfer Suite</t>
        </is>
      </c>
      <c r="H501">
        <f>HYPERLINK("https://booking.roadsurfer.com/es/rally/pick?pickup_date=2026-04-28&amp;return_date=2026-05-05&amp;currency=EUR&amp;startStation=60&amp;endStation=55",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Bremen</t>
        </is>
      </c>
      <c r="E502" t="inlineStr">
        <is>
          <t>2026-05-06</t>
        </is>
      </c>
      <c r="F502" t="inlineStr">
        <is>
          <t>2026-05-13</t>
        </is>
      </c>
      <c r="G502" t="inlineStr">
        <is>
          <t xml:space="preserve"> - ROAD HOUSE</t>
        </is>
      </c>
      <c r="H502">
        <f>HYPERLINK("https://booking.roadsurfer.com/es/rally/pick?pickup_date=2026-05-06&amp;return_date=2026-05-13&amp;currency=EUR&amp;startStation=60&amp;endStation=55",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Marburg</t>
        </is>
      </c>
      <c r="E503" t="inlineStr">
        <is>
          <t>2026-04-29</t>
        </is>
      </c>
      <c r="F503" t="inlineStr">
        <is>
          <t>2026-05-06</t>
        </is>
      </c>
      <c r="G503" t="inlineStr">
        <is>
          <t xml:space="preserve"> - Surfer Suite - Road House - Cozy Cottage</t>
        </is>
      </c>
      <c r="H503">
        <f>HYPERLINK("https://booking.roadsurfer.com/es/rally/pick?pickup_date=2026-04-29&amp;return_date=2026-05-06&amp;currency=EUR&amp;startStation=60&amp;endStation=22",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Marburg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CAMPER CASTLE</t>
        </is>
      </c>
      <c r="H504">
        <f>HYPERLINK("https://booking.roadsurfer.com/es/rally/pick?pickup_date=2026-04-27&amp;return_date=2026-05-04&amp;currency=EUR&amp;startStation=60&amp;endStation=22",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2026-04-28</t>
        </is>
      </c>
      <c r="F505" t="inlineStr">
        <is>
          <t>2026-05-05</t>
        </is>
      </c>
      <c r="G505" t="inlineStr">
        <is>
          <t xml:space="preserve"> - Camper Castle</t>
        </is>
      </c>
      <c r="H505">
        <f>HYPERLINK("https://booking.roadsurfer.com/es/rally/pick?pickup_date=2026-04-28&amp;return_date=2026-05-05&amp;currency=EUR&amp;startStation=60&amp;endStation=22",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2026-04-30</t>
        </is>
      </c>
      <c r="F506" t="inlineStr">
        <is>
          <t>2026-05-07</t>
        </is>
      </c>
      <c r="G506" t="inlineStr">
        <is>
          <t xml:space="preserve"> - Family Finca</t>
        </is>
      </c>
      <c r="H506">
        <f>HYPERLINK("https://booking.roadsurfer.com/es/rally/pick?pickup_date=2026-04-30&amp;return_date=2026-05-07&amp;currency=EUR&amp;startStation=60&amp;endStation=22",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Hannover</t>
        </is>
      </c>
      <c r="E507" t="inlineStr">
        <is>
          <t>2026-04-24</t>
        </is>
      </c>
      <c r="F507" t="inlineStr">
        <is>
          <t>2026-05-01</t>
        </is>
      </c>
      <c r="G507" t="inlineStr">
        <is>
          <t xml:space="preserve"> - No hay coche</t>
        </is>
      </c>
      <c r="H507">
        <f>HYPERLINK("https://booking.roadsurfer.com/es/rally/pick?pickup_date=2026-04-24&amp;return_date=2026-05-01&amp;currency=EUR&amp;startStation=60&amp;endStation=7",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Núremberg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</t>
        </is>
      </c>
      <c r="H508">
        <f>HYPERLINK("https://booking.roadsurfer.com/es/rally/pick?pickup_date=2026-04-27&amp;return_date=2026-05-04&amp;currency=EUR&amp;startStation=60&amp;endStation=11",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Colonia-Bonn</t>
        </is>
      </c>
      <c r="E509" t="inlineStr">
        <is>
          <t>2026-04-30</t>
        </is>
      </c>
      <c r="F509" t="inlineStr">
        <is>
          <t>2026-05-07</t>
        </is>
      </c>
      <c r="G509" t="inlineStr">
        <is>
          <t xml:space="preserve"> - Surfer Suite</t>
        </is>
      </c>
      <c r="H509">
        <f>HYPERLINK("https://booking.roadsurfer.com/es/rally/pick?pickup_date=2026-04-30&amp;return_date=2026-05-07&amp;currency=EUR&amp;startStation=60&amp;endStation=52",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Maguncia</t>
        </is>
      </c>
      <c r="E510" t="inlineStr">
        <is>
          <t>2026-04-29</t>
        </is>
      </c>
      <c r="F510" t="inlineStr">
        <is>
          <t>2026-05-06</t>
        </is>
      </c>
      <c r="G510" t="inlineStr">
        <is>
          <t xml:space="preserve"> - Surfer Suite</t>
        </is>
      </c>
      <c r="H510">
        <f>HYPERLINK("https://booking.roadsurfer.com/es/rally/pick?pickup_date=2026-04-29&amp;return_date=2026-05-06&amp;currency=EUR&amp;startStation=60&amp;endStation=54",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Bielefeld</t>
        </is>
      </c>
      <c r="E511" t="inlineStr">
        <is>
          <t>2026-04-28</t>
        </is>
      </c>
      <c r="F511" t="inlineStr">
        <is>
          <t>2026-05-05</t>
        </is>
      </c>
      <c r="G511" t="inlineStr">
        <is>
          <t xml:space="preserve"> - Surfer Suite - Family Finca</t>
        </is>
      </c>
      <c r="H511">
        <f>HYPERLINK("https://booking.roadsurfer.com/es/rally/pick?pickup_date=2026-04-28&amp;return_date=2026-05-05&amp;currency=EUR&amp;startStation=60&amp;endStation=91",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Hamburgo</t>
        </is>
      </c>
      <c r="E512" t="inlineStr">
        <is>
          <t>2026-04-27</t>
        </is>
      </c>
      <c r="F512" t="inlineStr">
        <is>
          <t>2026-05-04</t>
        </is>
      </c>
      <c r="G512" t="inlineStr">
        <is>
          <t xml:space="preserve"> - Surfer Suite - CAMPER CABIN DELUXE - Camper Castle</t>
        </is>
      </c>
      <c r="H512">
        <f>HYPERLINK("https://booking.roadsurfer.com/es/rally/pick?pickup_date=2026-04-27&amp;return_date=2026-05-04&amp;currency=EUR&amp;startStation=60&amp;endStation=3",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Lübeck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Road House</t>
        </is>
      </c>
      <c r="H513">
        <f>HYPERLINK("https://booking.roadsurfer.com/es/rally/pick?pickup_date=2026-05-04&amp;return_date=2026-05-11&amp;currency=EUR&amp;startStation=60&amp;endStation=109",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Lübeck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Cozy Cottage</t>
        </is>
      </c>
      <c r="H514">
        <f>HYPERLINK("https://booking.roadsurfer.com/es/rally/pick?pickup_date=2026-04-27&amp;return_date=2026-05-04&amp;currency=EUR&amp;startStation=60&amp;endStation=109",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Flensburgo</t>
        </is>
      </c>
      <c r="E515" t="inlineStr">
        <is>
          <t>2026-04-24</t>
        </is>
      </c>
      <c r="F515" t="inlineStr">
        <is>
          <t>2026-05-01</t>
        </is>
      </c>
      <c r="G515" t="inlineStr">
        <is>
          <t xml:space="preserve"> - No hay coche</t>
        </is>
      </c>
      <c r="H515">
        <f>HYPERLINK("https://booking.roadsurfer.com/es/rally/pick?pickup_date=2026-04-24&amp;return_date=2026-05-01&amp;currency=EUR&amp;startStation=60&amp;endStation=130",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Stuttgart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Camper Castle</t>
        </is>
      </c>
      <c r="H516">
        <f>HYPERLINK("https://booking.roadsurfer.com/es/rally/pick?pickup_date=2026-04-27&amp;return_date=2026-05-04&amp;currency=EUR&amp;startStation=60&amp;endStation=5",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Kiel</t>
        </is>
      </c>
      <c r="E517" t="inlineStr">
        <is>
          <t>2026-04-21</t>
        </is>
      </c>
      <c r="F517" t="inlineStr">
        <is>
          <t>2026-04-28</t>
        </is>
      </c>
      <c r="G517" t="inlineStr">
        <is>
          <t xml:space="preserve"> - Camper Castle</t>
        </is>
      </c>
      <c r="H517">
        <f>HYPERLINK("https://booking.roadsurfer.com/es/rally/pick?pickup_date=2026-04-21&amp;return_date=2026-04-28&amp;currency=EUR&amp;startStation=60&amp;endStation=111",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Erfurt</t>
        </is>
      </c>
      <c r="E518" t="inlineStr">
        <is>
          <t>2026-05-13</t>
        </is>
      </c>
      <c r="F518" t="inlineStr">
        <is>
          <t>2026-05-20</t>
        </is>
      </c>
      <c r="G518" t="inlineStr">
        <is>
          <t xml:space="preserve"> - Camper Castle</t>
        </is>
      </c>
      <c r="H518">
        <f>HYPERLINK("https://booking.roadsurfer.com/es/rally/pick?pickup_date=2026-05-13&amp;return_date=2026-05-20&amp;currency=EUR&amp;startStation=60&amp;endStation=90",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2026-04-25</t>
        </is>
      </c>
      <c r="F519" t="inlineStr">
        <is>
          <t>2026-05-02</t>
        </is>
      </c>
      <c r="G519" t="inlineStr">
        <is>
          <t xml:space="preserve"> - Family Finca</t>
        </is>
      </c>
      <c r="H519">
        <f>HYPERLINK("https://booking.roadsurfer.com/es/rally/pick?pickup_date=2026-04-25&amp;return_date=2026-05-02&amp;currency=EUR&amp;startStation=60&amp;endStation=90",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Berlín-Schönefeld</t>
        </is>
      </c>
      <c r="E520" t="inlineStr">
        <is>
          <t>2026-04-26</t>
        </is>
      </c>
      <c r="F520" t="inlineStr">
        <is>
          <t>2026-05-03</t>
        </is>
      </c>
      <c r="G520" t="inlineStr">
        <is>
          <t xml:space="preserve"> - No hay coche</t>
        </is>
      </c>
      <c r="H520">
        <f>HYPERLINK("https://booking.roadsurfer.com/es/rally/pick?pickup_date=2026-04-26&amp;return_date=2026-05-03&amp;currency=EUR&amp;startStation=60&amp;endStation=51",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Augsburgo</t>
        </is>
      </c>
      <c r="E521" t="inlineStr">
        <is>
          <t>2026-04-24</t>
        </is>
      </c>
      <c r="F521" t="inlineStr">
        <is>
          <t>2026-05-01</t>
        </is>
      </c>
      <c r="G521" t="inlineStr">
        <is>
          <t xml:space="preserve"> - No hay coche</t>
        </is>
      </c>
      <c r="H521">
        <f>HYPERLINK("https://booking.roadsurfer.com/es/rally/pick?pickup_date=2026-04-24&amp;return_date=2026-05-01&amp;currency=EUR&amp;startStation=60&amp;endStation=108",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Karlsruhe</t>
        </is>
      </c>
      <c r="E522" t="inlineStr">
        <is>
          <t>2026-04-28</t>
        </is>
      </c>
      <c r="F522" t="inlineStr">
        <is>
          <t>2026-05-05</t>
        </is>
      </c>
      <c r="G522" t="inlineStr">
        <is>
          <t xml:space="preserve"> - Couple Cottage</t>
        </is>
      </c>
      <c r="H522">
        <f>HYPERLINK("https://booking.roadsurfer.com/es/rally/pick?pickup_date=2026-04-28&amp;return_date=2026-05-05&amp;currency=EUR&amp;startStation=60&amp;endStation=110",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Berlín</t>
        </is>
      </c>
      <c r="E523" t="inlineStr">
        <is>
          <t>2026-04-25</t>
        </is>
      </c>
      <c r="F523" t="inlineStr">
        <is>
          <t>2026-05-02</t>
        </is>
      </c>
      <c r="G523" t="inlineStr">
        <is>
          <t xml:space="preserve"> - Cozy Cottage</t>
        </is>
      </c>
      <c r="H523">
        <f>HYPERLINK("https://booking.roadsurfer.com/es/rally/pick?pickup_date=2026-04-25&amp;return_date=2026-05-02&amp;currency=EUR&amp;startStation=60&amp;endStation=6",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Burdeos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Surfer Suite</t>
        </is>
      </c>
      <c r="H524">
        <f>HYPERLINK("https://booking.roadsurfer.com/es/rally/pick?pickup_date=2026-05-13&amp;return_date=2026-05-20&amp;currency=EUR&amp;startStation=22&amp;endStation=13",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Burdeos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Beach Hostel</t>
        </is>
      </c>
      <c r="H525">
        <f>HYPERLINK("https://booking.roadsurfer.com/es/rally/pick?pickup_date=2026-04-27&amp;return_date=2026-05-04&amp;currency=EUR&amp;startStation=22&amp;endStation=13",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París Sur (Orly)</t>
        </is>
      </c>
      <c r="E526" t="inlineStr">
        <is>
          <t>2026-04-24</t>
        </is>
      </c>
      <c r="F526" t="inlineStr">
        <is>
          <t>2026-05-01</t>
        </is>
      </c>
      <c r="G526" t="inlineStr">
        <is>
          <t xml:space="preserve"> - No hay coche</t>
        </is>
      </c>
      <c r="H526">
        <f>HYPERLINK("https://booking.roadsurfer.com/es/rally/pick?pickup_date=2026-04-24&amp;return_date=2026-05-01&amp;currency=EUR&amp;startStation=22&amp;endStation=12",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París Sur (Orly)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Surfer Suite</t>
        </is>
      </c>
      <c r="H527">
        <f>HYPERLINK("https://booking.roadsurfer.com/es/rally/pick?pickup_date=2026-04-27&amp;return_date=2026-05-04&amp;currency=EUR&amp;startStation=22&amp;endStation=12",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París Sur (Orly)</t>
        </is>
      </c>
      <c r="E528" t="inlineStr">
        <is>
          <t>2026-04-22</t>
        </is>
      </c>
      <c r="F528" t="inlineStr">
        <is>
          <t>2026-04-29</t>
        </is>
      </c>
      <c r="G528" t="inlineStr">
        <is>
          <t xml:space="preserve"> - Travel Home</t>
        </is>
      </c>
      <c r="H528">
        <f>HYPERLINK("https://booking.roadsurfer.com/es/rally/pick?pickup_date=2026-04-22&amp;return_date=2026-04-29&amp;currency=EUR&amp;startStation=22&amp;endStation=12",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2026-04-30</t>
        </is>
      </c>
      <c r="F529" t="inlineStr">
        <is>
          <t>2026-05-07</t>
        </is>
      </c>
      <c r="G529" t="inlineStr">
        <is>
          <t xml:space="preserve"> - Camper Cabin</t>
        </is>
      </c>
      <c r="H529">
        <f>HYPERLINK("https://booking.roadsurfer.com/es/rally/pick?pickup_date=2026-04-30&amp;return_date=2026-05-07&amp;currency=EUR&amp;startStation=22&amp;endStation=12",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París Sur (Orly)</t>
        </is>
      </c>
      <c r="E530" t="inlineStr">
        <is>
          <t>2026-05-07</t>
        </is>
      </c>
      <c r="F530" t="inlineStr">
        <is>
          <t>2026-05-14</t>
        </is>
      </c>
      <c r="G530" t="inlineStr">
        <is>
          <t xml:space="preserve"> - No hay coche</t>
        </is>
      </c>
      <c r="H530">
        <f>HYPERLINK("https://booking.roadsurfer.com/es/rally/pick?pickup_date=2026-05-07&amp;return_date=2026-05-14&amp;currency=EUR&amp;startStation=22&amp;endStation=12",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Linz</t>
        </is>
      </c>
      <c r="E531" t="inlineStr">
        <is>
          <t>2026-04-25</t>
        </is>
      </c>
      <c r="F531" t="inlineStr">
        <is>
          <t>2026-05-02</t>
        </is>
      </c>
      <c r="G531" t="inlineStr">
        <is>
          <t xml:space="preserve"> - No hay coche</t>
        </is>
      </c>
      <c r="H531">
        <f>HYPERLINK("https://booking.roadsurfer.com/es/rally/pick?pickup_date=2026-04-25&amp;return_date=2026-05-02&amp;currency=EUR&amp;startStation=22&amp;endStation=116",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Lyon</t>
        </is>
      </c>
      <c r="E532" t="inlineStr">
        <is>
          <t>2026-04-26</t>
        </is>
      </c>
      <c r="F532" t="inlineStr">
        <is>
          <t>2026-05-03</t>
        </is>
      </c>
      <c r="G532" t="inlineStr">
        <is>
          <t xml:space="preserve"> - No hay coche</t>
        </is>
      </c>
      <c r="H532">
        <f>HYPERLINK("https://booking.roadsurfer.com/es/rally/pick?pickup_date=2026-04-26&amp;return_date=2026-05-03&amp;currency=EUR&amp;startStation=22&amp;endStation=15",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Lyon</t>
        </is>
      </c>
      <c r="E533" t="inlineStr">
        <is>
          <t>2026-04-30</t>
        </is>
      </c>
      <c r="F533" t="inlineStr">
        <is>
          <t>2026-05-07</t>
        </is>
      </c>
      <c r="G533" t="inlineStr">
        <is>
          <t xml:space="preserve"> - Surfer Suite</t>
        </is>
      </c>
      <c r="H533">
        <f>HYPERLINK("https://booking.roadsurfer.com/es/rally/pick?pickup_date=2026-04-30&amp;return_date=2026-05-07&amp;currency=EUR&amp;startStation=22&amp;endStation=15",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Lyon</t>
        </is>
      </c>
      <c r="E534" t="inlineStr">
        <is>
          <t>2026-05-06</t>
        </is>
      </c>
      <c r="F534" t="inlineStr">
        <is>
          <t>2026-05-13</t>
        </is>
      </c>
      <c r="G534" t="inlineStr">
        <is>
          <t xml:space="preserve"> - No hay coche</t>
        </is>
      </c>
      <c r="H534">
        <f>HYPERLINK("https://booking.roadsurfer.com/es/rally/pick?pickup_date=2026-05-06&amp;return_date=2026-05-13&amp;currency=EUR&amp;startStation=22&amp;endStation=15",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Lyon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Surfer Suite</t>
        </is>
      </c>
      <c r="H535">
        <f>HYPERLINK("https://booking.roadsurfer.com/es/rally/pick?pickup_date=2026-04-27&amp;return_date=2026-05-04&amp;currency=EUR&amp;startStation=22&amp;endStation=15",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Países Bajos</t>
        </is>
      </c>
      <c r="D536" t="inlineStr">
        <is>
          <t>Róterdam</t>
        </is>
      </c>
      <c r="E536" t="inlineStr">
        <is>
          <t>2026-04-27</t>
        </is>
      </c>
      <c r="F536" t="inlineStr">
        <is>
          <t>2026-05-04</t>
        </is>
      </c>
      <c r="G536" t="inlineStr">
        <is>
          <t xml:space="preserve"> - Surfer Suite - CAMPER CABIN</t>
        </is>
      </c>
      <c r="H536">
        <f>HYPERLINK("https://booking.roadsurfer.com/es/rally/pick?pickup_date=2026-04-27&amp;return_date=2026-05-04&amp;currency=EUR&amp;startStation=22&amp;endStation=33",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Países Bajos</t>
        </is>
      </c>
      <c r="D537" t="inlineStr">
        <is>
          <t>Róterdam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Surfer Suite</t>
        </is>
      </c>
      <c r="H537">
        <f>HYPERLINK("https://booking.roadsurfer.com/es/rally/pick?pickup_date=2026-05-04&amp;return_date=2026-05-11&amp;currency=EUR&amp;startStation=22&amp;endStation=33",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2026-04-28</t>
        </is>
      </c>
      <c r="F538" t="inlineStr">
        <is>
          <t>2026-05-05</t>
        </is>
      </c>
      <c r="G538" t="inlineStr">
        <is>
          <t xml:space="preserve"> - Surfer Suite</t>
        </is>
      </c>
      <c r="H538">
        <f>HYPERLINK("https://booking.roadsurfer.com/es/rally/pick?pickup_date=2026-04-28&amp;return_date=2026-05-05&amp;currency=EUR&amp;startStation=22&amp;endStation=59",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2026-04-30</t>
        </is>
      </c>
      <c r="F539" t="inlineStr">
        <is>
          <t>2026-05-07</t>
        </is>
      </c>
      <c r="G539" t="inlineStr">
        <is>
          <t xml:space="preserve"> - Surfer Suite</t>
        </is>
      </c>
      <c r="H539">
        <f>HYPERLINK("https://booking.roadsurfer.com/es/rally/pick?pickup_date=2026-04-30&amp;return_date=2026-05-07&amp;currency=EUR&amp;startStation=22&amp;endStation=59",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2026-04-29</t>
        </is>
      </c>
      <c r="F540" t="inlineStr">
        <is>
          <t>2026-05-06</t>
        </is>
      </c>
      <c r="G540" t="inlineStr">
        <is>
          <t xml:space="preserve"> - Surfer Suite</t>
        </is>
      </c>
      <c r="H540">
        <f>HYPERLINK("https://booking.roadsurfer.com/es/rally/pick?pickup_date=2026-04-29&amp;return_date=2026-05-06&amp;currency=EUR&amp;startStation=22&amp;endStation=59",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Beach Hostel</t>
        </is>
      </c>
      <c r="H541">
        <f>HYPERLINK("https://booking.roadsurfer.com/es/rally/pick?pickup_date=2026-04-27&amp;return_date=2026-05-04&amp;currency=EUR&amp;startStation=22&amp;endStation=59",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2026-05-25</t>
        </is>
      </c>
      <c r="F542" t="inlineStr">
        <is>
          <t>2026-06-01</t>
        </is>
      </c>
      <c r="G542" t="inlineStr">
        <is>
          <t xml:space="preserve"> - Beach Hostel - Camper Castle</t>
        </is>
      </c>
      <c r="H542">
        <f>HYPERLINK("https://booking.roadsurfer.com/es/rally/pick?pickup_date=2026-05-25&amp;return_date=2026-06-01&amp;currency=EUR&amp;startStation=22&amp;endStation=59",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2026-04-26</t>
        </is>
      </c>
      <c r="F543" t="inlineStr">
        <is>
          <t>2026-05-03</t>
        </is>
      </c>
      <c r="G543" t="inlineStr">
        <is>
          <t xml:space="preserve"> - No hay coche</t>
        </is>
      </c>
      <c r="H543">
        <f>HYPERLINK("https://booking.roadsurfer.com/es/rally/pick?pickup_date=2026-04-26&amp;return_date=2026-05-03&amp;currency=EUR&amp;startStation=22&amp;endStation=59",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2026-05-14</t>
        </is>
      </c>
      <c r="F544" t="inlineStr">
        <is>
          <t>2026-05-21</t>
        </is>
      </c>
      <c r="G544" t="inlineStr">
        <is>
          <t xml:space="preserve"> - Camper Castle</t>
        </is>
      </c>
      <c r="H544">
        <f>HYPERLINK("https://booking.roadsurfer.com/es/rally/pick?pickup_date=2026-05-14&amp;return_date=2026-05-21&amp;currency=EUR&amp;startStation=22&amp;endStation=59",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Estocolmo</t>
        </is>
      </c>
      <c r="E545" t="inlineStr">
        <is>
          <t>2026-05-28</t>
        </is>
      </c>
      <c r="F545" t="inlineStr">
        <is>
          <t>2026-06-04</t>
        </is>
      </c>
      <c r="G545" t="inlineStr">
        <is>
          <t xml:space="preserve"> - Camper Castle</t>
        </is>
      </c>
      <c r="H545">
        <f>HYPERLINK("https://booking.roadsurfer.com/es/rally/pick?pickup_date=2026-05-28&amp;return_date=2026-06-04&amp;currency=EUR&amp;startStation=22&amp;endStation=59",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2026-05-05</t>
        </is>
      </c>
      <c r="F546" t="inlineStr">
        <is>
          <t>2026-05-12</t>
        </is>
      </c>
      <c r="G546" t="inlineStr">
        <is>
          <t xml:space="preserve"> - Couple Cottage</t>
        </is>
      </c>
      <c r="H546">
        <f>HYPERLINK("https://booking.roadsurfer.com/es/rally/pick?pickup_date=2026-05-05&amp;return_date=2026-05-12&amp;currency=EUR&amp;startStation=22&amp;endStation=59",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2026-04-30</t>
        </is>
      </c>
      <c r="F547" t="inlineStr">
        <is>
          <t>2026-05-07</t>
        </is>
      </c>
      <c r="G547" t="inlineStr">
        <is>
          <t xml:space="preserve"> - Surfer Suite</t>
        </is>
      </c>
      <c r="H547">
        <f>HYPERLINK("https://booking.roadsurfer.com/es/rally/pick?pickup_date=2026-04-30&amp;return_date=2026-05-07&amp;currency=EUR&amp;startStation=22&amp;endStation=31",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2026-04-27</t>
        </is>
      </c>
      <c r="F548" t="inlineStr">
        <is>
          <t>2026-05-04</t>
        </is>
      </c>
      <c r="G548" t="inlineStr">
        <is>
          <t xml:space="preserve"> - Surfer Suite</t>
        </is>
      </c>
      <c r="H548">
        <f>HYPERLINK("https://booking.roadsurfer.com/es/rally/pick?pickup_date=2026-04-27&amp;return_date=2026-05-04&amp;currency=EUR&amp;startStation=22&amp;endStation=31",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Nantes</t>
        </is>
      </c>
      <c r="E549" t="inlineStr">
        <is>
          <t>2026-04-25</t>
        </is>
      </c>
      <c r="F549" t="inlineStr">
        <is>
          <t>2026-05-02</t>
        </is>
      </c>
      <c r="G549" t="inlineStr">
        <is>
          <t xml:space="preserve"> - No hay coche</t>
        </is>
      </c>
      <c r="H549">
        <f>HYPERLINK("https://booking.roadsurfer.com/es/rally/pick?pickup_date=2026-04-25&amp;return_date=2026-05-02&amp;currency=EUR&amp;startStation=22&amp;endStation=31",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Nantes</t>
        </is>
      </c>
      <c r="E550" t="inlineStr">
        <is>
          <t>2026-04-26</t>
        </is>
      </c>
      <c r="F550" t="inlineStr">
        <is>
          <t>2026-05-03</t>
        </is>
      </c>
      <c r="G550" t="inlineStr">
        <is>
          <t xml:space="preserve"> - No hay coche</t>
        </is>
      </c>
      <c r="H550">
        <f>HYPERLINK("https://booking.roadsurfer.com/es/rally/pick?pickup_date=2026-04-26&amp;return_date=2026-05-03&amp;currency=EUR&amp;startStation=22&amp;endStation=31",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Nantes</t>
        </is>
      </c>
      <c r="E551" t="inlineStr">
        <is>
          <t>2026-04-29</t>
        </is>
      </c>
      <c r="F551" t="inlineStr">
        <is>
          <t>2026-05-06</t>
        </is>
      </c>
      <c r="G551" t="inlineStr">
        <is>
          <t xml:space="preserve"> - Surfer Suite</t>
        </is>
      </c>
      <c r="H551">
        <f>HYPERLINK("https://booking.roadsurfer.com/es/rally/pick?pickup_date=2026-04-29&amp;return_date=2026-05-06&amp;currency=EUR&amp;startStation=22&amp;endStation=31",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Nantes</t>
        </is>
      </c>
      <c r="E552" t="inlineStr">
        <is>
          <t>2026-04-28</t>
        </is>
      </c>
      <c r="F552" t="inlineStr">
        <is>
          <t>2026-05-05</t>
        </is>
      </c>
      <c r="G552" t="inlineStr">
        <is>
          <t xml:space="preserve"> - Surfer Suite</t>
        </is>
      </c>
      <c r="H552">
        <f>HYPERLINK("https://booking.roadsurfer.com/es/rally/pick?pickup_date=2026-04-28&amp;return_date=2026-05-05&amp;currency=EUR&amp;startStation=22&amp;endStation=31",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Nantes</t>
        </is>
      </c>
      <c r="E553" t="inlineStr">
        <is>
          <t>2026-05-02</t>
        </is>
      </c>
      <c r="F553" t="inlineStr">
        <is>
          <t>2026-05-09</t>
        </is>
      </c>
      <c r="G553" t="inlineStr">
        <is>
          <t xml:space="preserve"> - No hay coche</t>
        </is>
      </c>
      <c r="H553">
        <f>HYPERLINK("https://booking.roadsurfer.com/es/rally/pick?pickup_date=2026-05-02&amp;return_date=2026-05-09&amp;currency=EUR&amp;startStation=22&amp;endStation=31",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Nantes</t>
        </is>
      </c>
      <c r="E554" t="inlineStr">
        <is>
          <t>2026-05-14</t>
        </is>
      </c>
      <c r="F554" t="inlineStr">
        <is>
          <t>2026-05-21</t>
        </is>
      </c>
      <c r="G554" t="inlineStr">
        <is>
          <t xml:space="preserve"> - Road House</t>
        </is>
      </c>
      <c r="H554">
        <f>HYPERLINK("https://booking.roadsurfer.com/es/rally/pick?pickup_date=2026-05-14&amp;return_date=2026-05-21&amp;currency=EUR&amp;startStation=22&amp;endStation=31",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Ginebra-Pays de Gex (Francia)</t>
        </is>
      </c>
      <c r="E555" t="inlineStr">
        <is>
          <t>2026-04-30</t>
        </is>
      </c>
      <c r="F555" t="inlineStr">
        <is>
          <t>2026-05-07</t>
        </is>
      </c>
      <c r="G555" t="inlineStr">
        <is>
          <t xml:space="preserve"> - Surfer Suite</t>
        </is>
      </c>
      <c r="H555">
        <f>HYPERLINK("https://booking.roadsurfer.com/es/rally/pick?pickup_date=2026-04-30&amp;return_date=2026-05-07&amp;currency=EUR&amp;startStation=22&amp;endStation=29",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Ginebra-Pays de Gex (Francia)</t>
        </is>
      </c>
      <c r="E556" t="inlineStr">
        <is>
          <t>2026-04-24</t>
        </is>
      </c>
      <c r="F556" t="inlineStr">
        <is>
          <t>2026-05-01</t>
        </is>
      </c>
      <c r="G556" t="inlineStr">
        <is>
          <t xml:space="preserve"> - No hay coche</t>
        </is>
      </c>
      <c r="H556">
        <f>HYPERLINK("https://booking.roadsurfer.com/es/rally/pick?pickup_date=2026-04-24&amp;return_date=2026-05-01&amp;currency=EUR&amp;startStation=22&amp;endStation=29",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2026-04-27</t>
        </is>
      </c>
      <c r="F557" t="inlineStr">
        <is>
          <t>2026-05-04</t>
        </is>
      </c>
      <c r="G557" t="inlineStr">
        <is>
          <t xml:space="preserve"> - Surfer Suite</t>
        </is>
      </c>
      <c r="H557">
        <f>HYPERLINK("https://booking.roadsurfer.com/es/rally/pick?pickup_date=2026-04-27&amp;return_date=2026-05-04&amp;currency=EUR&amp;startStation=22&amp;endStation=29",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Ginebra-Pays de Gex (Francia)</t>
        </is>
      </c>
      <c r="E558" t="inlineStr">
        <is>
          <t>2026-05-07</t>
        </is>
      </c>
      <c r="F558" t="inlineStr">
        <is>
          <t>2026-05-14</t>
        </is>
      </c>
      <c r="G558" t="inlineStr">
        <is>
          <t xml:space="preserve"> - No hay coche</t>
        </is>
      </c>
      <c r="H558">
        <f>HYPERLINK("https://booking.roadsurfer.com/es/rally/pick?pickup_date=2026-05-07&amp;return_date=2026-05-14&amp;currency=EUR&amp;startStation=22&amp;endStation=29",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Alemania</t>
        </is>
      </c>
      <c r="D559" t="inlineStr">
        <is>
          <t>Augsburgo</t>
        </is>
      </c>
      <c r="E559" t="inlineStr">
        <is>
          <t>2026-04-25</t>
        </is>
      </c>
      <c r="F559" t="inlineStr">
        <is>
          <t>2026-05-02</t>
        </is>
      </c>
      <c r="G559" t="inlineStr">
        <is>
          <t xml:space="preserve"> - No hay coche</t>
        </is>
      </c>
      <c r="H559">
        <f>HYPERLINK("https://booking.roadsurfer.com/es/rally/pick?pickup_date=2026-04-25&amp;return_date=2026-05-02&amp;currency=EUR&amp;startStation=22&amp;endStation=108",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Roma Aeropuerto Fiumicino</t>
        </is>
      </c>
      <c r="E560" t="inlineStr">
        <is>
          <t>2026-04-25</t>
        </is>
      </c>
      <c r="F560" t="inlineStr">
        <is>
          <t>2026-05-02</t>
        </is>
      </c>
      <c r="G560" t="inlineStr">
        <is>
          <t xml:space="preserve"> - No hay coche</t>
        </is>
      </c>
      <c r="H560">
        <f>HYPERLINK("https://booking.roadsurfer.com/es/rally/pick?pickup_date=2026-04-25&amp;return_date=2026-05-02&amp;currency=EUR&amp;startStation=22&amp;endStation=35",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Roma Aeropuerto Fiumicino</t>
        </is>
      </c>
      <c r="E561" t="inlineStr">
        <is>
          <t>2026-04-30</t>
        </is>
      </c>
      <c r="F561" t="inlineStr">
        <is>
          <t>2026-05-07</t>
        </is>
      </c>
      <c r="G561" t="inlineStr">
        <is>
          <t xml:space="preserve"> - Surfer Suite</t>
        </is>
      </c>
      <c r="H561">
        <f>HYPERLINK("https://booking.roadsurfer.com/es/rally/pick?pickup_date=2026-04-30&amp;return_date=2026-05-07&amp;currency=EUR&amp;startStation=22&amp;endStation=35",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Roma Aeropuerto Fiumicino</t>
        </is>
      </c>
      <c r="E562" t="inlineStr">
        <is>
          <t>2026-04-28</t>
        </is>
      </c>
      <c r="F562" t="inlineStr">
        <is>
          <t>2026-05-05</t>
        </is>
      </c>
      <c r="G562" t="inlineStr">
        <is>
          <t xml:space="preserve"> - Surfer Suite</t>
        </is>
      </c>
      <c r="H562">
        <f>HYPERLINK("https://booking.roadsurfer.com/es/rally/pick?pickup_date=2026-04-28&amp;return_date=2026-05-05&amp;currency=EUR&amp;startStation=22&amp;endStation=35",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Toulouse</t>
        </is>
      </c>
      <c r="E563" t="inlineStr">
        <is>
          <t>2026-04-25</t>
        </is>
      </c>
      <c r="F563" t="inlineStr">
        <is>
          <t>2026-05-02</t>
        </is>
      </c>
      <c r="G563" t="inlineStr">
        <is>
          <t xml:space="preserve"> - No hay coche</t>
        </is>
      </c>
      <c r="H563">
        <f>HYPERLINK("https://booking.roadsurfer.com/es/rally/pick?pickup_date=2026-04-25&amp;return_date=2026-05-02&amp;currency=EUR&amp;startStation=22&amp;endStation=30",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Toulouse</t>
        </is>
      </c>
      <c r="E564" t="inlineStr">
        <is>
          <t>2026-04-22</t>
        </is>
      </c>
      <c r="F564" t="inlineStr">
        <is>
          <t>2026-04-29</t>
        </is>
      </c>
      <c r="G564" t="inlineStr">
        <is>
          <t xml:space="preserve"> - No hay coche</t>
        </is>
      </c>
      <c r="H564">
        <f>HYPERLINK("https://booking.roadsurfer.com/es/rally/pick?pickup_date=2026-04-22&amp;return_date=2026-04-29&amp;currency=EUR&amp;startStation=22&amp;endStation=30",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Toulouse</t>
        </is>
      </c>
      <c r="E565" t="inlineStr">
        <is>
          <t>2026-04-27</t>
        </is>
      </c>
      <c r="F565" t="inlineStr">
        <is>
          <t>2026-05-04</t>
        </is>
      </c>
      <c r="G565" t="inlineStr">
        <is>
          <t xml:space="preserve"> - Surfer Suite</t>
        </is>
      </c>
      <c r="H565">
        <f>HYPERLINK("https://booking.roadsurfer.com/es/rally/pick?pickup_date=2026-04-27&amp;return_date=2026-05-04&amp;currency=EUR&amp;startStation=22&amp;endStation=30",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2026-04-28</t>
        </is>
      </c>
      <c r="F566" t="inlineStr">
        <is>
          <t>2026-05-05</t>
        </is>
      </c>
      <c r="G566" t="inlineStr">
        <is>
          <t xml:space="preserve"> - Beach Hostel</t>
        </is>
      </c>
      <c r="H566">
        <f>HYPERLINK("https://booking.roadsurfer.com/es/rally/pick?pickup_date=2026-04-28&amp;return_date=2026-05-05&amp;currency=EUR&amp;startStation=22&amp;endStation=30",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Gotemburgo</t>
        </is>
      </c>
      <c r="E567" t="inlineStr">
        <is>
          <t>2026-04-25</t>
        </is>
      </c>
      <c r="F567" t="inlineStr">
        <is>
          <t>2026-05-02</t>
        </is>
      </c>
      <c r="G567" t="inlineStr">
        <is>
          <t xml:space="preserve"> - No hay coche</t>
        </is>
      </c>
      <c r="H567">
        <f>HYPERLINK("https://booking.roadsurfer.com/es/rally/pick?pickup_date=2026-04-25&amp;return_date=2026-05-02&amp;currency=EUR&amp;startStation=22&amp;endStation=77",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2026-05-27</t>
        </is>
      </c>
      <c r="F568" t="inlineStr">
        <is>
          <t>2026-06-03</t>
        </is>
      </c>
      <c r="G568" t="inlineStr">
        <is>
          <t xml:space="preserve"> - Beach Hostel</t>
        </is>
      </c>
      <c r="H568">
        <f>HYPERLINK("https://booking.roadsurfer.com/es/rally/pick?pickup_date=2026-05-27&amp;return_date=2026-06-03&amp;currency=EUR&amp;startStation=22&amp;endStation=77",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Gotemburgo</t>
        </is>
      </c>
      <c r="E569" t="inlineStr">
        <is>
          <t>2026-04-29</t>
        </is>
      </c>
      <c r="F569" t="inlineStr">
        <is>
          <t>2026-05-06</t>
        </is>
      </c>
      <c r="G569" t="inlineStr">
        <is>
          <t xml:space="preserve"> - ROAD HOUSE</t>
        </is>
      </c>
      <c r="H569">
        <f>HYPERLINK("https://booking.roadsurfer.com/es/rally/pick?pickup_date=2026-04-29&amp;return_date=2026-05-06&amp;currency=EUR&amp;startStation=22&amp;endStation=77",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Gotemburgo</t>
        </is>
      </c>
      <c r="E570" t="inlineStr">
        <is>
          <t>2026-05-26</t>
        </is>
      </c>
      <c r="F570" t="inlineStr">
        <is>
          <t>2026-06-02</t>
        </is>
      </c>
      <c r="G570" t="inlineStr">
        <is>
          <t xml:space="preserve"> - Couple Cottage</t>
        </is>
      </c>
      <c r="H570">
        <f>HYPERLINK("https://booking.roadsurfer.com/es/rally/pick?pickup_date=2026-05-26&amp;return_date=2026-06-02&amp;currency=EUR&amp;startStation=22&amp;endStation=77",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Bélgica</t>
        </is>
      </c>
      <c r="D571" t="inlineStr">
        <is>
          <t>Amberes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Surfer Suite - Camper Cabin</t>
        </is>
      </c>
      <c r="H571">
        <f>HYPERLINK("https://booking.roadsurfer.com/es/rally/pick?pickup_date=2026-04-27&amp;return_date=2026-05-04&amp;currency=EUR&amp;startStation=22&amp;endStation=47",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Bélgica</t>
        </is>
      </c>
      <c r="D572" t="inlineStr">
        <is>
          <t>Amberes</t>
        </is>
      </c>
      <c r="E572" t="inlineStr">
        <is>
          <t>2026-04-28</t>
        </is>
      </c>
      <c r="F572" t="inlineStr">
        <is>
          <t>2026-05-05</t>
        </is>
      </c>
      <c r="G572" t="inlineStr">
        <is>
          <t xml:space="preserve"> - Surfer Suite</t>
        </is>
      </c>
      <c r="H572">
        <f>HYPERLINK("https://booking.roadsurfer.com/es/rally/pick?pickup_date=2026-04-28&amp;return_date=2026-05-05&amp;currency=EUR&amp;startStation=22&amp;endStation=47",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Bilbao</t>
        </is>
      </c>
      <c r="E573" t="inlineStr">
        <is>
          <t>2026-04-26</t>
        </is>
      </c>
      <c r="F573" t="inlineStr">
        <is>
          <t>2026-05-03</t>
        </is>
      </c>
      <c r="G573" t="inlineStr">
        <is>
          <t xml:space="preserve"> - No hay coche</t>
        </is>
      </c>
      <c r="H573">
        <f>HYPERLINK("https://booking.roadsurfer.com/es/rally/pick?pickup_date=2026-04-26&amp;return_date=2026-05-03&amp;currency=EUR&amp;startStation=22&amp;endStation=40",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Bilbao</t>
        </is>
      </c>
      <c r="E574" t="inlineStr">
        <is>
          <t>2026-04-27</t>
        </is>
      </c>
      <c r="F574" t="inlineStr">
        <is>
          <t>2026-05-04</t>
        </is>
      </c>
      <c r="G574" t="inlineStr">
        <is>
          <t xml:space="preserve"> - Surfer Suite</t>
        </is>
      </c>
      <c r="H574">
        <f>HYPERLINK("https://booking.roadsurfer.com/es/rally/pick?pickup_date=2026-04-27&amp;return_date=2026-05-04&amp;currency=EUR&amp;startStation=22&amp;endStation=40",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Valencia</t>
        </is>
      </c>
      <c r="E575" t="inlineStr">
        <is>
          <t>2026-04-27</t>
        </is>
      </c>
      <c r="F575" t="inlineStr">
        <is>
          <t>2026-05-04</t>
        </is>
      </c>
      <c r="G575" t="inlineStr">
        <is>
          <t xml:space="preserve"> - Surfer Suite</t>
        </is>
      </c>
      <c r="H575">
        <f>HYPERLINK("https://booking.roadsurfer.com/es/rally/pick?pickup_date=2026-04-27&amp;return_date=2026-05-04&amp;currency=EUR&amp;startStation=22&amp;endStation=38",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Bélgica</t>
        </is>
      </c>
      <c r="D576" t="inlineStr">
        <is>
          <t>Bruselas</t>
        </is>
      </c>
      <c r="E576" t="inlineStr">
        <is>
          <t>2026-04-28</t>
        </is>
      </c>
      <c r="F576" t="inlineStr">
        <is>
          <t>2026-05-05</t>
        </is>
      </c>
      <c r="G576" t="inlineStr">
        <is>
          <t xml:space="preserve"> - Surfer Suite</t>
        </is>
      </c>
      <c r="H576">
        <f>HYPERLINK("https://booking.roadsurfer.com/es/rally/pick?pickup_date=2026-04-28&amp;return_date=2026-05-05&amp;currency=EUR&amp;startStation=22&amp;endStation=42",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Bélgica</t>
        </is>
      </c>
      <c r="D577" t="inlineStr">
        <is>
          <t>Bruselas</t>
        </is>
      </c>
      <c r="E577" t="inlineStr">
        <is>
          <t>2026-04-27</t>
        </is>
      </c>
      <c r="F577" t="inlineStr">
        <is>
          <t>2026-05-04</t>
        </is>
      </c>
      <c r="G577" t="inlineStr">
        <is>
          <t xml:space="preserve"> - Couple Cottage</t>
        </is>
      </c>
      <c r="H577">
        <f>HYPERLINK("https://booking.roadsurfer.com/es/rally/pick?pickup_date=2026-04-27&amp;return_date=2026-05-04&amp;currency=EUR&amp;startStation=22&amp;endStation=42",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Turín</t>
        </is>
      </c>
      <c r="E578" t="inlineStr">
        <is>
          <t>2026-04-28</t>
        </is>
      </c>
      <c r="F578" t="inlineStr">
        <is>
          <t>2026-05-05</t>
        </is>
      </c>
      <c r="G578" t="inlineStr">
        <is>
          <t xml:space="preserve"> - Surfer Suite</t>
        </is>
      </c>
      <c r="H578">
        <f>HYPERLINK("https://booking.roadsurfer.com/es/rally/pick?pickup_date=2026-04-28&amp;return_date=2026-05-05&amp;currency=EUR&amp;startStation=22&amp;endStation=58",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Turín</t>
        </is>
      </c>
      <c r="E579" t="inlineStr">
        <is>
          <t>2026-04-27</t>
        </is>
      </c>
      <c r="F579" t="inlineStr">
        <is>
          <t>2026-05-04</t>
        </is>
      </c>
      <c r="G579" t="inlineStr">
        <is>
          <t xml:space="preserve"> - Surfer Suite</t>
        </is>
      </c>
      <c r="H579">
        <f>HYPERLINK("https://booking.roadsurfer.com/es/rally/pick?pickup_date=2026-04-27&amp;return_date=2026-05-04&amp;currency=EUR&amp;startStation=22&amp;endStation=58",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Turín</t>
        </is>
      </c>
      <c r="E580" t="inlineStr">
        <is>
          <t>2026-04-25</t>
        </is>
      </c>
      <c r="F580" t="inlineStr">
        <is>
          <t>2026-05-02</t>
        </is>
      </c>
      <c r="G580" t="inlineStr">
        <is>
          <t xml:space="preserve"> - No hay coche</t>
        </is>
      </c>
      <c r="H580">
        <f>HYPERLINK("https://booking.roadsurfer.com/es/rally/pick?pickup_date=2026-04-25&amp;return_date=2026-05-02&amp;currency=EUR&amp;startStation=22&amp;endStation=58",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Países Bajos</t>
        </is>
      </c>
      <c r="D581" t="inlineStr">
        <is>
          <t>Ámsterdam</t>
        </is>
      </c>
      <c r="E581" t="inlineStr">
        <is>
          <t>2026-04-27</t>
        </is>
      </c>
      <c r="F581" t="inlineStr">
        <is>
          <t>2026-05-04</t>
        </is>
      </c>
      <c r="G581" t="inlineStr">
        <is>
          <t xml:space="preserve"> - Surfer Suite</t>
        </is>
      </c>
      <c r="H581">
        <f>HYPERLINK("https://booking.roadsurfer.com/es/rally/pick?pickup_date=2026-04-27&amp;return_date=2026-05-04&amp;currency=EUR&amp;startStation=22&amp;endStation=32",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Países Bajos</t>
        </is>
      </c>
      <c r="D582" t="inlineStr">
        <is>
          <t>Ámsterdam</t>
        </is>
      </c>
      <c r="E582" t="inlineStr">
        <is>
          <t>2026-04-25</t>
        </is>
      </c>
      <c r="F582" t="inlineStr">
        <is>
          <t>2026-05-02</t>
        </is>
      </c>
      <c r="G582" t="inlineStr">
        <is>
          <t xml:space="preserve"> - No hay coche</t>
        </is>
      </c>
      <c r="H582">
        <f>HYPERLINK("https://booking.roadsurfer.com/es/rally/pick?pickup_date=2026-04-25&amp;return_date=2026-05-02&amp;currency=EUR&amp;startStation=22&amp;endStation=32",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París Aeropuerto CDG</t>
        </is>
      </c>
      <c r="E583" t="inlineStr">
        <is>
          <t>2026-04-29</t>
        </is>
      </c>
      <c r="F583" t="inlineStr">
        <is>
          <t>2026-05-06</t>
        </is>
      </c>
      <c r="G583" t="inlineStr">
        <is>
          <t xml:space="preserve"> - Surfer Suite</t>
        </is>
      </c>
      <c r="H583">
        <f>HYPERLINK("https://booking.roadsurfer.com/es/rally/pick?pickup_date=2026-04-29&amp;return_date=2026-05-06&amp;currency=EUR&amp;startStation=22&amp;endStation=48",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Alemania</t>
        </is>
      </c>
      <c r="D584" t="inlineStr">
        <is>
          <t>Flensburgo</t>
        </is>
      </c>
      <c r="E584" t="inlineStr">
        <is>
          <t>2026-04-27</t>
        </is>
      </c>
      <c r="F584" t="inlineStr">
        <is>
          <t>2026-05-04</t>
        </is>
      </c>
      <c r="G584" t="inlineStr">
        <is>
          <t xml:space="preserve"> - Surfer Suite</t>
        </is>
      </c>
      <c r="H584">
        <f>HYPERLINK("https://booking.roadsurfer.com/es/rally/pick?pickup_date=2026-04-27&amp;return_date=2026-05-04&amp;currency=EUR&amp;startStation=22&amp;endStation=130",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Malmö</t>
        </is>
      </c>
      <c r="E585" t="inlineStr">
        <is>
          <t>2026-04-27</t>
        </is>
      </c>
      <c r="F585" t="inlineStr">
        <is>
          <t>2026-05-04</t>
        </is>
      </c>
      <c r="G585" t="inlineStr">
        <is>
          <t xml:space="preserve"> - Surfer Suite - Family Finca</t>
        </is>
      </c>
      <c r="H585">
        <f>HYPERLINK("https://booking.roadsurfer.com/es/rally/pick?pickup_date=2026-04-27&amp;return_date=2026-05-04&amp;currency=EUR&amp;startStation=22&amp;endStation=60",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Malmö</t>
        </is>
      </c>
      <c r="E586" t="inlineStr">
        <is>
          <t>2026-04-26</t>
        </is>
      </c>
      <c r="F586" t="inlineStr">
        <is>
          <t>2026-05-03</t>
        </is>
      </c>
      <c r="G586" t="inlineStr">
        <is>
          <t xml:space="preserve"> - No hay coche</t>
        </is>
      </c>
      <c r="H586">
        <f>HYPERLINK("https://booking.roadsurfer.com/es/rally/pick?pickup_date=2026-04-26&amp;return_date=2026-05-03&amp;currency=EUR&amp;startStation=22&amp;endStation=60",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Malmö</t>
        </is>
      </c>
      <c r="E587" t="inlineStr">
        <is>
          <t>2026-04-30</t>
        </is>
      </c>
      <c r="F587" t="inlineStr">
        <is>
          <t>2026-05-07</t>
        </is>
      </c>
      <c r="G587" t="inlineStr">
        <is>
          <t xml:space="preserve"> - Beach Hostel</t>
        </is>
      </c>
      <c r="H587">
        <f>HYPERLINK("https://booking.roadsurfer.com/es/rally/pick?pickup_date=2026-04-30&amp;return_date=2026-05-07&amp;currency=EUR&amp;startStation=22&amp;endStation=60",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Austria</t>
        </is>
      </c>
      <c r="D588" t="inlineStr">
        <is>
          <t>Viena Sur</t>
        </is>
      </c>
      <c r="E588" t="inlineStr">
        <is>
          <t>2026-04-29</t>
        </is>
      </c>
      <c r="F588" t="inlineStr">
        <is>
          <t>2026-05-06</t>
        </is>
      </c>
      <c r="G588" t="inlineStr">
        <is>
          <t xml:space="preserve"> - Surfer Suite</t>
        </is>
      </c>
      <c r="H588">
        <f>HYPERLINK("https://booking.roadsurfer.com/es/rally/pick?pickup_date=2026-04-29&amp;return_date=2026-05-06&amp;currency=EUR&amp;startStation=22&amp;endStation=45",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Austria</t>
        </is>
      </c>
      <c r="D589" t="inlineStr">
        <is>
          <t>Salzburgo</t>
        </is>
      </c>
      <c r="E589" t="inlineStr">
        <is>
          <t>2026-04-30</t>
        </is>
      </c>
      <c r="F589" t="inlineStr">
        <is>
          <t>2026-05-07</t>
        </is>
      </c>
      <c r="G589" t="inlineStr">
        <is>
          <t xml:space="preserve"> - Surfer Suite</t>
        </is>
      </c>
      <c r="H589">
        <f>HYPERLINK("https://booking.roadsurfer.com/es/rally/pick?pickup_date=2026-04-30&amp;return_date=2026-05-07&amp;currency=EUR&amp;startStation=22&amp;endStation=85",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Italia</t>
        </is>
      </c>
      <c r="D590" t="inlineStr">
        <is>
          <t>Bérgamo</t>
        </is>
      </c>
      <c r="E590" t="inlineStr">
        <is>
          <t>2026-04-25</t>
        </is>
      </c>
      <c r="F590" t="inlineStr">
        <is>
          <t>2026-05-02</t>
        </is>
      </c>
      <c r="G590" t="inlineStr">
        <is>
          <t xml:space="preserve"> - No hay coche</t>
        </is>
      </c>
      <c r="H590">
        <f>HYPERLINK("https://booking.roadsurfer.com/es/rally/pick?pickup_date=2026-04-25&amp;return_date=2026-05-02&amp;currency=EUR&amp;startStation=22&amp;endStation=94",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Italia</t>
        </is>
      </c>
      <c r="D591" t="inlineStr">
        <is>
          <t>Bérgamo</t>
        </is>
      </c>
      <c r="E591" t="inlineStr">
        <is>
          <t>2026-04-27</t>
        </is>
      </c>
      <c r="F591" t="inlineStr">
        <is>
          <t>2026-05-04</t>
        </is>
      </c>
      <c r="G591" t="inlineStr">
        <is>
          <t xml:space="preserve"> - Surfer Suite</t>
        </is>
      </c>
      <c r="H591">
        <f>HYPERLINK("https://booking.roadsurfer.com/es/rally/pick?pickup_date=2026-04-27&amp;return_date=2026-05-04&amp;currency=EUR&amp;startStation=22&amp;endStation=94",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Lille</t>
        </is>
      </c>
      <c r="E592" t="inlineStr">
        <is>
          <t>2026-04-29</t>
        </is>
      </c>
      <c r="F592" t="inlineStr">
        <is>
          <t>2026-05-06</t>
        </is>
      </c>
      <c r="G592" t="inlineStr">
        <is>
          <t xml:space="preserve"> - Surfer Suite</t>
        </is>
      </c>
      <c r="H592">
        <f>HYPERLINK("https://booking.roadsurfer.com/es/rally/pick?pickup_date=2026-04-29&amp;return_date=2026-05-06&amp;currency=EUR&amp;startStation=22&amp;endStation=87",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Milán</t>
        </is>
      </c>
      <c r="E593" t="inlineStr">
        <is>
          <t>2026-04-27</t>
        </is>
      </c>
      <c r="F593" t="inlineStr">
        <is>
          <t>2026-05-04</t>
        </is>
      </c>
      <c r="G593" t="inlineStr">
        <is>
          <t xml:space="preserve"> - Beach Hostel</t>
        </is>
      </c>
      <c r="H593">
        <f>HYPERLINK("https://booking.roadsurfer.com/es/rally/pick?pickup_date=2026-04-27&amp;return_date=2026-05-04&amp;currency=EUR&amp;startStation=22&amp;endStation=34",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Milán</t>
        </is>
      </c>
      <c r="E594" t="inlineStr">
        <is>
          <t>2026-04-29</t>
        </is>
      </c>
      <c r="F594" t="inlineStr">
        <is>
          <t>2026-05-06</t>
        </is>
      </c>
      <c r="G594" t="inlineStr">
        <is>
          <t xml:space="preserve"> - Road House</t>
        </is>
      </c>
      <c r="H594">
        <f>HYPERLINK("https://booking.roadsurfer.com/es/rally/pick?pickup_date=2026-04-29&amp;return_date=2026-05-06&amp;currency=EUR&amp;startStation=22&amp;endStation=34",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Milán</t>
        </is>
      </c>
      <c r="E595" t="inlineStr">
        <is>
          <t>2026-04-28</t>
        </is>
      </c>
      <c r="F595" t="inlineStr">
        <is>
          <t>2026-05-05</t>
        </is>
      </c>
      <c r="G595" t="inlineStr">
        <is>
          <t xml:space="preserve"> - Sunrise Suite</t>
        </is>
      </c>
      <c r="H595">
        <f>HYPERLINK("https://booking.roadsurfer.com/es/rally/pick?pickup_date=2026-04-28&amp;return_date=2026-05-05&amp;currency=EUR&amp;startStation=22&amp;endStation=34",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Florencia</t>
        </is>
      </c>
      <c r="E596" t="inlineStr">
        <is>
          <t>2026-04-30</t>
        </is>
      </c>
      <c r="F596" t="inlineStr">
        <is>
          <t>2026-05-07</t>
        </is>
      </c>
      <c r="G596" t="inlineStr">
        <is>
          <t xml:space="preserve"> - Beach Hostel</t>
        </is>
      </c>
      <c r="H596">
        <f>HYPERLINK("https://booking.roadsurfer.com/es/rally/pick?pickup_date=2026-04-30&amp;return_date=2026-05-07&amp;currency=EUR&amp;startStation=22&amp;endStation=80",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Bolonia</t>
        </is>
      </c>
      <c r="E597" t="inlineStr">
        <is>
          <t>2026-04-21</t>
        </is>
      </c>
      <c r="F597" t="inlineStr">
        <is>
          <t>2026-04-28</t>
        </is>
      </c>
      <c r="G597" t="inlineStr">
        <is>
          <t xml:space="preserve"> - No hay coche</t>
        </is>
      </c>
      <c r="H597">
        <f>HYPERLINK("https://booking.roadsurfer.com/es/rally/pick?pickup_date=2026-04-21&amp;return_date=2026-04-28&amp;currency=EUR&amp;startStation=22&amp;endStation=57",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España</t>
        </is>
      </c>
      <c r="D598" t="inlineStr">
        <is>
          <t>Madrid</t>
        </is>
      </c>
      <c r="E598" t="inlineStr">
        <is>
          <t>2026-04-29</t>
        </is>
      </c>
      <c r="F598" t="inlineStr">
        <is>
          <t>2026-05-06</t>
        </is>
      </c>
      <c r="G598" t="inlineStr">
        <is>
          <t xml:space="preserve"> - Beach Hostel</t>
        </is>
      </c>
      <c r="H598">
        <f>HYPERLINK("https://booking.roadsurfer.com/es/rally/pick?pickup_date=2026-04-29&amp;return_date=2026-05-06&amp;currency=EUR&amp;startStation=22&amp;endStation=20",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España</t>
        </is>
      </c>
      <c r="D599" t="inlineStr">
        <is>
          <t>Madrid</t>
        </is>
      </c>
      <c r="E599" t="inlineStr">
        <is>
          <t>2026-05-25</t>
        </is>
      </c>
      <c r="F599" t="inlineStr">
        <is>
          <t>2026-06-01</t>
        </is>
      </c>
      <c r="G599" t="inlineStr">
        <is>
          <t xml:space="preserve"> - Sunrise Suite</t>
        </is>
      </c>
      <c r="H599">
        <f>HYPERLINK("https://booking.roadsurfer.com/es/rally/pick?pickup_date=2026-05-25&amp;return_date=2026-06-01&amp;currency=EUR&amp;startStation=22&amp;endStation=20",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España</t>
        </is>
      </c>
      <c r="D600" t="inlineStr">
        <is>
          <t>Barcelona</t>
        </is>
      </c>
      <c r="E600" t="inlineStr">
        <is>
          <t>2026-04-27</t>
        </is>
      </c>
      <c r="F600" t="inlineStr">
        <is>
          <t>2026-05-04</t>
        </is>
      </c>
      <c r="G600" t="inlineStr">
        <is>
          <t xml:space="preserve"> - Camper Cabin</t>
        </is>
      </c>
      <c r="H600">
        <f>HYPERLINK("https://booking.roadsurfer.com/es/rally/pick?pickup_date=2026-04-27&amp;return_date=2026-05-04&amp;currency=EUR&amp;startStation=22&amp;endStation=17",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España</t>
        </is>
      </c>
      <c r="D601" t="inlineStr">
        <is>
          <t>Barcelona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Road House</t>
        </is>
      </c>
      <c r="H601">
        <f>HYPERLINK("https://booking.roadsurfer.com/es/rally/pick?pickup_date=2026-05-04&amp;return_date=2026-05-11&amp;currency=EUR&amp;startStation=22&amp;endStation=17",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España</t>
        </is>
      </c>
      <c r="D602" t="inlineStr">
        <is>
          <t>Barcelona</t>
        </is>
      </c>
      <c r="E602" t="inlineStr">
        <is>
          <t>2026-06-01</t>
        </is>
      </c>
      <c r="F602" t="inlineStr">
        <is>
          <t>2026-06-08</t>
        </is>
      </c>
      <c r="G602" t="inlineStr">
        <is>
          <t xml:space="preserve"> - Family Finca</t>
        </is>
      </c>
      <c r="H602">
        <f>HYPERLINK("https://booking.roadsurfer.com/es/rally/pick?pickup_date=2026-06-01&amp;return_date=2026-06-08&amp;currency=EUR&amp;startStation=22&amp;endStation=17",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España</t>
        </is>
      </c>
      <c r="D603" t="inlineStr">
        <is>
          <t>Málaga</t>
        </is>
      </c>
      <c r="E603" t="inlineStr">
        <is>
          <t>2026-04-25</t>
        </is>
      </c>
      <c r="F603" t="inlineStr">
        <is>
          <t>2026-05-02</t>
        </is>
      </c>
      <c r="G603" t="inlineStr">
        <is>
          <t xml:space="preserve"> - No hay coche</t>
        </is>
      </c>
      <c r="H603">
        <f>HYPERLINK("https://booking.roadsurfer.com/es/rally/pick?pickup_date=2026-04-25&amp;return_date=2026-05-02&amp;currency=EUR&amp;startStation=22&amp;endStation=21",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España</t>
        </is>
      </c>
      <c r="D604" t="inlineStr">
        <is>
          <t>Málaga</t>
        </is>
      </c>
      <c r="E604" t="inlineStr">
        <is>
          <t>2026-05-16</t>
        </is>
      </c>
      <c r="F604" t="inlineStr">
        <is>
          <t>2026-05-23</t>
        </is>
      </c>
      <c r="G604" t="inlineStr">
        <is>
          <t xml:space="preserve"> - No hay coche</t>
        </is>
      </c>
      <c r="H604">
        <f>HYPERLINK("https://booking.roadsurfer.com/es/rally/pick?pickup_date=2026-05-16&amp;return_date=2026-05-23&amp;currency=EUR&amp;startStation=22&amp;endStation=21",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Aix-Marsella</t>
        </is>
      </c>
      <c r="E605" t="inlineStr">
        <is>
          <t>2026-06-08</t>
        </is>
      </c>
      <c r="F605" t="inlineStr">
        <is>
          <t>2026-06-15</t>
        </is>
      </c>
      <c r="G605" t="inlineStr">
        <is>
          <t xml:space="preserve"> - Camper Castle</t>
        </is>
      </c>
      <c r="H605">
        <f>HYPERLINK("https://booking.roadsurfer.com/es/rally/pick?pickup_date=2026-06-08&amp;return_date=2026-06-15&amp;currency=EUR&amp;startStation=22&amp;endStation=16",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Alemania</t>
        </is>
      </c>
      <c r="D606" t="inlineStr">
        <is>
          <t>Ratisbona</t>
        </is>
      </c>
      <c r="E606" t="inlineStr">
        <is>
          <t>2026-04-25</t>
        </is>
      </c>
      <c r="F606" t="inlineStr">
        <is>
          <t>2026-05-02</t>
        </is>
      </c>
      <c r="G606" t="inlineStr">
        <is>
          <t xml:space="preserve"> - No hay coche</t>
        </is>
      </c>
      <c r="H606">
        <f>HYPERLINK("https://booking.roadsurfer.com/es/rally/pick?pickup_date=2026-04-25&amp;return_date=2026-05-02&amp;currency=EUR&amp;startStation=22&amp;endStation=89",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Austria</t>
        </is>
      </c>
      <c r="D607" t="inlineStr">
        <is>
          <t>Graz</t>
        </is>
      </c>
      <c r="E607" t="inlineStr">
        <is>
          <t>2026-06-08</t>
        </is>
      </c>
      <c r="F607" t="inlineStr">
        <is>
          <t>2026-06-15</t>
        </is>
      </c>
      <c r="G607" t="inlineStr">
        <is>
          <t xml:space="preserve"> - Couple Cottage</t>
        </is>
      </c>
      <c r="H607">
        <f>HYPERLINK("https://booking.roadsurfer.com/es/rally/pick?pickup_date=2026-06-08&amp;return_date=2026-06-15&amp;currency=EUR&amp;startStation=22&amp;endStation=37",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2026-05-12</t>
        </is>
      </c>
      <c r="F608" t="inlineStr">
        <is>
          <t>2026-05-19</t>
        </is>
      </c>
      <c r="G608" t="inlineStr">
        <is>
          <t xml:space="preserve"> - Surfer Suite</t>
        </is>
      </c>
      <c r="H608">
        <f>HYPERLINK("https://booking.roadsurfer.com/es/rally/pick?pickup_date=2026-05-12&amp;return_date=2026-05-19&amp;currency=EUR&amp;startStation=34&amp;endStation=22",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2026-04-26</t>
        </is>
      </c>
      <c r="F609" t="inlineStr">
        <is>
          <t>2026-05-03</t>
        </is>
      </c>
      <c r="G609" t="inlineStr">
        <is>
          <t xml:space="preserve"> - No hay coche</t>
        </is>
      </c>
      <c r="H609">
        <f>HYPERLINK("https://booking.roadsurfer.com/es/rally/pick?pickup_date=2026-04-26&amp;return_date=2026-05-03&amp;currency=EUR&amp;startStation=34&amp;endStation=22",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2026-05-16</t>
        </is>
      </c>
      <c r="F610" t="inlineStr">
        <is>
          <t>2026-05-23</t>
        </is>
      </c>
      <c r="G610" t="inlineStr">
        <is>
          <t xml:space="preserve"> - Surfer Suite</t>
        </is>
      </c>
      <c r="H610">
        <f>HYPERLINK("https://booking.roadsurfer.com/es/rally/pick?pickup_date=2026-05-16&amp;return_date=2026-05-23&amp;currency=EUR&amp;startStation=34&amp;endStation=11",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Wurzburgo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Road House</t>
        </is>
      </c>
      <c r="H611">
        <f>HYPERLINK("https://booking.roadsurfer.com/es/rally/pick?pickup_date=2026-05-04&amp;return_date=2026-05-11&amp;currency=EUR&amp;startStation=34&amp;endStation=115",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Stuttgart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Sunrise Suite</t>
        </is>
      </c>
      <c r="H612">
        <f>HYPERLINK("https://booking.roadsurfer.com/es/rally/pick?pickup_date=2026-05-04&amp;return_date=2026-05-11&amp;currency=EUR&amp;startStation=34&amp;endStation=5",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Stuttgart</t>
        </is>
      </c>
      <c r="E613" t="inlineStr">
        <is>
          <t>2026-05-06</t>
        </is>
      </c>
      <c r="F613" t="inlineStr">
        <is>
          <t>2026-05-13</t>
        </is>
      </c>
      <c r="G613" t="inlineStr">
        <is>
          <t xml:space="preserve"> - Road House</t>
        </is>
      </c>
      <c r="H613">
        <f>HYPERLINK("https://booking.roadsurfer.com/es/rally/pick?pickup_date=2026-05-06&amp;return_date=2026-05-13&amp;currency=EUR&amp;startStation=34&amp;endStation=5",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Erfurt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Road House</t>
        </is>
      </c>
      <c r="H614">
        <f>HYPERLINK("https://booking.roadsurfer.com/es/rally/pick?pickup_date=2026-05-11&amp;return_date=2026-05-18&amp;currency=EUR&amp;startStation=34&amp;endStation=90",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Erfurt</t>
        </is>
      </c>
      <c r="E615" t="inlineStr">
        <is>
          <t>2026-05-15</t>
        </is>
      </c>
      <c r="F615" t="inlineStr">
        <is>
          <t>2026-05-22</t>
        </is>
      </c>
      <c r="G615" t="inlineStr">
        <is>
          <t xml:space="preserve"> - Sunrise Suite</t>
        </is>
      </c>
      <c r="H615">
        <f>HYPERLINK("https://booking.roadsurfer.com/es/rally/pick?pickup_date=2026-05-15&amp;return_date=2026-05-22&amp;currency=EUR&amp;startStation=34&amp;endStation=90",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2026-05-04</t>
        </is>
      </c>
      <c r="F616" t="inlineStr">
        <is>
          <t>2026-05-11</t>
        </is>
      </c>
      <c r="G616" t="inlineStr">
        <is>
          <t xml:space="preserve"> - Camper Castle</t>
        </is>
      </c>
      <c r="H616">
        <f>HYPERLINK("https://booking.roadsurfer.com/es/rally/pick?pickup_date=2026-05-04&amp;return_date=2026-05-11&amp;currency=EUR&amp;startStation=34&amp;endStation=56",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2026-05-07</t>
        </is>
      </c>
      <c r="F617" t="inlineStr">
        <is>
          <t>2026-05-14</t>
        </is>
      </c>
      <c r="G617" t="inlineStr">
        <is>
          <t xml:space="preserve"> - No hay coche</t>
        </is>
      </c>
      <c r="H617">
        <f>HYPERLINK("https://booking.roadsurfer.com/es/rally/pick?pickup_date=2026-05-07&amp;return_date=2026-05-14&amp;currency=EUR&amp;startStation=34&amp;endStation=56",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Leipzig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Couple Cottage</t>
        </is>
      </c>
      <c r="H618">
        <f>HYPERLINK("https://booking.roadsurfer.com/es/rally/pick?pickup_date=2026-05-11&amp;return_date=2026-05-18&amp;currency=EUR&amp;startStation=34&amp;endStation=8",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Leipzig</t>
        </is>
      </c>
      <c r="E619" t="inlineStr">
        <is>
          <t>2026-04-20</t>
        </is>
      </c>
      <c r="F619" t="inlineStr">
        <is>
          <t>2026-04-27</t>
        </is>
      </c>
      <c r="G619" t="inlineStr">
        <is>
          <t xml:space="preserve"> - Sunrise Suite</t>
        </is>
      </c>
      <c r="H619">
        <f>HYPERLINK("https://booking.roadsurfer.com/es/rally/pick?pickup_date=2026-04-20&amp;return_date=2026-04-27&amp;currency=EUR&amp;startStation=34&amp;endStation=8",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Friburgo-Basilea (Alemania)</t>
        </is>
      </c>
      <c r="E620" t="inlineStr">
        <is>
          <t>2026-06-01</t>
        </is>
      </c>
      <c r="F620" t="inlineStr">
        <is>
          <t>2026-06-08</t>
        </is>
      </c>
      <c r="G620" t="inlineStr">
        <is>
          <t xml:space="preserve"> - Couple Cottage</t>
        </is>
      </c>
      <c r="H620">
        <f>HYPERLINK("https://booking.roadsurfer.com/es/rally/pick?pickup_date=2026-06-01&amp;return_date=2026-06-08&amp;currency=EUR&amp;startStation=34&amp;endStation=9",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Aix-Marsella</t>
        </is>
      </c>
      <c r="E621" t="inlineStr">
        <is>
          <t>2026-05-06</t>
        </is>
      </c>
      <c r="F621" t="inlineStr">
        <is>
          <t>2026-05-13</t>
        </is>
      </c>
      <c r="G621" t="inlineStr">
        <is>
          <t xml:space="preserve"> - Surfer Suite</t>
        </is>
      </c>
      <c r="H621">
        <f>HYPERLINK("https://booking.roadsurfer.com/es/rally/pick?pickup_date=2026-05-06&amp;return_date=2026-05-13&amp;currency=EUR&amp;startStation=1&amp;endStation=16",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Países Bajos</t>
        </is>
      </c>
      <c r="D622" t="inlineStr">
        <is>
          <t>Ámsterdam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Surfer Suite</t>
        </is>
      </c>
      <c r="H622">
        <f>HYPERLINK("https://booking.roadsurfer.com/es/rally/pick?pickup_date=2026-05-11&amp;return_date=2026-05-18&amp;currency=EUR&amp;startStation=1&amp;endStation=32",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Países Bajos</t>
        </is>
      </c>
      <c r="D623" t="inlineStr">
        <is>
          <t>Ámsterdam</t>
        </is>
      </c>
      <c r="E623" t="inlineStr">
        <is>
          <t>2026-05-13</t>
        </is>
      </c>
      <c r="F623" t="inlineStr">
        <is>
          <t>2026-05-20</t>
        </is>
      </c>
      <c r="G623" t="inlineStr">
        <is>
          <t xml:space="preserve"> - Surfer Suite</t>
        </is>
      </c>
      <c r="H623">
        <f>HYPERLINK("https://booking.roadsurfer.com/es/rally/pick?pickup_date=2026-05-13&amp;return_date=2026-05-20&amp;currency=EUR&amp;startStation=1&amp;endStation=32",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Alemania</t>
        </is>
      </c>
      <c r="D624" t="inlineStr">
        <is>
          <t>Braunschweig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Family Finca</t>
        </is>
      </c>
      <c r="H624">
        <f>HYPERLINK("https://booking.roadsurfer.com/es/rally/pick?pickup_date=2026-04-27&amp;return_date=2026-05-04&amp;currency=EUR&amp;startStation=1&amp;endStation=128",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Alemania</t>
        </is>
      </c>
      <c r="D625" t="inlineStr">
        <is>
          <t>Braunschweig</t>
        </is>
      </c>
      <c r="E625" t="inlineStr">
        <is>
          <t>2026-04-24</t>
        </is>
      </c>
      <c r="F625" t="inlineStr">
        <is>
          <t>2026-05-01</t>
        </is>
      </c>
      <c r="G625" t="inlineStr">
        <is>
          <t xml:space="preserve"> - No hay coche</t>
        </is>
      </c>
      <c r="H625">
        <f>HYPERLINK("https://booking.roadsurfer.com/es/rally/pick?pickup_date=2026-04-24&amp;return_date=2026-05-01&amp;currency=EUR&amp;startStation=1&amp;endStation=128",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Alemania</t>
        </is>
      </c>
      <c r="D626" t="inlineStr">
        <is>
          <t>Flensburgo</t>
        </is>
      </c>
      <c r="E626" t="inlineStr">
        <is>
          <t>2026-04-24</t>
        </is>
      </c>
      <c r="F626" t="inlineStr">
        <is>
          <t>2026-05-01</t>
        </is>
      </c>
      <c r="G626" t="inlineStr">
        <is>
          <t xml:space="preserve"> - No hay coche</t>
        </is>
      </c>
      <c r="H626">
        <f>HYPERLINK("https://booking.roadsurfer.com/es/rally/pick?pickup_date=2026-04-24&amp;return_date=2026-05-01&amp;currency=EUR&amp;startStation=1&amp;endStation=130",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Alemania</t>
        </is>
      </c>
      <c r="D627" t="inlineStr">
        <is>
          <t>Flensburgo</t>
        </is>
      </c>
      <c r="E627" t="inlineStr">
        <is>
          <t>2026-04-25</t>
        </is>
      </c>
      <c r="F627" t="inlineStr">
        <is>
          <t>2026-05-02</t>
        </is>
      </c>
      <c r="G627" t="inlineStr">
        <is>
          <t xml:space="preserve"> - Family Finca</t>
        </is>
      </c>
      <c r="H627">
        <f>HYPERLINK("https://booking.roadsurfer.com/es/rally/pick?pickup_date=2026-04-25&amp;return_date=2026-05-02&amp;currency=EUR&amp;startStation=1&amp;endStation=130",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Alemania</t>
        </is>
      </c>
      <c r="D628" t="inlineStr">
        <is>
          <t>Flensburgo</t>
        </is>
      </c>
      <c r="E628" t="inlineStr">
        <is>
          <t>2026-05-04</t>
        </is>
      </c>
      <c r="F628" t="inlineStr">
        <is>
          <t>2026-05-11</t>
        </is>
      </c>
      <c r="G628" t="inlineStr">
        <is>
          <t xml:space="preserve"> - Camper Castle</t>
        </is>
      </c>
      <c r="H628">
        <f>HYPERLINK("https://booking.roadsurfer.com/es/rally/pick?pickup_date=2026-05-04&amp;return_date=2026-05-11&amp;currency=EUR&amp;startStation=1&amp;endStation=130",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Alemania</t>
        </is>
      </c>
      <c r="D629" t="inlineStr">
        <is>
          <t>Flensburgo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Beach Hostel</t>
        </is>
      </c>
      <c r="H629">
        <f>HYPERLINK("https://booking.roadsurfer.com/es/rally/pick?pickup_date=2026-05-11&amp;return_date=2026-05-18&amp;currency=EUR&amp;startStation=1&amp;endStation=130",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Francia</t>
        </is>
      </c>
      <c r="D630" t="inlineStr">
        <is>
          <t>Lyon</t>
        </is>
      </c>
      <c r="E630" t="inlineStr">
        <is>
          <t>2026-05-26</t>
        </is>
      </c>
      <c r="F630" t="inlineStr">
        <is>
          <t>2026-06-02</t>
        </is>
      </c>
      <c r="G630" t="inlineStr">
        <is>
          <t xml:space="preserve"> - Camper Cabin</t>
        </is>
      </c>
      <c r="H630">
        <f>HYPERLINK("https://booking.roadsurfer.com/es/rally/pick?pickup_date=2026-05-26&amp;return_date=2026-06-02&amp;currency=EUR&amp;startStation=1&amp;endStation=15",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Francia</t>
        </is>
      </c>
      <c r="D631" t="inlineStr">
        <is>
          <t>París Aeropuerto CDG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Road House</t>
        </is>
      </c>
      <c r="H631">
        <f>HYPERLINK("https://booking.roadsurfer.com/es/rally/pick?pickup_date=2026-05-15&amp;return_date=2026-05-22&amp;currency=EUR&amp;startStation=1&amp;endStation=48",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España</t>
        </is>
      </c>
      <c r="D632" t="inlineStr">
        <is>
          <t>Bilbao</t>
        </is>
      </c>
      <c r="E632" t="inlineStr">
        <is>
          <t>2026-05-22</t>
        </is>
      </c>
      <c r="F632" t="inlineStr">
        <is>
          <t>2026-05-29</t>
        </is>
      </c>
      <c r="G632" t="inlineStr">
        <is>
          <t xml:space="preserve"> - Camper Castle</t>
        </is>
      </c>
      <c r="H632">
        <f>HYPERLINK("https://booking.roadsurfer.com/es/rally/pick?pickup_date=2026-05-22&amp;return_date=2026-05-29&amp;currency=EUR&amp;startStation=1&amp;endStation=40",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España</t>
        </is>
      </c>
      <c r="D633" t="inlineStr">
        <is>
          <t>Bilbao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Camper Castle</t>
        </is>
      </c>
      <c r="H633">
        <f>HYPERLINK("https://booking.roadsurfer.com/es/rally/pick?pickup_date=2026-05-11&amp;return_date=2026-05-18&amp;currency=EUR&amp;startStation=1&amp;endStation=40",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Austria</t>
        </is>
      </c>
      <c r="D634" t="inlineStr">
        <is>
          <t>Viena</t>
        </is>
      </c>
      <c r="E634" t="inlineStr">
        <is>
          <t>2026-05-07</t>
        </is>
      </c>
      <c r="F634" t="inlineStr">
        <is>
          <t>2026-05-14</t>
        </is>
      </c>
      <c r="G634" t="inlineStr">
        <is>
          <t xml:space="preserve"> - No hay coche</t>
        </is>
      </c>
      <c r="H634">
        <f>HYPERLINK("https://booking.roadsurfer.com/es/rally/pick?pickup_date=2026-05-07&amp;return_date=2026-05-14&amp;currency=EUR&amp;startStation=1&amp;endStation=36",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Austria</t>
        </is>
      </c>
      <c r="D635" t="inlineStr">
        <is>
          <t>Viena</t>
        </is>
      </c>
      <c r="E635" t="inlineStr">
        <is>
          <t>2026-05-13</t>
        </is>
      </c>
      <c r="F635" t="inlineStr">
        <is>
          <t>2026-05-20</t>
        </is>
      </c>
      <c r="G635" t="inlineStr">
        <is>
          <t xml:space="preserve"> - Couple Cottage</t>
        </is>
      </c>
      <c r="H635">
        <f>HYPERLINK("https://booking.roadsurfer.com/es/rally/pick?pickup_date=2026-05-13&amp;return_date=2026-05-20&amp;currency=EUR&amp;startStation=1&amp;endStation=36",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Bérgamo</t>
        </is>
      </c>
      <c r="E636" t="inlineStr">
        <is>
          <t>2026-05-07</t>
        </is>
      </c>
      <c r="F636" t="inlineStr">
        <is>
          <t>2026-05-14</t>
        </is>
      </c>
      <c r="G636" t="inlineStr">
        <is>
          <t xml:space="preserve"> - Couple Cottage</t>
        </is>
      </c>
      <c r="H636">
        <f>HYPERLINK("https://booking.roadsurfer.com/es/rally/pick?pickup_date=2026-05-07&amp;return_date=2026-05-14&amp;currency=EUR&amp;startStation=1&amp;endStation=94",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Bérgamo</t>
        </is>
      </c>
      <c r="E637" t="inlineStr">
        <is>
          <t>2026-05-08</t>
        </is>
      </c>
      <c r="F637" t="inlineStr">
        <is>
          <t>2026-05-15</t>
        </is>
      </c>
      <c r="G637" t="inlineStr">
        <is>
          <t xml:space="preserve"> - Camper Castle</t>
        </is>
      </c>
      <c r="H637">
        <f>HYPERLINK("https://booking.roadsurfer.com/es/rally/pick?pickup_date=2026-05-08&amp;return_date=2026-05-15&amp;currency=EUR&amp;startStation=1&amp;endStation=94",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Roma Aeropuerto Fiumicino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Family Finca</t>
        </is>
      </c>
      <c r="H638">
        <f>HYPERLINK("https://booking.roadsurfer.com/es/rally/pick?pickup_date=2026-05-11&amp;return_date=2026-05-18&amp;currency=EUR&amp;startStation=1&amp;endStation=35",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España</t>
        </is>
      </c>
      <c r="D639" t="inlineStr">
        <is>
          <t>Málaga</t>
        </is>
      </c>
      <c r="E639" t="inlineStr">
        <is>
          <t>2026-06-05</t>
        </is>
      </c>
      <c r="F639" t="inlineStr">
        <is>
          <t>2026-06-12</t>
        </is>
      </c>
      <c r="G639" t="inlineStr">
        <is>
          <t xml:space="preserve"> - Couple Cottage</t>
        </is>
      </c>
      <c r="H639">
        <f>HYPERLINK("https://booking.roadsurfer.com/es/rally/pick?pickup_date=2026-06-05&amp;return_date=2026-06-12&amp;currency=EUR&amp;startStation=1&amp;endStation=21",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Austria</t>
        </is>
      </c>
      <c r="D640" t="inlineStr">
        <is>
          <t>Graz</t>
        </is>
      </c>
      <c r="E640" t="inlineStr">
        <is>
          <t>2026-05-13</t>
        </is>
      </c>
      <c r="F640" t="inlineStr">
        <is>
          <t>2026-05-20</t>
        </is>
      </c>
      <c r="G640" t="inlineStr">
        <is>
          <t xml:space="preserve"> - Couple Cottage</t>
        </is>
      </c>
      <c r="H640">
        <f>HYPERLINK("https://booking.roadsurfer.com/es/rally/pick?pickup_date=2026-05-13&amp;return_date=2026-05-20&amp;currency=EUR&amp;startStation=1&amp;endStation=37",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Austria</t>
        </is>
      </c>
      <c r="D641" t="inlineStr">
        <is>
          <t>Graz</t>
        </is>
      </c>
      <c r="E641" t="inlineStr">
        <is>
          <t>2026-05-11</t>
        </is>
      </c>
      <c r="F641" t="inlineStr">
        <is>
          <t>2026-05-18</t>
        </is>
      </c>
      <c r="G641" t="inlineStr">
        <is>
          <t xml:space="preserve"> - Couple Cottage</t>
        </is>
      </c>
      <c r="H641">
        <f>HYPERLINK("https://booking.roadsurfer.com/es/rally/pick?pickup_date=2026-05-11&amp;return_date=2026-05-18&amp;currency=EUR&amp;startStation=1&amp;endStation=37",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Austria</t>
        </is>
      </c>
      <c r="D642" t="inlineStr">
        <is>
          <t>Graz</t>
        </is>
      </c>
      <c r="E642" t="inlineStr">
        <is>
          <t>2026-05-09</t>
        </is>
      </c>
      <c r="F642" t="inlineStr">
        <is>
          <t>2026-05-16</t>
        </is>
      </c>
      <c r="G642" t="inlineStr">
        <is>
          <t xml:space="preserve"> - Couple Cottage</t>
        </is>
      </c>
      <c r="H642">
        <f>HYPERLINK("https://booking.roadsurfer.com/es/rally/pick?pickup_date=2026-05-09&amp;return_date=2026-05-16&amp;currency=EUR&amp;startStation=1&amp;endStation=37",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Venecia</t>
        </is>
      </c>
      <c r="E643" t="inlineStr">
        <is>
          <t>2026-05-08</t>
        </is>
      </c>
      <c r="F643" t="inlineStr">
        <is>
          <t>2026-05-15</t>
        </is>
      </c>
      <c r="G643" t="inlineStr">
        <is>
          <t xml:space="preserve"> - Couple Cottage</t>
        </is>
      </c>
      <c r="H643">
        <f>HYPERLINK("https://booking.roadsurfer.com/es/rally/pick?pickup_date=2026-05-08&amp;return_date=2026-05-15&amp;currency=EUR&amp;startStation=1&amp;endStation=78",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2026-04-27</t>
        </is>
      </c>
      <c r="F644" t="inlineStr">
        <is>
          <t>2026-05-04</t>
        </is>
      </c>
      <c r="G644" t="inlineStr">
        <is>
          <t xml:space="preserve"> - Couple Cottage</t>
        </is>
      </c>
      <c r="H644">
        <f>HYPERLINK("https://booking.roadsurfer.com/es/rally/pick?pickup_date=2026-04-27&amp;return_date=2026-05-04&amp;currency=EUR&amp;startStation=1&amp;endStation=57",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España</t>
        </is>
      </c>
      <c r="D645" t="inlineStr">
        <is>
          <t>Sevilla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Cozy Cottage</t>
        </is>
      </c>
      <c r="H645">
        <f>HYPERLINK("https://booking.roadsurfer.com/es/rally/pick?pickup_date=2026-05-13&amp;return_date=2026-05-20&amp;currency=EUR&amp;startStation=1&amp;endStation=39",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Francia</t>
        </is>
      </c>
      <c r="D646" t="inlineStr">
        <is>
          <t>Burdeos</t>
        </is>
      </c>
      <c r="E646" t="inlineStr">
        <is>
          <t>2026-04-27</t>
        </is>
      </c>
      <c r="F646" t="inlineStr">
        <is>
          <t>2026-05-04</t>
        </is>
      </c>
      <c r="G646" t="inlineStr">
        <is>
          <t xml:space="preserve"> - Sunrise Suite</t>
        </is>
      </c>
      <c r="H646">
        <f>HYPERLINK("https://booking.roadsurfer.com/es/rally/pick?pickup_date=2026-04-27&amp;return_date=2026-05-04&amp;currency=EUR&amp;startStation=1&amp;endStation=13",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Alemania</t>
        </is>
      </c>
      <c r="D647" t="inlineStr">
        <is>
          <t>Núremberg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No hay coche</t>
        </is>
      </c>
      <c r="H647">
        <f>HYPERLINK("https://booking.roadsurfer.com/es/rally/pick?pickup_date=2026-05-04&amp;return_date=2026-05-11&amp;currency=EUR&amp;startStation=1&amp;endStation=11",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Francia</t>
        </is>
      </c>
      <c r="D648" t="inlineStr">
        <is>
          <t>París Sur (Orly)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Sunrise Suite</t>
        </is>
      </c>
      <c r="H648">
        <f>HYPERLINK("https://booking.roadsurfer.com/es/rally/pick?pickup_date=2026-04-27&amp;return_date=2026-05-04&amp;currency=EUR&amp;startStation=1&amp;endStation=12",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Milán</t>
        </is>
      </c>
      <c r="E649" t="inlineStr">
        <is>
          <t>2026-05-15</t>
        </is>
      </c>
      <c r="F649" t="inlineStr">
        <is>
          <t>2026-05-22</t>
        </is>
      </c>
      <c r="G649" t="inlineStr">
        <is>
          <t xml:space="preserve"> - Sunrise Suite</t>
        </is>
      </c>
      <c r="H649">
        <f>HYPERLINK("https://booking.roadsurfer.com/es/rally/pick?pickup_date=2026-05-15&amp;return_date=2026-05-22&amp;currency=EUR&amp;startStation=1&amp;endStation=34",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Lindau-Wangen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Surfer Suite</t>
        </is>
      </c>
      <c r="H650">
        <f>HYPERLINK("https://booking.roadsurfer.com/es/rally/pick?pickup_date=2026-05-11&amp;return_date=2026-05-18&amp;currency=EUR&amp;startStation=31&amp;endStation=117",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Lindau-Wangen</t>
        </is>
      </c>
      <c r="E651" t="inlineStr">
        <is>
          <t>2026-05-18</t>
        </is>
      </c>
      <c r="F651" t="inlineStr">
        <is>
          <t>2026-05-25</t>
        </is>
      </c>
      <c r="G651" t="inlineStr">
        <is>
          <t xml:space="preserve"> - No hay coche</t>
        </is>
      </c>
      <c r="H651">
        <f>HYPERLINK("https://booking.roadsurfer.com/es/rally/pick?pickup_date=2026-05-18&amp;return_date=2026-05-25&amp;currency=EUR&amp;startStation=31&amp;endStation=117",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Francia</t>
        </is>
      </c>
      <c r="D652" t="inlineStr">
        <is>
          <t>Toulouse</t>
        </is>
      </c>
      <c r="E652" t="inlineStr">
        <is>
          <t>2026-04-27</t>
        </is>
      </c>
      <c r="F652" t="inlineStr">
        <is>
          <t>2026-05-04</t>
        </is>
      </c>
      <c r="G652" t="inlineStr">
        <is>
          <t xml:space="preserve"> - Surfer Suite</t>
        </is>
      </c>
      <c r="H652">
        <f>HYPERLINK("https://booking.roadsurfer.com/es/rally/pick?pickup_date=2026-04-27&amp;return_date=2026-05-04&amp;currency=EUR&amp;startStation=31&amp;endStation=30",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Ulm</t>
        </is>
      </c>
      <c r="E653" t="inlineStr">
        <is>
          <t>2026-04-25</t>
        </is>
      </c>
      <c r="F653" t="inlineStr">
        <is>
          <t>2026-05-02</t>
        </is>
      </c>
      <c r="G653" t="inlineStr">
        <is>
          <t xml:space="preserve"> - Beach Hostel</t>
        </is>
      </c>
      <c r="H653">
        <f>HYPERLINK("https://booking.roadsurfer.com/es/rally/pick?pickup_date=2026-04-25&amp;return_date=2026-05-02&amp;currency=EUR&amp;startStation=31&amp;endStation=112", "Clic para verlo en la web de RoadSurfer")</f>
        <v/>
      </c>
    </row>
    <row r="654">
      <c r="A654" t="inlineStr">
        <is>
          <t>Francia</t>
        </is>
      </c>
      <c r="B654" t="inlineStr">
        <is>
          <t>Nantes</t>
        </is>
      </c>
      <c r="C654" t="inlineStr">
        <is>
          <t>Alemania</t>
        </is>
      </c>
      <c r="D654" t="inlineStr">
        <is>
          <t>Stuttgart</t>
        </is>
      </c>
      <c r="E654" t="inlineStr">
        <is>
          <t>2026-04-27</t>
        </is>
      </c>
      <c r="F654" t="inlineStr">
        <is>
          <t>2026-05-04</t>
        </is>
      </c>
      <c r="G654" t="inlineStr">
        <is>
          <t xml:space="preserve"> - Beach Hostel</t>
        </is>
      </c>
      <c r="H654">
        <f>HYPERLINK("https://booking.roadsurfer.com/es/rally/pick?pickup_date=2026-04-27&amp;return_date=2026-05-04&amp;currency=EUR&amp;startStation=31&amp;endStation=5",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Aquisgrán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Travel Home</t>
        </is>
      </c>
      <c r="H655">
        <f>HYPERLINK("https://booking.roadsurfer.com/es/rally/pick?pickup_date=2026-04-27&amp;return_date=2026-05-04&amp;currency=EUR&amp;startStation=31&amp;endStation=114",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Kiel</t>
        </is>
      </c>
      <c r="E656" t="inlineStr">
        <is>
          <t>2026-04-25</t>
        </is>
      </c>
      <c r="F656" t="inlineStr">
        <is>
          <t>2026-05-02</t>
        </is>
      </c>
      <c r="G656" t="inlineStr">
        <is>
          <t xml:space="preserve"> - No hay coche</t>
        </is>
      </c>
      <c r="H656">
        <f>HYPERLINK("https://booking.roadsurfer.com/es/rally/pick?pickup_date=2026-04-25&amp;return_date=2026-05-02&amp;currency=EUR&amp;startStation=31&amp;endStation=111",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Constanza (Aach)</t>
        </is>
      </c>
      <c r="E657" t="inlineStr">
        <is>
          <t>2026-05-06</t>
        </is>
      </c>
      <c r="F657" t="inlineStr">
        <is>
          <t>2026-05-13</t>
        </is>
      </c>
      <c r="G657" t="inlineStr">
        <is>
          <t xml:space="preserve"> - Couple Cottage</t>
        </is>
      </c>
      <c r="H657">
        <f>HYPERLINK("https://booking.roadsurfer.com/es/rally/pick?pickup_date=2026-05-06&amp;return_date=2026-05-13&amp;currency=EUR&amp;startStation=31&amp;endStation=10",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Constanza (Aach)</t>
        </is>
      </c>
      <c r="E658" t="inlineStr">
        <is>
          <t>2026-05-13</t>
        </is>
      </c>
      <c r="F658" t="inlineStr">
        <is>
          <t>2026-05-20</t>
        </is>
      </c>
      <c r="G658" t="inlineStr">
        <is>
          <t xml:space="preserve"> - Camper Cabin</t>
        </is>
      </c>
      <c r="H658">
        <f>HYPERLINK("https://booking.roadsurfer.com/es/rally/pick?pickup_date=2026-05-13&amp;return_date=2026-05-20&amp;currency=EUR&amp;startStation=31&amp;endStation=10",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Núremberg</t>
        </is>
      </c>
      <c r="E659" t="inlineStr">
        <is>
          <t>2026-04-25</t>
        </is>
      </c>
      <c r="F659" t="inlineStr">
        <is>
          <t>2026-05-02</t>
        </is>
      </c>
      <c r="G659" t="inlineStr">
        <is>
          <t xml:space="preserve"> - Camper Cabin</t>
        </is>
      </c>
      <c r="H659">
        <f>HYPERLINK("https://booking.roadsurfer.com/es/rally/pick?pickup_date=2026-04-25&amp;return_date=2026-05-02&amp;currency=EUR&amp;startStation=31&amp;endStation=11",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Road House - Couple Cottage</t>
        </is>
      </c>
      <c r="H660">
        <f>HYPERLINK("https://booking.roadsurfer.com/es/rally/pick?pickup_date=2026-05-06&amp;return_date=2026-05-13&amp;currency=EUR&amp;startStation=31&amp;endStation=22",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2026-05-13</t>
        </is>
      </c>
      <c r="F661" t="inlineStr">
        <is>
          <t>2026-05-20</t>
        </is>
      </c>
      <c r="G661" t="inlineStr">
        <is>
          <t xml:space="preserve"> - No hay coche</t>
        </is>
      </c>
      <c r="H661">
        <f>HYPERLINK("https://booking.roadsurfer.com/es/rally/pick?pickup_date=2026-05-13&amp;return_date=2026-05-20&amp;currency=EUR&amp;startStation=31&amp;endStation=22",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2026-05-21</t>
        </is>
      </c>
      <c r="F662" t="inlineStr">
        <is>
          <t>2026-05-28</t>
        </is>
      </c>
      <c r="G662" t="inlineStr">
        <is>
          <t xml:space="preserve"> - ROAD HOUSE</t>
        </is>
      </c>
      <c r="H662">
        <f>HYPERLINK("https://booking.roadsurfer.com/es/rally/pick?pickup_date=2026-05-21&amp;return_date=2026-05-28&amp;currency=EUR&amp;startStation=31&amp;endStation=22",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Fráncfort</t>
        </is>
      </c>
      <c r="E663" t="inlineStr">
        <is>
          <t>2026-05-18</t>
        </is>
      </c>
      <c r="F663" t="inlineStr">
        <is>
          <t>2026-05-25</t>
        </is>
      </c>
      <c r="G663" t="inlineStr">
        <is>
          <t xml:space="preserve"> - No hay coche</t>
        </is>
      </c>
      <c r="H663">
        <f>HYPERLINK("https://booking.roadsurfer.com/es/rally/pick?pickup_date=2026-05-18&amp;return_date=2026-05-25&amp;currency=EUR&amp;startStation=31&amp;endStation=2", "Clic para verlo en la web de RoadSurfer")</f>
        <v/>
      </c>
    </row>
    <row r="664">
      <c r="A664" t="inlineStr">
        <is>
          <t>Alemania</t>
        </is>
      </c>
      <c r="B664" t="inlineStr">
        <is>
          <t>Núremberg</t>
        </is>
      </c>
      <c r="C664" t="inlineStr">
        <is>
          <t>Austria</t>
        </is>
      </c>
      <c r="D664" t="inlineStr">
        <is>
          <t>Linz</t>
        </is>
      </c>
      <c r="E664" t="inlineStr">
        <is>
          <t>2026-04-25</t>
        </is>
      </c>
      <c r="F664" t="inlineStr">
        <is>
          <t>2026-05-02</t>
        </is>
      </c>
      <c r="G664" t="inlineStr">
        <is>
          <t xml:space="preserve"> - No hay coche</t>
        </is>
      </c>
      <c r="H664">
        <f>HYPERLINK("https://booking.roadsurfer.com/es/rally/pick?pickup_date=2026-04-25&amp;return_date=2026-05-02&amp;currency=EUR&amp;startStation=11&amp;endStation=116", "Clic para verlo en la web de RoadSurfer")</f>
        <v/>
      </c>
    </row>
    <row r="665">
      <c r="A665" t="inlineStr">
        <is>
          <t>Alemania</t>
        </is>
      </c>
      <c r="B665" t="inlineStr">
        <is>
          <t>Núremberg</t>
        </is>
      </c>
      <c r="C665" t="inlineStr">
        <is>
          <t>Italia</t>
        </is>
      </c>
      <c r="D665" t="inlineStr">
        <is>
          <t>Turín</t>
        </is>
      </c>
      <c r="E665" t="inlineStr">
        <is>
          <t>2026-05-14</t>
        </is>
      </c>
      <c r="F665" t="inlineStr">
        <is>
          <t>2026-05-21</t>
        </is>
      </c>
      <c r="G665" t="inlineStr">
        <is>
          <t xml:space="preserve"> - No hay coche</t>
        </is>
      </c>
      <c r="H665">
        <f>HYPERLINK("https://booking.roadsurfer.com/es/rally/pick?pickup_date=2026-05-14&amp;return_date=2026-05-21&amp;currency=EUR&amp;startStation=11&amp;endStation=58", "Clic para verlo en la web de RoadSurfer")</f>
        <v/>
      </c>
    </row>
    <row r="666">
      <c r="A666" t="inlineStr">
        <is>
          <t>Alemania</t>
        </is>
      </c>
      <c r="B666" t="inlineStr">
        <is>
          <t>Núremberg</t>
        </is>
      </c>
      <c r="C666" t="inlineStr">
        <is>
          <t>Austria</t>
        </is>
      </c>
      <c r="D666" t="inlineStr">
        <is>
          <t>Viena Sur</t>
        </is>
      </c>
      <c r="E666" t="inlineStr">
        <is>
          <t>2026-05-18</t>
        </is>
      </c>
      <c r="F666" t="inlineStr">
        <is>
          <t>2026-05-25</t>
        </is>
      </c>
      <c r="G666" t="inlineStr">
        <is>
          <t xml:space="preserve"> - No hay coche</t>
        </is>
      </c>
      <c r="H666">
        <f>HYPERLINK("https://booking.roadsurfer.com/es/rally/pick?pickup_date=2026-05-18&amp;return_date=2026-05-25&amp;currency=EUR&amp;startStation=11&amp;endStation=45",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Braunschweig</t>
        </is>
      </c>
      <c r="E667" t="inlineStr">
        <is>
          <t>2026-04-24</t>
        </is>
      </c>
      <c r="F667" t="inlineStr">
        <is>
          <t>2026-05-01</t>
        </is>
      </c>
      <c r="G667" t="inlineStr">
        <is>
          <t xml:space="preserve"> - No hay coche</t>
        </is>
      </c>
      <c r="H667">
        <f>HYPERLINK("https://booking.roadsurfer.com/es/rally/pick?pickup_date=2026-04-24&amp;return_date=2026-05-01&amp;currency=EUR&amp;startStation=12&amp;endStation=128",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Bochum</t>
        </is>
      </c>
      <c r="E668" t="inlineStr">
        <is>
          <t>2026-05-13</t>
        </is>
      </c>
      <c r="F668" t="inlineStr">
        <is>
          <t>2026-05-20</t>
        </is>
      </c>
      <c r="G668" t="inlineStr">
        <is>
          <t xml:space="preserve"> - Camper Cabin Deluxe</t>
        </is>
      </c>
      <c r="H668">
        <f>HYPERLINK("https://booking.roadsurfer.com/es/rally/pick?pickup_date=2026-05-13&amp;return_date=2026-05-20&amp;currency=EUR&amp;startStation=12&amp;endStation=24",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Bochum</t>
        </is>
      </c>
      <c r="E669" t="inlineStr">
        <is>
          <t>2026-05-26</t>
        </is>
      </c>
      <c r="F669" t="inlineStr">
        <is>
          <t>2026-06-02</t>
        </is>
      </c>
      <c r="G669" t="inlineStr">
        <is>
          <t xml:space="preserve"> - No hay coche</t>
        </is>
      </c>
      <c r="H669">
        <f>HYPERLINK("https://booking.roadsurfer.com/es/rally/pick?pickup_date=2026-05-26&amp;return_date=2026-06-02&amp;currency=EUR&amp;startStation=12&amp;endStation=24",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Bochum</t>
        </is>
      </c>
      <c r="E670" t="inlineStr">
        <is>
          <t>2026-05-21</t>
        </is>
      </c>
      <c r="F670" t="inlineStr">
        <is>
          <t>2026-05-28</t>
        </is>
      </c>
      <c r="G670" t="inlineStr">
        <is>
          <t xml:space="preserve"> - Couple Cottage</t>
        </is>
      </c>
      <c r="H670">
        <f>HYPERLINK("https://booking.roadsurfer.com/es/rally/pick?pickup_date=2026-05-21&amp;return_date=2026-05-28&amp;currency=EUR&amp;startStation=12&amp;endStation=24",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Bochum</t>
        </is>
      </c>
      <c r="E671" t="inlineStr">
        <is>
          <t>2026-05-20</t>
        </is>
      </c>
      <c r="F671" t="inlineStr">
        <is>
          <t>2026-05-27</t>
        </is>
      </c>
      <c r="G671" t="inlineStr">
        <is>
          <t xml:space="preserve"> - Family Finca</t>
        </is>
      </c>
      <c r="H671">
        <f>HYPERLINK("https://booking.roadsurfer.com/es/rally/pick?pickup_date=2026-05-20&amp;return_date=2026-05-27&amp;currency=EUR&amp;startStation=12&amp;endStation=24",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Couple Cottage</t>
        </is>
      </c>
      <c r="H672">
        <f>HYPERLINK("https://booking.roadsurfer.com/es/rally/pick?pickup_date=2026-05-04&amp;return_date=2026-05-11&amp;currency=EUR&amp;startStation=12&amp;endStation=56",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2026-05-08</t>
        </is>
      </c>
      <c r="F673" t="inlineStr">
        <is>
          <t>2026-05-15</t>
        </is>
      </c>
      <c r="G673" t="inlineStr">
        <is>
          <t xml:space="preserve"> - No hay coche</t>
        </is>
      </c>
      <c r="H673">
        <f>HYPERLINK("https://booking.roadsurfer.com/es/rally/pick?pickup_date=2026-05-08&amp;return_date=2026-05-15&amp;currency=EUR&amp;startStation=12&amp;endStation=56",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Dresde</t>
        </is>
      </c>
      <c r="E674" t="inlineStr">
        <is>
          <t>2026-05-19</t>
        </is>
      </c>
      <c r="F674" t="inlineStr">
        <is>
          <t>2026-05-26</t>
        </is>
      </c>
      <c r="G674" t="inlineStr">
        <is>
          <t xml:space="preserve"> - Camper Cabin</t>
        </is>
      </c>
      <c r="H674">
        <f>HYPERLINK("https://booking.roadsurfer.com/es/rally/pick?pickup_date=2026-05-19&amp;return_date=2026-05-26&amp;currency=EUR&amp;startStation=12&amp;endStation=56",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Karlsruhe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Road House</t>
        </is>
      </c>
      <c r="H675">
        <f>HYPERLINK("https://booking.roadsurfer.com/es/rally/pick?pickup_date=2026-05-11&amp;return_date=2026-05-18&amp;currency=EUR&amp;startStation=12&amp;endStation=110",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Tréveris</t>
        </is>
      </c>
      <c r="E676" t="inlineStr">
        <is>
          <t>2026-05-15</t>
        </is>
      </c>
      <c r="F676" t="inlineStr">
        <is>
          <t>2026-05-22</t>
        </is>
      </c>
      <c r="G676" t="inlineStr">
        <is>
          <t xml:space="preserve"> - No hay coche</t>
        </is>
      </c>
      <c r="H676">
        <f>HYPERLINK("https://booking.roadsurfer.com/es/rally/pick?pickup_date=2026-05-15&amp;return_date=2026-05-22&amp;currency=EUR&amp;startStation=12&amp;endStation=28",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Kiel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Couple Cottage</t>
        </is>
      </c>
      <c r="H677">
        <f>HYPERLINK("https://booking.roadsurfer.com/es/rally/pick?pickup_date=2026-05-11&amp;return_date=2026-05-18&amp;currency=EUR&amp;startStation=12&amp;endStation=111",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Bielefeld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Sunrise Suite</t>
        </is>
      </c>
      <c r="H678">
        <f>HYPERLINK("https://booking.roadsurfer.com/es/rally/pick?pickup_date=2026-05-06&amp;return_date=2026-05-13&amp;currency=EUR&amp;startStation=12&amp;endStation=91",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Bielefeld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Sunrise Suite</t>
        </is>
      </c>
      <c r="H679">
        <f>HYPERLINK("https://booking.roadsurfer.com/es/rally/pick?pickup_date=2026-05-15&amp;return_date=2026-05-22&amp;currency=EUR&amp;startStation=12&amp;endStation=91",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Bielefeld</t>
        </is>
      </c>
      <c r="E680" t="inlineStr">
        <is>
          <t>2026-05-19</t>
        </is>
      </c>
      <c r="F680" t="inlineStr">
        <is>
          <t>2026-05-26</t>
        </is>
      </c>
      <c r="G680" t="inlineStr">
        <is>
          <t xml:space="preserve"> - Sunrise Suite</t>
        </is>
      </c>
      <c r="H680">
        <f>HYPERLINK("https://booking.roadsurfer.com/es/rally/pick?pickup_date=2026-05-19&amp;return_date=2026-05-26&amp;currency=EUR&amp;startStation=12&amp;endStation=91",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Aquisgrán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Beach Hostel</t>
        </is>
      </c>
      <c r="H681">
        <f>HYPERLINK("https://booking.roadsurfer.com/es/rally/pick?pickup_date=2026-05-11&amp;return_date=2026-05-18&amp;currency=EUR&amp;startStation=48&amp;endStation=114",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Alemania</t>
        </is>
      </c>
      <c r="D682" t="inlineStr">
        <is>
          <t>Aquisgrán</t>
        </is>
      </c>
      <c r="E682" t="inlineStr">
        <is>
          <t>2026-05-26</t>
        </is>
      </c>
      <c r="F682" t="inlineStr">
        <is>
          <t>2026-06-02</t>
        </is>
      </c>
      <c r="G682" t="inlineStr">
        <is>
          <t xml:space="preserve"> - Couple Cottage</t>
        </is>
      </c>
      <c r="H682">
        <f>HYPERLINK("https://booking.roadsurfer.com/es/rally/pick?pickup_date=2026-05-26&amp;return_date=2026-06-02&amp;currency=EUR&amp;startStation=48&amp;endStation=114", "Clic para verlo en la web de RoadSurfer")</f>
        <v/>
      </c>
    </row>
    <row r="683">
      <c r="A683" t="inlineStr">
        <is>
          <t>Francia</t>
        </is>
      </c>
      <c r="B683" t="inlineStr">
        <is>
          <t>París Aeropuerto CDG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2026-05-15</t>
        </is>
      </c>
      <c r="F683" t="inlineStr">
        <is>
          <t>2026-05-22</t>
        </is>
      </c>
      <c r="G683" t="inlineStr">
        <is>
          <t xml:space="preserve"> - Road House</t>
        </is>
      </c>
      <c r="H683">
        <f>HYPERLINK("https://booking.roadsurfer.com/es/rally/pick?pickup_date=2026-05-15&amp;return_date=2026-05-22&amp;currency=EUR&amp;startStation=48&amp;endStation=22", "Clic para verlo en la web de RoadSurfer")</f>
        <v/>
      </c>
    </row>
    <row r="684">
      <c r="A684" t="inlineStr">
        <is>
          <t>Francia</t>
        </is>
      </c>
      <c r="B684" t="inlineStr">
        <is>
          <t>París Aeropuerto CDG</t>
        </is>
      </c>
      <c r="C684" t="inlineStr">
        <is>
          <t>Alemania</t>
        </is>
      </c>
      <c r="D684" t="inlineStr">
        <is>
          <t>Bochum</t>
        </is>
      </c>
      <c r="E684" t="inlineStr">
        <is>
          <t>2026-05-13</t>
        </is>
      </c>
      <c r="F684" t="inlineStr">
        <is>
          <t>2026-05-20</t>
        </is>
      </c>
      <c r="G684" t="inlineStr">
        <is>
          <t xml:space="preserve"> - Camper Castle</t>
        </is>
      </c>
      <c r="H684">
        <f>HYPERLINK("https://booking.roadsurfer.com/es/rally/pick?pickup_date=2026-05-13&amp;return_date=2026-05-20&amp;currency=EUR&amp;startStation=48&amp;endStation=24", "Clic para verlo en la web de RoadSurfer")</f>
        <v/>
      </c>
    </row>
    <row r="685">
      <c r="A685" t="inlineStr">
        <is>
          <t>Francia</t>
        </is>
      </c>
      <c r="B685" t="inlineStr">
        <is>
          <t>París Aeropuerto CDG</t>
        </is>
      </c>
      <c r="C685" t="inlineStr">
        <is>
          <t>Alemania</t>
        </is>
      </c>
      <c r="D685" t="inlineStr">
        <is>
          <t>Bochum</t>
        </is>
      </c>
      <c r="E685" t="inlineStr">
        <is>
          <t>2026-06-12</t>
        </is>
      </c>
      <c r="F685" t="inlineStr">
        <is>
          <t>2026-06-19</t>
        </is>
      </c>
      <c r="G685" t="inlineStr">
        <is>
          <t xml:space="preserve"> - Couple Cottage</t>
        </is>
      </c>
      <c r="H685">
        <f>HYPERLINK("https://booking.roadsurfer.com/es/rally/pick?pickup_date=2026-06-12&amp;return_date=2026-06-19&amp;currency=EUR&amp;startStation=48&amp;endStation=24", "Clic para verlo en la web de RoadSurfer")</f>
        <v/>
      </c>
    </row>
    <row r="686">
      <c r="A686" t="inlineStr">
        <is>
          <t>Francia</t>
        </is>
      </c>
      <c r="B686" t="inlineStr">
        <is>
          <t>París Aeropuerto CDG</t>
        </is>
      </c>
      <c r="C686" t="inlineStr">
        <is>
          <t>Alemania</t>
        </is>
      </c>
      <c r="D686" t="inlineStr">
        <is>
          <t>Colonia-Düsseldorf</t>
        </is>
      </c>
      <c r="E686" t="inlineStr">
        <is>
          <t>2026-05-15</t>
        </is>
      </c>
      <c r="F686" t="inlineStr">
        <is>
          <t>2026-05-22</t>
        </is>
      </c>
      <c r="G686" t="inlineStr">
        <is>
          <t xml:space="preserve"> - Camper Castle</t>
        </is>
      </c>
      <c r="H686">
        <f>HYPERLINK("https://booking.roadsurfer.com/es/rally/pick?pickup_date=2026-05-15&amp;return_date=2026-05-22&amp;currency=EUR&amp;startStation=48&amp;endStation=4", "Clic para verlo en la web de RoadSurfer")</f>
        <v/>
      </c>
    </row>
    <row r="687">
      <c r="A687" t="inlineStr">
        <is>
          <t>Francia</t>
        </is>
      </c>
      <c r="B687" t="inlineStr">
        <is>
          <t>París Aeropuerto CDG</t>
        </is>
      </c>
      <c r="C687" t="inlineStr">
        <is>
          <t>Alemania</t>
        </is>
      </c>
      <c r="D687" t="inlineStr">
        <is>
          <t>Constanza (Aach)</t>
        </is>
      </c>
      <c r="E687" t="inlineStr">
        <is>
          <t>2026-05-05</t>
        </is>
      </c>
      <c r="F687" t="inlineStr">
        <is>
          <t>2026-05-12</t>
        </is>
      </c>
      <c r="G687" t="inlineStr">
        <is>
          <t xml:space="preserve"> - Camper Castle</t>
        </is>
      </c>
      <c r="H687">
        <f>HYPERLINK("https://booking.roadsurfer.com/es/rally/pick?pickup_date=2026-05-05&amp;return_date=2026-05-12&amp;currency=EUR&amp;startStation=48&amp;endStation=10", "Clic para verlo en la web de RoadSurfer")</f>
        <v/>
      </c>
    </row>
    <row r="688">
      <c r="A688" t="inlineStr">
        <is>
          <t>Francia</t>
        </is>
      </c>
      <c r="B688" t="inlineStr">
        <is>
          <t>París Aeropuerto CDG</t>
        </is>
      </c>
      <c r="C688" t="inlineStr">
        <is>
          <t>Alemania</t>
        </is>
      </c>
      <c r="D688" t="inlineStr">
        <is>
          <t>Colonia-Bonn</t>
        </is>
      </c>
      <c r="E688" t="inlineStr">
        <is>
          <t>2026-05-27</t>
        </is>
      </c>
      <c r="F688" t="inlineStr">
        <is>
          <t>2026-06-03</t>
        </is>
      </c>
      <c r="G688" t="inlineStr">
        <is>
          <t xml:space="preserve"> - Couple Cottage</t>
        </is>
      </c>
      <c r="H688">
        <f>HYPERLINK("https://booking.roadsurfer.com/es/rally/pick?pickup_date=2026-05-27&amp;return_date=2026-06-03&amp;currency=EUR&amp;startStation=48&amp;endStation=52", "Clic para verlo en la web de RoadSurfer")</f>
        <v/>
      </c>
    </row>
    <row r="689">
      <c r="A689" t="inlineStr">
        <is>
          <t>Francia</t>
        </is>
      </c>
      <c r="B689" t="inlineStr">
        <is>
          <t>París Aeropuerto CDG</t>
        </is>
      </c>
      <c r="C689" t="inlineStr">
        <is>
          <t>Alemania</t>
        </is>
      </c>
      <c r="D689" t="inlineStr">
        <is>
          <t>Dresde</t>
        </is>
      </c>
      <c r="E689" t="inlineStr">
        <is>
          <t>2026-05-20</t>
        </is>
      </c>
      <c r="F689" t="inlineStr">
        <is>
          <t>2026-05-27</t>
        </is>
      </c>
      <c r="G689" t="inlineStr">
        <is>
          <t xml:space="preserve"> - FAMILY FINCA</t>
        </is>
      </c>
      <c r="H689">
        <f>HYPERLINK("https://booking.roadsurfer.com/es/rally/pick?pickup_date=2026-05-20&amp;return_date=2026-05-27&amp;currency=EUR&amp;startStation=48&amp;endStation=56", "Clic para verlo en la web de RoadSurfer")</f>
        <v/>
      </c>
    </row>
    <row r="690">
      <c r="A690" t="inlineStr">
        <is>
          <t>Alemania</t>
        </is>
      </c>
      <c r="B690" t="inlineStr">
        <is>
          <t>Ratisbona</t>
        </is>
      </c>
      <c r="C690" t="inlineStr">
        <is>
          <t>Alemania</t>
        </is>
      </c>
      <c r="D690" t="inlineStr">
        <is>
          <t>Karlsruhe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Surfer Suite</t>
        </is>
      </c>
      <c r="H690">
        <f>HYPERLINK("https://booking.roadsurfer.com/es/rally/pick?pickup_date=2026-04-27&amp;return_date=2026-05-04&amp;currency=EUR&amp;startStation=89&amp;endStation=110", "Clic para verlo en la web de RoadSurfer")</f>
        <v/>
      </c>
    </row>
    <row r="691">
      <c r="A691" t="inlineStr">
        <is>
          <t>Alemania</t>
        </is>
      </c>
      <c r="B691" t="inlineStr">
        <is>
          <t>Ratisbona</t>
        </is>
      </c>
      <c r="C691" t="inlineStr">
        <is>
          <t>Alemania</t>
        </is>
      </c>
      <c r="D691" t="inlineStr">
        <is>
          <t>Berlín-Schönefeld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Beach Hostel</t>
        </is>
      </c>
      <c r="H691">
        <f>HYPERLINK("https://booking.roadsurfer.com/es/rally/pick?pickup_date=2026-05-04&amp;return_date=2026-05-11&amp;currency=EUR&amp;startStation=89&amp;endStation=51", "Clic para verlo en la web de RoadSurfer")</f>
        <v/>
      </c>
    </row>
    <row r="692">
      <c r="A692" t="inlineStr">
        <is>
          <t>Alemania</t>
        </is>
      </c>
      <c r="B692" t="inlineStr">
        <is>
          <t>Ratisbona</t>
        </is>
      </c>
      <c r="C692" t="inlineStr">
        <is>
          <t>Alemania</t>
        </is>
      </c>
      <c r="D692" t="inlineStr">
        <is>
          <t>Berlín-Schönefeld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Beach Hostel</t>
        </is>
      </c>
      <c r="H692">
        <f>HYPERLINK("https://booking.roadsurfer.com/es/rally/pick?pickup_date=2026-05-11&amp;return_date=2026-05-18&amp;currency=EUR&amp;startStation=89&amp;endStation=51", "Clic para verlo en la web de RoadSurfer")</f>
        <v/>
      </c>
    </row>
    <row r="693">
      <c r="A693" t="inlineStr">
        <is>
          <t>Alemania</t>
        </is>
      </c>
      <c r="B693" t="inlineStr">
        <is>
          <t>Ratisbona</t>
        </is>
      </c>
      <c r="C693" t="inlineStr">
        <is>
          <t>Italia</t>
        </is>
      </c>
      <c r="D693" t="inlineStr">
        <is>
          <t>Bérgamo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Family Finca</t>
        </is>
      </c>
      <c r="H693">
        <f>HYPERLINK("https://booking.roadsurfer.com/es/rally/pick?pickup_date=2026-05-11&amp;return_date=2026-05-18&amp;currency=EUR&amp;startStation=89&amp;endStation=94", "Clic para verlo en la web de RoadSurfer")</f>
        <v/>
      </c>
    </row>
    <row r="694">
      <c r="A694" t="inlineStr">
        <is>
          <t>Italia</t>
        </is>
      </c>
      <c r="B694" t="inlineStr">
        <is>
          <t>Roma Aeropuerto Fiumicino</t>
        </is>
      </c>
      <c r="C694" t="inlineStr">
        <is>
          <t>Alemania</t>
        </is>
      </c>
      <c r="D694" t="inlineStr">
        <is>
          <t>Lindau-Wangen</t>
        </is>
      </c>
      <c r="E694" t="inlineStr">
        <is>
          <t>2026-05-18</t>
        </is>
      </c>
      <c r="F694" t="inlineStr">
        <is>
          <t>2026-05-25</t>
        </is>
      </c>
      <c r="G694" t="inlineStr">
        <is>
          <t xml:space="preserve"> - No hay coche</t>
        </is>
      </c>
      <c r="H694">
        <f>HYPERLINK("https://booking.roadsurfer.com/es/rally/pick?pickup_date=2026-05-18&amp;return_date=2026-05-25&amp;currency=EUR&amp;startStation=35&amp;endStation=117", "Clic para verlo en la web de RoadSurfer")</f>
        <v/>
      </c>
    </row>
    <row r="695">
      <c r="A695" t="inlineStr">
        <is>
          <t>Italia</t>
        </is>
      </c>
      <c r="B695" t="inlineStr">
        <is>
          <t>Roma Aeropuerto Fiumicino</t>
        </is>
      </c>
      <c r="C695" t="inlineStr">
        <is>
          <t>Alemania</t>
        </is>
      </c>
      <c r="D695" t="inlineStr">
        <is>
          <t>Wurzburgo</t>
        </is>
      </c>
      <c r="E695" t="inlineStr">
        <is>
          <t>2026-05-15</t>
        </is>
      </c>
      <c r="F695" t="inlineStr">
        <is>
          <t>2026-05-22</t>
        </is>
      </c>
      <c r="G695" t="inlineStr">
        <is>
          <t xml:space="preserve"> - Beach Hostel</t>
        </is>
      </c>
      <c r="H695">
        <f>HYPERLINK("https://booking.roadsurfer.com/es/rally/pick?pickup_date=2026-05-15&amp;return_date=2026-05-22&amp;currency=EUR&amp;startStation=35&amp;endStation=115", "Clic para verlo en la web de RoadSurfer")</f>
        <v/>
      </c>
    </row>
    <row r="696">
      <c r="A696" t="inlineStr">
        <is>
          <t>Italia</t>
        </is>
      </c>
      <c r="B696" t="inlineStr">
        <is>
          <t>Roma Aeropuerto Fiumicino</t>
        </is>
      </c>
      <c r="C696" t="inlineStr">
        <is>
          <t>Alemania</t>
        </is>
      </c>
      <c r="D696" t="inlineStr">
        <is>
          <t>Núremberg</t>
        </is>
      </c>
      <c r="E696" t="inlineStr">
        <is>
          <t>2026-05-18</t>
        </is>
      </c>
      <c r="F696" t="inlineStr">
        <is>
          <t>2026-05-25</t>
        </is>
      </c>
      <c r="G696" t="inlineStr">
        <is>
          <t xml:space="preserve"> - No hay coche</t>
        </is>
      </c>
      <c r="H696">
        <f>HYPERLINK("https://booking.roadsurfer.com/es/rally/pick?pickup_date=2026-05-18&amp;return_date=2026-05-25&amp;currency=EUR&amp;startStation=35&amp;endStation=11", "Clic para verlo en la web de RoadSurfer")</f>
        <v/>
      </c>
    </row>
    <row r="697">
      <c r="A697" t="inlineStr">
        <is>
          <t>Italia</t>
        </is>
      </c>
      <c r="B697" t="inlineStr">
        <is>
          <t>Roma Aeropuerto Fiumicino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2026-04-21</t>
        </is>
      </c>
      <c r="F697" t="inlineStr">
        <is>
          <t>2026-04-28</t>
        </is>
      </c>
      <c r="G697" t="inlineStr">
        <is>
          <t xml:space="preserve"> - Couple Cottage</t>
        </is>
      </c>
      <c r="H697">
        <f>HYPERLINK("https://booking.roadsurfer.com/es/rally/pick?pickup_date=2026-04-21&amp;return_date=2026-04-28&amp;currency=EUR&amp;startStation=35&amp;endStation=22", "Clic para verlo en la web de RoadSurfer")</f>
        <v/>
      </c>
    </row>
    <row r="698">
      <c r="A698" t="inlineStr">
        <is>
          <t>Austria</t>
        </is>
      </c>
      <c r="B698" t="inlineStr">
        <is>
          <t>Salzburgo</t>
        </is>
      </c>
      <c r="C698" t="inlineStr">
        <is>
          <t>Alemania</t>
        </is>
      </c>
      <c r="D698" t="inlineStr">
        <is>
          <t>Colonia-Bonn</t>
        </is>
      </c>
      <c r="E698" t="inlineStr">
        <is>
          <t>2026-04-30</t>
        </is>
      </c>
      <c r="F698" t="inlineStr">
        <is>
          <t>2026-05-07</t>
        </is>
      </c>
      <c r="G698" t="inlineStr">
        <is>
          <t xml:space="preserve"> - Cozy Cottage</t>
        </is>
      </c>
      <c r="H698">
        <f>HYPERLINK("https://booking.roadsurfer.com/es/rally/pick?pickup_date=2026-04-30&amp;return_date=2026-05-07&amp;currency=EUR&amp;startStation=85&amp;endStation=52", "Clic para verlo en la web de RoadSurfer")</f>
        <v/>
      </c>
    </row>
    <row r="699">
      <c r="A699" t="inlineStr">
        <is>
          <t>España</t>
        </is>
      </c>
      <c r="B699" t="inlineStr">
        <is>
          <t>Sevilla</t>
        </is>
      </c>
      <c r="C699" t="inlineStr">
        <is>
          <t>Alemania</t>
        </is>
      </c>
      <c r="D699" t="inlineStr">
        <is>
          <t>Friburgo-Basilea (Alemania)</t>
        </is>
      </c>
      <c r="E699" t="inlineStr">
        <is>
          <t>2026-05-04</t>
        </is>
      </c>
      <c r="F699" t="inlineStr">
        <is>
          <t>2026-05-11</t>
        </is>
      </c>
      <c r="G699" t="inlineStr">
        <is>
          <t xml:space="preserve"> - Surfer Suite</t>
        </is>
      </c>
      <c r="H699">
        <f>HYPERLINK("https://booking.roadsurfer.com/es/rally/pick?pickup_date=2026-05-04&amp;return_date=2026-05-11&amp;currency=EUR&amp;startStation=39&amp;endStation=9", "Clic para verlo en la web de RoadSurfer")</f>
        <v/>
      </c>
    </row>
    <row r="700">
      <c r="A700" t="inlineStr">
        <is>
          <t>España</t>
        </is>
      </c>
      <c r="B700" t="inlineStr">
        <is>
          <t>Sevilla</t>
        </is>
      </c>
      <c r="C700" t="inlineStr">
        <is>
          <t>Alemania</t>
        </is>
      </c>
      <c r="D700" t="inlineStr">
        <is>
          <t>Friburgo-Basilea (Alemania)</t>
        </is>
      </c>
      <c r="E700" t="inlineStr">
        <is>
          <t>2026-05-16</t>
        </is>
      </c>
      <c r="F700" t="inlineStr">
        <is>
          <t>2026-05-23</t>
        </is>
      </c>
      <c r="G700" t="inlineStr">
        <is>
          <t xml:space="preserve"> - Road House</t>
        </is>
      </c>
      <c r="H700">
        <f>HYPERLINK("https://booking.roadsurfer.com/es/rally/pick?pickup_date=2026-05-16&amp;return_date=2026-05-23&amp;currency=EUR&amp;startStation=39&amp;endStation=9", "Clic para verlo en la web de RoadSurfer")</f>
        <v/>
      </c>
    </row>
    <row r="701">
      <c r="A701" t="inlineStr">
        <is>
          <t>España</t>
        </is>
      </c>
      <c r="B701" t="inlineStr">
        <is>
          <t>Sevilla</t>
        </is>
      </c>
      <c r="C701" t="inlineStr">
        <is>
          <t>Francia</t>
        </is>
      </c>
      <c r="D701" t="inlineStr">
        <is>
          <t>Toulouse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Surfer Suite</t>
        </is>
      </c>
      <c r="H701">
        <f>HYPERLINK("https://booking.roadsurfer.com/es/rally/pick?pickup_date=2026-04-27&amp;return_date=2026-05-04&amp;currency=EUR&amp;startStation=39&amp;endStation=30", "Clic para verlo en la web de RoadSurfer")</f>
        <v/>
      </c>
    </row>
    <row r="702">
      <c r="A702" t="inlineStr">
        <is>
          <t>España</t>
        </is>
      </c>
      <c r="B702" t="inlineStr">
        <is>
          <t>Sevilla</t>
        </is>
      </c>
      <c r="C702" t="inlineStr">
        <is>
          <t>Alemania</t>
        </is>
      </c>
      <c r="D702" t="inlineStr">
        <is>
          <t>Karlsruhe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Beach Hostel</t>
        </is>
      </c>
      <c r="H702">
        <f>HYPERLINK("https://booking.roadsurfer.com/es/rally/pick?pickup_date=2026-04-27&amp;return_date=2026-05-04&amp;currency=EUR&amp;startStation=39&amp;endStation=110", "Clic para verlo en la web de RoadSurfer")</f>
        <v/>
      </c>
    </row>
    <row r="703">
      <c r="A703" t="inlineStr">
        <is>
          <t>España</t>
        </is>
      </c>
      <c r="B703" t="inlineStr">
        <is>
          <t>Sevilla</t>
        </is>
      </c>
      <c r="C703" t="inlineStr">
        <is>
          <t>Alemania</t>
        </is>
      </c>
      <c r="D703" t="inlineStr">
        <is>
          <t>Hamburgo</t>
        </is>
      </c>
      <c r="E703" t="inlineStr">
        <is>
          <t>2026-05-18</t>
        </is>
      </c>
      <c r="F703" t="inlineStr">
        <is>
          <t>2026-05-21</t>
        </is>
      </c>
      <c r="G703" t="inlineStr">
        <is>
          <t xml:space="preserve"> - CAMPER CABIN</t>
        </is>
      </c>
      <c r="H703">
        <f>HYPERLINK("https://booking.roadsurfer.com/es/rally/pick?pickup_date=2026-05-18&amp;return_date=2026-05-21&amp;currency=EUR&amp;startStation=39&amp;endStation=3", "Clic para verlo en la web de RoadSurfer")</f>
        <v/>
      </c>
    </row>
    <row r="704">
      <c r="A704" t="inlineStr">
        <is>
          <t>España</t>
        </is>
      </c>
      <c r="B704" t="inlineStr">
        <is>
          <t>Sevilla</t>
        </is>
      </c>
      <c r="C704" t="inlineStr">
        <is>
          <t>Alemania</t>
        </is>
      </c>
      <c r="D704" t="inlineStr">
        <is>
          <t>Stuttgart</t>
        </is>
      </c>
      <c r="E704" t="inlineStr">
        <is>
          <t>2026-05-06</t>
        </is>
      </c>
      <c r="F704" t="inlineStr">
        <is>
          <t>2026-05-13</t>
        </is>
      </c>
      <c r="G704" t="inlineStr">
        <is>
          <t xml:space="preserve"> - Road House</t>
        </is>
      </c>
      <c r="H704">
        <f>HYPERLINK("https://booking.roadsurfer.com/es/rally/pick?pickup_date=2026-05-06&amp;return_date=2026-05-13&amp;currency=EUR&amp;startStation=39&amp;endStation=5", "Clic para verlo en la web de RoadSurfer")</f>
        <v/>
      </c>
    </row>
    <row r="705">
      <c r="A705" t="inlineStr">
        <is>
          <t>España</t>
        </is>
      </c>
      <c r="B705" t="inlineStr">
        <is>
          <t>Sevilla</t>
        </is>
      </c>
      <c r="C705" t="inlineStr">
        <is>
          <t>Alemania</t>
        </is>
      </c>
      <c r="D705" t="inlineStr">
        <is>
          <t>Stuttgart</t>
        </is>
      </c>
      <c r="E705" t="inlineStr">
        <is>
          <t>2026-05-11</t>
        </is>
      </c>
      <c r="F705" t="inlineStr">
        <is>
          <t>2026-05-18</t>
        </is>
      </c>
      <c r="G705" t="inlineStr">
        <is>
          <t xml:space="preserve"> - Camper Castle - Couple Cottage</t>
        </is>
      </c>
      <c r="H705">
        <f>HYPERLINK("https://booking.roadsurfer.com/es/rally/pick?pickup_date=2026-05-11&amp;return_date=2026-05-18&amp;currency=EUR&amp;startStation=39&amp;endStation=5", "Clic para verlo en la web de RoadSurfer")</f>
        <v/>
      </c>
    </row>
    <row r="706">
      <c r="A706" t="inlineStr">
        <is>
          <t>España</t>
        </is>
      </c>
      <c r="B706" t="inlineStr">
        <is>
          <t>Sevilla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Road House</t>
        </is>
      </c>
      <c r="H706">
        <f>HYPERLINK("https://booking.roadsurfer.com/es/rally/pick?pickup_date=2026-05-11&amp;return_date=2026-05-18&amp;currency=EUR&amp;startStation=39&amp;endStation=22", "Clic para verlo en la web de RoadSurfer")</f>
        <v/>
      </c>
    </row>
    <row r="707">
      <c r="A707" t="inlineStr">
        <is>
          <t>España</t>
        </is>
      </c>
      <c r="B707" t="inlineStr">
        <is>
          <t>Sevilla</t>
        </is>
      </c>
      <c r="C707" t="inlineStr">
        <is>
          <t>Alemania</t>
        </is>
      </c>
      <c r="D707" t="inlineStr">
        <is>
          <t>Fráncfort</t>
        </is>
      </c>
      <c r="E707" t="inlineStr">
        <is>
          <t>2026-05-21</t>
        </is>
      </c>
      <c r="F707" t="inlineStr">
        <is>
          <t>2026-05-28</t>
        </is>
      </c>
      <c r="G707" t="inlineStr">
        <is>
          <t xml:space="preserve"> - Camper Castle</t>
        </is>
      </c>
      <c r="H707">
        <f>HYPERLINK("https://booking.roadsurfer.com/es/rally/pick?pickup_date=2026-05-21&amp;return_date=2026-05-28&amp;currency=EUR&amp;startStation=39&amp;endStation=2", "Clic para verlo en la web de RoadSurfer")</f>
        <v/>
      </c>
    </row>
    <row r="708">
      <c r="A708" t="inlineStr">
        <is>
          <t>España</t>
        </is>
      </c>
      <c r="B708" t="inlineStr">
        <is>
          <t>Sevilla</t>
        </is>
      </c>
      <c r="C708" t="inlineStr">
        <is>
          <t>Alemania</t>
        </is>
      </c>
      <c r="D708" t="inlineStr">
        <is>
          <t>Tréveris</t>
        </is>
      </c>
      <c r="E708" t="inlineStr">
        <is>
          <t>2026-05-14</t>
        </is>
      </c>
      <c r="F708" t="inlineStr">
        <is>
          <t>2026-05-21</t>
        </is>
      </c>
      <c r="G708" t="inlineStr">
        <is>
          <t xml:space="preserve"> - Couple Cottage</t>
        </is>
      </c>
      <c r="H708">
        <f>HYPERLINK("https://booking.roadsurfer.com/es/rally/pick?pickup_date=2026-05-14&amp;return_date=2026-05-21&amp;currency=EUR&amp;startStation=39&amp;endStation=28", "Clic para verlo en la web de RoadSurfer")</f>
        <v/>
      </c>
    </row>
    <row r="709">
      <c r="A709" t="inlineStr">
        <is>
          <t>España</t>
        </is>
      </c>
      <c r="B709" t="inlineStr">
        <is>
          <t>Sevilla</t>
        </is>
      </c>
      <c r="C709" t="inlineStr">
        <is>
          <t>Alemania</t>
        </is>
      </c>
      <c r="D709" t="inlineStr">
        <is>
          <t>Tréveris</t>
        </is>
      </c>
      <c r="E709" t="inlineStr">
        <is>
          <t>2026-05-16</t>
        </is>
      </c>
      <c r="F709" t="inlineStr">
        <is>
          <t>2026-05-23</t>
        </is>
      </c>
      <c r="G709" t="inlineStr">
        <is>
          <t xml:space="preserve"> - Couple Cottage</t>
        </is>
      </c>
      <c r="H709">
        <f>HYPERLINK("https://booking.roadsurfer.com/es/rally/pick?pickup_date=2026-05-16&amp;return_date=2026-05-23&amp;currency=EUR&amp;startStation=39&amp;endStation=28",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Hamburgo Aeropuerto</t>
        </is>
      </c>
      <c r="E710" t="inlineStr">
        <is>
          <t>2026-04-27</t>
        </is>
      </c>
      <c r="F710" t="inlineStr">
        <is>
          <t>2026-05-04</t>
        </is>
      </c>
      <c r="G710" t="inlineStr">
        <is>
          <t xml:space="preserve"> - Surfer Suite</t>
        </is>
      </c>
      <c r="H710">
        <f>HYPERLINK("https://booking.roadsurfer.com/es/rally/pick?pickup_date=2026-04-27&amp;return_date=2026-05-04&amp;currency=EUR&amp;startStation=59&amp;endStation=65",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Bochum</t>
        </is>
      </c>
      <c r="E711" t="inlineStr">
        <is>
          <t>2026-04-30</t>
        </is>
      </c>
      <c r="F711" t="inlineStr">
        <is>
          <t>2026-05-07</t>
        </is>
      </c>
      <c r="G711" t="inlineStr">
        <is>
          <t xml:space="preserve"> - Surfer Suite</t>
        </is>
      </c>
      <c r="H711">
        <f>HYPERLINK("https://booking.roadsurfer.com/es/rally/pick?pickup_date=2026-04-30&amp;return_date=2026-05-07&amp;currency=EUR&amp;startStation=59&amp;endStation=24",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Flensburgo</t>
        </is>
      </c>
      <c r="E712" t="inlineStr">
        <is>
          <t>2026-04-24</t>
        </is>
      </c>
      <c r="F712" t="inlineStr">
        <is>
          <t>2026-05-01</t>
        </is>
      </c>
      <c r="G712" t="inlineStr">
        <is>
          <t xml:space="preserve"> - No hay coche</t>
        </is>
      </c>
      <c r="H712">
        <f>HYPERLINK("https://booking.roadsurfer.com/es/rally/pick?pickup_date=2026-04-24&amp;return_date=2026-05-01&amp;currency=EUR&amp;startStation=59&amp;endStation=130",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Flensburgo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Surfer Suite</t>
        </is>
      </c>
      <c r="H713">
        <f>HYPERLINK("https://booking.roadsurfer.com/es/rally/pick?pickup_date=2026-04-27&amp;return_date=2026-05-04&amp;currency=EUR&amp;startStation=59&amp;endStation=130",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Ratisbona</t>
        </is>
      </c>
      <c r="E714" t="inlineStr">
        <is>
          <t>2026-04-27</t>
        </is>
      </c>
      <c r="F714" t="inlineStr">
        <is>
          <t>2026-05-04</t>
        </is>
      </c>
      <c r="G714" t="inlineStr">
        <is>
          <t xml:space="preserve"> - Surfer Suite</t>
        </is>
      </c>
      <c r="H714">
        <f>HYPERLINK("https://booking.roadsurfer.com/es/rally/pick?pickup_date=2026-04-27&amp;return_date=2026-05-04&amp;currency=EUR&amp;startStation=59&amp;endStation=89",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2026-04-27</t>
        </is>
      </c>
      <c r="F715" t="inlineStr">
        <is>
          <t>2026-05-04</t>
        </is>
      </c>
      <c r="G715" t="inlineStr">
        <is>
          <t xml:space="preserve"> - Surfer Suite - Sunrise Suite</t>
        </is>
      </c>
      <c r="H715">
        <f>HYPERLINK("https://booking.roadsurfer.com/es/rally/pick?pickup_date=2026-04-27&amp;return_date=2026-05-04&amp;currency=EUR&amp;startStation=59&amp;endStation=90",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Erfurt</t>
        </is>
      </c>
      <c r="E716" t="inlineStr">
        <is>
          <t>2026-04-30</t>
        </is>
      </c>
      <c r="F716" t="inlineStr">
        <is>
          <t>2026-05-07</t>
        </is>
      </c>
      <c r="G716" t="inlineStr">
        <is>
          <t xml:space="preserve"> - Road House</t>
        </is>
      </c>
      <c r="H716">
        <f>HYPERLINK("https://booking.roadsurfer.com/es/rally/pick?pickup_date=2026-04-30&amp;return_date=2026-05-07&amp;currency=EUR&amp;startStation=59&amp;endStation=90",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Erfurt</t>
        </is>
      </c>
      <c r="E717" t="inlineStr">
        <is>
          <t>2026-05-11</t>
        </is>
      </c>
      <c r="F717" t="inlineStr">
        <is>
          <t>2026-05-18</t>
        </is>
      </c>
      <c r="G717" t="inlineStr">
        <is>
          <t xml:space="preserve"> - Sunrise Suite</t>
        </is>
      </c>
      <c r="H717">
        <f>HYPERLINK("https://booking.roadsurfer.com/es/rally/pick?pickup_date=2026-05-11&amp;return_date=2026-05-18&amp;currency=EUR&amp;startStation=59&amp;endStation=90",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2026-05-12</t>
        </is>
      </c>
      <c r="F718" t="inlineStr">
        <is>
          <t>2026-05-19</t>
        </is>
      </c>
      <c r="G718" t="inlineStr">
        <is>
          <t xml:space="preserve"> - Sunrise Suite</t>
        </is>
      </c>
      <c r="H718">
        <f>HYPERLINK("https://booking.roadsurfer.com/es/rally/pick?pickup_date=2026-05-12&amp;return_date=2026-05-19&amp;currency=EUR&amp;startStation=59&amp;endStation=90",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2026-06-01</t>
        </is>
      </c>
      <c r="F719" t="inlineStr">
        <is>
          <t>2026-06-08</t>
        </is>
      </c>
      <c r="G719" t="inlineStr">
        <is>
          <t xml:space="preserve"> - Family Finca</t>
        </is>
      </c>
      <c r="H719">
        <f>HYPERLINK("https://booking.roadsurfer.com/es/rally/pick?pickup_date=2026-06-01&amp;return_date=2026-06-08&amp;currency=EUR&amp;startStation=59&amp;endStation=90",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2026-04-28</t>
        </is>
      </c>
      <c r="F720" t="inlineStr">
        <is>
          <t>2026-05-05</t>
        </is>
      </c>
      <c r="G720" t="inlineStr">
        <is>
          <t xml:space="preserve"> - Road House</t>
        </is>
      </c>
      <c r="H720">
        <f>HYPERLINK("https://booking.roadsurfer.com/es/rally/pick?pickup_date=2026-04-28&amp;return_date=2026-05-05&amp;currency=EUR&amp;startStation=59&amp;endStation=90",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2026-05-24</t>
        </is>
      </c>
      <c r="F721" t="inlineStr">
        <is>
          <t>2026-05-31</t>
        </is>
      </c>
      <c r="G721" t="inlineStr">
        <is>
          <t xml:space="preserve"> - No hay coche</t>
        </is>
      </c>
      <c r="H721">
        <f>HYPERLINK("https://booking.roadsurfer.com/es/rally/pick?pickup_date=2026-05-24&amp;return_date=2026-05-31&amp;currency=EUR&amp;startStation=59&amp;endStation=90",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2026-05-08</t>
        </is>
      </c>
      <c r="F722" t="inlineStr">
        <is>
          <t>2026-05-15</t>
        </is>
      </c>
      <c r="G722" t="inlineStr">
        <is>
          <t xml:space="preserve"> - Cozy Cottage</t>
        </is>
      </c>
      <c r="H722">
        <f>HYPERLINK("https://booking.roadsurfer.com/es/rally/pick?pickup_date=2026-05-08&amp;return_date=2026-05-15&amp;currency=EUR&amp;startStation=59&amp;endStation=90",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Núremberg</t>
        </is>
      </c>
      <c r="E723" t="inlineStr">
        <is>
          <t>2026-04-27</t>
        </is>
      </c>
      <c r="F723" t="inlineStr">
        <is>
          <t>2026-05-04</t>
        </is>
      </c>
      <c r="G723" t="inlineStr">
        <is>
          <t xml:space="preserve"> - Surfer Suite - Beach Hostel</t>
        </is>
      </c>
      <c r="H723">
        <f>HYPERLINK("https://booking.roadsurfer.com/es/rally/pick?pickup_date=2026-04-27&amp;return_date=2026-05-04&amp;currency=EUR&amp;startStation=59&amp;endStation=11",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Bremen</t>
        </is>
      </c>
      <c r="E724" t="inlineStr">
        <is>
          <t>2026-05-06</t>
        </is>
      </c>
      <c r="F724" t="inlineStr">
        <is>
          <t>2026-05-13</t>
        </is>
      </c>
      <c r="G724" t="inlineStr">
        <is>
          <t xml:space="preserve"> - Family Finca</t>
        </is>
      </c>
      <c r="H724">
        <f>HYPERLINK("https://booking.roadsurfer.com/es/rally/pick?pickup_date=2026-05-06&amp;return_date=2026-05-13&amp;currency=EUR&amp;startStation=59&amp;endStation=55",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Bremen</t>
        </is>
      </c>
      <c r="E725" t="inlineStr">
        <is>
          <t>2026-05-20</t>
        </is>
      </c>
      <c r="F725" t="inlineStr">
        <is>
          <t>2026-05-27</t>
        </is>
      </c>
      <c r="G725" t="inlineStr">
        <is>
          <t xml:space="preserve"> - Sunrise Suite</t>
        </is>
      </c>
      <c r="H725">
        <f>HYPERLINK("https://booking.roadsurfer.com/es/rally/pick?pickup_date=2026-05-20&amp;return_date=2026-05-27&amp;currency=EUR&amp;startStation=59&amp;endStation=55",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Bremen</t>
        </is>
      </c>
      <c r="E726" t="inlineStr">
        <is>
          <t>2026-04-29</t>
        </is>
      </c>
      <c r="F726" t="inlineStr">
        <is>
          <t>2026-05-06</t>
        </is>
      </c>
      <c r="G726" t="inlineStr">
        <is>
          <t xml:space="preserve"> - Beach Hostel</t>
        </is>
      </c>
      <c r="H726">
        <f>HYPERLINK("https://booking.roadsurfer.com/es/rally/pick?pickup_date=2026-04-29&amp;return_date=2026-05-06&amp;currency=EUR&amp;startStation=59&amp;endStation=55",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2026-04-30</t>
        </is>
      </c>
      <c r="F727" t="inlineStr">
        <is>
          <t>2026-05-07</t>
        </is>
      </c>
      <c r="G727" t="inlineStr">
        <is>
          <t xml:space="preserve"> - Camper Castle - Couple Cottage - Sunrise Suite</t>
        </is>
      </c>
      <c r="H727">
        <f>HYPERLINK("https://booking.roadsurfer.com/es/rally/pick?pickup_date=2026-04-30&amp;return_date=2026-05-07&amp;currency=EUR&amp;startStation=59&amp;endStation=22",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2026-04-27</t>
        </is>
      </c>
      <c r="F728" t="inlineStr">
        <is>
          <t>2026-05-04</t>
        </is>
      </c>
      <c r="G728" t="inlineStr">
        <is>
          <t xml:space="preserve"> - Beach Hostel - Camper Castle</t>
        </is>
      </c>
      <c r="H728">
        <f>HYPERLINK("https://booking.roadsurfer.com/es/rally/pick?pickup_date=2026-04-27&amp;return_date=2026-05-04&amp;currency=EUR&amp;startStation=59&amp;endStation=22",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2026-05-08</t>
        </is>
      </c>
      <c r="F729" t="inlineStr">
        <is>
          <t>2026-05-15</t>
        </is>
      </c>
      <c r="G729" t="inlineStr">
        <is>
          <t xml:space="preserve"> - Camper Castle</t>
        </is>
      </c>
      <c r="H729">
        <f>HYPERLINK("https://booking.roadsurfer.com/es/rally/pick?pickup_date=2026-05-08&amp;return_date=2026-05-15&amp;currency=EUR&amp;startStation=59&amp;endStation=56",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2026-05-13</t>
        </is>
      </c>
      <c r="F730" t="inlineStr">
        <is>
          <t>2026-05-20</t>
        </is>
      </c>
      <c r="G730" t="inlineStr">
        <is>
          <t xml:space="preserve"> - Camper Castle</t>
        </is>
      </c>
      <c r="H730">
        <f>HYPERLINK("https://booking.roadsurfer.com/es/rally/pick?pickup_date=2026-05-13&amp;return_date=2026-05-20&amp;currency=EUR&amp;startStation=59&amp;endStation=56",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2026-04-30</t>
        </is>
      </c>
      <c r="F731" t="inlineStr">
        <is>
          <t>2026-05-07</t>
        </is>
      </c>
      <c r="G731" t="inlineStr">
        <is>
          <t xml:space="preserve"> - Road House</t>
        </is>
      </c>
      <c r="H731">
        <f>HYPERLINK("https://booking.roadsurfer.com/es/rally/pick?pickup_date=2026-04-30&amp;return_date=2026-05-07&amp;currency=EUR&amp;startStation=59&amp;endStation=56",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2026-05-04</t>
        </is>
      </c>
      <c r="F732" t="inlineStr">
        <is>
          <t>2026-05-11</t>
        </is>
      </c>
      <c r="G732" t="inlineStr">
        <is>
          <t xml:space="preserve"> - Road House</t>
        </is>
      </c>
      <c r="H732">
        <f>HYPERLINK("https://booking.roadsurfer.com/es/rally/pick?pickup_date=2026-05-04&amp;return_date=2026-05-11&amp;currency=EUR&amp;startStation=59&amp;endStation=56",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Kiel</t>
        </is>
      </c>
      <c r="E733" t="inlineStr">
        <is>
          <t>2026-05-15</t>
        </is>
      </c>
      <c r="F733" t="inlineStr">
        <is>
          <t>2026-05-22</t>
        </is>
      </c>
      <c r="G733" t="inlineStr">
        <is>
          <t xml:space="preserve"> - Road House</t>
        </is>
      </c>
      <c r="H733">
        <f>HYPERLINK("https://booking.roadsurfer.com/es/rally/pick?pickup_date=2026-05-15&amp;return_date=2026-05-22&amp;currency=EUR&amp;startStation=59&amp;endStation=111",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Bielefeld</t>
        </is>
      </c>
      <c r="E734" t="inlineStr">
        <is>
          <t>2026-04-28</t>
        </is>
      </c>
      <c r="F734" t="inlineStr">
        <is>
          <t>2026-05-05</t>
        </is>
      </c>
      <c r="G734" t="inlineStr">
        <is>
          <t xml:space="preserve"> - Road House</t>
        </is>
      </c>
      <c r="H734">
        <f>HYPERLINK("https://booking.roadsurfer.com/es/rally/pick?pickup_date=2026-04-28&amp;return_date=2026-05-05&amp;currency=EUR&amp;startStation=59&amp;endStation=91",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Bielefeld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Sunrise Suite</t>
        </is>
      </c>
      <c r="H735">
        <f>HYPERLINK("https://booking.roadsurfer.com/es/rally/pick?pickup_date=2026-05-04&amp;return_date=2026-05-11&amp;currency=EUR&amp;startStation=59&amp;endStation=91",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Bielefeld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Sunrise Suite</t>
        </is>
      </c>
      <c r="H736">
        <f>HYPERLINK("https://booking.roadsurfer.com/es/rally/pick?pickup_date=2026-05-06&amp;return_date=2026-05-13&amp;currency=EUR&amp;startStation=59&amp;endStation=91",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Road House</t>
        </is>
      </c>
      <c r="H737">
        <f>HYPERLINK("https://booking.roadsurfer.com/es/rally/pick?pickup_date=2026-05-11&amp;return_date=2026-05-18&amp;currency=EUR&amp;startStation=59&amp;endStation=91",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2026-05-14</t>
        </is>
      </c>
      <c r="F738" t="inlineStr">
        <is>
          <t>2026-05-21</t>
        </is>
      </c>
      <c r="G738" t="inlineStr">
        <is>
          <t xml:space="preserve"> - No hay coche</t>
        </is>
      </c>
      <c r="H738">
        <f>HYPERLINK("https://booking.roadsurfer.com/es/rally/pick?pickup_date=2026-05-14&amp;return_date=2026-05-21&amp;currency=EUR&amp;startStation=59&amp;endStation=91",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Couple Cottage</t>
        </is>
      </c>
      <c r="H739">
        <f>HYPERLINK("https://booking.roadsurfer.com/es/rally/pick?pickup_date=2026-05-15&amp;return_date=2026-05-22&amp;currency=EUR&amp;startStation=59&amp;endStation=91",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Leipzig</t>
        </is>
      </c>
      <c r="E740" t="inlineStr">
        <is>
          <t>2026-04-27</t>
        </is>
      </c>
      <c r="F740" t="inlineStr">
        <is>
          <t>2026-05-04</t>
        </is>
      </c>
      <c r="G740" t="inlineStr">
        <is>
          <t xml:space="preserve"> - Road House</t>
        </is>
      </c>
      <c r="H740">
        <f>HYPERLINK("https://booking.roadsurfer.com/es/rally/pick?pickup_date=2026-04-27&amp;return_date=2026-05-04&amp;currency=EUR&amp;startStation=59&amp;endStation=8",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Leipzig</t>
        </is>
      </c>
      <c r="E741" t="inlineStr">
        <is>
          <t>2026-05-06</t>
        </is>
      </c>
      <c r="F741" t="inlineStr">
        <is>
          <t>2026-05-13</t>
        </is>
      </c>
      <c r="G741" t="inlineStr">
        <is>
          <t xml:space="preserve"> - Couple Cottage</t>
        </is>
      </c>
      <c r="H741">
        <f>HYPERLINK("https://booking.roadsurfer.com/es/rally/pick?pickup_date=2026-05-06&amp;return_date=2026-05-13&amp;currency=EUR&amp;startStation=59&amp;endStation=8",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Leipzig</t>
        </is>
      </c>
      <c r="E742" t="inlineStr">
        <is>
          <t>2026-05-08</t>
        </is>
      </c>
      <c r="F742" t="inlineStr">
        <is>
          <t>2026-05-15</t>
        </is>
      </c>
      <c r="G742" t="inlineStr">
        <is>
          <t xml:space="preserve"> - Couple Cottage</t>
        </is>
      </c>
      <c r="H742">
        <f>HYPERLINK("https://booking.roadsurfer.com/es/rally/pick?pickup_date=2026-05-08&amp;return_date=2026-05-15&amp;currency=EUR&amp;startStation=59&amp;endStation=8",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Karlsruhe</t>
        </is>
      </c>
      <c r="E743" t="inlineStr">
        <is>
          <t>2026-04-28</t>
        </is>
      </c>
      <c r="F743" t="inlineStr">
        <is>
          <t>2026-05-05</t>
        </is>
      </c>
      <c r="G743" t="inlineStr">
        <is>
          <t xml:space="preserve"> - Camper Castle</t>
        </is>
      </c>
      <c r="H743">
        <f>HYPERLINK("https://booking.roadsurfer.com/es/rally/pick?pickup_date=2026-04-28&amp;return_date=2026-05-05&amp;currency=EUR&amp;startStation=59&amp;endStation=110",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Karlsruhe</t>
        </is>
      </c>
      <c r="E744" t="inlineStr">
        <is>
          <t>2026-04-27</t>
        </is>
      </c>
      <c r="F744" t="inlineStr">
        <is>
          <t>2026-05-04</t>
        </is>
      </c>
      <c r="G744" t="inlineStr">
        <is>
          <t xml:space="preserve"> - Camper Castle</t>
        </is>
      </c>
      <c r="H744">
        <f>HYPERLINK("https://booking.roadsurfer.com/es/rally/pick?pickup_date=2026-04-27&amp;return_date=2026-05-04&amp;currency=EUR&amp;startStation=59&amp;endStation=110",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Lübeck</t>
        </is>
      </c>
      <c r="E745" t="inlineStr">
        <is>
          <t>2026-05-06</t>
        </is>
      </c>
      <c r="F745" t="inlineStr">
        <is>
          <t>2026-05-13</t>
        </is>
      </c>
      <c r="G745" t="inlineStr">
        <is>
          <t xml:space="preserve"> - Sunrise Suite</t>
        </is>
      </c>
      <c r="H745">
        <f>HYPERLINK("https://booking.roadsurfer.com/es/rally/pick?pickup_date=2026-05-06&amp;return_date=2026-05-13&amp;currency=EUR&amp;startStation=59&amp;endStation=109",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Lübeck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Camper Castle</t>
        </is>
      </c>
      <c r="H746">
        <f>HYPERLINK("https://booking.roadsurfer.com/es/rally/pick?pickup_date=2026-05-08&amp;return_date=2026-05-15&amp;currency=EUR&amp;startStation=59&amp;endStation=109",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Lübeck</t>
        </is>
      </c>
      <c r="E747" t="inlineStr">
        <is>
          <t>2026-05-12</t>
        </is>
      </c>
      <c r="F747" t="inlineStr">
        <is>
          <t>2026-05-19</t>
        </is>
      </c>
      <c r="G747" t="inlineStr">
        <is>
          <t xml:space="preserve"> - Camper Castle</t>
        </is>
      </c>
      <c r="H747">
        <f>HYPERLINK("https://booking.roadsurfer.com/es/rally/pick?pickup_date=2026-05-12&amp;return_date=2026-05-19&amp;currency=EUR&amp;startStation=59&amp;endStation=109",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Lindau-Wangen</t>
        </is>
      </c>
      <c r="E748" t="inlineStr">
        <is>
          <t>2026-04-29</t>
        </is>
      </c>
      <c r="F748" t="inlineStr">
        <is>
          <t>2026-05-06</t>
        </is>
      </c>
      <c r="G748" t="inlineStr">
        <is>
          <t xml:space="preserve"> - Camper Castle</t>
        </is>
      </c>
      <c r="H748">
        <f>HYPERLINK("https://booking.roadsurfer.com/es/rally/pick?pickup_date=2026-04-29&amp;return_date=2026-05-06&amp;currency=EUR&amp;startStation=59&amp;endStation=117",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Hannover</t>
        </is>
      </c>
      <c r="E749" t="inlineStr">
        <is>
          <t>2026-04-27</t>
        </is>
      </c>
      <c r="F749" t="inlineStr">
        <is>
          <t>2026-05-04</t>
        </is>
      </c>
      <c r="G749" t="inlineStr">
        <is>
          <t xml:space="preserve"> - Cozy Cottage</t>
        </is>
      </c>
      <c r="H749">
        <f>HYPERLINK("https://booking.roadsurfer.com/es/rally/pick?pickup_date=2026-04-27&amp;return_date=2026-05-04&amp;currency=EUR&amp;startStation=59&amp;endStation=7",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Hamburgo</t>
        </is>
      </c>
      <c r="E750" t="inlineStr">
        <is>
          <t>2026-05-06</t>
        </is>
      </c>
      <c r="F750" t="inlineStr">
        <is>
          <t>2026-05-13</t>
        </is>
      </c>
      <c r="G750" t="inlineStr">
        <is>
          <t xml:space="preserve"> - No hay coche</t>
        </is>
      </c>
      <c r="H750">
        <f>HYPERLINK("https://booking.roadsurfer.com/es/rally/pick?pickup_date=2026-05-06&amp;return_date=2026-05-13&amp;currency=EUR&amp;startStation=59&amp;endStation=3",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Hamburgo</t>
        </is>
      </c>
      <c r="E751" t="inlineStr">
        <is>
          <t>2026-05-18</t>
        </is>
      </c>
      <c r="F751" t="inlineStr">
        <is>
          <t>2026-05-25</t>
        </is>
      </c>
      <c r="G751" t="inlineStr">
        <is>
          <t xml:space="preserve"> - No hay coche</t>
        </is>
      </c>
      <c r="H751">
        <f>HYPERLINK("https://booking.roadsurfer.com/es/rally/pick?pickup_date=2026-05-18&amp;return_date=2026-05-25&amp;currency=EUR&amp;startStation=59&amp;endStation=3",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Berlín-Schönefeld</t>
        </is>
      </c>
      <c r="E752" t="inlineStr">
        <is>
          <t>2026-04-24</t>
        </is>
      </c>
      <c r="F752" t="inlineStr">
        <is>
          <t>2026-05-01</t>
        </is>
      </c>
      <c r="G752" t="inlineStr">
        <is>
          <t xml:space="preserve"> - No hay coche</t>
        </is>
      </c>
      <c r="H752">
        <f>HYPERLINK("https://booking.roadsurfer.com/es/rally/pick?pickup_date=2026-04-24&amp;return_date=2026-05-01&amp;currency=EUR&amp;startStation=59&amp;endStation=51",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Francia</t>
        </is>
      </c>
      <c r="D753" t="inlineStr">
        <is>
          <t>Niza</t>
        </is>
      </c>
      <c r="E753" t="inlineStr">
        <is>
          <t>2026-05-07</t>
        </is>
      </c>
      <c r="F753" t="inlineStr">
        <is>
          <t>2026-05-14</t>
        </is>
      </c>
      <c r="G753" t="inlineStr">
        <is>
          <t xml:space="preserve"> - No hay coche</t>
        </is>
      </c>
      <c r="H753">
        <f>HYPERLINK("https://booking.roadsurfer.com/es/rally/pick?pickup_date=2026-05-07&amp;return_date=2026-05-14&amp;currency=EUR&amp;startStation=5&amp;endStation=88",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Francia</t>
        </is>
      </c>
      <c r="D754" t="inlineStr">
        <is>
          <t>Nantes</t>
        </is>
      </c>
      <c r="E754" t="inlineStr">
        <is>
          <t>2026-04-27</t>
        </is>
      </c>
      <c r="F754" t="inlineStr">
        <is>
          <t>2026-05-04</t>
        </is>
      </c>
      <c r="G754" t="inlineStr">
        <is>
          <t xml:space="preserve"> - SURFER SUITE - Family Finca</t>
        </is>
      </c>
      <c r="H754">
        <f>HYPERLINK("https://booking.roadsurfer.com/es/rally/pick?pickup_date=2026-04-27&amp;return_date=2026-05-04&amp;currency=EUR&amp;startStation=5&amp;endStation=31",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Francia</t>
        </is>
      </c>
      <c r="D755" t="inlineStr">
        <is>
          <t>Nantes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Road House</t>
        </is>
      </c>
      <c r="H755">
        <f>HYPERLINK("https://booking.roadsurfer.com/es/rally/pick?pickup_date=2026-05-11&amp;return_date=2026-05-18&amp;currency=EUR&amp;startStation=5&amp;endStation=31",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Francia</t>
        </is>
      </c>
      <c r="D756" t="inlineStr">
        <is>
          <t>Nantes</t>
        </is>
      </c>
      <c r="E756" t="inlineStr">
        <is>
          <t>2026-05-02</t>
        </is>
      </c>
      <c r="F756" t="inlineStr">
        <is>
          <t>2026-05-09</t>
        </is>
      </c>
      <c r="G756" t="inlineStr">
        <is>
          <t xml:space="preserve"> - Road House</t>
        </is>
      </c>
      <c r="H756">
        <f>HYPERLINK("https://booking.roadsurfer.com/es/rally/pick?pickup_date=2026-05-02&amp;return_date=2026-05-09&amp;currency=EUR&amp;startStation=5&amp;endStation=31",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España</t>
        </is>
      </c>
      <c r="D757" t="inlineStr">
        <is>
          <t>Bilbao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Beach Hostel</t>
        </is>
      </c>
      <c r="H757">
        <f>HYPERLINK("https://booking.roadsurfer.com/es/rally/pick?pickup_date=2026-05-11&amp;return_date=2026-05-18&amp;currency=EUR&amp;startStation=5&amp;endStation=40",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España</t>
        </is>
      </c>
      <c r="D758" t="inlineStr">
        <is>
          <t>Bilbao</t>
        </is>
      </c>
      <c r="E758" t="inlineStr">
        <is>
          <t>2026-05-02</t>
        </is>
      </c>
      <c r="F758" t="inlineStr">
        <is>
          <t>2026-05-09</t>
        </is>
      </c>
      <c r="G758" t="inlineStr">
        <is>
          <t xml:space="preserve"> - Road House</t>
        </is>
      </c>
      <c r="H758">
        <f>HYPERLINK("https://booking.roadsurfer.com/es/rally/pick?pickup_date=2026-05-02&amp;return_date=2026-05-09&amp;currency=EUR&amp;startStation=5&amp;endStation=40",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España</t>
        </is>
      </c>
      <c r="D759" t="inlineStr">
        <is>
          <t>Barcelona</t>
        </is>
      </c>
      <c r="E759" t="inlineStr">
        <is>
          <t>2026-04-24</t>
        </is>
      </c>
      <c r="F759" t="inlineStr">
        <is>
          <t>2026-05-01</t>
        </is>
      </c>
      <c r="G759" t="inlineStr">
        <is>
          <t xml:space="preserve"> - No hay coche</t>
        </is>
      </c>
      <c r="H759">
        <f>HYPERLINK("https://booking.roadsurfer.com/es/rally/pick?pickup_date=2026-04-24&amp;return_date=2026-05-01&amp;currency=EUR&amp;startStation=5&amp;endStation=17",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Toulouse</t>
        </is>
      </c>
      <c r="E760" t="inlineStr">
        <is>
          <t>2026-05-04</t>
        </is>
      </c>
      <c r="F760" t="inlineStr">
        <is>
          <t>2026-05-11</t>
        </is>
      </c>
      <c r="G760" t="inlineStr">
        <is>
          <t xml:space="preserve"> - No hay coche</t>
        </is>
      </c>
      <c r="H760">
        <f>HYPERLINK("https://booking.roadsurfer.com/es/rally/pick?pickup_date=2026-05-04&amp;return_date=2026-05-11&amp;currency=EUR&amp;startStation=5&amp;endStation=30",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París Sur (Orly)</t>
        </is>
      </c>
      <c r="E761" t="inlineStr">
        <is>
          <t>2026-04-27</t>
        </is>
      </c>
      <c r="F761" t="inlineStr">
        <is>
          <t>2026-05-04</t>
        </is>
      </c>
      <c r="G761" t="inlineStr">
        <is>
          <t xml:space="preserve"> - Couple Cottage</t>
        </is>
      </c>
      <c r="H761">
        <f>HYPERLINK("https://booking.roadsurfer.com/es/rally/pick?pickup_date=2026-04-27&amp;return_date=2026-05-04&amp;currency=EUR&amp;startStation=5&amp;endStation=12",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Italia</t>
        </is>
      </c>
      <c r="D762" t="inlineStr">
        <is>
          <t>Roma Aeropuerto Fiumicino</t>
        </is>
      </c>
      <c r="E762" t="inlineStr">
        <is>
          <t>2026-05-04</t>
        </is>
      </c>
      <c r="F762" t="inlineStr">
        <is>
          <t>2026-05-11</t>
        </is>
      </c>
      <c r="G762" t="inlineStr">
        <is>
          <t xml:space="preserve"> - Couple Cottage</t>
        </is>
      </c>
      <c r="H762">
        <f>HYPERLINK("https://booking.roadsurfer.com/es/rally/pick?pickup_date=2026-05-04&amp;return_date=2026-05-11&amp;currency=EUR&amp;startStation=5&amp;endStation=35", "Clic para verlo en la web de RoadSurfer")</f>
        <v/>
      </c>
    </row>
    <row r="763">
      <c r="A763" t="inlineStr">
        <is>
          <t>EE.UU.</t>
        </is>
      </c>
      <c r="B763" t="inlineStr">
        <is>
          <t>Thor Industries, Elkhart</t>
        </is>
      </c>
      <c r="C763" t="inlineStr">
        <is>
          <t>EE.UU.</t>
        </is>
      </c>
      <c r="D763" t="inlineStr">
        <is>
          <t>Denver</t>
        </is>
      </c>
      <c r="E763" t="inlineStr">
        <is>
          <t>2026-05-04</t>
        </is>
      </c>
      <c r="F763" t="inlineStr">
        <is>
          <t>2026-05-25</t>
        </is>
      </c>
      <c r="G763" t="inlineStr">
        <is>
          <t xml:space="preserve"> - Family Freedom</t>
        </is>
      </c>
      <c r="H763">
        <f>HYPERLINK("https://booking.roadsurfer.com/es/rally/pick?pickup_date=2026-05-04&amp;return_date=2026-05-25&amp;currency=EUR&amp;startStation=74&amp;endStation=104", "Clic para verlo en la web de RoadSurfer")</f>
        <v/>
      </c>
    </row>
    <row r="764">
      <c r="A764" t="inlineStr">
        <is>
          <t>EE.UU.</t>
        </is>
      </c>
      <c r="B764" t="inlineStr">
        <is>
          <t>Thor Industries, Elkhart</t>
        </is>
      </c>
      <c r="C764" t="inlineStr">
        <is>
          <t>EE.UU.</t>
        </is>
      </c>
      <c r="D764" t="inlineStr">
        <is>
          <t>Denver</t>
        </is>
      </c>
      <c r="E764" t="inlineStr">
        <is>
          <t>2026-04-20</t>
        </is>
      </c>
      <c r="F764" t="inlineStr">
        <is>
          <t>2026-05-08</t>
        </is>
      </c>
      <c r="G764" t="inlineStr">
        <is>
          <t xml:space="preserve"> - Family Freedom</t>
        </is>
      </c>
      <c r="H764">
        <f>HYPERLINK("https://booking.roadsurfer.com/es/rally/pick?pickup_date=2026-04-20&amp;return_date=2026-05-08&amp;currency=EUR&amp;startStation=74&amp;endStation=104", "Clic para verlo en la web de RoadSurfer")</f>
        <v/>
      </c>
    </row>
    <row r="765">
      <c r="A765" t="inlineStr">
        <is>
          <t>EE.UU.</t>
        </is>
      </c>
      <c r="B765" t="inlineStr">
        <is>
          <t>Thor Industries, Elkhart</t>
        </is>
      </c>
      <c r="C765" t="inlineStr">
        <is>
          <t>EE.UU.</t>
        </is>
      </c>
      <c r="D765" t="inlineStr">
        <is>
          <t>Denver</t>
        </is>
      </c>
      <c r="E765" t="inlineStr">
        <is>
          <t>2026-04-20</t>
        </is>
      </c>
      <c r="F765" t="inlineStr">
        <is>
          <t>2026-05-04</t>
        </is>
      </c>
      <c r="G765" t="inlineStr">
        <is>
          <t xml:space="preserve"> - Family Freedom</t>
        </is>
      </c>
      <c r="H765">
        <f>HYPERLINK("https://booking.roadsurfer.com/es/rally/pick?pickup_date=2026-04-20&amp;return_date=2026-05-04&amp;currency=EUR&amp;startStation=74&amp;endStation=104", "Clic para verlo en la web de RoadSurfer")</f>
        <v/>
      </c>
    </row>
    <row r="766">
      <c r="A766" t="inlineStr">
        <is>
          <t>Francia</t>
        </is>
      </c>
      <c r="B766" t="inlineStr">
        <is>
          <t>Toulouse</t>
        </is>
      </c>
      <c r="C766" t="inlineStr">
        <is>
          <t>Alemania</t>
        </is>
      </c>
      <c r="D766" t="inlineStr">
        <is>
          <t>Wurzburgo</t>
        </is>
      </c>
      <c r="E766" t="inlineStr">
        <is>
          <t>2026-06-01</t>
        </is>
      </c>
      <c r="F766" t="inlineStr">
        <is>
          <t>2026-06-08</t>
        </is>
      </c>
      <c r="G766" t="inlineStr">
        <is>
          <t xml:space="preserve"> - Surfer Suite - Road House</t>
        </is>
      </c>
      <c r="H766">
        <f>HYPERLINK("https://booking.roadsurfer.com/es/rally/pick?pickup_date=2026-06-01&amp;return_date=2026-06-08&amp;currency=EUR&amp;startStation=30&amp;endStation=115", "Clic para verlo en la web de RoadSurfer")</f>
        <v/>
      </c>
    </row>
    <row r="767">
      <c r="A767" t="inlineStr">
        <is>
          <t>Francia</t>
        </is>
      </c>
      <c r="B767" t="inlineStr">
        <is>
          <t>Toulouse</t>
        </is>
      </c>
      <c r="C767" t="inlineStr">
        <is>
          <t>Alemania</t>
        </is>
      </c>
      <c r="D767" t="inlineStr">
        <is>
          <t>Erfurt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Camper Castle</t>
        </is>
      </c>
      <c r="H767">
        <f>HYPERLINK("https://booking.roadsurfer.com/es/rally/pick?pickup_date=2026-05-04&amp;return_date=2026-05-11&amp;currency=EUR&amp;startStation=30&amp;endStation=90", "Clic para verlo en la web de RoadSurfer")</f>
        <v/>
      </c>
    </row>
    <row r="768">
      <c r="A768" t="inlineStr">
        <is>
          <t>Francia</t>
        </is>
      </c>
      <c r="B768" t="inlineStr">
        <is>
          <t>Toulouse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2026-05-26</t>
        </is>
      </c>
      <c r="F768" t="inlineStr">
        <is>
          <t>2026-06-02</t>
        </is>
      </c>
      <c r="G768" t="inlineStr">
        <is>
          <t xml:space="preserve"> - Surfer Suite</t>
        </is>
      </c>
      <c r="H768">
        <f>HYPERLINK("https://booking.roadsurfer.com/es/rally/pick?pickup_date=2026-05-26&amp;return_date=2026-06-02&amp;currency=EUR&amp;startStation=30&amp;endStation=90", "Clic para verlo en la web de RoadSurfer")</f>
        <v/>
      </c>
    </row>
    <row r="769">
      <c r="A769" t="inlineStr">
        <is>
          <t>Francia</t>
        </is>
      </c>
      <c r="B769" t="inlineStr">
        <is>
          <t>Toulouse</t>
        </is>
      </c>
      <c r="C769" t="inlineStr">
        <is>
          <t>Alemania</t>
        </is>
      </c>
      <c r="D769" t="inlineStr">
        <is>
          <t>Erfurt</t>
        </is>
      </c>
      <c r="E769" t="inlineStr">
        <is>
          <t>2026-05-02</t>
        </is>
      </c>
      <c r="F769" t="inlineStr">
        <is>
          <t>2026-05-09</t>
        </is>
      </c>
      <c r="G769" t="inlineStr">
        <is>
          <t xml:space="preserve"> - Surfer Suite</t>
        </is>
      </c>
      <c r="H769">
        <f>HYPERLINK("https://booking.roadsurfer.com/es/rally/pick?pickup_date=2026-05-02&amp;return_date=2026-05-09&amp;currency=EUR&amp;startStation=30&amp;endStation=90", "Clic para verlo en la web de RoadSurfer")</f>
        <v/>
      </c>
    </row>
    <row r="770">
      <c r="A770" t="inlineStr">
        <is>
          <t>Francia</t>
        </is>
      </c>
      <c r="B770" t="inlineStr">
        <is>
          <t>Toulouse</t>
        </is>
      </c>
      <c r="C770" t="inlineStr">
        <is>
          <t>Francia</t>
        </is>
      </c>
      <c r="D770" t="inlineStr">
        <is>
          <t>Nantes</t>
        </is>
      </c>
      <c r="E770" t="inlineStr">
        <is>
          <t>2026-06-01</t>
        </is>
      </c>
      <c r="F770" t="inlineStr">
        <is>
          <t>2026-06-08</t>
        </is>
      </c>
      <c r="G770" t="inlineStr">
        <is>
          <t xml:space="preserve"> - Surfer Suite</t>
        </is>
      </c>
      <c r="H770">
        <f>HYPERLINK("https://booking.roadsurfer.com/es/rally/pick?pickup_date=2026-06-01&amp;return_date=2026-06-08&amp;currency=EUR&amp;startStation=30&amp;endStation=31", "Clic para verlo en la web de RoadSurfer")</f>
        <v/>
      </c>
    </row>
    <row r="771">
      <c r="A771" t="inlineStr">
        <is>
          <t>Francia</t>
        </is>
      </c>
      <c r="B771" t="inlineStr">
        <is>
          <t>Toulouse</t>
        </is>
      </c>
      <c r="C771" t="inlineStr">
        <is>
          <t>Francia</t>
        </is>
      </c>
      <c r="D771" t="inlineStr">
        <is>
          <t>Lille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No hay coche</t>
        </is>
      </c>
      <c r="H771">
        <f>HYPERLINK("https://booking.roadsurfer.com/es/rally/pick?pickup_date=2026-05-04&amp;return_date=2026-05-11&amp;currency=EUR&amp;startStation=30&amp;endStation=87",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Francia</t>
        </is>
      </c>
      <c r="D772" t="inlineStr">
        <is>
          <t>París Sur (Orly)</t>
        </is>
      </c>
      <c r="E772" t="inlineStr">
        <is>
          <t>2026-05-28</t>
        </is>
      </c>
      <c r="F772" t="inlineStr">
        <is>
          <t>2026-06-04</t>
        </is>
      </c>
      <c r="G772" t="inlineStr">
        <is>
          <t xml:space="preserve"> - Beach Hostel</t>
        </is>
      </c>
      <c r="H772">
        <f>HYPERLINK("https://booking.roadsurfer.com/es/rally/pick?pickup_date=2026-05-28&amp;return_date=2026-06-04&amp;currency=EUR&amp;startStation=30&amp;endStation=12",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2026-06-11</t>
        </is>
      </c>
      <c r="F773" t="inlineStr">
        <is>
          <t>2026-06-18</t>
        </is>
      </c>
      <c r="G773" t="inlineStr">
        <is>
          <t xml:space="preserve"> - Road House</t>
        </is>
      </c>
      <c r="H773">
        <f>HYPERLINK("https://booking.roadsurfer.com/es/rally/pick?pickup_date=2026-06-11&amp;return_date=2026-06-18&amp;currency=EUR&amp;startStation=30&amp;endStation=56", "Clic para verlo en la web de RoadSurfer")</f>
        <v/>
      </c>
    </row>
    <row r="774">
      <c r="A774" t="inlineStr">
        <is>
          <t>Francia</t>
        </is>
      </c>
      <c r="B774" t="inlineStr">
        <is>
          <t>Toulouse</t>
        </is>
      </c>
      <c r="C774" t="inlineStr">
        <is>
          <t>Alemania</t>
        </is>
      </c>
      <c r="D774" t="inlineStr">
        <is>
          <t>Constanza (Aach)</t>
        </is>
      </c>
      <c r="E774" t="inlineStr">
        <is>
          <t>2026-05-13</t>
        </is>
      </c>
      <c r="F774" t="inlineStr">
        <is>
          <t>2026-05-20</t>
        </is>
      </c>
      <c r="G774" t="inlineStr">
        <is>
          <t xml:space="preserve"> - Road House</t>
        </is>
      </c>
      <c r="H774">
        <f>HYPERLINK("https://booking.roadsurfer.com/es/rally/pick?pickup_date=2026-05-13&amp;return_date=2026-05-20&amp;currency=EUR&amp;startStation=30&amp;endStation=10", "Clic para verlo en la web de RoadSurfer")</f>
        <v/>
      </c>
    </row>
    <row r="775">
      <c r="A775" t="inlineStr">
        <is>
          <t>Francia</t>
        </is>
      </c>
      <c r="B775" t="inlineStr">
        <is>
          <t>Toulouse</t>
        </is>
      </c>
      <c r="C775" t="inlineStr">
        <is>
          <t>Alemania</t>
        </is>
      </c>
      <c r="D775" t="inlineStr">
        <is>
          <t>Múnich</t>
        </is>
      </c>
      <c r="E775" t="inlineStr">
        <is>
          <t>2026-05-18</t>
        </is>
      </c>
      <c r="F775" t="inlineStr">
        <is>
          <t>2026-05-25</t>
        </is>
      </c>
      <c r="G775" t="inlineStr">
        <is>
          <t xml:space="preserve"> - No hay coche</t>
        </is>
      </c>
      <c r="H775">
        <f>HYPERLINK("https://booking.roadsurfer.com/es/rally/pick?pickup_date=2026-05-18&amp;return_date=2026-05-25&amp;currency=EUR&amp;startStation=30&amp;endStation=1", "Clic para verlo en la web de RoadSurfer")</f>
        <v/>
      </c>
    </row>
    <row r="776">
      <c r="A776" t="inlineStr">
        <is>
          <t>Francia</t>
        </is>
      </c>
      <c r="B776" t="inlineStr">
        <is>
          <t>Toulouse</t>
        </is>
      </c>
      <c r="C776" t="inlineStr">
        <is>
          <t>Alemania</t>
        </is>
      </c>
      <c r="D776" t="inlineStr">
        <is>
          <t>Kassel</t>
        </is>
      </c>
      <c r="E776" t="inlineStr">
        <is>
          <t>2026-05-11</t>
        </is>
      </c>
      <c r="F776" t="inlineStr">
        <is>
          <t>2026-05-18</t>
        </is>
      </c>
      <c r="G776" t="inlineStr">
        <is>
          <t xml:space="preserve"> - Family Finca</t>
        </is>
      </c>
      <c r="H776">
        <f>HYPERLINK("https://booking.roadsurfer.com/es/rally/pick?pickup_date=2026-05-11&amp;return_date=2026-05-18&amp;currency=EUR&amp;startStation=30&amp;endStation=92",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Alemania</t>
        </is>
      </c>
      <c r="D777" t="inlineStr">
        <is>
          <t>Kassel</t>
        </is>
      </c>
      <c r="E777" t="inlineStr">
        <is>
          <t>2026-06-07</t>
        </is>
      </c>
      <c r="F777" t="inlineStr">
        <is>
          <t>2026-06-14</t>
        </is>
      </c>
      <c r="G777" t="inlineStr">
        <is>
          <t xml:space="preserve"> - No hay coche</t>
        </is>
      </c>
      <c r="H777">
        <f>HYPERLINK("https://booking.roadsurfer.com/es/rally/pick?pickup_date=2026-06-07&amp;return_date=2026-06-14&amp;currency=EUR&amp;startStation=30&amp;endStation=92",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Kassel</t>
        </is>
      </c>
      <c r="E778" t="inlineStr">
        <is>
          <t>2026-04-27</t>
        </is>
      </c>
      <c r="F778" t="inlineStr">
        <is>
          <t>2026-05-04</t>
        </is>
      </c>
      <c r="G778" t="inlineStr">
        <is>
          <t xml:space="preserve"> - Family Finca</t>
        </is>
      </c>
      <c r="H778">
        <f>HYPERLINK("https://booking.roadsurfer.com/es/rally/pick?pickup_date=2026-04-27&amp;return_date=2026-05-04&amp;currency=EUR&amp;startStation=30&amp;endStation=92", "Clic para verlo en la web de RoadSurfer")</f>
        <v/>
      </c>
    </row>
    <row r="779">
      <c r="A779" t="inlineStr">
        <is>
          <t>Alemania</t>
        </is>
      </c>
      <c r="B779" t="inlineStr">
        <is>
          <t>Tréveris</t>
        </is>
      </c>
      <c r="C779" t="inlineStr">
        <is>
          <t>Alemania</t>
        </is>
      </c>
      <c r="D779" t="inlineStr">
        <is>
          <t>Ulm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Surfer Suite</t>
        </is>
      </c>
      <c r="H779">
        <f>HYPERLINK("https://booking.roadsurfer.com/es/rally/pick?pickup_date=2026-05-04&amp;return_date=2026-05-11&amp;currency=EUR&amp;startStation=28&amp;endStation=112", "Clic para verlo en la web de RoadSurfer")</f>
        <v/>
      </c>
    </row>
    <row r="780">
      <c r="A780" t="inlineStr">
        <is>
          <t>Alemania</t>
        </is>
      </c>
      <c r="B780" t="inlineStr">
        <is>
          <t>Tréveris</t>
        </is>
      </c>
      <c r="C780" t="inlineStr">
        <is>
          <t>Alemania</t>
        </is>
      </c>
      <c r="D780" t="inlineStr">
        <is>
          <t>Heidelberg</t>
        </is>
      </c>
      <c r="E780" t="inlineStr">
        <is>
          <t>2026-04-24</t>
        </is>
      </c>
      <c r="F780" t="inlineStr">
        <is>
          <t>2026-05-01</t>
        </is>
      </c>
      <c r="G780" t="inlineStr">
        <is>
          <t xml:space="preserve"> - No hay coche</t>
        </is>
      </c>
      <c r="H780">
        <f>HYPERLINK("https://booking.roadsurfer.com/es/rally/pick?pickup_date=2026-04-24&amp;return_date=2026-05-01&amp;currency=EUR&amp;startStation=28&amp;endStation=79", "Clic para verlo en la web de RoadSurfer")</f>
        <v/>
      </c>
    </row>
    <row r="781">
      <c r="A781" t="inlineStr">
        <is>
          <t>Alemania</t>
        </is>
      </c>
      <c r="B781" t="inlineStr">
        <is>
          <t>Tréveris</t>
        </is>
      </c>
      <c r="C781" t="inlineStr">
        <is>
          <t>Alemania</t>
        </is>
      </c>
      <c r="D781" t="inlineStr">
        <is>
          <t>Flensburgo</t>
        </is>
      </c>
      <c r="E781" t="inlineStr">
        <is>
          <t>2026-05-30</t>
        </is>
      </c>
      <c r="F781" t="inlineStr">
        <is>
          <t>2026-06-06</t>
        </is>
      </c>
      <c r="G781" t="inlineStr">
        <is>
          <t xml:space="preserve"> - Family Finca</t>
        </is>
      </c>
      <c r="H781">
        <f>HYPERLINK("https://booking.roadsurfer.com/es/rally/pick?pickup_date=2026-05-30&amp;return_date=2026-06-06&amp;currency=EUR&amp;startStation=28&amp;endStation=130", "Clic para verlo en la web de RoadSurfer")</f>
        <v/>
      </c>
    </row>
    <row r="782">
      <c r="A782" t="inlineStr">
        <is>
          <t>Alemania</t>
        </is>
      </c>
      <c r="B782" t="inlineStr">
        <is>
          <t>Tréveris</t>
        </is>
      </c>
      <c r="C782" t="inlineStr">
        <is>
          <t>España</t>
        </is>
      </c>
      <c r="D782" t="inlineStr">
        <is>
          <t>Málaga</t>
        </is>
      </c>
      <c r="E782" t="inlineStr">
        <is>
          <t>2026-05-21</t>
        </is>
      </c>
      <c r="F782" t="inlineStr">
        <is>
          <t>2026-05-28</t>
        </is>
      </c>
      <c r="G782" t="inlineStr">
        <is>
          <t xml:space="preserve"> - Couple Cottage</t>
        </is>
      </c>
      <c r="H782">
        <f>HYPERLINK("https://booking.roadsurfer.com/es/rally/pick?pickup_date=2026-05-21&amp;return_date=2026-05-28&amp;currency=EUR&amp;startStation=28&amp;endStation=21", "Clic para verlo en la web de RoadSurfer")</f>
        <v/>
      </c>
    </row>
    <row r="783">
      <c r="A783" t="inlineStr">
        <is>
          <t>Italia</t>
        </is>
      </c>
      <c r="B783" t="inlineStr">
        <is>
          <t>Turín</t>
        </is>
      </c>
      <c r="C783" t="inlineStr">
        <is>
          <t>Alemania</t>
        </is>
      </c>
      <c r="D783" t="inlineStr">
        <is>
          <t>Wurzburgo</t>
        </is>
      </c>
      <c r="E783" t="inlineStr">
        <is>
          <t>2026-05-11</t>
        </is>
      </c>
      <c r="F783" t="inlineStr">
        <is>
          <t>2026-05-18</t>
        </is>
      </c>
      <c r="G783" t="inlineStr">
        <is>
          <t xml:space="preserve"> - Surfer Suite</t>
        </is>
      </c>
      <c r="H783">
        <f>HYPERLINK("https://booking.roadsurfer.com/es/rally/pick?pickup_date=2026-05-11&amp;return_date=2026-05-18&amp;currency=EUR&amp;startStation=58&amp;endStation=115", "Clic para verlo en la web de RoadSurfer")</f>
        <v/>
      </c>
    </row>
    <row r="784">
      <c r="A784" t="inlineStr">
        <is>
          <t>Italia</t>
        </is>
      </c>
      <c r="B784" t="inlineStr">
        <is>
          <t>Turín</t>
        </is>
      </c>
      <c r="C784" t="inlineStr">
        <is>
          <t>Alemania</t>
        </is>
      </c>
      <c r="D784" t="inlineStr">
        <is>
          <t>Wurzburgo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Road House</t>
        </is>
      </c>
      <c r="H784">
        <f>HYPERLINK("https://booking.roadsurfer.com/es/rally/pick?pickup_date=2026-05-04&amp;return_date=2026-05-11&amp;currency=EUR&amp;startStation=58&amp;endStation=115", "Clic para verlo en la web de RoadSurfer")</f>
        <v/>
      </c>
    </row>
    <row r="785">
      <c r="A785" t="inlineStr">
        <is>
          <t>Italia</t>
        </is>
      </c>
      <c r="B785" t="inlineStr">
        <is>
          <t>Turín</t>
        </is>
      </c>
      <c r="C785" t="inlineStr">
        <is>
          <t>Alemania</t>
        </is>
      </c>
      <c r="D785" t="inlineStr">
        <is>
          <t>Wurzburgo</t>
        </is>
      </c>
      <c r="E785" t="inlineStr">
        <is>
          <t>2026-04-30</t>
        </is>
      </c>
      <c r="F785" t="inlineStr">
        <is>
          <t>2026-05-07</t>
        </is>
      </c>
      <c r="G785" t="inlineStr">
        <is>
          <t xml:space="preserve"> - No hay coche</t>
        </is>
      </c>
      <c r="H785">
        <f>HYPERLINK("https://booking.roadsurfer.com/es/rally/pick?pickup_date=2026-04-30&amp;return_date=2026-05-07&amp;currency=EUR&amp;startStation=58&amp;endStation=115", "Clic para verlo en la web de RoadSurfer")</f>
        <v/>
      </c>
    </row>
    <row r="786">
      <c r="A786" t="inlineStr">
        <is>
          <t>Italia</t>
        </is>
      </c>
      <c r="B786" t="inlineStr">
        <is>
          <t>Turín</t>
        </is>
      </c>
      <c r="C786" t="inlineStr">
        <is>
          <t>Alemania</t>
        </is>
      </c>
      <c r="D786" t="inlineStr">
        <is>
          <t>Dresde</t>
        </is>
      </c>
      <c r="E786" t="inlineStr">
        <is>
          <t>2026-04-27</t>
        </is>
      </c>
      <c r="F786" t="inlineStr">
        <is>
          <t>2026-05-04</t>
        </is>
      </c>
      <c r="G786" t="inlineStr">
        <is>
          <t xml:space="preserve"> - Family Finca</t>
        </is>
      </c>
      <c r="H786">
        <f>HYPERLINK("https://booking.roadsurfer.com/es/rally/pick?pickup_date=2026-04-27&amp;return_date=2026-05-04&amp;currency=EUR&amp;startStation=58&amp;endStation=56", "Clic para verlo en la web de RoadSurfer")</f>
        <v/>
      </c>
    </row>
    <row r="787">
      <c r="A787" t="inlineStr">
        <is>
          <t>Alemania</t>
        </is>
      </c>
      <c r="B787" t="inlineStr">
        <is>
          <t>Ulm</t>
        </is>
      </c>
      <c r="C787" t="inlineStr">
        <is>
          <t>Francia</t>
        </is>
      </c>
      <c r="D787" t="inlineStr">
        <is>
          <t>París Sur (Orly)</t>
        </is>
      </c>
      <c r="E787" t="inlineStr">
        <is>
          <t>2026-05-04</t>
        </is>
      </c>
      <c r="F787" t="inlineStr">
        <is>
          <t>2026-05-11</t>
        </is>
      </c>
      <c r="G787" t="inlineStr">
        <is>
          <t xml:space="preserve"> - Camper Cabin</t>
        </is>
      </c>
      <c r="H787">
        <f>HYPERLINK("https://booking.roadsurfer.com/es/rally/pick?pickup_date=2026-05-04&amp;return_date=2026-05-11&amp;currency=EUR&amp;startStation=112&amp;endStation=12", "Clic para verlo en la web de RoadSurfer")</f>
        <v/>
      </c>
    </row>
    <row r="788">
      <c r="A788" t="inlineStr">
        <is>
          <t>Alemania</t>
        </is>
      </c>
      <c r="B788" t="inlineStr">
        <is>
          <t>Ulm</t>
        </is>
      </c>
      <c r="C788" t="inlineStr">
        <is>
          <t>Suecia</t>
        </is>
      </c>
      <c r="D788" t="inlineStr">
        <is>
          <t>Gotemburgo</t>
        </is>
      </c>
      <c r="E788" t="inlineStr">
        <is>
          <t>2026-04-25</t>
        </is>
      </c>
      <c r="F788" t="inlineStr">
        <is>
          <t>2026-05-02</t>
        </is>
      </c>
      <c r="G788" t="inlineStr">
        <is>
          <t xml:space="preserve"> - No hay coche</t>
        </is>
      </c>
      <c r="H788">
        <f>HYPERLINK("https://booking.roadsurfer.com/es/rally/pick?pickup_date=2026-04-25&amp;return_date=2026-05-02&amp;currency=EUR&amp;startStation=112&amp;endStation=77", "Clic para verlo en la web de RoadSurfer")</f>
        <v/>
      </c>
    </row>
    <row r="789">
      <c r="A789" t="inlineStr">
        <is>
          <t>Alemania</t>
        </is>
      </c>
      <c r="B789" t="inlineStr">
        <is>
          <t>Ulm</t>
        </is>
      </c>
      <c r="C789" t="inlineStr">
        <is>
          <t>Suecia</t>
        </is>
      </c>
      <c r="D789" t="inlineStr">
        <is>
          <t>Gotemburgo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Family Finca</t>
        </is>
      </c>
      <c r="H789">
        <f>HYPERLINK("https://booking.roadsurfer.com/es/rally/pick?pickup_date=2026-04-27&amp;return_date=2026-05-04&amp;currency=EUR&amp;startStation=112&amp;endStation=77", "Clic para verlo en la web de RoadSurfer")</f>
        <v/>
      </c>
    </row>
    <row r="790">
      <c r="A790" t="inlineStr">
        <is>
          <t>España</t>
        </is>
      </c>
      <c r="B790" t="inlineStr">
        <is>
          <t>Valencia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2026-05-05</t>
        </is>
      </c>
      <c r="F790" t="inlineStr">
        <is>
          <t>2026-05-12</t>
        </is>
      </c>
      <c r="G790" t="inlineStr">
        <is>
          <t xml:space="preserve"> - Camper Castle</t>
        </is>
      </c>
      <c r="H790">
        <f>HYPERLINK("https://booking.roadsurfer.com/es/rally/pick?pickup_date=2026-05-05&amp;return_date=2026-05-12&amp;currency=EUR&amp;startStation=38&amp;endStation=22", "Clic para verlo en la web de RoadSurfer")</f>
        <v/>
      </c>
    </row>
    <row r="791">
      <c r="A791" t="inlineStr">
        <is>
          <t>España</t>
        </is>
      </c>
      <c r="B791" t="inlineStr">
        <is>
          <t>Valencia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2026-05-13</t>
        </is>
      </c>
      <c r="F791" t="inlineStr">
        <is>
          <t>2026-05-20</t>
        </is>
      </c>
      <c r="G791" t="inlineStr">
        <is>
          <t xml:space="preserve"> - Family Finca</t>
        </is>
      </c>
      <c r="H791">
        <f>HYPERLINK("https://booking.roadsurfer.com/es/rally/pick?pickup_date=2026-05-13&amp;return_date=2026-05-20&amp;currency=EUR&amp;startStation=38&amp;endStation=22", "Clic para verlo en la web de RoadSurfer")</f>
        <v/>
      </c>
    </row>
    <row r="792">
      <c r="A792" t="inlineStr">
        <is>
          <t>España</t>
        </is>
      </c>
      <c r="B792" t="inlineStr">
        <is>
          <t>Valencia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2026-05-08</t>
        </is>
      </c>
      <c r="F792" t="inlineStr">
        <is>
          <t>2026-05-15</t>
        </is>
      </c>
      <c r="G792" t="inlineStr">
        <is>
          <t xml:space="preserve"> - Beach Hostel</t>
        </is>
      </c>
      <c r="H792">
        <f>HYPERLINK("https://booking.roadsurfer.com/es/rally/pick?pickup_date=2026-05-08&amp;return_date=2026-05-15&amp;currency=EUR&amp;startStation=38&amp;endStation=22", "Clic para verlo en la web de RoadSurfer")</f>
        <v/>
      </c>
    </row>
    <row r="793">
      <c r="A793" t="inlineStr">
        <is>
          <t>España</t>
        </is>
      </c>
      <c r="B793" t="inlineStr">
        <is>
          <t>Valencia</t>
        </is>
      </c>
      <c r="C793" t="inlineStr">
        <is>
          <t>Alemania</t>
        </is>
      </c>
      <c r="D793" t="inlineStr">
        <is>
          <t>Wurzburgo</t>
        </is>
      </c>
      <c r="E793" t="inlineStr">
        <is>
          <t>2026-05-04</t>
        </is>
      </c>
      <c r="F793" t="inlineStr">
        <is>
          <t>2026-05-11</t>
        </is>
      </c>
      <c r="G793" t="inlineStr">
        <is>
          <t xml:space="preserve"> - Road House</t>
        </is>
      </c>
      <c r="H793">
        <f>HYPERLINK("https://booking.roadsurfer.com/es/rally/pick?pickup_date=2026-05-04&amp;return_date=2026-05-11&amp;currency=EUR&amp;startStation=38&amp;endStation=115", "Clic para verlo en la web de RoadSurfer")</f>
        <v/>
      </c>
    </row>
    <row r="794">
      <c r="A794" t="inlineStr">
        <is>
          <t>España</t>
        </is>
      </c>
      <c r="B794" t="inlineStr">
        <is>
          <t>Valencia</t>
        </is>
      </c>
      <c r="C794" t="inlineStr">
        <is>
          <t>Alemania</t>
        </is>
      </c>
      <c r="D794" t="inlineStr">
        <is>
          <t>Núremberg</t>
        </is>
      </c>
      <c r="E794" t="inlineStr">
        <is>
          <t>2026-04-28</t>
        </is>
      </c>
      <c r="F794" t="inlineStr">
        <is>
          <t>2026-05-05</t>
        </is>
      </c>
      <c r="G794" t="inlineStr">
        <is>
          <t xml:space="preserve"> - Road House</t>
        </is>
      </c>
      <c r="H794">
        <f>HYPERLINK("https://booking.roadsurfer.com/es/rally/pick?pickup_date=2026-04-28&amp;return_date=2026-05-05&amp;currency=EUR&amp;startStation=38&amp;endStation=11", "Clic para verlo en la web de RoadSurfer")</f>
        <v/>
      </c>
    </row>
    <row r="795">
      <c r="A795" t="inlineStr">
        <is>
          <t>España</t>
        </is>
      </c>
      <c r="B795" t="inlineStr">
        <is>
          <t>Valencia</t>
        </is>
      </c>
      <c r="C795" t="inlineStr">
        <is>
          <t>Alemania</t>
        </is>
      </c>
      <c r="D795" t="inlineStr">
        <is>
          <t>Maguncia</t>
        </is>
      </c>
      <c r="E795" t="inlineStr">
        <is>
          <t>2026-05-14</t>
        </is>
      </c>
      <c r="F795" t="inlineStr">
        <is>
          <t>2026-05-21</t>
        </is>
      </c>
      <c r="G795" t="inlineStr">
        <is>
          <t xml:space="preserve"> - Couple Cottage</t>
        </is>
      </c>
      <c r="H795">
        <f>HYPERLINK("https://booking.roadsurfer.com/es/rally/pick?pickup_date=2026-05-14&amp;return_date=2026-05-21&amp;currency=EUR&amp;startStation=38&amp;endStation=54", "Clic para verlo en la web de RoadSurfer")</f>
        <v/>
      </c>
    </row>
    <row r="796">
      <c r="A796" t="inlineStr">
        <is>
          <t>Italia</t>
        </is>
      </c>
      <c r="B796" t="inlineStr">
        <is>
          <t>Venecia</t>
        </is>
      </c>
      <c r="C796" t="inlineStr">
        <is>
          <t>Italia</t>
        </is>
      </c>
      <c r="D796" t="inlineStr">
        <is>
          <t>Bérgamo</t>
        </is>
      </c>
      <c r="E796" t="inlineStr">
        <is>
          <t>2026-04-29</t>
        </is>
      </c>
      <c r="F796" t="inlineStr">
        <is>
          <t>2026-05-06</t>
        </is>
      </c>
      <c r="G796" t="inlineStr">
        <is>
          <t xml:space="preserve"> - Surfer Suite</t>
        </is>
      </c>
      <c r="H796">
        <f>HYPERLINK("https://booking.roadsurfer.com/es/rally/pick?pickup_date=2026-04-29&amp;return_date=2026-05-06&amp;currency=EUR&amp;startStation=78&amp;endStation=94", "Clic para verlo en la web de RoadSurfer")</f>
        <v/>
      </c>
    </row>
    <row r="797">
      <c r="A797" t="inlineStr">
        <is>
          <t>Italia</t>
        </is>
      </c>
      <c r="B797" t="inlineStr">
        <is>
          <t>Venecia</t>
        </is>
      </c>
      <c r="C797" t="inlineStr">
        <is>
          <t>Alemania</t>
        </is>
      </c>
      <c r="D797" t="inlineStr">
        <is>
          <t>Núremberg</t>
        </is>
      </c>
      <c r="E797" t="inlineStr">
        <is>
          <t>2026-05-11</t>
        </is>
      </c>
      <c r="F797" t="inlineStr">
        <is>
          <t>2026-05-18</t>
        </is>
      </c>
      <c r="G797" t="inlineStr">
        <is>
          <t xml:space="preserve"> - Surfer Suite</t>
        </is>
      </c>
      <c r="H797">
        <f>HYPERLINK("https://booking.roadsurfer.com/es/rally/pick?pickup_date=2026-05-11&amp;return_date=2026-05-18&amp;currency=EUR&amp;startStation=78&amp;endStation=11", "Clic para verlo en la web de RoadSurfer")</f>
        <v/>
      </c>
    </row>
    <row r="798">
      <c r="A798" t="inlineStr">
        <is>
          <t>Italia</t>
        </is>
      </c>
      <c r="B798" t="inlineStr">
        <is>
          <t>Venecia</t>
        </is>
      </c>
      <c r="C798" t="inlineStr">
        <is>
          <t>Alemania</t>
        </is>
      </c>
      <c r="D798" t="inlineStr">
        <is>
          <t>Núremberg</t>
        </is>
      </c>
      <c r="E798" t="inlineStr">
        <is>
          <t>2026-05-18</t>
        </is>
      </c>
      <c r="F798" t="inlineStr">
        <is>
          <t>2026-05-25</t>
        </is>
      </c>
      <c r="G798" t="inlineStr">
        <is>
          <t xml:space="preserve"> - No hay coche</t>
        </is>
      </c>
      <c r="H798">
        <f>HYPERLINK("https://booking.roadsurfer.com/es/rally/pick?pickup_date=2026-05-18&amp;return_date=2026-05-25&amp;currency=EUR&amp;startStation=78&amp;endStation=11", "Clic para verlo en la web de RoadSurfer")</f>
        <v/>
      </c>
    </row>
    <row r="799">
      <c r="A799" t="inlineStr">
        <is>
          <t>Italia</t>
        </is>
      </c>
      <c r="B799" t="inlineStr">
        <is>
          <t>Venecia</t>
        </is>
      </c>
      <c r="C799" t="inlineStr">
        <is>
          <t>Alemania</t>
        </is>
      </c>
      <c r="D799" t="inlineStr">
        <is>
          <t>Tréveris</t>
        </is>
      </c>
      <c r="E799" t="inlineStr">
        <is>
          <t>2026-05-14</t>
        </is>
      </c>
      <c r="F799" t="inlineStr">
        <is>
          <t>2026-05-21</t>
        </is>
      </c>
      <c r="G799" t="inlineStr">
        <is>
          <t xml:space="preserve"> - Camper Cabin</t>
        </is>
      </c>
      <c r="H799">
        <f>HYPERLINK("https://booking.roadsurfer.com/es/rally/pick?pickup_date=2026-05-14&amp;return_date=2026-05-21&amp;currency=EUR&amp;startStation=78&amp;endStation=28",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Tréveris</t>
        </is>
      </c>
      <c r="E800" t="inlineStr">
        <is>
          <t>2026-05-13</t>
        </is>
      </c>
      <c r="F800" t="inlineStr">
        <is>
          <t>2026-05-20</t>
        </is>
      </c>
      <c r="G800" t="inlineStr">
        <is>
          <t xml:space="preserve"> - Road House</t>
        </is>
      </c>
      <c r="H800">
        <f>HYPERLINK("https://booking.roadsurfer.com/es/rally/pick?pickup_date=2026-05-13&amp;return_date=2026-05-20&amp;currency=EUR&amp;startStation=78&amp;endStation=28",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Wurzburgo</t>
        </is>
      </c>
      <c r="E801" t="inlineStr">
        <is>
          <t>2026-05-13</t>
        </is>
      </c>
      <c r="F801" t="inlineStr">
        <is>
          <t>2026-05-20</t>
        </is>
      </c>
      <c r="G801" t="inlineStr">
        <is>
          <t xml:space="preserve"> - Road House</t>
        </is>
      </c>
      <c r="H801">
        <f>HYPERLINK("https://booking.roadsurfer.com/es/rally/pick?pickup_date=2026-05-13&amp;return_date=2026-05-20&amp;currency=EUR&amp;startStation=78&amp;endStation=115",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Leipzig</t>
        </is>
      </c>
      <c r="E802" t="inlineStr">
        <is>
          <t>2026-05-06</t>
        </is>
      </c>
      <c r="F802" t="inlineStr">
        <is>
          <t>2026-05-13</t>
        </is>
      </c>
      <c r="G802" t="inlineStr">
        <is>
          <t xml:space="preserve"> - Road House</t>
        </is>
      </c>
      <c r="H802">
        <f>HYPERLINK("https://booking.roadsurfer.com/es/rally/pick?pickup_date=2026-05-06&amp;return_date=2026-05-13&amp;currency=EUR&amp;startStation=78&amp;endStation=8",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Dresde</t>
        </is>
      </c>
      <c r="E803" t="inlineStr">
        <is>
          <t>2026-05-04</t>
        </is>
      </c>
      <c r="F803" t="inlineStr">
        <is>
          <t>2026-05-11</t>
        </is>
      </c>
      <c r="G803" t="inlineStr">
        <is>
          <t xml:space="preserve"> - Road House</t>
        </is>
      </c>
      <c r="H803">
        <f>HYPERLINK("https://booking.roadsurfer.com/es/rally/pick?pickup_date=2026-05-04&amp;return_date=2026-05-11&amp;currency=EUR&amp;startStation=78&amp;endStation=56",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Dresde</t>
        </is>
      </c>
      <c r="E804" t="inlineStr">
        <is>
          <t>2026-05-11</t>
        </is>
      </c>
      <c r="F804" t="inlineStr">
        <is>
          <t>2026-05-18</t>
        </is>
      </c>
      <c r="G804" t="inlineStr">
        <is>
          <t xml:space="preserve"> - Road House</t>
        </is>
      </c>
      <c r="H804">
        <f>HYPERLINK("https://booking.roadsurfer.com/es/rally/pick?pickup_date=2026-05-11&amp;return_date=2026-05-18&amp;currency=EUR&amp;startStation=78&amp;endStation=56",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Friburgo-Basilea (Alemania)</t>
        </is>
      </c>
      <c r="E805" t="inlineStr">
        <is>
          <t>2026-06-01</t>
        </is>
      </c>
      <c r="F805" t="inlineStr">
        <is>
          <t>2026-06-08</t>
        </is>
      </c>
      <c r="G805" t="inlineStr">
        <is>
          <t xml:space="preserve"> - Couple Cottage</t>
        </is>
      </c>
      <c r="H805">
        <f>HYPERLINK("https://booking.roadsurfer.com/es/rally/pick?pickup_date=2026-06-01&amp;return_date=2026-06-08&amp;currency=EUR&amp;startStation=78&amp;endStation=9",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Múnich</t>
        </is>
      </c>
      <c r="E806" t="inlineStr">
        <is>
          <t>2026-04-22</t>
        </is>
      </c>
      <c r="F806" t="inlineStr">
        <is>
          <t>2026-04-29</t>
        </is>
      </c>
      <c r="G806" t="inlineStr">
        <is>
          <t xml:space="preserve"> - Couple Cottage</t>
        </is>
      </c>
      <c r="H806">
        <f>HYPERLINK("https://booking.roadsurfer.com/es/rally/pick?pickup_date=2026-04-22&amp;return_date=2026-04-29&amp;currency=EUR&amp;startStation=78&amp;endStation=1",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Múnich</t>
        </is>
      </c>
      <c r="E807" t="inlineStr">
        <is>
          <t>2026-04-27</t>
        </is>
      </c>
      <c r="F807" t="inlineStr">
        <is>
          <t>2026-05-04</t>
        </is>
      </c>
      <c r="G807" t="inlineStr">
        <is>
          <t xml:space="preserve"> - Cozy Cottage</t>
        </is>
      </c>
      <c r="H807">
        <f>HYPERLINK("https://booking.roadsurfer.com/es/rally/pick?pickup_date=2026-04-27&amp;return_date=2026-05-04&amp;currency=EUR&amp;startStation=78&amp;endStation=1",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2026-05-04</t>
        </is>
      </c>
      <c r="F808" t="inlineStr">
        <is>
          <t>2026-05-11</t>
        </is>
      </c>
      <c r="G808" t="inlineStr">
        <is>
          <t xml:space="preserve"> - Sunrise Suite</t>
        </is>
      </c>
      <c r="H808">
        <f>HYPERLINK("https://booking.roadsurfer.com/es/rally/pick?pickup_date=2026-05-04&amp;return_date=2026-05-11&amp;currency=EUR&amp;startStation=78&amp;endStation=22",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2026-04-23</t>
        </is>
      </c>
      <c r="F809" t="inlineStr">
        <is>
          <t>2026-04-30</t>
        </is>
      </c>
      <c r="G809" t="inlineStr">
        <is>
          <t xml:space="preserve"> - Sunrise Suite</t>
        </is>
      </c>
      <c r="H809">
        <f>HYPERLINK("https://booking.roadsurfer.com/es/rally/pick?pickup_date=2026-04-23&amp;return_date=2026-04-30&amp;currency=EUR&amp;startStation=78&amp;endStation=90", "Clic para verlo en la web de RoadSurfer")</f>
        <v/>
      </c>
    </row>
    <row r="810">
      <c r="A810" t="inlineStr">
        <is>
          <t>Austria</t>
        </is>
      </c>
      <c r="B810" t="inlineStr">
        <is>
          <t>Viena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2026-05-15</t>
        </is>
      </c>
      <c r="F810" t="inlineStr">
        <is>
          <t>2026-05-22</t>
        </is>
      </c>
      <c r="G810" t="inlineStr">
        <is>
          <t xml:space="preserve"> - Road House</t>
        </is>
      </c>
      <c r="H810">
        <f>HYPERLINK("https://booking.roadsurfer.com/es/rally/pick?pickup_date=2026-05-15&amp;return_date=2026-05-22&amp;currency=EUR&amp;startStation=36&amp;endStation=90", "Clic para verlo en la web de RoadSurfer")</f>
        <v/>
      </c>
    </row>
    <row r="811">
      <c r="A811" t="inlineStr">
        <is>
          <t>Austria</t>
        </is>
      </c>
      <c r="B811" t="inlineStr">
        <is>
          <t>Viena</t>
        </is>
      </c>
      <c r="C811" t="inlineStr">
        <is>
          <t>Alemania</t>
        </is>
      </c>
      <c r="D811" t="inlineStr">
        <is>
          <t>Erfurt</t>
        </is>
      </c>
      <c r="E811" t="inlineStr">
        <is>
          <t>2026-05-16</t>
        </is>
      </c>
      <c r="F811" t="inlineStr">
        <is>
          <t>2026-05-23</t>
        </is>
      </c>
      <c r="G811" t="inlineStr">
        <is>
          <t xml:space="preserve"> - Couple Cottage</t>
        </is>
      </c>
      <c r="H811">
        <f>HYPERLINK("https://booking.roadsurfer.com/es/rally/pick?pickup_date=2026-05-16&amp;return_date=2026-05-23&amp;currency=EUR&amp;startStation=36&amp;endStation=90", "Clic para verlo en la web de RoadSurfer")</f>
        <v/>
      </c>
    </row>
    <row r="812">
      <c r="A812" t="inlineStr">
        <is>
          <t>Austria</t>
        </is>
      </c>
      <c r="B812" t="inlineStr">
        <is>
          <t>Viena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2026-05-04</t>
        </is>
      </c>
      <c r="F812" t="inlineStr">
        <is>
          <t>2026-05-11</t>
        </is>
      </c>
      <c r="G812" t="inlineStr">
        <is>
          <t xml:space="preserve"> - Couple Cottage</t>
        </is>
      </c>
      <c r="H812">
        <f>HYPERLINK("https://booking.roadsurfer.com/es/rally/pick?pickup_date=2026-05-04&amp;return_date=2026-05-11&amp;currency=EUR&amp;startStation=36&amp;endStation=22", "Clic para verlo en la web de RoadSurfer")</f>
        <v/>
      </c>
    </row>
    <row r="813">
      <c r="A813" t="inlineStr">
        <is>
          <t>Austria</t>
        </is>
      </c>
      <c r="B813" t="inlineStr">
        <is>
          <t>Viena</t>
        </is>
      </c>
      <c r="C813" t="inlineStr">
        <is>
          <t>Alemania</t>
        </is>
      </c>
      <c r="D813" t="inlineStr">
        <is>
          <t>Karlsruhe</t>
        </is>
      </c>
      <c r="E813" t="inlineStr">
        <is>
          <t>2026-06-12</t>
        </is>
      </c>
      <c r="F813" t="inlineStr">
        <is>
          <t>2026-06-19</t>
        </is>
      </c>
      <c r="G813" t="inlineStr">
        <is>
          <t xml:space="preserve"> - Cozy Cottage</t>
        </is>
      </c>
      <c r="H813">
        <f>HYPERLINK("https://booking.roadsurfer.com/es/rally/pick?pickup_date=2026-06-12&amp;return_date=2026-06-19&amp;currency=EUR&amp;startStation=36&amp;endStation=110", "Clic para verlo en la web de RoadSurfer")</f>
        <v/>
      </c>
    </row>
    <row r="814">
      <c r="A814" t="inlineStr">
        <is>
          <t>Austria</t>
        </is>
      </c>
      <c r="B814" t="inlineStr">
        <is>
          <t>Viena Sur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2026-05-06</t>
        </is>
      </c>
      <c r="F814" t="inlineStr">
        <is>
          <t>2026-05-13</t>
        </is>
      </c>
      <c r="G814" t="inlineStr">
        <is>
          <t xml:space="preserve"> - No hay coche</t>
        </is>
      </c>
      <c r="H814">
        <f>HYPERLINK("https://booking.roadsurfer.com/es/rally/pick?pickup_date=2026-05-06&amp;return_date=2026-05-13&amp;currency=EUR&amp;startStation=45&amp;endStation=22", "Clic para verlo en la web de RoadSurfer")</f>
        <v/>
      </c>
    </row>
    <row r="815">
      <c r="A815" t="inlineStr">
        <is>
          <t>Austria</t>
        </is>
      </c>
      <c r="B815" t="inlineStr">
        <is>
          <t>Viena Sur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2026-05-19</t>
        </is>
      </c>
      <c r="F815" t="inlineStr">
        <is>
          <t>2026-05-26</t>
        </is>
      </c>
      <c r="G815" t="inlineStr">
        <is>
          <t xml:space="preserve"> - Couple Cottage</t>
        </is>
      </c>
      <c r="H815">
        <f>HYPERLINK("https://booking.roadsurfer.com/es/rally/pick?pickup_date=2026-05-19&amp;return_date=2026-05-26&amp;currency=EUR&amp;startStation=45&amp;endStation=22", "Clic para verlo en la web de RoadSurfer")</f>
        <v/>
      </c>
    </row>
    <row r="816">
      <c r="A816" t="inlineStr">
        <is>
          <t>Austria</t>
        </is>
      </c>
      <c r="B816" t="inlineStr">
        <is>
          <t>Viena Sur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2026-04-28</t>
        </is>
      </c>
      <c r="F816" t="inlineStr">
        <is>
          <t>2026-05-05</t>
        </is>
      </c>
      <c r="G816" t="inlineStr">
        <is>
          <t xml:space="preserve"> - Family Finca</t>
        </is>
      </c>
      <c r="H816">
        <f>HYPERLINK("https://booking.roadsurfer.com/es/rally/pick?pickup_date=2026-04-28&amp;return_date=2026-05-05&amp;currency=EUR&amp;startStation=45&amp;endStation=8", "Clic para verlo en la web de RoadSurfer")</f>
        <v/>
      </c>
    </row>
    <row r="817">
      <c r="A817" t="inlineStr">
        <is>
          <t>Austria</t>
        </is>
      </c>
      <c r="B817" t="inlineStr">
        <is>
          <t>Viena Sur</t>
        </is>
      </c>
      <c r="C817" t="inlineStr">
        <is>
          <t>Alemania</t>
        </is>
      </c>
      <c r="D817" t="inlineStr">
        <is>
          <t>Augsburgo</t>
        </is>
      </c>
      <c r="E817" t="inlineStr">
        <is>
          <t>2026-04-27</t>
        </is>
      </c>
      <c r="F817" t="inlineStr">
        <is>
          <t>2026-05-04</t>
        </is>
      </c>
      <c r="G817" t="inlineStr">
        <is>
          <t xml:space="preserve"> - Couple Cottage</t>
        </is>
      </c>
      <c r="H817">
        <f>HYPERLINK("https://booking.roadsurfer.com/es/rally/pick?pickup_date=2026-04-27&amp;return_date=2026-05-04&amp;currency=EUR&amp;startStation=45&amp;endStation=108", "Clic para verlo en la web de RoadSurfer")</f>
        <v/>
      </c>
    </row>
    <row r="818">
      <c r="A818" t="inlineStr">
        <is>
          <t>Austria</t>
        </is>
      </c>
      <c r="B818" t="inlineStr">
        <is>
          <t>Viena Sur</t>
        </is>
      </c>
      <c r="C818" t="inlineStr">
        <is>
          <t>Alemania</t>
        </is>
      </c>
      <c r="D818" t="inlineStr">
        <is>
          <t>Erfurt</t>
        </is>
      </c>
      <c r="E818" t="inlineStr">
        <is>
          <t>2026-04-25</t>
        </is>
      </c>
      <c r="F818" t="inlineStr">
        <is>
          <t>2026-05-02</t>
        </is>
      </c>
      <c r="G818" t="inlineStr">
        <is>
          <t xml:space="preserve"> - Couple Cottage</t>
        </is>
      </c>
      <c r="H818">
        <f>HYPERLINK("https://booking.roadsurfer.com/es/rally/pick?pickup_date=2026-04-25&amp;return_date=2026-05-02&amp;currency=EUR&amp;startStation=45&amp;endStation=90", "Clic para verlo en la web de RoadSurfer")</f>
        <v/>
      </c>
    </row>
    <row r="819">
      <c r="A819" t="inlineStr">
        <is>
          <t>Austria</t>
        </is>
      </c>
      <c r="B819" t="inlineStr">
        <is>
          <t>Viena Sur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2026-04-27</t>
        </is>
      </c>
      <c r="F819" t="inlineStr">
        <is>
          <t>2026-05-04</t>
        </is>
      </c>
      <c r="G819" t="inlineStr">
        <is>
          <t xml:space="preserve"> - Cozy Cottage</t>
        </is>
      </c>
      <c r="H819">
        <f>HYPERLINK("https://booking.roadsurfer.com/es/rally/pick?pickup_date=2026-04-27&amp;return_date=2026-05-04&amp;currency=EUR&amp;startStation=45&amp;endStation=11", "Clic para verlo en la web de RoadSurfer")</f>
        <v/>
      </c>
    </row>
    <row r="820">
      <c r="A820" t="inlineStr">
        <is>
          <t>Alemania</t>
        </is>
      </c>
      <c r="B820" t="inlineStr">
        <is>
          <t>Wurzburgo</t>
        </is>
      </c>
      <c r="C820" t="inlineStr">
        <is>
          <t>Francia</t>
        </is>
      </c>
      <c r="D820" t="inlineStr">
        <is>
          <t>Toulouse</t>
        </is>
      </c>
      <c r="E820" t="inlineStr">
        <is>
          <t>2026-06-22</t>
        </is>
      </c>
      <c r="F820" t="inlineStr">
        <is>
          <t>2026-06-29</t>
        </is>
      </c>
      <c r="G820" t="inlineStr">
        <is>
          <t xml:space="preserve"> - Surfer Suite</t>
        </is>
      </c>
      <c r="H820">
        <f>HYPERLINK("https://booking.roadsurfer.com/es/rally/pick?pickup_date=2026-06-22&amp;return_date=2026-06-29&amp;currency=EUR&amp;startStation=115&amp;endStation=30", "Clic para verlo en la web de RoadSurfer")</f>
        <v/>
      </c>
    </row>
    <row r="821">
      <c r="A821" t="inlineStr">
        <is>
          <t>Alemania</t>
        </is>
      </c>
      <c r="B821" t="inlineStr">
        <is>
          <t>Wurzburgo</t>
        </is>
      </c>
      <c r="C821" t="inlineStr">
        <is>
          <t>Alemania</t>
        </is>
      </c>
      <c r="D821" t="inlineStr">
        <is>
          <t>Braunschweig</t>
        </is>
      </c>
      <c r="E821" t="inlineStr">
        <is>
          <t>2026-04-27</t>
        </is>
      </c>
      <c r="F821" t="inlineStr">
        <is>
          <t>2026-05-04</t>
        </is>
      </c>
      <c r="G821" t="inlineStr">
        <is>
          <t xml:space="preserve"> - Camper Castle</t>
        </is>
      </c>
      <c r="H821">
        <f>HYPERLINK("https://booking.roadsurfer.com/es/rally/pick?pickup_date=2026-04-27&amp;return_date=2026-05-04&amp;currency=EUR&amp;startStation=115&amp;endStation=128", "Clic para verlo en la web de RoadSurfer")</f>
        <v/>
      </c>
    </row>
    <row r="822">
      <c r="A822" t="inlineStr">
        <is>
          <t>Alemania</t>
        </is>
      </c>
      <c r="B822" t="inlineStr">
        <is>
          <t>Wurzburgo</t>
        </is>
      </c>
      <c r="C822" t="inlineStr">
        <is>
          <t>España</t>
        </is>
      </c>
      <c r="D822" t="inlineStr">
        <is>
          <t>Barcelona</t>
        </is>
      </c>
      <c r="E822" t="inlineStr">
        <is>
          <t>2026-05-21</t>
        </is>
      </c>
      <c r="F822" t="inlineStr">
        <is>
          <t>2026-05-28</t>
        </is>
      </c>
      <c r="G822" t="inlineStr">
        <is>
          <t xml:space="preserve"> - Family Finca</t>
        </is>
      </c>
      <c r="H822">
        <f>HYPERLINK("https://booking.roadsurfer.com/es/rally/pick?pickup_date=2026-05-21&amp;return_date=2026-05-28&amp;currency=EUR&amp;startStation=115&amp;endStation=17", "Clic para verlo en la web de RoadSurfer")</f>
        <v/>
      </c>
    </row>
    <row r="823">
      <c r="A823" t="inlineStr">
        <is>
          <t>Alemania</t>
        </is>
      </c>
      <c r="B823" t="inlineStr">
        <is>
          <t>Wurzburgo</t>
        </is>
      </c>
      <c r="C823" t="inlineStr">
        <is>
          <t>España</t>
        </is>
      </c>
      <c r="D823" t="inlineStr">
        <is>
          <t>Barcelona</t>
        </is>
      </c>
      <c r="E823" t="inlineStr">
        <is>
          <t>2026-05-16</t>
        </is>
      </c>
      <c r="F823" t="inlineStr">
        <is>
          <t>2026-05-23</t>
        </is>
      </c>
      <c r="G823" t="inlineStr">
        <is>
          <t xml:space="preserve"> - Sunrise Suite</t>
        </is>
      </c>
      <c r="H823">
        <f>HYPERLINK("https://booking.roadsurfer.com/es/rally/pick?pickup_date=2026-05-16&amp;return_date=2026-05-23&amp;currency=EUR&amp;startStation=115&amp;endStation=17", "Clic para verlo en la web de RoadSurfer")</f>
        <v/>
      </c>
    </row>
    <row r="824">
      <c r="A824" t="inlineStr">
        <is>
          <t>Alemania</t>
        </is>
      </c>
      <c r="B824" t="inlineStr">
        <is>
          <t>Wurzburgo</t>
        </is>
      </c>
      <c r="C824" t="inlineStr">
        <is>
          <t>Países Bajos</t>
        </is>
      </c>
      <c r="D824" t="inlineStr">
        <is>
          <t>Ámsterdam</t>
        </is>
      </c>
      <c r="E824" t="inlineStr">
        <is>
          <t>2026-05-05</t>
        </is>
      </c>
      <c r="F824" t="inlineStr">
        <is>
          <t>2026-05-12</t>
        </is>
      </c>
      <c r="G824" t="inlineStr">
        <is>
          <t xml:space="preserve"> - Cozy Cottage</t>
        </is>
      </c>
      <c r="H824">
        <f>HYPERLINK("https://booking.roadsurfer.com/es/rally/pick?pickup_date=2026-05-05&amp;return_date=2026-05-12&amp;currency=EUR&amp;startStation=115&amp;endStation=32",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2026-04-20T15:35:02Z</dcterms:created>
  <dcterms:modified xsi:type="dcterms:W3CDTF">2026-04-20T15:35:02Z</dcterms:modified>
</cp:coreProperties>
</file>