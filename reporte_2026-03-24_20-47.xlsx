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Núremberg</t>
        </is>
      </c>
      <c r="E2" t="inlineStr">
        <is>
          <t>2026-04-15</t>
        </is>
      </c>
      <c r="F2" t="inlineStr">
        <is>
          <t>2026-04-22</t>
        </is>
      </c>
      <c r="G2" t="inlineStr">
        <is>
          <t xml:space="preserve"> - ROAD HOUSE</t>
        </is>
      </c>
      <c r="H2">
        <f>HYPERLINK("https://booking.roadsurfer.com/es/rally/pick?pickup_date=2026-04-15&amp;return_date=2026-04-22&amp;currency=EUR&amp;startStation=16&amp;endStation=11",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2026-04-14</t>
        </is>
      </c>
      <c r="F3" t="inlineStr">
        <is>
          <t>2026-04-21</t>
        </is>
      </c>
      <c r="G3" t="inlineStr">
        <is>
          <t xml:space="preserve"> - Road House</t>
        </is>
      </c>
      <c r="H3">
        <f>HYPERLINK("https://booking.roadsurfer.com/es/rally/pick?pickup_date=2026-04-14&amp;return_date=2026-04-21&amp;currency=EUR&amp;startStation=16&amp;endStation=56",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Aquisgrán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Camper Cabin</t>
        </is>
      </c>
      <c r="H4">
        <f>HYPERLINK("https://booking.roadsurfer.com/es/rally/pick?pickup_date=2026-05-04&amp;return_date=2026-05-11&amp;currency=EUR&amp;startStation=47&amp;endStation=114",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2026-04-06</t>
        </is>
      </c>
      <c r="F5" t="inlineStr">
        <is>
          <t>2026-04-13</t>
        </is>
      </c>
      <c r="G5" t="inlineStr">
        <is>
          <t xml:space="preserve"> - No hay coche</t>
        </is>
      </c>
      <c r="H5">
        <f>HYPERLINK("https://booking.roadsurfer.com/es/rally/pick?pickup_date=2026-04-06&amp;return_date=2026-04-13&amp;currency=EUR&amp;startStation=108&amp;endStation=12", "Clic para verlo en la web de RoadSurfer")</f>
        <v/>
      </c>
    </row>
    <row r="6">
      <c r="A6" t="inlineStr">
        <is>
          <t>Italia</t>
        </is>
      </c>
      <c r="B6" t="inlineStr">
        <is>
          <t>Bérgamo</t>
        </is>
      </c>
      <c r="C6" t="inlineStr">
        <is>
          <t>Italia</t>
        </is>
      </c>
      <c r="D6" t="inlineStr">
        <is>
          <t>Florencia</t>
        </is>
      </c>
      <c r="E6" t="inlineStr">
        <is>
          <t>2026-04-08</t>
        </is>
      </c>
      <c r="F6" t="inlineStr">
        <is>
          <t>2026-04-15</t>
        </is>
      </c>
      <c r="G6" t="inlineStr">
        <is>
          <t xml:space="preserve"> - Family Finca</t>
        </is>
      </c>
      <c r="H6">
        <f>HYPERLINK("https://booking.roadsurfer.com/es/rally/pick?pickup_date=2026-04-08&amp;return_date=2026-04-15&amp;currency=EUR&amp;startStation=94&amp;endStation=80",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Lille</t>
        </is>
      </c>
      <c r="E7" t="inlineStr">
        <is>
          <t>2026-04-10</t>
        </is>
      </c>
      <c r="F7" t="inlineStr">
        <is>
          <t>2026-04-17</t>
        </is>
      </c>
      <c r="G7" t="inlineStr">
        <is>
          <t xml:space="preserve"> - Surfer Suite</t>
        </is>
      </c>
      <c r="H7">
        <f>HYPERLINK("https://booking.roadsurfer.com/es/rally/pick?pickup_date=2026-04-10&amp;return_date=2026-04-17&amp;currency=EUR&amp;startStation=6&amp;endStation=87",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Países Bajos</t>
        </is>
      </c>
      <c r="D8" t="inlineStr">
        <is>
          <t>Ámsterdam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No hay coche</t>
        </is>
      </c>
      <c r="H8">
        <f>HYPERLINK("https://booking.roadsurfer.com/es/rally/pick?pickup_date=2026-04-20&amp;return_date=2026-04-27&amp;currency=EUR&amp;startStation=6&amp;endStation=32",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Francia</t>
        </is>
      </c>
      <c r="D9" t="inlineStr">
        <is>
          <t>Lyon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Cozy Cottage</t>
        </is>
      </c>
      <c r="H9">
        <f>HYPERLINK("https://booking.roadsurfer.com/es/rally/pick?pickup_date=2026-04-13&amp;return_date=2026-04-20&amp;currency=EUR&amp;startStation=6&amp;endStation=15",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HYPERLINK("https://booking.roadsurfer.com/es/rally/pick?pickup_date=2026-05-04&amp;return_date=2026-05-11&amp;currency=EUR&amp;startStation=6&amp;endStation=15",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Family Finca</t>
        </is>
      </c>
      <c r="H11">
        <f>HYPERLINK("https://booking.roadsurfer.com/es/rally/pick?pickup_date=2026-05-08&amp;return_date=2026-05-15&amp;currency=EUR&amp;startStation=6&amp;endStation=31",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Linz</t>
        </is>
      </c>
      <c r="E12" t="inlineStr">
        <is>
          <t>2026-03-26</t>
        </is>
      </c>
      <c r="F12" t="inlineStr">
        <is>
          <t>2026-04-02</t>
        </is>
      </c>
      <c r="G12" t="inlineStr">
        <is>
          <t xml:space="preserve"> - FAMILY FINCA</t>
        </is>
      </c>
      <c r="H12">
        <f>HYPERLINK("https://booking.roadsurfer.com/es/rally/pick?pickup_date=2026-03-26&amp;return_date=2026-04-02&amp;currency=EUR&amp;startStation=6&amp;endStation=116", "Clic para verlo en la web de RoadSurfer")</f>
        <v/>
      </c>
    </row>
    <row r="13">
      <c r="A13" t="inlineStr">
        <is>
          <t>Alemania</t>
        </is>
      </c>
      <c r="B13" t="inlineStr">
        <is>
          <t>Berlín-Schönefeld</t>
        </is>
      </c>
      <c r="C13" t="inlineStr">
        <is>
          <t>Alemania</t>
        </is>
      </c>
      <c r="D13" t="inlineStr">
        <is>
          <t>Lindau-Wangen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Surfer Suite</t>
        </is>
      </c>
      <c r="H13">
        <f>HYPERLINK("https://booking.roadsurfer.com/es/rally/pick?pickup_date=2026-04-14&amp;return_date=2026-04-21&amp;currency=EUR&amp;startStation=51&amp;endStation=117", "Clic para verlo en la web de RoadSurfer")</f>
        <v/>
      </c>
    </row>
    <row r="14">
      <c r="A14" t="inlineStr">
        <is>
          <t>Alemania</t>
        </is>
      </c>
      <c r="B14" t="inlineStr">
        <is>
          <t>Berlín-Schönefeld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Road House</t>
        </is>
      </c>
      <c r="H14">
        <f>HYPERLINK("https://booking.roadsurfer.com/es/rally/pick?pickup_date=2026-04-23&amp;return_date=2026-04-30&amp;currency=EUR&amp;startStation=51&amp;endStation=117",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Alemania</t>
        </is>
      </c>
      <c r="D15" t="inlineStr">
        <is>
          <t>Lindau-Wangen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Road House</t>
        </is>
      </c>
      <c r="H15">
        <f>HYPERLINK("https://booking.roadsurfer.com/es/rally/pick?pickup_date=2026-04-27&amp;return_date=2026-05-04&amp;currency=EUR&amp;startStation=51&amp;endStation=117",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SURFER SUITE</t>
        </is>
      </c>
      <c r="H16">
        <f>HYPERLINK("https://booking.roadsurfer.com/es/rally/pick?pickup_date=2026-05-04&amp;return_date=2026-05-11&amp;currency=EUR&amp;startStation=51&amp;endStation=80",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2026-04-11</t>
        </is>
      </c>
      <c r="F17" t="inlineStr">
        <is>
          <t>2026-04-18</t>
        </is>
      </c>
      <c r="G17" t="inlineStr">
        <is>
          <t xml:space="preserve"> - Road House</t>
        </is>
      </c>
      <c r="H17">
        <f>HYPERLINK("https://booking.roadsurfer.com/es/rally/pick?pickup_date=2026-04-11&amp;return_date=2026-04-18&amp;currency=EUR&amp;startStation=51&amp;endStation=59",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Sunrise Suite</t>
        </is>
      </c>
      <c r="H18">
        <f>HYPERLINK("https://booking.roadsurfer.com/es/rally/pick?pickup_date=2026-04-15&amp;return_date=2026-04-22&amp;currency=EUR&amp;startStation=51&amp;endStation=59",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Family Finca</t>
        </is>
      </c>
      <c r="H19">
        <f>HYPERLINK("https://booking.roadsurfer.com/es/rally/pick?pickup_date=2026-04-07&amp;return_date=2026-04-14&amp;currency=EUR&amp;startStation=51&amp;endStation=88",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2026-04-07</t>
        </is>
      </c>
      <c r="F20" t="inlineStr">
        <is>
          <t>2026-04-14</t>
        </is>
      </c>
      <c r="G20" t="inlineStr">
        <is>
          <t xml:space="preserve"> - Couple Cottage</t>
        </is>
      </c>
      <c r="H20">
        <f>HYPERLINK("https://booking.roadsurfer.com/es/rally/pick?pickup_date=2026-04-07&amp;return_date=2026-04-14&amp;currency=EUR&amp;startStation=51&amp;endStation=77",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Bélgica</t>
        </is>
      </c>
      <c r="D21" t="inlineStr">
        <is>
          <t>Amberes</t>
        </is>
      </c>
      <c r="E21" t="inlineStr">
        <is>
          <t>2026-03-30</t>
        </is>
      </c>
      <c r="F21" t="inlineStr">
        <is>
          <t>2026-04-06</t>
        </is>
      </c>
      <c r="G21" t="inlineStr">
        <is>
          <t xml:space="preserve"> - No hay coche</t>
        </is>
      </c>
      <c r="H21">
        <f>HYPERLINK("https://booking.roadsurfer.com/es/rally/pick?pickup_date=2026-03-30&amp;return_date=2026-04-06&amp;currency=EUR&amp;startStation=91&amp;endStation=47",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Camper Castle</t>
        </is>
      </c>
      <c r="H22">
        <f>HYPERLINK("https://booking.roadsurfer.com/es/rally/pick?pickup_date=2026-04-11&amp;return_date=2026-04-18&amp;currency=EUR&amp;startStation=91&amp;endStation=47", "Clic para verlo en la web de RoadSurfer")</f>
        <v/>
      </c>
    </row>
    <row r="23">
      <c r="A23" t="inlineStr">
        <is>
          <t>Alemania</t>
        </is>
      </c>
      <c r="B23" t="inlineStr">
        <is>
          <t>Bielefeld</t>
        </is>
      </c>
      <c r="C23" t="inlineStr">
        <is>
          <t>Francia</t>
        </is>
      </c>
      <c r="D23" t="inlineStr">
        <is>
          <t>París Sur (Orly)</t>
        </is>
      </c>
      <c r="E23" t="inlineStr">
        <is>
          <t>2026-04-04</t>
        </is>
      </c>
      <c r="F23" t="inlineStr">
        <is>
          <t>2026-04-11</t>
        </is>
      </c>
      <c r="G23" t="inlineStr">
        <is>
          <t xml:space="preserve"> - No hay coche</t>
        </is>
      </c>
      <c r="H23">
        <f>HYPERLINK("https://booking.roadsurfer.com/es/rally/pick?pickup_date=2026-04-04&amp;return_date=2026-04-11&amp;currency=EUR&amp;startStation=91&amp;endStation=12", "Clic para verlo en la web de RoadSurfer")</f>
        <v/>
      </c>
    </row>
    <row r="24">
      <c r="A24" t="inlineStr">
        <is>
          <t>Alemania</t>
        </is>
      </c>
      <c r="B24" t="inlineStr">
        <is>
          <t>Bielefeld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2026-04-18</t>
        </is>
      </c>
      <c r="F24" t="inlineStr">
        <is>
          <t>2026-04-25</t>
        </is>
      </c>
      <c r="G24" t="inlineStr">
        <is>
          <t xml:space="preserve"> - Surfer Suite</t>
        </is>
      </c>
      <c r="H24">
        <f>HYPERLINK("https://booking.roadsurfer.com/es/rally/pick?pickup_date=2026-04-18&amp;return_date=2026-04-25&amp;currency=EUR&amp;startStation=91&amp;endStation=12",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Francia</t>
        </is>
      </c>
      <c r="D25" t="inlineStr">
        <is>
          <t>París Aeropuerto CDG</t>
        </is>
      </c>
      <c r="E25" t="inlineStr">
        <is>
          <t>2026-03-30</t>
        </is>
      </c>
      <c r="F25" t="inlineStr">
        <is>
          <t>2026-04-06</t>
        </is>
      </c>
      <c r="G25" t="inlineStr">
        <is>
          <t xml:space="preserve"> - No hay coche</t>
        </is>
      </c>
      <c r="H25">
        <f>HYPERLINK("https://booking.roadsurfer.com/es/rally/pick?pickup_date=2026-03-30&amp;return_date=2026-04-06&amp;currency=EUR&amp;startStation=91&amp;endStation=48",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Surfer Suite</t>
        </is>
      </c>
      <c r="H26">
        <f>HYPERLINK("https://booking.roadsurfer.com/es/rally/pick?pickup_date=2026-04-09&amp;return_date=2026-04-16&amp;currency=EUR&amp;startStation=91&amp;endStation=48",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Surfer Suite</t>
        </is>
      </c>
      <c r="H27">
        <f>HYPERLINK("https://booking.roadsurfer.com/es/rally/pick?pickup_date=2026-05-06&amp;return_date=2026-05-13&amp;currency=EUR&amp;startStation=91&amp;endStation=10",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2026-04-22</t>
        </is>
      </c>
      <c r="F28" t="inlineStr">
        <is>
          <t>2026-04-29</t>
        </is>
      </c>
      <c r="G28" t="inlineStr">
        <is>
          <t xml:space="preserve"> - Surfer Suite</t>
        </is>
      </c>
      <c r="H28">
        <f>HYPERLINK("https://booking.roadsurfer.com/es/rally/pick?pickup_date=2026-04-22&amp;return_date=2026-04-29&amp;currency=EUR&amp;startStation=91&amp;endStation=77",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Family Finca</t>
        </is>
      </c>
      <c r="H29">
        <f>HYPERLINK("https://booking.roadsurfer.com/es/rally/pick?pickup_date=2026-04-21&amp;return_date=2026-04-28&amp;currency=EUR&amp;startStation=91&amp;endStation=77",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Sunrise Suite</t>
        </is>
      </c>
      <c r="H30">
        <f>HYPERLINK("https://booking.roadsurfer.com/es/rally/pick?pickup_date=2026-05-12&amp;return_date=2026-05-19&amp;currency=EUR&amp;startStation=91&amp;endStation=77",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2026-04-27</t>
        </is>
      </c>
      <c r="F31" t="inlineStr">
        <is>
          <t>2026-05-04</t>
        </is>
      </c>
      <c r="G31" t="inlineStr">
        <is>
          <t xml:space="preserve"> - Surfer Suite</t>
        </is>
      </c>
      <c r="H31">
        <f>HYPERLINK("https://booking.roadsurfer.com/es/rally/pick?pickup_date=2026-04-27&amp;return_date=2026-05-04&amp;currency=EUR&amp;startStation=91&amp;endStation=60",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HYPERLINK("https://booking.roadsurfer.com/es/rally/pick?pickup_date=2026-04-21&amp;return_date=2026-04-28&amp;currency=EUR&amp;startStation=91&amp;endStation=59",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Países Bajos</t>
        </is>
      </c>
      <c r="D34" t="inlineStr">
        <is>
          <t>Ámsterdam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Road House</t>
        </is>
      </c>
      <c r="H34">
        <f>HYPERLINK("https://booking.roadsurfer.com/es/rally/pick?pickup_date=2026-05-04&amp;return_date=2026-05-11&amp;currency=EUR&amp;startStation=91&amp;endStation=32",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2026-04-13</t>
        </is>
      </c>
      <c r="F35" t="inlineStr">
        <is>
          <t>2026-04-20</t>
        </is>
      </c>
      <c r="G35" t="inlineStr">
        <is>
          <t xml:space="preserve"> - Road House</t>
        </is>
      </c>
      <c r="H35">
        <f>HYPERLINK("https://booking.roadsurfer.com/es/rally/pick?pickup_date=2026-04-13&amp;return_date=2026-04-20&amp;currency=EUR&amp;startStation=40&amp;endStation=5", "Clic para verlo en la web de RoadSurfer")</f>
        <v/>
      </c>
    </row>
    <row r="36">
      <c r="A36" t="inlineStr">
        <is>
          <t>España</t>
        </is>
      </c>
      <c r="B36" t="inlineStr">
        <is>
          <t>Bilbao</t>
        </is>
      </c>
      <c r="C36" t="inlineStr">
        <is>
          <t>Alemania</t>
        </is>
      </c>
      <c r="D36" t="inlineStr">
        <is>
          <t>Tréveris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Camper Castle</t>
        </is>
      </c>
      <c r="H36">
        <f>HYPERLINK("https://booking.roadsurfer.com/es/rally/pick?pickup_date=2026-05-04&amp;return_date=2026-05-11&amp;currency=EUR&amp;startStation=40&amp;endStation=28", "Clic para verlo en la web de RoadSurfer")</f>
        <v/>
      </c>
    </row>
    <row r="37">
      <c r="A37" t="inlineStr">
        <is>
          <t>España</t>
        </is>
      </c>
      <c r="B37" t="inlineStr">
        <is>
          <t>Bilbao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2026-04-06</t>
        </is>
      </c>
      <c r="F37" t="inlineStr">
        <is>
          <t>2026-04-13</t>
        </is>
      </c>
      <c r="G37" t="inlineStr">
        <is>
          <t xml:space="preserve"> - No hay coche</t>
        </is>
      </c>
      <c r="H37">
        <f>HYPERLINK("https://booking.roadsurfer.com/es/rally/pick?pickup_date=2026-04-06&amp;return_date=2026-04-13&amp;currency=EUR&amp;startStation=40&amp;endStation=52", "Clic para verlo en la web de RoadSurfer")</f>
        <v/>
      </c>
    </row>
    <row r="38">
      <c r="A38" t="inlineStr">
        <is>
          <t>Alemania</t>
        </is>
      </c>
      <c r="B38" t="inlineStr">
        <is>
          <t>Bochum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2026-04-20</t>
        </is>
      </c>
      <c r="F38" t="inlineStr">
        <is>
          <t>2026-04-27</t>
        </is>
      </c>
      <c r="G38" t="inlineStr">
        <is>
          <t xml:space="preserve"> - No hay coche</t>
        </is>
      </c>
      <c r="H38">
        <f>HYPERLINK("https://booking.roadsurfer.com/es/rally/pick?pickup_date=2026-04-20&amp;return_date=2026-04-27&amp;currency=EUR&amp;startStation=24&amp;endStation=32",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Francia</t>
        </is>
      </c>
      <c r="D39" t="inlineStr">
        <is>
          <t>Ginebra-Pays de Gex (Francia)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Surfer Suite</t>
        </is>
      </c>
      <c r="H39">
        <f>HYPERLINK("https://booking.roadsurfer.com/es/rally/pick?pickup_date=2026-04-16&amp;return_date=2026-04-23&amp;currency=EUR&amp;startStation=13&amp;endStation=29",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2026-03-27</t>
        </is>
      </c>
      <c r="F40" t="inlineStr">
        <is>
          <t>2026-04-03</t>
        </is>
      </c>
      <c r="G40" t="inlineStr">
        <is>
          <t xml:space="preserve"> - Surfer Suite</t>
        </is>
      </c>
      <c r="H40">
        <f>HYPERLINK("https://booking.roadsurfer.com/es/rally/pick?pickup_date=2026-03-27&amp;return_date=2026-04-03&amp;currency=EUR&amp;startStation=13&amp;endStation=22",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Lübeck</t>
        </is>
      </c>
      <c r="E41" t="inlineStr">
        <is>
          <t>2026-04-02</t>
        </is>
      </c>
      <c r="F41" t="inlineStr">
        <is>
          <t>2026-04-09</t>
        </is>
      </c>
      <c r="G41" t="inlineStr">
        <is>
          <t xml:space="preserve"> - Beach Hostel</t>
        </is>
      </c>
      <c r="H41">
        <f>HYPERLINK("https://booking.roadsurfer.com/es/rally/pick?pickup_date=2026-04-02&amp;return_date=2026-04-09&amp;currency=EUR&amp;startStation=13&amp;endStation=109",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2026-03-24</t>
        </is>
      </c>
      <c r="F42" t="inlineStr">
        <is>
          <t>2026-03-31</t>
        </is>
      </c>
      <c r="G42" t="inlineStr">
        <is>
          <t xml:space="preserve"> - Travel Home</t>
        </is>
      </c>
      <c r="H42">
        <f>HYPERLINK("https://booking.roadsurfer.com/es/rally/pick?pickup_date=2026-03-24&amp;return_date=2026-03-31&amp;currency=EUR&amp;startStation=13&amp;endStation=2",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Road House</t>
        </is>
      </c>
      <c r="H43">
        <f>HYPERLINK("https://booking.roadsurfer.com/es/rally/pick?pickup_date=2026-05-04&amp;return_date=2026-05-11&amp;currency=EUR&amp;startStation=13&amp;endStation=56",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Tréveris</t>
        </is>
      </c>
      <c r="E44" t="inlineStr">
        <is>
          <t>2026-04-13</t>
        </is>
      </c>
      <c r="F44" t="inlineStr">
        <is>
          <t>2026-04-20</t>
        </is>
      </c>
      <c r="G44" t="inlineStr">
        <is>
          <t xml:space="preserve"> - Road House</t>
        </is>
      </c>
      <c r="H44">
        <f>HYPERLINK("https://booking.roadsurfer.com/es/rally/pick?pickup_date=2026-04-13&amp;return_date=2026-04-20&amp;currency=EUR&amp;startStation=13&amp;endStation=28",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Ulm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Road House</t>
        </is>
      </c>
      <c r="H45">
        <f>HYPERLINK("https://booking.roadsurfer.com/es/rally/pick?pickup_date=2026-04-16&amp;return_date=2026-04-23&amp;currency=EUR&amp;startStation=13&amp;endStation=112",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Family Finca</t>
        </is>
      </c>
      <c r="H46">
        <f>HYPERLINK("https://booking.roadsurfer.com/es/rally/pick?pickup_date=2026-04-15&amp;return_date=2026-04-22&amp;currency=EUR&amp;startStation=13&amp;endStation=4",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2026-04-21</t>
        </is>
      </c>
      <c r="F47" t="inlineStr">
        <is>
          <t>2026-04-28</t>
        </is>
      </c>
      <c r="G47" t="inlineStr">
        <is>
          <t xml:space="preserve"> - Family Finca</t>
        </is>
      </c>
      <c r="H47">
        <f>HYPERLINK("https://booking.roadsurfer.com/es/rally/pick?pickup_date=2026-04-21&amp;return_date=2026-04-28&amp;currency=EUR&amp;startStation=55&amp;endStation=77",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2026-04-24</t>
        </is>
      </c>
      <c r="F48" t="inlineStr">
        <is>
          <t>2026-05-01</t>
        </is>
      </c>
      <c r="G48" t="inlineStr">
        <is>
          <t xml:space="preserve"> - No hay coche</t>
        </is>
      </c>
      <c r="H48">
        <f>HYPERLINK("https://booking.roadsurfer.com/es/rally/pick?pickup_date=2026-04-24&amp;return_date=2026-05-01&amp;currency=EUR&amp;startStation=55&amp;endStation=77",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2026-04-23</t>
        </is>
      </c>
      <c r="F49" t="inlineStr">
        <is>
          <t>2026-04-30</t>
        </is>
      </c>
      <c r="G49" t="inlineStr">
        <is>
          <t xml:space="preserve"> - Road House</t>
        </is>
      </c>
      <c r="H49">
        <f>HYPERLINK("https://booking.roadsurfer.com/es/rally/pick?pickup_date=2026-04-23&amp;return_date=2026-04-30&amp;currency=EUR&amp;startStation=55&amp;endStation=77", "Clic para verlo en la web de RoadSurfer")</f>
        <v/>
      </c>
    </row>
    <row r="50">
      <c r="A50" t="inlineStr">
        <is>
          <t>Alemania</t>
        </is>
      </c>
      <c r="B50" t="inlineStr">
        <is>
          <t>Bremen</t>
        </is>
      </c>
      <c r="C50" t="inlineStr">
        <is>
          <t>Alemania</t>
        </is>
      </c>
      <c r="D50" t="inlineStr">
        <is>
          <t>Aquisgrán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Surfer Suite</t>
        </is>
      </c>
      <c r="H50">
        <f>HYPERLINK("https://booking.roadsurfer.com/es/rally/pick?pickup_date=2026-04-20&amp;return_date=2026-04-27&amp;currency=EUR&amp;startStation=55&amp;endStation=114",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Italia</t>
        </is>
      </c>
      <c r="D51" t="inlineStr">
        <is>
          <t>Milán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Sunrise Suite</t>
        </is>
      </c>
      <c r="H51">
        <f>HYPERLINK("https://booking.roadsurfer.com/es/rally/pick?pickup_date=2026-04-23&amp;return_date=2026-04-30&amp;currency=EUR&amp;startStation=55&amp;endStation=34",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Surfer Suite</t>
        </is>
      </c>
      <c r="H52">
        <f>HYPERLINK("https://booking.roadsurfer.com/es/rally/pick?pickup_date=2026-04-20&amp;return_date=2026-04-27&amp;currency=EUR&amp;startStation=55&amp;endStation=34",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Cozy Cottage</t>
        </is>
      </c>
      <c r="H53">
        <f>HYPERLINK("https://booking.roadsurfer.com/es/rally/pick?pickup_date=2026-04-13&amp;return_date=2026-04-20&amp;currency=EUR&amp;startStation=55&amp;endStation=59", "Clic para verlo en la web de RoadSurfer")</f>
        <v/>
      </c>
    </row>
    <row r="54">
      <c r="A54" t="inlineStr">
        <is>
          <t>Reino Unido</t>
        </is>
      </c>
      <c r="B54" t="inlineStr">
        <is>
          <t>Bristol</t>
        </is>
      </c>
      <c r="C54" t="inlineStr">
        <is>
          <t>Reino Unido</t>
        </is>
      </c>
      <c r="D54" t="inlineStr">
        <is>
          <t>Edimburgo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Surfer Suite</t>
        </is>
      </c>
      <c r="H54">
        <f>HYPERLINK("https://booking.roadsurfer.com/es/rally/pick?pickup_date=2026-04-20&amp;return_date=2026-04-27&amp;currency=EUR&amp;startStation=98&amp;endStation=64",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2026-04-22</t>
        </is>
      </c>
      <c r="F55" t="inlineStr">
        <is>
          <t>2026-04-29</t>
        </is>
      </c>
      <c r="G55" t="inlineStr">
        <is>
          <t xml:space="preserve"> - Beach Hostel</t>
        </is>
      </c>
      <c r="H55">
        <f>HYPERLINK("https://booking.roadsurfer.com/es/rally/pick?pickup_date=2026-04-22&amp;return_date=2026-04-29&amp;currency=EUR&amp;startStation=42&amp;endStation=48", "Clic para verlo en la web de RoadSurfer")</f>
        <v/>
      </c>
    </row>
    <row r="56">
      <c r="A56" t="inlineStr">
        <is>
          <t>Bélgica</t>
        </is>
      </c>
      <c r="B56" t="inlineStr">
        <is>
          <t>Bruselas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Camper Castle</t>
        </is>
      </c>
      <c r="H56">
        <f>HYPERLINK("https://booking.roadsurfer.com/es/rally/pick?pickup_date=2026-05-04&amp;return_date=2026-05-11&amp;currency=EUR&amp;startStation=42&amp;endStation=6",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2026-04-02</t>
        </is>
      </c>
      <c r="F57" t="inlineStr">
        <is>
          <t>2026-04-09</t>
        </is>
      </c>
      <c r="G57" t="inlineStr">
        <is>
          <t xml:space="preserve"> - Surfer Suite</t>
        </is>
      </c>
      <c r="H57">
        <f>HYPERLINK("https://booking.roadsurfer.com/es/rally/pick?pickup_date=2026-04-02&amp;return_date=2026-04-09&amp;currency=EUR&amp;startStation=52&amp;endStation=37", "Clic para verlo en la web de RoadSurfer")</f>
        <v/>
      </c>
    </row>
    <row r="58">
      <c r="A58" t="inlineStr">
        <is>
          <t>Alemania</t>
        </is>
      </c>
      <c r="B58" t="inlineStr">
        <is>
          <t>Colonia-Bonn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2026-03-30</t>
        </is>
      </c>
      <c r="F58" t="inlineStr">
        <is>
          <t>2026-04-06</t>
        </is>
      </c>
      <c r="G58" t="inlineStr">
        <is>
          <t xml:space="preserve"> - No hay coche</t>
        </is>
      </c>
      <c r="H58">
        <f>HYPERLINK("https://booking.roadsurfer.com/es/rally/pick?pickup_date=2026-03-30&amp;return_date=2026-04-06&amp;currency=EUR&amp;startStation=52&amp;endStation=47", "Clic para verlo en la web de RoadSurfer")</f>
        <v/>
      </c>
    </row>
    <row r="59">
      <c r="A59" t="inlineStr">
        <is>
          <t>Alemania</t>
        </is>
      </c>
      <c r="B59" t="inlineStr">
        <is>
          <t>Colonia-Bonn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Surfer Suite</t>
        </is>
      </c>
      <c r="H59">
        <f>HYPERLINK("https://booking.roadsurfer.com/es/rally/pick?pickup_date=2026-04-16&amp;return_date=2026-04-23&amp;currency=EUR&amp;startStation=52&amp;endStation=47", "Clic para verlo en la web de RoadSurfer")</f>
        <v/>
      </c>
    </row>
    <row r="60">
      <c r="A60" t="inlineStr">
        <is>
          <t>Alemania</t>
        </is>
      </c>
      <c r="B60" t="inlineStr">
        <is>
          <t>Colonia-Bonn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2026-04-25</t>
        </is>
      </c>
      <c r="F60" t="inlineStr">
        <is>
          <t>2026-05-02</t>
        </is>
      </c>
      <c r="G60" t="inlineStr">
        <is>
          <t xml:space="preserve"> - Beach Hostel</t>
        </is>
      </c>
      <c r="H60">
        <f>HYPERLINK("https://booking.roadsurfer.com/es/rally/pick?pickup_date=2026-04-25&amp;return_date=2026-05-02&amp;currency=EUR&amp;startStation=52&amp;endStation=29", "Clic para verlo en la web de RoadSurfer")</f>
        <v/>
      </c>
    </row>
    <row r="61">
      <c r="A61" t="inlineStr">
        <is>
          <t>Alemania</t>
        </is>
      </c>
      <c r="B61" t="inlineStr">
        <is>
          <t>Colonia-Bonn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Travel Home</t>
        </is>
      </c>
      <c r="H61">
        <f>HYPERLINK("https://booking.roadsurfer.com/es/rally/pick?pickup_date=2026-04-13&amp;return_date=2026-04-20&amp;currency=EUR&amp;startStation=52&amp;endStation=51", "Clic para verlo en la web de RoadSurfer")</f>
        <v/>
      </c>
    </row>
    <row r="62">
      <c r="A62" t="inlineStr">
        <is>
          <t>Alemania</t>
        </is>
      </c>
      <c r="B62" t="inlineStr">
        <is>
          <t>Colonia-Bonn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Camper Cabin</t>
        </is>
      </c>
      <c r="H62">
        <f>HYPERLINK("https://booking.roadsurfer.com/es/rally/pick?pickup_date=2026-04-13&amp;return_date=2026-04-20&amp;currency=EUR&amp;startStation=52&amp;endStation=13", "Clic para verlo en la web de RoadSurfer")</f>
        <v/>
      </c>
    </row>
    <row r="63">
      <c r="A63" t="inlineStr">
        <is>
          <t>Alemania</t>
        </is>
      </c>
      <c r="B63" t="inlineStr">
        <is>
          <t>Colonia-Bonn</t>
        </is>
      </c>
      <c r="C63" t="inlineStr">
        <is>
          <t>Alemania</t>
        </is>
      </c>
      <c r="D63" t="inlineStr">
        <is>
          <t>Heidelberg</t>
        </is>
      </c>
      <c r="E63" t="inlineStr">
        <is>
          <t>2026-04-09</t>
        </is>
      </c>
      <c r="F63" t="inlineStr">
        <is>
          <t>2026-04-16</t>
        </is>
      </c>
      <c r="G63" t="inlineStr">
        <is>
          <t xml:space="preserve"> - Camper Cabin</t>
        </is>
      </c>
      <c r="H63">
        <f>HYPERLINK("https://booking.roadsurfer.com/es/rally/pick?pickup_date=2026-04-09&amp;return_date=2026-04-16&amp;currency=EUR&amp;startStation=52&amp;endStation=79", "Clic para verlo en la web de RoadSurfer")</f>
        <v/>
      </c>
    </row>
    <row r="64">
      <c r="A64" t="inlineStr">
        <is>
          <t>Alemania</t>
        </is>
      </c>
      <c r="B64" t="inlineStr">
        <is>
          <t>Colonia-Bonn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2026-03-30</t>
        </is>
      </c>
      <c r="F64" t="inlineStr">
        <is>
          <t>2026-04-06</t>
        </is>
      </c>
      <c r="G64" t="inlineStr">
        <is>
          <t xml:space="preserve"> - No hay coche</t>
        </is>
      </c>
      <c r="H64">
        <f>HYPERLINK("https://booking.roadsurfer.com/es/rally/pick?pickup_date=2026-03-30&amp;return_date=2026-04-06&amp;currency=EUR&amp;startStation=52&amp;endStation=7", "Clic para verlo en la web de RoadSurfer")</f>
        <v/>
      </c>
    </row>
    <row r="65">
      <c r="A65" t="inlineStr">
        <is>
          <t>Alemania</t>
        </is>
      </c>
      <c r="B65" t="inlineStr">
        <is>
          <t>Colonia-Bonn</t>
        </is>
      </c>
      <c r="C65" t="inlineStr">
        <is>
          <t>Alemania</t>
        </is>
      </c>
      <c r="D65" t="inlineStr">
        <is>
          <t>Flensburgo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No hay coche</t>
        </is>
      </c>
      <c r="H65">
        <f>HYPERLINK("https://booking.roadsurfer.com/es/rally/pick?pickup_date=2026-04-16&amp;return_date=2026-04-23&amp;currency=EUR&amp;startStation=52&amp;endStation=130",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2026-04-09</t>
        </is>
      </c>
      <c r="F66" t="inlineStr">
        <is>
          <t>2026-04-16</t>
        </is>
      </c>
      <c r="G66" t="inlineStr">
        <is>
          <t xml:space="preserve"> - Road House</t>
        </is>
      </c>
      <c r="H66">
        <f>HYPERLINK("https://booking.roadsurfer.com/es/rally/pick?pickup_date=2026-04-09&amp;return_date=2026-04-16&amp;currency=EUR&amp;startStation=52&amp;endStation=42",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2026-04-10</t>
        </is>
      </c>
      <c r="F67" t="inlineStr">
        <is>
          <t>2026-04-17</t>
        </is>
      </c>
      <c r="G67" t="inlineStr">
        <is>
          <t xml:space="preserve"> - Sunrise Suite</t>
        </is>
      </c>
      <c r="H67">
        <f>HYPERLINK("https://booking.roadsurfer.com/es/rally/pick?pickup_date=2026-04-10&amp;return_date=2026-04-17&amp;currency=EUR&amp;startStation=52&amp;endStation=42",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España</t>
        </is>
      </c>
      <c r="D68" t="inlineStr">
        <is>
          <t>Valencia</t>
        </is>
      </c>
      <c r="E68" t="inlineStr">
        <is>
          <t>2026-04-06</t>
        </is>
      </c>
      <c r="F68" t="inlineStr">
        <is>
          <t>2026-04-13</t>
        </is>
      </c>
      <c r="G68" t="inlineStr">
        <is>
          <t xml:space="preserve"> - No hay coche</t>
        </is>
      </c>
      <c r="H68">
        <f>HYPERLINK("https://booking.roadsurfer.com/es/rally/pick?pickup_date=2026-04-06&amp;return_date=2026-04-13&amp;currency=EUR&amp;startStation=52&amp;endStation=38",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2026-03-24</t>
        </is>
      </c>
      <c r="F69" t="inlineStr">
        <is>
          <t>2026-03-31</t>
        </is>
      </c>
      <c r="G69" t="inlineStr">
        <is>
          <t xml:space="preserve"> - Camper Cabin Deluxe</t>
        </is>
      </c>
      <c r="H69">
        <f>HYPERLINK("https://booking.roadsurfer.com/es/rally/pick?pickup_date=2026-03-24&amp;return_date=2026-03-31&amp;currency=EUR&amp;startStation=52&amp;endStation=48",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2026-04-17</t>
        </is>
      </c>
      <c r="F70" t="inlineStr">
        <is>
          <t>2026-04-24</t>
        </is>
      </c>
      <c r="G70" t="inlineStr">
        <is>
          <t xml:space="preserve"> - COUPLE COTTAGE</t>
        </is>
      </c>
      <c r="H70">
        <f>HYPERLINK("https://booking.roadsurfer.com/es/rally/pick?pickup_date=2026-04-17&amp;return_date=2026-04-24&amp;currency=EUR&amp;startStation=52&amp;endStation=48",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Núremberg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Camper Castle</t>
        </is>
      </c>
      <c r="H71">
        <f>HYPERLINK("https://booking.roadsurfer.com/es/rally/pick?pickup_date=2026-04-16&amp;return_date=2026-04-23&amp;currency=EUR&amp;startStation=52&amp;endStation=11",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Núremberg</t>
        </is>
      </c>
      <c r="E72" t="inlineStr">
        <is>
          <t>2026-04-27</t>
        </is>
      </c>
      <c r="F72" t="inlineStr">
        <is>
          <t>2026-05-04</t>
        </is>
      </c>
      <c r="G72" t="inlineStr">
        <is>
          <t xml:space="preserve"> - Sunrise Suite</t>
        </is>
      </c>
      <c r="H72">
        <f>HYPERLINK("https://booking.roadsurfer.com/es/rally/pick?pickup_date=2026-04-27&amp;return_date=2026-05-04&amp;currency=EUR&amp;startStation=52&amp;endStation=11",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Italia</t>
        </is>
      </c>
      <c r="D73" t="inlineStr">
        <is>
          <t>Venecia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Family Finca</t>
        </is>
      </c>
      <c r="H73">
        <f>HYPERLINK("https://booking.roadsurfer.com/es/rally/pick?pickup_date=2026-04-23&amp;return_date=2026-04-30&amp;currency=EUR&amp;startStation=52&amp;endStation=78",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Family Finca</t>
        </is>
      </c>
      <c r="H74">
        <f>HYPERLINK("https://booking.roadsurfer.com/es/rally/pick?pickup_date=2026-04-20&amp;return_date=2026-04-27&amp;currency=EUR&amp;startStation=52&amp;endStation=34",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Sur (Orly)</t>
        </is>
      </c>
      <c r="E75" t="inlineStr">
        <is>
          <t>2026-04-25</t>
        </is>
      </c>
      <c r="F75" t="inlineStr">
        <is>
          <t>2026-05-02</t>
        </is>
      </c>
      <c r="G75" t="inlineStr">
        <is>
          <t xml:space="preserve"> - Sunrise Suite</t>
        </is>
      </c>
      <c r="H75">
        <f>HYPERLINK("https://booking.roadsurfer.com/es/rally/pick?pickup_date=2026-04-25&amp;return_date=2026-05-02&amp;currency=EUR&amp;startStation=52&amp;endStation=12",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Sunrise Suite</t>
        </is>
      </c>
      <c r="H76">
        <f>HYPERLINK("https://booking.roadsurfer.com/es/rally/pick?pickup_date=2026-04-20&amp;return_date=2026-04-27&amp;currency=EUR&amp;startStation=52&amp;endStation=5",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Francia</t>
        </is>
      </c>
      <c r="D77" t="inlineStr">
        <is>
          <t>Nantes</t>
        </is>
      </c>
      <c r="E77" t="inlineStr">
        <is>
          <t>2026-03-27</t>
        </is>
      </c>
      <c r="F77" t="inlineStr">
        <is>
          <t>2026-04-03</t>
        </is>
      </c>
      <c r="G77" t="inlineStr">
        <is>
          <t xml:space="preserve"> - Surfer Suite</t>
        </is>
      </c>
      <c r="H77">
        <f>HYPERLINK("https://booking.roadsurfer.com/es/rally/pick?pickup_date=2026-03-27&amp;return_date=2026-04-03&amp;currency=EUR&amp;startStation=4&amp;endStation=31",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Francia</t>
        </is>
      </c>
      <c r="D78" t="inlineStr">
        <is>
          <t>París Sur (Orly)</t>
        </is>
      </c>
      <c r="E78" t="inlineStr">
        <is>
          <t>2026-04-25</t>
        </is>
      </c>
      <c r="F78" t="inlineStr">
        <is>
          <t>2026-05-02</t>
        </is>
      </c>
      <c r="G78" t="inlineStr">
        <is>
          <t xml:space="preserve"> - Surfer Suite</t>
        </is>
      </c>
      <c r="H78">
        <f>HYPERLINK("https://booking.roadsurfer.com/es/rally/pick?pickup_date=2026-04-25&amp;return_date=2026-05-02&amp;currency=EUR&amp;startStation=4&amp;endStation=12",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No hay coche</t>
        </is>
      </c>
      <c r="H79">
        <f>HYPERLINK("https://booking.roadsurfer.com/es/rally/pick?pickup_date=2026-04-24&amp;return_date=2026-05-01&amp;currency=EUR&amp;startStation=4&amp;endStation=13",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2026-03-28</t>
        </is>
      </c>
      <c r="F80" t="inlineStr">
        <is>
          <t>2026-04-04</t>
        </is>
      </c>
      <c r="G80" t="inlineStr">
        <is>
          <t xml:space="preserve"> - Road House</t>
        </is>
      </c>
      <c r="H80">
        <f>HYPERLINK("https://booking.roadsurfer.com/es/rally/pick?pickup_date=2026-03-28&amp;return_date=2026-04-04&amp;currency=EUR&amp;startStation=4&amp;endStation=13",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Camper Castle</t>
        </is>
      </c>
      <c r="H81">
        <f>HYPERLINK("https://booking.roadsurfer.com/es/rally/pick?pickup_date=2026-05-04&amp;return_date=2026-05-11&amp;currency=EUR&amp;startStation=4&amp;endStation=6",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2026-04-04</t>
        </is>
      </c>
      <c r="F82" t="inlineStr">
        <is>
          <t>2026-04-11</t>
        </is>
      </c>
      <c r="G82" t="inlineStr">
        <is>
          <t xml:space="preserve"> - Surfer Suite</t>
        </is>
      </c>
      <c r="H82">
        <f>HYPERLINK("https://booking.roadsurfer.com/es/rally/pick?pickup_date=2026-04-04&amp;return_date=2026-04-11&amp;currency=EUR&amp;startStation=10&amp;endStation=13",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Road House</t>
        </is>
      </c>
      <c r="H83">
        <f>HYPERLINK("https://booking.roadsurfer.com/es/rally/pick?pickup_date=2026-04-13&amp;return_date=2026-04-20&amp;currency=EUR&amp;startStation=10&amp;endStation=28",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Italia</t>
        </is>
      </c>
      <c r="D84" t="inlineStr">
        <is>
          <t>Bolonia</t>
        </is>
      </c>
      <c r="E84" t="inlineStr">
        <is>
          <t>2026-03-24</t>
        </is>
      </c>
      <c r="F84" t="inlineStr">
        <is>
          <t>2026-03-31</t>
        </is>
      </c>
      <c r="G84" t="inlineStr">
        <is>
          <t xml:space="preserve"> - Couple Cottage</t>
        </is>
      </c>
      <c r="H84">
        <f>HYPERLINK("https://booking.roadsurfer.com/es/rally/pick?pickup_date=2026-03-24&amp;return_date=2026-03-31&amp;currency=EUR&amp;startStation=10&amp;endStation=57",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Francia</t>
        </is>
      </c>
      <c r="D85" t="inlineStr">
        <is>
          <t>Lille</t>
        </is>
      </c>
      <c r="E85" t="inlineStr">
        <is>
          <t>2026-04-25</t>
        </is>
      </c>
      <c r="F85" t="inlineStr">
        <is>
          <t>2026-05-02</t>
        </is>
      </c>
      <c r="G85" t="inlineStr">
        <is>
          <t xml:space="preserve"> - Surfer Suite</t>
        </is>
      </c>
      <c r="H85">
        <f>HYPERLINK("https://booking.roadsurfer.com/es/rally/pick?pickup_date=2026-04-25&amp;return_date=2026-05-02&amp;currency=EUR&amp;startStation=56&amp;endStation=87",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HYPERLINK("https://booking.roadsurfer.com/es/rally/pick?pickup_date=2026-04-09&amp;return_date=2026-04-16&amp;currency=EUR&amp;startStation=56&amp;endStation=33",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Surfer Suite</t>
        </is>
      </c>
      <c r="H87">
        <f>HYPERLINK("https://booking.roadsurfer.com/es/rally/pick?pickup_date=2026-04-27&amp;return_date=2026-05-04&amp;currency=EUR&amp;startStation=56&amp;endStation=33",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Italia</t>
        </is>
      </c>
      <c r="D88" t="inlineStr">
        <is>
          <t>Turín</t>
        </is>
      </c>
      <c r="E88" t="inlineStr">
        <is>
          <t>2026-04-23</t>
        </is>
      </c>
      <c r="F88" t="inlineStr">
        <is>
          <t>2026-04-30</t>
        </is>
      </c>
      <c r="G88" t="inlineStr">
        <is>
          <t xml:space="preserve"> - No hay coche</t>
        </is>
      </c>
      <c r="H88">
        <f>HYPERLINK("https://booking.roadsurfer.com/es/rally/pick?pickup_date=2026-04-23&amp;return_date=2026-04-30&amp;currency=EUR&amp;startStation=56&amp;endStation=58",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2026-04-23</t>
        </is>
      </c>
      <c r="F89" t="inlineStr">
        <is>
          <t>2026-04-30</t>
        </is>
      </c>
      <c r="G89" t="inlineStr">
        <is>
          <t xml:space="preserve"> - Surfer Suite</t>
        </is>
      </c>
      <c r="H89">
        <f>HYPERLINK("https://booking.roadsurfer.com/es/rally/pick?pickup_date=2026-04-23&amp;return_date=2026-04-30&amp;currency=EUR&amp;startStation=56&amp;endStation=48",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Bélgica</t>
        </is>
      </c>
      <c r="D90" t="inlineStr">
        <is>
          <t>Amberes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Beach Hostel</t>
        </is>
      </c>
      <c r="H90">
        <f>HYPERLINK("https://booking.roadsurfer.com/es/rally/pick?pickup_date=2026-04-16&amp;return_date=2026-04-23&amp;currency=EUR&amp;startStation=56&amp;endStation=47",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2026-04-23</t>
        </is>
      </c>
      <c r="F91" t="inlineStr">
        <is>
          <t>2026-04-30</t>
        </is>
      </c>
      <c r="G91" t="inlineStr">
        <is>
          <t xml:space="preserve"> - Road House</t>
        </is>
      </c>
      <c r="H91">
        <f>HYPERLINK("https://booking.roadsurfer.com/es/rally/pick?pickup_date=2026-04-23&amp;return_date=2026-04-30&amp;currency=EUR&amp;startStation=56&amp;endStation=59",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2026-04-21</t>
        </is>
      </c>
      <c r="F92" t="inlineStr">
        <is>
          <t>2026-04-28</t>
        </is>
      </c>
      <c r="G92" t="inlineStr">
        <is>
          <t xml:space="preserve"> - Road House</t>
        </is>
      </c>
      <c r="H92">
        <f>HYPERLINK("https://booking.roadsurfer.com/es/rally/pick?pickup_date=2026-04-21&amp;return_date=2026-04-28&amp;currency=EUR&amp;startStation=56&amp;endStation=59",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2026-04-21</t>
        </is>
      </c>
      <c r="F93" t="inlineStr">
        <is>
          <t>2026-04-28</t>
        </is>
      </c>
      <c r="G93" t="inlineStr">
        <is>
          <t xml:space="preserve"> - Road House</t>
        </is>
      </c>
      <c r="H93">
        <f>HYPERLINK("https://booking.roadsurfer.com/es/rally/pick?pickup_date=2026-04-21&amp;return_date=2026-04-28&amp;currency=EUR&amp;startStation=56&amp;endStation=37",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2026-04-24</t>
        </is>
      </c>
      <c r="F94" t="inlineStr">
        <is>
          <t>2026-05-01</t>
        </is>
      </c>
      <c r="G94" t="inlineStr">
        <is>
          <t xml:space="preserve"> - No hay coche</t>
        </is>
      </c>
      <c r="H94">
        <f>HYPERLINK("https://booking.roadsurfer.com/es/rally/pick?pickup_date=2026-04-24&amp;return_date=2026-05-01&amp;currency=EUR&amp;startStation=56&amp;endStation=42",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2026-03-28</t>
        </is>
      </c>
      <c r="F95" t="inlineStr">
        <is>
          <t>2026-04-04</t>
        </is>
      </c>
      <c r="G95" t="inlineStr">
        <is>
          <t xml:space="preserve"> - Camper Cabin Deluxe</t>
        </is>
      </c>
      <c r="H95">
        <f>HYPERLINK("https://booking.roadsurfer.com/es/rally/pick?pickup_date=2026-03-28&amp;return_date=2026-04-04&amp;currency=EUR&amp;startStation=56&amp;endStation=32",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2026-04-30</t>
        </is>
      </c>
      <c r="F96" t="inlineStr">
        <is>
          <t>2026-05-07</t>
        </is>
      </c>
      <c r="G96" t="inlineStr">
        <is>
          <t xml:space="preserve"> - Camper Castle</t>
        </is>
      </c>
      <c r="H96">
        <f>HYPERLINK("https://booking.roadsurfer.com/es/rally/pick?pickup_date=2026-04-30&amp;return_date=2026-05-07&amp;currency=EUR&amp;startStation=56&amp;endStation=31",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Family Finca</t>
        </is>
      </c>
      <c r="H97">
        <f>HYPERLINK("https://booking.roadsurfer.com/es/rally/pick?pickup_date=2026-04-20&amp;return_date=2026-04-27&amp;currency=EUR&amp;startStation=56&amp;endStation=77",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Italia</t>
        </is>
      </c>
      <c r="D98" t="inlineStr">
        <is>
          <t>Venecia</t>
        </is>
      </c>
      <c r="E98" t="inlineStr">
        <is>
          <t>2026-04-22</t>
        </is>
      </c>
      <c r="F98" t="inlineStr">
        <is>
          <t>2026-04-29</t>
        </is>
      </c>
      <c r="G98" t="inlineStr">
        <is>
          <t xml:space="preserve"> - Sunrise Suite</t>
        </is>
      </c>
      <c r="H98">
        <f>HYPERLINK("https://booking.roadsurfer.com/es/rally/pick?pickup_date=2026-04-22&amp;return_date=2026-04-29&amp;currency=EUR&amp;startStation=56&amp;endStation=78",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Italia</t>
        </is>
      </c>
      <c r="D99" t="inlineStr">
        <is>
          <t>Milán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Surfer Suite - Beach Hostel</t>
        </is>
      </c>
      <c r="H99">
        <f>HYPERLINK("https://booking.roadsurfer.com/es/rally/pick?pickup_date=2026-04-20&amp;return_date=2026-04-27&amp;currency=EUR&amp;startStation=113&amp;endStation=34",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Italia</t>
        </is>
      </c>
      <c r="D100" t="inlineStr">
        <is>
          <t>Milán</t>
        </is>
      </c>
      <c r="E100" t="inlineStr">
        <is>
          <t>2026-04-23</t>
        </is>
      </c>
      <c r="F100" t="inlineStr">
        <is>
          <t>2026-04-30</t>
        </is>
      </c>
      <c r="G100" t="inlineStr">
        <is>
          <t xml:space="preserve"> - No hay coche</t>
        </is>
      </c>
      <c r="H100">
        <f>HYPERLINK("https://booking.roadsurfer.com/es/rally/pick?pickup_date=2026-04-23&amp;return_date=2026-04-30&amp;currency=EUR&amp;startStation=113&amp;endStation=34",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Italia</t>
        </is>
      </c>
      <c r="D101" t="inlineStr">
        <is>
          <t>Bérgamo</t>
        </is>
      </c>
      <c r="E101" t="inlineStr">
        <is>
          <t>2026-04-23</t>
        </is>
      </c>
      <c r="F101" t="inlineStr">
        <is>
          <t>2026-04-30</t>
        </is>
      </c>
      <c r="G101" t="inlineStr">
        <is>
          <t xml:space="preserve"> - No hay coche</t>
        </is>
      </c>
      <c r="H101">
        <f>HYPERLINK("https://booking.roadsurfer.com/es/rally/pick?pickup_date=2026-04-23&amp;return_date=2026-04-30&amp;currency=EUR&amp;startStation=113&amp;endStation=94",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2026-04-27</t>
        </is>
      </c>
      <c r="F102" t="inlineStr">
        <is>
          <t>2026-05-04</t>
        </is>
      </c>
      <c r="G102" t="inlineStr">
        <is>
          <t xml:space="preserve"> - Family Finca</t>
        </is>
      </c>
      <c r="H102">
        <f>HYPERLINK("https://booking.roadsurfer.com/es/rally/pick?pickup_date=2026-04-27&amp;return_date=2026-05-04&amp;currency=EUR&amp;startStation=113&amp;endStation=59",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Surfer Suite</t>
        </is>
      </c>
      <c r="H103">
        <f>HYPERLINK("https://booking.roadsurfer.com/es/rally/pick?pickup_date=2026-04-13&amp;return_date=2026-04-20&amp;currency=EUR&amp;startStation=90&amp;endStation=47",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Austria</t>
        </is>
      </c>
      <c r="D104" t="inlineStr">
        <is>
          <t>Linz</t>
        </is>
      </c>
      <c r="E104" t="inlineStr">
        <is>
          <t>2026-03-30</t>
        </is>
      </c>
      <c r="F104" t="inlineStr">
        <is>
          <t>2026-04-06</t>
        </is>
      </c>
      <c r="G104" t="inlineStr">
        <is>
          <t xml:space="preserve"> - No hay coche</t>
        </is>
      </c>
      <c r="H104">
        <f>HYPERLINK("https://booking.roadsurfer.com/es/rally/pick?pickup_date=2026-03-30&amp;return_date=2026-04-06&amp;currency=EUR&amp;startStation=90&amp;endStation=116",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2026-03-25</t>
        </is>
      </c>
      <c r="F105" t="inlineStr">
        <is>
          <t>2026-04-01</t>
        </is>
      </c>
      <c r="G105" t="inlineStr">
        <is>
          <t xml:space="preserve"> - SURFER SUITE</t>
        </is>
      </c>
      <c r="H105">
        <f>HYPERLINK("https://booking.roadsurfer.com/es/rally/pick?pickup_date=2026-03-25&amp;return_date=2026-04-01&amp;currency=EUR&amp;startStation=90&amp;endStation=42",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2026-04-23</t>
        </is>
      </c>
      <c r="F106" t="inlineStr">
        <is>
          <t>2026-04-30</t>
        </is>
      </c>
      <c r="G106" t="inlineStr">
        <is>
          <t xml:space="preserve"> - Beach Hostel</t>
        </is>
      </c>
      <c r="H106">
        <f>HYPERLINK("https://booking.roadsurfer.com/es/rally/pick?pickup_date=2026-04-23&amp;return_date=2026-04-30&amp;currency=EUR&amp;startStation=90&amp;endStation=42",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Estrasburgo</t>
        </is>
      </c>
      <c r="E107" t="inlineStr">
        <is>
          <t>2026-05-08</t>
        </is>
      </c>
      <c r="F107" t="inlineStr">
        <is>
          <t>2026-05-15</t>
        </is>
      </c>
      <c r="G107" t="inlineStr">
        <is>
          <t xml:space="preserve"> - Beach Hostel</t>
        </is>
      </c>
      <c r="H107">
        <f>HYPERLINK("https://booking.roadsurfer.com/es/rally/pick?pickup_date=2026-05-08&amp;return_date=2026-05-15&amp;currency=EUR&amp;startStation=90&amp;endStation=49",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Francia</t>
        </is>
      </c>
      <c r="D108" t="inlineStr">
        <is>
          <t>Estrasburgo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Beach Hostel</t>
        </is>
      </c>
      <c r="H108">
        <f>HYPERLINK("https://booking.roadsurfer.com/es/rally/pick?pickup_date=2026-04-13&amp;return_date=2026-04-20&amp;currency=EUR&amp;startStation=90&amp;endStation=49",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Beach Hostel</t>
        </is>
      </c>
      <c r="H109">
        <f>HYPERLINK("https://booking.roadsurfer.com/es/rally/pick?pickup_date=2026-04-13&amp;return_date=2026-04-20&amp;currency=EUR&amp;startStation=90&amp;endStation=15",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2026-05-05</t>
        </is>
      </c>
      <c r="F110" t="inlineStr">
        <is>
          <t>2026-05-12</t>
        </is>
      </c>
      <c r="G110" t="inlineStr">
        <is>
          <t xml:space="preserve"> - Travel Home</t>
        </is>
      </c>
      <c r="H110">
        <f>HYPERLINK("https://booking.roadsurfer.com/es/rally/pick?pickup_date=2026-05-05&amp;return_date=2026-05-12&amp;currency=EUR&amp;startStation=90&amp;endStation=13",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Road House</t>
        </is>
      </c>
      <c r="H111">
        <f>HYPERLINK("https://booking.roadsurfer.com/es/rally/pick?pickup_date=2026-04-14&amp;return_date=2026-04-21&amp;currency=EUR&amp;startStation=90&amp;endStation=77",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2026-03-30</t>
        </is>
      </c>
      <c r="F112" t="inlineStr">
        <is>
          <t>2026-04-06</t>
        </is>
      </c>
      <c r="G112" t="inlineStr">
        <is>
          <t xml:space="preserve"> - No hay coche</t>
        </is>
      </c>
      <c r="H112">
        <f>HYPERLINK("https://booking.roadsurfer.com/es/rally/pick?pickup_date=2026-03-30&amp;return_date=2026-04-06&amp;currency=EUR&amp;startStation=90&amp;endStation=12",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2026-03-26</t>
        </is>
      </c>
      <c r="F113" t="inlineStr">
        <is>
          <t>2026-04-02</t>
        </is>
      </c>
      <c r="G113" t="inlineStr">
        <is>
          <t xml:space="preserve"> - No hay coche</t>
        </is>
      </c>
      <c r="H113">
        <f>HYPERLINK("https://booking.roadsurfer.com/es/rally/pick?pickup_date=2026-03-26&amp;return_date=2026-04-02&amp;currency=EUR&amp;startStation=90&amp;endStation=34",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Sunrise Suite</t>
        </is>
      </c>
      <c r="H114">
        <f>HYPERLINK("https://booking.roadsurfer.com/es/rally/pick?pickup_date=2026-04-21&amp;return_date=2026-04-28&amp;currency=EUR&amp;startStation=90&amp;endStation=59",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Bochum</t>
        </is>
      </c>
      <c r="E115" t="inlineStr">
        <is>
          <t>2026-03-26</t>
        </is>
      </c>
      <c r="F115" t="inlineStr">
        <is>
          <t>2026-04-02</t>
        </is>
      </c>
      <c r="G115" t="inlineStr">
        <is>
          <t xml:space="preserve"> - Surfer Suite</t>
        </is>
      </c>
      <c r="H115">
        <f>HYPERLINK("https://booking.roadsurfer.com/es/rally/pick?pickup_date=2026-03-26&amp;return_date=2026-04-02&amp;currency=EUR&amp;startStation=80&amp;endStation=24",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CAMPER CASTLE</t>
        </is>
      </c>
      <c r="H116">
        <f>HYPERLINK("https://booking.roadsurfer.com/es/rally/pick?pickup_date=2026-04-27&amp;return_date=2026-05-04&amp;currency=EUR&amp;startStation=2&amp;endStation=40",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No hay coche</t>
        </is>
      </c>
      <c r="H117">
        <f>HYPERLINK("https://booking.roadsurfer.com/es/rally/pick?pickup_date=2026-03-25&amp;return_date=2026-04-01&amp;currency=EUR&amp;startStation=2&amp;endStation=40",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Couple Cottage</t>
        </is>
      </c>
      <c r="H118">
        <f>HYPERLINK("https://booking.roadsurfer.com/es/rally/pick?pickup_date=2026-04-23&amp;return_date=2026-04-30&amp;currency=EUR&amp;startStation=2&amp;endStation=40",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España</t>
        </is>
      </c>
      <c r="D119" t="inlineStr">
        <is>
          <t>Bilbao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Surfer Suite</t>
        </is>
      </c>
      <c r="H119">
        <f>HYPERLINK("https://booking.roadsurfer.com/es/rally/pick?pickup_date=2026-05-06&amp;return_date=2026-05-13&amp;currency=EUR&amp;startStation=2&amp;endStation=40",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2026-03-27</t>
        </is>
      </c>
      <c r="F120" t="inlineStr">
        <is>
          <t>2026-04-03</t>
        </is>
      </c>
      <c r="G120" t="inlineStr">
        <is>
          <t xml:space="preserve"> - Surfer Suite</t>
        </is>
      </c>
      <c r="H120">
        <f>HYPERLINK("https://booking.roadsurfer.com/es/rally/pick?pickup_date=2026-03-27&amp;return_date=2026-04-03&amp;currency=EUR&amp;startStation=2&amp;endStation=13",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España</t>
        </is>
      </c>
      <c r="D121" t="inlineStr">
        <is>
          <t>Barcelona</t>
        </is>
      </c>
      <c r="E121" t="inlineStr">
        <is>
          <t>2026-03-27</t>
        </is>
      </c>
      <c r="F121" t="inlineStr">
        <is>
          <t>2026-04-03</t>
        </is>
      </c>
      <c r="G121" t="inlineStr">
        <is>
          <t xml:space="preserve"> - No hay coche</t>
        </is>
      </c>
      <c r="H121">
        <f>HYPERLINK("https://booking.roadsurfer.com/es/rally/pick?pickup_date=2026-03-27&amp;return_date=2026-04-03&amp;currency=EUR&amp;startStation=2&amp;endStation=17",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España</t>
        </is>
      </c>
      <c r="D122" t="inlineStr">
        <is>
          <t>Barcelona</t>
        </is>
      </c>
      <c r="E122" t="inlineStr">
        <is>
          <t>2026-04-01</t>
        </is>
      </c>
      <c r="F122" t="inlineStr">
        <is>
          <t>2026-04-08</t>
        </is>
      </c>
      <c r="G122" t="inlineStr">
        <is>
          <t xml:space="preserve"> - Surfer Suite</t>
        </is>
      </c>
      <c r="H122">
        <f>HYPERLINK("https://booking.roadsurfer.com/es/rally/pick?pickup_date=2026-04-01&amp;return_date=2026-04-08&amp;currency=EUR&amp;startStation=2&amp;endStation=17",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2026-04-24</t>
        </is>
      </c>
      <c r="F123" t="inlineStr">
        <is>
          <t>2026-05-01</t>
        </is>
      </c>
      <c r="G123" t="inlineStr">
        <is>
          <t xml:space="preserve"> - No hay coche</t>
        </is>
      </c>
      <c r="H123">
        <f>HYPERLINK("https://booking.roadsurfer.com/es/rally/pick?pickup_date=2026-04-24&amp;return_date=2026-05-01&amp;currency=EUR&amp;startStation=2&amp;endStation=78",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Italia</t>
        </is>
      </c>
      <c r="D124" t="inlineStr">
        <is>
          <t>Bérgamo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Surfer Suite</t>
        </is>
      </c>
      <c r="H124">
        <f>HYPERLINK("https://booking.roadsurfer.com/es/rally/pick?pickup_date=2026-05-04&amp;return_date=2026-05-11&amp;currency=EUR&amp;startStation=2&amp;endStation=94",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Francia</t>
        </is>
      </c>
      <c r="D125" t="inlineStr">
        <is>
          <t>París Aeropuerto CDG</t>
        </is>
      </c>
      <c r="E125" t="inlineStr">
        <is>
          <t>2026-04-14</t>
        </is>
      </c>
      <c r="F125" t="inlineStr">
        <is>
          <t>2026-04-21</t>
        </is>
      </c>
      <c r="G125" t="inlineStr">
        <is>
          <t xml:space="preserve"> - Surfer Suite</t>
        </is>
      </c>
      <c r="H125">
        <f>HYPERLINK("https://booking.roadsurfer.com/es/rally/pick?pickup_date=2026-04-14&amp;return_date=2026-04-21&amp;currency=EUR&amp;startStation=2&amp;endStation=48", "Clic para verlo en la web de RoadSurfer")</f>
        <v/>
      </c>
    </row>
    <row r="126">
      <c r="A126" t="inlineStr">
        <is>
          <t>Alemania</t>
        </is>
      </c>
      <c r="B126" t="inlineStr">
        <is>
          <t>Fráncfort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2026-04-10</t>
        </is>
      </c>
      <c r="F126" t="inlineStr">
        <is>
          <t>2026-04-17</t>
        </is>
      </c>
      <c r="G126" t="inlineStr">
        <is>
          <t xml:space="preserve"> - Surfer Suite</t>
        </is>
      </c>
      <c r="H126">
        <f>HYPERLINK("https://booking.roadsurfer.com/es/rally/pick?pickup_date=2026-04-10&amp;return_date=2026-04-17&amp;currency=EUR&amp;startStation=2&amp;endStation=34",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2026-04-11</t>
        </is>
      </c>
      <c r="F127" t="inlineStr">
        <is>
          <t>2026-04-18</t>
        </is>
      </c>
      <c r="G127" t="inlineStr">
        <is>
          <t xml:space="preserve"> - Sunrise Suite</t>
        </is>
      </c>
      <c r="H127">
        <f>HYPERLINK("https://booking.roadsurfer.com/es/rally/pick?pickup_date=2026-04-11&amp;return_date=2026-04-18&amp;currency=EUR&amp;startStation=2&amp;endStation=29", "Clic para verlo en la web de RoadSurfer")</f>
        <v/>
      </c>
    </row>
    <row r="128">
      <c r="A128" t="inlineStr">
        <is>
          <t>Alemania</t>
        </is>
      </c>
      <c r="B128" t="inlineStr">
        <is>
          <t>Fráncfort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Sunrise Suite</t>
        </is>
      </c>
      <c r="H128">
        <f>HYPERLINK("https://booking.roadsurfer.com/es/rally/pick?pickup_date=2026-04-13&amp;return_date=2026-04-20&amp;currency=EUR&amp;startStation=2&amp;endStation=29", "Clic para verlo en la web de RoadSurfer")</f>
        <v/>
      </c>
    </row>
    <row r="129">
      <c r="A129" t="inlineStr">
        <is>
          <t>Alemania</t>
        </is>
      </c>
      <c r="B129" t="inlineStr">
        <is>
          <t>Fráncfort</t>
        </is>
      </c>
      <c r="C129" t="inlineStr">
        <is>
          <t>Francia</t>
        </is>
      </c>
      <c r="D129" t="inlineStr">
        <is>
          <t>Ginebra-Pays de Gex (Francia)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HYPERLINK("https://booking.roadsurfer.com/es/rally/pick?pickup_date=2026-04-20&amp;return_date=2026-04-27&amp;currency=EUR&amp;startStation=2&amp;endStation=29",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2026-04-15</t>
        </is>
      </c>
      <c r="F130" t="inlineStr">
        <is>
          <t>2026-04-22</t>
        </is>
      </c>
      <c r="G130" t="inlineStr">
        <is>
          <t xml:space="preserve"> - BEACH HOSTEL</t>
        </is>
      </c>
      <c r="H130">
        <f>HYPERLINK("https://booking.roadsurfer.com/es/rally/pick?pickup_date=2026-04-15&amp;return_date=2026-04-22&amp;currency=EUR&amp;startStation=2&amp;endStation=15",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Países Bajos</t>
        </is>
      </c>
      <c r="D131" t="inlineStr">
        <is>
          <t>Róterdam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No hay coche</t>
        </is>
      </c>
      <c r="H131">
        <f>HYPERLINK("https://booking.roadsurfer.com/es/rally/pick?pickup_date=2026-04-13&amp;return_date=2026-04-20&amp;currency=EUR&amp;startStation=2&amp;endStation=33",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España</t>
        </is>
      </c>
      <c r="D132" t="inlineStr">
        <is>
          <t>Madrid</t>
        </is>
      </c>
      <c r="E132" t="inlineStr">
        <is>
          <t>2026-04-08</t>
        </is>
      </c>
      <c r="F132" t="inlineStr">
        <is>
          <t>2026-04-15</t>
        </is>
      </c>
      <c r="G132" t="inlineStr">
        <is>
          <t xml:space="preserve"> - Camper Castle</t>
        </is>
      </c>
      <c r="H132">
        <f>HYPERLINK("https://booking.roadsurfer.com/es/rally/pick?pickup_date=2026-04-08&amp;return_date=2026-04-15&amp;currency=EUR&amp;startStation=2&amp;endStation=20",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Road House</t>
        </is>
      </c>
      <c r="H133">
        <f>HYPERLINK("https://booking.roadsurfer.com/es/rally/pick?pickup_date=2026-03-24&amp;return_date=2026-03-31&amp;currency=EUR&amp;startStation=2&amp;endStation=20",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Estrasburgo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No hay coche</t>
        </is>
      </c>
      <c r="H134">
        <f>HYPERLINK("https://booking.roadsurfer.com/es/rally/pick?pickup_date=2026-04-13&amp;return_date=2026-04-20&amp;currency=EUR&amp;startStation=2&amp;endStation=49",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Alemania</t>
        </is>
      </c>
      <c r="D135" t="inlineStr">
        <is>
          <t>Braunschweig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No hay coche</t>
        </is>
      </c>
      <c r="H135">
        <f>HYPERLINK("https://booking.roadsurfer.com/es/rally/pick?pickup_date=2026-04-20&amp;return_date=2026-04-27&amp;currency=EUR&amp;startStation=2&amp;endStation=128",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2026-03-31</t>
        </is>
      </c>
      <c r="F136" t="inlineStr">
        <is>
          <t>2026-04-07</t>
        </is>
      </c>
      <c r="G136" t="inlineStr">
        <is>
          <t xml:space="preserve"> - Family Finca</t>
        </is>
      </c>
      <c r="H136">
        <f>HYPERLINK("https://booking.roadsurfer.com/es/rally/pick?pickup_date=2026-03-31&amp;return_date=2026-04-07&amp;currency=EUR&amp;startStation=2&amp;endStation=30",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España</t>
        </is>
      </c>
      <c r="D137" t="inlineStr">
        <is>
          <t>Málaga</t>
        </is>
      </c>
      <c r="E137" t="inlineStr">
        <is>
          <t>2026-04-28</t>
        </is>
      </c>
      <c r="F137" t="inlineStr">
        <is>
          <t>2026-05-05</t>
        </is>
      </c>
      <c r="G137" t="inlineStr">
        <is>
          <t xml:space="preserve"> - No hay coche</t>
        </is>
      </c>
      <c r="H137">
        <f>HYPERLINK("https://booking.roadsurfer.com/es/rally/pick?pickup_date=2026-04-28&amp;return_date=2026-05-05&amp;currency=EUR&amp;startStation=2&amp;endStation=21",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Países Bajos</t>
        </is>
      </c>
      <c r="D138" t="inlineStr">
        <is>
          <t>Ámsterdam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No hay coche</t>
        </is>
      </c>
      <c r="H138">
        <f>HYPERLINK("https://booking.roadsurfer.com/es/rally/pick?pickup_date=2026-04-20&amp;return_date=2026-04-27&amp;currency=EUR&amp;startStation=2&amp;endStation=32",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Turín</t>
        </is>
      </c>
      <c r="E139" t="inlineStr">
        <is>
          <t>2026-04-15</t>
        </is>
      </c>
      <c r="F139" t="inlineStr">
        <is>
          <t>2026-04-22</t>
        </is>
      </c>
      <c r="G139" t="inlineStr">
        <is>
          <t xml:space="preserve"> - Cozy Cottage</t>
        </is>
      </c>
      <c r="H139">
        <f>HYPERLINK("https://booking.roadsurfer.com/es/rally/pick?pickup_date=2026-04-15&amp;return_date=2026-04-22&amp;currency=EUR&amp;startStation=2&amp;endStation=58", "Clic para verlo en la web de RoadSurfer")</f>
        <v/>
      </c>
    </row>
    <row r="140">
      <c r="A140" t="inlineStr">
        <is>
          <t>Alemania</t>
        </is>
      </c>
      <c r="B140" t="inlineStr">
        <is>
          <t>Friburgo-Basilea (Alemania)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2026-04-28</t>
        </is>
      </c>
      <c r="F140" t="inlineStr">
        <is>
          <t>2026-05-05</t>
        </is>
      </c>
      <c r="G140" t="inlineStr">
        <is>
          <t xml:space="preserve"> - Surfer Suite</t>
        </is>
      </c>
      <c r="H140">
        <f>HYPERLINK("https://booking.roadsurfer.com/es/rally/pick?pickup_date=2026-04-28&amp;return_date=2026-05-05&amp;currency=EUR&amp;startStation=9&amp;endStation=15", "Clic para verlo en la web de RoadSurfer")</f>
        <v/>
      </c>
    </row>
    <row r="141">
      <c r="A141" t="inlineStr">
        <is>
          <t>Alemania</t>
        </is>
      </c>
      <c r="B141" t="inlineStr">
        <is>
          <t>Friburgo-Basilea (Alemania)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No hay coche</t>
        </is>
      </c>
      <c r="H141">
        <f>HYPERLINK("https://booking.roadsurfer.com/es/rally/pick?pickup_date=2026-04-20&amp;return_date=2026-04-27&amp;currency=EUR&amp;startStation=9&amp;endStation=15", "Clic para verlo en la web de RoadSurfer")</f>
        <v/>
      </c>
    </row>
    <row r="142">
      <c r="A142" t="inlineStr">
        <is>
          <t>Alemania</t>
        </is>
      </c>
      <c r="B142" t="inlineStr">
        <is>
          <t>Friburgo-Basilea (Alemania)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Surfer Suite</t>
        </is>
      </c>
      <c r="H142">
        <f>HYPERLINK("https://booking.roadsurfer.com/es/rally/pick?pickup_date=2026-04-13&amp;return_date=2026-04-20&amp;currency=EUR&amp;startStation=9&amp;endStation=29", "Clic para verlo en la web de RoadSurfer")</f>
        <v/>
      </c>
    </row>
    <row r="143">
      <c r="A143" t="inlineStr">
        <is>
          <t>Alemania</t>
        </is>
      </c>
      <c r="B143" t="inlineStr">
        <is>
          <t>Friburgo-Basilea (Alemania)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Surfer Suite</t>
        </is>
      </c>
      <c r="H143">
        <f>HYPERLINK("https://booking.roadsurfer.com/es/rally/pick?pickup_date=2026-04-14&amp;return_date=2026-04-21&amp;currency=EUR&amp;startStation=9&amp;endStation=29", "Clic para verlo en la web de RoadSurfer")</f>
        <v/>
      </c>
    </row>
    <row r="144">
      <c r="A144" t="inlineStr">
        <is>
          <t>Alemania</t>
        </is>
      </c>
      <c r="B144" t="inlineStr">
        <is>
          <t>Friburgo-Basilea (Alemania)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2026-04-01</t>
        </is>
      </c>
      <c r="F144" t="inlineStr">
        <is>
          <t>2026-04-08</t>
        </is>
      </c>
      <c r="G144" t="inlineStr">
        <is>
          <t xml:space="preserve"> - Surfer Suite</t>
        </is>
      </c>
      <c r="H144">
        <f>HYPERLINK("https://booking.roadsurfer.com/es/rally/pick?pickup_date=2026-04-01&amp;return_date=2026-04-08&amp;currency=EUR&amp;startStation=9&amp;endStation=13", "Clic para verlo en la web de RoadSurfer")</f>
        <v/>
      </c>
    </row>
    <row r="145">
      <c r="A145" t="inlineStr">
        <is>
          <t>Alemania</t>
        </is>
      </c>
      <c r="B145" t="inlineStr">
        <is>
          <t>Friburgo-Basilea (Alemania)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Surfer Suite</t>
        </is>
      </c>
      <c r="H145">
        <f>HYPERLINK("https://booking.roadsurfer.com/es/rally/pick?pickup_date=2026-04-20&amp;return_date=2026-04-27&amp;currency=EUR&amp;startStation=9&amp;endStation=17", "Clic para verlo en la web de RoadSurfer")</f>
        <v/>
      </c>
    </row>
    <row r="146">
      <c r="A146" t="inlineStr">
        <is>
          <t>Alemania</t>
        </is>
      </c>
      <c r="B146" t="inlineStr">
        <is>
          <t>Friburgo-Basilea (Alemania)</t>
        </is>
      </c>
      <c r="C146" t="inlineStr">
        <is>
          <t>Alemania</t>
        </is>
      </c>
      <c r="D146" t="inlineStr">
        <is>
          <t>Berlín-Schönefeld</t>
        </is>
      </c>
      <c r="E146" t="inlineStr">
        <is>
          <t>2026-04-15</t>
        </is>
      </c>
      <c r="F146" t="inlineStr">
        <is>
          <t>2026-04-22</t>
        </is>
      </c>
      <c r="G146" t="inlineStr">
        <is>
          <t xml:space="preserve"> - Travel Home</t>
        </is>
      </c>
      <c r="H146">
        <f>HYPERLINK("https://booking.roadsurfer.com/es/rally/pick?pickup_date=2026-04-15&amp;return_date=2026-04-22&amp;currency=EUR&amp;startStation=9&amp;endStation=51", "Clic para verlo en la web de RoadSurfer")</f>
        <v/>
      </c>
    </row>
    <row r="147">
      <c r="A147" t="inlineStr">
        <is>
          <t>Alemania</t>
        </is>
      </c>
      <c r="B147" t="inlineStr">
        <is>
          <t>Friburgo-Basilea (Alemania)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2026-04-16</t>
        </is>
      </c>
      <c r="F147" t="inlineStr">
        <is>
          <t>2026-04-23</t>
        </is>
      </c>
      <c r="G147" t="inlineStr">
        <is>
          <t xml:space="preserve"> - Camper Cabin</t>
        </is>
      </c>
      <c r="H147">
        <f>HYPERLINK("https://booking.roadsurfer.com/es/rally/pick?pickup_date=2026-04-16&amp;return_date=2026-04-23&amp;currency=EUR&amp;startStation=9&amp;endStation=1", "Clic para verlo en la web de RoadSurfer")</f>
        <v/>
      </c>
    </row>
    <row r="148">
      <c r="A148" t="inlineStr">
        <is>
          <t>Alemania</t>
        </is>
      </c>
      <c r="B148" t="inlineStr">
        <is>
          <t>Friburgo-Basilea (Alemania)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Camper Cabin</t>
        </is>
      </c>
      <c r="H148">
        <f>HYPERLINK("https://booking.roadsurfer.com/es/rally/pick?pickup_date=2026-04-13&amp;return_date=2026-04-20&amp;currency=EUR&amp;startStation=9&amp;endStation=40", "Clic para verlo en la web de RoadSurfer")</f>
        <v/>
      </c>
    </row>
    <row r="149">
      <c r="A149" t="inlineStr">
        <is>
          <t>Alemania</t>
        </is>
      </c>
      <c r="B149" t="inlineStr">
        <is>
          <t>Friburgo-Basilea (Alemania)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2026-05-07</t>
        </is>
      </c>
      <c r="F149" t="inlineStr">
        <is>
          <t>2026-05-14</t>
        </is>
      </c>
      <c r="G149" t="inlineStr">
        <is>
          <t xml:space="preserve"> - No hay coche</t>
        </is>
      </c>
      <c r="H149">
        <f>HYPERLINK("https://booking.roadsurfer.com/es/rally/pick?pickup_date=2026-05-07&amp;return_date=2026-05-14&amp;currency=EUR&amp;startStation=9&amp;endStation=16", "Clic para verlo en la web de RoadSurfer")</f>
        <v/>
      </c>
    </row>
    <row r="150">
      <c r="A150" t="inlineStr">
        <is>
          <t>Francia</t>
        </is>
      </c>
      <c r="B150" t="inlineStr">
        <is>
          <t>Ginebra-Pays de Gex (Francia)</t>
        </is>
      </c>
      <c r="C150" t="inlineStr">
        <is>
          <t>Alemania</t>
        </is>
      </c>
      <c r="D150" t="inlineStr">
        <is>
          <t>Friburgo-Basilea (Alemania)</t>
        </is>
      </c>
      <c r="E150" t="inlineStr">
        <is>
          <t>2026-04-14</t>
        </is>
      </c>
      <c r="F150" t="inlineStr">
        <is>
          <t>2026-04-21</t>
        </is>
      </c>
      <c r="G150" t="inlineStr">
        <is>
          <t xml:space="preserve"> - Surfer Suite</t>
        </is>
      </c>
      <c r="H150">
        <f>HYPERLINK("https://booking.roadsurfer.com/es/rally/pick?pickup_date=2026-04-14&amp;return_date=2026-04-21&amp;currency=EUR&amp;startStation=29&amp;endStation=9", "Clic para verlo en la web de RoadSurfer")</f>
        <v/>
      </c>
    </row>
    <row r="151">
      <c r="A151" t="inlineStr">
        <is>
          <t>Francia</t>
        </is>
      </c>
      <c r="B151" t="inlineStr">
        <is>
          <t>Ginebra-Pays de Gex (Francia)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Road House</t>
        </is>
      </c>
      <c r="H151">
        <f>HYPERLINK("https://booking.roadsurfer.com/es/rally/pick?pickup_date=2026-05-04&amp;return_date=2026-05-11&amp;currency=EUR&amp;startStation=29&amp;endStation=56", "Clic para verlo en la web de RoadSurfer")</f>
        <v/>
      </c>
    </row>
    <row r="152">
      <c r="A152" t="inlineStr">
        <is>
          <t>Francia</t>
        </is>
      </c>
      <c r="B152" t="inlineStr">
        <is>
          <t>Ginebra-Pays de Gex (Francia)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2026-03-24</t>
        </is>
      </c>
      <c r="F152" t="inlineStr">
        <is>
          <t>2026-03-31</t>
        </is>
      </c>
      <c r="G152" t="inlineStr">
        <is>
          <t xml:space="preserve"> - Family Finca</t>
        </is>
      </c>
      <c r="H152">
        <f>HYPERLINK("https://booking.roadsurfer.com/es/rally/pick?pickup_date=2026-03-24&amp;return_date=2026-03-31&amp;currency=EUR&amp;startStation=29&amp;endStation=2", "Clic para verlo en la web de RoadSurfer")</f>
        <v/>
      </c>
    </row>
    <row r="153">
      <c r="A153" t="inlineStr">
        <is>
          <t>Suecia</t>
        </is>
      </c>
      <c r="B153" t="inlineStr">
        <is>
          <t>Gotemburgo</t>
        </is>
      </c>
      <c r="C153" t="inlineStr">
        <is>
          <t>Alemania</t>
        </is>
      </c>
      <c r="D153" t="inlineStr">
        <is>
          <t>Hamburgo Aeropuerto</t>
        </is>
      </c>
      <c r="E153" t="inlineStr">
        <is>
          <t>2026-04-23</t>
        </is>
      </c>
      <c r="F153" t="inlineStr">
        <is>
          <t>2026-04-30</t>
        </is>
      </c>
      <c r="G153" t="inlineStr">
        <is>
          <t xml:space="preserve"> - Surfer Suite</t>
        </is>
      </c>
      <c r="H153">
        <f>HYPERLINK("https://booking.roadsurfer.com/es/rally/pick?pickup_date=2026-04-23&amp;return_date=2026-04-30&amp;currency=EUR&amp;startStation=77&amp;endStation=65", "Clic para verlo en la web de RoadSurfer")</f>
        <v/>
      </c>
    </row>
    <row r="154">
      <c r="A154" t="inlineStr">
        <is>
          <t>Suecia</t>
        </is>
      </c>
      <c r="B154" t="inlineStr">
        <is>
          <t>Gotemburgo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2026-03-24</t>
        </is>
      </c>
      <c r="F154" t="inlineStr">
        <is>
          <t>2026-03-31</t>
        </is>
      </c>
      <c r="G154" t="inlineStr">
        <is>
          <t xml:space="preserve"> - Surfer Suite</t>
        </is>
      </c>
      <c r="H154">
        <f>HYPERLINK("https://booking.roadsurfer.com/es/rally/pick?pickup_date=2026-03-24&amp;return_date=2026-03-31&amp;currency=EUR&amp;startStation=77&amp;endStation=22", "Clic para verlo en la web de RoadSurfer")</f>
        <v/>
      </c>
    </row>
    <row r="155">
      <c r="A155" t="inlineStr">
        <is>
          <t>Suecia</t>
        </is>
      </c>
      <c r="B155" t="inlineStr">
        <is>
          <t>Gotemburgo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2026-03-26</t>
        </is>
      </c>
      <c r="F155" t="inlineStr">
        <is>
          <t>2026-04-02</t>
        </is>
      </c>
      <c r="G155" t="inlineStr">
        <is>
          <t xml:space="preserve"> - Couple Cottage</t>
        </is>
      </c>
      <c r="H155">
        <f>HYPERLINK("https://booking.roadsurfer.com/es/rally/pick?pickup_date=2026-03-26&amp;return_date=2026-04-02&amp;currency=EUR&amp;startStation=77&amp;endStation=22", "Clic para verlo en la web de RoadSurfer")</f>
        <v/>
      </c>
    </row>
    <row r="156">
      <c r="A156" t="inlineStr">
        <is>
          <t>Suecia</t>
        </is>
      </c>
      <c r="B156" t="inlineStr">
        <is>
          <t>Gotemburgo</t>
        </is>
      </c>
      <c r="C156" t="inlineStr">
        <is>
          <t>Alemania</t>
        </is>
      </c>
      <c r="D156" t="inlineStr">
        <is>
          <t>Bielefeld</t>
        </is>
      </c>
      <c r="E156" t="inlineStr">
        <is>
          <t>2026-03-25</t>
        </is>
      </c>
      <c r="F156" t="inlineStr">
        <is>
          <t>2026-04-01</t>
        </is>
      </c>
      <c r="G156" t="inlineStr">
        <is>
          <t xml:space="preserve"> - Surfer Suite - Family Finca</t>
        </is>
      </c>
      <c r="H156">
        <f>HYPERLINK("https://booking.roadsurfer.com/es/rally/pick?pickup_date=2026-03-25&amp;return_date=2026-04-01&amp;currency=EUR&amp;startStation=77&amp;endStation=91", "Clic para verlo en la web de RoadSurfer")</f>
        <v/>
      </c>
    </row>
    <row r="157">
      <c r="A157" t="inlineStr">
        <is>
          <t>Suecia</t>
        </is>
      </c>
      <c r="B157" t="inlineStr">
        <is>
          <t>Gotemburgo</t>
        </is>
      </c>
      <c r="C157" t="inlineStr">
        <is>
          <t>Alemania</t>
        </is>
      </c>
      <c r="D157" t="inlineStr">
        <is>
          <t>Bielefeld</t>
        </is>
      </c>
      <c r="E157" t="inlineStr">
        <is>
          <t>2026-04-07</t>
        </is>
      </c>
      <c r="F157" t="inlineStr">
        <is>
          <t>2026-04-14</t>
        </is>
      </c>
      <c r="G157" t="inlineStr">
        <is>
          <t xml:space="preserve"> - Camper Castle</t>
        </is>
      </c>
      <c r="H157">
        <f>HYPERLINK("https://booking.roadsurfer.com/es/rally/pick?pickup_date=2026-04-07&amp;return_date=2026-04-14&amp;currency=EUR&amp;startStation=77&amp;endStation=91", "Clic para verlo en la web de RoadSurfer")</f>
        <v/>
      </c>
    </row>
    <row r="158">
      <c r="A158" t="inlineStr">
        <is>
          <t>Suecia</t>
        </is>
      </c>
      <c r="B158" t="inlineStr">
        <is>
          <t>Gotemburgo</t>
        </is>
      </c>
      <c r="C158" t="inlineStr">
        <is>
          <t>Alemania</t>
        </is>
      </c>
      <c r="D158" t="inlineStr">
        <is>
          <t>Bielefeld</t>
        </is>
      </c>
      <c r="E158" t="inlineStr">
        <is>
          <t>2026-04-14</t>
        </is>
      </c>
      <c r="F158" t="inlineStr">
        <is>
          <t>2026-04-21</t>
        </is>
      </c>
      <c r="G158" t="inlineStr">
        <is>
          <t xml:space="preserve"> - Sunrise Suite</t>
        </is>
      </c>
      <c r="H158">
        <f>HYPERLINK("https://booking.roadsurfer.com/es/rally/pick?pickup_date=2026-04-14&amp;return_date=2026-04-21&amp;currency=EUR&amp;startStation=77&amp;endStation=91",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2026-04-14</t>
        </is>
      </c>
      <c r="F159" t="inlineStr">
        <is>
          <t>2026-04-21</t>
        </is>
      </c>
      <c r="G159" t="inlineStr">
        <is>
          <t xml:space="preserve"> - Road House</t>
        </is>
      </c>
      <c r="H159">
        <f>HYPERLINK("https://booking.roadsurfer.com/es/rally/pick?pickup_date=2026-04-14&amp;return_date=2026-04-21&amp;currency=EUR&amp;startStation=77&amp;endStation=90",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Erfurt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Family Finca</t>
        </is>
      </c>
      <c r="H160">
        <f>HYPERLINK("https://booking.roadsurfer.com/es/rally/pick?pickup_date=2026-04-22&amp;return_date=2026-04-29&amp;currency=EUR&amp;startStation=77&amp;endStation=90",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Karlsruhe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Camper Castle</t>
        </is>
      </c>
      <c r="H161">
        <f>HYPERLINK("https://booking.roadsurfer.com/es/rally/pick?pickup_date=2026-04-15&amp;return_date=2026-04-22&amp;currency=EUR&amp;startStation=77&amp;endStation=110",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Maguncia</t>
        </is>
      </c>
      <c r="E162" t="inlineStr">
        <is>
          <t>2026-03-31</t>
        </is>
      </c>
      <c r="F162" t="inlineStr">
        <is>
          <t>2026-04-07</t>
        </is>
      </c>
      <c r="G162" t="inlineStr">
        <is>
          <t xml:space="preserve"> - Camper Castle</t>
        </is>
      </c>
      <c r="H162">
        <f>HYPERLINK("https://booking.roadsurfer.com/es/rally/pick?pickup_date=2026-03-31&amp;return_date=2026-04-07&amp;currency=EUR&amp;startStation=77&amp;endStation=54",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2026-04-24</t>
        </is>
      </c>
      <c r="F163" t="inlineStr">
        <is>
          <t>2026-05-01</t>
        </is>
      </c>
      <c r="G163" t="inlineStr">
        <is>
          <t xml:space="preserve"> - No hay coche</t>
        </is>
      </c>
      <c r="H163">
        <f>HYPERLINK("https://booking.roadsurfer.com/es/rally/pick?pickup_date=2026-04-24&amp;return_date=2026-05-01&amp;currency=EUR&amp;startStation=77&amp;endStation=6",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2026-04-08</t>
        </is>
      </c>
      <c r="F164" t="inlineStr">
        <is>
          <t>2026-04-15</t>
        </is>
      </c>
      <c r="G164" t="inlineStr">
        <is>
          <t xml:space="preserve"> - Camper Castle</t>
        </is>
      </c>
      <c r="H164">
        <f>HYPERLINK("https://booking.roadsurfer.com/es/rally/pick?pickup_date=2026-04-08&amp;return_date=2026-04-15&amp;currency=EUR&amp;startStation=77&amp;endStation=6", "Clic para verlo en la web de RoadSurfer")</f>
        <v/>
      </c>
    </row>
    <row r="165">
      <c r="A165" t="inlineStr">
        <is>
          <t>Austria</t>
        </is>
      </c>
      <c r="B165" t="inlineStr">
        <is>
          <t>Graz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2026-04-27</t>
        </is>
      </c>
      <c r="F165" t="inlineStr">
        <is>
          <t>2026-05-04</t>
        </is>
      </c>
      <c r="G165" t="inlineStr">
        <is>
          <t xml:space="preserve"> - SURFER SUITE</t>
        </is>
      </c>
      <c r="H165">
        <f>HYPERLINK("https://booking.roadsurfer.com/es/rally/pick?pickup_date=2026-04-27&amp;return_date=2026-05-04&amp;currency=EUR&amp;startStation=37&amp;endStation=89", "Clic para verlo en la web de RoadSurfer")</f>
        <v/>
      </c>
    </row>
    <row r="166">
      <c r="A166" t="inlineStr">
        <is>
          <t>Austria</t>
        </is>
      </c>
      <c r="B166" t="inlineStr">
        <is>
          <t>Graz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2026-04-14</t>
        </is>
      </c>
      <c r="F166" t="inlineStr">
        <is>
          <t>2026-04-21</t>
        </is>
      </c>
      <c r="G166" t="inlineStr">
        <is>
          <t xml:space="preserve"> - Road House</t>
        </is>
      </c>
      <c r="H166">
        <f>HYPERLINK("https://booking.roadsurfer.com/es/rally/pick?pickup_date=2026-04-14&amp;return_date=2026-04-21&amp;currency=EUR&amp;startStation=37&amp;endStation=56", "Clic para verlo en la web de RoadSurfer")</f>
        <v/>
      </c>
    </row>
    <row r="167">
      <c r="A167" t="inlineStr">
        <is>
          <t>Austria</t>
        </is>
      </c>
      <c r="B167" t="inlineStr">
        <is>
          <t>Graz</t>
        </is>
      </c>
      <c r="C167" t="inlineStr">
        <is>
          <t>Alemania</t>
        </is>
      </c>
      <c r="D167" t="inlineStr">
        <is>
          <t>Dresde</t>
        </is>
      </c>
      <c r="E167" t="inlineStr">
        <is>
          <t>2026-04-15</t>
        </is>
      </c>
      <c r="F167" t="inlineStr">
        <is>
          <t>2026-04-22</t>
        </is>
      </c>
      <c r="G167" t="inlineStr">
        <is>
          <t xml:space="preserve"> - Family Finca</t>
        </is>
      </c>
      <c r="H167">
        <f>HYPERLINK("https://booking.roadsurfer.com/es/rally/pick?pickup_date=2026-04-15&amp;return_date=2026-04-22&amp;currency=EUR&amp;startStation=37&amp;endStation=56", "Clic para verlo en la web de RoadSurfer")</f>
        <v/>
      </c>
    </row>
    <row r="168">
      <c r="A168" t="inlineStr">
        <is>
          <t>Alemania</t>
        </is>
      </c>
      <c r="B168" t="inlineStr">
        <is>
          <t>Hamburgo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2026-03-30</t>
        </is>
      </c>
      <c r="F168" t="inlineStr">
        <is>
          <t>2026-04-06</t>
        </is>
      </c>
      <c r="G168" t="inlineStr">
        <is>
          <t xml:space="preserve"> - No hay coche</t>
        </is>
      </c>
      <c r="H168">
        <f>HYPERLINK("https://booking.roadsurfer.com/es/rally/pick?pickup_date=2026-03-30&amp;return_date=2026-04-06&amp;currency=EUR&amp;startStation=3&amp;endStation=59", "Clic para verlo en la web de RoadSurfer")</f>
        <v/>
      </c>
    </row>
    <row r="169">
      <c r="A169" t="inlineStr">
        <is>
          <t>Alemania</t>
        </is>
      </c>
      <c r="B169" t="inlineStr">
        <is>
          <t>Hamburgo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2026-05-01</t>
        </is>
      </c>
      <c r="F169" t="inlineStr">
        <is>
          <t>2026-05-08</t>
        </is>
      </c>
      <c r="G169" t="inlineStr">
        <is>
          <t xml:space="preserve"> - No hay coche</t>
        </is>
      </c>
      <c r="H169">
        <f>HYPERLINK("https://booking.roadsurfer.com/es/rally/pick?pickup_date=2026-05-01&amp;return_date=2026-05-08&amp;currency=EUR&amp;startStation=3&amp;endStation=77", "Clic para verlo en la web de RoadSurfer")</f>
        <v/>
      </c>
    </row>
    <row r="170">
      <c r="A170" t="inlineStr">
        <is>
          <t>Alemania</t>
        </is>
      </c>
      <c r="B170" t="inlineStr">
        <is>
          <t>Hamburgo</t>
        </is>
      </c>
      <c r="C170" t="inlineStr">
        <is>
          <t>Alemania</t>
        </is>
      </c>
      <c r="D170" t="inlineStr">
        <is>
          <t>Núremberg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Sunrise Suite</t>
        </is>
      </c>
      <c r="H170">
        <f>HYPERLINK("https://booking.roadsurfer.com/es/rally/pick?pickup_date=2026-05-04&amp;return_date=2026-05-11&amp;currency=EUR&amp;startStation=3&amp;endStation=11", "Clic para verlo en la web de RoadSurfer")</f>
        <v/>
      </c>
    </row>
    <row r="171">
      <c r="A171" t="inlineStr">
        <is>
          <t>Alemania</t>
        </is>
      </c>
      <c r="B171" t="inlineStr">
        <is>
          <t>Hamburgo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Sunrise Suite</t>
        </is>
      </c>
      <c r="H171">
        <f>HYPERLINK("https://booking.roadsurfer.com/es/rally/pick?pickup_date=2026-05-04&amp;return_date=2026-05-11&amp;currency=EUR&amp;startStation=3&amp;endStation=4", "Clic para verlo en la web de RoadSurfer")</f>
        <v/>
      </c>
    </row>
    <row r="172">
      <c r="A172" t="inlineStr">
        <is>
          <t>Alemania</t>
        </is>
      </c>
      <c r="B172" t="inlineStr">
        <is>
          <t>Hannover</t>
        </is>
      </c>
      <c r="C172" t="inlineStr">
        <is>
          <t>Alemania</t>
        </is>
      </c>
      <c r="D172" t="inlineStr">
        <is>
          <t>Aquisgrán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Beach Hostel</t>
        </is>
      </c>
      <c r="H172">
        <f>HYPERLINK("https://booking.roadsurfer.com/es/rally/pick?pickup_date=2026-04-20&amp;return_date=2026-04-27&amp;currency=EUR&amp;startStation=7&amp;endStation=114", "Clic para verlo en la web de RoadSurfer")</f>
        <v/>
      </c>
    </row>
    <row r="173">
      <c r="A173" t="inlineStr">
        <is>
          <t>Alemania</t>
        </is>
      </c>
      <c r="B173" t="inlineStr">
        <is>
          <t>Hannover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Family Finca</t>
        </is>
      </c>
      <c r="H173">
        <f>HYPERLINK("https://booking.roadsurfer.com/es/rally/pick?pickup_date=2026-04-23&amp;return_date=2026-04-30&amp;currency=EUR&amp;startStation=7&amp;endStation=12", "Clic para verlo en la web de RoadSurfer")</f>
        <v/>
      </c>
    </row>
    <row r="174">
      <c r="A174" t="inlineStr">
        <is>
          <t>Alemania</t>
        </is>
      </c>
      <c r="B174" t="inlineStr">
        <is>
          <t>Heidelberg</t>
        </is>
      </c>
      <c r="C174" t="inlineStr">
        <is>
          <t>Alemania</t>
        </is>
      </c>
      <c r="D174" t="inlineStr">
        <is>
          <t>Tréveris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Surfer Suite</t>
        </is>
      </c>
      <c r="H174">
        <f>HYPERLINK("https://booking.roadsurfer.com/es/rally/pick?pickup_date=2026-04-27&amp;return_date=2026-05-04&amp;currency=EUR&amp;startStation=79&amp;endStation=28", "Clic para verlo en la web de RoadSurfer")</f>
        <v/>
      </c>
    </row>
    <row r="175">
      <c r="A175" t="inlineStr">
        <is>
          <t>Alemania</t>
        </is>
      </c>
      <c r="B175" t="inlineStr">
        <is>
          <t>Heidelberg</t>
        </is>
      </c>
      <c r="C175" t="inlineStr">
        <is>
          <t>Italia</t>
        </is>
      </c>
      <c r="D175" t="inlineStr">
        <is>
          <t>Roma Aeropuerto Fiumicino</t>
        </is>
      </c>
      <c r="E175" t="inlineStr">
        <is>
          <t>2026-04-27</t>
        </is>
      </c>
      <c r="F175" t="inlineStr">
        <is>
          <t>2026-05-04</t>
        </is>
      </c>
      <c r="G175" t="inlineStr">
        <is>
          <t xml:space="preserve"> - Beach Hostel</t>
        </is>
      </c>
      <c r="H175">
        <f>HYPERLINK("https://booking.roadsurfer.com/es/rally/pick?pickup_date=2026-04-27&amp;return_date=2026-05-04&amp;currency=EUR&amp;startStation=79&amp;endStation=35", "Clic para verlo en la web de RoadSurfer")</f>
        <v/>
      </c>
    </row>
    <row r="176">
      <c r="A176" t="inlineStr">
        <is>
          <t>Alemania</t>
        </is>
      </c>
      <c r="B176" t="inlineStr">
        <is>
          <t>Heidelberg</t>
        </is>
      </c>
      <c r="C176" t="inlineStr">
        <is>
          <t>Austria</t>
        </is>
      </c>
      <c r="D176" t="inlineStr">
        <is>
          <t>Innsbruck-Wiesing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Camper Cabin</t>
        </is>
      </c>
      <c r="H176">
        <f>HYPERLINK("https://booking.roadsurfer.com/es/rally/pick?pickup_date=2026-05-04&amp;return_date=2026-05-11&amp;currency=EUR&amp;startStation=79&amp;endStation=46", "Clic para verlo en la web de RoadSurfer")</f>
        <v/>
      </c>
    </row>
    <row r="177">
      <c r="A177" t="inlineStr">
        <is>
          <t>Alemania</t>
        </is>
      </c>
      <c r="B177" t="inlineStr">
        <is>
          <t>Heidelberg</t>
        </is>
      </c>
      <c r="C177" t="inlineStr">
        <is>
          <t>Austria</t>
        </is>
      </c>
      <c r="D177" t="inlineStr">
        <is>
          <t>Viena</t>
        </is>
      </c>
      <c r="E177" t="inlineStr">
        <is>
          <t>2026-03-25</t>
        </is>
      </c>
      <c r="F177" t="inlineStr">
        <is>
          <t>2026-04-01</t>
        </is>
      </c>
      <c r="G177" t="inlineStr">
        <is>
          <t xml:space="preserve"> - Camper Castle</t>
        </is>
      </c>
      <c r="H177">
        <f>HYPERLINK("https://booking.roadsurfer.com/es/rally/pick?pickup_date=2026-03-25&amp;return_date=2026-04-01&amp;currency=EUR&amp;startStation=79&amp;endStation=36", "Clic para verlo en la web de RoadSurfer")</f>
        <v/>
      </c>
    </row>
    <row r="178">
      <c r="A178" t="inlineStr">
        <is>
          <t>Alemania</t>
        </is>
      </c>
      <c r="B178" t="inlineStr">
        <is>
          <t>Karlsruhe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2026-04-07</t>
        </is>
      </c>
      <c r="F178" t="inlineStr">
        <is>
          <t>2026-04-14</t>
        </is>
      </c>
      <c r="G178" t="inlineStr">
        <is>
          <t xml:space="preserve"> - Road House</t>
        </is>
      </c>
      <c r="H178">
        <f>HYPERLINK("https://booking.roadsurfer.com/es/rally/pick?pickup_date=2026-04-07&amp;return_date=2026-04-14&amp;currency=EUR&amp;startStation=110&amp;endStation=31", "Clic para verlo en la web de RoadSurfer")</f>
        <v/>
      </c>
    </row>
    <row r="179">
      <c r="A179" t="inlineStr">
        <is>
          <t>Alemania</t>
        </is>
      </c>
      <c r="B179" t="inlineStr">
        <is>
          <t>Karlsruhe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2026-04-01</t>
        </is>
      </c>
      <c r="F179" t="inlineStr">
        <is>
          <t>2026-04-08</t>
        </is>
      </c>
      <c r="G179" t="inlineStr">
        <is>
          <t xml:space="preserve"> - Surfer Suite - Family Finca</t>
        </is>
      </c>
      <c r="H179">
        <f>HYPERLINK("https://booking.roadsurfer.com/es/rally/pick?pickup_date=2026-04-01&amp;return_date=2026-04-08&amp;currency=EUR&amp;startStation=110&amp;endStation=31", "Clic para verlo en la web de RoadSurfer")</f>
        <v/>
      </c>
    </row>
    <row r="180">
      <c r="A180" t="inlineStr">
        <is>
          <t>EE.UU.</t>
        </is>
      </c>
      <c r="B180" t="inlineStr">
        <is>
          <t>Las Vegas</t>
        </is>
      </c>
      <c r="C180" t="inlineStr">
        <is>
          <t>EE.UU.</t>
        </is>
      </c>
      <c r="D180" t="inlineStr">
        <is>
          <t>Seattle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Family Freedom</t>
        </is>
      </c>
      <c r="H180">
        <f>HYPERLINK("https://booking.roadsurfer.com/es/rally/pick?pickup_date=2026-04-13&amp;return_date=2026-04-20&amp;currency=EUR&amp;startStation=76&amp;endStation=107", "Clic para verlo en la web de RoadSurfer")</f>
        <v/>
      </c>
    </row>
    <row r="181">
      <c r="A181" t="inlineStr">
        <is>
          <t>EE.UU.</t>
        </is>
      </c>
      <c r="B181" t="inlineStr">
        <is>
          <t>Las Vegas</t>
        </is>
      </c>
      <c r="C181" t="inlineStr">
        <is>
          <t>EE.UU.</t>
        </is>
      </c>
      <c r="D181" t="inlineStr">
        <is>
          <t>Seattle</t>
        </is>
      </c>
      <c r="E181" t="inlineStr">
        <is>
          <t>2026-04-23</t>
        </is>
      </c>
      <c r="F181" t="inlineStr">
        <is>
          <t>2026-04-30</t>
        </is>
      </c>
      <c r="G181" t="inlineStr">
        <is>
          <t xml:space="preserve"> - Family Freedom</t>
        </is>
      </c>
      <c r="H181">
        <f>HYPERLINK("https://booking.roadsurfer.com/es/rally/pick?pickup_date=2026-04-23&amp;return_date=2026-04-30&amp;currency=EUR&amp;startStation=76&amp;endStation=107", "Clic para verlo en la web de RoadSurfer")</f>
        <v/>
      </c>
    </row>
    <row r="182">
      <c r="A182" t="inlineStr">
        <is>
          <t>EE.UU.</t>
        </is>
      </c>
      <c r="B182" t="inlineStr">
        <is>
          <t>Las Vegas</t>
        </is>
      </c>
      <c r="C182" t="inlineStr">
        <is>
          <t>EE.UU.</t>
        </is>
      </c>
      <c r="D182" t="inlineStr">
        <is>
          <t>Seattle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Family Freedom</t>
        </is>
      </c>
      <c r="H182">
        <f>HYPERLINK("https://booking.roadsurfer.com/es/rally/pick?pickup_date=2026-04-16&amp;return_date=2026-04-23&amp;currency=EUR&amp;startStation=76&amp;endStation=107", "Clic para verlo en la web de RoadSurfer")</f>
        <v/>
      </c>
    </row>
    <row r="183">
      <c r="A183" t="inlineStr">
        <is>
          <t>EE.UU.</t>
        </is>
      </c>
      <c r="B183" t="inlineStr">
        <is>
          <t>Las Vegas</t>
        </is>
      </c>
      <c r="C183" t="inlineStr">
        <is>
          <t>EE.UU.</t>
        </is>
      </c>
      <c r="D183" t="inlineStr">
        <is>
          <t>Denver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Couple Condo</t>
        </is>
      </c>
      <c r="H183">
        <f>HYPERLINK("https://booking.roadsurfer.com/es/rally/pick?pickup_date=2026-04-20&amp;return_date=2026-04-27&amp;currency=EUR&amp;startStation=76&amp;endStation=104", "Clic para verlo en la web de RoadSurfer")</f>
        <v/>
      </c>
    </row>
    <row r="184">
      <c r="A184" t="inlineStr">
        <is>
          <t>EE.UU.</t>
        </is>
      </c>
      <c r="B184" t="inlineStr">
        <is>
          <t>Las Vegas</t>
        </is>
      </c>
      <c r="C184" t="inlineStr">
        <is>
          <t>EE.UU.</t>
        </is>
      </c>
      <c r="D184" t="inlineStr">
        <is>
          <t>Denver</t>
        </is>
      </c>
      <c r="E184" t="inlineStr">
        <is>
          <t>2026-04-29</t>
        </is>
      </c>
      <c r="F184" t="inlineStr">
        <is>
          <t>2026-05-06</t>
        </is>
      </c>
      <c r="G184" t="inlineStr">
        <is>
          <t xml:space="preserve"> - Family Freedom</t>
        </is>
      </c>
      <c r="H184">
        <f>HYPERLINK("https://booking.roadsurfer.com/es/rally/pick?pickup_date=2026-04-29&amp;return_date=2026-05-06&amp;currency=EUR&amp;startStation=76&amp;endStation=104", "Clic para verlo en la web de RoadSurfer")</f>
        <v/>
      </c>
    </row>
    <row r="185">
      <c r="A185" t="inlineStr">
        <is>
          <t>EE.UU.</t>
        </is>
      </c>
      <c r="B185" t="inlineStr">
        <is>
          <t>Las Vegas</t>
        </is>
      </c>
      <c r="C185" t="inlineStr">
        <is>
          <t>EE.UU.</t>
        </is>
      </c>
      <c r="D185" t="inlineStr">
        <is>
          <t>Denver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Family Freedom</t>
        </is>
      </c>
      <c r="H185">
        <f>HYPERLINK("https://booking.roadsurfer.com/es/rally/pick?pickup_date=2026-04-23&amp;return_date=2026-04-30&amp;currency=EUR&amp;startStation=76&amp;endStation=104", "Clic para verlo en la web de RoadSurfer")</f>
        <v/>
      </c>
    </row>
    <row r="186">
      <c r="A186" t="inlineStr">
        <is>
          <t>Alemania</t>
        </is>
      </c>
      <c r="B186" t="inlineStr">
        <is>
          <t>Leipzig</t>
        </is>
      </c>
      <c r="C186" t="inlineStr">
        <is>
          <t>Países Bajos</t>
        </is>
      </c>
      <c r="D186" t="inlineStr">
        <is>
          <t>Róterdam</t>
        </is>
      </c>
      <c r="E186" t="inlineStr">
        <is>
          <t>2026-03-24</t>
        </is>
      </c>
      <c r="F186" t="inlineStr">
        <is>
          <t>2026-03-31</t>
        </is>
      </c>
      <c r="G186" t="inlineStr">
        <is>
          <t xml:space="preserve"> - Road House</t>
        </is>
      </c>
      <c r="H186">
        <f>HYPERLINK("https://booking.roadsurfer.com/es/rally/pick?pickup_date=2026-03-24&amp;return_date=2026-03-31&amp;currency=EUR&amp;startStation=8&amp;endStation=33", "Clic para verlo en la web de RoadSurfer")</f>
        <v/>
      </c>
    </row>
    <row r="187">
      <c r="A187" t="inlineStr">
        <is>
          <t>Alemania</t>
        </is>
      </c>
      <c r="B187" t="inlineStr">
        <is>
          <t>Leipzig</t>
        </is>
      </c>
      <c r="C187" t="inlineStr">
        <is>
          <t>Austria</t>
        </is>
      </c>
      <c r="D187" t="inlineStr">
        <is>
          <t>Viena Sur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Road House</t>
        </is>
      </c>
      <c r="H187">
        <f>HYPERLINK("https://booking.roadsurfer.com/es/rally/pick?pickup_date=2026-03-27&amp;return_date=2026-04-03&amp;currency=EUR&amp;startStation=8&amp;endStation=45", "Clic para verlo en la web de RoadSurfer")</f>
        <v/>
      </c>
    </row>
    <row r="188">
      <c r="A188" t="inlineStr">
        <is>
          <t>Alemania</t>
        </is>
      </c>
      <c r="B188" t="inlineStr">
        <is>
          <t>Leipzig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2026-04-04</t>
        </is>
      </c>
      <c r="F188" t="inlineStr">
        <is>
          <t>2026-04-11</t>
        </is>
      </c>
      <c r="G188" t="inlineStr">
        <is>
          <t xml:space="preserve"> - Camper Cabin Deluxe</t>
        </is>
      </c>
      <c r="H188">
        <f>HYPERLINK("https://booking.roadsurfer.com/es/rally/pick?pickup_date=2026-04-04&amp;return_date=2026-04-11&amp;currency=EUR&amp;startStation=8&amp;endStation=32", "Clic para verlo en la web de RoadSurfer")</f>
        <v/>
      </c>
    </row>
    <row r="189">
      <c r="A189" t="inlineStr">
        <is>
          <t>Alemania</t>
        </is>
      </c>
      <c r="B189" t="inlineStr">
        <is>
          <t>Leipzig</t>
        </is>
      </c>
      <c r="C189" t="inlineStr">
        <is>
          <t>Países Bajos</t>
        </is>
      </c>
      <c r="D189" t="inlineStr">
        <is>
          <t>Ámsterdam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No hay coche</t>
        </is>
      </c>
      <c r="H189">
        <f>HYPERLINK("https://booking.roadsurfer.com/es/rally/pick?pickup_date=2026-04-13&amp;return_date=2026-04-20&amp;currency=EUR&amp;startStation=8&amp;endStation=32", "Clic para verlo en la web de RoadSurfer")</f>
        <v/>
      </c>
    </row>
    <row r="190">
      <c r="A190" t="inlineStr">
        <is>
          <t>Alemania</t>
        </is>
      </c>
      <c r="B190" t="inlineStr">
        <is>
          <t>Leipzig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2026-03-27</t>
        </is>
      </c>
      <c r="F190" t="inlineStr">
        <is>
          <t>2026-04-03</t>
        </is>
      </c>
      <c r="G190" t="inlineStr">
        <is>
          <t xml:space="preserve"> - Road House</t>
        </is>
      </c>
      <c r="H190">
        <f>HYPERLINK("https://booking.roadsurfer.com/es/rally/pick?pickup_date=2026-03-27&amp;return_date=2026-04-03&amp;currency=EUR&amp;startStation=8&amp;endStation=94", "Clic para verlo en la web de RoadSurfer")</f>
        <v/>
      </c>
    </row>
    <row r="191">
      <c r="A191" t="inlineStr">
        <is>
          <t>Alemania</t>
        </is>
      </c>
      <c r="B191" t="inlineStr">
        <is>
          <t>Leipzig</t>
        </is>
      </c>
      <c r="C191" t="inlineStr">
        <is>
          <t>Austria</t>
        </is>
      </c>
      <c r="D191" t="inlineStr">
        <is>
          <t>Linz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Camper Castle</t>
        </is>
      </c>
      <c r="H191">
        <f>HYPERLINK("https://booking.roadsurfer.com/es/rally/pick?pickup_date=2026-04-20&amp;return_date=2026-04-27&amp;currency=EUR&amp;startStation=8&amp;endStation=116", "Clic para verlo en la web de RoadSurfer")</f>
        <v/>
      </c>
    </row>
    <row r="192">
      <c r="A192" t="inlineStr">
        <is>
          <t>Alemania</t>
        </is>
      </c>
      <c r="B192" t="inlineStr">
        <is>
          <t>Leipzig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2026-05-13</t>
        </is>
      </c>
      <c r="F192" t="inlineStr">
        <is>
          <t>2026-05-20</t>
        </is>
      </c>
      <c r="G192" t="inlineStr">
        <is>
          <t xml:space="preserve"> - Family Finca</t>
        </is>
      </c>
      <c r="H192">
        <f>HYPERLINK("https://booking.roadsurfer.com/es/rally/pick?pickup_date=2026-05-13&amp;return_date=2026-05-20&amp;currency=EUR&amp;startStation=8&amp;endStation=77", "Clic para verlo en la web de RoadSurfer")</f>
        <v/>
      </c>
    </row>
    <row r="193">
      <c r="A193" t="inlineStr">
        <is>
          <t>Alemania</t>
        </is>
      </c>
      <c r="B193" t="inlineStr">
        <is>
          <t>Lindau-Wangen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No hay coche</t>
        </is>
      </c>
      <c r="H193">
        <f>HYPERLINK("https://booking.roadsurfer.com/es/rally/pick?pickup_date=2026-03-30&amp;return_date=2026-04-06&amp;currency=EUR&amp;startStation=117&amp;endStation=13", "Clic para verlo en la web de RoadSurfer")</f>
        <v/>
      </c>
    </row>
    <row r="194">
      <c r="A194" t="inlineStr">
        <is>
          <t>Alemania</t>
        </is>
      </c>
      <c r="B194" t="inlineStr">
        <is>
          <t>Lindau-Wangen</t>
        </is>
      </c>
      <c r="C194" t="inlineStr">
        <is>
          <t>Austria</t>
        </is>
      </c>
      <c r="D194" t="inlineStr">
        <is>
          <t>Viena Sur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Cozy Cottage</t>
        </is>
      </c>
      <c r="H194">
        <f>HYPERLINK("https://booking.roadsurfer.com/es/rally/pick?pickup_date=2026-04-27&amp;return_date=2026-05-04&amp;currency=EUR&amp;startStation=117&amp;endStation=45", "Clic para verlo en la web de RoadSurfer")</f>
        <v/>
      </c>
    </row>
    <row r="195">
      <c r="A195" t="inlineStr">
        <is>
          <t>Alemania</t>
        </is>
      </c>
      <c r="B195" t="inlineStr">
        <is>
          <t>Lindau-Wangen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2026-04-27</t>
        </is>
      </c>
      <c r="F195" t="inlineStr">
        <is>
          <t>2026-05-04</t>
        </is>
      </c>
      <c r="G195" t="inlineStr">
        <is>
          <t xml:space="preserve"> - Cozy Cottage</t>
        </is>
      </c>
      <c r="H195">
        <f>HYPERLINK("https://booking.roadsurfer.com/es/rally/pick?pickup_date=2026-04-27&amp;return_date=2026-05-04&amp;currency=EUR&amp;startStation=117&amp;endStation=6", "Clic para verlo en la web de RoadSurfer")</f>
        <v/>
      </c>
    </row>
    <row r="196">
      <c r="A196" t="inlineStr">
        <is>
          <t>Alemania</t>
        </is>
      </c>
      <c r="B196" t="inlineStr">
        <is>
          <t>Lindau-Wangen</t>
        </is>
      </c>
      <c r="C196" t="inlineStr">
        <is>
          <t>Italia</t>
        </is>
      </c>
      <c r="D196" t="inlineStr">
        <is>
          <t>Bolonia</t>
        </is>
      </c>
      <c r="E196" t="inlineStr">
        <is>
          <t>2026-03-30</t>
        </is>
      </c>
      <c r="F196" t="inlineStr">
        <is>
          <t>2026-04-06</t>
        </is>
      </c>
      <c r="G196" t="inlineStr">
        <is>
          <t xml:space="preserve"> - No hay coche</t>
        </is>
      </c>
      <c r="H196">
        <f>HYPERLINK("https://booking.roadsurfer.com/es/rally/pick?pickup_date=2026-03-30&amp;return_date=2026-04-06&amp;currency=EUR&amp;startStation=117&amp;endStation=57", "Clic para verlo en la web de RoadSurfer")</f>
        <v/>
      </c>
    </row>
    <row r="197">
      <c r="A197" t="inlineStr">
        <is>
          <t>Alemania</t>
        </is>
      </c>
      <c r="B197" t="inlineStr">
        <is>
          <t>Lübeck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Surfer Suite</t>
        </is>
      </c>
      <c r="H197">
        <f>HYPERLINK("https://booking.roadsurfer.com/es/rally/pick?pickup_date=2026-04-27&amp;return_date=2026-05-04&amp;currency=EUR&amp;startStation=109&amp;endStation=40", "Clic para verlo en la web de RoadSurfer")</f>
        <v/>
      </c>
    </row>
    <row r="198">
      <c r="A198" t="inlineStr">
        <is>
          <t>Alemania</t>
        </is>
      </c>
      <c r="B198" t="inlineStr">
        <is>
          <t>Lübeck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Surfer Suite</t>
        </is>
      </c>
      <c r="H198">
        <f>HYPERLINK("https://booking.roadsurfer.com/es/rally/pick?pickup_date=2026-04-27&amp;return_date=2026-05-04&amp;currency=EUR&amp;startStation=109&amp;endStation=34",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Constanza (Aach)</t>
        </is>
      </c>
      <c r="E199" t="inlineStr">
        <is>
          <t>2026-03-27</t>
        </is>
      </c>
      <c r="F199" t="inlineStr">
        <is>
          <t>2026-04-03</t>
        </is>
      </c>
      <c r="G199" t="inlineStr">
        <is>
          <t xml:space="preserve"> - No hay coche</t>
        </is>
      </c>
      <c r="H199">
        <f>HYPERLINK("https://booking.roadsurfer.com/es/rally/pick?pickup_date=2026-03-27&amp;return_date=2026-04-03&amp;currency=EUR&amp;startStation=15&amp;endStation=10",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Constanza (Aach)</t>
        </is>
      </c>
      <c r="E200" t="inlineStr">
        <is>
          <t>2026-03-27</t>
        </is>
      </c>
      <c r="F200" t="inlineStr">
        <is>
          <t>2026-03-31</t>
        </is>
      </c>
      <c r="G200" t="inlineStr">
        <is>
          <t xml:space="preserve"> - SURFER SUITE - Family Finca</t>
        </is>
      </c>
      <c r="H200">
        <f>HYPERLINK("https://booking.roadsurfer.com/es/rally/pick?pickup_date=2026-03-27&amp;return_date=2026-03-31&amp;currency=EUR&amp;startStation=15&amp;endStation=10",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2026-04-21</t>
        </is>
      </c>
      <c r="F201" t="inlineStr">
        <is>
          <t>2026-04-28</t>
        </is>
      </c>
      <c r="G201" t="inlineStr">
        <is>
          <t xml:space="preserve"> - Camper Cabin</t>
        </is>
      </c>
      <c r="H201">
        <f>HYPERLINK("https://booking.roadsurfer.com/es/rally/pick?pickup_date=2026-04-21&amp;return_date=2026-04-28&amp;currency=EUR&amp;startStation=15&amp;endStation=1",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Karlsruhe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No hay coche</t>
        </is>
      </c>
      <c r="H202">
        <f>HYPERLINK("https://booking.roadsurfer.com/es/rally/pick?pickup_date=2026-05-04&amp;return_date=2026-05-11&amp;currency=EUR&amp;startStation=20&amp;endStation=110",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Lindau-Wangen</t>
        </is>
      </c>
      <c r="E203" t="inlineStr">
        <is>
          <t>2026-04-23</t>
        </is>
      </c>
      <c r="F203" t="inlineStr">
        <is>
          <t>2026-04-30</t>
        </is>
      </c>
      <c r="G203" t="inlineStr">
        <is>
          <t xml:space="preserve"> - Family Finca</t>
        </is>
      </c>
      <c r="H203">
        <f>HYPERLINK("https://booking.roadsurfer.com/es/rally/pick?pickup_date=2026-04-23&amp;return_date=2026-04-30&amp;currency=EUR&amp;startStation=20&amp;endStation=117", "Clic para verlo en la web de RoadSurfer")</f>
        <v/>
      </c>
    </row>
    <row r="204">
      <c r="A204" t="inlineStr">
        <is>
          <t>España</t>
        </is>
      </c>
      <c r="B204" t="inlineStr">
        <is>
          <t>Madrid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2026-04-15</t>
        </is>
      </c>
      <c r="F204" t="inlineStr">
        <is>
          <t>2026-04-22</t>
        </is>
      </c>
      <c r="G204" t="inlineStr">
        <is>
          <t xml:space="preserve"> - Couple Cottage</t>
        </is>
      </c>
      <c r="H204">
        <f>HYPERLINK("https://booking.roadsurfer.com/es/rally/pick?pickup_date=2026-04-15&amp;return_date=2026-04-22&amp;currency=EUR&amp;startStation=20&amp;endStation=9", "Clic para verlo en la web de RoadSurfer")</f>
        <v/>
      </c>
    </row>
    <row r="205">
      <c r="A205" t="inlineStr">
        <is>
          <t>España</t>
        </is>
      </c>
      <c r="B205" t="inlineStr">
        <is>
          <t>Madrid</t>
        </is>
      </c>
      <c r="C205" t="inlineStr">
        <is>
          <t>Alemania</t>
        </is>
      </c>
      <c r="D205" t="inlineStr">
        <is>
          <t>Maguncia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Couple Cottage</t>
        </is>
      </c>
      <c r="H205">
        <f>HYPERLINK("https://booking.roadsurfer.com/es/rally/pick?pickup_date=2026-05-04&amp;return_date=2026-05-11&amp;currency=EUR&amp;startStation=20&amp;endStation=54", "Clic para verlo en la web de RoadSurfer")</f>
        <v/>
      </c>
    </row>
    <row r="206">
      <c r="A206" t="inlineStr">
        <is>
          <t>Alemania</t>
        </is>
      </c>
      <c r="B206" t="inlineStr">
        <is>
          <t>Maguncia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Camper Cabin Deluxe</t>
        </is>
      </c>
      <c r="H206">
        <f>HYPERLINK("https://booking.roadsurfer.com/es/rally/pick?pickup_date=2026-04-13&amp;return_date=2026-04-20&amp;currency=EUR&amp;startStation=54&amp;endStation=29", "Clic para verlo en la web de RoadSurfer")</f>
        <v/>
      </c>
    </row>
    <row r="207">
      <c r="A207" t="inlineStr">
        <is>
          <t>Alemania</t>
        </is>
      </c>
      <c r="B207" t="inlineStr">
        <is>
          <t>Maguncia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2026-04-08</t>
        </is>
      </c>
      <c r="F207" t="inlineStr">
        <is>
          <t>2026-04-15</t>
        </is>
      </c>
      <c r="G207" t="inlineStr">
        <is>
          <t xml:space="preserve"> - Camper Castle</t>
        </is>
      </c>
      <c r="H207">
        <f>HYPERLINK("https://booking.roadsurfer.com/es/rally/pick?pickup_date=2026-04-08&amp;return_date=2026-04-15&amp;currency=EUR&amp;startStation=54&amp;endStation=60", "Clic para verlo en la web de RoadSurfer")</f>
        <v/>
      </c>
    </row>
    <row r="208">
      <c r="A208" t="inlineStr">
        <is>
          <t>Alemania</t>
        </is>
      </c>
      <c r="B208" t="inlineStr">
        <is>
          <t>Maguncia</t>
        </is>
      </c>
      <c r="C208" t="inlineStr">
        <is>
          <t>Francia</t>
        </is>
      </c>
      <c r="D208" t="inlineStr">
        <is>
          <t>Toulouse</t>
        </is>
      </c>
      <c r="E208" t="inlineStr">
        <is>
          <t>2026-04-09</t>
        </is>
      </c>
      <c r="F208" t="inlineStr">
        <is>
          <t>2026-04-16</t>
        </is>
      </c>
      <c r="G208" t="inlineStr">
        <is>
          <t xml:space="preserve"> - Family Finca</t>
        </is>
      </c>
      <c r="H208">
        <f>HYPERLINK("https://booking.roadsurfer.com/es/rally/pick?pickup_date=2026-04-09&amp;return_date=2026-04-16&amp;currency=EUR&amp;startStation=54&amp;endStation=30", "Clic para verlo en la web de RoadSurfer")</f>
        <v/>
      </c>
    </row>
    <row r="209">
      <c r="A209" t="inlineStr">
        <is>
          <t>España</t>
        </is>
      </c>
      <c r="B209" t="inlineStr">
        <is>
          <t>Málaga</t>
        </is>
      </c>
      <c r="C209" t="inlineStr">
        <is>
          <t>Alemania</t>
        </is>
      </c>
      <c r="D209" t="inlineStr">
        <is>
          <t>Berlín-Schönefeld</t>
        </is>
      </c>
      <c r="E209" t="inlineStr">
        <is>
          <t>2026-04-09</t>
        </is>
      </c>
      <c r="F209" t="inlineStr">
        <is>
          <t>2026-04-16</t>
        </is>
      </c>
      <c r="G209" t="inlineStr">
        <is>
          <t xml:space="preserve"> - Travel Home</t>
        </is>
      </c>
      <c r="H209">
        <f>HYPERLINK("https://booking.roadsurfer.com/es/rally/pick?pickup_date=2026-04-09&amp;return_date=2026-04-16&amp;currency=EUR&amp;startStation=21&amp;endStation=51",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2026-04-09</t>
        </is>
      </c>
      <c r="F210" t="inlineStr">
        <is>
          <t>2026-04-16</t>
        </is>
      </c>
      <c r="G210" t="inlineStr">
        <is>
          <t xml:space="preserve"> - Surfer Suite</t>
        </is>
      </c>
      <c r="H210">
        <f>HYPERLINK("https://booking.roadsurfer.com/es/rally/pick?pickup_date=2026-04-09&amp;return_date=2026-04-16&amp;currency=EUR&amp;startStation=60&amp;endStation=7",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Colonia-Bonn</t>
        </is>
      </c>
      <c r="E211" t="inlineStr">
        <is>
          <t>2026-03-30</t>
        </is>
      </c>
      <c r="F211" t="inlineStr">
        <is>
          <t>2026-04-06</t>
        </is>
      </c>
      <c r="G211" t="inlineStr">
        <is>
          <t xml:space="preserve"> - No hay coche</t>
        </is>
      </c>
      <c r="H211">
        <f>HYPERLINK("https://booking.roadsurfer.com/es/rally/pick?pickup_date=2026-03-30&amp;return_date=2026-04-06&amp;currency=EUR&amp;startStation=60&amp;endStation=52",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2026-04-14</t>
        </is>
      </c>
      <c r="F212" t="inlineStr">
        <is>
          <t>2026-04-21</t>
        </is>
      </c>
      <c r="G212" t="inlineStr">
        <is>
          <t xml:space="preserve"> - Family Finca</t>
        </is>
      </c>
      <c r="H212">
        <f>HYPERLINK("https://booking.roadsurfer.com/es/rally/pick?pickup_date=2026-04-14&amp;return_date=2026-04-21&amp;currency=EUR&amp;startStation=60&amp;endStation=91",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2026-03-28</t>
        </is>
      </c>
      <c r="F213" t="inlineStr">
        <is>
          <t>2026-04-04</t>
        </is>
      </c>
      <c r="G213" t="inlineStr">
        <is>
          <t xml:space="preserve"> - Surfer Suite</t>
        </is>
      </c>
      <c r="H213">
        <f>HYPERLINK("https://booking.roadsurfer.com/es/rally/pick?pickup_date=2026-03-28&amp;return_date=2026-04-04&amp;currency=EUR&amp;startStation=60&amp;endStation=91",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Berlín-Schönefeld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No hay coche</t>
        </is>
      </c>
      <c r="H214">
        <f>HYPERLINK("https://booking.roadsurfer.com/es/rally/pick?pickup_date=2026-03-27&amp;return_date=2026-04-03&amp;currency=EUR&amp;startStation=60&amp;endStation=51",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Berlín-Schönefeld</t>
        </is>
      </c>
      <c r="E215" t="inlineStr">
        <is>
          <t>2026-04-15</t>
        </is>
      </c>
      <c r="F215" t="inlineStr">
        <is>
          <t>2026-04-22</t>
        </is>
      </c>
      <c r="G215" t="inlineStr">
        <is>
          <t xml:space="preserve"> - Family Finca</t>
        </is>
      </c>
      <c r="H215">
        <f>HYPERLINK("https://booking.roadsurfer.com/es/rally/pick?pickup_date=2026-04-15&amp;return_date=2026-04-22&amp;currency=EUR&amp;startStation=60&amp;endStation=51",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2026-03-24</t>
        </is>
      </c>
      <c r="F216" t="inlineStr">
        <is>
          <t>2026-03-31</t>
        </is>
      </c>
      <c r="G216" t="inlineStr">
        <is>
          <t xml:space="preserve"> - Road House</t>
        </is>
      </c>
      <c r="H216">
        <f>HYPERLINK("https://booking.roadsurfer.com/es/rally/pick?pickup_date=2026-03-24&amp;return_date=2026-03-31&amp;currency=EUR&amp;startStation=60&amp;endStation=55",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2026-04-16</t>
        </is>
      </c>
      <c r="F217" t="inlineStr">
        <is>
          <t>2026-04-23</t>
        </is>
      </c>
      <c r="G217" t="inlineStr">
        <is>
          <t xml:space="preserve"> - Cozy Cottage</t>
        </is>
      </c>
      <c r="H217">
        <f>HYPERLINK("https://booking.roadsurfer.com/es/rally/pick?pickup_date=2026-04-16&amp;return_date=2026-04-23&amp;currency=EUR&amp;startStation=60&amp;endStation=55",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Hamburgo</t>
        </is>
      </c>
      <c r="E218" t="inlineStr">
        <is>
          <t>2026-03-28</t>
        </is>
      </c>
      <c r="F218" t="inlineStr">
        <is>
          <t>2026-04-04</t>
        </is>
      </c>
      <c r="G218" t="inlineStr">
        <is>
          <t xml:space="preserve"> - CAMPER CABIN DELUXE</t>
        </is>
      </c>
      <c r="H218">
        <f>HYPERLINK("https://booking.roadsurfer.com/es/rally/pick?pickup_date=2026-03-28&amp;return_date=2026-04-04&amp;currency=EUR&amp;startStation=60&amp;endStation=3",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Alemania</t>
        </is>
      </c>
      <c r="D219" t="inlineStr">
        <is>
          <t>Stuttgart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Camper Castle</t>
        </is>
      </c>
      <c r="H219">
        <f>HYPERLINK("https://booking.roadsurfer.com/es/rally/pick?pickup_date=2026-04-20&amp;return_date=2026-04-27&amp;currency=EUR&amp;startStation=60&amp;endStation=5",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2026-04-07</t>
        </is>
      </c>
      <c r="F220" t="inlineStr">
        <is>
          <t>2026-04-14</t>
        </is>
      </c>
      <c r="G220" t="inlineStr">
        <is>
          <t xml:space="preserve"> - COZY COTTAGE</t>
        </is>
      </c>
      <c r="H220">
        <f>HYPERLINK("https://booking.roadsurfer.com/es/rally/pick?pickup_date=2026-04-07&amp;return_date=2026-04-14&amp;currency=EUR&amp;startStation=60&amp;endStation=90", "Clic para verlo en la web de RoadSurfer")</f>
        <v/>
      </c>
    </row>
    <row r="221">
      <c r="A221" t="inlineStr">
        <is>
          <t>Reino Unido</t>
        </is>
      </c>
      <c r="B221" t="inlineStr">
        <is>
          <t>Mánchester</t>
        </is>
      </c>
      <c r="C221" t="inlineStr">
        <is>
          <t>Reino Unido</t>
        </is>
      </c>
      <c r="D221" t="inlineStr">
        <is>
          <t>Edimburgo</t>
        </is>
      </c>
      <c r="E221" t="inlineStr">
        <is>
          <t>2026-04-09</t>
        </is>
      </c>
      <c r="F221" t="inlineStr">
        <is>
          <t>2026-04-16</t>
        </is>
      </c>
      <c r="G221" t="inlineStr">
        <is>
          <t xml:space="preserve"> - Surfer Suite</t>
        </is>
      </c>
      <c r="H221">
        <f>HYPERLINK("https://booking.roadsurfer.com/es/rally/pick?pickup_date=2026-04-09&amp;return_date=2026-04-16&amp;currency=EUR&amp;startStation=99&amp;endStation=64",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Italia</t>
        </is>
      </c>
      <c r="D222" t="inlineStr">
        <is>
          <t>Turín</t>
        </is>
      </c>
      <c r="E222" t="inlineStr">
        <is>
          <t>2026-03-30</t>
        </is>
      </c>
      <c r="F222" t="inlineStr">
        <is>
          <t>2026-04-06</t>
        </is>
      </c>
      <c r="G222" t="inlineStr">
        <is>
          <t xml:space="preserve"> - No hay coche</t>
        </is>
      </c>
      <c r="H222">
        <f>HYPERLINK("https://booking.roadsurfer.com/es/rally/pick?pickup_date=2026-03-30&amp;return_date=2026-04-06&amp;currency=EUR&amp;startStation=22&amp;endStation=58",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2026-03-30</t>
        </is>
      </c>
      <c r="F223" t="inlineStr">
        <is>
          <t>2026-04-06</t>
        </is>
      </c>
      <c r="G223" t="inlineStr">
        <is>
          <t xml:space="preserve"> - No hay coche</t>
        </is>
      </c>
      <c r="H223">
        <f>HYPERLINK("https://booking.roadsurfer.com/es/rally/pick?pickup_date=2026-03-30&amp;return_date=2026-04-06&amp;currency=EUR&amp;startStation=22&amp;endStation=15",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Francia</t>
        </is>
      </c>
      <c r="D224" t="inlineStr">
        <is>
          <t>Lyon</t>
        </is>
      </c>
      <c r="E224" t="inlineStr">
        <is>
          <t>2026-04-02</t>
        </is>
      </c>
      <c r="F224" t="inlineStr">
        <is>
          <t>2026-04-09</t>
        </is>
      </c>
      <c r="G224" t="inlineStr">
        <is>
          <t xml:space="preserve"> - Surfer Suite</t>
        </is>
      </c>
      <c r="H224">
        <f>HYPERLINK("https://booking.roadsurfer.com/es/rally/pick?pickup_date=2026-04-02&amp;return_date=2026-04-09&amp;currency=EUR&amp;startStation=22&amp;endStation=15",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Lyon</t>
        </is>
      </c>
      <c r="E225" t="inlineStr">
        <is>
          <t>2026-03-27</t>
        </is>
      </c>
      <c r="F225" t="inlineStr">
        <is>
          <t>2026-04-03</t>
        </is>
      </c>
      <c r="G225" t="inlineStr">
        <is>
          <t xml:space="preserve"> - Surfer Suite</t>
        </is>
      </c>
      <c r="H225">
        <f>HYPERLINK("https://booking.roadsurfer.com/es/rally/pick?pickup_date=2026-03-27&amp;return_date=2026-04-03&amp;currency=EUR&amp;startStation=22&amp;endStation=15",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Aix-Marsella</t>
        </is>
      </c>
      <c r="E226" t="inlineStr">
        <is>
          <t>2026-03-26</t>
        </is>
      </c>
      <c r="F226" t="inlineStr">
        <is>
          <t>2026-04-02</t>
        </is>
      </c>
      <c r="G226" t="inlineStr">
        <is>
          <t xml:space="preserve"> - Surfer Suite</t>
        </is>
      </c>
      <c r="H226">
        <f>HYPERLINK("https://booking.roadsurfer.com/es/rally/pick?pickup_date=2026-03-26&amp;return_date=2026-04-02&amp;currency=EUR&amp;startStation=22&amp;endStation=16",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Aix-Marsella</t>
        </is>
      </c>
      <c r="E227" t="inlineStr">
        <is>
          <t>2026-03-27</t>
        </is>
      </c>
      <c r="F227" t="inlineStr">
        <is>
          <t>2026-04-03</t>
        </is>
      </c>
      <c r="G227" t="inlineStr">
        <is>
          <t xml:space="preserve"> - Beach Hostel</t>
        </is>
      </c>
      <c r="H227">
        <f>HYPERLINK("https://booking.roadsurfer.com/es/rally/pick?pickup_date=2026-03-27&amp;return_date=2026-04-03&amp;currency=EUR&amp;startStation=22&amp;endStation=16",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2026-03-30</t>
        </is>
      </c>
      <c r="F228" t="inlineStr">
        <is>
          <t>2026-04-06</t>
        </is>
      </c>
      <c r="G228" t="inlineStr">
        <is>
          <t xml:space="preserve"> - No hay coche</t>
        </is>
      </c>
      <c r="H228">
        <f>HYPERLINK("https://booking.roadsurfer.com/es/rally/pick?pickup_date=2026-03-30&amp;return_date=2026-04-06&amp;currency=EUR&amp;startStation=22&amp;endStation=31",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Surfer Suite</t>
        </is>
      </c>
      <c r="H229">
        <f>HYPERLINK("https://booking.roadsurfer.com/es/rally/pick?pickup_date=2026-04-30&amp;return_date=2026-05-07&amp;currency=EUR&amp;startStation=22&amp;endStation=31",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Surfer Suite</t>
        </is>
      </c>
      <c r="H230">
        <f>HYPERLINK("https://booking.roadsurfer.com/es/rally/pick?pickup_date=2026-04-20&amp;return_date=2026-04-27&amp;currency=EUR&amp;startStation=22&amp;endStation=31",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2026-03-27</t>
        </is>
      </c>
      <c r="F231" t="inlineStr">
        <is>
          <t>2026-04-03</t>
        </is>
      </c>
      <c r="G231" t="inlineStr">
        <is>
          <t xml:space="preserve"> - Beach Hostel</t>
        </is>
      </c>
      <c r="H231">
        <f>HYPERLINK("https://booking.roadsurfer.com/es/rally/pick?pickup_date=2026-03-27&amp;return_date=2026-04-03&amp;currency=EUR&amp;startStation=22&amp;endStation=31",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2026-03-30</t>
        </is>
      </c>
      <c r="F232" t="inlineStr">
        <is>
          <t>2026-04-06</t>
        </is>
      </c>
      <c r="G232" t="inlineStr">
        <is>
          <t xml:space="preserve"> - No hay coche</t>
        </is>
      </c>
      <c r="H232">
        <f>HYPERLINK("https://booking.roadsurfer.com/es/rally/pick?pickup_date=2026-03-30&amp;return_date=2026-04-06&amp;currency=EUR&amp;startStation=22&amp;endStation=29",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Surfer Suite</t>
        </is>
      </c>
      <c r="H233">
        <f>HYPERLINK("https://booking.roadsurfer.com/es/rally/pick?pickup_date=2026-04-16&amp;return_date=2026-04-23&amp;currency=EUR&amp;startStation=22&amp;endStation=17",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España</t>
        </is>
      </c>
      <c r="D234" t="inlineStr">
        <is>
          <t>Barcelona</t>
        </is>
      </c>
      <c r="E234" t="inlineStr">
        <is>
          <t>2026-03-25</t>
        </is>
      </c>
      <c r="F234" t="inlineStr">
        <is>
          <t>2026-04-01</t>
        </is>
      </c>
      <c r="G234" t="inlineStr">
        <is>
          <t xml:space="preserve"> - BEACH HOSTEL</t>
        </is>
      </c>
      <c r="H234">
        <f>HYPERLINK("https://booking.roadsurfer.com/es/rally/pick?pickup_date=2026-03-25&amp;return_date=2026-04-01&amp;currency=EUR&amp;startStation=22&amp;endStation=17",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España</t>
        </is>
      </c>
      <c r="D235" t="inlineStr">
        <is>
          <t>Barcelona</t>
        </is>
      </c>
      <c r="E235" t="inlineStr">
        <is>
          <t>2026-03-26</t>
        </is>
      </c>
      <c r="F235" t="inlineStr">
        <is>
          <t>2026-04-02</t>
        </is>
      </c>
      <c r="G235" t="inlineStr">
        <is>
          <t xml:space="preserve"> - No hay coche</t>
        </is>
      </c>
      <c r="H235">
        <f>HYPERLINK("https://booking.roadsurfer.com/es/rally/pick?pickup_date=2026-03-26&amp;return_date=2026-04-02&amp;currency=EUR&amp;startStation=22&amp;endStation=17",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España</t>
        </is>
      </c>
      <c r="D236" t="inlineStr">
        <is>
          <t>Barcelona</t>
        </is>
      </c>
      <c r="E236" t="inlineStr">
        <is>
          <t>2026-04-12</t>
        </is>
      </c>
      <c r="F236" t="inlineStr">
        <is>
          <t>2026-04-19</t>
        </is>
      </c>
      <c r="G236" t="inlineStr">
        <is>
          <t xml:space="preserve"> - No hay coche</t>
        </is>
      </c>
      <c r="H236">
        <f>HYPERLINK("https://booking.roadsurfer.com/es/rally/pick?pickup_date=2026-04-12&amp;return_date=2026-04-19&amp;currency=EUR&amp;startStation=22&amp;endStation=17",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Sunrise Suite</t>
        </is>
      </c>
      <c r="H237">
        <f>HYPERLINK("https://booking.roadsurfer.com/es/rally/pick?pickup_date=2026-04-13&amp;return_date=2026-04-20&amp;currency=EUR&amp;startStation=22&amp;endStation=17",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2026-03-30</t>
        </is>
      </c>
      <c r="F238" t="inlineStr">
        <is>
          <t>2026-04-06</t>
        </is>
      </c>
      <c r="G238" t="inlineStr">
        <is>
          <t xml:space="preserve"> - No hay coche</t>
        </is>
      </c>
      <c r="H238">
        <f>HYPERLINK("https://booking.roadsurfer.com/es/rally/pick?pickup_date=2026-03-30&amp;return_date=2026-04-06&amp;currency=EUR&amp;startStation=22&amp;endStation=30",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Francia</t>
        </is>
      </c>
      <c r="D239" t="inlineStr">
        <is>
          <t>Toulouse</t>
        </is>
      </c>
      <c r="E239" t="inlineStr">
        <is>
          <t>2026-03-27</t>
        </is>
      </c>
      <c r="F239" t="inlineStr">
        <is>
          <t>2026-04-03</t>
        </is>
      </c>
      <c r="G239" t="inlineStr">
        <is>
          <t xml:space="preserve"> - Surfer Suite</t>
        </is>
      </c>
      <c r="H239">
        <f>HYPERLINK("https://booking.roadsurfer.com/es/rally/pick?pickup_date=2026-03-27&amp;return_date=2026-04-03&amp;currency=EUR&amp;startStation=22&amp;endStation=30",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Italia</t>
        </is>
      </c>
      <c r="D240" t="inlineStr">
        <is>
          <t>Roma Aeropuerto Fiumicino</t>
        </is>
      </c>
      <c r="E240" t="inlineStr">
        <is>
          <t>2026-03-26</t>
        </is>
      </c>
      <c r="F240" t="inlineStr">
        <is>
          <t>2026-04-02</t>
        </is>
      </c>
      <c r="G240" t="inlineStr">
        <is>
          <t xml:space="preserve"> - Surfer Suite</t>
        </is>
      </c>
      <c r="H240">
        <f>HYPERLINK("https://booking.roadsurfer.com/es/rally/pick?pickup_date=2026-03-26&amp;return_date=2026-04-02&amp;currency=EUR&amp;startStation=22&amp;endStation=35",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2026-04-22</t>
        </is>
      </c>
      <c r="F241" t="inlineStr">
        <is>
          <t>2026-04-29</t>
        </is>
      </c>
      <c r="G241" t="inlineStr">
        <is>
          <t xml:space="preserve"> - Surfer Suite</t>
        </is>
      </c>
      <c r="H241">
        <f>HYPERLINK("https://booking.roadsurfer.com/es/rally/pick?pickup_date=2026-04-22&amp;return_date=2026-04-29&amp;currency=EUR&amp;startStation=22&amp;endStation=47",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2026-03-26</t>
        </is>
      </c>
      <c r="F242" t="inlineStr">
        <is>
          <t>2026-04-02</t>
        </is>
      </c>
      <c r="G242" t="inlineStr">
        <is>
          <t xml:space="preserve"> - Surfer Suite</t>
        </is>
      </c>
      <c r="H242">
        <f>HYPERLINK("https://booking.roadsurfer.com/es/rally/pick?pickup_date=2026-03-26&amp;return_date=2026-04-02&amp;currency=EUR&amp;startStation=22&amp;endStation=77",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2026-04-07</t>
        </is>
      </c>
      <c r="F243" t="inlineStr">
        <is>
          <t>2026-04-14</t>
        </is>
      </c>
      <c r="G243" t="inlineStr">
        <is>
          <t xml:space="preserve"> - Camper Castle</t>
        </is>
      </c>
      <c r="H243">
        <f>HYPERLINK("https://booking.roadsurfer.com/es/rally/pick?pickup_date=2026-04-07&amp;return_date=2026-04-14&amp;currency=EUR&amp;startStation=22&amp;endStation=77",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Couple Cottage</t>
        </is>
      </c>
      <c r="H244">
        <f>HYPERLINK("https://booking.roadsurfer.com/es/rally/pick?pickup_date=2026-04-23&amp;return_date=2026-04-30&amp;currency=EUR&amp;startStation=22&amp;endStation=77",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2026-03-25</t>
        </is>
      </c>
      <c r="F245" t="inlineStr">
        <is>
          <t>2026-04-01</t>
        </is>
      </c>
      <c r="G245" t="inlineStr">
        <is>
          <t xml:space="preserve"> - Surfer Suite</t>
        </is>
      </c>
      <c r="H245">
        <f>HYPERLINK("https://booking.roadsurfer.com/es/rally/pick?pickup_date=2026-03-25&amp;return_date=2026-04-01&amp;currency=EUR&amp;startStation=22&amp;endStation=48",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2026-04-02</t>
        </is>
      </c>
      <c r="F246" t="inlineStr">
        <is>
          <t>2026-04-09</t>
        </is>
      </c>
      <c r="G246" t="inlineStr">
        <is>
          <t xml:space="preserve"> - Surfer Suite</t>
        </is>
      </c>
      <c r="H246">
        <f>HYPERLINK("https://booking.roadsurfer.com/es/rally/pick?pickup_date=2026-04-02&amp;return_date=2026-04-09&amp;currency=EUR&amp;startStation=22&amp;endStation=12",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No hay coche</t>
        </is>
      </c>
      <c r="H247">
        <f>HYPERLINK("https://booking.roadsurfer.com/es/rally/pick?pickup_date=2026-04-23&amp;return_date=2026-04-30&amp;currency=EUR&amp;startStation=22&amp;endStation=12",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España</t>
        </is>
      </c>
      <c r="D248" t="inlineStr">
        <is>
          <t>Bilbao</t>
        </is>
      </c>
      <c r="E248" t="inlineStr">
        <is>
          <t>2026-03-24</t>
        </is>
      </c>
      <c r="F248" t="inlineStr">
        <is>
          <t>2026-03-31</t>
        </is>
      </c>
      <c r="G248" t="inlineStr">
        <is>
          <t xml:space="preserve"> - Surfer Suite</t>
        </is>
      </c>
      <c r="H248">
        <f>HYPERLINK("https://booking.roadsurfer.com/es/rally/pick?pickup_date=2026-03-24&amp;return_date=2026-03-31&amp;currency=EUR&amp;startStation=22&amp;endStation=40",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España</t>
        </is>
      </c>
      <c r="D249" t="inlineStr">
        <is>
          <t>Bilbao</t>
        </is>
      </c>
      <c r="E249" t="inlineStr">
        <is>
          <t>2026-04-06</t>
        </is>
      </c>
      <c r="F249" t="inlineStr">
        <is>
          <t>2026-04-13</t>
        </is>
      </c>
      <c r="G249" t="inlineStr">
        <is>
          <t xml:space="preserve"> - Surfer Suite</t>
        </is>
      </c>
      <c r="H249">
        <f>HYPERLINK("https://booking.roadsurfer.com/es/rally/pick?pickup_date=2026-04-06&amp;return_date=2026-04-13&amp;currency=EUR&amp;startStation=22&amp;endStation=40",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España</t>
        </is>
      </c>
      <c r="D250" t="inlineStr">
        <is>
          <t>Málaga</t>
        </is>
      </c>
      <c r="E250" t="inlineStr">
        <is>
          <t>2026-03-30</t>
        </is>
      </c>
      <c r="F250" t="inlineStr">
        <is>
          <t>2026-04-06</t>
        </is>
      </c>
      <c r="G250" t="inlineStr">
        <is>
          <t xml:space="preserve"> - Surfer Suite</t>
        </is>
      </c>
      <c r="H250">
        <f>HYPERLINK("https://booking.roadsurfer.com/es/rally/pick?pickup_date=2026-03-30&amp;return_date=2026-04-06&amp;currency=EUR&amp;startStation=22&amp;endStation=21",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2026-03-26</t>
        </is>
      </c>
      <c r="F251" t="inlineStr">
        <is>
          <t>2026-04-02</t>
        </is>
      </c>
      <c r="G251" t="inlineStr">
        <is>
          <t xml:space="preserve"> - Surfer Suite - Beach Hostel</t>
        </is>
      </c>
      <c r="H251">
        <f>HYPERLINK("https://booking.roadsurfer.com/es/rally/pick?pickup_date=2026-03-26&amp;return_date=2026-04-02&amp;currency=EUR&amp;startStation=22&amp;endStation=94",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Italia</t>
        </is>
      </c>
      <c r="D252" t="inlineStr">
        <is>
          <t>Bérgamo</t>
        </is>
      </c>
      <c r="E252" t="inlineStr">
        <is>
          <t>2026-03-30</t>
        </is>
      </c>
      <c r="F252" t="inlineStr">
        <is>
          <t>2026-04-06</t>
        </is>
      </c>
      <c r="G252" t="inlineStr">
        <is>
          <t xml:space="preserve"> - No hay coche</t>
        </is>
      </c>
      <c r="H252">
        <f>HYPERLINK("https://booking.roadsurfer.com/es/rally/pick?pickup_date=2026-03-30&amp;return_date=2026-04-06&amp;currency=EUR&amp;startStation=22&amp;endStation=94",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2026-03-25</t>
        </is>
      </c>
      <c r="F253" t="inlineStr">
        <is>
          <t>2026-04-01</t>
        </is>
      </c>
      <c r="G253" t="inlineStr">
        <is>
          <t xml:space="preserve"> - Surfer Suite</t>
        </is>
      </c>
      <c r="H253">
        <f>HYPERLINK("https://booking.roadsurfer.com/es/rally/pick?pickup_date=2026-03-25&amp;return_date=2026-04-01&amp;currency=EUR&amp;startStation=22&amp;endStation=60",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2026-03-30</t>
        </is>
      </c>
      <c r="F254" t="inlineStr">
        <is>
          <t>2026-04-06</t>
        </is>
      </c>
      <c r="G254" t="inlineStr">
        <is>
          <t xml:space="preserve"> - No hay coche</t>
        </is>
      </c>
      <c r="H254">
        <f>HYPERLINK("https://booking.roadsurfer.com/es/rally/pick?pickup_date=2026-03-30&amp;return_date=2026-04-06&amp;currency=EUR&amp;startStation=22&amp;endStation=60",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2026-03-24</t>
        </is>
      </c>
      <c r="F255" t="inlineStr">
        <is>
          <t>2026-03-31</t>
        </is>
      </c>
      <c r="G255" t="inlineStr">
        <is>
          <t xml:space="preserve"> - Surfer Suite</t>
        </is>
      </c>
      <c r="H255">
        <f>HYPERLINK("https://booking.roadsurfer.com/es/rally/pick?pickup_date=2026-03-24&amp;return_date=2026-03-31&amp;currency=EUR&amp;startStation=22&amp;endStation=60",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HYPERLINK("https://booking.roadsurfer.com/es/rally/pick?pickup_date=2026-03-27&amp;return_date=2026-04-03&amp;currency=EUR&amp;startStation=22&amp;endStation=60",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2026-04-06</t>
        </is>
      </c>
      <c r="F257" t="inlineStr">
        <is>
          <t>2026-04-13</t>
        </is>
      </c>
      <c r="G257" t="inlineStr">
        <is>
          <t xml:space="preserve"> - Beach Hostel</t>
        </is>
      </c>
      <c r="H257">
        <f>HYPERLINK("https://booking.roadsurfer.com/es/rally/pick?pickup_date=2026-04-06&amp;return_date=2026-04-13&amp;currency=EUR&amp;startStation=22&amp;endStation=60",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2026-04-02</t>
        </is>
      </c>
      <c r="F258" t="inlineStr">
        <is>
          <t>2026-04-09</t>
        </is>
      </c>
      <c r="G258" t="inlineStr">
        <is>
          <t xml:space="preserve"> - Family Finca</t>
        </is>
      </c>
      <c r="H258">
        <f>HYPERLINK("https://booking.roadsurfer.com/es/rally/pick?pickup_date=2026-04-02&amp;return_date=2026-04-09&amp;currency=EUR&amp;startStation=22&amp;endStation=60",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Austria</t>
        </is>
      </c>
      <c r="D259" t="inlineStr">
        <is>
          <t>Viena</t>
        </is>
      </c>
      <c r="E259" t="inlineStr">
        <is>
          <t>2026-04-01</t>
        </is>
      </c>
      <c r="F259" t="inlineStr">
        <is>
          <t>2026-04-08</t>
        </is>
      </c>
      <c r="G259" t="inlineStr">
        <is>
          <t xml:space="preserve"> - Surfer Suite</t>
        </is>
      </c>
      <c r="H259">
        <f>HYPERLINK("https://booking.roadsurfer.com/es/rally/pick?pickup_date=2026-04-01&amp;return_date=2026-04-08&amp;currency=EUR&amp;startStation=22&amp;endStation=36",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Austria</t>
        </is>
      </c>
      <c r="D260" t="inlineStr">
        <is>
          <t>Viena</t>
        </is>
      </c>
      <c r="E260" t="inlineStr">
        <is>
          <t>2026-04-08</t>
        </is>
      </c>
      <c r="F260" t="inlineStr">
        <is>
          <t>2026-04-15</t>
        </is>
      </c>
      <c r="G260" t="inlineStr">
        <is>
          <t xml:space="preserve"> - BEACH HOSTEL</t>
        </is>
      </c>
      <c r="H260">
        <f>HYPERLINK("https://booking.roadsurfer.com/es/rally/pick?pickup_date=2026-04-08&amp;return_date=2026-04-15&amp;currency=EUR&amp;startStation=22&amp;endStation=36",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2026-03-30</t>
        </is>
      </c>
      <c r="F261" t="inlineStr">
        <is>
          <t>2026-04-06</t>
        </is>
      </c>
      <c r="G261" t="inlineStr">
        <is>
          <t xml:space="preserve"> - No hay coche</t>
        </is>
      </c>
      <c r="H261">
        <f>HYPERLINK("https://booking.roadsurfer.com/es/rally/pick?pickup_date=2026-03-30&amp;return_date=2026-04-06&amp;currency=EUR&amp;startStation=22&amp;endStation=36",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2026-03-27</t>
        </is>
      </c>
      <c r="F263" t="inlineStr">
        <is>
          <t>2026-04-03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HYPERLINK("https://booking.roadsurfer.com/es/rally/pick?pickup_date=2026-03-27&amp;return_date=2026-04-03&amp;currency=EUR&amp;startStation=22&amp;endStation=59",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2026-03-26</t>
        </is>
      </c>
      <c r="F264" t="inlineStr">
        <is>
          <t>2026-04-02</t>
        </is>
      </c>
      <c r="G264" t="inlineStr">
        <is>
          <t xml:space="preserve"> - Road House</t>
        </is>
      </c>
      <c r="H264">
        <f>HYPERLINK("https://booking.roadsurfer.com/es/rally/pick?pickup_date=2026-03-26&amp;return_date=2026-04-02&amp;currency=EUR&amp;startStation=22&amp;endStation=59",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2026-05-18</t>
        </is>
      </c>
      <c r="F265" t="inlineStr">
        <is>
          <t>2026-05-25</t>
        </is>
      </c>
      <c r="G265" t="inlineStr">
        <is>
          <t xml:space="preserve"> - Camper Castle</t>
        </is>
      </c>
      <c r="H265">
        <f>HYPERLINK("https://booking.roadsurfer.com/es/rally/pick?pickup_date=2026-05-18&amp;return_date=2026-05-25&amp;currency=EUR&amp;startStation=22&amp;endStation=59",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2026-04-27</t>
        </is>
      </c>
      <c r="F266" t="inlineStr">
        <is>
          <t>2026-05-04</t>
        </is>
      </c>
      <c r="G266" t="inlineStr">
        <is>
          <t xml:space="preserve"> - Family Finca</t>
        </is>
      </c>
      <c r="H266">
        <f>HYPERLINK("https://booking.roadsurfer.com/es/rally/pick?pickup_date=2026-04-27&amp;return_date=2026-05-04&amp;currency=EUR&amp;startStation=22&amp;endStation=59",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2026-03-25</t>
        </is>
      </c>
      <c r="F267" t="inlineStr">
        <is>
          <t>2026-04-01</t>
        </is>
      </c>
      <c r="G267" t="inlineStr">
        <is>
          <t xml:space="preserve"> - Surfer Suite</t>
        </is>
      </c>
      <c r="H267">
        <f>HYPERLINK("https://booking.roadsurfer.com/es/rally/pick?pickup_date=2026-03-25&amp;return_date=2026-04-01&amp;currency=EUR&amp;startStation=22&amp;endStation=45",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Florencia</t>
        </is>
      </c>
      <c r="E268" t="inlineStr">
        <is>
          <t>2026-04-24</t>
        </is>
      </c>
      <c r="F268" t="inlineStr">
        <is>
          <t>2026-05-01</t>
        </is>
      </c>
      <c r="G268" t="inlineStr">
        <is>
          <t xml:space="preserve"> - No hay coche</t>
        </is>
      </c>
      <c r="H268">
        <f>HYPERLINK("https://booking.roadsurfer.com/es/rally/pick?pickup_date=2026-04-24&amp;return_date=2026-05-01&amp;currency=EUR&amp;startStation=22&amp;endStation=80",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Florencia</t>
        </is>
      </c>
      <c r="E269" t="inlineStr">
        <is>
          <t>2026-04-06</t>
        </is>
      </c>
      <c r="F269" t="inlineStr">
        <is>
          <t>2026-04-13</t>
        </is>
      </c>
      <c r="G269" t="inlineStr">
        <is>
          <t xml:space="preserve"> - Beach Hostel</t>
        </is>
      </c>
      <c r="H269">
        <f>HYPERLINK("https://booking.roadsurfer.com/es/rally/pick?pickup_date=2026-04-06&amp;return_date=2026-04-13&amp;currency=EUR&amp;startStation=22&amp;endStation=80",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Italia</t>
        </is>
      </c>
      <c r="D270" t="inlineStr">
        <is>
          <t>Milán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Beach Hostel</t>
        </is>
      </c>
      <c r="H270">
        <f>HYPERLINK("https://booking.roadsurfer.com/es/rally/pick?pickup_date=2026-03-27&amp;return_date=2026-04-03&amp;currency=EUR&amp;startStation=22&amp;endStation=34",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2026-03-27</t>
        </is>
      </c>
      <c r="F271" t="inlineStr">
        <is>
          <t>2026-04-03</t>
        </is>
      </c>
      <c r="G271" t="inlineStr">
        <is>
          <t xml:space="preserve"> - Beach Hostel</t>
        </is>
      </c>
      <c r="H271">
        <f>HYPERLINK("https://booking.roadsurfer.com/es/rally/pick?pickup_date=2026-03-27&amp;return_date=2026-04-03&amp;currency=EUR&amp;startStation=22&amp;endStation=87",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Lille</t>
        </is>
      </c>
      <c r="E272" t="inlineStr">
        <is>
          <t>2026-03-26</t>
        </is>
      </c>
      <c r="F272" t="inlineStr">
        <is>
          <t>2026-04-02</t>
        </is>
      </c>
      <c r="G272" t="inlineStr">
        <is>
          <t xml:space="preserve"> - Beach Hostel</t>
        </is>
      </c>
      <c r="H272">
        <f>HYPERLINK("https://booking.roadsurfer.com/es/rally/pick?pickup_date=2026-03-26&amp;return_date=2026-04-02&amp;currency=EUR&amp;startStation=22&amp;endStation=87",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2026-03-27</t>
        </is>
      </c>
      <c r="F273" t="inlineStr">
        <is>
          <t>2026-04-03</t>
        </is>
      </c>
      <c r="G273" t="inlineStr">
        <is>
          <t xml:space="preserve"> - Camper Cabin</t>
        </is>
      </c>
      <c r="H273">
        <f>HYPERLINK("https://booking.roadsurfer.com/es/rally/pick?pickup_date=2026-03-27&amp;return_date=2026-04-03&amp;currency=EUR&amp;startStation=22&amp;endStation=13",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Bélgica</t>
        </is>
      </c>
      <c r="D274" t="inlineStr">
        <is>
          <t>Bruselas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Family Finca</t>
        </is>
      </c>
      <c r="H274">
        <f>HYPERLINK("https://booking.roadsurfer.com/es/rally/pick?pickup_date=2026-04-23&amp;return_date=2026-04-30&amp;currency=EUR&amp;startStation=22&amp;endStation=42",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Wurzburgo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No hay coche</t>
        </is>
      </c>
      <c r="H275">
        <f>HYPERLINK("https://booking.roadsurfer.com/es/rally/pick?pickup_date=2026-05-04&amp;return_date=2026-05-11&amp;currency=EUR&amp;startStation=34&amp;endStation=115", "Clic para verlo en la web de RoadSurfer")</f>
        <v/>
      </c>
    </row>
    <row r="276">
      <c r="A276" t="inlineStr">
        <is>
          <t>Alemania</t>
        </is>
      </c>
      <c r="B276" t="inlineStr">
        <is>
          <t>Múnich</t>
        </is>
      </c>
      <c r="C276" t="inlineStr">
        <is>
          <t>Francia</t>
        </is>
      </c>
      <c r="D276" t="inlineStr">
        <is>
          <t>Niza</t>
        </is>
      </c>
      <c r="E276" t="inlineStr">
        <is>
          <t>2026-04-23</t>
        </is>
      </c>
      <c r="F276" t="inlineStr">
        <is>
          <t>2026-04-30</t>
        </is>
      </c>
      <c r="G276" t="inlineStr">
        <is>
          <t xml:space="preserve"> - Surfer Suite</t>
        </is>
      </c>
      <c r="H276">
        <f>HYPERLINK("https://booking.roadsurfer.com/es/rally/pick?pickup_date=2026-04-23&amp;return_date=2026-04-30&amp;currency=EUR&amp;startStation=1&amp;endStation=88", "Clic para verlo en la web de RoadSurfer")</f>
        <v/>
      </c>
    </row>
    <row r="277">
      <c r="A277" t="inlineStr">
        <is>
          <t>Alemania</t>
        </is>
      </c>
      <c r="B277" t="inlineStr">
        <is>
          <t>Múnich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2026-04-15</t>
        </is>
      </c>
      <c r="F277" t="inlineStr">
        <is>
          <t>2026-04-22</t>
        </is>
      </c>
      <c r="G277" t="inlineStr">
        <is>
          <t xml:space="preserve"> - Camper Cabin</t>
        </is>
      </c>
      <c r="H277">
        <f>HYPERLINK("https://booking.roadsurfer.com/es/rally/pick?pickup_date=2026-04-15&amp;return_date=2026-04-22&amp;currency=EUR&amp;startStation=1&amp;endStation=40", "Clic para verlo en la web de RoadSurfer")</f>
        <v/>
      </c>
    </row>
    <row r="278">
      <c r="A278" t="inlineStr">
        <is>
          <t>Alemania</t>
        </is>
      </c>
      <c r="B278" t="inlineStr">
        <is>
          <t>Múnich</t>
        </is>
      </c>
      <c r="C278" t="inlineStr">
        <is>
          <t>España</t>
        </is>
      </c>
      <c r="D278" t="inlineStr">
        <is>
          <t>Madrid</t>
        </is>
      </c>
      <c r="E278" t="inlineStr">
        <is>
          <t>2026-03-31</t>
        </is>
      </c>
      <c r="F278" t="inlineStr">
        <is>
          <t>2026-04-07</t>
        </is>
      </c>
      <c r="G278" t="inlineStr">
        <is>
          <t xml:space="preserve"> - Road House</t>
        </is>
      </c>
      <c r="H278">
        <f>HYPERLINK("https://booking.roadsurfer.com/es/rally/pick?pickup_date=2026-03-31&amp;return_date=2026-04-07&amp;currency=EUR&amp;startStation=1&amp;endStation=20", "Clic para verlo en la web de RoadSurfer")</f>
        <v/>
      </c>
    </row>
    <row r="279">
      <c r="A279" t="inlineStr">
        <is>
          <t>Alemania</t>
        </is>
      </c>
      <c r="B279" t="inlineStr">
        <is>
          <t>Múnich</t>
        </is>
      </c>
      <c r="C279" t="inlineStr">
        <is>
          <t>Francia</t>
        </is>
      </c>
      <c r="D279" t="inlineStr">
        <is>
          <t>Lille</t>
        </is>
      </c>
      <c r="E279" t="inlineStr">
        <is>
          <t>2026-04-09</t>
        </is>
      </c>
      <c r="F279" t="inlineStr">
        <is>
          <t>2026-04-16</t>
        </is>
      </c>
      <c r="G279" t="inlineStr">
        <is>
          <t xml:space="preserve"> - COZY COTTAGE</t>
        </is>
      </c>
      <c r="H279">
        <f>HYPERLINK("https://booking.roadsurfer.com/es/rally/pick?pickup_date=2026-04-09&amp;return_date=2026-04-16&amp;currency=EUR&amp;startStation=1&amp;endStation=87", "Clic para verlo en la web de RoadSurfer")</f>
        <v/>
      </c>
    </row>
    <row r="280">
      <c r="A280" t="inlineStr">
        <is>
          <t>Alemania</t>
        </is>
      </c>
      <c r="B280" t="inlineStr">
        <is>
          <t>Múnich</t>
        </is>
      </c>
      <c r="C280" t="inlineStr">
        <is>
          <t>Francia</t>
        </is>
      </c>
      <c r="D280" t="inlineStr">
        <is>
          <t>Lille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Road House</t>
        </is>
      </c>
      <c r="H280">
        <f>HYPERLINK("https://booking.roadsurfer.com/es/rally/pick?pickup_date=2026-03-27&amp;return_date=2026-04-03&amp;currency=EUR&amp;startStation=1&amp;endStation=87", "Clic para verlo en la web de RoadSurfer")</f>
        <v/>
      </c>
    </row>
    <row r="281">
      <c r="A281" t="inlineStr">
        <is>
          <t>Alemania</t>
        </is>
      </c>
      <c r="B281" t="inlineStr">
        <is>
          <t>Múnich</t>
        </is>
      </c>
      <c r="C281" t="inlineStr">
        <is>
          <t>Francia</t>
        </is>
      </c>
      <c r="D281" t="inlineStr">
        <is>
          <t>Lille</t>
        </is>
      </c>
      <c r="E281" t="inlineStr">
        <is>
          <t>2026-04-27</t>
        </is>
      </c>
      <c r="F281" t="inlineStr">
        <is>
          <t>2026-05-04</t>
        </is>
      </c>
      <c r="G281" t="inlineStr">
        <is>
          <t xml:space="preserve"> - Family Finca</t>
        </is>
      </c>
      <c r="H281">
        <f>HYPERLINK("https://booking.roadsurfer.com/es/rally/pick?pickup_date=2026-04-27&amp;return_date=2026-05-04&amp;currency=EUR&amp;startStation=1&amp;endStation=87", "Clic para verlo en la web de RoadSurfer")</f>
        <v/>
      </c>
    </row>
    <row r="282">
      <c r="A282" t="inlineStr">
        <is>
          <t>Alemania</t>
        </is>
      </c>
      <c r="B282" t="inlineStr">
        <is>
          <t>Múnich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2026-04-16</t>
        </is>
      </c>
      <c r="F282" t="inlineStr">
        <is>
          <t>2026-04-23</t>
        </is>
      </c>
      <c r="G282" t="inlineStr">
        <is>
          <t xml:space="preserve"> - Camper Castle</t>
        </is>
      </c>
      <c r="H282">
        <f>HYPERLINK("https://booking.roadsurfer.com/es/rally/pick?pickup_date=2026-04-16&amp;return_date=2026-04-23&amp;currency=EUR&amp;startStation=1&amp;endStation=31", "Clic para verlo en la web de RoadSurfer")</f>
        <v/>
      </c>
    </row>
    <row r="283">
      <c r="A283" t="inlineStr">
        <is>
          <t>Alemania</t>
        </is>
      </c>
      <c r="B283" t="inlineStr">
        <is>
          <t>Múnich</t>
        </is>
      </c>
      <c r="C283" t="inlineStr">
        <is>
          <t>Austria</t>
        </is>
      </c>
      <c r="D283" t="inlineStr">
        <is>
          <t>Viena Sur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Camper Castle</t>
        </is>
      </c>
      <c r="H283">
        <f>HYPERLINK("https://booking.roadsurfer.com/es/rally/pick?pickup_date=2026-04-13&amp;return_date=2026-04-20&amp;currency=EUR&amp;startStation=1&amp;endStation=45", "Clic para verlo en la web de RoadSurfer")</f>
        <v/>
      </c>
    </row>
    <row r="284">
      <c r="A284" t="inlineStr">
        <is>
          <t>Alemania</t>
        </is>
      </c>
      <c r="B284" t="inlineStr">
        <is>
          <t>Múnich</t>
        </is>
      </c>
      <c r="C284" t="inlineStr">
        <is>
          <t>Francia</t>
        </is>
      </c>
      <c r="D284" t="inlineStr">
        <is>
          <t>Estrasburgo</t>
        </is>
      </c>
      <c r="E284" t="inlineStr">
        <is>
          <t>2026-03-24</t>
        </is>
      </c>
      <c r="F284" t="inlineStr">
        <is>
          <t>2026-03-31</t>
        </is>
      </c>
      <c r="G284" t="inlineStr">
        <is>
          <t xml:space="preserve"> - Camper Castle</t>
        </is>
      </c>
      <c r="H284">
        <f>HYPERLINK("https://booking.roadsurfer.com/es/rally/pick?pickup_date=2026-03-24&amp;return_date=2026-03-31&amp;currency=EUR&amp;startStation=1&amp;endStation=49", "Clic para verlo en la web de RoadSurfer")</f>
        <v/>
      </c>
    </row>
    <row r="285">
      <c r="A285" t="inlineStr">
        <is>
          <t>Alemania</t>
        </is>
      </c>
      <c r="B285" t="inlineStr">
        <is>
          <t>Múnich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2026-04-08</t>
        </is>
      </c>
      <c r="F285" t="inlineStr">
        <is>
          <t>2026-04-15</t>
        </is>
      </c>
      <c r="G285" t="inlineStr">
        <is>
          <t xml:space="preserve"> - Family Finca</t>
        </is>
      </c>
      <c r="H285">
        <f>HYPERLINK("https://booking.roadsurfer.com/es/rally/pick?pickup_date=2026-04-08&amp;return_date=2026-04-15&amp;currency=EUR&amp;startStation=1&amp;endStation=12", "Clic para verlo en la web de RoadSurfer")</f>
        <v/>
      </c>
    </row>
    <row r="286">
      <c r="A286" t="inlineStr">
        <is>
          <t>Alemania</t>
        </is>
      </c>
      <c r="B286" t="inlineStr">
        <is>
          <t>Múnich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Sunrise Suite</t>
        </is>
      </c>
      <c r="H286">
        <f>HYPERLINK("https://booking.roadsurfer.com/es/rally/pick?pickup_date=2026-04-20&amp;return_date=2026-04-27&amp;currency=EUR&amp;startStation=1&amp;endStation=12", "Clic para verlo en la web de RoadSurfer")</f>
        <v/>
      </c>
    </row>
    <row r="287">
      <c r="A287" t="inlineStr">
        <is>
          <t>Alemania</t>
        </is>
      </c>
      <c r="B287" t="inlineStr">
        <is>
          <t>Múnich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Family Finca</t>
        </is>
      </c>
      <c r="H287">
        <f>HYPERLINK("https://booking.roadsurfer.com/es/rally/pick?pickup_date=2026-04-27&amp;return_date=2026-05-04&amp;currency=EUR&amp;startStation=1&amp;endStation=42", "Clic para verlo en la web de RoadSurfer")</f>
        <v/>
      </c>
    </row>
    <row r="288">
      <c r="A288" t="inlineStr">
        <is>
          <t>Alemania</t>
        </is>
      </c>
      <c r="B288" t="inlineStr">
        <is>
          <t>Múnich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2026-04-09</t>
        </is>
      </c>
      <c r="F288" t="inlineStr">
        <is>
          <t>2026-04-16</t>
        </is>
      </c>
      <c r="G288" t="inlineStr">
        <is>
          <t xml:space="preserve"> - Couple Cottage</t>
        </is>
      </c>
      <c r="H288">
        <f>HYPERLINK("https://booking.roadsurfer.com/es/rally/pick?pickup_date=2026-04-09&amp;return_date=2026-04-16&amp;currency=EUR&amp;startStation=1&amp;endStation=47", "Clic para verlo en la web de RoadSurfer")</f>
        <v/>
      </c>
    </row>
    <row r="289">
      <c r="A289" t="inlineStr">
        <is>
          <t>Alemania</t>
        </is>
      </c>
      <c r="B289" t="inlineStr">
        <is>
          <t>Múnich</t>
        </is>
      </c>
      <c r="C289" t="inlineStr">
        <is>
          <t>Alemania</t>
        </is>
      </c>
      <c r="D289" t="inlineStr">
        <is>
          <t>Bochum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No hay coche</t>
        </is>
      </c>
      <c r="H289">
        <f>HYPERLINK("https://booking.roadsurfer.com/es/rally/pick?pickup_date=2026-03-27&amp;return_date=2026-04-03&amp;currency=EUR&amp;startStation=1&amp;endStation=24", "Clic para verlo en la web de RoadSurfer")</f>
        <v/>
      </c>
    </row>
    <row r="290">
      <c r="A290" t="inlineStr">
        <is>
          <t>Alemania</t>
        </is>
      </c>
      <c r="B290" t="inlineStr">
        <is>
          <t>Múnich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2026-04-17</t>
        </is>
      </c>
      <c r="F290" t="inlineStr">
        <is>
          <t>2026-04-24</t>
        </is>
      </c>
      <c r="G290" t="inlineStr">
        <is>
          <t xml:space="preserve"> - Sunrise Suite</t>
        </is>
      </c>
      <c r="H290">
        <f>HYPERLINK("https://booking.roadsurfer.com/es/rally/pick?pickup_date=2026-04-17&amp;return_date=2026-04-24&amp;currency=EUR&amp;startStation=1&amp;endStation=13",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2026-04-02</t>
        </is>
      </c>
      <c r="F291" t="inlineStr">
        <is>
          <t>2026-04-09</t>
        </is>
      </c>
      <c r="G291" t="inlineStr">
        <is>
          <t xml:space="preserve"> - SURFER SUITE</t>
        </is>
      </c>
      <c r="H291">
        <f>HYPERLINK("https://booking.roadsurfer.com/es/rally/pick?pickup_date=2026-04-02&amp;return_date=2026-04-09&amp;currency=EUR&amp;startStation=31&amp;endStation=22",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2026-03-24</t>
        </is>
      </c>
      <c r="F292" t="inlineStr">
        <is>
          <t>2026-03-31</t>
        </is>
      </c>
      <c r="G292" t="inlineStr">
        <is>
          <t xml:space="preserve"> - Beach Hostel</t>
        </is>
      </c>
      <c r="H292">
        <f>HYPERLINK("https://booking.roadsurfer.com/es/rally/pick?pickup_date=2026-03-24&amp;return_date=2026-03-31&amp;currency=EUR&amp;startStation=31&amp;endStation=91",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Ulm</t>
        </is>
      </c>
      <c r="E293" t="inlineStr">
        <is>
          <t>2026-04-14</t>
        </is>
      </c>
      <c r="F293" t="inlineStr">
        <is>
          <t>2026-04-21</t>
        </is>
      </c>
      <c r="G293" t="inlineStr">
        <is>
          <t xml:space="preserve"> - Beach Hostel</t>
        </is>
      </c>
      <c r="H293">
        <f>HYPERLINK("https://booking.roadsurfer.com/es/rally/pick?pickup_date=2026-04-14&amp;return_date=2026-04-21&amp;currency=EUR&amp;startStation=31&amp;endStation=112",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Aquisgrán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Travel Home</t>
        </is>
      </c>
      <c r="H294">
        <f>HYPERLINK("https://booking.roadsurfer.com/es/rally/pick?pickup_date=2026-04-13&amp;return_date=2026-04-20&amp;currency=EUR&amp;startStation=31&amp;endStation=114", "Clic para verlo en la web de RoadSurfer")</f>
        <v/>
      </c>
    </row>
    <row r="295">
      <c r="A295" t="inlineStr">
        <is>
          <t>Francia</t>
        </is>
      </c>
      <c r="B295" t="inlineStr">
        <is>
          <t>Niza</t>
        </is>
      </c>
      <c r="C295" t="inlineStr">
        <is>
          <t>Alemania</t>
        </is>
      </c>
      <c r="D295" t="inlineStr">
        <is>
          <t>Tréveris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Road House</t>
        </is>
      </c>
      <c r="H295">
        <f>HYPERLINK("https://booking.roadsurfer.com/es/rally/pick?pickup_date=2026-04-23&amp;return_date=2026-04-30&amp;currency=EUR&amp;startStation=88&amp;endStation=28", "Clic para verlo en la web de RoadSurfer")</f>
        <v/>
      </c>
    </row>
    <row r="296">
      <c r="A296" t="inlineStr">
        <is>
          <t>Alemania</t>
        </is>
      </c>
      <c r="B296" t="inlineStr">
        <is>
          <t>Núremberg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2026-04-20</t>
        </is>
      </c>
      <c r="F296" t="inlineStr">
        <is>
          <t>2026-04-27</t>
        </is>
      </c>
      <c r="G296" t="inlineStr">
        <is>
          <t xml:space="preserve"> - Camper Castle</t>
        </is>
      </c>
      <c r="H296">
        <f>HYPERLINK("https://booking.roadsurfer.com/es/rally/pick?pickup_date=2026-04-20&amp;return_date=2026-04-27&amp;currency=EUR&amp;startStation=11&amp;endStation=30",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Surfer Suite</t>
        </is>
      </c>
      <c r="H297">
        <f>HYPERLINK("https://booking.roadsurfer.com/es/rally/pick?pickup_date=2026-04-20&amp;return_date=2026-04-27&amp;currency=EUR&amp;startStation=12&amp;endStation=6",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Aquisgrán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Camper Cabin</t>
        </is>
      </c>
      <c r="H298">
        <f>HYPERLINK("https://booking.roadsurfer.com/es/rally/pick?pickup_date=2026-05-04&amp;return_date=2026-05-11&amp;currency=EUR&amp;startStation=12&amp;endStation=114",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Karlsruhe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Camper Cabin</t>
        </is>
      </c>
      <c r="H299">
        <f>HYPERLINK("https://booking.roadsurfer.com/es/rally/pick?pickup_date=2026-05-04&amp;return_date=2026-05-11&amp;currency=EUR&amp;startStation=12&amp;endStation=110", "Clic para verlo en la web de RoadSurfer")</f>
        <v/>
      </c>
    </row>
    <row r="300">
      <c r="A300" t="inlineStr">
        <is>
          <t>Francia</t>
        </is>
      </c>
      <c r="B300" t="inlineStr">
        <is>
          <t>París Aeropuerto CDG</t>
        </is>
      </c>
      <c r="C300" t="inlineStr">
        <is>
          <t>Alemania</t>
        </is>
      </c>
      <c r="D300" t="inlineStr">
        <is>
          <t>Aquisgrán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Road House</t>
        </is>
      </c>
      <c r="H300">
        <f>HYPERLINK("https://booking.roadsurfer.com/es/rally/pick?pickup_date=2026-05-04&amp;return_date=2026-05-11&amp;currency=EUR&amp;startStation=48&amp;endStation=114", "Clic para verlo en la web de RoadSurfer")</f>
        <v/>
      </c>
    </row>
    <row r="301">
      <c r="A301" t="inlineStr">
        <is>
          <t>Francia</t>
        </is>
      </c>
      <c r="B301" t="inlineStr">
        <is>
          <t>París Aeropuerto CDG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2026-04-13</t>
        </is>
      </c>
      <c r="F301" t="inlineStr">
        <is>
          <t>2026-04-20</t>
        </is>
      </c>
      <c r="G301" t="inlineStr">
        <is>
          <t xml:space="preserve"> - Family Finca</t>
        </is>
      </c>
      <c r="H301">
        <f>HYPERLINK("https://booking.roadsurfer.com/es/rally/pick?pickup_date=2026-04-13&amp;return_date=2026-04-20&amp;currency=EUR&amp;startStation=48&amp;endStation=5", "Clic para verlo en la web de RoadSurfer")</f>
        <v/>
      </c>
    </row>
    <row r="302">
      <c r="A302" t="inlineStr">
        <is>
          <t>Francia</t>
        </is>
      </c>
      <c r="B302" t="inlineStr">
        <is>
          <t>París Aeropuerto CDG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Couple Cottage</t>
        </is>
      </c>
      <c r="H302">
        <f>HYPERLINK("https://booking.roadsurfer.com/es/rally/pick?pickup_date=2026-04-20&amp;return_date=2026-04-27&amp;currency=EUR&amp;startStation=48&amp;endStation=16", "Clic para verlo en la web de RoadSurfer")</f>
        <v/>
      </c>
    </row>
    <row r="303">
      <c r="A303" t="inlineStr">
        <is>
          <t>EE.UU.</t>
        </is>
      </c>
      <c r="B303" t="inlineStr">
        <is>
          <t>Phoenix</t>
        </is>
      </c>
      <c r="C303" t="inlineStr">
        <is>
          <t>EE.UU.</t>
        </is>
      </c>
      <c r="D303" t="inlineStr">
        <is>
          <t>Dallas</t>
        </is>
      </c>
      <c r="E303" t="inlineStr">
        <is>
          <t>2026-03-31</t>
        </is>
      </c>
      <c r="F303" t="inlineStr">
        <is>
          <t>2026-04-07</t>
        </is>
      </c>
      <c r="G303" t="inlineStr">
        <is>
          <t xml:space="preserve"> - Couple Condo</t>
        </is>
      </c>
      <c r="H303">
        <f>HYPERLINK("https://booking.roadsurfer.com/es/rally/pick?pickup_date=2026-03-31&amp;return_date=2026-04-07&amp;currency=EUR&amp;startStation=105&amp;endStation=125", "Clic para verlo en la web de RoadSurfer")</f>
        <v/>
      </c>
    </row>
    <row r="304">
      <c r="A304" t="inlineStr">
        <is>
          <t>Alemania</t>
        </is>
      </c>
      <c r="B304" t="inlineStr">
        <is>
          <t>Ratisbona</t>
        </is>
      </c>
      <c r="C304" t="inlineStr">
        <is>
          <t>Alemania</t>
        </is>
      </c>
      <c r="D304" t="inlineStr">
        <is>
          <t>Bremen</t>
        </is>
      </c>
      <c r="E304" t="inlineStr">
        <is>
          <t>2026-03-30</t>
        </is>
      </c>
      <c r="F304" t="inlineStr">
        <is>
          <t>2026-04-06</t>
        </is>
      </c>
      <c r="G304" t="inlineStr">
        <is>
          <t xml:space="preserve"> - No hay coche</t>
        </is>
      </c>
      <c r="H304">
        <f>HYPERLINK("https://booking.roadsurfer.com/es/rally/pick?pickup_date=2026-03-30&amp;return_date=2026-04-06&amp;currency=EUR&amp;startStation=89&amp;endStation=55", "Clic para verlo en la web de RoadSurfer")</f>
        <v/>
      </c>
    </row>
    <row r="305">
      <c r="A305" t="inlineStr">
        <is>
          <t>Alemania</t>
        </is>
      </c>
      <c r="B305" t="inlineStr">
        <is>
          <t>Ratisbona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Surfer Suite</t>
        </is>
      </c>
      <c r="H305">
        <f>HYPERLINK("https://booking.roadsurfer.com/es/rally/pick?pickup_date=2026-04-27&amp;return_date=2026-05-04&amp;currency=EUR&amp;startStation=89&amp;endStation=110", "Clic para verlo en la web de RoadSurfer")</f>
        <v/>
      </c>
    </row>
    <row r="306">
      <c r="A306" t="inlineStr">
        <is>
          <t>Suecia</t>
        </is>
      </c>
      <c r="B306" t="inlineStr">
        <is>
          <t>Estocolmo</t>
        </is>
      </c>
      <c r="C306" t="inlineStr">
        <is>
          <t>Alemania</t>
        </is>
      </c>
      <c r="D306" t="inlineStr">
        <is>
          <t>Karlsruhe</t>
        </is>
      </c>
      <c r="E306" t="inlineStr">
        <is>
          <t>2026-04-14</t>
        </is>
      </c>
      <c r="F306" t="inlineStr">
        <is>
          <t>2026-04-21</t>
        </is>
      </c>
      <c r="G306" t="inlineStr">
        <is>
          <t xml:space="preserve"> - Camper Castle</t>
        </is>
      </c>
      <c r="H306">
        <f>HYPERLINK("https://booking.roadsurfer.com/es/rally/pick?pickup_date=2026-04-14&amp;return_date=2026-04-21&amp;currency=EUR&amp;startStation=59&amp;endStation=110", "Clic para verlo en la web de RoadSurfer")</f>
        <v/>
      </c>
    </row>
    <row r="307">
      <c r="A307" t="inlineStr">
        <is>
          <t>Suecia</t>
        </is>
      </c>
      <c r="B307" t="inlineStr">
        <is>
          <t>Estocolmo</t>
        </is>
      </c>
      <c r="C307" t="inlineStr">
        <is>
          <t>Alemania</t>
        </is>
      </c>
      <c r="D307" t="inlineStr">
        <is>
          <t>Karlsruhe</t>
        </is>
      </c>
      <c r="E307" t="inlineStr">
        <is>
          <t>2026-03-31</t>
        </is>
      </c>
      <c r="F307" t="inlineStr">
        <is>
          <t>2026-04-07</t>
        </is>
      </c>
      <c r="G307" t="inlineStr">
        <is>
          <t xml:space="preserve"> - Surfer Suite</t>
        </is>
      </c>
      <c r="H307">
        <f>HYPERLINK("https://booking.roadsurfer.com/es/rally/pick?pickup_date=2026-03-31&amp;return_date=2026-04-07&amp;currency=EUR&amp;startStation=59&amp;endStation=110", "Clic para verlo en la web de RoadSurfer")</f>
        <v/>
      </c>
    </row>
    <row r="308">
      <c r="A308" t="inlineStr">
        <is>
          <t>Suecia</t>
        </is>
      </c>
      <c r="B308" t="inlineStr">
        <is>
          <t>Estocolmo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2026-03-27</t>
        </is>
      </c>
      <c r="F308" t="inlineStr">
        <is>
          <t>2026-04-03</t>
        </is>
      </c>
      <c r="G308" t="inlineStr">
        <is>
          <t xml:space="preserve"> - No hay coche</t>
        </is>
      </c>
      <c r="H308">
        <f>HYPERLINK("https://booking.roadsurfer.com/es/rally/pick?pickup_date=2026-03-27&amp;return_date=2026-04-03&amp;currency=EUR&amp;startStation=59&amp;endStation=6",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Ratisbona</t>
        </is>
      </c>
      <c r="E309" t="inlineStr">
        <is>
          <t>2026-03-26</t>
        </is>
      </c>
      <c r="F309" t="inlineStr">
        <is>
          <t>2026-04-02</t>
        </is>
      </c>
      <c r="G309" t="inlineStr">
        <is>
          <t xml:space="preserve"> - Camper Castle</t>
        </is>
      </c>
      <c r="H309">
        <f>HYPERLINK("https://booking.roadsurfer.com/es/rally/pick?pickup_date=2026-03-26&amp;return_date=2026-04-02&amp;currency=EUR&amp;startStation=59&amp;endStation=89", "Clic para verlo en la web de RoadSurfer")</f>
        <v/>
      </c>
    </row>
    <row r="310">
      <c r="A310" t="inlineStr">
        <is>
          <t>Suecia</t>
        </is>
      </c>
      <c r="B310" t="inlineStr">
        <is>
          <t>Estocolmo</t>
        </is>
      </c>
      <c r="C310" t="inlineStr">
        <is>
          <t>Alemania</t>
        </is>
      </c>
      <c r="D310" t="inlineStr">
        <is>
          <t>Ratisbona</t>
        </is>
      </c>
      <c r="E310" t="inlineStr">
        <is>
          <t>2026-03-28</t>
        </is>
      </c>
      <c r="F310" t="inlineStr">
        <is>
          <t>2026-04-04</t>
        </is>
      </c>
      <c r="G310" t="inlineStr">
        <is>
          <t xml:space="preserve"> - Surfer Suite</t>
        </is>
      </c>
      <c r="H310">
        <f>HYPERLINK("https://booking.roadsurfer.com/es/rally/pick?pickup_date=2026-03-28&amp;return_date=2026-04-04&amp;currency=EUR&amp;startStation=59&amp;endStation=89", "Clic para verlo en la web de RoadSurfer")</f>
        <v/>
      </c>
    </row>
    <row r="311">
      <c r="A311" t="inlineStr">
        <is>
          <t>Suecia</t>
        </is>
      </c>
      <c r="B311" t="inlineStr">
        <is>
          <t>Estocolmo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2026-03-24</t>
        </is>
      </c>
      <c r="F311" t="inlineStr">
        <is>
          <t>2026-03-31</t>
        </is>
      </c>
      <c r="G311" t="inlineStr">
        <is>
          <t xml:space="preserve"> - Surfer Suite</t>
        </is>
      </c>
      <c r="H311">
        <f>HYPERLINK("https://booking.roadsurfer.com/es/rally/pick?pickup_date=2026-03-24&amp;return_date=2026-03-31&amp;currency=EUR&amp;startStation=59&amp;endStation=22", "Clic para verlo en la web de RoadSurfer")</f>
        <v/>
      </c>
    </row>
    <row r="312">
      <c r="A312" t="inlineStr">
        <is>
          <t>Suecia</t>
        </is>
      </c>
      <c r="B312" t="inlineStr">
        <is>
          <t>Estocolmo</t>
        </is>
      </c>
      <c r="C312" t="inlineStr">
        <is>
          <t>Alemania</t>
        </is>
      </c>
      <c r="D312" t="inlineStr">
        <is>
          <t>Núremberg</t>
        </is>
      </c>
      <c r="E312" t="inlineStr">
        <is>
          <t>2026-04-02</t>
        </is>
      </c>
      <c r="F312" t="inlineStr">
        <is>
          <t>2026-04-09</t>
        </is>
      </c>
      <c r="G312" t="inlineStr">
        <is>
          <t xml:space="preserve"> - Surfer Suite</t>
        </is>
      </c>
      <c r="H312">
        <f>HYPERLINK("https://booking.roadsurfer.com/es/rally/pick?pickup_date=2026-04-02&amp;return_date=2026-04-09&amp;currency=EUR&amp;startStation=59&amp;endStation=11", "Clic para verlo en la web de RoadSurfer")</f>
        <v/>
      </c>
    </row>
    <row r="313">
      <c r="A313" t="inlineStr">
        <is>
          <t>Suecia</t>
        </is>
      </c>
      <c r="B313" t="inlineStr">
        <is>
          <t>Estocolmo</t>
        </is>
      </c>
      <c r="C313" t="inlineStr">
        <is>
          <t>Alemania</t>
        </is>
      </c>
      <c r="D313" t="inlineStr">
        <is>
          <t>Núremberg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HYPERLINK("https://booking.roadsurfer.com/es/rally/pick?pickup_date=2026-03-30&amp;return_date=2026-04-06&amp;currency=EUR&amp;startStation=59&amp;endStation=11", "Clic para verlo en la web de RoadSurfer")</f>
        <v/>
      </c>
    </row>
    <row r="314">
      <c r="A314" t="inlineStr">
        <is>
          <t>Suecia</t>
        </is>
      </c>
      <c r="B314" t="inlineStr">
        <is>
          <t>Estocolmo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Couple Cottage</t>
        </is>
      </c>
      <c r="H314">
        <f>HYPERLINK("https://booking.roadsurfer.com/es/rally/pick?pickup_date=2026-04-14&amp;return_date=2026-04-21&amp;currency=EUR&amp;startStation=59&amp;endStation=90", "Clic para verlo en la web de RoadSurfer")</f>
        <v/>
      </c>
    </row>
    <row r="315">
      <c r="A315" t="inlineStr">
        <is>
          <t>Suecia</t>
        </is>
      </c>
      <c r="B315" t="inlineStr">
        <is>
          <t>Estocolmo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2026-03-24</t>
        </is>
      </c>
      <c r="F315" t="inlineStr">
        <is>
          <t>2026-03-31</t>
        </is>
      </c>
      <c r="G315" t="inlineStr">
        <is>
          <t xml:space="preserve"> - Sunrise Suite</t>
        </is>
      </c>
      <c r="H315">
        <f>HYPERLINK("https://booking.roadsurfer.com/es/rally/pick?pickup_date=2026-03-24&amp;return_date=2026-03-31&amp;currency=EUR&amp;startStation=59&amp;endStation=90", "Clic para verlo en la web de RoadSurfer")</f>
        <v/>
      </c>
    </row>
    <row r="316">
      <c r="A316" t="inlineStr">
        <is>
          <t>Suecia</t>
        </is>
      </c>
      <c r="B316" t="inlineStr">
        <is>
          <t>Estocolmo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2026-04-16</t>
        </is>
      </c>
      <c r="F316" t="inlineStr">
        <is>
          <t>2026-04-23</t>
        </is>
      </c>
      <c r="G316" t="inlineStr">
        <is>
          <t xml:space="preserve"> - Road House</t>
        </is>
      </c>
      <c r="H316">
        <f>HYPERLINK("https://booking.roadsurfer.com/es/rally/pick?pickup_date=2026-04-16&amp;return_date=2026-04-23&amp;currency=EUR&amp;startStation=59&amp;endStation=90", "Clic para verlo en la web de RoadSurfer")</f>
        <v/>
      </c>
    </row>
    <row r="317">
      <c r="A317" t="inlineStr">
        <is>
          <t>Suecia</t>
        </is>
      </c>
      <c r="B317" t="inlineStr">
        <is>
          <t>Estocolmo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2026-03-25</t>
        </is>
      </c>
      <c r="F317" t="inlineStr">
        <is>
          <t>2026-04-01</t>
        </is>
      </c>
      <c r="G317" t="inlineStr">
        <is>
          <t xml:space="preserve"> - Surfer Suite</t>
        </is>
      </c>
      <c r="H317">
        <f>HYPERLINK("https://booking.roadsurfer.com/es/rally/pick?pickup_date=2026-03-25&amp;return_date=2026-04-01&amp;currency=EUR&amp;startStation=59&amp;endStation=90", "Clic para verlo en la web de RoadSurfer")</f>
        <v/>
      </c>
    </row>
    <row r="318">
      <c r="A318" t="inlineStr">
        <is>
          <t>Suecia</t>
        </is>
      </c>
      <c r="B318" t="inlineStr">
        <is>
          <t>Estocolmo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Road House</t>
        </is>
      </c>
      <c r="H318">
        <f>HYPERLINK("https://booking.roadsurfer.com/es/rally/pick?pickup_date=2026-04-14&amp;return_date=2026-04-21&amp;currency=EUR&amp;startStation=59&amp;endStation=91",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Beach Hostel</t>
        </is>
      </c>
      <c r="H319">
        <f>HYPERLINK("https://booking.roadsurfer.com/es/rally/pick?pickup_date=2026-03-24&amp;return_date=2026-03-31&amp;currency=EUR&amp;startStation=59&amp;endStation=91",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Sunrise Suite</t>
        </is>
      </c>
      <c r="H320">
        <f>HYPERLINK("https://booking.roadsurfer.com/es/rally/pick?pickup_date=2026-05-04&amp;return_date=2026-05-11&amp;currency=EUR&amp;startStation=59&amp;endStation=91",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2026-04-06</t>
        </is>
      </c>
      <c r="F321" t="inlineStr">
        <is>
          <t>2026-04-13</t>
        </is>
      </c>
      <c r="G321" t="inlineStr">
        <is>
          <t xml:space="preserve"> - No hay coche</t>
        </is>
      </c>
      <c r="H321">
        <f>HYPERLINK("https://booking.roadsurfer.com/es/rally/pick?pickup_date=2026-04-06&amp;return_date=2026-04-13&amp;currency=EUR&amp;startStation=59&amp;endStation=91",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Road House</t>
        </is>
      </c>
      <c r="H322">
        <f>HYPERLINK("https://booking.roadsurfer.com/es/rally/pick?pickup_date=2026-04-13&amp;return_date=2026-04-20&amp;currency=EUR&amp;startStation=59&amp;endStation=91",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Bremen</t>
        </is>
      </c>
      <c r="E323" t="inlineStr">
        <is>
          <t>2026-04-15</t>
        </is>
      </c>
      <c r="F323" t="inlineStr">
        <is>
          <t>2026-04-22</t>
        </is>
      </c>
      <c r="G323" t="inlineStr">
        <is>
          <t xml:space="preserve"> - BEACH HOSTEL</t>
        </is>
      </c>
      <c r="H323">
        <f>HYPERLINK("https://booking.roadsurfer.com/es/rally/pick?pickup_date=2026-04-15&amp;return_date=2026-04-22&amp;currency=EUR&amp;startStation=59&amp;endStation=55",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2026-03-24</t>
        </is>
      </c>
      <c r="F324" t="inlineStr">
        <is>
          <t>2026-03-31</t>
        </is>
      </c>
      <c r="G324" t="inlineStr">
        <is>
          <t xml:space="preserve"> - Road House</t>
        </is>
      </c>
      <c r="H324">
        <f>HYPERLINK("https://booking.roadsurfer.com/es/rally/pick?pickup_date=2026-03-24&amp;return_date=2026-03-31&amp;currency=EUR&amp;startStation=59&amp;endStation=56",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Colonia-Bonn</t>
        </is>
      </c>
      <c r="E325" t="inlineStr">
        <is>
          <t>2026-04-06</t>
        </is>
      </c>
      <c r="F325" t="inlineStr">
        <is>
          <t>2026-04-13</t>
        </is>
      </c>
      <c r="G325" t="inlineStr">
        <is>
          <t xml:space="preserve"> - No hay coche</t>
        </is>
      </c>
      <c r="H325">
        <f>HYPERLINK("https://booking.roadsurfer.com/es/rally/pick?pickup_date=2026-04-06&amp;return_date=2026-04-13&amp;currency=EUR&amp;startStation=59&amp;endStation=52",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Augsburgo</t>
        </is>
      </c>
      <c r="E326" t="inlineStr">
        <is>
          <t>2026-04-15</t>
        </is>
      </c>
      <c r="F326" t="inlineStr">
        <is>
          <t>2026-04-22</t>
        </is>
      </c>
      <c r="G326" t="inlineStr">
        <is>
          <t xml:space="preserve"> - Camper Castle</t>
        </is>
      </c>
      <c r="H326">
        <f>HYPERLINK("https://booking.roadsurfer.com/es/rally/pick?pickup_date=2026-04-15&amp;return_date=2026-04-22&amp;currency=EUR&amp;startStation=59&amp;endStation=108",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Lindau-Wangen</t>
        </is>
      </c>
      <c r="E327" t="inlineStr">
        <is>
          <t>2026-04-15</t>
        </is>
      </c>
      <c r="F327" t="inlineStr">
        <is>
          <t>2026-04-22</t>
        </is>
      </c>
      <c r="G327" t="inlineStr">
        <is>
          <t xml:space="preserve"> - Camper Castle</t>
        </is>
      </c>
      <c r="H327">
        <f>HYPERLINK("https://booking.roadsurfer.com/es/rally/pick?pickup_date=2026-04-15&amp;return_date=2026-04-22&amp;currency=EUR&amp;startStation=59&amp;endStation=117",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Berlín-Schönefeld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Family Finca</t>
        </is>
      </c>
      <c r="H328">
        <f>HYPERLINK("https://booking.roadsurfer.com/es/rally/pick?pickup_date=2026-04-14&amp;return_date=2026-04-21&amp;currency=EUR&amp;startStation=59&amp;endStation=51",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2026-04-01</t>
        </is>
      </c>
      <c r="F329" t="inlineStr">
        <is>
          <t>2026-04-08</t>
        </is>
      </c>
      <c r="G329" t="inlineStr">
        <is>
          <t xml:space="preserve"> - Cozy Cottage</t>
        </is>
      </c>
      <c r="H329">
        <f>HYPERLINK("https://booking.roadsurfer.com/es/rally/pick?pickup_date=2026-04-01&amp;return_date=2026-04-08&amp;currency=EUR&amp;startStation=59&amp;endStation=3",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2026-04-27</t>
        </is>
      </c>
      <c r="F330" t="inlineStr">
        <is>
          <t>2026-05-04</t>
        </is>
      </c>
      <c r="G330" t="inlineStr">
        <is>
          <t xml:space="preserve"> - Family Finca</t>
        </is>
      </c>
      <c r="H330">
        <f>HYPERLINK("https://booking.roadsurfer.com/es/rally/pick?pickup_date=2026-04-27&amp;return_date=2026-05-04&amp;currency=EUR&amp;startStation=59&amp;endStation=3", "Clic para verlo en la web de RoadSurfer")</f>
        <v/>
      </c>
    </row>
    <row r="331">
      <c r="A331" t="inlineStr">
        <is>
          <t>Alemania</t>
        </is>
      </c>
      <c r="B331" t="inlineStr">
        <is>
          <t>Stuttgart</t>
        </is>
      </c>
      <c r="C331" t="inlineStr">
        <is>
          <t>Francia</t>
        </is>
      </c>
      <c r="D331" t="inlineStr">
        <is>
          <t>Nantes</t>
        </is>
      </c>
      <c r="E331" t="inlineStr">
        <is>
          <t>2026-04-15</t>
        </is>
      </c>
      <c r="F331" t="inlineStr">
        <is>
          <t>2026-04-22</t>
        </is>
      </c>
      <c r="G331" t="inlineStr">
        <is>
          <t xml:space="preserve"> - Family Finca</t>
        </is>
      </c>
      <c r="H331">
        <f>HYPERLINK("https://booking.roadsurfer.com/es/rally/pick?pickup_date=2026-04-15&amp;return_date=2026-04-22&amp;currency=EUR&amp;startStation=5&amp;endStation=31", "Clic para verlo en la web de RoadSurfer")</f>
        <v/>
      </c>
    </row>
    <row r="332">
      <c r="A332" t="inlineStr">
        <is>
          <t>Alemania</t>
        </is>
      </c>
      <c r="B332" t="inlineStr">
        <is>
          <t>Stuttgart</t>
        </is>
      </c>
      <c r="C332" t="inlineStr">
        <is>
          <t>Francia</t>
        </is>
      </c>
      <c r="D332" t="inlineStr">
        <is>
          <t>Nantes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Camper Cabin</t>
        </is>
      </c>
      <c r="H332">
        <f>HYPERLINK("https://booking.roadsurfer.com/es/rally/pick?pickup_date=2026-04-13&amp;return_date=2026-04-20&amp;currency=EUR&amp;startStation=5&amp;endStation=31", "Clic para verlo en la web de RoadSurfer")</f>
        <v/>
      </c>
    </row>
    <row r="333">
      <c r="A333" t="inlineStr">
        <is>
          <t>Alemania</t>
        </is>
      </c>
      <c r="B333" t="inlineStr">
        <is>
          <t>Stuttgart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Camper Cabin</t>
        </is>
      </c>
      <c r="H333">
        <f>HYPERLINK("https://booking.roadsurfer.com/es/rally/pick?pickup_date=2026-04-13&amp;return_date=2026-04-20&amp;currency=EUR&amp;startStation=5&amp;endStation=40", "Clic para verlo en la web de RoadSurfer")</f>
        <v/>
      </c>
    </row>
    <row r="334">
      <c r="A334" t="inlineStr">
        <is>
          <t>Alemania</t>
        </is>
      </c>
      <c r="B334" t="inlineStr">
        <is>
          <t>Stuttgart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2026-04-10</t>
        </is>
      </c>
      <c r="F334" t="inlineStr">
        <is>
          <t>2026-04-17</t>
        </is>
      </c>
      <c r="G334" t="inlineStr">
        <is>
          <t xml:space="preserve"> - Road House</t>
        </is>
      </c>
      <c r="H334">
        <f>HYPERLINK("https://booking.roadsurfer.com/es/rally/pick?pickup_date=2026-04-10&amp;return_date=2026-04-17&amp;currency=EUR&amp;startStation=5&amp;endStation=17", "Clic para verlo en la web de RoadSurfer")</f>
        <v/>
      </c>
    </row>
    <row r="335">
      <c r="A335" t="inlineStr">
        <is>
          <t>Alemania</t>
        </is>
      </c>
      <c r="B335" t="inlineStr">
        <is>
          <t>Stuttgart</t>
        </is>
      </c>
      <c r="C335" t="inlineStr">
        <is>
          <t>Alemania</t>
        </is>
      </c>
      <c r="D335" t="inlineStr">
        <is>
          <t>Aquisgrán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No hay coche</t>
        </is>
      </c>
      <c r="H335">
        <f>HYPERLINK("https://booking.roadsurfer.com/es/rally/pick?pickup_date=2026-04-23&amp;return_date=2026-04-30&amp;currency=EUR&amp;startStation=5&amp;endStation=114", "Clic para verlo en la web de RoadSurfer")</f>
        <v/>
      </c>
    </row>
    <row r="336">
      <c r="A336" t="inlineStr">
        <is>
          <t>Alemania</t>
        </is>
      </c>
      <c r="B336" t="inlineStr">
        <is>
          <t>Stuttgart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2026-04-15</t>
        </is>
      </c>
      <c r="F336" t="inlineStr">
        <is>
          <t>2026-04-22</t>
        </is>
      </c>
      <c r="G336" t="inlineStr">
        <is>
          <t xml:space="preserve"> - Family Finca</t>
        </is>
      </c>
      <c r="H336">
        <f>HYPERLINK("https://booking.roadsurfer.com/es/rally/pick?pickup_date=2026-04-15&amp;return_date=2026-04-22&amp;currency=EUR&amp;startStation=5&amp;endStation=45", "Clic para verlo en la web de RoadSurfer")</f>
        <v/>
      </c>
    </row>
    <row r="337">
      <c r="A337" t="inlineStr">
        <is>
          <t>Alemania</t>
        </is>
      </c>
      <c r="B337" t="inlineStr">
        <is>
          <t>Stuttgart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Couple Cottage</t>
        </is>
      </c>
      <c r="H337">
        <f>HYPERLINK("https://booking.roadsurfer.com/es/rally/pick?pickup_date=2026-04-14&amp;return_date=2026-04-21&amp;currency=EUR&amp;startStation=5&amp;endStation=34", "Clic para verlo en la web de RoadSurfer")</f>
        <v/>
      </c>
    </row>
    <row r="338">
      <c r="A338" t="inlineStr">
        <is>
          <t>Alemania</t>
        </is>
      </c>
      <c r="B338" t="inlineStr">
        <is>
          <t>Stuttgart</t>
        </is>
      </c>
      <c r="C338" t="inlineStr">
        <is>
          <t>Francia</t>
        </is>
      </c>
      <c r="D338" t="inlineStr">
        <is>
          <t>Lille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Cozy Cottage</t>
        </is>
      </c>
      <c r="H338">
        <f>HYPERLINK("https://booking.roadsurfer.com/es/rally/pick?pickup_date=2026-04-20&amp;return_date=2026-04-27&amp;currency=EUR&amp;startStation=5&amp;endStation=87", "Clic para verlo en la web de RoadSurfer")</f>
        <v/>
      </c>
    </row>
    <row r="339">
      <c r="A339" t="inlineStr">
        <is>
          <t>Alemania</t>
        </is>
      </c>
      <c r="B339" t="inlineStr">
        <is>
          <t>Stuttgart</t>
        </is>
      </c>
      <c r="C339" t="inlineStr">
        <is>
          <t>Alemania</t>
        </is>
      </c>
      <c r="D339" t="inlineStr">
        <is>
          <t>Berlín-Schönefeld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Van Villa</t>
        </is>
      </c>
      <c r="H339">
        <f>HYPERLINK("https://booking.roadsurfer.com/es/rally/pick?pickup_date=2026-04-27&amp;return_date=2026-05-04&amp;currency=EUR&amp;startStation=5&amp;endStation=51", "Clic para verlo en la web de RoadSurfer")</f>
        <v/>
      </c>
    </row>
    <row r="340">
      <c r="A340" t="inlineStr">
        <is>
          <t>EE.UU.</t>
        </is>
      </c>
      <c r="B340" t="inlineStr">
        <is>
          <t>Thor Industries, Elkhart</t>
        </is>
      </c>
      <c r="C340" t="inlineStr">
        <is>
          <t>EE.UU.</t>
        </is>
      </c>
      <c r="D340" t="inlineStr">
        <is>
          <t>Salt Lake City</t>
        </is>
      </c>
      <c r="E340" t="inlineStr">
        <is>
          <t>2026-04-20</t>
        </is>
      </c>
      <c r="F340" t="inlineStr">
        <is>
          <t>2026-05-08</t>
        </is>
      </c>
      <c r="G340" t="inlineStr">
        <is>
          <t xml:space="preserve"> - Family Freedom</t>
        </is>
      </c>
      <c r="H340">
        <f>HYPERLINK("https://booking.roadsurfer.com/es/rally/pick?pickup_date=2026-04-20&amp;return_date=2026-05-08&amp;currency=EUR&amp;startStation=74&amp;endStation=106", "Clic para verlo en la web de RoadSurfer")</f>
        <v/>
      </c>
    </row>
    <row r="341">
      <c r="A341" t="inlineStr">
        <is>
          <t>EE.UU.</t>
        </is>
      </c>
      <c r="B341" t="inlineStr">
        <is>
          <t>Thor Industries, Elkhart</t>
        </is>
      </c>
      <c r="C341" t="inlineStr">
        <is>
          <t>EE.UU.</t>
        </is>
      </c>
      <c r="D341" t="inlineStr">
        <is>
          <t>Salt Lake City</t>
        </is>
      </c>
      <c r="E341" t="inlineStr">
        <is>
          <t>2026-04-20</t>
        </is>
      </c>
      <c r="F341" t="inlineStr">
        <is>
          <t>2026-05-04</t>
        </is>
      </c>
      <c r="G341" t="inlineStr">
        <is>
          <t xml:space="preserve"> - Family Freedom</t>
        </is>
      </c>
      <c r="H341">
        <f>HYPERLINK("https://booking.roadsurfer.com/es/rally/pick?pickup_date=2026-04-20&amp;return_date=2026-05-04&amp;currency=EUR&amp;startStation=74&amp;endStation=106", "Clic para verlo en la web de RoadSurfer")</f>
        <v/>
      </c>
    </row>
    <row r="342">
      <c r="A342" t="inlineStr">
        <is>
          <t>EE.UU.</t>
        </is>
      </c>
      <c r="B342" t="inlineStr">
        <is>
          <t>Thor Industries, Elkhart</t>
        </is>
      </c>
      <c r="C342" t="inlineStr">
        <is>
          <t>EE.UU.</t>
        </is>
      </c>
      <c r="D342" t="inlineStr">
        <is>
          <t>Seattle</t>
        </is>
      </c>
      <c r="E342" t="inlineStr">
        <is>
          <t>2026-04-20</t>
        </is>
      </c>
      <c r="F342" t="inlineStr">
        <is>
          <t>2026-05-08</t>
        </is>
      </c>
      <c r="G342" t="inlineStr">
        <is>
          <t xml:space="preserve"> - Family Freedom</t>
        </is>
      </c>
      <c r="H342">
        <f>HYPERLINK("https://booking.roadsurfer.com/es/rally/pick?pickup_date=2026-04-20&amp;return_date=2026-05-08&amp;currency=EUR&amp;startStation=74&amp;endStation=107", "Clic para verlo en la web de RoadSurfer")</f>
        <v/>
      </c>
    </row>
    <row r="343">
      <c r="A343" t="inlineStr">
        <is>
          <t>EE.UU.</t>
        </is>
      </c>
      <c r="B343" t="inlineStr">
        <is>
          <t>Thor Industries, Elkhart</t>
        </is>
      </c>
      <c r="C343" t="inlineStr">
        <is>
          <t>EE.UU.</t>
        </is>
      </c>
      <c r="D343" t="inlineStr">
        <is>
          <t>Seattle</t>
        </is>
      </c>
      <c r="E343" t="inlineStr">
        <is>
          <t>2026-04-23</t>
        </is>
      </c>
      <c r="F343" t="inlineStr">
        <is>
          <t>2026-05-07</t>
        </is>
      </c>
      <c r="G343" t="inlineStr">
        <is>
          <t xml:space="preserve"> - Family Freedom</t>
        </is>
      </c>
      <c r="H343">
        <f>HYPERLINK("https://booking.roadsurfer.com/es/rally/pick?pickup_date=2026-04-23&amp;return_date=2026-05-07&amp;currency=EUR&amp;startStation=74&amp;endStation=107", "Clic para verlo en la web de RoadSurfer")</f>
        <v/>
      </c>
    </row>
    <row r="344">
      <c r="A344" t="inlineStr">
        <is>
          <t>EE.UU.</t>
        </is>
      </c>
      <c r="B344" t="inlineStr">
        <is>
          <t>Thor Industries, Elkhart</t>
        </is>
      </c>
      <c r="C344" t="inlineStr">
        <is>
          <t>EE.UU.</t>
        </is>
      </c>
      <c r="D344" t="inlineStr">
        <is>
          <t>Denver</t>
        </is>
      </c>
      <c r="E344" t="inlineStr">
        <is>
          <t>2026-04-20</t>
        </is>
      </c>
      <c r="F344" t="inlineStr">
        <is>
          <t>2026-05-04</t>
        </is>
      </c>
      <c r="G344" t="inlineStr">
        <is>
          <t xml:space="preserve"> - Family Freedom</t>
        </is>
      </c>
      <c r="H344">
        <f>HYPERLINK("https://booking.roadsurfer.com/es/rally/pick?pickup_date=2026-04-20&amp;return_date=2026-05-04&amp;currency=EUR&amp;startStation=74&amp;endStation=104", "Clic para verlo en la web de RoadSurfer")</f>
        <v/>
      </c>
    </row>
    <row r="345">
      <c r="A345" t="inlineStr">
        <is>
          <t>EE.UU.</t>
        </is>
      </c>
      <c r="B345" t="inlineStr">
        <is>
          <t>Thor Industries, Elkhart</t>
        </is>
      </c>
      <c r="C345" t="inlineStr">
        <is>
          <t>EE.UU.</t>
        </is>
      </c>
      <c r="D345" t="inlineStr">
        <is>
          <t>Denver</t>
        </is>
      </c>
      <c r="E345" t="inlineStr">
        <is>
          <t>2026-04-21</t>
        </is>
      </c>
      <c r="F345" t="inlineStr">
        <is>
          <t>2026-05-05</t>
        </is>
      </c>
      <c r="G345" t="inlineStr">
        <is>
          <t xml:space="preserve"> - Family Freedom</t>
        </is>
      </c>
      <c r="H345">
        <f>HYPERLINK("https://booking.roadsurfer.com/es/rally/pick?pickup_date=2026-04-21&amp;return_date=2026-05-05&amp;currency=EUR&amp;startStation=74&amp;endStation=104", "Clic para verlo en la web de RoadSurfer")</f>
        <v/>
      </c>
    </row>
    <row r="346">
      <c r="A346" t="inlineStr">
        <is>
          <t>EE.UU.</t>
        </is>
      </c>
      <c r="B346" t="inlineStr">
        <is>
          <t>Thor Industries, Elkhart</t>
        </is>
      </c>
      <c r="C346" t="inlineStr">
        <is>
          <t>EE.UU.</t>
        </is>
      </c>
      <c r="D346" t="inlineStr">
        <is>
          <t>Denver</t>
        </is>
      </c>
      <c r="E346" t="inlineStr">
        <is>
          <t>2026-04-22</t>
        </is>
      </c>
      <c r="F346" t="inlineStr">
        <is>
          <t>2026-05-06</t>
        </is>
      </c>
      <c r="G346" t="inlineStr">
        <is>
          <t xml:space="preserve"> - Family Freedom</t>
        </is>
      </c>
      <c r="H346">
        <f>HYPERLINK("https://booking.roadsurfer.com/es/rally/pick?pickup_date=2026-04-22&amp;return_date=2026-05-06&amp;currency=EUR&amp;startStation=74&amp;endStation=104", "Clic para verlo en la web de RoadSurfer")</f>
        <v/>
      </c>
    </row>
    <row r="347">
      <c r="A347" t="inlineStr">
        <is>
          <t>EE.UU.</t>
        </is>
      </c>
      <c r="B347" t="inlineStr">
        <is>
          <t>Thor Industries, Elkhart</t>
        </is>
      </c>
      <c r="C347" t="inlineStr">
        <is>
          <t>EE.UU.</t>
        </is>
      </c>
      <c r="D347" t="inlineStr">
        <is>
          <t>Denver</t>
        </is>
      </c>
      <c r="E347" t="inlineStr">
        <is>
          <t>2026-04-20</t>
        </is>
      </c>
      <c r="F347" t="inlineStr">
        <is>
          <t>2026-05-08</t>
        </is>
      </c>
      <c r="G347" t="inlineStr">
        <is>
          <t xml:space="preserve"> - Family Freedom</t>
        </is>
      </c>
      <c r="H347">
        <f>HYPERLINK("https://booking.roadsurfer.com/es/rally/pick?pickup_date=2026-04-20&amp;return_date=2026-05-08&amp;currency=EUR&amp;startStation=74&amp;endStation=104", "Clic para verlo en la web de RoadSurfer")</f>
        <v/>
      </c>
    </row>
    <row r="348">
      <c r="A348" t="inlineStr">
        <is>
          <t>EE.UU.</t>
        </is>
      </c>
      <c r="B348" t="inlineStr">
        <is>
          <t>Thor Industries, Elkhart</t>
        </is>
      </c>
      <c r="C348" t="inlineStr">
        <is>
          <t>EE.UU.</t>
        </is>
      </c>
      <c r="D348" t="inlineStr">
        <is>
          <t>Dallas</t>
        </is>
      </c>
      <c r="E348" t="inlineStr">
        <is>
          <t>2026-04-20</t>
        </is>
      </c>
      <c r="F348" t="inlineStr">
        <is>
          <t>2026-05-04</t>
        </is>
      </c>
      <c r="G348" t="inlineStr">
        <is>
          <t xml:space="preserve"> - Family Freedom</t>
        </is>
      </c>
      <c r="H348">
        <f>HYPERLINK("https://booking.roadsurfer.com/es/rally/pick?pickup_date=2026-04-20&amp;return_date=2026-05-04&amp;currency=EUR&amp;startStation=74&amp;endStation=125", "Clic para verlo en la web de RoadSurfer")</f>
        <v/>
      </c>
    </row>
    <row r="349">
      <c r="A349" t="inlineStr">
        <is>
          <t>EE.UU.</t>
        </is>
      </c>
      <c r="B349" t="inlineStr">
        <is>
          <t>Thor Industries, Elkhart</t>
        </is>
      </c>
      <c r="C349" t="inlineStr">
        <is>
          <t>EE.UU.</t>
        </is>
      </c>
      <c r="D349" t="inlineStr">
        <is>
          <t>San Francisco</t>
        </is>
      </c>
      <c r="E349" t="inlineStr">
        <is>
          <t>2026-04-21</t>
        </is>
      </c>
      <c r="F349" t="inlineStr">
        <is>
          <t>2026-05-05</t>
        </is>
      </c>
      <c r="G349" t="inlineStr">
        <is>
          <t xml:space="preserve"> - Family Freedom</t>
        </is>
      </c>
      <c r="H349">
        <f>HYPERLINK("https://booking.roadsurfer.com/es/rally/pick?pickup_date=2026-04-21&amp;return_date=2026-05-05&amp;currency=EUR&amp;startStation=74&amp;endStation=75", "Clic para verlo en la web de RoadSurfer")</f>
        <v/>
      </c>
    </row>
    <row r="350">
      <c r="A350" t="inlineStr">
        <is>
          <t>Francia</t>
        </is>
      </c>
      <c r="B350" t="inlineStr">
        <is>
          <t>Toulouse</t>
        </is>
      </c>
      <c r="C350" t="inlineStr">
        <is>
          <t>Alemania</t>
        </is>
      </c>
      <c r="D350" t="inlineStr">
        <is>
          <t>Berlín</t>
        </is>
      </c>
      <c r="E350" t="inlineStr">
        <is>
          <t>2026-03-25</t>
        </is>
      </c>
      <c r="F350" t="inlineStr">
        <is>
          <t>2026-04-01</t>
        </is>
      </c>
      <c r="G350" t="inlineStr">
        <is>
          <t xml:space="preserve"> - Surfer Suite</t>
        </is>
      </c>
      <c r="H350">
        <f>HYPERLINK("https://booking.roadsurfer.com/es/rally/pick?pickup_date=2026-03-25&amp;return_date=2026-04-01&amp;currency=EUR&amp;startStation=30&amp;endStation=6", "Clic para verlo en la web de RoadSurfer")</f>
        <v/>
      </c>
    </row>
    <row r="351">
      <c r="A351" t="inlineStr">
        <is>
          <t>Francia</t>
        </is>
      </c>
      <c r="B351" t="inlineStr">
        <is>
          <t>Toulouse</t>
        </is>
      </c>
      <c r="C351" t="inlineStr">
        <is>
          <t>Alemania</t>
        </is>
      </c>
      <c r="D351" t="inlineStr">
        <is>
          <t>Constanza (Aach)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Surfer Suite</t>
        </is>
      </c>
      <c r="H351">
        <f>HYPERLINK("https://booking.roadsurfer.com/es/rally/pick?pickup_date=2026-05-04&amp;return_date=2026-05-11&amp;currency=EUR&amp;startStation=30&amp;endStation=10",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Erfurt</t>
        </is>
      </c>
      <c r="E352" t="inlineStr">
        <is>
          <t>2026-04-13</t>
        </is>
      </c>
      <c r="F352" t="inlineStr">
        <is>
          <t>2026-04-20</t>
        </is>
      </c>
      <c r="G352" t="inlineStr">
        <is>
          <t xml:space="preserve"> - Camper Castle</t>
        </is>
      </c>
      <c r="H352">
        <f>HYPERLINK("https://booking.roadsurfer.com/es/rally/pick?pickup_date=2026-04-13&amp;return_date=2026-04-20&amp;currency=EUR&amp;startStation=30&amp;endStation=90",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Erfurt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Road House</t>
        </is>
      </c>
      <c r="H353">
        <f>HYPERLINK("https://booking.roadsurfer.com/es/rally/pick?pickup_date=2026-04-14&amp;return_date=2026-04-21&amp;currency=EUR&amp;startStation=30&amp;endStation=90",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Kassel</t>
        </is>
      </c>
      <c r="E354" t="inlineStr">
        <is>
          <t>2026-04-27</t>
        </is>
      </c>
      <c r="F354" t="inlineStr">
        <is>
          <t>2026-05-04</t>
        </is>
      </c>
      <c r="G354" t="inlineStr">
        <is>
          <t xml:space="preserve"> - Family Finca</t>
        </is>
      </c>
      <c r="H354">
        <f>HYPERLINK("https://booking.roadsurfer.com/es/rally/pick?pickup_date=2026-04-27&amp;return_date=2026-05-04&amp;currency=EUR&amp;startStation=30&amp;endStation=92", "Clic para verlo en la web de RoadSurfer")</f>
        <v/>
      </c>
    </row>
    <row r="355">
      <c r="A355" t="inlineStr">
        <is>
          <t>Italia</t>
        </is>
      </c>
      <c r="B355" t="inlineStr">
        <is>
          <t>Turín</t>
        </is>
      </c>
      <c r="C355" t="inlineStr">
        <is>
          <t>Alemania</t>
        </is>
      </c>
      <c r="D355" t="inlineStr">
        <is>
          <t>Núremberg</t>
        </is>
      </c>
      <c r="E355" t="inlineStr">
        <is>
          <t>2026-04-16</t>
        </is>
      </c>
      <c r="F355" t="inlineStr">
        <is>
          <t>2026-04-23</t>
        </is>
      </c>
      <c r="G355" t="inlineStr">
        <is>
          <t xml:space="preserve"> - Road House</t>
        </is>
      </c>
      <c r="H355">
        <f>HYPERLINK("https://booking.roadsurfer.com/es/rally/pick?pickup_date=2026-04-16&amp;return_date=2026-04-23&amp;currency=EUR&amp;startStation=58&amp;endStation=11", "Clic para verlo en la web de RoadSurfer")</f>
        <v/>
      </c>
    </row>
    <row r="356">
      <c r="A356" t="inlineStr">
        <is>
          <t>Italia</t>
        </is>
      </c>
      <c r="B356" t="inlineStr">
        <is>
          <t>Turín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2026-04-20</t>
        </is>
      </c>
      <c r="F356" t="inlineStr">
        <is>
          <t>2026-04-27</t>
        </is>
      </c>
      <c r="G356" t="inlineStr">
        <is>
          <t xml:space="preserve"> - Family Finca</t>
        </is>
      </c>
      <c r="H356">
        <f>HYPERLINK("https://booking.roadsurfer.com/es/rally/pick?pickup_date=2026-04-20&amp;return_date=2026-04-27&amp;currency=EUR&amp;startStation=58&amp;endStation=56", "Clic para verlo en la web de RoadSurfer")</f>
        <v/>
      </c>
    </row>
    <row r="357">
      <c r="A357" t="inlineStr">
        <is>
          <t>Alemania</t>
        </is>
      </c>
      <c r="B357" t="inlineStr">
        <is>
          <t>Ulm</t>
        </is>
      </c>
      <c r="C357" t="inlineStr">
        <is>
          <t>Italia</t>
        </is>
      </c>
      <c r="D357" t="inlineStr">
        <is>
          <t>Bérgamo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Couple Cottage</t>
        </is>
      </c>
      <c r="H357">
        <f>HYPERLINK("https://booking.roadsurfer.com/es/rally/pick?pickup_date=2026-04-15&amp;return_date=2026-04-22&amp;currency=EUR&amp;startStation=112&amp;endStation=94", "Clic para verlo en la web de RoadSurfer")</f>
        <v/>
      </c>
    </row>
    <row r="358">
      <c r="A358" t="inlineStr">
        <is>
          <t>Alemania</t>
        </is>
      </c>
      <c r="B358" t="inlineStr">
        <is>
          <t>Ulm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Family Finca</t>
        </is>
      </c>
      <c r="H358">
        <f>HYPERLINK("https://booking.roadsurfer.com/es/rally/pick?pickup_date=2026-04-27&amp;return_date=2026-05-04&amp;currency=EUR&amp;startStation=112&amp;endStation=77", "Clic para verlo en la web de RoadSurfer")</f>
        <v/>
      </c>
    </row>
    <row r="359">
      <c r="A359" t="inlineStr">
        <is>
          <t>España</t>
        </is>
      </c>
      <c r="B359" t="inlineStr">
        <is>
          <t>Valencia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2026-03-30</t>
        </is>
      </c>
      <c r="F359" t="inlineStr">
        <is>
          <t>2026-04-06</t>
        </is>
      </c>
      <c r="G359" t="inlineStr">
        <is>
          <t xml:space="preserve"> - No hay coche</t>
        </is>
      </c>
      <c r="H359">
        <f>HYPERLINK("https://booking.roadsurfer.com/es/rally/pick?pickup_date=2026-03-30&amp;return_date=2026-04-06&amp;currency=EUR&amp;startStation=38&amp;endStation=11", "Clic para verlo en la web de RoadSurfer")</f>
        <v/>
      </c>
    </row>
    <row r="360">
      <c r="A360" t="inlineStr">
        <is>
          <t>Italia</t>
        </is>
      </c>
      <c r="B360" t="inlineStr">
        <is>
          <t>Venecia</t>
        </is>
      </c>
      <c r="C360" t="inlineStr">
        <is>
          <t>Alemania</t>
        </is>
      </c>
      <c r="D360" t="inlineStr">
        <is>
          <t>Fráncfort</t>
        </is>
      </c>
      <c r="E360" t="inlineStr">
        <is>
          <t>2026-03-27</t>
        </is>
      </c>
      <c r="F360" t="inlineStr">
        <is>
          <t>2026-04-03</t>
        </is>
      </c>
      <c r="G360" t="inlineStr">
        <is>
          <t xml:space="preserve"> - No hay coche</t>
        </is>
      </c>
      <c r="H360">
        <f>HYPERLINK("https://booking.roadsurfer.com/es/rally/pick?pickup_date=2026-03-27&amp;return_date=2026-04-03&amp;currency=EUR&amp;startStation=78&amp;endStation=2", "Clic para verlo en la web de RoadSurfer")</f>
        <v/>
      </c>
    </row>
    <row r="361">
      <c r="A361" t="inlineStr">
        <is>
          <t>Italia</t>
        </is>
      </c>
      <c r="B361" t="inlineStr">
        <is>
          <t>Venecia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2026-03-25</t>
        </is>
      </c>
      <c r="F361" t="inlineStr">
        <is>
          <t>2026-04-01</t>
        </is>
      </c>
      <c r="G361" t="inlineStr">
        <is>
          <t xml:space="preserve"> - Surfer Suite</t>
        </is>
      </c>
      <c r="H361">
        <f>HYPERLINK("https://booking.roadsurfer.com/es/rally/pick?pickup_date=2026-03-25&amp;return_date=2026-04-01&amp;currency=EUR&amp;startStation=78&amp;endStation=22",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Family Finca</t>
        </is>
      </c>
      <c r="H362">
        <f>HYPERLINK("https://booking.roadsurfer.com/es/rally/pick?pickup_date=2026-04-14&amp;return_date=2026-04-21&amp;currency=EUR&amp;startStation=78&amp;endStation=94",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Surfer Suite</t>
        </is>
      </c>
      <c r="H363">
        <f>HYPERLINK("https://booking.roadsurfer.com/es/rally/pick?pickup_date=2026-04-13&amp;return_date=2026-04-20&amp;currency=EUR&amp;startStation=78&amp;endStation=94",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Italia</t>
        </is>
      </c>
      <c r="D364" t="inlineStr">
        <is>
          <t>Bérgamo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Surfer Suite</t>
        </is>
      </c>
      <c r="H364">
        <f>HYPERLINK("https://booking.roadsurfer.com/es/rally/pick?pickup_date=2026-04-16&amp;return_date=2026-04-23&amp;currency=EUR&amp;startStation=78&amp;endStation=94",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Alemania</t>
        </is>
      </c>
      <c r="D365" t="inlineStr">
        <is>
          <t>Maguncia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Beach Hostel</t>
        </is>
      </c>
      <c r="H365">
        <f>HYPERLINK("https://booking.roadsurfer.com/es/rally/pick?pickup_date=2026-04-14&amp;return_date=2026-04-21&amp;currency=EUR&amp;startStation=78&amp;endStation=54", "Clic para verlo en la web de RoadSurfer")</f>
        <v/>
      </c>
    </row>
    <row r="366">
      <c r="A366" t="inlineStr">
        <is>
          <t>Austria</t>
        </is>
      </c>
      <c r="B366" t="inlineStr">
        <is>
          <t>Viena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Cozy Cottage</t>
        </is>
      </c>
      <c r="H366">
        <f>HYPERLINK("https://booking.roadsurfer.com/es/rally/pick?pickup_date=2026-04-14&amp;return_date=2026-04-21&amp;currency=EUR&amp;startStation=36&amp;endStation=8", "Clic para verlo en la web de RoadSurfer")</f>
        <v/>
      </c>
    </row>
    <row r="367">
      <c r="A367" t="inlineStr">
        <is>
          <t>Austria</t>
        </is>
      </c>
      <c r="B367" t="inlineStr">
        <is>
          <t>Viena Sur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2026-03-26</t>
        </is>
      </c>
      <c r="F367" t="inlineStr">
        <is>
          <t>2026-04-02</t>
        </is>
      </c>
      <c r="G367" t="inlineStr">
        <is>
          <t xml:space="preserve"> - Surfer Suite</t>
        </is>
      </c>
      <c r="H367">
        <f>HYPERLINK("https://booking.roadsurfer.com/es/rally/pick?pickup_date=2026-03-26&amp;return_date=2026-04-02&amp;currency=EUR&amp;startStation=45&amp;endStation=22", "Clic para verlo en la web de RoadSurfer")</f>
        <v/>
      </c>
    </row>
    <row r="368">
      <c r="A368" t="inlineStr">
        <is>
          <t>Austria</t>
        </is>
      </c>
      <c r="B368" t="inlineStr">
        <is>
          <t>Viena Sur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2026-03-25</t>
        </is>
      </c>
      <c r="F368" t="inlineStr">
        <is>
          <t>2026-04-01</t>
        </is>
      </c>
      <c r="G368" t="inlineStr">
        <is>
          <t xml:space="preserve"> - SURFER SUITE</t>
        </is>
      </c>
      <c r="H368">
        <f>HYPERLINK("https://booking.roadsurfer.com/es/rally/pick?pickup_date=2026-03-25&amp;return_date=2026-04-01&amp;currency=EUR&amp;startStation=45&amp;endStation=90",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Family Finca</t>
        </is>
      </c>
      <c r="H369">
        <f>HYPERLINK("https://booking.roadsurfer.com/es/rally/pick?pickup_date=2026-04-13&amp;return_date=2026-04-20&amp;currency=EUR&amp;startStation=45&amp;endStation=8",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Family Finca</t>
        </is>
      </c>
      <c r="H370">
        <f>HYPERLINK("https://booking.roadsurfer.com/es/rally/pick?pickup_date=2026-04-14&amp;return_date=2026-04-21&amp;currency=EUR&amp;startStation=45&amp;endStation=8",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Cozy Cottage</t>
        </is>
      </c>
      <c r="H371">
        <f>HYPERLINK("https://booking.roadsurfer.com/es/rally/pick?pickup_date=2026-04-15&amp;return_date=2026-04-22&amp;currency=EUR&amp;startStation=45&amp;endStation=11",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Núremberg</t>
        </is>
      </c>
      <c r="E372" t="inlineStr">
        <is>
          <t>2026-03-30</t>
        </is>
      </c>
      <c r="F372" t="inlineStr">
        <is>
          <t>2026-04-06</t>
        </is>
      </c>
      <c r="G372" t="inlineStr">
        <is>
          <t xml:space="preserve"> - No hay coche</t>
        </is>
      </c>
      <c r="H372">
        <f>HYPERLINK("https://booking.roadsurfer.com/es/rally/pick?pickup_date=2026-03-30&amp;return_date=2026-04-06&amp;currency=EUR&amp;startStation=45&amp;endStation=11", "Clic para verlo en la web de RoadSurfer")</f>
        <v/>
      </c>
    </row>
    <row r="373">
      <c r="A373" t="inlineStr">
        <is>
          <t>EE.UU.</t>
        </is>
      </c>
      <c r="B373" t="inlineStr">
        <is>
          <t>Winnebago Industries</t>
        </is>
      </c>
      <c r="C373" t="inlineStr">
        <is>
          <t>EE.UU.</t>
        </is>
      </c>
      <c r="D373" t="inlineStr">
        <is>
          <t>Denver</t>
        </is>
      </c>
      <c r="E373" t="inlineStr">
        <is>
          <t>2026-03-26</t>
        </is>
      </c>
      <c r="F373" t="inlineStr">
        <is>
          <t>2026-04-09</t>
        </is>
      </c>
      <c r="G373" t="inlineStr">
        <is>
          <t xml:space="preserve"> - Liberty Lodge</t>
        </is>
      </c>
      <c r="H373">
        <f>HYPERLINK("https://booking.roadsurfer.com/es/rally/pick?pickup_date=2026-03-26&amp;return_date=2026-04-09&amp;currency=EUR&amp;startStation=81&amp;endStation=104",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2026-03-27</t>
        </is>
      </c>
      <c r="F374" t="inlineStr">
        <is>
          <t>2026-04-10</t>
        </is>
      </c>
      <c r="G374" t="inlineStr">
        <is>
          <t xml:space="preserve"> - Liberty Lodge - Couple Condo</t>
        </is>
      </c>
      <c r="H374">
        <f>HYPERLINK("https://booking.roadsurfer.com/es/rally/pick?pickup_date=2026-03-27&amp;return_date=2026-04-10&amp;currency=EUR&amp;startStation=81&amp;endStation=104",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2026-03-31</t>
        </is>
      </c>
      <c r="F375" t="inlineStr">
        <is>
          <t>2026-04-14</t>
        </is>
      </c>
      <c r="G375" t="inlineStr">
        <is>
          <t xml:space="preserve"> - Liberty Lodge - Couple Condo</t>
        </is>
      </c>
      <c r="H375">
        <f>HYPERLINK("https://booking.roadsurfer.com/es/rally/pick?pickup_date=2026-03-31&amp;return_date=2026-04-14&amp;currency=EUR&amp;startStation=81&amp;endStation=104",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2026-03-30</t>
        </is>
      </c>
      <c r="F376" t="inlineStr">
        <is>
          <t>2026-04-13</t>
        </is>
      </c>
      <c r="G376" t="inlineStr">
        <is>
          <t xml:space="preserve"> - Liberty Lodge</t>
        </is>
      </c>
      <c r="H376">
        <f>HYPERLINK("https://booking.roadsurfer.com/es/rally/pick?pickup_date=2026-03-30&amp;return_date=2026-04-13&amp;currency=EUR&amp;startStation=81&amp;endStation=104",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San Francisco</t>
        </is>
      </c>
      <c r="E377" t="inlineStr">
        <is>
          <t>2026-03-30</t>
        </is>
      </c>
      <c r="F377" t="inlineStr">
        <is>
          <t>2026-04-13</t>
        </is>
      </c>
      <c r="G377" t="inlineStr">
        <is>
          <t xml:space="preserve"> - Liberty Lodge - Couple Condo</t>
        </is>
      </c>
      <c r="H377">
        <f>HYPERLINK("https://booking.roadsurfer.com/es/rally/pick?pickup_date=2026-03-30&amp;return_date=2026-04-13&amp;currency=EUR&amp;startStation=81&amp;endStation=75",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2026-03-26</t>
        </is>
      </c>
      <c r="F378" t="inlineStr">
        <is>
          <t>2026-04-09</t>
        </is>
      </c>
      <c r="G378" t="inlineStr">
        <is>
          <t xml:space="preserve"> - Liberty Lodge - Couple Condo</t>
        </is>
      </c>
      <c r="H378">
        <f>HYPERLINK("https://booking.roadsurfer.com/es/rally/pick?pickup_date=2026-03-26&amp;return_date=2026-04-09&amp;currency=EUR&amp;startStation=81&amp;endStation=75",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2026-04-01</t>
        </is>
      </c>
      <c r="F379" t="inlineStr">
        <is>
          <t>2026-04-15</t>
        </is>
      </c>
      <c r="G379" t="inlineStr">
        <is>
          <t xml:space="preserve"> - Liberty Lodge - Couple Condo</t>
        </is>
      </c>
      <c r="H379">
        <f>HYPERLINK("https://booking.roadsurfer.com/es/rally/pick?pickup_date=2026-04-01&amp;return_date=2026-04-15&amp;currency=EUR&amp;startStation=81&amp;endStation=75",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2026-03-26</t>
        </is>
      </c>
      <c r="F380" t="inlineStr">
        <is>
          <t>2026-04-07</t>
        </is>
      </c>
      <c r="G380" t="inlineStr">
        <is>
          <t xml:space="preserve"> - Liberty Lodge - Couple Condo</t>
        </is>
      </c>
      <c r="H380">
        <f>HYPERLINK("https://booking.roadsurfer.com/es/rally/pick?pickup_date=2026-03-26&amp;return_date=2026-04-07&amp;currency=EUR&amp;startStation=81&amp;endStation=75",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2026-03-27</t>
        </is>
      </c>
      <c r="F381" t="inlineStr">
        <is>
          <t>2026-04-10</t>
        </is>
      </c>
      <c r="G381" t="inlineStr">
        <is>
          <t xml:space="preserve"> - Couple Condo</t>
        </is>
      </c>
      <c r="H381">
        <f>HYPERLINK("https://booking.roadsurfer.com/es/rally/pick?pickup_date=2026-03-27&amp;return_date=2026-04-10&amp;currency=EUR&amp;startStation=81&amp;endStation=75",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San Francisco</t>
        </is>
      </c>
      <c r="E382" t="inlineStr">
        <is>
          <t>2026-04-02</t>
        </is>
      </c>
      <c r="F382" t="inlineStr">
        <is>
          <t>2026-04-16</t>
        </is>
      </c>
      <c r="G382" t="inlineStr">
        <is>
          <t xml:space="preserve"> - Couple Condo</t>
        </is>
      </c>
      <c r="H382">
        <f>HYPERLINK("https://booking.roadsurfer.com/es/rally/pick?pickup_date=2026-04-02&amp;return_date=2026-04-16&amp;currency=EUR&amp;startStation=81&amp;endStation=75",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Las Vegas</t>
        </is>
      </c>
      <c r="E383" t="inlineStr">
        <is>
          <t>2026-03-27</t>
        </is>
      </c>
      <c r="F383" t="inlineStr">
        <is>
          <t>2026-04-10</t>
        </is>
      </c>
      <c r="G383" t="inlineStr">
        <is>
          <t xml:space="preserve"> - Liberty Lodge</t>
        </is>
      </c>
      <c r="H383">
        <f>HYPERLINK("https://booking.roadsurfer.com/es/rally/pick?pickup_date=2026-03-27&amp;return_date=2026-04-10&amp;currency=EUR&amp;startStation=81&amp;endStation=76",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2026-03-30</t>
        </is>
      </c>
      <c r="F384" t="inlineStr">
        <is>
          <t>2026-04-13</t>
        </is>
      </c>
      <c r="G384" t="inlineStr">
        <is>
          <t xml:space="preserve"> - Liberty Lodge</t>
        </is>
      </c>
      <c r="H384">
        <f>HYPERLINK("https://booking.roadsurfer.com/es/rally/pick?pickup_date=2026-03-30&amp;return_date=2026-04-13&amp;currency=EUR&amp;startStation=81&amp;endStation=76",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2026-03-26</t>
        </is>
      </c>
      <c r="F385" t="inlineStr">
        <is>
          <t>2026-04-09</t>
        </is>
      </c>
      <c r="G385" t="inlineStr">
        <is>
          <t xml:space="preserve"> - Liberty Lodge</t>
        </is>
      </c>
      <c r="H385">
        <f>HYPERLINK("https://booking.roadsurfer.com/es/rally/pick?pickup_date=2026-03-26&amp;return_date=2026-04-09&amp;currency=EUR&amp;startStation=81&amp;endStation=76",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Salt Lake City</t>
        </is>
      </c>
      <c r="E386" t="inlineStr">
        <is>
          <t>2026-03-30</t>
        </is>
      </c>
      <c r="F386" t="inlineStr">
        <is>
          <t>2026-04-13</t>
        </is>
      </c>
      <c r="G386" t="inlineStr">
        <is>
          <t xml:space="preserve"> - Liberty Lodge</t>
        </is>
      </c>
      <c r="H386">
        <f>HYPERLINK("https://booking.roadsurfer.com/es/rally/pick?pickup_date=2026-03-30&amp;return_date=2026-04-13&amp;currency=EUR&amp;startStation=81&amp;endStation=106",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Salt Lake City</t>
        </is>
      </c>
      <c r="E387" t="inlineStr">
        <is>
          <t>2026-03-26</t>
        </is>
      </c>
      <c r="F387" t="inlineStr">
        <is>
          <t>2026-04-09</t>
        </is>
      </c>
      <c r="G387" t="inlineStr">
        <is>
          <t xml:space="preserve"> - Liberty Lodge</t>
        </is>
      </c>
      <c r="H387">
        <f>HYPERLINK("https://booking.roadsurfer.com/es/rally/pick?pickup_date=2026-03-26&amp;return_date=2026-04-09&amp;currency=EUR&amp;startStation=81&amp;endStation=106",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Dallas</t>
        </is>
      </c>
      <c r="E388" t="inlineStr">
        <is>
          <t>2026-03-27</t>
        </is>
      </c>
      <c r="F388" t="inlineStr">
        <is>
          <t>2026-04-10</t>
        </is>
      </c>
      <c r="G388" t="inlineStr">
        <is>
          <t xml:space="preserve"> - Liberty Lodge</t>
        </is>
      </c>
      <c r="H388">
        <f>HYPERLINK("https://booking.roadsurfer.com/es/rally/pick?pickup_date=2026-03-27&amp;return_date=2026-04-10&amp;currency=EUR&amp;startStation=81&amp;endStation=125",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Seattle</t>
        </is>
      </c>
      <c r="E389" t="inlineStr">
        <is>
          <t>2026-04-01</t>
        </is>
      </c>
      <c r="F389" t="inlineStr">
        <is>
          <t>2026-04-15</t>
        </is>
      </c>
      <c r="G389" t="inlineStr">
        <is>
          <t xml:space="preserve"> - Liberty Lodge</t>
        </is>
      </c>
      <c r="H389">
        <f>HYPERLINK("https://booking.roadsurfer.com/es/rally/pick?pickup_date=2026-04-01&amp;return_date=2026-04-15&amp;currency=EUR&amp;startStation=81&amp;endStation=107",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Seattle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HYPERLINK("https://booking.roadsurfer.com/es/rally/pick?pickup_date=2026-03-26&amp;return_date=2026-04-09&amp;currency=EUR&amp;startStation=81&amp;endStation=107",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Seattle</t>
        </is>
      </c>
      <c r="E391" t="inlineStr">
        <is>
          <t>2026-03-27</t>
        </is>
      </c>
      <c r="F391" t="inlineStr">
        <is>
          <t>2026-04-10</t>
        </is>
      </c>
      <c r="G391" t="inlineStr">
        <is>
          <t xml:space="preserve"> - Liberty Lodge - Couple Condo</t>
        </is>
      </c>
      <c r="H391">
        <f>HYPERLINK("https://booking.roadsurfer.com/es/rally/pick?pickup_date=2026-03-27&amp;return_date=2026-04-10&amp;currency=EUR&amp;startStation=81&amp;endStation=107",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Phoenix</t>
        </is>
      </c>
      <c r="E392" t="inlineStr">
        <is>
          <t>2026-04-01</t>
        </is>
      </c>
      <c r="F392" t="inlineStr">
        <is>
          <t>2026-04-15</t>
        </is>
      </c>
      <c r="G392" t="inlineStr">
        <is>
          <t xml:space="preserve"> - No hay coche</t>
        </is>
      </c>
      <c r="H392">
        <f>HYPERLINK("https://booking.roadsurfer.com/es/rally/pick?pickup_date=2026-04-01&amp;return_date=2026-04-15&amp;currency=EUR&amp;startStation=81&amp;endStation=105",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Phoenix</t>
        </is>
      </c>
      <c r="E393" t="inlineStr">
        <is>
          <t>2026-03-26</t>
        </is>
      </c>
      <c r="F393" t="inlineStr">
        <is>
          <t>2026-04-09</t>
        </is>
      </c>
      <c r="G393" t="inlineStr">
        <is>
          <t xml:space="preserve"> - Liberty Lodge - Couple Condo</t>
        </is>
      </c>
      <c r="H393">
        <f>HYPERLINK("https://booking.roadsurfer.com/es/rally/pick?pickup_date=2026-03-26&amp;return_date=2026-04-09&amp;currency=EUR&amp;startStation=81&amp;endStation=105",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Phoenix</t>
        </is>
      </c>
      <c r="E394" t="inlineStr">
        <is>
          <t>2026-03-31</t>
        </is>
      </c>
      <c r="F394" t="inlineStr">
        <is>
          <t>2026-04-14</t>
        </is>
      </c>
      <c r="G394" t="inlineStr">
        <is>
          <t xml:space="preserve"> - Liberty Lodge</t>
        </is>
      </c>
      <c r="H394">
        <f>HYPERLINK("https://booking.roadsurfer.com/es/rally/pick?pickup_date=2026-03-31&amp;return_date=2026-04-14&amp;currency=EUR&amp;startStation=81&amp;endStation=105", "Clic para verlo en la web de RoadSurfer")</f>
        <v/>
      </c>
    </row>
    <row r="395">
      <c r="A395" t="inlineStr">
        <is>
          <t>Alemania</t>
        </is>
      </c>
      <c r="B395" t="inlineStr">
        <is>
          <t>Wurzburgo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Road House</t>
        </is>
      </c>
      <c r="H395">
        <f>HYPERLINK("https://booking.roadsurfer.com/es/rally/pick?pickup_date=2026-04-20&amp;return_date=2026-04-27&amp;currency=EUR&amp;startStation=115&amp;endStation=34", "Clic para verlo en la web de RoadSurfer")</f>
        <v/>
      </c>
    </row>
    <row r="396">
      <c r="A396" t="inlineStr">
        <is>
          <t>Alemania</t>
        </is>
      </c>
      <c r="B396" t="inlineStr">
        <is>
          <t>Wurzburgo</t>
        </is>
      </c>
      <c r="C396" t="inlineStr">
        <is>
          <t>Italia</t>
        </is>
      </c>
      <c r="D396" t="inlineStr">
        <is>
          <t>Milán</t>
        </is>
      </c>
      <c r="E396" t="inlineStr">
        <is>
          <t>2026-04-23</t>
        </is>
      </c>
      <c r="F396" t="inlineStr">
        <is>
          <t>2026-04-30</t>
        </is>
      </c>
      <c r="G396" t="inlineStr">
        <is>
          <t xml:space="preserve"> - Family Finca</t>
        </is>
      </c>
      <c r="H396">
        <f>HYPERLINK("https://booking.roadsurfer.com/es/rally/pick?pickup_date=2026-04-23&amp;return_date=2026-04-30&amp;currency=EUR&amp;startStation=115&amp;endStation=34",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2026-03-24T20:47:27Z</dcterms:created>
  <dcterms:modified xsi:type="dcterms:W3CDTF">2026-03-24T20:47:27Z</dcterms:modified>
</cp:coreProperties>
</file>