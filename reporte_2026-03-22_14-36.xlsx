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Beach Hostel</t>
        </is>
      </c>
      <c r="H7">
        <f>HYPERLINK("https://booking.roadsurfer.com/es/rally/pick?pickup_date=2026-04-15&amp;return_date=2026-04-22&amp;currency=EUR&amp;startStation=17&amp;endStation=9",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HYPERLINK("https://booking.roadsurfer.com/es/rally/pick?pickup_date=2026-04-13&amp;return_date=2026-04-20&amp;currency=EUR&amp;startStation=17&amp;endStation=5",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2026-03-30</t>
        </is>
      </c>
      <c r="F10" t="inlineStr">
        <is>
          <t>2026-04-06</t>
        </is>
      </c>
      <c r="G10" t="inlineStr">
        <is>
          <t xml:space="preserve"> - No hay coche</t>
        </is>
      </c>
      <c r="H10">
        <f>HYPERLINK("https://booking.roadsurfer.com/es/rally/pick?pickup_date=2026-03-30&amp;return_date=2026-04-06&amp;currency=EUR&amp;startStation=6&amp;endStation=36",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Países Bajos</t>
        </is>
      </c>
      <c r="D12" t="inlineStr">
        <is>
          <t>Róterdam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Camper Castle</t>
        </is>
      </c>
      <c r="H12">
        <f>HYPERLINK("https://booking.roadsurfer.com/es/rally/pick?pickup_date=2026-04-27&amp;return_date=2026-05-04&amp;currency=EUR&amp;startStation=6&amp;endStation=33",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2026-04-13</t>
        </is>
      </c>
      <c r="F13" t="inlineStr">
        <is>
          <t>2026-04-20</t>
        </is>
      </c>
      <c r="G13" t="inlineStr">
        <is>
          <t xml:space="preserve"> - Cozy Cottage</t>
        </is>
      </c>
      <c r="H13">
        <f>HYPERLINK("https://booking.roadsurfer.com/es/rally/pick?pickup_date=2026-04-13&amp;return_date=2026-04-20&amp;currency=EUR&amp;startStation=6&amp;endStation=15",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Family Finca</t>
        </is>
      </c>
      <c r="H14">
        <f>HYPERLINK("https://booking.roadsurfer.com/es/rally/pick?pickup_date=2026-05-04&amp;return_date=2026-05-11&amp;currency=EUR&amp;startStation=6&amp;endStation=15",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Family Finca</t>
        </is>
      </c>
      <c r="H15">
        <f>HYPERLINK("https://booking.roadsurfer.com/es/rally/pick?pickup_date=2026-05-08&amp;return_date=2026-05-15&amp;currency=EUR&amp;startStation=6&amp;endStation=31",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No hay coche</t>
        </is>
      </c>
      <c r="H16">
        <f>HYPERLINK("https://booking.roadsurfer.com/es/rally/pick?pickup_date=2026-04-20&amp;return_date=2026-04-27&amp;currency=EUR&amp;startStation=6&amp;endStation=130",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2026-04-13</t>
        </is>
      </c>
      <c r="F17" t="inlineStr">
        <is>
          <t>2026-04-20</t>
        </is>
      </c>
      <c r="G17" t="inlineStr">
        <is>
          <t xml:space="preserve"> - Sunrise Suite</t>
        </is>
      </c>
      <c r="H17">
        <f>HYPERLINK("https://booking.roadsurfer.com/es/rally/pick?pickup_date=2026-04-13&amp;return_date=2026-04-20&amp;currency=EUR&amp;startStation=6&amp;endStation=13",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2026-04-11</t>
        </is>
      </c>
      <c r="F18" t="inlineStr">
        <is>
          <t>2026-04-18</t>
        </is>
      </c>
      <c r="G18" t="inlineStr">
        <is>
          <t xml:space="preserve"> - Road House</t>
        </is>
      </c>
      <c r="H18">
        <f>HYPERLINK("https://booking.roadsurfer.com/es/rally/pick?pickup_date=2026-04-11&amp;return_date=2026-04-18&amp;currency=EUR&amp;startStation=51&amp;endStation=59",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Sunrise Suite</t>
        </is>
      </c>
      <c r="H19">
        <f>HYPERLINK("https://booking.roadsurfer.com/es/rally/pick?pickup_date=2026-04-15&amp;return_date=2026-04-22&amp;currency=EUR&amp;startStation=51&amp;endStation=59",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No hay coche</t>
        </is>
      </c>
      <c r="H20">
        <f>HYPERLINK("https://booking.roadsurfer.com/es/rally/pick?pickup_date=2026-04-17&amp;return_date=2026-04-24&amp;currency=EUR&amp;startStation=51&amp;endStation=130",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2026-04-07</t>
        </is>
      </c>
      <c r="F21" t="inlineStr">
        <is>
          <t>2026-04-14</t>
        </is>
      </c>
      <c r="G21" t="inlineStr">
        <is>
          <t xml:space="preserve"> - Couple Cottage</t>
        </is>
      </c>
      <c r="H21">
        <f>HYPERLINK("https://booking.roadsurfer.com/es/rally/pick?pickup_date=2026-04-07&amp;return_date=2026-04-14&amp;currency=EUR&amp;startStation=51&amp;endStation=77",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SURFER SUITE</t>
        </is>
      </c>
      <c r="H22">
        <f>HYPERLINK("https://booking.roadsurfer.com/es/rally/pick?pickup_date=2026-05-04&amp;return_date=2026-05-11&amp;currency=EUR&amp;startStation=51&amp;endStation=80",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Surfer Suite</t>
        </is>
      </c>
      <c r="H23">
        <f>HYPERLINK("https://booking.roadsurfer.com/es/rally/pick?pickup_date=2026-04-14&amp;return_date=2026-04-21&amp;currency=EUR&amp;startStation=51&amp;endStation=117",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2026-04-23</t>
        </is>
      </c>
      <c r="F24" t="inlineStr">
        <is>
          <t>2026-04-30</t>
        </is>
      </c>
      <c r="G24" t="inlineStr">
        <is>
          <t xml:space="preserve"> - Road House</t>
        </is>
      </c>
      <c r="H24">
        <f>HYPERLINK("https://booking.roadsurfer.com/es/rally/pick?pickup_date=2026-04-23&amp;return_date=2026-04-30&amp;currency=EUR&amp;startStation=51&amp;endStation=117",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2026-04-27</t>
        </is>
      </c>
      <c r="F25" t="inlineStr">
        <is>
          <t>2026-05-04</t>
        </is>
      </c>
      <c r="G25" t="inlineStr">
        <is>
          <t xml:space="preserve"> - Road House</t>
        </is>
      </c>
      <c r="H25">
        <f>HYPERLINK("https://booking.roadsurfer.com/es/rally/pick?pickup_date=2026-04-27&amp;return_date=2026-05-04&amp;currency=EUR&amp;startStation=51&amp;endStation=117",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2026-03-30</t>
        </is>
      </c>
      <c r="F26" t="inlineStr">
        <is>
          <t>2026-04-06</t>
        </is>
      </c>
      <c r="G26" t="inlineStr">
        <is>
          <t xml:space="preserve"> - No hay coche</t>
        </is>
      </c>
      <c r="H26">
        <f>HYPERLINK("https://booking.roadsurfer.com/es/rally/pick?pickup_date=2026-03-30&amp;return_date=2026-04-06&amp;currency=EUR&amp;startStation=91&amp;endStation=47",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2026-04-11</t>
        </is>
      </c>
      <c r="F27" t="inlineStr">
        <is>
          <t>2026-04-18</t>
        </is>
      </c>
      <c r="G27" t="inlineStr">
        <is>
          <t xml:space="preserve"> - Camper Castle</t>
        </is>
      </c>
      <c r="H27">
        <f>HYPERLINK("https://booking.roadsurfer.com/es/rally/pick?pickup_date=2026-04-11&amp;return_date=2026-04-18&amp;currency=EUR&amp;startStation=91&amp;endStation=47",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No hay coche</t>
        </is>
      </c>
      <c r="H28">
        <f>HYPERLINK("https://booking.roadsurfer.com/es/rally/pick?pickup_date=2026-04-04&amp;return_date=2026-04-11&amp;currency=EUR&amp;startStation=91&amp;endStation=12",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2026-03-30</t>
        </is>
      </c>
      <c r="F30" t="inlineStr">
        <is>
          <t>2026-04-06</t>
        </is>
      </c>
      <c r="G30" t="inlineStr">
        <is>
          <t xml:space="preserve"> - No hay coche</t>
        </is>
      </c>
      <c r="H30">
        <f>HYPERLINK("https://booking.roadsurfer.com/es/rally/pick?pickup_date=2026-03-30&amp;return_date=2026-04-06&amp;currency=EUR&amp;startStation=91&amp;endStation=48",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2026-04-09</t>
        </is>
      </c>
      <c r="F31" t="inlineStr">
        <is>
          <t>2026-04-16</t>
        </is>
      </c>
      <c r="G31" t="inlineStr">
        <is>
          <t xml:space="preserve"> - Surfer Suite</t>
        </is>
      </c>
      <c r="H31">
        <f>HYPERLINK("https://booking.roadsurfer.com/es/rally/pick?pickup_date=2026-04-09&amp;return_date=2026-04-16&amp;currency=EUR&amp;startStation=91&amp;endStation=48",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Camper Castle</t>
        </is>
      </c>
      <c r="H39">
        <f>HYPERLINK("https://booking.roadsurfer.com/es/rally/pick?pickup_date=2026-05-05&amp;return_date=2026-05-12&amp;currency=EUR&amp;startStation=91&amp;endStation=77",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Road House</t>
        </is>
      </c>
      <c r="H41">
        <f>HYPERLINK("https://booking.roadsurfer.com/es/rally/pick?pickup_date=2026-05-04&amp;return_date=2026-05-11&amp;currency=EUR&amp;startStation=91&amp;endStation=32",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</t>
        </is>
      </c>
      <c r="H42">
        <f>HYPERLINK("https://booking.roadsurfer.com/es/rally/pick?pickup_date=2026-04-27&amp;return_date=2026-05-04&amp;currency=EUR&amp;startStation=91&amp;endStation=60",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HYPERLINK("https://booking.roadsurfer.com/es/rally/pick?pickup_date=2026-05-04&amp;return_date=2026-05-11&amp;currency=EUR&amp;startStation=40&amp;endStation=28", "Clic para verlo en la web de RoadSurfer")</f>
        <v/>
      </c>
    </row>
    <row r="46">
      <c r="A46" t="inlineStr">
        <is>
          <t>Alemania</t>
        </is>
      </c>
      <c r="B46" t="inlineStr">
        <is>
          <t>Bochum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HYPERLINK("https://booking.roadsurfer.com/es/rally/pick?pickup_date=2026-04-20&amp;return_date=2026-04-27&amp;currency=EUR&amp;startStation=24&amp;endStation=32", "Clic para verlo en la web de RoadSurfer")</f>
        <v/>
      </c>
    </row>
    <row r="47">
      <c r="A47" t="inlineStr">
        <is>
          <t>Italia</t>
        </is>
      </c>
      <c r="B47" t="inlineStr">
        <is>
          <t>Bolonia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2026-04-27</t>
        </is>
      </c>
      <c r="F47" t="inlineStr">
        <is>
          <t>2026-05-04</t>
        </is>
      </c>
      <c r="G47" t="inlineStr">
        <is>
          <t xml:space="preserve"> - Beach Hostel</t>
        </is>
      </c>
      <c r="H47">
        <f>HYPERLINK("https://booking.roadsurfer.com/es/rally/pick?pickup_date=2026-04-27&amp;return_date=2026-05-04&amp;currency=EUR&amp;startStation=57&amp;endStation=78",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Family Finca</t>
        </is>
      </c>
      <c r="H48">
        <f>HYPERLINK("https://booking.roadsurfer.com/es/rally/pick?pickup_date=2026-04-15&amp;return_date=2026-04-22&amp;currency=EUR&amp;startStation=13&amp;endStation=4",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2026-03-24</t>
        </is>
      </c>
      <c r="F49" t="inlineStr">
        <is>
          <t>2026-03-31</t>
        </is>
      </c>
      <c r="G49" t="inlineStr">
        <is>
          <t xml:space="preserve"> - Travel Home</t>
        </is>
      </c>
      <c r="H49">
        <f>HYPERLINK("https://booking.roadsurfer.com/es/rally/pick?pickup_date=2026-03-24&amp;return_date=2026-03-31&amp;currency=EUR&amp;startStation=13&amp;endStation=2",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2026-04-02</t>
        </is>
      </c>
      <c r="F50" t="inlineStr">
        <is>
          <t>2026-04-09</t>
        </is>
      </c>
      <c r="G50" t="inlineStr">
        <is>
          <t xml:space="preserve"> - Beach Hostel</t>
        </is>
      </c>
      <c r="H50">
        <f>HYPERLINK("https://booking.roadsurfer.com/es/rally/pick?pickup_date=2026-04-02&amp;return_date=2026-04-09&amp;currency=EUR&amp;startStation=13&amp;endStation=109",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Surfer Suite</t>
        </is>
      </c>
      <c r="H51">
        <f>HYPERLINK("https://booking.roadsurfer.com/es/rally/pick?pickup_date=2026-04-16&amp;return_date=2026-04-23&amp;currency=EUR&amp;startStation=13&amp;endStation=29",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Dresde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Road House</t>
        </is>
      </c>
      <c r="H52">
        <f>HYPERLINK("https://booking.roadsurfer.com/es/rally/pick?pickup_date=2026-05-04&amp;return_date=2026-05-11&amp;currency=EUR&amp;startStation=13&amp;endStation=56",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Road House</t>
        </is>
      </c>
      <c r="H53">
        <f>HYPERLINK("https://booking.roadsurfer.com/es/rally/pick?pickup_date=2026-04-13&amp;return_date=2026-04-20&amp;currency=EUR&amp;startStation=13&amp;endStation=28",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Ulm</t>
        </is>
      </c>
      <c r="E54" t="inlineStr">
        <is>
          <t>2026-04-16</t>
        </is>
      </c>
      <c r="F54" t="inlineStr">
        <is>
          <t>2026-04-23</t>
        </is>
      </c>
      <c r="G54" t="inlineStr">
        <is>
          <t xml:space="preserve"> - Road House</t>
        </is>
      </c>
      <c r="H54">
        <f>HYPERLINK("https://booking.roadsurfer.com/es/rally/pick?pickup_date=2026-04-16&amp;return_date=2026-04-23&amp;currency=EUR&amp;startStation=13&amp;endStation=112",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2026-03-27</t>
        </is>
      </c>
      <c r="F55" t="inlineStr">
        <is>
          <t>2026-04-03</t>
        </is>
      </c>
      <c r="G55" t="inlineStr">
        <is>
          <t xml:space="preserve"> - Surfer Suite</t>
        </is>
      </c>
      <c r="H55">
        <f>HYPERLINK("https://booking.roadsurfer.com/es/rally/pick?pickup_date=2026-03-27&amp;return_date=2026-04-03&amp;currency=EUR&amp;startStation=13&amp;endStation=22",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2026-04-21</t>
        </is>
      </c>
      <c r="F56" t="inlineStr">
        <is>
          <t>2026-04-28</t>
        </is>
      </c>
      <c r="G56" t="inlineStr">
        <is>
          <t xml:space="preserve"> - Family Finca</t>
        </is>
      </c>
      <c r="H56">
        <f>HYPERLINK("https://booking.roadsurfer.com/es/rally/pick?pickup_date=2026-04-21&amp;return_date=2026-04-28&amp;currency=EUR&amp;startStation=55&amp;endStation=77",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2026-04-24</t>
        </is>
      </c>
      <c r="F57" t="inlineStr">
        <is>
          <t>2026-05-01</t>
        </is>
      </c>
      <c r="G57" t="inlineStr">
        <is>
          <t xml:space="preserve"> - No hay coche</t>
        </is>
      </c>
      <c r="H57">
        <f>HYPERLINK("https://booking.roadsurfer.com/es/rally/pick?pickup_date=2026-04-24&amp;return_date=2026-05-01&amp;currency=EUR&amp;startStation=55&amp;endStation=77",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2026-04-23</t>
        </is>
      </c>
      <c r="F58" t="inlineStr">
        <is>
          <t>2026-04-30</t>
        </is>
      </c>
      <c r="G58" t="inlineStr">
        <is>
          <t xml:space="preserve"> - Road House</t>
        </is>
      </c>
      <c r="H58">
        <f>HYPERLINK("https://booking.roadsurfer.com/es/rally/pick?pickup_date=2026-04-23&amp;return_date=2026-04-30&amp;currency=EUR&amp;startStation=55&amp;endStation=77",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BEACH HOSTEL</t>
        </is>
      </c>
      <c r="H59">
        <f>HYPERLINK("https://booking.roadsurfer.com/es/rally/pick?pickup_date=2026-04-15&amp;return_date=2026-04-22&amp;currency=EUR&amp;startStation=55&amp;endStation=59",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Cozy Cottage</t>
        </is>
      </c>
      <c r="H60">
        <f>HYPERLINK("https://booking.roadsurfer.com/es/rally/pick?pickup_date=2026-04-13&amp;return_date=2026-04-20&amp;currency=EUR&amp;startStation=55&amp;endStation=59",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Camper Cabin Deluxe</t>
        </is>
      </c>
      <c r="H61">
        <f>HYPERLINK("https://booking.roadsurfer.com/es/rally/pick?pickup_date=2026-04-16&amp;return_date=2026-04-23&amp;currency=EUR&amp;startStation=55&amp;endStation=42",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Surfer Suite - Sunrise Suite</t>
        </is>
      </c>
      <c r="H62">
        <f>HYPERLINK("https://booking.roadsurfer.com/es/rally/pick?pickup_date=2026-04-20&amp;return_date=2026-04-27&amp;currency=EUR&amp;startStation=55&amp;endStation=34",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Sunrise Suite</t>
        </is>
      </c>
      <c r="H63">
        <f>HYPERLINK("https://booking.roadsurfer.com/es/rally/pick?pickup_date=2026-04-23&amp;return_date=2026-04-30&amp;currency=EUR&amp;startStation=55&amp;endStation=34",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Surfer Suite</t>
        </is>
      </c>
      <c r="H64">
        <f>HYPERLINK("https://booking.roadsurfer.com/es/rally/pick?pickup_date=2026-05-11&amp;return_date=2026-05-18&amp;currency=EUR&amp;startStation=55&amp;endStation=6",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</t>
        </is>
      </c>
      <c r="H65">
        <f>HYPERLINK("https://booking.roadsurfer.com/es/rally/pick?pickup_date=2026-04-20&amp;return_date=2026-04-27&amp;currency=EUR&amp;startStation=55&amp;endStation=114",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HYPERLINK("https://booking.roadsurfer.com/es/rally/pick?pickup_date=2026-04-20&amp;return_date=2026-04-27&amp;currency=EUR&amp;startStation=55&amp;endStation=130", "Clic para verlo en la web de RoadSurfer")</f>
        <v/>
      </c>
    </row>
    <row r="67">
      <c r="A67" t="inlineStr">
        <is>
          <t>Reino Unido</t>
        </is>
      </c>
      <c r="B67" t="inlineStr">
        <is>
          <t>Bristol</t>
        </is>
      </c>
      <c r="C67" t="inlineStr">
        <is>
          <t>Reino Unido</t>
        </is>
      </c>
      <c r="D67" t="inlineStr">
        <is>
          <t>Edimburgo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</t>
        </is>
      </c>
      <c r="H67">
        <f>HYPERLINK("https://booking.roadsurfer.com/es/rally/pick?pickup_date=2026-04-20&amp;return_date=2026-04-27&amp;currency=EUR&amp;startStation=98&amp;endStation=64",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2026-04-22</t>
        </is>
      </c>
      <c r="F68" t="inlineStr">
        <is>
          <t>2026-04-29</t>
        </is>
      </c>
      <c r="G68" t="inlineStr">
        <is>
          <t xml:space="preserve"> - Beach Hostel</t>
        </is>
      </c>
      <c r="H68">
        <f>HYPERLINK("https://booking.roadsurfer.com/es/rally/pick?pickup_date=2026-04-22&amp;return_date=2026-04-29&amp;currency=EUR&amp;startStation=42&amp;endStation=48",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HYPERLINK("https://booking.roadsurfer.com/es/rally/pick?pickup_date=2026-05-04&amp;return_date=2026-05-11&amp;currency=EUR&amp;startStation=42&amp;endStation=6", "Clic para verlo en la web de RoadSurfer")</f>
        <v/>
      </c>
    </row>
    <row r="70">
      <c r="A70" t="inlineStr">
        <is>
          <t>Canadá</t>
        </is>
      </c>
      <c r="B70" t="inlineStr">
        <is>
          <t>Calgary</t>
        </is>
      </c>
      <c r="C70" t="inlineStr">
        <is>
          <t>Canadá</t>
        </is>
      </c>
      <c r="D70" t="inlineStr">
        <is>
          <t>Vancouver</t>
        </is>
      </c>
      <c r="E70" t="inlineStr">
        <is>
          <t>2026-05-25</t>
        </is>
      </c>
      <c r="F70" t="inlineStr">
        <is>
          <t>2026-06-01</t>
        </is>
      </c>
      <c r="G70" t="inlineStr">
        <is>
          <t xml:space="preserve"> - Liberty Lodge</t>
        </is>
      </c>
      <c r="H70">
        <f>HYPERLINK("https://booking.roadsurfer.com/es/rally/pick?pickup_date=2026-05-25&amp;return_date=2026-06-01&amp;currency=EUR&amp;startStation=84&amp;endStation=83",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2026-03-30</t>
        </is>
      </c>
      <c r="F71" t="inlineStr">
        <is>
          <t>2026-04-06</t>
        </is>
      </c>
      <c r="G71" t="inlineStr">
        <is>
          <t xml:space="preserve"> - No hay coche</t>
        </is>
      </c>
      <c r="H71">
        <f>HYPERLINK("https://booking.roadsurfer.com/es/rally/pick?pickup_date=2026-03-30&amp;return_date=2026-04-06&amp;currency=EUR&amp;startStation=52&amp;endStation=47",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Surfer Suite</t>
        </is>
      </c>
      <c r="H72">
        <f>HYPERLINK("https://booking.roadsurfer.com/es/rally/pick?pickup_date=2026-04-16&amp;return_date=2026-04-23&amp;currency=EUR&amp;startStation=52&amp;endStation=47",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2026-03-26</t>
        </is>
      </c>
      <c r="F73" t="inlineStr">
        <is>
          <t>2026-04-02</t>
        </is>
      </c>
      <c r="G73" t="inlineStr">
        <is>
          <t xml:space="preserve"> - Surfer Suite</t>
        </is>
      </c>
      <c r="H73">
        <f>HYPERLINK("https://booking.roadsurfer.com/es/rally/pick?pickup_date=2026-03-26&amp;return_date=2026-04-02&amp;currency=EUR&amp;startStation=52&amp;endStation=37",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2026-04-25</t>
        </is>
      </c>
      <c r="F74" t="inlineStr">
        <is>
          <t>2026-05-02</t>
        </is>
      </c>
      <c r="G74" t="inlineStr">
        <is>
          <t xml:space="preserve"> - Beach Hostel</t>
        </is>
      </c>
      <c r="H74">
        <f>HYPERLINK("https://booking.roadsurfer.com/es/rally/pick?pickup_date=2026-04-25&amp;return_date=2026-05-02&amp;currency=EUR&amp;startStation=52&amp;endStation=29",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2026-04-23</t>
        </is>
      </c>
      <c r="F75" t="inlineStr">
        <is>
          <t>2026-04-30</t>
        </is>
      </c>
      <c r="G75" t="inlineStr">
        <is>
          <t xml:space="preserve"> - No hay coche</t>
        </is>
      </c>
      <c r="H75">
        <f>HYPERLINK("https://booking.roadsurfer.com/es/rally/pick?pickup_date=2026-04-23&amp;return_date=2026-04-30&amp;currency=EUR&amp;startStation=52&amp;endStation=130",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No hay coche</t>
        </is>
      </c>
      <c r="H76">
        <f>HYPERLINK("https://booking.roadsurfer.com/es/rally/pick?pickup_date=2026-04-16&amp;return_date=2026-04-23&amp;currency=EUR&amp;startStation=52&amp;endStation=130",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No hay coche</t>
        </is>
      </c>
      <c r="H77">
        <f>HYPERLINK("https://booking.roadsurfer.com/es/rally/pick?pickup_date=2026-04-20&amp;return_date=2026-04-27&amp;currency=EUR&amp;startStation=52&amp;endStation=130",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Berlín-Schönefeld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Travel Home</t>
        </is>
      </c>
      <c r="H78">
        <f>HYPERLINK("https://booking.roadsurfer.com/es/rally/pick?pickup_date=2026-04-13&amp;return_date=2026-04-20&amp;currency=EUR&amp;startStation=52&amp;endStation=51",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Camper Cabin</t>
        </is>
      </c>
      <c r="H79">
        <f>HYPERLINK("https://booking.roadsurfer.com/es/rally/pick?pickup_date=2026-04-13&amp;return_date=2026-04-20&amp;currency=EUR&amp;startStation=52&amp;endStation=13",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Heidelberg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Camper Cabin</t>
        </is>
      </c>
      <c r="H80">
        <f>HYPERLINK("https://booking.roadsurfer.com/es/rally/pick?pickup_date=2026-04-09&amp;return_date=2026-04-16&amp;currency=EUR&amp;startStation=52&amp;endStation=79",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2026-04-09</t>
        </is>
      </c>
      <c r="F81" t="inlineStr">
        <is>
          <t>2026-04-16</t>
        </is>
      </c>
      <c r="G81" t="inlineStr">
        <is>
          <t xml:space="preserve"> - Road House</t>
        </is>
      </c>
      <c r="H81">
        <f>HYPERLINK("https://booking.roadsurfer.com/es/rally/pick?pickup_date=2026-04-09&amp;return_date=2026-04-16&amp;currency=EUR&amp;startStation=52&amp;endStation=42",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2026-04-10</t>
        </is>
      </c>
      <c r="F83" t="inlineStr">
        <is>
          <t>2026-04-17</t>
        </is>
      </c>
      <c r="G83" t="inlineStr">
        <is>
          <t xml:space="preserve"> - Sunrise Suite</t>
        </is>
      </c>
      <c r="H83">
        <f>HYPERLINK("https://booking.roadsurfer.com/es/rally/pick?pickup_date=2026-04-10&amp;return_date=2026-04-17&amp;currency=EUR&amp;startStation=52&amp;endStation=42",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España</t>
        </is>
      </c>
      <c r="D84" t="inlineStr">
        <is>
          <t>Valencia</t>
        </is>
      </c>
      <c r="E84" t="inlineStr">
        <is>
          <t>2026-04-06</t>
        </is>
      </c>
      <c r="F84" t="inlineStr">
        <is>
          <t>2026-04-13</t>
        </is>
      </c>
      <c r="G84" t="inlineStr">
        <is>
          <t xml:space="preserve"> - No hay coche</t>
        </is>
      </c>
      <c r="H84">
        <f>HYPERLINK("https://booking.roadsurfer.com/es/rally/pick?pickup_date=2026-04-06&amp;return_date=2026-04-13&amp;currency=EUR&amp;startStation=52&amp;endStation=38",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2026-03-24</t>
        </is>
      </c>
      <c r="F85" t="inlineStr">
        <is>
          <t>2026-03-31</t>
        </is>
      </c>
      <c r="G85" t="inlineStr">
        <is>
          <t xml:space="preserve"> - Camper Cabin Deluxe</t>
        </is>
      </c>
      <c r="H85">
        <f>HYPERLINK("https://booking.roadsurfer.com/es/rally/pick?pickup_date=2026-03-24&amp;return_date=2026-03-31&amp;currency=EUR&amp;startStation=52&amp;endStation=48",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2026-04-17</t>
        </is>
      </c>
      <c r="F86" t="inlineStr">
        <is>
          <t>2026-04-24</t>
        </is>
      </c>
      <c r="G86" t="inlineStr">
        <is>
          <t xml:space="preserve"> - COUPLE COTTAGE</t>
        </is>
      </c>
      <c r="H86">
        <f>HYPERLINK("https://booking.roadsurfer.com/es/rally/pick?pickup_date=2026-04-17&amp;return_date=2026-04-24&amp;currency=EUR&amp;startStation=52&amp;endStation=48",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Núremberg</t>
        </is>
      </c>
      <c r="E87" t="inlineStr">
        <is>
          <t>2026-04-16</t>
        </is>
      </c>
      <c r="F87" t="inlineStr">
        <is>
          <t>2026-04-23</t>
        </is>
      </c>
      <c r="G87" t="inlineStr">
        <is>
          <t xml:space="preserve"> - Camper Castle</t>
        </is>
      </c>
      <c r="H87">
        <f>HYPERLINK("https://booking.roadsurfer.com/es/rally/pick?pickup_date=2026-04-16&amp;return_date=2026-04-23&amp;currency=EUR&amp;startStation=52&amp;endStation=11",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Núremberg</t>
        </is>
      </c>
      <c r="E88" t="inlineStr">
        <is>
          <t>2026-04-27</t>
        </is>
      </c>
      <c r="F88" t="inlineStr">
        <is>
          <t>2026-05-04</t>
        </is>
      </c>
      <c r="G88" t="inlineStr">
        <is>
          <t xml:space="preserve"> - Sunrise Suite</t>
        </is>
      </c>
      <c r="H88">
        <f>HYPERLINK("https://booking.roadsurfer.com/es/rally/pick?pickup_date=2026-04-27&amp;return_date=2026-05-04&amp;currency=EUR&amp;startStation=52&amp;endStation=11",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2026-04-25</t>
        </is>
      </c>
      <c r="F89" t="inlineStr">
        <is>
          <t>2026-05-02</t>
        </is>
      </c>
      <c r="G89" t="inlineStr">
        <is>
          <t xml:space="preserve"> - Sunrise Suite</t>
        </is>
      </c>
      <c r="H89">
        <f>HYPERLINK("https://booking.roadsurfer.com/es/rally/pick?pickup_date=2026-04-25&amp;return_date=2026-05-02&amp;currency=EUR&amp;startStation=52&amp;endStation=12",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Sunrise Suite</t>
        </is>
      </c>
      <c r="H90">
        <f>HYPERLINK("https://booking.roadsurfer.com/es/rally/pick?pickup_date=2026-04-20&amp;return_date=2026-04-27&amp;currency=EUR&amp;startStation=52&amp;endStation=5",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No hay coche</t>
        </is>
      </c>
      <c r="H91">
        <f>HYPERLINK("https://booking.roadsurfer.com/es/rally/pick?pickup_date=2026-04-20&amp;return_date=2026-04-27&amp;currency=EUR&amp;startStation=4&amp;endStation=130",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2026-04-24</t>
        </is>
      </c>
      <c r="F92" t="inlineStr">
        <is>
          <t>2026-05-01</t>
        </is>
      </c>
      <c r="G92" t="inlineStr">
        <is>
          <t xml:space="preserve"> - No hay coche</t>
        </is>
      </c>
      <c r="H92">
        <f>HYPERLINK("https://booking.roadsurfer.com/es/rally/pick?pickup_date=2026-04-24&amp;return_date=2026-05-01&amp;currency=EUR&amp;startStation=4&amp;endStation=13",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2026-03-28</t>
        </is>
      </c>
      <c r="F93" t="inlineStr">
        <is>
          <t>2026-04-04</t>
        </is>
      </c>
      <c r="G93" t="inlineStr">
        <is>
          <t xml:space="preserve"> - Road House</t>
        </is>
      </c>
      <c r="H93">
        <f>HYPERLINK("https://booking.roadsurfer.com/es/rally/pick?pickup_date=2026-03-28&amp;return_date=2026-04-04&amp;currency=EUR&amp;startStation=4&amp;endStation=13",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2026-03-27</t>
        </is>
      </c>
      <c r="F94" t="inlineStr">
        <is>
          <t>2026-04-03</t>
        </is>
      </c>
      <c r="G94" t="inlineStr">
        <is>
          <t xml:space="preserve"> - Surfer Suite</t>
        </is>
      </c>
      <c r="H94">
        <f>HYPERLINK("https://booking.roadsurfer.com/es/rally/pick?pickup_date=2026-03-27&amp;return_date=2026-04-03&amp;currency=EUR&amp;startStation=4&amp;endStation=31",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2026-04-25</t>
        </is>
      </c>
      <c r="F95" t="inlineStr">
        <is>
          <t>2026-05-02</t>
        </is>
      </c>
      <c r="G95" t="inlineStr">
        <is>
          <t xml:space="preserve"> - Surfer Suite</t>
        </is>
      </c>
      <c r="H95">
        <f>HYPERLINK("https://booking.roadsurfer.com/es/rally/pick?pickup_date=2026-04-25&amp;return_date=2026-05-02&amp;currency=EUR&amp;startStation=4&amp;endStation=12",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Camper Castle</t>
        </is>
      </c>
      <c r="H96">
        <f>HYPERLINK("https://booking.roadsurfer.com/es/rally/pick?pickup_date=2026-05-04&amp;return_date=2026-05-11&amp;currency=EUR&amp;startStation=4&amp;endStation=6",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Austria</t>
        </is>
      </c>
      <c r="D97" t="inlineStr">
        <is>
          <t>Salzburgo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Camper Castle</t>
        </is>
      </c>
      <c r="H97">
        <f>HYPERLINK("https://booking.roadsurfer.com/es/rally/pick?pickup_date=2026-04-13&amp;return_date=2026-04-20&amp;currency=EUR&amp;startStation=10&amp;endStation=85",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2026-04-04</t>
        </is>
      </c>
      <c r="F98" t="inlineStr">
        <is>
          <t>2026-04-11</t>
        </is>
      </c>
      <c r="G98" t="inlineStr">
        <is>
          <t xml:space="preserve"> - Surfer Suite</t>
        </is>
      </c>
      <c r="H98">
        <f>HYPERLINK("https://booking.roadsurfer.com/es/rally/pick?pickup_date=2026-04-04&amp;return_date=2026-04-11&amp;currency=EUR&amp;startStation=10&amp;endStation=13",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Road House</t>
        </is>
      </c>
      <c r="H99">
        <f>HYPERLINK("https://booking.roadsurfer.com/es/rally/pick?pickup_date=2026-04-13&amp;return_date=2026-04-20&amp;currency=EUR&amp;startStation=10&amp;endStation=28",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Italia</t>
        </is>
      </c>
      <c r="D100" t="inlineStr">
        <is>
          <t>Bolonia</t>
        </is>
      </c>
      <c r="E100" t="inlineStr">
        <is>
          <t>2026-03-24</t>
        </is>
      </c>
      <c r="F100" t="inlineStr">
        <is>
          <t>2026-03-31</t>
        </is>
      </c>
      <c r="G100" t="inlineStr">
        <is>
          <t xml:space="preserve"> - Couple Cottage</t>
        </is>
      </c>
      <c r="H100">
        <f>HYPERLINK("https://booking.roadsurfer.com/es/rally/pick?pickup_date=2026-03-24&amp;return_date=2026-03-31&amp;currency=EUR&amp;startStation=10&amp;endStation=57",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2026-03-26</t>
        </is>
      </c>
      <c r="F101" t="inlineStr">
        <is>
          <t>2026-04-02</t>
        </is>
      </c>
      <c r="G101" t="inlineStr">
        <is>
          <t xml:space="preserve"> - Road House</t>
        </is>
      </c>
      <c r="H101">
        <f>HYPERLINK("https://booking.roadsurfer.com/es/rally/pick?pickup_date=2026-03-26&amp;return_date=2026-04-02&amp;currency=EUR&amp;startStation=56&amp;endStation=37",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2026-04-21</t>
        </is>
      </c>
      <c r="F102" t="inlineStr">
        <is>
          <t>2026-04-28</t>
        </is>
      </c>
      <c r="G102" t="inlineStr">
        <is>
          <t xml:space="preserve"> - Road House</t>
        </is>
      </c>
      <c r="H102">
        <f>HYPERLINK("https://booking.roadsurfer.com/es/rally/pick?pickup_date=2026-04-21&amp;return_date=2026-04-28&amp;currency=EUR&amp;startStation=56&amp;endStation=37",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Family Finca</t>
        </is>
      </c>
      <c r="H103">
        <f>HYPERLINK("https://booking.roadsurfer.com/es/rally/pick?pickup_date=2026-04-20&amp;return_date=2026-04-27&amp;currency=EUR&amp;startStation=56&amp;endStation=77",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Road House</t>
        </is>
      </c>
      <c r="H104">
        <f>HYPERLINK("https://booking.roadsurfer.com/es/rally/pick?pickup_date=2026-04-23&amp;return_date=2026-04-30&amp;currency=EUR&amp;startStation=56&amp;endStation=59",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2026-04-21</t>
        </is>
      </c>
      <c r="F105" t="inlineStr">
        <is>
          <t>2026-04-28</t>
        </is>
      </c>
      <c r="G105" t="inlineStr">
        <is>
          <t xml:space="preserve"> - Road House</t>
        </is>
      </c>
      <c r="H105">
        <f>HYPERLINK("https://booking.roadsurfer.com/es/rally/pick?pickup_date=2026-04-21&amp;return_date=2026-04-28&amp;currency=EUR&amp;startStation=56&amp;endStation=59",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Países Bajos</t>
        </is>
      </c>
      <c r="D106" t="inlineStr">
        <is>
          <t>Róterdam</t>
        </is>
      </c>
      <c r="E106" t="inlineStr">
        <is>
          <t>2026-04-09</t>
        </is>
      </c>
      <c r="F106" t="inlineStr">
        <is>
          <t>2026-04-16</t>
        </is>
      </c>
      <c r="G106" t="inlineStr">
        <is>
          <t xml:space="preserve"> - Road House</t>
        </is>
      </c>
      <c r="H106">
        <f>HYPERLINK("https://booking.roadsurfer.com/es/rally/pick?pickup_date=2026-04-09&amp;return_date=2026-04-16&amp;currency=EUR&amp;startStation=56&amp;endStation=33",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2026-04-27</t>
        </is>
      </c>
      <c r="F107" t="inlineStr">
        <is>
          <t>2026-05-04</t>
        </is>
      </c>
      <c r="G107" t="inlineStr">
        <is>
          <t xml:space="preserve"> - Surfer Suite</t>
        </is>
      </c>
      <c r="H107">
        <f>HYPERLINK("https://booking.roadsurfer.com/es/rally/pick?pickup_date=2026-04-27&amp;return_date=2026-05-04&amp;currency=EUR&amp;startStation=56&amp;endStation=33",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2026-04-25</t>
        </is>
      </c>
      <c r="F108" t="inlineStr">
        <is>
          <t>2026-05-02</t>
        </is>
      </c>
      <c r="G108" t="inlineStr">
        <is>
          <t xml:space="preserve"> - Surfer Suite</t>
        </is>
      </c>
      <c r="H108">
        <f>HYPERLINK("https://booking.roadsurfer.com/es/rally/pick?pickup_date=2026-04-25&amp;return_date=2026-05-02&amp;currency=EUR&amp;startStation=56&amp;endStation=87",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Camper Castle</t>
        </is>
      </c>
      <c r="H109">
        <f>HYPERLINK("https://booking.roadsurfer.com/es/rally/pick?pickup_date=2026-04-30&amp;return_date=2026-05-07&amp;currency=EUR&amp;startStation=56&amp;endStation=31",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2026-03-28</t>
        </is>
      </c>
      <c r="F110" t="inlineStr">
        <is>
          <t>2026-04-04</t>
        </is>
      </c>
      <c r="G110" t="inlineStr">
        <is>
          <t xml:space="preserve"> - Camper Cabin Deluxe</t>
        </is>
      </c>
      <c r="H110">
        <f>HYPERLINK("https://booking.roadsurfer.com/es/rally/pick?pickup_date=2026-03-28&amp;return_date=2026-04-04&amp;currency=EUR&amp;startStation=56&amp;endStation=32",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2026-04-16</t>
        </is>
      </c>
      <c r="F111" t="inlineStr">
        <is>
          <t>2026-04-23</t>
        </is>
      </c>
      <c r="G111" t="inlineStr">
        <is>
          <t xml:space="preserve"> - Beach Hostel</t>
        </is>
      </c>
      <c r="H111">
        <f>HYPERLINK("https://booking.roadsurfer.com/es/rally/pick?pickup_date=2026-04-16&amp;return_date=2026-04-23&amp;currency=EUR&amp;startStation=56&amp;endStation=47",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2026-04-23</t>
        </is>
      </c>
      <c r="F112" t="inlineStr">
        <is>
          <t>2026-04-30</t>
        </is>
      </c>
      <c r="G112" t="inlineStr">
        <is>
          <t xml:space="preserve"> - Surfer Suite</t>
        </is>
      </c>
      <c r="H112">
        <f>HYPERLINK("https://booking.roadsurfer.com/es/rally/pick?pickup_date=2026-04-23&amp;return_date=2026-04-30&amp;currency=EUR&amp;startStation=56&amp;endStation=58",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2026-04-24</t>
        </is>
      </c>
      <c r="F113" t="inlineStr">
        <is>
          <t>2026-05-01</t>
        </is>
      </c>
      <c r="G113" t="inlineStr">
        <is>
          <t xml:space="preserve"> - No hay coche</t>
        </is>
      </c>
      <c r="H113">
        <f>HYPERLINK("https://booking.roadsurfer.com/es/rally/pick?pickup_date=2026-04-24&amp;return_date=2026-05-01&amp;currency=EUR&amp;startStation=56&amp;endStation=42",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Italia</t>
        </is>
      </c>
      <c r="D114" t="inlineStr">
        <is>
          <t>Venecia</t>
        </is>
      </c>
      <c r="E114" t="inlineStr">
        <is>
          <t>2026-04-22</t>
        </is>
      </c>
      <c r="F114" t="inlineStr">
        <is>
          <t>2026-04-29</t>
        </is>
      </c>
      <c r="G114" t="inlineStr">
        <is>
          <t xml:space="preserve"> - Sunrise Suite</t>
        </is>
      </c>
      <c r="H114">
        <f>HYPERLINK("https://booking.roadsurfer.com/es/rally/pick?pickup_date=2026-04-22&amp;return_date=2026-04-29&amp;currency=EUR&amp;startStation=56&amp;endStation=78",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2026-04-23</t>
        </is>
      </c>
      <c r="F115" t="inlineStr">
        <is>
          <t>2026-04-30</t>
        </is>
      </c>
      <c r="G115" t="inlineStr">
        <is>
          <t xml:space="preserve"> - Surfer Suite</t>
        </is>
      </c>
      <c r="H115">
        <f>HYPERLINK("https://booking.roadsurfer.com/es/rally/pick?pickup_date=2026-04-23&amp;return_date=2026-04-30&amp;currency=EUR&amp;startStation=56&amp;endStation=48",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2026-03-27</t>
        </is>
      </c>
      <c r="F116" t="inlineStr">
        <is>
          <t>2026-04-04</t>
        </is>
      </c>
      <c r="G116" t="inlineStr">
        <is>
          <t xml:space="preserve"> - Surfer Suite</t>
        </is>
      </c>
      <c r="H116">
        <f>HYPERLINK("https://booking.roadsurfer.com/es/rally/pick?pickup_date=2026-03-27&amp;return_date=2026-04-04&amp;currency=EUR&amp;startStation=113&amp;endStation=33",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Surfer Suite - Beach Hostel</t>
        </is>
      </c>
      <c r="H117">
        <f>HYPERLINK("https://booking.roadsurfer.com/es/rally/pick?pickup_date=2026-04-20&amp;return_date=2026-04-27&amp;currency=EUR&amp;startStation=113&amp;endStation=34",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No hay coche</t>
        </is>
      </c>
      <c r="H118">
        <f>HYPERLINK("https://booking.roadsurfer.com/es/rally/pick?pickup_date=2026-04-23&amp;return_date=2026-04-30&amp;currency=EUR&amp;startStation=113&amp;endStation=34",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Surfer Suite</t>
        </is>
      </c>
      <c r="H119">
        <f>HYPERLINK("https://booking.roadsurfer.com/es/rally/pick?pickup_date=2026-04-27&amp;return_date=2026-05-04&amp;currency=EUR&amp;startStation=113&amp;endStation=34",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Bérgamo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No hay coche</t>
        </is>
      </c>
      <c r="H120">
        <f>HYPERLINK("https://booking.roadsurfer.com/es/rally/pick?pickup_date=2026-04-23&amp;return_date=2026-04-30&amp;currency=EUR&amp;startStation=113&amp;endStation=94",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Surfer Suite</t>
        </is>
      </c>
      <c r="H121">
        <f>HYPERLINK("https://booking.roadsurfer.com/es/rally/pick?pickup_date=2026-04-20&amp;return_date=2026-04-27&amp;currency=EUR&amp;startStation=113&amp;endStation=40",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Surfer Suite</t>
        </is>
      </c>
      <c r="H122">
        <f>HYPERLINK("https://booking.roadsurfer.com/es/rally/pick?pickup_date=2026-04-13&amp;return_date=2026-04-20&amp;currency=EUR&amp;startStation=90&amp;endStation=47",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2026-03-25</t>
        </is>
      </c>
      <c r="F123" t="inlineStr">
        <is>
          <t>2026-04-01</t>
        </is>
      </c>
      <c r="G123" t="inlineStr">
        <is>
          <t xml:space="preserve"> - SURFER SUITE</t>
        </is>
      </c>
      <c r="H123">
        <f>HYPERLINK("https://booking.roadsurfer.com/es/rally/pick?pickup_date=2026-03-25&amp;return_date=2026-04-01&amp;currency=EUR&amp;startStation=90&amp;endStation=42",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Beach Hostel</t>
        </is>
      </c>
      <c r="H124">
        <f>HYPERLINK("https://booking.roadsurfer.com/es/rally/pick?pickup_date=2026-04-23&amp;return_date=2026-04-30&amp;currency=EUR&amp;startStation=90&amp;endStation=42",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Austria</t>
        </is>
      </c>
      <c r="D125" t="inlineStr">
        <is>
          <t>Linz</t>
        </is>
      </c>
      <c r="E125" t="inlineStr">
        <is>
          <t>2026-03-30</t>
        </is>
      </c>
      <c r="F125" t="inlineStr">
        <is>
          <t>2026-04-06</t>
        </is>
      </c>
      <c r="G125" t="inlineStr">
        <is>
          <t xml:space="preserve"> - No hay coche</t>
        </is>
      </c>
      <c r="H125">
        <f>HYPERLINK("https://booking.roadsurfer.com/es/rally/pick?pickup_date=2026-03-30&amp;return_date=2026-04-06&amp;currency=EUR&amp;startStation=90&amp;endStation=116",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2026-03-26</t>
        </is>
      </c>
      <c r="F126" t="inlineStr">
        <is>
          <t>2026-04-02</t>
        </is>
      </c>
      <c r="G126" t="inlineStr">
        <is>
          <t xml:space="preserve"> - No hay coche</t>
        </is>
      </c>
      <c r="H126">
        <f>HYPERLINK("https://booking.roadsurfer.com/es/rally/pick?pickup_date=2026-03-26&amp;return_date=2026-04-02&amp;currency=EUR&amp;startStation=90&amp;endStation=34",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2026-04-21</t>
        </is>
      </c>
      <c r="F127" t="inlineStr">
        <is>
          <t>2026-04-28</t>
        </is>
      </c>
      <c r="G127" t="inlineStr">
        <is>
          <t xml:space="preserve"> - Sunrise Suite</t>
        </is>
      </c>
      <c r="H127">
        <f>HYPERLINK("https://booking.roadsurfer.com/es/rally/pick?pickup_date=2026-04-21&amp;return_date=2026-04-28&amp;currency=EUR&amp;startStation=90&amp;endStation=59",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2026-04-14</t>
        </is>
      </c>
      <c r="F128" t="inlineStr">
        <is>
          <t>2026-04-21</t>
        </is>
      </c>
      <c r="G128" t="inlineStr">
        <is>
          <t xml:space="preserve"> - Road House</t>
        </is>
      </c>
      <c r="H128">
        <f>HYPERLINK("https://booking.roadsurfer.com/es/rally/pick?pickup_date=2026-04-14&amp;return_date=2026-04-21&amp;currency=EUR&amp;startStation=90&amp;endStation=77",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Estrasburgo</t>
        </is>
      </c>
      <c r="E129" t="inlineStr">
        <is>
          <t>2026-05-08</t>
        </is>
      </c>
      <c r="F129" t="inlineStr">
        <is>
          <t>2026-05-15</t>
        </is>
      </c>
      <c r="G129" t="inlineStr">
        <is>
          <t xml:space="preserve"> - Beach Hostel</t>
        </is>
      </c>
      <c r="H129">
        <f>HYPERLINK("https://booking.roadsurfer.com/es/rally/pick?pickup_date=2026-05-08&amp;return_date=2026-05-15&amp;currency=EUR&amp;startStation=90&amp;endStation=49",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Estrasburgo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Beach Hostel</t>
        </is>
      </c>
      <c r="H130">
        <f>HYPERLINK("https://booking.roadsurfer.com/es/rally/pick?pickup_date=2026-04-13&amp;return_date=2026-04-20&amp;currency=EUR&amp;startStation=90&amp;endStation=49",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2026-05-05</t>
        </is>
      </c>
      <c r="F131" t="inlineStr">
        <is>
          <t>2026-05-12</t>
        </is>
      </c>
      <c r="G131" t="inlineStr">
        <is>
          <t xml:space="preserve"> - Travel Home</t>
        </is>
      </c>
      <c r="H131">
        <f>HYPERLINK("https://booking.roadsurfer.com/es/rally/pick?pickup_date=2026-05-05&amp;return_date=2026-05-12&amp;currency=EUR&amp;startStation=90&amp;endStation=13",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Beach Hostel</t>
        </is>
      </c>
      <c r="H132">
        <f>HYPERLINK("https://booking.roadsurfer.com/es/rally/pick?pickup_date=2026-04-13&amp;return_date=2026-04-20&amp;currency=EUR&amp;startStation=90&amp;endStation=15", "Clic para verlo en la web de RoadSurfer")</f>
        <v/>
      </c>
    </row>
    <row r="133">
      <c r="A133" t="inlineStr">
        <is>
          <t>Italia</t>
        </is>
      </c>
      <c r="B133" t="inlineStr">
        <is>
          <t>Florencia</t>
        </is>
      </c>
      <c r="C133" t="inlineStr">
        <is>
          <t>Alemania</t>
        </is>
      </c>
      <c r="D133" t="inlineStr">
        <is>
          <t>Bochum</t>
        </is>
      </c>
      <c r="E133" t="inlineStr">
        <is>
          <t>2026-03-26</t>
        </is>
      </c>
      <c r="F133" t="inlineStr">
        <is>
          <t>2026-04-02</t>
        </is>
      </c>
      <c r="G133" t="inlineStr">
        <is>
          <t xml:space="preserve"> - Surfer Suite</t>
        </is>
      </c>
      <c r="H133">
        <f>HYPERLINK("https://booking.roadsurfer.com/es/rally/pick?pickup_date=2026-03-26&amp;return_date=2026-04-02&amp;currency=EUR&amp;startStation=80&amp;endStation=24",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2026-04-24</t>
        </is>
      </c>
      <c r="F134" t="inlineStr">
        <is>
          <t>2026-05-01</t>
        </is>
      </c>
      <c r="G134" t="inlineStr">
        <is>
          <t xml:space="preserve"> - No hay coche</t>
        </is>
      </c>
      <c r="H134">
        <f>HYPERLINK("https://booking.roadsurfer.com/es/rally/pick?pickup_date=2026-04-24&amp;return_date=2026-05-01&amp;currency=EUR&amp;startStation=2&amp;endStation=78",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Surfer Suite</t>
        </is>
      </c>
      <c r="H135">
        <f>HYPERLINK("https://booking.roadsurfer.com/es/rally/pick?pickup_date=2026-04-14&amp;return_date=2026-04-21&amp;currency=EUR&amp;startStation=2&amp;endStation=48",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2026-04-11</t>
        </is>
      </c>
      <c r="F136" t="inlineStr">
        <is>
          <t>2026-04-18</t>
        </is>
      </c>
      <c r="G136" t="inlineStr">
        <is>
          <t xml:space="preserve"> - Sunrise Suite</t>
        </is>
      </c>
      <c r="H136">
        <f>HYPERLINK("https://booking.roadsurfer.com/es/rally/pick?pickup_date=2026-04-11&amp;return_date=2026-04-18&amp;currency=EUR&amp;startStation=2&amp;endStation=29",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Sunrise Suite</t>
        </is>
      </c>
      <c r="H137">
        <f>HYPERLINK("https://booking.roadsurfer.com/es/rally/pick?pickup_date=2026-04-13&amp;return_date=2026-04-20&amp;currency=EUR&amp;startStation=2&amp;endStation=29",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Surfer Suite</t>
        </is>
      </c>
      <c r="H138">
        <f>HYPERLINK("https://booking.roadsurfer.com/es/rally/pick?pickup_date=2026-04-20&amp;return_date=2026-04-27&amp;currency=EUR&amp;startStation=2&amp;endStation=29",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2026-04-10</t>
        </is>
      </c>
      <c r="F139" t="inlineStr">
        <is>
          <t>2026-04-17</t>
        </is>
      </c>
      <c r="G139" t="inlineStr">
        <is>
          <t xml:space="preserve"> - Surfer Suite</t>
        </is>
      </c>
      <c r="H139">
        <f>HYPERLINK("https://booking.roadsurfer.com/es/rally/pick?pickup_date=2026-04-10&amp;return_date=2026-04-17&amp;currency=EUR&amp;startStation=2&amp;endStation=34",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2026-03-27</t>
        </is>
      </c>
      <c r="F140" t="inlineStr">
        <is>
          <t>2026-04-03</t>
        </is>
      </c>
      <c r="G140" t="inlineStr">
        <is>
          <t xml:space="preserve"> - Surfer Suite</t>
        </is>
      </c>
      <c r="H140">
        <f>HYPERLINK("https://booking.roadsurfer.com/es/rally/pick?pickup_date=2026-03-27&amp;return_date=2026-04-03&amp;currency=EUR&amp;startStation=2&amp;endStation=13",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Italia</t>
        </is>
      </c>
      <c r="D141" t="inlineStr">
        <is>
          <t>Bérgamo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Surfer Suite</t>
        </is>
      </c>
      <c r="H141">
        <f>HYPERLINK("https://booking.roadsurfer.com/es/rally/pick?pickup_date=2026-05-04&amp;return_date=2026-05-11&amp;currency=EUR&amp;startStation=2&amp;endStation=94",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CAMPER CASTLE</t>
        </is>
      </c>
      <c r="H142">
        <f>HYPERLINK("https://booking.roadsurfer.com/es/rally/pick?pickup_date=2026-04-27&amp;return_date=2026-05-04&amp;currency=EUR&amp;startStation=2&amp;endStation=40",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2026-03-25</t>
        </is>
      </c>
      <c r="F143" t="inlineStr">
        <is>
          <t>2026-04-01</t>
        </is>
      </c>
      <c r="G143" t="inlineStr">
        <is>
          <t xml:space="preserve"> - No hay coche</t>
        </is>
      </c>
      <c r="H143">
        <f>HYPERLINK("https://booking.roadsurfer.com/es/rally/pick?pickup_date=2026-03-25&amp;return_date=2026-04-01&amp;currency=EUR&amp;startStation=2&amp;endStation=40",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Couple Cottage</t>
        </is>
      </c>
      <c r="H144">
        <f>HYPERLINK("https://booking.roadsurfer.com/es/rally/pick?pickup_date=2026-04-23&amp;return_date=2026-04-30&amp;currency=EUR&amp;startStation=2&amp;endStation=40",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Surfer Suite</t>
        </is>
      </c>
      <c r="H145">
        <f>HYPERLINK("https://booking.roadsurfer.com/es/rally/pick?pickup_date=2026-05-06&amp;return_date=2026-05-13&amp;currency=EUR&amp;startStation=2&amp;endStation=40",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España</t>
        </is>
      </c>
      <c r="D146" t="inlineStr">
        <is>
          <t>Barcelona</t>
        </is>
      </c>
      <c r="E146" t="inlineStr">
        <is>
          <t>2026-04-05</t>
        </is>
      </c>
      <c r="F146" t="inlineStr">
        <is>
          <t>2026-04-12</t>
        </is>
      </c>
      <c r="G146" t="inlineStr">
        <is>
          <t xml:space="preserve"> - No hay coche</t>
        </is>
      </c>
      <c r="H146">
        <f>HYPERLINK("https://booking.roadsurfer.com/es/rally/pick?pickup_date=2026-04-05&amp;return_date=2026-04-12&amp;currency=EUR&amp;startStation=2&amp;endStation=17",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2026-04-15</t>
        </is>
      </c>
      <c r="F147" t="inlineStr">
        <is>
          <t>2026-04-22</t>
        </is>
      </c>
      <c r="G147" t="inlineStr">
        <is>
          <t xml:space="preserve"> - BEACH HOSTEL</t>
        </is>
      </c>
      <c r="H147">
        <f>HYPERLINK("https://booking.roadsurfer.com/es/rally/pick?pickup_date=2026-04-15&amp;return_date=2026-04-22&amp;currency=EUR&amp;startStation=2&amp;endStation=15",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No hay coche</t>
        </is>
      </c>
      <c r="H148">
        <f>HYPERLINK("https://booking.roadsurfer.com/es/rally/pick?pickup_date=2026-04-13&amp;return_date=2026-04-20&amp;currency=EUR&amp;startStation=2&amp;endStation=33",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2026-04-07</t>
        </is>
      </c>
      <c r="F149" t="inlineStr">
        <is>
          <t>2026-04-14</t>
        </is>
      </c>
      <c r="G149" t="inlineStr">
        <is>
          <t xml:space="preserve"> - Camper Cabin</t>
        </is>
      </c>
      <c r="H149">
        <f>HYPERLINK("https://booking.roadsurfer.com/es/rally/pick?pickup_date=2026-04-07&amp;return_date=2026-04-14&amp;currency=EUR&amp;startStation=2&amp;endStation=33",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Madrid</t>
        </is>
      </c>
      <c r="E150" t="inlineStr">
        <is>
          <t>2026-04-08</t>
        </is>
      </c>
      <c r="F150" t="inlineStr">
        <is>
          <t>2026-04-15</t>
        </is>
      </c>
      <c r="G150" t="inlineStr">
        <is>
          <t xml:space="preserve"> - Camper Castle</t>
        </is>
      </c>
      <c r="H150">
        <f>HYPERLINK("https://booking.roadsurfer.com/es/rally/pick?pickup_date=2026-04-08&amp;return_date=2026-04-15&amp;currency=EUR&amp;startStation=2&amp;endStation=20",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2026-03-24</t>
        </is>
      </c>
      <c r="F151" t="inlineStr">
        <is>
          <t>2026-03-31</t>
        </is>
      </c>
      <c r="G151" t="inlineStr">
        <is>
          <t xml:space="preserve"> - Road House</t>
        </is>
      </c>
      <c r="H151">
        <f>HYPERLINK("https://booking.roadsurfer.com/es/rally/pick?pickup_date=2026-03-24&amp;return_date=2026-03-31&amp;currency=EUR&amp;startStation=2&amp;endStation=20",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No hay coche</t>
        </is>
      </c>
      <c r="H152">
        <f>HYPERLINK("https://booking.roadsurfer.com/es/rally/pick?pickup_date=2026-04-13&amp;return_date=2026-04-20&amp;currency=EUR&amp;startStation=2&amp;endStation=49",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Alemania</t>
        </is>
      </c>
      <c r="D153" t="inlineStr">
        <is>
          <t>Braunschweig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HYPERLINK("https://booking.roadsurfer.com/es/rally/pick?pickup_date=2026-04-20&amp;return_date=2026-04-27&amp;currency=EUR&amp;startStation=2&amp;endStation=128",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Málaga</t>
        </is>
      </c>
      <c r="E154" t="inlineStr">
        <is>
          <t>2026-04-28</t>
        </is>
      </c>
      <c r="F154" t="inlineStr">
        <is>
          <t>2026-05-05</t>
        </is>
      </c>
      <c r="G154" t="inlineStr">
        <is>
          <t xml:space="preserve"> - No hay coche</t>
        </is>
      </c>
      <c r="H154">
        <f>HYPERLINK("https://booking.roadsurfer.com/es/rally/pick?pickup_date=2026-04-28&amp;return_date=2026-05-05&amp;currency=EUR&amp;startStation=2&amp;endStation=21",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Toulouse</t>
        </is>
      </c>
      <c r="E155" t="inlineStr">
        <is>
          <t>2026-03-31</t>
        </is>
      </c>
      <c r="F155" t="inlineStr">
        <is>
          <t>2026-04-07</t>
        </is>
      </c>
      <c r="G155" t="inlineStr">
        <is>
          <t xml:space="preserve"> - Family Finca</t>
        </is>
      </c>
      <c r="H155">
        <f>HYPERLINK("https://booking.roadsurfer.com/es/rally/pick?pickup_date=2026-03-31&amp;return_date=2026-04-07&amp;currency=EUR&amp;startStation=2&amp;endStation=30",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Países Bajos</t>
        </is>
      </c>
      <c r="D156" t="inlineStr">
        <is>
          <t>Ámsterdam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No hay coche</t>
        </is>
      </c>
      <c r="H156">
        <f>HYPERLINK("https://booking.roadsurfer.com/es/rally/pick?pickup_date=2026-04-20&amp;return_date=2026-04-27&amp;currency=EUR&amp;startStation=2&amp;endStation=32",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Italia</t>
        </is>
      </c>
      <c r="D157" t="inlineStr">
        <is>
          <t>Turín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Cozy Cottage</t>
        </is>
      </c>
      <c r="H157">
        <f>HYPERLINK("https://booking.roadsurfer.com/es/rally/pick?pickup_date=2026-04-15&amp;return_date=2026-04-22&amp;currency=EUR&amp;startStation=2&amp;endStation=58",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2026-04-13</t>
        </is>
      </c>
      <c r="F158" t="inlineStr">
        <is>
          <t>2026-04-20</t>
        </is>
      </c>
      <c r="G158" t="inlineStr">
        <is>
          <t xml:space="preserve"> - Surfer Suite</t>
        </is>
      </c>
      <c r="H158">
        <f>HYPERLINK("https://booking.roadsurfer.com/es/rally/pick?pickup_date=2026-04-13&amp;return_date=2026-04-20&amp;currency=EUR&amp;startStation=9&amp;endStation=29",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2026-04-14</t>
        </is>
      </c>
      <c r="F159" t="inlineStr">
        <is>
          <t>2026-04-21</t>
        </is>
      </c>
      <c r="G159" t="inlineStr">
        <is>
          <t xml:space="preserve"> - Surfer Suite</t>
        </is>
      </c>
      <c r="H159">
        <f>HYPERLINK("https://booking.roadsurfer.com/es/rally/pick?pickup_date=2026-04-14&amp;return_date=2026-04-21&amp;currency=EUR&amp;startStation=9&amp;endStation=29",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2026-04-28</t>
        </is>
      </c>
      <c r="F160" t="inlineStr">
        <is>
          <t>2026-05-05</t>
        </is>
      </c>
      <c r="G160" t="inlineStr">
        <is>
          <t xml:space="preserve"> - Surfer Suite</t>
        </is>
      </c>
      <c r="H160">
        <f>HYPERLINK("https://booking.roadsurfer.com/es/rally/pick?pickup_date=2026-04-28&amp;return_date=2026-05-05&amp;currency=EUR&amp;startStation=9&amp;endStation=15",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HYPERLINK("https://booking.roadsurfer.com/es/rally/pick?pickup_date=2026-04-20&amp;return_date=2026-04-27&amp;currency=EUR&amp;startStation=9&amp;endStation=15",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2026-04-01</t>
        </is>
      </c>
      <c r="F162" t="inlineStr">
        <is>
          <t>2026-04-08</t>
        </is>
      </c>
      <c r="G162" t="inlineStr">
        <is>
          <t xml:space="preserve"> - Surfer Suite</t>
        </is>
      </c>
      <c r="H162">
        <f>HYPERLINK("https://booking.roadsurfer.com/es/rally/pick?pickup_date=2026-04-01&amp;return_date=2026-04-08&amp;currency=EUR&amp;startStation=9&amp;endStation=13",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Surfer Suite</t>
        </is>
      </c>
      <c r="H163">
        <f>HYPERLINK("https://booking.roadsurfer.com/es/rally/pick?pickup_date=2026-04-20&amp;return_date=2026-04-27&amp;currency=EUR&amp;startStation=9&amp;endStation=17",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Camper Cabin</t>
        </is>
      </c>
      <c r="H164">
        <f>HYPERLINK("https://booking.roadsurfer.com/es/rally/pick?pickup_date=2026-04-13&amp;return_date=2026-04-20&amp;currency=EUR&amp;startStation=9&amp;endStation=1",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2026-04-16</t>
        </is>
      </c>
      <c r="F165" t="inlineStr">
        <is>
          <t>2026-04-23</t>
        </is>
      </c>
      <c r="G165" t="inlineStr">
        <is>
          <t xml:space="preserve"> - Camper Cabin</t>
        </is>
      </c>
      <c r="H165">
        <f>HYPERLINK("https://booking.roadsurfer.com/es/rally/pick?pickup_date=2026-04-16&amp;return_date=2026-04-23&amp;currency=EUR&amp;startStation=9&amp;endStation=1",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2026-05-07</t>
        </is>
      </c>
      <c r="F167" t="inlineStr">
        <is>
          <t>2026-05-14</t>
        </is>
      </c>
      <c r="G167" t="inlineStr">
        <is>
          <t xml:space="preserve"> - No hay coche</t>
        </is>
      </c>
      <c r="H167">
        <f>HYPERLINK("https://booking.roadsurfer.com/es/rally/pick?pickup_date=2026-05-07&amp;return_date=2026-05-14&amp;currency=EUR&amp;startStation=9&amp;endStation=16",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Road House</t>
        </is>
      </c>
      <c r="H168">
        <f>HYPERLINK("https://booking.roadsurfer.com/es/rally/pick?pickup_date=2026-05-04&amp;return_date=2026-05-11&amp;currency=EUR&amp;startStation=29&amp;endStation=56",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Fráncfort</t>
        </is>
      </c>
      <c r="E169" t="inlineStr">
        <is>
          <t>2026-03-24</t>
        </is>
      </c>
      <c r="F169" t="inlineStr">
        <is>
          <t>2026-03-31</t>
        </is>
      </c>
      <c r="G169" t="inlineStr">
        <is>
          <t xml:space="preserve"> - Family Finca</t>
        </is>
      </c>
      <c r="H169">
        <f>HYPERLINK("https://booking.roadsurfer.com/es/rally/pick?pickup_date=2026-03-24&amp;return_date=2026-03-31&amp;currency=EUR&amp;startStation=29&amp;endStation=2",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Surfer Suite</t>
        </is>
      </c>
      <c r="H170">
        <f>HYPERLINK("https://booking.roadsurfer.com/es/rally/pick?pickup_date=2026-04-14&amp;return_date=2026-04-21&amp;currency=EUR&amp;startStation=29&amp;endStation=9",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Hamburgo Aeropuerto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Surfer Suite</t>
        </is>
      </c>
      <c r="H171">
        <f>HYPERLINK("https://booking.roadsurfer.com/es/rally/pick?pickup_date=2026-04-23&amp;return_date=2026-04-30&amp;currency=EUR&amp;startStation=77&amp;endStation=65",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Road House</t>
        </is>
      </c>
      <c r="H172">
        <f>HYPERLINK("https://booking.roadsurfer.com/es/rally/pick?pickup_date=2026-04-14&amp;return_date=2026-04-21&amp;currency=EUR&amp;startStation=77&amp;endStation=90",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2026-04-22</t>
        </is>
      </c>
      <c r="F173" t="inlineStr">
        <is>
          <t>2026-04-29</t>
        </is>
      </c>
      <c r="G173" t="inlineStr">
        <is>
          <t xml:space="preserve"> - Family Finca</t>
        </is>
      </c>
      <c r="H173">
        <f>HYPERLINK("https://booking.roadsurfer.com/es/rally/pick?pickup_date=2026-04-22&amp;return_date=2026-04-29&amp;currency=EUR&amp;startStation=77&amp;endStation=90",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Karlsruhe</t>
        </is>
      </c>
      <c r="E174" t="inlineStr">
        <is>
          <t>2026-04-15</t>
        </is>
      </c>
      <c r="F174" t="inlineStr">
        <is>
          <t>2026-04-22</t>
        </is>
      </c>
      <c r="G174" t="inlineStr">
        <is>
          <t xml:space="preserve"> - Camper Castle</t>
        </is>
      </c>
      <c r="H174">
        <f>HYPERLINK("https://booking.roadsurfer.com/es/rally/pick?pickup_date=2026-04-15&amp;return_date=2026-04-22&amp;currency=EUR&amp;startStation=77&amp;endStation=110",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Maguncia</t>
        </is>
      </c>
      <c r="E175" t="inlineStr">
        <is>
          <t>2026-04-14</t>
        </is>
      </c>
      <c r="F175" t="inlineStr">
        <is>
          <t>2026-04-21</t>
        </is>
      </c>
      <c r="G175" t="inlineStr">
        <is>
          <t xml:space="preserve"> - Camper Castle</t>
        </is>
      </c>
      <c r="H175">
        <f>HYPERLINK("https://booking.roadsurfer.com/es/rally/pick?pickup_date=2026-04-14&amp;return_date=2026-04-21&amp;currency=EUR&amp;startStation=77&amp;endStation=54",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2026-04-24</t>
        </is>
      </c>
      <c r="F176" t="inlineStr">
        <is>
          <t>2026-05-01</t>
        </is>
      </c>
      <c r="G176" t="inlineStr">
        <is>
          <t xml:space="preserve"> - No hay coche</t>
        </is>
      </c>
      <c r="H176">
        <f>HYPERLINK("https://booking.roadsurfer.com/es/rally/pick?pickup_date=2026-04-24&amp;return_date=2026-05-01&amp;currency=EUR&amp;startStation=77&amp;endStation=6",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2026-04-08</t>
        </is>
      </c>
      <c r="F177" t="inlineStr">
        <is>
          <t>2026-04-15</t>
        </is>
      </c>
      <c r="G177" t="inlineStr">
        <is>
          <t xml:space="preserve"> - Camper Castle</t>
        </is>
      </c>
      <c r="H177">
        <f>HYPERLINK("https://booking.roadsurfer.com/es/rally/pick?pickup_date=2026-04-08&amp;return_date=2026-04-15&amp;currency=EUR&amp;startStation=77&amp;endStation=6",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2026-03-24</t>
        </is>
      </c>
      <c r="F178" t="inlineStr">
        <is>
          <t>2026-03-31</t>
        </is>
      </c>
      <c r="G178" t="inlineStr">
        <is>
          <t xml:space="preserve"> - Surfer Suite</t>
        </is>
      </c>
      <c r="H178">
        <f>HYPERLINK("https://booking.roadsurfer.com/es/rally/pick?pickup_date=2026-03-24&amp;return_date=2026-03-31&amp;currency=EUR&amp;startStation=77&amp;endStation=22",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Couple Cottage</t>
        </is>
      </c>
      <c r="H179">
        <f>HYPERLINK("https://booking.roadsurfer.com/es/rally/pick?pickup_date=2026-03-26&amp;return_date=2026-04-02&amp;currency=EUR&amp;startStation=77&amp;endStation=22",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2026-03-25</t>
        </is>
      </c>
      <c r="F180" t="inlineStr">
        <is>
          <t>2026-04-01</t>
        </is>
      </c>
      <c r="G180" t="inlineStr">
        <is>
          <t xml:space="preserve"> - Surfer Suite - Family Finca</t>
        </is>
      </c>
      <c r="H180">
        <f>HYPERLINK("https://booking.roadsurfer.com/es/rally/pick?pickup_date=2026-03-25&amp;return_date=2026-04-01&amp;currency=EUR&amp;startStation=77&amp;endStation=91",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2026-04-07</t>
        </is>
      </c>
      <c r="F181" t="inlineStr">
        <is>
          <t>2026-04-14</t>
        </is>
      </c>
      <c r="G181" t="inlineStr">
        <is>
          <t xml:space="preserve"> - Camper Castle</t>
        </is>
      </c>
      <c r="H181">
        <f>HYPERLINK("https://booking.roadsurfer.com/es/rally/pick?pickup_date=2026-04-07&amp;return_date=2026-04-14&amp;currency=EUR&amp;startStation=77&amp;endStation=91",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Sunrise Suite</t>
        </is>
      </c>
      <c r="H182">
        <f>HYPERLINK("https://booking.roadsurfer.com/es/rally/pick?pickup_date=2026-04-14&amp;return_date=2026-04-21&amp;currency=EUR&amp;startStation=77&amp;endStation=91",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Road House</t>
        </is>
      </c>
      <c r="H183">
        <f>HYPERLINK("https://booking.roadsurfer.com/es/rally/pick?pickup_date=2026-04-14&amp;return_date=2026-04-21&amp;currency=EUR&amp;startStation=37&amp;endStation=56",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2026-04-15</t>
        </is>
      </c>
      <c r="F184" t="inlineStr">
        <is>
          <t>2026-04-22</t>
        </is>
      </c>
      <c r="G184" t="inlineStr">
        <is>
          <t xml:space="preserve"> - Family Finca</t>
        </is>
      </c>
      <c r="H184">
        <f>HYPERLINK("https://booking.roadsurfer.com/es/rally/pick?pickup_date=2026-04-15&amp;return_date=2026-04-22&amp;currency=EUR&amp;startStation=37&amp;endStation=56",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Ratisbona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HYPERLINK("https://booking.roadsurfer.com/es/rally/pick?pickup_date=2026-04-27&amp;return_date=2026-05-04&amp;currency=EUR&amp;startStation=37&amp;endStation=89",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2026-04-22</t>
        </is>
      </c>
      <c r="F186" t="inlineStr">
        <is>
          <t>2026-04-29</t>
        </is>
      </c>
      <c r="G186" t="inlineStr">
        <is>
          <t xml:space="preserve"> - Camper Cabin</t>
        </is>
      </c>
      <c r="H186">
        <f>HYPERLINK("https://booking.roadsurfer.com/es/rally/pick?pickup_date=2026-04-22&amp;return_date=2026-04-29&amp;currency=EUR&amp;startStation=37&amp;endStation=8",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No hay coche</t>
        </is>
      </c>
      <c r="H187">
        <f>HYPERLINK("https://booking.roadsurfer.com/es/rally/pick?pickup_date=2026-04-17&amp;return_date=2026-04-24&amp;currency=EUR&amp;startStation=3&amp;endStation=130",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2026-04-16</t>
        </is>
      </c>
      <c r="F188" t="inlineStr">
        <is>
          <t>2026-04-23</t>
        </is>
      </c>
      <c r="G188" t="inlineStr">
        <is>
          <t xml:space="preserve"> - No hay coche</t>
        </is>
      </c>
      <c r="H188">
        <f>HYPERLINK("https://booking.roadsurfer.com/es/rally/pick?pickup_date=2026-04-16&amp;return_date=2026-04-23&amp;currency=EUR&amp;startStation=3&amp;endStation=130",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2026-05-01</t>
        </is>
      </c>
      <c r="F189" t="inlineStr">
        <is>
          <t>2026-05-08</t>
        </is>
      </c>
      <c r="G189" t="inlineStr">
        <is>
          <t xml:space="preserve"> - No hay coche</t>
        </is>
      </c>
      <c r="H189">
        <f>HYPERLINK("https://booking.roadsurfer.com/es/rally/pick?pickup_date=2026-05-01&amp;return_date=2026-05-08&amp;currency=EUR&amp;startStation=3&amp;endStation=77",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Cozy Cottage</t>
        </is>
      </c>
      <c r="H190">
        <f>HYPERLINK("https://booking.roadsurfer.com/es/rally/pick?pickup_date=2026-04-20&amp;return_date=2026-04-27&amp;currency=EUR&amp;startStation=3&amp;endStation=56",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Sunrise Suite</t>
        </is>
      </c>
      <c r="H191">
        <f>HYPERLINK("https://booking.roadsurfer.com/es/rally/pick?pickup_date=2026-05-04&amp;return_date=2026-05-11&amp;currency=EUR&amp;startStation=3&amp;endStation=4",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Núremberg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Sunrise Suite</t>
        </is>
      </c>
      <c r="H192">
        <f>HYPERLINK("https://booking.roadsurfer.com/es/rally/pick?pickup_date=2026-05-04&amp;return_date=2026-05-11&amp;currency=EUR&amp;startStation=3&amp;endStation=11",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No hay coche</t>
        </is>
      </c>
      <c r="H193">
        <f>HYPERLINK("https://booking.roadsurfer.com/es/rally/pick?pickup_date=2026-03-30&amp;return_date=2026-04-06&amp;currency=EUR&amp;startStation=3&amp;endStation=59",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Alemania</t>
        </is>
      </c>
      <c r="D194" t="inlineStr">
        <is>
          <t>Aquisgrán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Beach Hostel</t>
        </is>
      </c>
      <c r="H194">
        <f>HYPERLINK("https://booking.roadsurfer.com/es/rally/pick?pickup_date=2026-04-20&amp;return_date=2026-04-27&amp;currency=EUR&amp;startStation=7&amp;endStation=114",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Road House</t>
        </is>
      </c>
      <c r="H195">
        <f>HYPERLINK("https://booking.roadsurfer.com/es/rally/pick?pickup_date=2026-04-16&amp;return_date=2026-04-23&amp;currency=EUR&amp;startStation=7&amp;endStation=34",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2026-04-08</t>
        </is>
      </c>
      <c r="F196" t="inlineStr">
        <is>
          <t>2026-04-15</t>
        </is>
      </c>
      <c r="G196" t="inlineStr">
        <is>
          <t xml:space="preserve"> - Surfer Suite</t>
        </is>
      </c>
      <c r="H196">
        <f>HYPERLINK("https://booking.roadsurfer.com/es/rally/pick?pickup_date=2026-04-08&amp;return_date=2026-04-15&amp;currency=EUR&amp;startStation=79&amp;endStation=40",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Austria</t>
        </is>
      </c>
      <c r="D197" t="inlineStr">
        <is>
          <t>Innsbruck-Wiesing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Camper Cabin</t>
        </is>
      </c>
      <c r="H197">
        <f>HYPERLINK("https://booking.roadsurfer.com/es/rally/pick?pickup_date=2026-05-04&amp;return_date=2026-05-11&amp;currency=EUR&amp;startStation=79&amp;endStation=46",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Austria</t>
        </is>
      </c>
      <c r="D198" t="inlineStr">
        <is>
          <t>Viena</t>
        </is>
      </c>
      <c r="E198" t="inlineStr">
        <is>
          <t>2026-03-25</t>
        </is>
      </c>
      <c r="F198" t="inlineStr">
        <is>
          <t>2026-04-01</t>
        </is>
      </c>
      <c r="G198" t="inlineStr">
        <is>
          <t xml:space="preserve"> - Camper Castle</t>
        </is>
      </c>
      <c r="H198">
        <f>HYPERLINK("https://booking.roadsurfer.com/es/rally/pick?pickup_date=2026-03-25&amp;return_date=2026-04-01&amp;currency=EUR&amp;startStation=79&amp;endStation=36", "Clic para verlo en la web de RoadSurfer")</f>
        <v/>
      </c>
    </row>
    <row r="199">
      <c r="A199" t="inlineStr">
        <is>
          <t>Alemania</t>
        </is>
      </c>
      <c r="B199" t="inlineStr">
        <is>
          <t>Heidelberg</t>
        </is>
      </c>
      <c r="C199" t="inlineStr">
        <is>
          <t>Italia</t>
        </is>
      </c>
      <c r="D199" t="inlineStr">
        <is>
          <t>Roma Aeropuerto Fiumicino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Beach Hostel</t>
        </is>
      </c>
      <c r="H199">
        <f>HYPERLINK("https://booking.roadsurfer.com/es/rally/pick?pickup_date=2026-04-27&amp;return_date=2026-05-04&amp;currency=EUR&amp;startStation=79&amp;endStation=35", "Clic para verlo en la web de RoadSurfer")</f>
        <v/>
      </c>
    </row>
    <row r="200">
      <c r="A200" t="inlineStr">
        <is>
          <t>Alemania</t>
        </is>
      </c>
      <c r="B200" t="inlineStr">
        <is>
          <t>Heidelberg</t>
        </is>
      </c>
      <c r="C200" t="inlineStr">
        <is>
          <t>Alemania</t>
        </is>
      </c>
      <c r="D200" t="inlineStr">
        <is>
          <t>Stuttgart</t>
        </is>
      </c>
      <c r="E200" t="inlineStr">
        <is>
          <t>2026-04-09</t>
        </is>
      </c>
      <c r="F200" t="inlineStr">
        <is>
          <t>2026-04-16</t>
        </is>
      </c>
      <c r="G200" t="inlineStr">
        <is>
          <t xml:space="preserve"> - Surfer Suite</t>
        </is>
      </c>
      <c r="H200">
        <f>HYPERLINK("https://booking.roadsurfer.com/es/rally/pick?pickup_date=2026-04-09&amp;return_date=2026-04-16&amp;currency=EUR&amp;startStation=79&amp;endStation=5",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Alemania</t>
        </is>
      </c>
      <c r="D201" t="inlineStr">
        <is>
          <t>Tréveris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HYPERLINK("https://booking.roadsurfer.com/es/rally/pick?pickup_date=2026-04-27&amp;return_date=2026-05-04&amp;currency=EUR&amp;startStation=79&amp;endStation=28",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2026-04-07</t>
        </is>
      </c>
      <c r="F202" t="inlineStr">
        <is>
          <t>2026-04-14</t>
        </is>
      </c>
      <c r="G202" t="inlineStr">
        <is>
          <t xml:space="preserve"> - Road House</t>
        </is>
      </c>
      <c r="H202">
        <f>HYPERLINK("https://booking.roadsurfer.com/es/rally/pick?pickup_date=2026-04-07&amp;return_date=2026-04-14&amp;currency=EUR&amp;startStation=110&amp;endStation=31",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2026-04-01</t>
        </is>
      </c>
      <c r="F203" t="inlineStr">
        <is>
          <t>2026-04-08</t>
        </is>
      </c>
      <c r="G203" t="inlineStr">
        <is>
          <t xml:space="preserve"> - Surfer Suite - Family Finca</t>
        </is>
      </c>
      <c r="H203">
        <f>HYPERLINK("https://booking.roadsurfer.com/es/rally/pick?pickup_date=2026-04-01&amp;return_date=2026-04-08&amp;currency=EUR&amp;startStation=110&amp;endStation=31",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No hay coche</t>
        </is>
      </c>
      <c r="H204">
        <f>HYPERLINK("https://booking.roadsurfer.com/es/rally/pick?pickup_date=2026-04-20&amp;return_date=2026-04-27&amp;currency=EUR&amp;startStation=111&amp;endStation=130",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2026-03-20</t>
        </is>
      </c>
      <c r="F205" t="inlineStr">
        <is>
          <t>2026-03-27</t>
        </is>
      </c>
      <c r="G205" t="inlineStr">
        <is>
          <t xml:space="preserve"> - Family Freedom</t>
        </is>
      </c>
      <c r="H205">
        <f>HYPERLINK("https://booking.roadsurfer.com/es/rally/pick?pickup_date=2026-03-20&amp;return_date=2026-03-27&amp;currency=EUR&amp;startStation=76&amp;endStation=107",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Seattle</t>
        </is>
      </c>
      <c r="E206" t="inlineStr">
        <is>
          <t>2026-03-27</t>
        </is>
      </c>
      <c r="F206" t="inlineStr">
        <is>
          <t>2026-04-03</t>
        </is>
      </c>
      <c r="G206" t="inlineStr">
        <is>
          <t xml:space="preserve"> - Family Freedom</t>
        </is>
      </c>
      <c r="H206">
        <f>HYPERLINK("https://booking.roadsurfer.com/es/rally/pick?pickup_date=2026-03-27&amp;return_date=2026-04-03&amp;currency=EUR&amp;startStation=76&amp;endStation=107",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Seattle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Family Freedom</t>
        </is>
      </c>
      <c r="H207">
        <f>HYPERLINK("https://booking.roadsurfer.com/es/rally/pick?pickup_date=2026-04-13&amp;return_date=2026-04-20&amp;currency=EUR&amp;startStation=76&amp;endStation=107",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Seattle</t>
        </is>
      </c>
      <c r="E208" t="inlineStr">
        <is>
          <t>2026-03-25</t>
        </is>
      </c>
      <c r="F208" t="inlineStr">
        <is>
          <t>2026-04-01</t>
        </is>
      </c>
      <c r="G208" t="inlineStr">
        <is>
          <t xml:space="preserve"> - Liberty Lodge</t>
        </is>
      </c>
      <c r="H208">
        <f>HYPERLINK("https://booking.roadsurfer.com/es/rally/pick?pickup_date=2026-03-25&amp;return_date=2026-04-01&amp;currency=EUR&amp;startStation=76&amp;endStation=107",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Seattle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Family Freedom</t>
        </is>
      </c>
      <c r="H209">
        <f>HYPERLINK("https://booking.roadsurfer.com/es/rally/pick?pickup_date=2026-04-23&amp;return_date=2026-04-30&amp;currency=EUR&amp;startStation=76&amp;endStation=107",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Seattle</t>
        </is>
      </c>
      <c r="E210" t="inlineStr">
        <is>
          <t>2026-04-16</t>
        </is>
      </c>
      <c r="F210" t="inlineStr">
        <is>
          <t>2026-04-23</t>
        </is>
      </c>
      <c r="G210" t="inlineStr">
        <is>
          <t xml:space="preserve"> - Family Freedom</t>
        </is>
      </c>
      <c r="H210">
        <f>HYPERLINK("https://booking.roadsurfer.com/es/rally/pick?pickup_date=2026-04-16&amp;return_date=2026-04-23&amp;currency=EUR&amp;startStation=76&amp;endStation=107",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Denver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Couple Condo</t>
        </is>
      </c>
      <c r="H211">
        <f>HYPERLINK("https://booking.roadsurfer.com/es/rally/pick?pickup_date=2026-04-20&amp;return_date=2026-04-27&amp;currency=EUR&amp;startStation=76&amp;endStation=104",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Denver</t>
        </is>
      </c>
      <c r="E212" t="inlineStr">
        <is>
          <t>2026-04-29</t>
        </is>
      </c>
      <c r="F212" t="inlineStr">
        <is>
          <t>2026-05-06</t>
        </is>
      </c>
      <c r="G212" t="inlineStr">
        <is>
          <t xml:space="preserve"> - Family Freedom</t>
        </is>
      </c>
      <c r="H212">
        <f>HYPERLINK("https://booking.roadsurfer.com/es/rally/pick?pickup_date=2026-04-29&amp;return_date=2026-05-06&amp;currency=EUR&amp;startStation=76&amp;endStation=104",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Denver</t>
        </is>
      </c>
      <c r="E213" t="inlineStr">
        <is>
          <t>2026-04-23</t>
        </is>
      </c>
      <c r="F213" t="inlineStr">
        <is>
          <t>2026-04-30</t>
        </is>
      </c>
      <c r="G213" t="inlineStr">
        <is>
          <t xml:space="preserve"> - Family Freedom</t>
        </is>
      </c>
      <c r="H213">
        <f>HYPERLINK("https://booking.roadsurfer.com/es/rally/pick?pickup_date=2026-04-23&amp;return_date=2026-04-30&amp;currency=EUR&amp;startStation=76&amp;endStation=104",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No hay coche</t>
        </is>
      </c>
      <c r="H214">
        <f>HYPERLINK("https://booking.roadsurfer.com/es/rally/pick?pickup_date=2026-03-27&amp;return_date=2026-04-03&amp;currency=EUR&amp;startStation=8&amp;endStation=32",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No hay coche</t>
        </is>
      </c>
      <c r="H215">
        <f>HYPERLINK("https://booking.roadsurfer.com/es/rally/pick?pickup_date=2026-04-13&amp;return_date=2026-04-20&amp;currency=EUR&amp;startStation=8&amp;endStation=32",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2026-03-24</t>
        </is>
      </c>
      <c r="F216" t="inlineStr">
        <is>
          <t>2026-03-31</t>
        </is>
      </c>
      <c r="G216" t="inlineStr">
        <is>
          <t xml:space="preserve"> - Road House</t>
        </is>
      </c>
      <c r="H216">
        <f>HYPERLINK("https://booking.roadsurfer.com/es/rally/pick?pickup_date=2026-03-24&amp;return_date=2026-03-31&amp;currency=EUR&amp;startStation=8&amp;endStation=33",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Viena Sur</t>
        </is>
      </c>
      <c r="E217" t="inlineStr">
        <is>
          <t>2026-03-27</t>
        </is>
      </c>
      <c r="F217" t="inlineStr">
        <is>
          <t>2026-04-03</t>
        </is>
      </c>
      <c r="G217" t="inlineStr">
        <is>
          <t xml:space="preserve"> - Road House</t>
        </is>
      </c>
      <c r="H217">
        <f>HYPERLINK("https://booking.roadsurfer.com/es/rally/pick?pickup_date=2026-03-27&amp;return_date=2026-04-03&amp;currency=EUR&amp;startStation=8&amp;endStation=45",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Linz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Camper Castle</t>
        </is>
      </c>
      <c r="H218">
        <f>HYPERLINK("https://booking.roadsurfer.com/es/rally/pick?pickup_date=2026-04-20&amp;return_date=2026-04-27&amp;currency=EUR&amp;startStation=8&amp;endStation=116",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Bérgamo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Road House</t>
        </is>
      </c>
      <c r="H219">
        <f>HYPERLINK("https://booking.roadsurfer.com/es/rally/pick?pickup_date=2026-03-27&amp;return_date=2026-04-03&amp;currency=EUR&amp;startStation=8&amp;endStation=94",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Family Finca</t>
        </is>
      </c>
      <c r="H220">
        <f>HYPERLINK("https://booking.roadsurfer.com/es/rally/pick?pickup_date=2026-05-04&amp;return_date=2026-05-11&amp;currency=EUR&amp;startStation=87&amp;endStation=91",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2026-03-30</t>
        </is>
      </c>
      <c r="F221" t="inlineStr">
        <is>
          <t>2026-04-06</t>
        </is>
      </c>
      <c r="G221" t="inlineStr">
        <is>
          <t xml:space="preserve"> - No hay coche</t>
        </is>
      </c>
      <c r="H221">
        <f>HYPERLINK("https://booking.roadsurfer.com/es/rally/pick?pickup_date=2026-03-30&amp;return_date=2026-04-06&amp;currency=EUR&amp;startStation=117&amp;endStation=13",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Cozy Cottage</t>
        </is>
      </c>
      <c r="H222">
        <f>HYPERLINK("https://booking.roadsurfer.com/es/rally/pick?pickup_date=2026-04-27&amp;return_date=2026-05-04&amp;currency=EUR&amp;startStation=117&amp;endStation=45",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Cozy Cottage</t>
        </is>
      </c>
      <c r="H223">
        <f>HYPERLINK("https://booking.roadsurfer.com/es/rally/pick?pickup_date=2026-04-27&amp;return_date=2026-05-04&amp;currency=EUR&amp;startStation=117&amp;endStation=6", "Clic para verlo en la web de RoadSurfer")</f>
        <v/>
      </c>
    </row>
    <row r="224">
      <c r="A224" t="inlineStr">
        <is>
          <t>Alemania</t>
        </is>
      </c>
      <c r="B224" t="inlineStr">
        <is>
          <t>Lübeck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Surfer Suite</t>
        </is>
      </c>
      <c r="H224">
        <f>HYPERLINK("https://booking.roadsurfer.com/es/rally/pick?pickup_date=2026-04-27&amp;return_date=2026-05-04&amp;currency=EUR&amp;startStation=109&amp;endStation=40", "Clic para verlo en la web de RoadSurfer")</f>
        <v/>
      </c>
    </row>
    <row r="225">
      <c r="A225" t="inlineStr">
        <is>
          <t>Alemania</t>
        </is>
      </c>
      <c r="B225" t="inlineStr">
        <is>
          <t>Lübeck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Surfer Suite</t>
        </is>
      </c>
      <c r="H225">
        <f>HYPERLINK("https://booking.roadsurfer.com/es/rally/pick?pickup_date=2026-04-27&amp;return_date=2026-05-04&amp;currency=EUR&amp;startStation=109&amp;endStation=34",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Constanza (Aach)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No hay coche</t>
        </is>
      </c>
      <c r="H226">
        <f>HYPERLINK("https://booking.roadsurfer.com/es/rally/pick?pickup_date=2026-03-27&amp;return_date=2026-04-03&amp;currency=EUR&amp;startStation=15&amp;endStation=10",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Constanza (Aach)</t>
        </is>
      </c>
      <c r="E227" t="inlineStr">
        <is>
          <t>2026-03-24</t>
        </is>
      </c>
      <c r="F227" t="inlineStr">
        <is>
          <t>2026-03-31</t>
        </is>
      </c>
      <c r="G227" t="inlineStr">
        <is>
          <t xml:space="preserve"> - No hay coche</t>
        </is>
      </c>
      <c r="H227">
        <f>HYPERLINK("https://booking.roadsurfer.com/es/rally/pick?pickup_date=2026-03-24&amp;return_date=2026-03-31&amp;currency=EUR&amp;startStation=15&amp;endStation=10",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2026-04-11</t>
        </is>
      </c>
      <c r="F228" t="inlineStr">
        <is>
          <t>2026-04-18</t>
        </is>
      </c>
      <c r="G228" t="inlineStr">
        <is>
          <t xml:space="preserve"> - Camper Cabin</t>
        </is>
      </c>
      <c r="H228">
        <f>HYPERLINK("https://booking.roadsurfer.com/es/rally/pick?pickup_date=2026-04-11&amp;return_date=2026-04-18&amp;currency=EUR&amp;startStation=15&amp;endStation=1",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Friburgo-Basilea (Alemania)</t>
        </is>
      </c>
      <c r="E229" t="inlineStr">
        <is>
          <t>2026-04-15</t>
        </is>
      </c>
      <c r="F229" t="inlineStr">
        <is>
          <t>2026-04-22</t>
        </is>
      </c>
      <c r="G229" t="inlineStr">
        <is>
          <t xml:space="preserve"> - Couple Cottage</t>
        </is>
      </c>
      <c r="H229">
        <f>HYPERLINK("https://booking.roadsurfer.com/es/rally/pick?pickup_date=2026-04-15&amp;return_date=2026-04-22&amp;currency=EUR&amp;startStation=20&amp;endStation=9",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Maguncia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Couple Cottage</t>
        </is>
      </c>
      <c r="H230">
        <f>HYPERLINK("https://booking.roadsurfer.com/es/rally/pick?pickup_date=2026-05-04&amp;return_date=2026-05-11&amp;currency=EUR&amp;startStation=20&amp;endStation=54",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Karlsruhe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No hay coche</t>
        </is>
      </c>
      <c r="H231">
        <f>HYPERLINK("https://booking.roadsurfer.com/es/rally/pick?pickup_date=2026-05-04&amp;return_date=2026-05-11&amp;currency=EUR&amp;startStation=20&amp;endStation=110",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Lindau-Wangen</t>
        </is>
      </c>
      <c r="E232" t="inlineStr">
        <is>
          <t>2026-04-23</t>
        </is>
      </c>
      <c r="F232" t="inlineStr">
        <is>
          <t>2026-04-30</t>
        </is>
      </c>
      <c r="G232" t="inlineStr">
        <is>
          <t xml:space="preserve"> - Family Finca</t>
        </is>
      </c>
      <c r="H232">
        <f>HYPERLINK("https://booking.roadsurfer.com/es/rally/pick?pickup_date=2026-04-23&amp;return_date=2026-04-30&amp;currency=EUR&amp;startStation=20&amp;endStation=117", "Clic para verlo en la web de RoadSurfer")</f>
        <v/>
      </c>
    </row>
    <row r="233">
      <c r="A233" t="inlineStr">
        <is>
          <t>Alemania</t>
        </is>
      </c>
      <c r="B233" t="inlineStr">
        <is>
          <t>Maguncia</t>
        </is>
      </c>
      <c r="C233" t="inlineStr">
        <is>
          <t>Francia</t>
        </is>
      </c>
      <c r="D233" t="inlineStr">
        <is>
          <t>Toulouse</t>
        </is>
      </c>
      <c r="E233" t="inlineStr">
        <is>
          <t>2026-04-09</t>
        </is>
      </c>
      <c r="F233" t="inlineStr">
        <is>
          <t>2026-04-16</t>
        </is>
      </c>
      <c r="G233" t="inlineStr">
        <is>
          <t xml:space="preserve"> - Family Finca</t>
        </is>
      </c>
      <c r="H233">
        <f>HYPERLINK("https://booking.roadsurfer.com/es/rally/pick?pickup_date=2026-04-09&amp;return_date=2026-04-16&amp;currency=EUR&amp;startStation=54&amp;endStation=30", "Clic para verlo en la web de RoadSurfer")</f>
        <v/>
      </c>
    </row>
    <row r="234">
      <c r="A234" t="inlineStr">
        <is>
          <t>Alemania</t>
        </is>
      </c>
      <c r="B234" t="inlineStr">
        <is>
          <t>Maguncia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No hay coche</t>
        </is>
      </c>
      <c r="H234">
        <f>HYPERLINK("https://booking.roadsurfer.com/es/rally/pick?pickup_date=2026-04-13&amp;return_date=2026-04-20&amp;currency=EUR&amp;startStation=54&amp;endStation=29", "Clic para verlo en la web de RoadSurfer")</f>
        <v/>
      </c>
    </row>
    <row r="235">
      <c r="A235" t="inlineStr">
        <is>
          <t>Alemania</t>
        </is>
      </c>
      <c r="B235" t="inlineStr">
        <is>
          <t>Maguncia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2026-04-08</t>
        </is>
      </c>
      <c r="F235" t="inlineStr">
        <is>
          <t>2026-04-15</t>
        </is>
      </c>
      <c r="G235" t="inlineStr">
        <is>
          <t xml:space="preserve"> - Camper Castle</t>
        </is>
      </c>
      <c r="H235">
        <f>HYPERLINK("https://booking.roadsurfer.com/es/rally/pick?pickup_date=2026-04-08&amp;return_date=2026-04-15&amp;currency=EUR&amp;startStation=54&amp;endStation=60", "Clic para verlo en la web de RoadSurfer")</f>
        <v/>
      </c>
    </row>
    <row r="236">
      <c r="A236" t="inlineStr">
        <is>
          <t>España</t>
        </is>
      </c>
      <c r="B236" t="inlineStr">
        <is>
          <t>Málaga</t>
        </is>
      </c>
      <c r="C236" t="inlineStr">
        <is>
          <t>Alemania</t>
        </is>
      </c>
      <c r="D236" t="inlineStr">
        <is>
          <t>Berlín-Schönefeld</t>
        </is>
      </c>
      <c r="E236" t="inlineStr">
        <is>
          <t>2026-04-09</t>
        </is>
      </c>
      <c r="F236" t="inlineStr">
        <is>
          <t>2026-04-16</t>
        </is>
      </c>
      <c r="G236" t="inlineStr">
        <is>
          <t xml:space="preserve"> - Travel Home</t>
        </is>
      </c>
      <c r="H236">
        <f>HYPERLINK("https://booking.roadsurfer.com/es/rally/pick?pickup_date=2026-04-09&amp;return_date=2026-04-16&amp;currency=EUR&amp;startStation=21&amp;endStation=51",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Road House</t>
        </is>
      </c>
      <c r="H237">
        <f>HYPERLINK("https://booking.roadsurfer.com/es/rally/pick?pickup_date=2026-03-24&amp;return_date=2026-03-31&amp;currency=EUR&amp;startStation=60&amp;endStation=55",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2026-04-16</t>
        </is>
      </c>
      <c r="F238" t="inlineStr">
        <is>
          <t>2026-04-23</t>
        </is>
      </c>
      <c r="G238" t="inlineStr">
        <is>
          <t xml:space="preserve"> - Cozy Cottage</t>
        </is>
      </c>
      <c r="H238">
        <f>HYPERLINK("https://booking.roadsurfer.com/es/rally/pick?pickup_date=2026-04-16&amp;return_date=2026-04-23&amp;currency=EUR&amp;startStation=60&amp;endStation=55",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No hay coche</t>
        </is>
      </c>
      <c r="H239">
        <f>HYPERLINK("https://booking.roadsurfer.com/es/rally/pick?pickup_date=2026-04-20&amp;return_date=2026-04-27&amp;currency=EUR&amp;startStation=60&amp;endStation=130",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2026-03-28</t>
        </is>
      </c>
      <c r="F240" t="inlineStr">
        <is>
          <t>2026-04-04</t>
        </is>
      </c>
      <c r="G240" t="inlineStr">
        <is>
          <t xml:space="preserve"> - CAMPER CABIN DELUXE</t>
        </is>
      </c>
      <c r="H240">
        <f>HYPERLINK("https://booking.roadsurfer.com/es/rally/pick?pickup_date=2026-03-28&amp;return_date=2026-04-04&amp;currency=EUR&amp;startStation=60&amp;endStation=3",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Camper Castle</t>
        </is>
      </c>
      <c r="H241">
        <f>HYPERLINK("https://booking.roadsurfer.com/es/rally/pick?pickup_date=2026-04-20&amp;return_date=2026-04-27&amp;currency=EUR&amp;startStation=60&amp;endStation=5",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No hay coche</t>
        </is>
      </c>
      <c r="H242">
        <f>HYPERLINK("https://booking.roadsurfer.com/es/rally/pick?pickup_date=2026-03-27&amp;return_date=2026-04-03&amp;currency=EUR&amp;startStation=60&amp;endStation=51",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Berlín-Schönefeld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Family Finca</t>
        </is>
      </c>
      <c r="H243">
        <f>HYPERLINK("https://booking.roadsurfer.com/es/rally/pick?pickup_date=2026-04-15&amp;return_date=2026-04-22&amp;currency=EUR&amp;startStation=60&amp;endStation=51",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Family Finca</t>
        </is>
      </c>
      <c r="H244">
        <f>HYPERLINK("https://booking.roadsurfer.com/es/rally/pick?pickup_date=2026-04-14&amp;return_date=2026-04-21&amp;currency=EUR&amp;startStation=60&amp;endStation=91",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2026-03-28</t>
        </is>
      </c>
      <c r="F245" t="inlineStr">
        <is>
          <t>2026-04-04</t>
        </is>
      </c>
      <c r="G245" t="inlineStr">
        <is>
          <t xml:space="preserve"> - Surfer Suite</t>
        </is>
      </c>
      <c r="H245">
        <f>HYPERLINK("https://booking.roadsurfer.com/es/rally/pick?pickup_date=2026-03-28&amp;return_date=2026-04-04&amp;currency=EUR&amp;startStation=60&amp;endStation=91",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Surfer Suite</t>
        </is>
      </c>
      <c r="H246">
        <f>HYPERLINK("https://booking.roadsurfer.com/es/rally/pick?pickup_date=2026-04-09&amp;return_date=2026-04-16&amp;currency=EUR&amp;startStation=60&amp;endStation=7",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HYPERLINK("https://booking.roadsurfer.com/es/rally/pick?pickup_date=2026-03-30&amp;return_date=2026-04-06&amp;currency=EUR&amp;startStation=60&amp;endStation=52",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COZY COTTAGE</t>
        </is>
      </c>
      <c r="H248">
        <f>HYPERLINK("https://booking.roadsurfer.com/es/rally/pick?pickup_date=2026-04-07&amp;return_date=2026-04-14&amp;currency=EUR&amp;startStation=60&amp;endStation=90", "Clic para verlo en la web de RoadSurfer")</f>
        <v/>
      </c>
    </row>
    <row r="249">
      <c r="A249" t="inlineStr">
        <is>
          <t>Reino Unido</t>
        </is>
      </c>
      <c r="B249" t="inlineStr">
        <is>
          <t>Mánchester</t>
        </is>
      </c>
      <c r="C249" t="inlineStr">
        <is>
          <t>Reino Unido</t>
        </is>
      </c>
      <c r="D249" t="inlineStr">
        <is>
          <t>Londres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Couple Cottage</t>
        </is>
      </c>
      <c r="H249">
        <f>HYPERLINK("https://booking.roadsurfer.com/es/rally/pick?pickup_date=2026-04-20&amp;return_date=2026-04-27&amp;currency=EUR&amp;startStation=99&amp;endStation=63",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2026-03-30</t>
        </is>
      </c>
      <c r="F250" t="inlineStr">
        <is>
          <t>2026-04-06</t>
        </is>
      </c>
      <c r="G250" t="inlineStr">
        <is>
          <t xml:space="preserve"> - No hay coche</t>
        </is>
      </c>
      <c r="H250">
        <f>HYPERLINK("https://booking.roadsurfer.com/es/rally/pick?pickup_date=2026-03-30&amp;return_date=2026-04-06&amp;currency=EUR&amp;startStation=22&amp;endStation=31",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Surfer Suite</t>
        </is>
      </c>
      <c r="H251">
        <f>HYPERLINK("https://booking.roadsurfer.com/es/rally/pick?pickup_date=2026-04-30&amp;return_date=2026-05-07&amp;currency=EUR&amp;startStation=22&amp;endStation=31",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Beach Hostel</t>
        </is>
      </c>
      <c r="H252">
        <f>HYPERLINK("https://booking.roadsurfer.com/es/rally/pick?pickup_date=2026-03-27&amp;return_date=2026-04-03&amp;currency=EUR&amp;startStation=22&amp;endStation=31",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Surfer Suite</t>
        </is>
      </c>
      <c r="H253">
        <f>HYPERLINK("https://booking.roadsurfer.com/es/rally/pick?pickup_date=2026-04-20&amp;return_date=2026-04-27&amp;currency=EUR&amp;startStation=22&amp;endStation=31",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Family Finca</t>
        </is>
      </c>
      <c r="H254">
        <f>HYPERLINK("https://booking.roadsurfer.com/es/rally/pick?pickup_date=2026-04-28&amp;return_date=2026-05-05&amp;currency=EUR&amp;startStation=22&amp;endStation=31",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2026-03-25</t>
        </is>
      </c>
      <c r="F255" t="inlineStr">
        <is>
          <t>2026-04-01</t>
        </is>
      </c>
      <c r="G255" t="inlineStr">
        <is>
          <t xml:space="preserve"> - Surfer Suite</t>
        </is>
      </c>
      <c r="H255">
        <f>HYPERLINK("https://booking.roadsurfer.com/es/rally/pick?pickup_date=2026-03-25&amp;return_date=2026-04-01&amp;currency=EUR&amp;startStation=22&amp;endStation=48",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2026-03-26</t>
        </is>
      </c>
      <c r="F256" t="inlineStr">
        <is>
          <t>2026-04-02</t>
        </is>
      </c>
      <c r="G256" t="inlineStr">
        <is>
          <t xml:space="preserve"> - Surfer Suite</t>
        </is>
      </c>
      <c r="H256">
        <f>HYPERLINK("https://booking.roadsurfer.com/es/rally/pick?pickup_date=2026-03-26&amp;return_date=2026-04-02&amp;currency=EUR&amp;startStation=22&amp;endStation=77",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2026-04-07</t>
        </is>
      </c>
      <c r="F257" t="inlineStr">
        <is>
          <t>2026-04-14</t>
        </is>
      </c>
      <c r="G257" t="inlineStr">
        <is>
          <t xml:space="preserve"> - Camper Castle</t>
        </is>
      </c>
      <c r="H257">
        <f>HYPERLINK("https://booking.roadsurfer.com/es/rally/pick?pickup_date=2026-04-07&amp;return_date=2026-04-14&amp;currency=EUR&amp;startStation=22&amp;endStation=77",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Couple Cottage</t>
        </is>
      </c>
      <c r="H258">
        <f>HYPERLINK("https://booking.roadsurfer.com/es/rally/pick?pickup_date=2026-04-23&amp;return_date=2026-04-30&amp;currency=EUR&amp;startStation=22&amp;endStation=77",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2026-03-27</t>
        </is>
      </c>
      <c r="F259" t="inlineStr">
        <is>
          <t>2026-04-03</t>
        </is>
      </c>
      <c r="G259" t="inlineStr">
        <is>
          <t xml:space="preserve"> - No hay coche</t>
        </is>
      </c>
      <c r="H259">
        <f>HYPERLINK("https://booking.roadsurfer.com/es/rally/pick?pickup_date=2026-03-27&amp;return_date=2026-04-03&amp;currency=EUR&amp;startStation=22&amp;endStation=60",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2026-04-06</t>
        </is>
      </c>
      <c r="F261" t="inlineStr">
        <is>
          <t>2026-04-13</t>
        </is>
      </c>
      <c r="G261" t="inlineStr">
        <is>
          <t xml:space="preserve"> - Beach Hostel</t>
        </is>
      </c>
      <c r="H261">
        <f>HYPERLINK("https://booking.roadsurfer.com/es/rally/pick?pickup_date=2026-04-06&amp;return_date=2026-04-13&amp;currency=EUR&amp;startStation=22&amp;endStation=60",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Surfer Suite</t>
        </is>
      </c>
      <c r="H262">
        <f>HYPERLINK("https://booking.roadsurfer.com/es/rally/pick?pickup_date=2026-03-25&amp;return_date=2026-04-01&amp;currency=EUR&amp;startStation=22&amp;endStation=60",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2026-03-24</t>
        </is>
      </c>
      <c r="F263" t="inlineStr">
        <is>
          <t>2026-03-31</t>
        </is>
      </c>
      <c r="G263" t="inlineStr">
        <is>
          <t xml:space="preserve"> - Surfer Suite</t>
        </is>
      </c>
      <c r="H263">
        <f>HYPERLINK("https://booking.roadsurfer.com/es/rally/pick?pickup_date=2026-03-24&amp;return_date=2026-03-31&amp;currency=EUR&amp;startStation=22&amp;endStation=60",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2026-04-02</t>
        </is>
      </c>
      <c r="F264" t="inlineStr">
        <is>
          <t>2026-04-09</t>
        </is>
      </c>
      <c r="G264" t="inlineStr">
        <is>
          <t xml:space="preserve"> - Surfer Suite</t>
        </is>
      </c>
      <c r="H264">
        <f>HYPERLINK("https://booking.roadsurfer.com/es/rally/pick?pickup_date=2026-04-02&amp;return_date=2026-04-09&amp;currency=EUR&amp;startStation=22&amp;endStation=12",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2026-03-26</t>
        </is>
      </c>
      <c r="F265" t="inlineStr">
        <is>
          <t>2026-04-02</t>
        </is>
      </c>
      <c r="G265" t="inlineStr">
        <is>
          <t xml:space="preserve"> - Surfer Suite - Beach Hostel</t>
        </is>
      </c>
      <c r="H265">
        <f>HYPERLINK("https://booking.roadsurfer.com/es/rally/pick?pickup_date=2026-03-26&amp;return_date=2026-04-02&amp;currency=EUR&amp;startStation=22&amp;endStation=94",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Italia</t>
        </is>
      </c>
      <c r="D266" t="inlineStr">
        <is>
          <t>Bérgamo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HYPERLINK("https://booking.roadsurfer.com/es/rally/pick?pickup_date=2026-03-30&amp;return_date=2026-04-06&amp;currency=EUR&amp;startStation=22&amp;endStation=94",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2026-03-30</t>
        </is>
      </c>
      <c r="F267" t="inlineStr">
        <is>
          <t>2026-04-06</t>
        </is>
      </c>
      <c r="G267" t="inlineStr">
        <is>
          <t xml:space="preserve"> - No hay coche</t>
        </is>
      </c>
      <c r="H267">
        <f>HYPERLINK("https://booking.roadsurfer.com/es/rally/pick?pickup_date=2026-03-30&amp;return_date=2026-04-06&amp;currency=EUR&amp;startStation=22&amp;endStation=58",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Aix-Marsella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Beach Hostel</t>
        </is>
      </c>
      <c r="H268">
        <f>HYPERLINK("https://booking.roadsurfer.com/es/rally/pick?pickup_date=2026-03-27&amp;return_date=2026-04-03&amp;currency=EUR&amp;startStation=22&amp;endStation=16",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2026-03-26</t>
        </is>
      </c>
      <c r="F269" t="inlineStr">
        <is>
          <t>2026-04-02</t>
        </is>
      </c>
      <c r="G269" t="inlineStr">
        <is>
          <t xml:space="preserve"> - Surfer Suite</t>
        </is>
      </c>
      <c r="H269">
        <f>HYPERLINK("https://booking.roadsurfer.com/es/rally/pick?pickup_date=2026-03-26&amp;return_date=2026-04-02&amp;currency=EUR&amp;startStation=22&amp;endStation=16",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No hay coche</t>
        </is>
      </c>
      <c r="H270">
        <f>HYPERLINK("https://booking.roadsurfer.com/es/rally/pick?pickup_date=2026-03-28&amp;return_date=2026-04-04&amp;currency=EUR&amp;startStation=22&amp;endStation=40",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2026-03-24</t>
        </is>
      </c>
      <c r="F271" t="inlineStr">
        <is>
          <t>2026-03-31</t>
        </is>
      </c>
      <c r="G271" t="inlineStr">
        <is>
          <t xml:space="preserve"> - Surfer Suite</t>
        </is>
      </c>
      <c r="H271">
        <f>HYPERLINK("https://booking.roadsurfer.com/es/rally/pick?pickup_date=2026-03-24&amp;return_date=2026-03-31&amp;currency=EUR&amp;startStation=22&amp;endStation=40",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2026-04-06</t>
        </is>
      </c>
      <c r="F272" t="inlineStr">
        <is>
          <t>2026-04-13</t>
        </is>
      </c>
      <c r="G272" t="inlineStr">
        <is>
          <t xml:space="preserve"> - Surfer Suite</t>
        </is>
      </c>
      <c r="H272">
        <f>HYPERLINK("https://booking.roadsurfer.com/es/rally/pick?pickup_date=2026-04-06&amp;return_date=2026-04-13&amp;currency=EUR&amp;startStation=22&amp;endStation=40",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Toulouse</t>
        </is>
      </c>
      <c r="E273" t="inlineStr">
        <is>
          <t>2026-03-30</t>
        </is>
      </c>
      <c r="F273" t="inlineStr">
        <is>
          <t>2026-04-06</t>
        </is>
      </c>
      <c r="G273" t="inlineStr">
        <is>
          <t xml:space="preserve"> - No hay coche</t>
        </is>
      </c>
      <c r="H273">
        <f>HYPERLINK("https://booking.roadsurfer.com/es/rally/pick?pickup_date=2026-03-30&amp;return_date=2026-04-06&amp;currency=EUR&amp;startStation=22&amp;endStation=30",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Toulouse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Surfer Suite</t>
        </is>
      </c>
      <c r="H274">
        <f>HYPERLINK("https://booking.roadsurfer.com/es/rally/pick?pickup_date=2026-03-27&amp;return_date=2026-04-03&amp;currency=EUR&amp;startStation=22&amp;endStation=30",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2026-03-30</t>
        </is>
      </c>
      <c r="F275" t="inlineStr">
        <is>
          <t>2026-04-06</t>
        </is>
      </c>
      <c r="G275" t="inlineStr">
        <is>
          <t xml:space="preserve"> - No hay coche</t>
        </is>
      </c>
      <c r="H275">
        <f>HYPERLINK("https://booking.roadsurfer.com/es/rally/pick?pickup_date=2026-03-30&amp;return_date=2026-04-06&amp;currency=EUR&amp;startStation=22&amp;endStation=29",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Roma Aeropuerto Fiumicino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Surfer Suite</t>
        </is>
      </c>
      <c r="H276">
        <f>HYPERLINK("https://booking.roadsurfer.com/es/rally/pick?pickup_date=2026-03-26&amp;return_date=2026-04-02&amp;currency=EUR&amp;startStation=22&amp;endStation=35",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Surfer Suite</t>
        </is>
      </c>
      <c r="H277">
        <f>HYPERLINK("https://booking.roadsurfer.com/es/rally/pick?pickup_date=2026-03-27&amp;return_date=2026-04-03&amp;currency=EUR&amp;startStation=22&amp;endStation=15",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Austria</t>
        </is>
      </c>
      <c r="D278" t="inlineStr">
        <is>
          <t>Viena Sur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Surfer Suite</t>
        </is>
      </c>
      <c r="H278">
        <f>HYPERLINK("https://booking.roadsurfer.com/es/rally/pick?pickup_date=2026-03-25&amp;return_date=2026-04-01&amp;currency=EUR&amp;startStation=22&amp;endStation=45",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2026-04-22</t>
        </is>
      </c>
      <c r="F279" t="inlineStr">
        <is>
          <t>2026-04-29</t>
        </is>
      </c>
      <c r="G279" t="inlineStr">
        <is>
          <t xml:space="preserve"> - Surfer Suite</t>
        </is>
      </c>
      <c r="H279">
        <f>HYPERLINK("https://booking.roadsurfer.com/es/rally/pick?pickup_date=2026-04-22&amp;return_date=2026-04-29&amp;currency=EUR&amp;startStation=22&amp;endStation=47",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Málaga</t>
        </is>
      </c>
      <c r="E280" t="inlineStr">
        <is>
          <t>2026-03-30</t>
        </is>
      </c>
      <c r="F280" t="inlineStr">
        <is>
          <t>2026-04-06</t>
        </is>
      </c>
      <c r="G280" t="inlineStr">
        <is>
          <t xml:space="preserve"> - Surfer Suite</t>
        </is>
      </c>
      <c r="H280">
        <f>HYPERLINK("https://booking.roadsurfer.com/es/rally/pick?pickup_date=2026-03-30&amp;return_date=2026-04-06&amp;currency=EUR&amp;startStation=22&amp;endStation=21",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2026-03-26</t>
        </is>
      </c>
      <c r="F281" t="inlineStr">
        <is>
          <t>2026-04-02</t>
        </is>
      </c>
      <c r="G281" t="inlineStr">
        <is>
          <t xml:space="preserve"> - Road House - Family Finca</t>
        </is>
      </c>
      <c r="H281">
        <f>HYPERLINK("https://booking.roadsurfer.com/es/rally/pick?pickup_date=2026-03-26&amp;return_date=2026-04-02&amp;currency=EUR&amp;startStation=22&amp;endStation=59",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HYPERLINK("https://booking.roadsurfer.com/es/rally/pick?pickup_date=2026-03-30&amp;return_date=2026-04-06&amp;currency=EUR&amp;startStation=22&amp;endStation=59",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2026-05-18</t>
        </is>
      </c>
      <c r="F284" t="inlineStr">
        <is>
          <t>2026-05-25</t>
        </is>
      </c>
      <c r="G284" t="inlineStr">
        <is>
          <t xml:space="preserve"> - Camper Castle</t>
        </is>
      </c>
      <c r="H284">
        <f>HYPERLINK("https://booking.roadsurfer.com/es/rally/pick?pickup_date=2026-05-18&amp;return_date=2026-05-25&amp;currency=EUR&amp;startStation=22&amp;endStation=59",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Barcelona</t>
        </is>
      </c>
      <c r="E285" t="inlineStr">
        <is>
          <t>2026-03-25</t>
        </is>
      </c>
      <c r="F285" t="inlineStr">
        <is>
          <t>2026-04-01</t>
        </is>
      </c>
      <c r="G285" t="inlineStr">
        <is>
          <t xml:space="preserve"> - BEACH HOSTEL</t>
        </is>
      </c>
      <c r="H285">
        <f>HYPERLINK("https://booking.roadsurfer.com/es/rally/pick?pickup_date=2026-03-25&amp;return_date=2026-04-01&amp;currency=EUR&amp;startStation=22&amp;endStation=17",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Barcelona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Sunrise Suite</t>
        </is>
      </c>
      <c r="H286">
        <f>HYPERLINK("https://booking.roadsurfer.com/es/rally/pick?pickup_date=2026-04-13&amp;return_date=2026-04-20&amp;currency=EUR&amp;startStation=22&amp;endStation=17",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2026-04-12</t>
        </is>
      </c>
      <c r="F287" t="inlineStr">
        <is>
          <t>2026-04-19</t>
        </is>
      </c>
      <c r="G287" t="inlineStr">
        <is>
          <t xml:space="preserve"> - No hay coche</t>
        </is>
      </c>
      <c r="H287">
        <f>HYPERLINK("https://booking.roadsurfer.com/es/rally/pick?pickup_date=2026-04-12&amp;return_date=2026-04-19&amp;currency=EUR&amp;startStation=22&amp;endStation=17",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Barcelona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Camper Cabin</t>
        </is>
      </c>
      <c r="H288">
        <f>HYPERLINK("https://booking.roadsurfer.com/es/rally/pick?pickup_date=2026-03-26&amp;return_date=2026-04-02&amp;currency=EUR&amp;startStation=22&amp;endStation=17",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2026-04-16</t>
        </is>
      </c>
      <c r="F289" t="inlineStr">
        <is>
          <t>2026-04-23</t>
        </is>
      </c>
      <c r="G289" t="inlineStr">
        <is>
          <t xml:space="preserve"> - Surfer Suite</t>
        </is>
      </c>
      <c r="H289">
        <f>HYPERLINK("https://booking.roadsurfer.com/es/rally/pick?pickup_date=2026-04-16&amp;return_date=2026-04-23&amp;currency=EUR&amp;startStation=22&amp;endStation=17",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Lille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Beach Hostel</t>
        </is>
      </c>
      <c r="H290">
        <f>HYPERLINK("https://booking.roadsurfer.com/es/rally/pick?pickup_date=2026-03-27&amp;return_date=2026-04-03&amp;currency=EUR&amp;startStation=22&amp;endStation=87",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Lille</t>
        </is>
      </c>
      <c r="E291" t="inlineStr">
        <is>
          <t>2026-03-26</t>
        </is>
      </c>
      <c r="F291" t="inlineStr">
        <is>
          <t>2026-04-02</t>
        </is>
      </c>
      <c r="G291" t="inlineStr">
        <is>
          <t xml:space="preserve"> - Beach Hostel</t>
        </is>
      </c>
      <c r="H291">
        <f>HYPERLINK("https://booking.roadsurfer.com/es/rally/pick?pickup_date=2026-03-26&amp;return_date=2026-04-02&amp;currency=EUR&amp;startStation=22&amp;endStation=87",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No hay coche</t>
        </is>
      </c>
      <c r="H292">
        <f>HYPERLINK("https://booking.roadsurfer.com/es/rally/pick?pickup_date=2026-03-27&amp;return_date=2026-04-03&amp;currency=EUR&amp;startStation=22&amp;endStation=34",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Austria</t>
        </is>
      </c>
      <c r="D293" t="inlineStr">
        <is>
          <t>Viena</t>
        </is>
      </c>
      <c r="E293" t="inlineStr">
        <is>
          <t>2026-04-08</t>
        </is>
      </c>
      <c r="F293" t="inlineStr">
        <is>
          <t>2026-04-15</t>
        </is>
      </c>
      <c r="G293" t="inlineStr">
        <is>
          <t xml:space="preserve"> - Beach Hostel</t>
        </is>
      </c>
      <c r="H293">
        <f>HYPERLINK("https://booking.roadsurfer.com/es/rally/pick?pickup_date=2026-04-08&amp;return_date=2026-04-15&amp;currency=EUR&amp;startStation=22&amp;endStation=36",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Austria</t>
        </is>
      </c>
      <c r="D294" t="inlineStr">
        <is>
          <t>Viena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HYPERLINK("https://booking.roadsurfer.com/es/rally/pick?pickup_date=2026-03-30&amp;return_date=2026-04-06&amp;currency=EUR&amp;startStation=22&amp;endStation=36",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2026-04-24</t>
        </is>
      </c>
      <c r="F295" t="inlineStr">
        <is>
          <t>2026-05-01</t>
        </is>
      </c>
      <c r="G295" t="inlineStr">
        <is>
          <t xml:space="preserve"> - No hay coche</t>
        </is>
      </c>
      <c r="H295">
        <f>HYPERLINK("https://booking.roadsurfer.com/es/rally/pick?pickup_date=2026-04-24&amp;return_date=2026-05-01&amp;currency=EUR&amp;startStation=22&amp;endStation=80",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Florencia</t>
        </is>
      </c>
      <c r="E296" t="inlineStr">
        <is>
          <t>2026-04-06</t>
        </is>
      </c>
      <c r="F296" t="inlineStr">
        <is>
          <t>2026-04-13</t>
        </is>
      </c>
      <c r="G296" t="inlineStr">
        <is>
          <t xml:space="preserve"> - Beach Hostel</t>
        </is>
      </c>
      <c r="H296">
        <f>HYPERLINK("https://booking.roadsurfer.com/es/rally/pick?pickup_date=2026-04-06&amp;return_date=2026-04-13&amp;currency=EUR&amp;startStation=22&amp;endStation=80",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Camper Cabin</t>
        </is>
      </c>
      <c r="H297">
        <f>HYPERLINK("https://booking.roadsurfer.com/es/rally/pick?pickup_date=2026-03-27&amp;return_date=2026-04-03&amp;currency=EUR&amp;startStation=22&amp;endStation=13", "Clic para verlo en la web de RoadSurfer")</f>
        <v/>
      </c>
    </row>
    <row r="298">
      <c r="A298" t="inlineStr">
        <is>
          <t>Italia</t>
        </is>
      </c>
      <c r="B298" t="inlineStr">
        <is>
          <t>Milán</t>
        </is>
      </c>
      <c r="C298" t="inlineStr">
        <is>
          <t>Alemania</t>
        </is>
      </c>
      <c r="D298" t="inlineStr">
        <is>
          <t>Wurzburgo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No hay coche</t>
        </is>
      </c>
      <c r="H298">
        <f>HYPERLINK("https://booking.roadsurfer.com/es/rally/pick?pickup_date=2026-05-04&amp;return_date=2026-05-11&amp;currency=EUR&amp;startStation=34&amp;endStation=115",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Niza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Surfer Suite</t>
        </is>
      </c>
      <c r="H299">
        <f>HYPERLINK("https://booking.roadsurfer.com/es/rally/pick?pickup_date=2026-04-23&amp;return_date=2026-04-30&amp;currency=EUR&amp;startStation=1&amp;endStation=88",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2026-04-15</t>
        </is>
      </c>
      <c r="F300" t="inlineStr">
        <is>
          <t>2026-04-22</t>
        </is>
      </c>
      <c r="G300" t="inlineStr">
        <is>
          <t xml:space="preserve"> - Camper Cabin</t>
        </is>
      </c>
      <c r="H300">
        <f>HYPERLINK("https://booking.roadsurfer.com/es/rally/pick?pickup_date=2026-04-15&amp;return_date=2026-04-22&amp;currency=EUR&amp;startStation=1&amp;endStation=40",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Italia</t>
        </is>
      </c>
      <c r="D301" t="inlineStr">
        <is>
          <t>Bérgamo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Couple Cottage</t>
        </is>
      </c>
      <c r="H301">
        <f>HYPERLINK("https://booking.roadsurfer.com/es/rally/pick?pickup_date=2026-04-20&amp;return_date=2026-04-27&amp;currency=EUR&amp;startStation=1&amp;endStation=94",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Italia</t>
        </is>
      </c>
      <c r="D302" t="inlineStr">
        <is>
          <t>Bérgamo</t>
        </is>
      </c>
      <c r="E302" t="inlineStr">
        <is>
          <t>2026-05-02</t>
        </is>
      </c>
      <c r="F302" t="inlineStr">
        <is>
          <t>2026-05-09</t>
        </is>
      </c>
      <c r="G302" t="inlineStr">
        <is>
          <t xml:space="preserve"> - Road House</t>
        </is>
      </c>
      <c r="H302">
        <f>HYPERLINK("https://booking.roadsurfer.com/es/rally/pick?pickup_date=2026-05-02&amp;return_date=2026-05-09&amp;currency=EUR&amp;startStation=1&amp;endStation=94",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Francia</t>
        </is>
      </c>
      <c r="D303" t="inlineStr">
        <is>
          <t>Lille</t>
        </is>
      </c>
      <c r="E303" t="inlineStr">
        <is>
          <t>2026-04-09</t>
        </is>
      </c>
      <c r="F303" t="inlineStr">
        <is>
          <t>2026-04-16</t>
        </is>
      </c>
      <c r="G303" t="inlineStr">
        <is>
          <t xml:space="preserve"> - COZY COTTAGE</t>
        </is>
      </c>
      <c r="H303">
        <f>HYPERLINK("https://booking.roadsurfer.com/es/rally/pick?pickup_date=2026-04-09&amp;return_date=2026-04-16&amp;currency=EUR&amp;startStation=1&amp;endStation=87",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Lille</t>
        </is>
      </c>
      <c r="E304" t="inlineStr">
        <is>
          <t>2026-03-27</t>
        </is>
      </c>
      <c r="F304" t="inlineStr">
        <is>
          <t>2026-04-03</t>
        </is>
      </c>
      <c r="G304" t="inlineStr">
        <is>
          <t xml:space="preserve"> - Road House</t>
        </is>
      </c>
      <c r="H304">
        <f>HYPERLINK("https://booking.roadsurfer.com/es/rally/pick?pickup_date=2026-03-27&amp;return_date=2026-04-03&amp;currency=EUR&amp;startStation=1&amp;endStation=87",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España</t>
        </is>
      </c>
      <c r="D305" t="inlineStr">
        <is>
          <t>Madrid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Road House</t>
        </is>
      </c>
      <c r="H305">
        <f>HYPERLINK("https://booking.roadsurfer.com/es/rally/pick?pickup_date=2026-03-24&amp;return_date=2026-03-31&amp;currency=EUR&amp;startStation=1&amp;endStation=20",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Francia</t>
        </is>
      </c>
      <c r="D306" t="inlineStr">
        <is>
          <t>Estrasburgo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Camper Castle</t>
        </is>
      </c>
      <c r="H306">
        <f>HYPERLINK("https://booking.roadsurfer.com/es/rally/pick?pickup_date=2026-03-24&amp;return_date=2026-03-31&amp;currency=EUR&amp;startStation=1&amp;endStation=49",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Nantes</t>
        </is>
      </c>
      <c r="E307" t="inlineStr">
        <is>
          <t>2026-04-16</t>
        </is>
      </c>
      <c r="F307" t="inlineStr">
        <is>
          <t>2026-04-23</t>
        </is>
      </c>
      <c r="G307" t="inlineStr">
        <is>
          <t xml:space="preserve"> - Camper Castle</t>
        </is>
      </c>
      <c r="H307">
        <f>HYPERLINK("https://booking.roadsurfer.com/es/rally/pick?pickup_date=2026-04-16&amp;return_date=2026-04-23&amp;currency=EUR&amp;startStation=1&amp;endStation=31",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Camper Castle</t>
        </is>
      </c>
      <c r="H308">
        <f>HYPERLINK("https://booking.roadsurfer.com/es/rally/pick?pickup_date=2026-04-13&amp;return_date=2026-04-20&amp;currency=EUR&amp;startStation=1&amp;endStation=45",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Alemania</t>
        </is>
      </c>
      <c r="D309" t="inlineStr">
        <is>
          <t>Flensburgo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No hay coche</t>
        </is>
      </c>
      <c r="H309">
        <f>HYPERLINK("https://booking.roadsurfer.com/es/rally/pick?pickup_date=2026-04-20&amp;return_date=2026-04-27&amp;currency=EUR&amp;startStation=1&amp;endStation=130",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2026-04-09</t>
        </is>
      </c>
      <c r="F310" t="inlineStr">
        <is>
          <t>2026-04-16</t>
        </is>
      </c>
      <c r="G310" t="inlineStr">
        <is>
          <t xml:space="preserve"> - Couple Cottage</t>
        </is>
      </c>
      <c r="H310">
        <f>HYPERLINK("https://booking.roadsurfer.com/es/rally/pick?pickup_date=2026-04-09&amp;return_date=2026-04-16&amp;currency=EUR&amp;startStation=1&amp;endStation=47",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Alemania</t>
        </is>
      </c>
      <c r="D311" t="inlineStr">
        <is>
          <t>Bochum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HYPERLINK("https://booking.roadsurfer.com/es/rally/pick?pickup_date=2026-03-27&amp;return_date=2026-04-03&amp;currency=EUR&amp;startStation=1&amp;endStation=24",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Burdeos</t>
        </is>
      </c>
      <c r="E312" t="inlineStr">
        <is>
          <t>2026-04-17</t>
        </is>
      </c>
      <c r="F312" t="inlineStr">
        <is>
          <t>2026-04-24</t>
        </is>
      </c>
      <c r="G312" t="inlineStr">
        <is>
          <t xml:space="preserve"> - Sunrise Suite</t>
        </is>
      </c>
      <c r="H312">
        <f>HYPERLINK("https://booking.roadsurfer.com/es/rally/pick?pickup_date=2026-04-17&amp;return_date=2026-04-24&amp;currency=EUR&amp;startStation=1&amp;endStation=13",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París Sur (Orly)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Sunrise Suite</t>
        </is>
      </c>
      <c r="H313">
        <f>HYPERLINK("https://booking.roadsurfer.com/es/rally/pick?pickup_date=2026-04-20&amp;return_date=2026-04-27&amp;currency=EUR&amp;startStation=1&amp;endStation=12", "Clic para verlo en la web de RoadSurfer")</f>
        <v/>
      </c>
    </row>
    <row r="314">
      <c r="A314" t="inlineStr">
        <is>
          <t>Francia</t>
        </is>
      </c>
      <c r="B314" t="inlineStr">
        <is>
          <t>Nantes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2026-03-24</t>
        </is>
      </c>
      <c r="F314" t="inlineStr">
        <is>
          <t>2026-03-31</t>
        </is>
      </c>
      <c r="G314" t="inlineStr">
        <is>
          <t xml:space="preserve"> - Beach Hostel</t>
        </is>
      </c>
      <c r="H314">
        <f>HYPERLINK("https://booking.roadsurfer.com/es/rally/pick?pickup_date=2026-03-24&amp;return_date=2026-03-31&amp;currency=EUR&amp;startStation=31&amp;endStation=91", "Clic para verlo en la web de RoadSurfer")</f>
        <v/>
      </c>
    </row>
    <row r="315">
      <c r="A315" t="inlineStr">
        <is>
          <t>Francia</t>
        </is>
      </c>
      <c r="B315" t="inlineStr">
        <is>
          <t>Nantes</t>
        </is>
      </c>
      <c r="C315" t="inlineStr">
        <is>
          <t>Alemania</t>
        </is>
      </c>
      <c r="D315" t="inlineStr">
        <is>
          <t>Ulm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Beach Hostel</t>
        </is>
      </c>
      <c r="H315">
        <f>HYPERLINK("https://booking.roadsurfer.com/es/rally/pick?pickup_date=2026-04-14&amp;return_date=2026-04-21&amp;currency=EUR&amp;startStation=31&amp;endStation=112", "Clic para verlo en la web de RoadSurfer")</f>
        <v/>
      </c>
    </row>
    <row r="316">
      <c r="A316" t="inlineStr">
        <is>
          <t>Francia</t>
        </is>
      </c>
      <c r="B316" t="inlineStr">
        <is>
          <t>Nantes</t>
        </is>
      </c>
      <c r="C316" t="inlineStr">
        <is>
          <t>Alemania</t>
        </is>
      </c>
      <c r="D316" t="inlineStr">
        <is>
          <t>Aquisgrán</t>
        </is>
      </c>
      <c r="E316" t="inlineStr">
        <is>
          <t>2026-04-13</t>
        </is>
      </c>
      <c r="F316" t="inlineStr">
        <is>
          <t>2026-04-20</t>
        </is>
      </c>
      <c r="G316" t="inlineStr">
        <is>
          <t xml:space="preserve"> - Travel Home</t>
        </is>
      </c>
      <c r="H316">
        <f>HYPERLINK("https://booking.roadsurfer.com/es/rally/pick?pickup_date=2026-04-13&amp;return_date=2026-04-20&amp;currency=EUR&amp;startStation=31&amp;endStation=114", "Clic para verlo en la web de RoadSurfer")</f>
        <v/>
      </c>
    </row>
    <row r="317">
      <c r="A317" t="inlineStr">
        <is>
          <t>Alemania</t>
        </is>
      </c>
      <c r="B317" t="inlineStr">
        <is>
          <t>Núremberg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Camper Castle</t>
        </is>
      </c>
      <c r="H317">
        <f>HYPERLINK("https://booking.roadsurfer.com/es/rally/pick?pickup_date=2026-04-14&amp;return_date=2026-04-21&amp;currency=EUR&amp;startStation=11&amp;endStation=30",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Berlín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Surfer Suite</t>
        </is>
      </c>
      <c r="H318">
        <f>HYPERLINK("https://booking.roadsurfer.com/es/rally/pick?pickup_date=2026-04-20&amp;return_date=2026-04-27&amp;currency=EUR&amp;startStation=12&amp;endStation=6",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Aquisgrán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Camper Cabin</t>
        </is>
      </c>
      <c r="H319">
        <f>HYPERLINK("https://booking.roadsurfer.com/es/rally/pick?pickup_date=2026-05-04&amp;return_date=2026-05-11&amp;currency=EUR&amp;startStation=12&amp;endStation=114",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Karlsruhe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Camper Cabin</t>
        </is>
      </c>
      <c r="H320">
        <f>HYPERLINK("https://booking.roadsurfer.com/es/rally/pick?pickup_date=2026-05-04&amp;return_date=2026-05-11&amp;currency=EUR&amp;startStation=12&amp;endStation=110", "Clic para verlo en la web de RoadSurfer")</f>
        <v/>
      </c>
    </row>
    <row r="321">
      <c r="A321" t="inlineStr">
        <is>
          <t>Francia</t>
        </is>
      </c>
      <c r="B321" t="inlineStr">
        <is>
          <t>París Aeropuerto CDG</t>
        </is>
      </c>
      <c r="C321" t="inlineStr">
        <is>
          <t>Francia</t>
        </is>
      </c>
      <c r="D321" t="inlineStr">
        <is>
          <t>Aix-Marsella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Couple Cottage</t>
        </is>
      </c>
      <c r="H321">
        <f>HYPERLINK("https://booking.roadsurfer.com/es/rally/pick?pickup_date=2026-04-20&amp;return_date=2026-04-27&amp;currency=EUR&amp;startStation=48&amp;endStation=16", "Clic para verlo en la web de RoadSurfer")</f>
        <v/>
      </c>
    </row>
    <row r="322">
      <c r="A322" t="inlineStr">
        <is>
          <t>Francia</t>
        </is>
      </c>
      <c r="B322" t="inlineStr">
        <is>
          <t>París Aeropuerto CDG</t>
        </is>
      </c>
      <c r="C322" t="inlineStr">
        <is>
          <t>Alemania</t>
        </is>
      </c>
      <c r="D322" t="inlineStr">
        <is>
          <t>Aquisgrán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HYPERLINK("https://booking.roadsurfer.com/es/rally/pick?pickup_date=2026-05-04&amp;return_date=2026-05-11&amp;currency=EUR&amp;startStation=48&amp;endStation=114", "Clic para verlo en la web de RoadSurfer")</f>
        <v/>
      </c>
    </row>
    <row r="323">
      <c r="A323" t="inlineStr">
        <is>
          <t>Francia</t>
        </is>
      </c>
      <c r="B323" t="inlineStr">
        <is>
          <t>París Aeropuerto CDG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Family Finca</t>
        </is>
      </c>
      <c r="H323">
        <f>HYPERLINK("https://booking.roadsurfer.com/es/rally/pick?pickup_date=2026-04-13&amp;return_date=2026-04-20&amp;currency=EUR&amp;startStation=48&amp;endStation=5", "Clic para verlo en la web de RoadSurfer")</f>
        <v/>
      </c>
    </row>
    <row r="324">
      <c r="A324" t="inlineStr">
        <is>
          <t>EE.UU.</t>
        </is>
      </c>
      <c r="B324" t="inlineStr">
        <is>
          <t>Phoenix</t>
        </is>
      </c>
      <c r="C324" t="inlineStr">
        <is>
          <t>EE.UU.</t>
        </is>
      </c>
      <c r="D324" t="inlineStr">
        <is>
          <t>Dallas</t>
        </is>
      </c>
      <c r="E324" t="inlineStr">
        <is>
          <t>2026-03-31</t>
        </is>
      </c>
      <c r="F324" t="inlineStr">
        <is>
          <t>2026-04-07</t>
        </is>
      </c>
      <c r="G324" t="inlineStr">
        <is>
          <t xml:space="preserve"> - Couple Condo</t>
        </is>
      </c>
      <c r="H324">
        <f>HYPERLINK("https://booking.roadsurfer.com/es/rally/pick?pickup_date=2026-03-31&amp;return_date=2026-04-07&amp;currency=EUR&amp;startStation=105&amp;endStation=125", "Clic para verlo en la web de RoadSurfer")</f>
        <v/>
      </c>
    </row>
    <row r="325">
      <c r="A325" t="inlineStr">
        <is>
          <t>Alemania</t>
        </is>
      </c>
      <c r="B325" t="inlineStr">
        <is>
          <t>Ratisbona</t>
        </is>
      </c>
      <c r="C325" t="inlineStr">
        <is>
          <t>Alemania</t>
        </is>
      </c>
      <c r="D325" t="inlineStr">
        <is>
          <t>Bremen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HYPERLINK("https://booking.roadsurfer.com/es/rally/pick?pickup_date=2026-03-30&amp;return_date=2026-04-06&amp;currency=EUR&amp;startStation=89&amp;endStation=55", "Clic para verlo en la web de RoadSurfer")</f>
        <v/>
      </c>
    </row>
    <row r="326">
      <c r="A326" t="inlineStr">
        <is>
          <t>Alemania</t>
        </is>
      </c>
      <c r="B326" t="inlineStr">
        <is>
          <t>Ratisbona</t>
        </is>
      </c>
      <c r="C326" t="inlineStr">
        <is>
          <t>Alemania</t>
        </is>
      </c>
      <c r="D326" t="inlineStr">
        <is>
          <t>Karlsruhe</t>
        </is>
      </c>
      <c r="E326" t="inlineStr">
        <is>
          <t>2026-04-27</t>
        </is>
      </c>
      <c r="F326" t="inlineStr">
        <is>
          <t>2026-05-04</t>
        </is>
      </c>
      <c r="G326" t="inlineStr">
        <is>
          <t xml:space="preserve"> - Surfer Suite</t>
        </is>
      </c>
      <c r="H326">
        <f>HYPERLINK("https://booking.roadsurfer.com/es/rally/pick?pickup_date=2026-04-27&amp;return_date=2026-05-04&amp;currency=EUR&amp;startStation=89&amp;endStation=110",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Surfer Suite</t>
        </is>
      </c>
      <c r="H327">
        <f>HYPERLINK("https://booking.roadsurfer.com/es/rally/pick?pickup_date=2026-03-24&amp;return_date=2026-03-31&amp;currency=EUR&amp;startStation=59&amp;endStation=22",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2026-04-02</t>
        </is>
      </c>
      <c r="F328" t="inlineStr">
        <is>
          <t>2026-04-09</t>
        </is>
      </c>
      <c r="G328" t="inlineStr">
        <is>
          <t xml:space="preserve"> - Surfer Suite</t>
        </is>
      </c>
      <c r="H328">
        <f>HYPERLINK("https://booking.roadsurfer.com/es/rally/pick?pickup_date=2026-04-02&amp;return_date=2026-04-09&amp;currency=EUR&amp;startStation=59&amp;endStation=11",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2026-03-30</t>
        </is>
      </c>
      <c r="F329" t="inlineStr">
        <is>
          <t>2026-04-06</t>
        </is>
      </c>
      <c r="G329" t="inlineStr">
        <is>
          <t xml:space="preserve"> - No hay coche</t>
        </is>
      </c>
      <c r="H329">
        <f>HYPERLINK("https://booking.roadsurfer.com/es/rally/pick?pickup_date=2026-03-30&amp;return_date=2026-04-06&amp;currency=EUR&amp;startStation=59&amp;endStation=11",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Ratisbona</t>
        </is>
      </c>
      <c r="E330" t="inlineStr">
        <is>
          <t>2026-03-26</t>
        </is>
      </c>
      <c r="F330" t="inlineStr">
        <is>
          <t>2026-04-02</t>
        </is>
      </c>
      <c r="G330" t="inlineStr">
        <is>
          <t xml:space="preserve"> - Camper Castle</t>
        </is>
      </c>
      <c r="H330">
        <f>HYPERLINK("https://booking.roadsurfer.com/es/rally/pick?pickup_date=2026-03-26&amp;return_date=2026-04-02&amp;currency=EUR&amp;startStation=59&amp;endStation=89",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Ratisbona</t>
        </is>
      </c>
      <c r="E331" t="inlineStr">
        <is>
          <t>2026-03-28</t>
        </is>
      </c>
      <c r="F331" t="inlineStr">
        <is>
          <t>2026-04-04</t>
        </is>
      </c>
      <c r="G331" t="inlineStr">
        <is>
          <t xml:space="preserve"> - Surfer Suite</t>
        </is>
      </c>
      <c r="H331">
        <f>HYPERLINK("https://booking.roadsurfer.com/es/rally/pick?pickup_date=2026-03-28&amp;return_date=2026-04-04&amp;currency=EUR&amp;startStation=59&amp;endStation=89",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Couple Cottage</t>
        </is>
      </c>
      <c r="H332">
        <f>HYPERLINK("https://booking.roadsurfer.com/es/rally/pick?pickup_date=2026-04-14&amp;return_date=2026-04-21&amp;currency=EUR&amp;startStation=59&amp;endStation=90",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Sunrise Suite</t>
        </is>
      </c>
      <c r="H333">
        <f>HYPERLINK("https://booking.roadsurfer.com/es/rally/pick?pickup_date=2026-03-24&amp;return_date=2026-03-31&amp;currency=EUR&amp;startStation=59&amp;endStation=90",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Road House</t>
        </is>
      </c>
      <c r="H334">
        <f>HYPERLINK("https://booking.roadsurfer.com/es/rally/pick?pickup_date=2026-04-16&amp;return_date=2026-04-23&amp;currency=EUR&amp;startStation=59&amp;endStation=90",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2026-03-25</t>
        </is>
      </c>
      <c r="F335" t="inlineStr">
        <is>
          <t>2026-04-01</t>
        </is>
      </c>
      <c r="G335" t="inlineStr">
        <is>
          <t xml:space="preserve"> - Surfer Suite</t>
        </is>
      </c>
      <c r="H335">
        <f>HYPERLINK("https://booking.roadsurfer.com/es/rally/pick?pickup_date=2026-03-25&amp;return_date=2026-04-01&amp;currency=EUR&amp;startStation=59&amp;endStation=90",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Berlín</t>
        </is>
      </c>
      <c r="E336" t="inlineStr">
        <is>
          <t>2026-03-27</t>
        </is>
      </c>
      <c r="F336" t="inlineStr">
        <is>
          <t>2026-04-03</t>
        </is>
      </c>
      <c r="G336" t="inlineStr">
        <is>
          <t xml:space="preserve"> - No hay coche</t>
        </is>
      </c>
      <c r="H336">
        <f>HYPERLINK("https://booking.roadsurfer.com/es/rally/pick?pickup_date=2026-03-27&amp;return_date=2026-04-03&amp;currency=EUR&amp;startStation=59&amp;endStation=6",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Camper Castle</t>
        </is>
      </c>
      <c r="H337">
        <f>HYPERLINK("https://booking.roadsurfer.com/es/rally/pick?pickup_date=2026-04-14&amp;return_date=2026-04-21&amp;currency=EUR&amp;startStation=59&amp;endStation=110",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2026-03-31</t>
        </is>
      </c>
      <c r="F338" t="inlineStr">
        <is>
          <t>2026-04-07</t>
        </is>
      </c>
      <c r="G338" t="inlineStr">
        <is>
          <t xml:space="preserve"> - Surfer Suite</t>
        </is>
      </c>
      <c r="H338">
        <f>HYPERLINK("https://booking.roadsurfer.com/es/rally/pick?pickup_date=2026-03-31&amp;return_date=2026-04-07&amp;currency=EUR&amp;startStation=59&amp;endStation=110",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Road House</t>
        </is>
      </c>
      <c r="H339">
        <f>HYPERLINK("https://booking.roadsurfer.com/es/rally/pick?pickup_date=2026-04-14&amp;return_date=2026-04-21&amp;currency=EUR&amp;startStation=59&amp;endStation=91",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2026-03-24</t>
        </is>
      </c>
      <c r="F340" t="inlineStr">
        <is>
          <t>2026-03-31</t>
        </is>
      </c>
      <c r="G340" t="inlineStr">
        <is>
          <t xml:space="preserve"> - Beach Hostel</t>
        </is>
      </c>
      <c r="H340">
        <f>HYPERLINK("https://booking.roadsurfer.com/es/rally/pick?pickup_date=2026-03-24&amp;return_date=2026-03-31&amp;currency=EUR&amp;startStation=59&amp;endStation=91",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Sunrise Suite</t>
        </is>
      </c>
      <c r="H341">
        <f>HYPERLINK("https://booking.roadsurfer.com/es/rally/pick?pickup_date=2026-05-04&amp;return_date=2026-05-11&amp;currency=EUR&amp;startStation=59&amp;endStation=91",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2026-04-06</t>
        </is>
      </c>
      <c r="F342" t="inlineStr">
        <is>
          <t>2026-04-13</t>
        </is>
      </c>
      <c r="G342" t="inlineStr">
        <is>
          <t xml:space="preserve"> - No hay coche</t>
        </is>
      </c>
      <c r="H342">
        <f>HYPERLINK("https://booking.roadsurfer.com/es/rally/pick?pickup_date=2026-04-06&amp;return_date=2026-04-13&amp;currency=EUR&amp;startStation=59&amp;endStation=91",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Road House</t>
        </is>
      </c>
      <c r="H343">
        <f>HYPERLINK("https://booking.roadsurfer.com/es/rally/pick?pickup_date=2026-04-13&amp;return_date=2026-04-20&amp;currency=EUR&amp;startStation=59&amp;endStation=91",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2026-03-25</t>
        </is>
      </c>
      <c r="F344" t="inlineStr">
        <is>
          <t>2026-04-01</t>
        </is>
      </c>
      <c r="G344" t="inlineStr">
        <is>
          <t xml:space="preserve"> - BEACH HOSTEL</t>
        </is>
      </c>
      <c r="H344">
        <f>HYPERLINK("https://booking.roadsurfer.com/es/rally/pick?pickup_date=2026-03-25&amp;return_date=2026-04-01&amp;currency=EUR&amp;startStation=59&amp;endStation=55",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Dresde</t>
        </is>
      </c>
      <c r="E345" t="inlineStr">
        <is>
          <t>2026-03-24</t>
        </is>
      </c>
      <c r="F345" t="inlineStr">
        <is>
          <t>2026-03-31</t>
        </is>
      </c>
      <c r="G345" t="inlineStr">
        <is>
          <t xml:space="preserve"> - Road House</t>
        </is>
      </c>
      <c r="H345">
        <f>HYPERLINK("https://booking.roadsurfer.com/es/rally/pick?pickup_date=2026-03-24&amp;return_date=2026-03-31&amp;currency=EUR&amp;startStation=59&amp;endStation=56",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Colonia-Bonn</t>
        </is>
      </c>
      <c r="E346" t="inlineStr">
        <is>
          <t>2026-04-06</t>
        </is>
      </c>
      <c r="F346" t="inlineStr">
        <is>
          <t>2026-04-13</t>
        </is>
      </c>
      <c r="G346" t="inlineStr">
        <is>
          <t xml:space="preserve"> - No hay coche</t>
        </is>
      </c>
      <c r="H346">
        <f>HYPERLINK("https://booking.roadsurfer.com/es/rally/pick?pickup_date=2026-04-06&amp;return_date=2026-04-13&amp;currency=EUR&amp;startStation=59&amp;endStation=52",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Augsburgo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Camper Castle</t>
        </is>
      </c>
      <c r="H347">
        <f>HYPERLINK("https://booking.roadsurfer.com/es/rally/pick?pickup_date=2026-04-15&amp;return_date=2026-04-22&amp;currency=EUR&amp;startStation=59&amp;endStation=108",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Lindau-Wangen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Camper Castle</t>
        </is>
      </c>
      <c r="H348">
        <f>HYPERLINK("https://booking.roadsurfer.com/es/rally/pick?pickup_date=2026-04-15&amp;return_date=2026-04-22&amp;currency=EUR&amp;startStation=59&amp;endStation=117",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2026-04-14</t>
        </is>
      </c>
      <c r="F349" t="inlineStr">
        <is>
          <t>2026-04-21</t>
        </is>
      </c>
      <c r="G349" t="inlineStr">
        <is>
          <t xml:space="preserve"> - Family Finca</t>
        </is>
      </c>
      <c r="H349">
        <f>HYPERLINK("https://booking.roadsurfer.com/es/rally/pick?pickup_date=2026-04-14&amp;return_date=2026-04-21&amp;currency=EUR&amp;startStation=59&amp;endStation=51",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Flensburgo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No hay coche</t>
        </is>
      </c>
      <c r="H350">
        <f>HYPERLINK("https://booking.roadsurfer.com/es/rally/pick?pickup_date=2026-04-20&amp;return_date=2026-04-27&amp;currency=EUR&amp;startStation=59&amp;endStation=130",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Francia</t>
        </is>
      </c>
      <c r="D351" t="inlineStr">
        <is>
          <t>Nantes</t>
        </is>
      </c>
      <c r="E351" t="inlineStr">
        <is>
          <t>2026-04-15</t>
        </is>
      </c>
      <c r="F351" t="inlineStr">
        <is>
          <t>2026-04-22</t>
        </is>
      </c>
      <c r="G351" t="inlineStr">
        <is>
          <t xml:space="preserve"> - Family Finca</t>
        </is>
      </c>
      <c r="H351">
        <f>HYPERLINK("https://booking.roadsurfer.com/es/rally/pick?pickup_date=2026-04-15&amp;return_date=2026-04-22&amp;currency=EUR&amp;startStation=5&amp;endStation=31",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Camper Cabin</t>
        </is>
      </c>
      <c r="H352">
        <f>HYPERLINK("https://booking.roadsurfer.com/es/rally/pick?pickup_date=2026-04-13&amp;return_date=2026-04-20&amp;currency=EUR&amp;startStation=5&amp;endStation=31",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Francia</t>
        </is>
      </c>
      <c r="D353" t="inlineStr">
        <is>
          <t>Lille</t>
        </is>
      </c>
      <c r="E353" t="inlineStr">
        <is>
          <t>2026-04-20</t>
        </is>
      </c>
      <c r="F353" t="inlineStr">
        <is>
          <t>2026-04-27</t>
        </is>
      </c>
      <c r="G353" t="inlineStr">
        <is>
          <t xml:space="preserve"> - No hay coche</t>
        </is>
      </c>
      <c r="H353">
        <f>HYPERLINK("https://booking.roadsurfer.com/es/rally/pick?pickup_date=2026-04-20&amp;return_date=2026-04-27&amp;currency=EUR&amp;startStation=5&amp;endStation=87", "Clic para verlo en la web de RoadSurfer")</f>
        <v/>
      </c>
    </row>
    <row r="354">
      <c r="A354" t="inlineStr">
        <is>
          <t>Alemania</t>
        </is>
      </c>
      <c r="B354" t="inlineStr">
        <is>
          <t>Stuttgart</t>
        </is>
      </c>
      <c r="C354" t="inlineStr">
        <is>
          <t>Italia</t>
        </is>
      </c>
      <c r="D354" t="inlineStr">
        <is>
          <t>Milán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Couple Cottage</t>
        </is>
      </c>
      <c r="H354">
        <f>HYPERLINK("https://booking.roadsurfer.com/es/rally/pick?pickup_date=2026-04-14&amp;return_date=2026-04-21&amp;currency=EUR&amp;startStation=5&amp;endStation=34", "Clic para verlo en la web de RoadSurfer")</f>
        <v/>
      </c>
    </row>
    <row r="355">
      <c r="A355" t="inlineStr">
        <is>
          <t>Alemania</t>
        </is>
      </c>
      <c r="B355" t="inlineStr">
        <is>
          <t>Stuttgart</t>
        </is>
      </c>
      <c r="C355" t="inlineStr">
        <is>
          <t>España</t>
        </is>
      </c>
      <c r="D355" t="inlineStr">
        <is>
          <t>Barcelona</t>
        </is>
      </c>
      <c r="E355" t="inlineStr">
        <is>
          <t>2026-04-10</t>
        </is>
      </c>
      <c r="F355" t="inlineStr">
        <is>
          <t>2026-04-17</t>
        </is>
      </c>
      <c r="G355" t="inlineStr">
        <is>
          <t xml:space="preserve"> - Road House</t>
        </is>
      </c>
      <c r="H355">
        <f>HYPERLINK("https://booking.roadsurfer.com/es/rally/pick?pickup_date=2026-04-10&amp;return_date=2026-04-17&amp;currency=EUR&amp;startStation=5&amp;endStation=17", "Clic para verlo en la web de RoadSurfer")</f>
        <v/>
      </c>
    </row>
    <row r="356">
      <c r="A356" t="inlineStr">
        <is>
          <t>Alemania</t>
        </is>
      </c>
      <c r="B356" t="inlineStr">
        <is>
          <t>Stuttgart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Camper Cabin</t>
        </is>
      </c>
      <c r="H356">
        <f>HYPERLINK("https://booking.roadsurfer.com/es/rally/pick?pickup_date=2026-04-13&amp;return_date=2026-04-20&amp;currency=EUR&amp;startStation=5&amp;endStation=40", "Clic para verlo en la web de RoadSurfer")</f>
        <v/>
      </c>
    </row>
    <row r="357">
      <c r="A357" t="inlineStr">
        <is>
          <t>Alemania</t>
        </is>
      </c>
      <c r="B357" t="inlineStr">
        <is>
          <t>Stuttgart</t>
        </is>
      </c>
      <c r="C357" t="inlineStr">
        <is>
          <t>Alemania</t>
        </is>
      </c>
      <c r="D357" t="inlineStr">
        <is>
          <t>Aquisgrán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No hay coche</t>
        </is>
      </c>
      <c r="H357">
        <f>HYPERLINK("https://booking.roadsurfer.com/es/rally/pick?pickup_date=2026-04-23&amp;return_date=2026-04-30&amp;currency=EUR&amp;startStation=5&amp;endStation=114", "Clic para verlo en la web de RoadSurfer")</f>
        <v/>
      </c>
    </row>
    <row r="358">
      <c r="A358" t="inlineStr">
        <is>
          <t>Alemania</t>
        </is>
      </c>
      <c r="B358" t="inlineStr">
        <is>
          <t>Stuttgart</t>
        </is>
      </c>
      <c r="C358" t="inlineStr">
        <is>
          <t>Alemania</t>
        </is>
      </c>
      <c r="D358" t="inlineStr">
        <is>
          <t>Berlín-Schönefeld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Van Villa</t>
        </is>
      </c>
      <c r="H358">
        <f>HYPERLINK("https://booking.roadsurfer.com/es/rally/pick?pickup_date=2026-04-27&amp;return_date=2026-05-04&amp;currency=EUR&amp;startStation=5&amp;endStation=51",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Salt Lake City</t>
        </is>
      </c>
      <c r="E359" t="inlineStr">
        <is>
          <t>2026-04-22</t>
        </is>
      </c>
      <c r="F359" t="inlineStr">
        <is>
          <t>2026-05-06</t>
        </is>
      </c>
      <c r="G359" t="inlineStr">
        <is>
          <t xml:space="preserve"> - Family Freedom</t>
        </is>
      </c>
      <c r="H359">
        <f>HYPERLINK("https://booking.roadsurfer.com/es/rally/pick?pickup_date=2026-04-22&amp;return_date=2026-05-06&amp;currency=EUR&amp;startStation=74&amp;endStation=106",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Salt Lake City</t>
        </is>
      </c>
      <c r="E360" t="inlineStr">
        <is>
          <t>2026-04-20</t>
        </is>
      </c>
      <c r="F360" t="inlineStr">
        <is>
          <t>2026-05-04</t>
        </is>
      </c>
      <c r="G360" t="inlineStr">
        <is>
          <t xml:space="preserve"> - Family Freedom</t>
        </is>
      </c>
      <c r="H360">
        <f>HYPERLINK("https://booking.roadsurfer.com/es/rally/pick?pickup_date=2026-04-20&amp;return_date=2026-05-04&amp;currency=EUR&amp;startStation=74&amp;endStation=106",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Seattle</t>
        </is>
      </c>
      <c r="E361" t="inlineStr">
        <is>
          <t>2026-04-21</t>
        </is>
      </c>
      <c r="F361" t="inlineStr">
        <is>
          <t>2026-05-05</t>
        </is>
      </c>
      <c r="G361" t="inlineStr">
        <is>
          <t xml:space="preserve"> - Family Freedom</t>
        </is>
      </c>
      <c r="H361">
        <f>HYPERLINK("https://booking.roadsurfer.com/es/rally/pick?pickup_date=2026-04-21&amp;return_date=2026-05-05&amp;currency=EUR&amp;startStation=74&amp;endStation=107", "Clic para verlo en la web de RoadSurfer")</f>
        <v/>
      </c>
    </row>
    <row r="362">
      <c r="A362" t="inlineStr">
        <is>
          <t>EE.UU.</t>
        </is>
      </c>
      <c r="B362" t="inlineStr">
        <is>
          <t>Thor Industries, Elkhart</t>
        </is>
      </c>
      <c r="C362" t="inlineStr">
        <is>
          <t>EE.UU.</t>
        </is>
      </c>
      <c r="D362" t="inlineStr">
        <is>
          <t>Seattle</t>
        </is>
      </c>
      <c r="E362" t="inlineStr">
        <is>
          <t>2026-04-23</t>
        </is>
      </c>
      <c r="F362" t="inlineStr">
        <is>
          <t>2026-05-07</t>
        </is>
      </c>
      <c r="G362" t="inlineStr">
        <is>
          <t xml:space="preserve"> - Family Freedom</t>
        </is>
      </c>
      <c r="H362">
        <f>HYPERLINK("https://booking.roadsurfer.com/es/rally/pick?pickup_date=2026-04-23&amp;return_date=2026-05-07&amp;currency=EUR&amp;startStation=74&amp;endStation=107", "Clic para verlo en la web de RoadSurfer")</f>
        <v/>
      </c>
    </row>
    <row r="363">
      <c r="A363" t="inlineStr">
        <is>
          <t>EE.UU.</t>
        </is>
      </c>
      <c r="B363" t="inlineStr">
        <is>
          <t>Thor Industries, Elkhart</t>
        </is>
      </c>
      <c r="C363" t="inlineStr">
        <is>
          <t>EE.UU.</t>
        </is>
      </c>
      <c r="D363" t="inlineStr">
        <is>
          <t>Las Vegas</t>
        </is>
      </c>
      <c r="E363" t="inlineStr">
        <is>
          <t>2026-04-20</t>
        </is>
      </c>
      <c r="F363" t="inlineStr">
        <is>
          <t>2026-05-04</t>
        </is>
      </c>
      <c r="G363" t="inlineStr">
        <is>
          <t xml:space="preserve"> - Family Freedom</t>
        </is>
      </c>
      <c r="H363">
        <f>HYPERLINK("https://booking.roadsurfer.com/es/rally/pick?pickup_date=2026-04-20&amp;return_date=2026-05-04&amp;currency=EUR&amp;startStation=74&amp;endStation=76", "Clic para verlo en la web de RoadSurfer")</f>
        <v/>
      </c>
    </row>
    <row r="364">
      <c r="A364" t="inlineStr">
        <is>
          <t>EE.UU.</t>
        </is>
      </c>
      <c r="B364" t="inlineStr">
        <is>
          <t>Thor Industries, Elkhart</t>
        </is>
      </c>
      <c r="C364" t="inlineStr">
        <is>
          <t>EE.UU.</t>
        </is>
      </c>
      <c r="D364" t="inlineStr">
        <is>
          <t>Las Vegas</t>
        </is>
      </c>
      <c r="E364" t="inlineStr">
        <is>
          <t>2026-04-21</t>
        </is>
      </c>
      <c r="F364" t="inlineStr">
        <is>
          <t>2026-05-05</t>
        </is>
      </c>
      <c r="G364" t="inlineStr">
        <is>
          <t xml:space="preserve"> - Family Freedom</t>
        </is>
      </c>
      <c r="H364">
        <f>HYPERLINK("https://booking.roadsurfer.com/es/rally/pick?pickup_date=2026-04-21&amp;return_date=2026-05-05&amp;currency=EUR&amp;startStation=74&amp;endStation=76", "Clic para verlo en la web de RoadSurfer")</f>
        <v/>
      </c>
    </row>
    <row r="365">
      <c r="A365" t="inlineStr">
        <is>
          <t>EE.UU.</t>
        </is>
      </c>
      <c r="B365" t="inlineStr">
        <is>
          <t>Thor Industries, Elkhart</t>
        </is>
      </c>
      <c r="C365" t="inlineStr">
        <is>
          <t>EE.UU.</t>
        </is>
      </c>
      <c r="D365" t="inlineStr">
        <is>
          <t>Las Vegas</t>
        </is>
      </c>
      <c r="E365" t="inlineStr">
        <is>
          <t>2026-04-22</t>
        </is>
      </c>
      <c r="F365" t="inlineStr">
        <is>
          <t>2026-05-06</t>
        </is>
      </c>
      <c r="G365" t="inlineStr">
        <is>
          <t xml:space="preserve"> - Family Freedom</t>
        </is>
      </c>
      <c r="H365">
        <f>HYPERLINK("https://booking.roadsurfer.com/es/rally/pick?pickup_date=2026-04-22&amp;return_date=2026-05-06&amp;currency=EUR&amp;startStation=74&amp;endStation=76", "Clic para verlo en la web de RoadSurfer")</f>
        <v/>
      </c>
    </row>
    <row r="366">
      <c r="A366" t="inlineStr">
        <is>
          <t>EE.UU.</t>
        </is>
      </c>
      <c r="B366" t="inlineStr">
        <is>
          <t>Thor Industries, Elkhart</t>
        </is>
      </c>
      <c r="C366" t="inlineStr">
        <is>
          <t>EE.UU.</t>
        </is>
      </c>
      <c r="D366" t="inlineStr">
        <is>
          <t>Las Vegas</t>
        </is>
      </c>
      <c r="E366" t="inlineStr">
        <is>
          <t>2026-04-23</t>
        </is>
      </c>
      <c r="F366" t="inlineStr">
        <is>
          <t>2026-05-07</t>
        </is>
      </c>
      <c r="G366" t="inlineStr">
        <is>
          <t xml:space="preserve"> - Family Freedom</t>
        </is>
      </c>
      <c r="H366">
        <f>HYPERLINK("https://booking.roadsurfer.com/es/rally/pick?pickup_date=2026-04-23&amp;return_date=2026-05-07&amp;currency=EUR&amp;startStation=74&amp;endStation=76", "Clic para verlo en la web de RoadSurfer")</f>
        <v/>
      </c>
    </row>
    <row r="367">
      <c r="A367" t="inlineStr">
        <is>
          <t>EE.UU.</t>
        </is>
      </c>
      <c r="B367" t="inlineStr">
        <is>
          <t>Thor Industries, Elkhart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2026-04-20</t>
        </is>
      </c>
      <c r="F367" t="inlineStr">
        <is>
          <t>2026-05-04</t>
        </is>
      </c>
      <c r="G367" t="inlineStr">
        <is>
          <t xml:space="preserve"> - Family Freedom</t>
        </is>
      </c>
      <c r="H367">
        <f>HYPERLINK("https://booking.roadsurfer.com/es/rally/pick?pickup_date=2026-04-20&amp;return_date=2026-05-04&amp;currency=EUR&amp;startStation=74&amp;endStation=104", "Clic para verlo en la web de RoadSurfer")</f>
        <v/>
      </c>
    </row>
    <row r="368">
      <c r="A368" t="inlineStr">
        <is>
          <t>EE.UU.</t>
        </is>
      </c>
      <c r="B368" t="inlineStr">
        <is>
          <t>Thor Industries, Elkhart</t>
        </is>
      </c>
      <c r="C368" t="inlineStr">
        <is>
          <t>EE.UU.</t>
        </is>
      </c>
      <c r="D368" t="inlineStr">
        <is>
          <t>Denver</t>
        </is>
      </c>
      <c r="E368" t="inlineStr">
        <is>
          <t>2026-04-21</t>
        </is>
      </c>
      <c r="F368" t="inlineStr">
        <is>
          <t>2026-05-05</t>
        </is>
      </c>
      <c r="G368" t="inlineStr">
        <is>
          <t xml:space="preserve"> - Family Freedom</t>
        </is>
      </c>
      <c r="H368">
        <f>HYPERLINK("https://booking.roadsurfer.com/es/rally/pick?pickup_date=2026-04-21&amp;return_date=2026-05-05&amp;currency=EUR&amp;startStation=74&amp;endStation=104", "Clic para verlo en la web de RoadSurfer")</f>
        <v/>
      </c>
    </row>
    <row r="369">
      <c r="A369" t="inlineStr">
        <is>
          <t>EE.UU.</t>
        </is>
      </c>
      <c r="B369" t="inlineStr">
        <is>
          <t>Thor Industries, Elkhart</t>
        </is>
      </c>
      <c r="C369" t="inlineStr">
        <is>
          <t>EE.UU.</t>
        </is>
      </c>
      <c r="D369" t="inlineStr">
        <is>
          <t>Denver</t>
        </is>
      </c>
      <c r="E369" t="inlineStr">
        <is>
          <t>2026-04-22</t>
        </is>
      </c>
      <c r="F369" t="inlineStr">
        <is>
          <t>2026-05-06</t>
        </is>
      </c>
      <c r="G369" t="inlineStr">
        <is>
          <t xml:space="preserve"> - Family Freedom</t>
        </is>
      </c>
      <c r="H369">
        <f>HYPERLINK("https://booking.roadsurfer.com/es/rally/pick?pickup_date=2026-04-22&amp;return_date=2026-05-06&amp;currency=EUR&amp;startStation=74&amp;endStation=104", "Clic para verlo en la web de RoadSurfer")</f>
        <v/>
      </c>
    </row>
    <row r="370">
      <c r="A370" t="inlineStr">
        <is>
          <t>EE.UU.</t>
        </is>
      </c>
      <c r="B370" t="inlineStr">
        <is>
          <t>Thor Industries, Elkhart</t>
        </is>
      </c>
      <c r="C370" t="inlineStr">
        <is>
          <t>EE.UU.</t>
        </is>
      </c>
      <c r="D370" t="inlineStr">
        <is>
          <t>Dallas</t>
        </is>
      </c>
      <c r="E370" t="inlineStr">
        <is>
          <t>2026-04-20</t>
        </is>
      </c>
      <c r="F370" t="inlineStr">
        <is>
          <t>2026-05-04</t>
        </is>
      </c>
      <c r="G370" t="inlineStr">
        <is>
          <t xml:space="preserve"> - Family Freedom</t>
        </is>
      </c>
      <c r="H370">
        <f>HYPERLINK("https://booking.roadsurfer.com/es/rally/pick?pickup_date=2026-04-20&amp;return_date=2026-05-04&amp;currency=EUR&amp;startStation=74&amp;endStation=125", "Clic para verlo en la web de RoadSurfer")</f>
        <v/>
      </c>
    </row>
    <row r="371">
      <c r="A371" t="inlineStr">
        <is>
          <t>EE.UU.</t>
        </is>
      </c>
      <c r="B371" t="inlineStr">
        <is>
          <t>Thor Industries, Elkhart</t>
        </is>
      </c>
      <c r="C371" t="inlineStr">
        <is>
          <t>EE.UU.</t>
        </is>
      </c>
      <c r="D371" t="inlineStr">
        <is>
          <t>San Francisco</t>
        </is>
      </c>
      <c r="E371" t="inlineStr">
        <is>
          <t>2026-04-21</t>
        </is>
      </c>
      <c r="F371" t="inlineStr">
        <is>
          <t>2026-05-05</t>
        </is>
      </c>
      <c r="G371" t="inlineStr">
        <is>
          <t xml:space="preserve"> - Family Freedom</t>
        </is>
      </c>
      <c r="H371">
        <f>HYPERLINK("https://booking.roadsurfer.com/es/rally/pick?pickup_date=2026-04-21&amp;return_date=2026-05-05&amp;currency=EUR&amp;startStation=74&amp;endStation=75",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Camper Castle</t>
        </is>
      </c>
      <c r="H372">
        <f>HYPERLINK("https://booking.roadsurfer.com/es/rally/pick?pickup_date=2026-04-13&amp;return_date=2026-04-20&amp;currency=EUR&amp;startStation=30&amp;endStation=90",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Road House</t>
        </is>
      </c>
      <c r="H373">
        <f>HYPERLINK("https://booking.roadsurfer.com/es/rally/pick?pickup_date=2026-04-14&amp;return_date=2026-04-21&amp;currency=EUR&amp;startStation=30&amp;endStation=90",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2026-03-25</t>
        </is>
      </c>
      <c r="F374" t="inlineStr">
        <is>
          <t>2026-04-01</t>
        </is>
      </c>
      <c r="G374" t="inlineStr">
        <is>
          <t xml:space="preserve"> - Surfer Suite</t>
        </is>
      </c>
      <c r="H374">
        <f>HYPERLINK("https://booking.roadsurfer.com/es/rally/pick?pickup_date=2026-03-25&amp;return_date=2026-04-01&amp;currency=EUR&amp;startStation=30&amp;endStation=6", "Clic para verlo en la web de RoadSurfer")</f>
        <v/>
      </c>
    </row>
    <row r="375">
      <c r="A375" t="inlineStr">
        <is>
          <t>Francia</t>
        </is>
      </c>
      <c r="B375" t="inlineStr">
        <is>
          <t>Toulouse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Surfer Suite</t>
        </is>
      </c>
      <c r="H375">
        <f>HYPERLINK("https://booking.roadsurfer.com/es/rally/pick?pickup_date=2026-05-04&amp;return_date=2026-05-11&amp;currency=EUR&amp;startStation=30&amp;endStation=10",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Kassel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Family Finca</t>
        </is>
      </c>
      <c r="H376">
        <f>HYPERLINK("https://booking.roadsurfer.com/es/rally/pick?pickup_date=2026-04-27&amp;return_date=2026-05-04&amp;currency=EUR&amp;startStation=30&amp;endStation=92",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Family Finca</t>
        </is>
      </c>
      <c r="H377">
        <f>HYPERLINK("https://booking.roadsurfer.com/es/rally/pick?pickup_date=2026-04-20&amp;return_date=2026-04-27&amp;currency=EUR&amp;startStation=58&amp;endStation=56",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Fráncfort</t>
        </is>
      </c>
      <c r="E378" t="inlineStr">
        <is>
          <t>2026-03-27</t>
        </is>
      </c>
      <c r="F378" t="inlineStr">
        <is>
          <t>2026-04-03</t>
        </is>
      </c>
      <c r="G378" t="inlineStr">
        <is>
          <t xml:space="preserve"> - No hay coche</t>
        </is>
      </c>
      <c r="H378">
        <f>HYPERLINK("https://booking.roadsurfer.com/es/rally/pick?pickup_date=2026-03-27&amp;return_date=2026-04-03&amp;currency=EUR&amp;startStation=78&amp;endStation=2",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2026-03-25</t>
        </is>
      </c>
      <c r="F379" t="inlineStr">
        <is>
          <t>2026-04-01</t>
        </is>
      </c>
      <c r="G379" t="inlineStr">
        <is>
          <t xml:space="preserve"> - Surfer Suite</t>
        </is>
      </c>
      <c r="H379">
        <f>HYPERLINK("https://booking.roadsurfer.com/es/rally/pick?pickup_date=2026-03-25&amp;return_date=2026-04-01&amp;currency=EUR&amp;startStation=78&amp;endStation=22",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Alemania</t>
        </is>
      </c>
      <c r="D380" t="inlineStr">
        <is>
          <t>Maguncia</t>
        </is>
      </c>
      <c r="E380" t="inlineStr">
        <is>
          <t>2026-03-26</t>
        </is>
      </c>
      <c r="F380" t="inlineStr">
        <is>
          <t>2026-04-02</t>
        </is>
      </c>
      <c r="G380" t="inlineStr">
        <is>
          <t xml:space="preserve"> - Beach Hostel</t>
        </is>
      </c>
      <c r="H380">
        <f>HYPERLINK("https://booking.roadsurfer.com/es/rally/pick?pickup_date=2026-03-26&amp;return_date=2026-04-02&amp;currency=EUR&amp;startStation=78&amp;endStation=54",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HYPERLINK("https://booking.roadsurfer.com/es/rally/pick?pickup_date=2026-03-23&amp;return_date=2026-03-30&amp;currency=EUR&amp;startStation=78&amp;endStation=94",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Surfer Suite</t>
        </is>
      </c>
      <c r="H382">
        <f>HYPERLINK("https://booking.roadsurfer.com/es/rally/pick?pickup_date=2026-04-13&amp;return_date=2026-04-20&amp;currency=EUR&amp;startStation=78&amp;endStation=94",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Italia</t>
        </is>
      </c>
      <c r="D383" t="inlineStr">
        <is>
          <t>Bérgamo</t>
        </is>
      </c>
      <c r="E383" t="inlineStr">
        <is>
          <t>2026-04-16</t>
        </is>
      </c>
      <c r="F383" t="inlineStr">
        <is>
          <t>2026-04-23</t>
        </is>
      </c>
      <c r="G383" t="inlineStr">
        <is>
          <t xml:space="preserve"> - Surfer Suite</t>
        </is>
      </c>
      <c r="H383">
        <f>HYPERLINK("https://booking.roadsurfer.com/es/rally/pick?pickup_date=2026-04-16&amp;return_date=2026-04-23&amp;currency=EUR&amp;startStation=78&amp;endStation=94", "Clic para verlo en la web de RoadSurfer")</f>
        <v/>
      </c>
    </row>
    <row r="384">
      <c r="A384" t="inlineStr">
        <is>
          <t>Austria</t>
        </is>
      </c>
      <c r="B384" t="inlineStr">
        <is>
          <t>Viena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Cozy Cottage</t>
        </is>
      </c>
      <c r="H384">
        <f>HYPERLINK("https://booking.roadsurfer.com/es/rally/pick?pickup_date=2026-04-14&amp;return_date=2026-04-21&amp;currency=EUR&amp;startStation=36&amp;endStation=8",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2026-03-26</t>
        </is>
      </c>
      <c r="F385" t="inlineStr">
        <is>
          <t>2026-04-02</t>
        </is>
      </c>
      <c r="G385" t="inlineStr">
        <is>
          <t xml:space="preserve"> - Surfer Suite</t>
        </is>
      </c>
      <c r="H385">
        <f>HYPERLINK("https://booking.roadsurfer.com/es/rally/pick?pickup_date=2026-03-26&amp;return_date=2026-04-02&amp;currency=EUR&amp;startStation=45&amp;endStation=22",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2026-03-25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HYPERLINK("https://booking.roadsurfer.com/es/rally/pick?pickup_date=2026-03-25&amp;return_date=2026-04-01&amp;currency=EUR&amp;startStation=45&amp;endStation=90", "Clic para verlo en la web de RoadSurfer")</f>
        <v/>
      </c>
    </row>
    <row r="387">
      <c r="A387" t="inlineStr">
        <is>
          <t>Austria</t>
        </is>
      </c>
      <c r="B387" t="inlineStr">
        <is>
          <t>Viena Sur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Family Finca</t>
        </is>
      </c>
      <c r="H387">
        <f>HYPERLINK("https://booking.roadsurfer.com/es/rally/pick?pickup_date=2026-04-13&amp;return_date=2026-04-20&amp;currency=EUR&amp;startStation=45&amp;endStation=8", "Clic para verlo en la web de RoadSurfer")</f>
        <v/>
      </c>
    </row>
    <row r="388">
      <c r="A388" t="inlineStr">
        <is>
          <t>Austria</t>
        </is>
      </c>
      <c r="B388" t="inlineStr">
        <is>
          <t>Viena Sur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2026-04-14</t>
        </is>
      </c>
      <c r="F388" t="inlineStr">
        <is>
          <t>2026-04-21</t>
        </is>
      </c>
      <c r="G388" t="inlineStr">
        <is>
          <t xml:space="preserve"> - Family Finca</t>
        </is>
      </c>
      <c r="H388">
        <f>HYPERLINK("https://booking.roadsurfer.com/es/rally/pick?pickup_date=2026-04-14&amp;return_date=2026-04-21&amp;currency=EUR&amp;startStation=45&amp;endStation=8",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2026-04-15</t>
        </is>
      </c>
      <c r="F389" t="inlineStr">
        <is>
          <t>2026-04-22</t>
        </is>
      </c>
      <c r="G389" t="inlineStr">
        <is>
          <t xml:space="preserve"> - Cozy Cottage</t>
        </is>
      </c>
      <c r="H389">
        <f>HYPERLINK("https://booking.roadsurfer.com/es/rally/pick?pickup_date=2026-04-15&amp;return_date=2026-04-22&amp;currency=EUR&amp;startStation=45&amp;endStation=11", "Clic para verlo en la web de RoadSurfer")</f>
        <v/>
      </c>
    </row>
    <row r="390">
      <c r="A390" t="inlineStr">
        <is>
          <t>Austria</t>
        </is>
      </c>
      <c r="B390" t="inlineStr">
        <is>
          <t>Viena Sur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2026-03-30</t>
        </is>
      </c>
      <c r="F390" t="inlineStr">
        <is>
          <t>2026-04-06</t>
        </is>
      </c>
      <c r="G390" t="inlineStr">
        <is>
          <t xml:space="preserve"> - No hay coche</t>
        </is>
      </c>
      <c r="H390">
        <f>HYPERLINK("https://booking.roadsurfer.com/es/rally/pick?pickup_date=2026-03-30&amp;return_date=2026-04-06&amp;currency=EUR&amp;startStation=45&amp;endStation=11",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</t>
        </is>
      </c>
      <c r="H391">
        <f>HYPERLINK("https://booking.roadsurfer.com/es/rally/pick?pickup_date=2026-03-26&amp;return_date=2026-04-09&amp;currency=EUR&amp;startStation=81&amp;endStation=104",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2026-03-27</t>
        </is>
      </c>
      <c r="F392" t="inlineStr">
        <is>
          <t>2026-04-10</t>
        </is>
      </c>
      <c r="G392" t="inlineStr">
        <is>
          <t xml:space="preserve"> - Liberty Lodge - Couple Condo</t>
        </is>
      </c>
      <c r="H392">
        <f>HYPERLINK("https://booking.roadsurfer.com/es/rally/pick?pickup_date=2026-03-27&amp;return_date=2026-04-10&amp;currency=EUR&amp;startStation=81&amp;endStation=104",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2026-03-31</t>
        </is>
      </c>
      <c r="F393" t="inlineStr">
        <is>
          <t>2026-04-14</t>
        </is>
      </c>
      <c r="G393" t="inlineStr">
        <is>
          <t xml:space="preserve"> - Liberty Lodge - Couple Condo</t>
        </is>
      </c>
      <c r="H393">
        <f>HYPERLINK("https://booking.roadsurfer.com/es/rally/pick?pickup_date=2026-03-31&amp;return_date=2026-04-14&amp;currency=EUR&amp;startStation=81&amp;endStation=104",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2026-03-30</t>
        </is>
      </c>
      <c r="F394" t="inlineStr">
        <is>
          <t>2026-04-13</t>
        </is>
      </c>
      <c r="G394" t="inlineStr">
        <is>
          <t xml:space="preserve"> - Liberty Lodge</t>
        </is>
      </c>
      <c r="H394">
        <f>HYPERLINK("https://booking.roadsurfer.com/es/rally/pick?pickup_date=2026-03-30&amp;return_date=2026-04-13&amp;currency=EUR&amp;startStation=81&amp;endStation=104",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2026-03-30</t>
        </is>
      </c>
      <c r="F395" t="inlineStr">
        <is>
          <t>2026-04-13</t>
        </is>
      </c>
      <c r="G395" t="inlineStr">
        <is>
          <t xml:space="preserve"> - Liberty Lodge - Couple Condo</t>
        </is>
      </c>
      <c r="H395">
        <f>HYPERLINK("https://booking.roadsurfer.com/es/rally/pick?pickup_date=2026-03-30&amp;return_date=2026-04-13&amp;currency=EUR&amp;startStation=81&amp;endStation=75",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2026-03-26</t>
        </is>
      </c>
      <c r="F396" t="inlineStr">
        <is>
          <t>2026-04-09</t>
        </is>
      </c>
      <c r="G396" t="inlineStr">
        <is>
          <t xml:space="preserve"> - Liberty Lodge - Couple Condo</t>
        </is>
      </c>
      <c r="H396">
        <f>HYPERLINK("https://booking.roadsurfer.com/es/rally/pick?pickup_date=2026-03-26&amp;return_date=2026-04-09&amp;currency=EUR&amp;startStation=81&amp;endStation=75",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2026-04-01</t>
        </is>
      </c>
      <c r="F397" t="inlineStr">
        <is>
          <t>2026-04-15</t>
        </is>
      </c>
      <c r="G397" t="inlineStr">
        <is>
          <t xml:space="preserve"> - Liberty Lodge - Couple Condo</t>
        </is>
      </c>
      <c r="H397">
        <f>HYPERLINK("https://booking.roadsurfer.com/es/rally/pick?pickup_date=2026-04-01&amp;return_date=2026-04-15&amp;currency=EUR&amp;startStation=81&amp;endStation=75",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2026-03-27</t>
        </is>
      </c>
      <c r="F398" t="inlineStr">
        <is>
          <t>2026-04-10</t>
        </is>
      </c>
      <c r="G398" t="inlineStr">
        <is>
          <t xml:space="preserve"> - Liberty Lodge - Couple Condo</t>
        </is>
      </c>
      <c r="H398">
        <f>HYPERLINK("https://booking.roadsurfer.com/es/rally/pick?pickup_date=2026-03-27&amp;return_date=2026-04-10&amp;currency=EUR&amp;startStation=81&amp;endStation=75",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San Francisco</t>
        </is>
      </c>
      <c r="E399" t="inlineStr">
        <is>
          <t>2026-03-26</t>
        </is>
      </c>
      <c r="F399" t="inlineStr">
        <is>
          <t>2026-04-07</t>
        </is>
      </c>
      <c r="G399" t="inlineStr">
        <is>
          <t xml:space="preserve"> - Liberty Lodge - Couple Condo</t>
        </is>
      </c>
      <c r="H399">
        <f>HYPERLINK("https://booking.roadsurfer.com/es/rally/pick?pickup_date=2026-03-26&amp;return_date=2026-04-07&amp;currency=EUR&amp;startStation=81&amp;endStation=75",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San Francisco</t>
        </is>
      </c>
      <c r="E400" t="inlineStr">
        <is>
          <t>2026-04-02</t>
        </is>
      </c>
      <c r="F400" t="inlineStr">
        <is>
          <t>2026-04-16</t>
        </is>
      </c>
      <c r="G400" t="inlineStr">
        <is>
          <t xml:space="preserve"> - Couple Condo</t>
        </is>
      </c>
      <c r="H400">
        <f>HYPERLINK("https://booking.roadsurfer.com/es/rally/pick?pickup_date=2026-04-02&amp;return_date=2026-04-16&amp;currency=EUR&amp;startStation=81&amp;endStation=75",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2026-03-27</t>
        </is>
      </c>
      <c r="F401" t="inlineStr">
        <is>
          <t>2026-04-10</t>
        </is>
      </c>
      <c r="G401" t="inlineStr">
        <is>
          <t xml:space="preserve"> - Liberty Lodge</t>
        </is>
      </c>
      <c r="H401">
        <f>HYPERLINK("https://booking.roadsurfer.com/es/rally/pick?pickup_date=2026-03-27&amp;return_date=2026-04-10&amp;currency=EUR&amp;startStation=81&amp;endStation=76",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2026-04-03</t>
        </is>
      </c>
      <c r="F402" t="inlineStr">
        <is>
          <t>2026-04-17</t>
        </is>
      </c>
      <c r="G402" t="inlineStr">
        <is>
          <t xml:space="preserve"> - Liberty Lodge</t>
        </is>
      </c>
      <c r="H402">
        <f>HYPERLINK("https://booking.roadsurfer.com/es/rally/pick?pickup_date=2026-04-03&amp;return_date=2026-04-17&amp;currency=EUR&amp;startStation=81&amp;endStation=76",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2026-03-30</t>
        </is>
      </c>
      <c r="F403" t="inlineStr">
        <is>
          <t>2026-04-13</t>
        </is>
      </c>
      <c r="G403" t="inlineStr">
        <is>
          <t xml:space="preserve"> - Liberty Lodge</t>
        </is>
      </c>
      <c r="H403">
        <f>HYPERLINK("https://booking.roadsurfer.com/es/rally/pick?pickup_date=2026-03-30&amp;return_date=2026-04-13&amp;currency=EUR&amp;startStation=81&amp;endStation=76",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Las Vegas</t>
        </is>
      </c>
      <c r="E404" t="inlineStr">
        <is>
          <t>2026-03-26</t>
        </is>
      </c>
      <c r="F404" t="inlineStr">
        <is>
          <t>2026-04-09</t>
        </is>
      </c>
      <c r="G404" t="inlineStr">
        <is>
          <t xml:space="preserve"> - Liberty Lodge</t>
        </is>
      </c>
      <c r="H404">
        <f>HYPERLINK("https://booking.roadsurfer.com/es/rally/pick?pickup_date=2026-03-26&amp;return_date=2026-04-09&amp;currency=EUR&amp;startStation=81&amp;endStation=76",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2026-03-30</t>
        </is>
      </c>
      <c r="F405" t="inlineStr">
        <is>
          <t>2026-04-13</t>
        </is>
      </c>
      <c r="G405" t="inlineStr">
        <is>
          <t xml:space="preserve"> - No hay coche</t>
        </is>
      </c>
      <c r="H405">
        <f>HYPERLINK("https://booking.roadsurfer.com/es/rally/pick?pickup_date=2026-03-30&amp;return_date=2026-04-13&amp;currency=EUR&amp;startStation=81&amp;endStation=106",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2026-03-31</t>
        </is>
      </c>
      <c r="F406" t="inlineStr">
        <is>
          <t>2026-04-14</t>
        </is>
      </c>
      <c r="G406" t="inlineStr">
        <is>
          <t xml:space="preserve"> - Liberty Lodge</t>
        </is>
      </c>
      <c r="H406">
        <f>HYPERLINK("https://booking.roadsurfer.com/es/rally/pick?pickup_date=2026-03-31&amp;return_date=2026-04-14&amp;currency=EUR&amp;startStation=81&amp;endStation=106",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Salt Lake City</t>
        </is>
      </c>
      <c r="E407" t="inlineStr">
        <is>
          <t>2026-03-26</t>
        </is>
      </c>
      <c r="F407" t="inlineStr">
        <is>
          <t>2026-04-09</t>
        </is>
      </c>
      <c r="G407" t="inlineStr">
        <is>
          <t xml:space="preserve"> - Liberty Lodge</t>
        </is>
      </c>
      <c r="H407">
        <f>HYPERLINK("https://booking.roadsurfer.com/es/rally/pick?pickup_date=2026-03-26&amp;return_date=2026-04-09&amp;currency=EUR&amp;startStation=81&amp;endStation=106",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Salt Lake City</t>
        </is>
      </c>
      <c r="E408" t="inlineStr">
        <is>
          <t>2026-04-02</t>
        </is>
      </c>
      <c r="F408" t="inlineStr">
        <is>
          <t>2026-04-16</t>
        </is>
      </c>
      <c r="G408" t="inlineStr">
        <is>
          <t xml:space="preserve"> - Couple Condo</t>
        </is>
      </c>
      <c r="H408">
        <f>HYPERLINK("https://booking.roadsurfer.com/es/rally/pick?pickup_date=2026-04-02&amp;return_date=2026-04-16&amp;currency=EUR&amp;startStation=81&amp;endStation=106",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2026-03-27</t>
        </is>
      </c>
      <c r="F409" t="inlineStr">
        <is>
          <t>2026-04-10</t>
        </is>
      </c>
      <c r="G409" t="inlineStr">
        <is>
          <t xml:space="preserve"> - Liberty Lodge</t>
        </is>
      </c>
      <c r="H409">
        <f>HYPERLINK("https://booking.roadsurfer.com/es/rally/pick?pickup_date=2026-03-27&amp;return_date=2026-04-10&amp;currency=EUR&amp;startStation=81&amp;endStation=125",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2026-03-26</t>
        </is>
      </c>
      <c r="F410" t="inlineStr">
        <is>
          <t>2026-04-09</t>
        </is>
      </c>
      <c r="G410" t="inlineStr">
        <is>
          <t xml:space="preserve"> - Liberty Lodge</t>
        </is>
      </c>
      <c r="H410">
        <f>HYPERLINK("https://booking.roadsurfer.com/es/rally/pick?pickup_date=2026-03-26&amp;return_date=2026-04-09&amp;currency=EUR&amp;startStation=81&amp;endStation=125",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2026-04-01</t>
        </is>
      </c>
      <c r="F411" t="inlineStr">
        <is>
          <t>2026-04-15</t>
        </is>
      </c>
      <c r="G411" t="inlineStr">
        <is>
          <t xml:space="preserve"> - Liberty Lodge</t>
        </is>
      </c>
      <c r="H411">
        <f>HYPERLINK("https://booking.roadsurfer.com/es/rally/pick?pickup_date=2026-04-01&amp;return_date=2026-04-15&amp;currency=EUR&amp;startStation=81&amp;endStation=107",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HYPERLINK("https://booking.roadsurfer.com/es/rally/pick?pickup_date=2026-03-26&amp;return_date=2026-04-09&amp;currency=EUR&amp;startStation=81&amp;endStation=107",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Seattle</t>
        </is>
      </c>
      <c r="E413" t="inlineStr">
        <is>
          <t>2026-03-27</t>
        </is>
      </c>
      <c r="F413" t="inlineStr">
        <is>
          <t>2026-04-10</t>
        </is>
      </c>
      <c r="G413" t="inlineStr">
        <is>
          <t xml:space="preserve"> - Liberty Lodge - Couple Condo</t>
        </is>
      </c>
      <c r="H413">
        <f>HYPERLINK("https://booking.roadsurfer.com/es/rally/pick?pickup_date=2026-03-27&amp;return_date=2026-04-10&amp;currency=EUR&amp;startStation=81&amp;endStation=107",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2026-04-01</t>
        </is>
      </c>
      <c r="F414" t="inlineStr">
        <is>
          <t>2026-04-15</t>
        </is>
      </c>
      <c r="G414" t="inlineStr">
        <is>
          <t xml:space="preserve"> - No hay coche</t>
        </is>
      </c>
      <c r="H414">
        <f>HYPERLINK("https://booking.roadsurfer.com/es/rally/pick?pickup_date=2026-04-01&amp;return_date=2026-04-15&amp;currency=EUR&amp;startStation=81&amp;endStation=105",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Phoenix</t>
        </is>
      </c>
      <c r="E415" t="inlineStr">
        <is>
          <t>2026-03-26</t>
        </is>
      </c>
      <c r="F415" t="inlineStr">
        <is>
          <t>2026-04-09</t>
        </is>
      </c>
      <c r="G415" t="inlineStr">
        <is>
          <t xml:space="preserve"> - Liberty Lodge - Couple Condo</t>
        </is>
      </c>
      <c r="H415">
        <f>HYPERLINK("https://booking.roadsurfer.com/es/rally/pick?pickup_date=2026-03-26&amp;return_date=2026-04-09&amp;currency=EUR&amp;startStation=81&amp;endStation=105",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Phoenix</t>
        </is>
      </c>
      <c r="E416" t="inlineStr">
        <is>
          <t>2026-03-31</t>
        </is>
      </c>
      <c r="F416" t="inlineStr">
        <is>
          <t>2026-04-14</t>
        </is>
      </c>
      <c r="G416" t="inlineStr">
        <is>
          <t xml:space="preserve"> - Liberty Lodge</t>
        </is>
      </c>
      <c r="H416">
        <f>HYPERLINK("https://booking.roadsurfer.com/es/rally/pick?pickup_date=2026-03-31&amp;return_date=2026-04-14&amp;currency=EUR&amp;startStation=81&amp;endStation=105", "Clic para verlo en la web de RoadSurfer")</f>
        <v/>
      </c>
    </row>
    <row r="417">
      <c r="A417" t="inlineStr">
        <is>
          <t>Alemania</t>
        </is>
      </c>
      <c r="B417" t="inlineStr">
        <is>
          <t>Wurzburgo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Road House</t>
        </is>
      </c>
      <c r="H41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2026-03-22T14:36:16Z</dcterms:created>
  <dcterms:modified xsi:type="dcterms:W3CDTF">2026-03-22T14:36:16Z</dcterms:modified>
</cp:coreProperties>
</file>