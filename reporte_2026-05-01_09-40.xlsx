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2026-05-28</t>
        </is>
      </c>
      <c r="F2" t="inlineStr">
        <is>
          <t>2026-06-04</t>
        </is>
      </c>
      <c r="G2" t="inlineStr">
        <is>
          <t xml:space="preserve"> - Sunrise Suite</t>
        </is>
      </c>
      <c r="H2">
        <f>HYPERLINK("https://booking.roadsurfer.com/es/rally/pick?pickup_date=2026-05-28&amp;return_date=2026-06-04&amp;currency=EUR&amp;startStation=114&amp;endStation=20",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2026-05-08</t>
        </is>
      </c>
      <c r="F4" t="inlineStr">
        <is>
          <t>2026-05-15</t>
        </is>
      </c>
      <c r="G4" t="inlineStr">
        <is>
          <t xml:space="preserve"> - No hay coche</t>
        </is>
      </c>
      <c r="H4">
        <f>HYPERLINK("https://booking.roadsurfer.com/es/rally/pick?pickup_date=2026-05-08&amp;return_date=2026-05-15&amp;currency=EUR&amp;startStation=16&amp;endStation=9",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Family Finca</t>
        </is>
      </c>
      <c r="H6">
        <f>HYPERLINK("https://booking.roadsurfer.com/es/rally/pick?pickup_date=2026-05-19&amp;return_date=2026-05-26&amp;currency=EUR&amp;startStation=16&amp;endStation=22",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Family Finca</t>
        </is>
      </c>
      <c r="H7">
        <f>HYPERLINK("https://booking.roadsurfer.com/es/rally/pick?pickup_date=2026-05-11&amp;return_date=2026-05-18&amp;currency=EUR&amp;startStation=16&amp;endStation=114",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Braunschweig</t>
        </is>
      </c>
      <c r="E8" t="inlineStr">
        <is>
          <t>2026-05-05</t>
        </is>
      </c>
      <c r="F8" t="inlineStr">
        <is>
          <t>2026-05-08</t>
        </is>
      </c>
      <c r="G8" t="inlineStr">
        <is>
          <t xml:space="preserve"> - Surfer Suite</t>
        </is>
      </c>
      <c r="H8">
        <f>HYPERLINK("https://booking.roadsurfer.com/es/rally/pick?pickup_date=2026-05-05&amp;return_date=2026-05-08&amp;currency=EUR&amp;startStation=47&amp;endStation=128",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2026-05-16</t>
        </is>
      </c>
      <c r="F10" t="inlineStr">
        <is>
          <t>2026-05-23</t>
        </is>
      </c>
      <c r="G10" t="inlineStr">
        <is>
          <t xml:space="preserve"> - No hay coche</t>
        </is>
      </c>
      <c r="H10">
        <f>HYPERLINK("https://booking.roadsurfer.com/es/rally/pick?pickup_date=2026-05-16&amp;return_date=2026-05-23&amp;currency=EUR&amp;startStation=47&amp;endStation=22",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Francia</t>
        </is>
      </c>
      <c r="D11" t="inlineStr">
        <is>
          <t>Niza</t>
        </is>
      </c>
      <c r="E11" t="inlineStr">
        <is>
          <t>2026-05-04</t>
        </is>
      </c>
      <c r="F11" t="inlineStr">
        <is>
          <t>2026-05-11</t>
        </is>
      </c>
      <c r="G11" t="inlineStr">
        <is>
          <t xml:space="preserve"> - Cozy Cottage</t>
        </is>
      </c>
      <c r="H11">
        <f>HYPERLINK("https://booking.roadsurfer.com/es/rally/pick?pickup_date=2026-05-04&amp;return_date=2026-05-11&amp;currency=EUR&amp;startStation=108&amp;endStation=88",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2026-05-21</t>
        </is>
      </c>
      <c r="F12" t="inlineStr">
        <is>
          <t>2026-05-28</t>
        </is>
      </c>
      <c r="G12" t="inlineStr">
        <is>
          <t xml:space="preserve"> - Camper Cabin</t>
        </is>
      </c>
      <c r="H12">
        <f>HYPERLINK("https://booking.roadsurfer.com/es/rally/pick?pickup_date=2026-05-21&amp;return_date=2026-05-28&amp;currency=EUR&amp;startStation=108&amp;endStation=130",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2026-05-18</t>
        </is>
      </c>
      <c r="F13" t="inlineStr">
        <is>
          <t>2026-05-25</t>
        </is>
      </c>
      <c r="G13" t="inlineStr">
        <is>
          <t xml:space="preserve"> - No hay coche</t>
        </is>
      </c>
      <c r="H13">
        <f>HYPERLINK("https://booking.roadsurfer.com/es/rally/pick?pickup_date=2026-05-18&amp;return_date=2026-05-25&amp;currency=EUR&amp;startStation=108&amp;endStation=130",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Constanza (Aach)</t>
        </is>
      </c>
      <c r="E14" t="inlineStr">
        <is>
          <t>2026-05-07</t>
        </is>
      </c>
      <c r="F14" t="inlineStr">
        <is>
          <t>2026-05-14</t>
        </is>
      </c>
      <c r="G14" t="inlineStr">
        <is>
          <t xml:space="preserve"> - No hay coche</t>
        </is>
      </c>
      <c r="H14">
        <f>HYPERLINK("https://booking.roadsurfer.com/es/rally/pick?pickup_date=2026-05-07&amp;return_date=2026-05-14&amp;currency=EUR&amp;startStation=17&amp;endStation=10",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2026-05-05</t>
        </is>
      </c>
      <c r="F15" t="inlineStr">
        <is>
          <t>2026-05-12</t>
        </is>
      </c>
      <c r="G15" t="inlineStr">
        <is>
          <t xml:space="preserve"> - Road House</t>
        </is>
      </c>
      <c r="H15">
        <f>HYPERLINK("https://booking.roadsurfer.com/es/rally/pick?pickup_date=2026-05-05&amp;return_date=2026-05-12&amp;currency=EUR&amp;startStation=17&amp;endStation=22",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Kiel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Castle</t>
        </is>
      </c>
      <c r="H16">
        <f>HYPERLINK("https://booking.roadsurfer.com/es/rally/pick?pickup_date=2026-05-04&amp;return_date=2026-05-11&amp;currency=EUR&amp;startStation=94&amp;endStation=111",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2026-05-06</t>
        </is>
      </c>
      <c r="F17" t="inlineStr">
        <is>
          <t>2026-05-13</t>
        </is>
      </c>
      <c r="G17" t="inlineStr">
        <is>
          <t xml:space="preserve"> - Couple Cottage</t>
        </is>
      </c>
      <c r="H17">
        <f>HYPERLINK("https://booking.roadsurfer.com/es/rally/pick?pickup_date=2026-05-06&amp;return_date=2026-05-13&amp;currency=EUR&amp;startStation=94&amp;endStation=8",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Toulouse</t>
        </is>
      </c>
      <c r="E18" t="inlineStr">
        <is>
          <t>2026-05-28</t>
        </is>
      </c>
      <c r="F18" t="inlineStr">
        <is>
          <t>2026-06-04</t>
        </is>
      </c>
      <c r="G18" t="inlineStr">
        <is>
          <t xml:space="preserve"> - Camper Castle</t>
        </is>
      </c>
      <c r="H18">
        <f>HYPERLINK("https://booking.roadsurfer.com/es/rally/pick?pickup_date=2026-05-28&amp;return_date=2026-06-04&amp;currency=EUR&amp;startStation=6&amp;endStation=30",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2026-05-06</t>
        </is>
      </c>
      <c r="F19" t="inlineStr">
        <is>
          <t>2026-05-13</t>
        </is>
      </c>
      <c r="G19" t="inlineStr">
        <is>
          <t xml:space="preserve"> - Camper Castle</t>
        </is>
      </c>
      <c r="H19">
        <f>HYPERLINK("https://booking.roadsurfer.com/es/rally/pick?pickup_date=2026-05-06&amp;return_date=2026-05-13&amp;currency=EUR&amp;startStation=6&amp;endStation=77",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Beach Hostel</t>
        </is>
      </c>
      <c r="H20">
        <f>HYPERLINK("https://booking.roadsurfer.com/es/rally/pick?pickup_date=2026-05-21&amp;return_date=2026-05-28&amp;currency=EUR&amp;startStation=51&amp;endStation=117",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Beach Hostel</t>
        </is>
      </c>
      <c r="H21">
        <f>HYPERLINK("https://booking.roadsurfer.com/es/rally/pick?pickup_date=2026-05-21&amp;return_date=2026-05-28&amp;currency=EUR&amp;startStation=51&amp;endStation=10",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Couple Cottage</t>
        </is>
      </c>
      <c r="H22">
        <f>HYPERLINK("https://booking.roadsurfer.com/es/rally/pick?pickup_date=2026-05-05&amp;return_date=2026-05-12&amp;currency=EUR&amp;startStation=51&amp;endStation=52",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Países Bajos</t>
        </is>
      </c>
      <c r="D23" t="inlineStr">
        <is>
          <t>Róterdam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Surfer Suite</t>
        </is>
      </c>
      <c r="H23">
        <f>HYPERLINK("https://booking.roadsurfer.com/es/rally/pick?pickup_date=2026-05-11&amp;return_date=2026-05-18&amp;currency=EUR&amp;startStation=91&amp;endStation=33",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2026-05-05</t>
        </is>
      </c>
      <c r="F24" t="inlineStr">
        <is>
          <t>2026-05-12</t>
        </is>
      </c>
      <c r="G24" t="inlineStr">
        <is>
          <t xml:space="preserve"> - No hay coche</t>
        </is>
      </c>
      <c r="H24">
        <f>HYPERLINK("https://booking.roadsurfer.com/es/rally/pick?pickup_date=2026-05-05&amp;return_date=2026-05-12&amp;currency=EUR&amp;startStation=91&amp;endStation=48",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Camper Castle</t>
        </is>
      </c>
      <c r="H25">
        <f>HYPERLINK("https://booking.roadsurfer.com/es/rally/pick?pickup_date=2026-06-01&amp;return_date=2026-06-08&amp;currency=EUR&amp;startStation=91&amp;endStation=40",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2026-05-02</t>
        </is>
      </c>
      <c r="F26" t="inlineStr">
        <is>
          <t>2026-05-09</t>
        </is>
      </c>
      <c r="G26" t="inlineStr">
        <is>
          <t xml:space="preserve"> - No hay coche</t>
        </is>
      </c>
      <c r="H26">
        <f>HYPERLINK("https://booking.roadsurfer.com/es/rally/pick?pickup_date=2026-05-02&amp;return_date=2026-05-09&amp;currency=EUR&amp;startStation=91&amp;endStation=40",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Nantes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No hay coche</t>
        </is>
      </c>
      <c r="H27">
        <f>HYPERLINK("https://booking.roadsurfer.com/es/rally/pick?pickup_date=2026-05-06&amp;return_date=2026-05-13&amp;currency=EUR&amp;startStation=91&amp;endStation=31",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2026-05-02</t>
        </is>
      </c>
      <c r="F29" t="inlineStr">
        <is>
          <t>2026-05-09</t>
        </is>
      </c>
      <c r="G29" t="inlineStr">
        <is>
          <t xml:space="preserve"> - Camper Castle</t>
        </is>
      </c>
      <c r="H29">
        <f>HYPERLINK("https://booking.roadsurfer.com/es/rally/pick?pickup_date=2026-05-02&amp;return_date=2026-05-09&amp;currency=EUR&amp;startStation=91&amp;endStation=47",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Italia</t>
        </is>
      </c>
      <c r="D30" t="inlineStr">
        <is>
          <t>Milán</t>
        </is>
      </c>
      <c r="E30" t="inlineStr">
        <is>
          <t>2026-05-16</t>
        </is>
      </c>
      <c r="F30" t="inlineStr">
        <is>
          <t>2026-05-23</t>
        </is>
      </c>
      <c r="G30" t="inlineStr">
        <is>
          <t xml:space="preserve"> - No hay coche</t>
        </is>
      </c>
      <c r="H30">
        <f>HYPERLINK("https://booking.roadsurfer.com/es/rally/pick?pickup_date=2026-05-16&amp;return_date=2026-05-23&amp;currency=EUR&amp;startStation=91&amp;endStation=34",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2026-05-08</t>
        </is>
      </c>
      <c r="F31" t="inlineStr">
        <is>
          <t>2026-05-15</t>
        </is>
      </c>
      <c r="G31" t="inlineStr">
        <is>
          <t xml:space="preserve"> - Camper Castle</t>
        </is>
      </c>
      <c r="H31">
        <f>HYPERLINK("https://booking.roadsurfer.com/es/rally/pick?pickup_date=2026-05-08&amp;return_date=2026-05-15&amp;currency=EUR&amp;startStation=91&amp;endStation=34",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2026-05-09</t>
        </is>
      </c>
      <c r="F32" t="inlineStr">
        <is>
          <t>2026-05-16</t>
        </is>
      </c>
      <c r="G32" t="inlineStr">
        <is>
          <t xml:space="preserve"> - Sunrise Suite</t>
        </is>
      </c>
      <c r="H32">
        <f>HYPERLINK("https://booking.roadsurfer.com/es/rally/pick?pickup_date=2026-05-09&amp;return_date=2026-05-16&amp;currency=EUR&amp;startStation=91&amp;endStation=42",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2026-05-28</t>
        </is>
      </c>
      <c r="F33" t="inlineStr">
        <is>
          <t>2026-06-04</t>
        </is>
      </c>
      <c r="G33" t="inlineStr">
        <is>
          <t xml:space="preserve"> - Camper Castle</t>
        </is>
      </c>
      <c r="H33">
        <f>HYPERLINK("https://booking.roadsurfer.com/es/rally/pick?pickup_date=2026-05-28&amp;return_date=2026-06-04&amp;currency=EUR&amp;startStation=91&amp;endStation=42",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2026-06-02</t>
        </is>
      </c>
      <c r="F34" t="inlineStr">
        <is>
          <t>2026-06-09</t>
        </is>
      </c>
      <c r="G34" t="inlineStr">
        <is>
          <t xml:space="preserve"> - No hay coche</t>
        </is>
      </c>
      <c r="H34">
        <f>HYPERLINK("https://booking.roadsurfer.com/es/rally/pick?pickup_date=2026-06-02&amp;return_date=2026-06-09&amp;currency=EUR&amp;startStation=91&amp;endStation=60",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2026-05-11</t>
        </is>
      </c>
      <c r="F35" t="inlineStr">
        <is>
          <t>2026-05-18</t>
        </is>
      </c>
      <c r="G35" t="inlineStr">
        <is>
          <t xml:space="preserve"> - Family Finca</t>
        </is>
      </c>
      <c r="H35">
        <f>HYPERLINK("https://booking.roadsurfer.com/es/rally/pick?pickup_date=2026-05-11&amp;return_date=2026-05-18&amp;currency=EUR&amp;startStation=91&amp;endStation=77",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Málaga</t>
        </is>
      </c>
      <c r="E36" t="inlineStr">
        <is>
          <t>2026-05-05</t>
        </is>
      </c>
      <c r="F36" t="inlineStr">
        <is>
          <t>2026-05-12</t>
        </is>
      </c>
      <c r="G36" t="inlineStr">
        <is>
          <t xml:space="preserve"> - Family Finca</t>
        </is>
      </c>
      <c r="H36">
        <f>HYPERLINK("https://booking.roadsurfer.com/es/rally/pick?pickup_date=2026-05-05&amp;return_date=2026-05-12&amp;currency=EUR&amp;startStation=91&amp;endStation=21",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2026-05-21</t>
        </is>
      </c>
      <c r="F37" t="inlineStr">
        <is>
          <t>2026-05-28</t>
        </is>
      </c>
      <c r="G37" t="inlineStr">
        <is>
          <t xml:space="preserve"> - Surfer Suite</t>
        </is>
      </c>
      <c r="H37">
        <f>HYPERLINK("https://booking.roadsurfer.com/es/rally/pick?pickup_date=2026-05-21&amp;return_date=2026-05-28&amp;currency=EUR&amp;startStation=40&amp;endStation=2",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Fráncfort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Surfer Suite</t>
        </is>
      </c>
      <c r="H38">
        <f>HYPERLINK("https://booking.roadsurfer.com/es/rally/pick?pickup_date=2026-05-06&amp;return_date=2026-05-13&amp;currency=EUR&amp;startStation=40&amp;endStation=2",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Maguncia</t>
        </is>
      </c>
      <c r="E39" t="inlineStr">
        <is>
          <t>2026-05-30</t>
        </is>
      </c>
      <c r="F39" t="inlineStr">
        <is>
          <t>2026-06-06</t>
        </is>
      </c>
      <c r="G39" t="inlineStr">
        <is>
          <t xml:space="preserve"> - Sunrise Suite</t>
        </is>
      </c>
      <c r="H39">
        <f>HYPERLINK("https://booking.roadsurfer.com/es/rally/pick?pickup_date=2026-05-30&amp;return_date=2026-06-06&amp;currency=EUR&amp;startStation=40&amp;endStation=54",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2026-06-01</t>
        </is>
      </c>
      <c r="F40" t="inlineStr">
        <is>
          <t>2026-06-08</t>
        </is>
      </c>
      <c r="G40" t="inlineStr">
        <is>
          <t xml:space="preserve"> - Couple Cottage</t>
        </is>
      </c>
      <c r="H40">
        <f>HYPERLINK("https://booking.roadsurfer.com/es/rally/pick?pickup_date=2026-06-01&amp;return_date=2026-06-08&amp;currency=EUR&amp;startStation=40&amp;endStation=54",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Maguncia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Surfer Suite</t>
        </is>
      </c>
      <c r="H41">
        <f>HYPERLINK("https://booking.roadsurfer.com/es/rally/pick?pickup_date=2026-05-15&amp;return_date=2026-05-22&amp;currency=EUR&amp;startStation=40&amp;endStation=54",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Camper Cabin</t>
        </is>
      </c>
      <c r="H42">
        <f>HYPERLINK("https://booking.roadsurfer.com/es/rally/pick?pickup_date=2026-05-11&amp;return_date=2026-05-18&amp;currency=EUR&amp;startStation=40&amp;endStation=22",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Sunrise Suite</t>
        </is>
      </c>
      <c r="H43">
        <f>HYPERLINK("https://booking.roadsurfer.com/es/rally/pick?pickup_date=2026-05-06&amp;return_date=2026-05-13&amp;currency=EUR&amp;startStation=40&amp;endStation=22",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Beach Hostel</t>
        </is>
      </c>
      <c r="H44">
        <f>HYPERLINK("https://booking.roadsurfer.com/es/rally/pick?pickup_date=2026-05-15&amp;return_date=2026-05-22&amp;currency=EUR&amp;startStation=40&amp;endStation=22",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2026-05-19</t>
        </is>
      </c>
      <c r="F45" t="inlineStr">
        <is>
          <t>2026-05-26</t>
        </is>
      </c>
      <c r="G45" t="inlineStr">
        <is>
          <t xml:space="preserve"> - Couple Cottage</t>
        </is>
      </c>
      <c r="H45">
        <f>HYPERLINK("https://booking.roadsurfer.com/es/rally/pick?pickup_date=2026-05-19&amp;return_date=2026-05-26&amp;currency=EUR&amp;startStation=40&amp;endStation=22",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2026-05-09</t>
        </is>
      </c>
      <c r="F46" t="inlineStr">
        <is>
          <t>2026-05-16</t>
        </is>
      </c>
      <c r="G46" t="inlineStr">
        <is>
          <t xml:space="preserve"> - No hay coche</t>
        </is>
      </c>
      <c r="H46">
        <f>HYPERLINK("https://booking.roadsurfer.com/es/rally/pick?pickup_date=2026-05-09&amp;return_date=2026-05-16&amp;currency=EUR&amp;startStation=40&amp;endStation=22",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Couple Cottage</t>
        </is>
      </c>
      <c r="H47">
        <f>HYPERLINK("https://booking.roadsurfer.com/es/rally/pick?pickup_date=2026-05-08&amp;return_date=2026-05-15&amp;currency=EUR&amp;startStation=40&amp;endStation=22",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2026-05-18</t>
        </is>
      </c>
      <c r="F49" t="inlineStr">
        <is>
          <t>2026-05-25</t>
        </is>
      </c>
      <c r="G49" t="inlineStr">
        <is>
          <t xml:space="preserve"> - Couple Cottage</t>
        </is>
      </c>
      <c r="H49">
        <f>HYPERLINK("https://booking.roadsurfer.com/es/rally/pick?pickup_date=2026-05-18&amp;return_date=2026-05-25&amp;currency=EUR&amp;startStation=40&amp;endStation=22",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Kassel</t>
        </is>
      </c>
      <c r="E50" t="inlineStr">
        <is>
          <t>2026-05-09</t>
        </is>
      </c>
      <c r="F50" t="inlineStr">
        <is>
          <t>2026-05-16</t>
        </is>
      </c>
      <c r="G50" t="inlineStr">
        <is>
          <t xml:space="preserve"> - Travel Home</t>
        </is>
      </c>
      <c r="H50">
        <f>HYPERLINK("https://booking.roadsurfer.com/es/rally/pick?pickup_date=2026-05-09&amp;return_date=2026-05-16&amp;currency=EUR&amp;startStation=40&amp;endStation=92",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2026-05-08</t>
        </is>
      </c>
      <c r="F51" t="inlineStr">
        <is>
          <t>2026-05-15</t>
        </is>
      </c>
      <c r="G51" t="inlineStr">
        <is>
          <t xml:space="preserve"> - Camper Cabin</t>
        </is>
      </c>
      <c r="H51">
        <f>HYPERLINK("https://booking.roadsurfer.com/es/rally/pick?pickup_date=2026-05-08&amp;return_date=2026-05-15&amp;currency=EUR&amp;startStation=40&amp;endStation=91",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Road House</t>
        </is>
      </c>
      <c r="H52">
        <f>HYPERLINK("https://booking.roadsurfer.com/es/rally/pick?pickup_date=2026-05-11&amp;return_date=2026-05-18&amp;currency=EUR&amp;startStation=40&amp;endStation=91",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2026-05-05</t>
        </is>
      </c>
      <c r="F53" t="inlineStr">
        <is>
          <t>2026-05-12</t>
        </is>
      </c>
      <c r="G53" t="inlineStr">
        <is>
          <t xml:space="preserve"> - Camper Castle</t>
        </is>
      </c>
      <c r="H53">
        <f>HYPERLINK("https://booking.roadsurfer.com/es/rally/pick?pickup_date=2026-05-05&amp;return_date=2026-05-12&amp;currency=EUR&amp;startStation=40&amp;endStation=91",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Camper Cabin - Camper Castle</t>
        </is>
      </c>
      <c r="H54">
        <f>HYPERLINK("https://booking.roadsurfer.com/es/rally/pick?pickup_date=2026-05-11&amp;return_date=2026-05-18&amp;currency=EUR&amp;startStation=40&amp;endStation=28",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2026-05-14</t>
        </is>
      </c>
      <c r="F55" t="inlineStr">
        <is>
          <t>2026-05-21</t>
        </is>
      </c>
      <c r="G55" t="inlineStr">
        <is>
          <t xml:space="preserve"> - Sunrise Suite</t>
        </is>
      </c>
      <c r="H55">
        <f>HYPERLINK("https://booking.roadsurfer.com/es/rally/pick?pickup_date=2026-05-14&amp;return_date=2026-05-21&amp;currency=EUR&amp;startStation=40&amp;endStation=28",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2026-05-07</t>
        </is>
      </c>
      <c r="F57" t="inlineStr">
        <is>
          <t>2026-05-14</t>
        </is>
      </c>
      <c r="G57" t="inlineStr">
        <is>
          <t xml:space="preserve"> - No hay coche</t>
        </is>
      </c>
      <c r="H57">
        <f>HYPERLINK("https://booking.roadsurfer.com/es/rally/pick?pickup_date=2026-05-07&amp;return_date=2026-05-14&amp;currency=EUR&amp;startStation=40&amp;endStation=90",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2026-05-18</t>
        </is>
      </c>
      <c r="F58" t="inlineStr">
        <is>
          <t>2026-05-25</t>
        </is>
      </c>
      <c r="G58" t="inlineStr">
        <is>
          <t xml:space="preserve"> - No hay coche</t>
        </is>
      </c>
      <c r="H58">
        <f>HYPERLINK("https://booking.roadsurfer.com/es/rally/pick?pickup_date=2026-05-18&amp;return_date=2026-05-25&amp;currency=EUR&amp;startStation=40&amp;endStation=90",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Stuttgart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Road House - Couple Cottage</t>
        </is>
      </c>
      <c r="H59">
        <f>HYPERLINK("https://booking.roadsurfer.com/es/rally/pick?pickup_date=2026-05-11&amp;return_date=2026-05-18&amp;currency=EUR&amp;startStation=40&amp;endStation=5",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2026-05-05</t>
        </is>
      </c>
      <c r="F60" t="inlineStr">
        <is>
          <t>2026-05-12</t>
        </is>
      </c>
      <c r="G60" t="inlineStr">
        <is>
          <t xml:space="preserve"> - Family Finca</t>
        </is>
      </c>
      <c r="H60">
        <f>HYPERLINK("https://booking.roadsurfer.com/es/rally/pick?pickup_date=2026-05-05&amp;return_date=2026-05-12&amp;currency=EUR&amp;startStation=40&amp;endStation=1", "Clic para verlo en la web de RoadSurfer")</f>
        <v/>
      </c>
    </row>
    <row r="61">
      <c r="A61" t="inlineStr">
        <is>
          <t>Italia</t>
        </is>
      </c>
      <c r="B61" t="inlineStr">
        <is>
          <t>Bolonia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Surfer Suite</t>
        </is>
      </c>
      <c r="H61">
        <f>HYPERLINK("https://booking.roadsurfer.com/es/rally/pick?pickup_date=2026-05-06&amp;return_date=2026-05-13&amp;currency=EUR&amp;startStation=57&amp;endStation=56", "Clic para verlo en la web de RoadSurfer")</f>
        <v/>
      </c>
    </row>
    <row r="62">
      <c r="A62" t="inlineStr">
        <is>
          <t>Italia</t>
        </is>
      </c>
      <c r="B62" t="inlineStr">
        <is>
          <t>Bolonia</t>
        </is>
      </c>
      <c r="C62" t="inlineStr">
        <is>
          <t>Alemania</t>
        </is>
      </c>
      <c r="D62" t="inlineStr">
        <is>
          <t>Kassel</t>
        </is>
      </c>
      <c r="E62" t="inlineStr">
        <is>
          <t>2026-05-07</t>
        </is>
      </c>
      <c r="F62" t="inlineStr">
        <is>
          <t>2026-05-14</t>
        </is>
      </c>
      <c r="G62" t="inlineStr">
        <is>
          <t xml:space="preserve"> - No hay coche</t>
        </is>
      </c>
      <c r="H62">
        <f>HYPERLINK("https://booking.roadsurfer.com/es/rally/pick?pickup_date=2026-05-07&amp;return_date=2026-05-14&amp;currency=EUR&amp;startStation=57&amp;endStation=92", "Clic para verlo en la web de RoadSurfer")</f>
        <v/>
      </c>
    </row>
    <row r="63">
      <c r="A63" t="inlineStr">
        <is>
          <t>Italia</t>
        </is>
      </c>
      <c r="B63" t="inlineStr">
        <is>
          <t>Bolonia</t>
        </is>
      </c>
      <c r="C63" t="inlineStr">
        <is>
          <t>Alemania</t>
        </is>
      </c>
      <c r="D63" t="inlineStr">
        <is>
          <t>Ulm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Surfer Suite</t>
        </is>
      </c>
      <c r="H63">
        <f>HYPERLINK("https://booking.roadsurfer.com/es/rally/pick?pickup_date=2026-05-11&amp;return_date=2026-05-18&amp;currency=EUR&amp;startStation=57&amp;endStation=112", "Clic para verlo en la web de RoadSurfer")</f>
        <v/>
      </c>
    </row>
    <row r="64">
      <c r="A64" t="inlineStr">
        <is>
          <t>Italia</t>
        </is>
      </c>
      <c r="B64" t="inlineStr">
        <is>
          <t>Bolonia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2026-05-06</t>
        </is>
      </c>
      <c r="F64" t="inlineStr">
        <is>
          <t>2026-05-13</t>
        </is>
      </c>
      <c r="G64" t="inlineStr">
        <is>
          <t xml:space="preserve"> - Family Finca</t>
        </is>
      </c>
      <c r="H64">
        <f>HYPERLINK("https://booking.roadsurfer.com/es/rally/pick?pickup_date=2026-05-06&amp;return_date=2026-05-13&amp;currency=EUR&amp;startStation=57&amp;endStation=8",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Road House</t>
        </is>
      </c>
      <c r="H65">
        <f>HYPERLINK("https://booking.roadsurfer.com/es/rally/pick?pickup_date=2026-05-11&amp;return_date=2026-05-18&amp;currency=EUR&amp;startStation=57&amp;endStation=8", "Clic para verlo en la web de RoadSurfer")</f>
        <v/>
      </c>
    </row>
    <row r="66">
      <c r="A66" t="inlineStr">
        <is>
          <t>Italia</t>
        </is>
      </c>
      <c r="B66" t="inlineStr">
        <is>
          <t>Bolonia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2026-06-01</t>
        </is>
      </c>
      <c r="F66" t="inlineStr">
        <is>
          <t>2026-06-08</t>
        </is>
      </c>
      <c r="G66" t="inlineStr">
        <is>
          <t xml:space="preserve"> - No hay coche</t>
        </is>
      </c>
      <c r="H66">
        <f>HYPERLINK("https://booking.roadsurfer.com/es/rally/pick?pickup_date=2026-06-01&amp;return_date=2026-06-08&amp;currency=EUR&amp;startStation=57&amp;endStation=1", "Clic para verlo en la web de RoadSurfer")</f>
        <v/>
      </c>
    </row>
    <row r="67">
      <c r="A67" t="inlineStr">
        <is>
          <t>Italia</t>
        </is>
      </c>
      <c r="B67" t="inlineStr">
        <is>
          <t>Bolonia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2026-05-19</t>
        </is>
      </c>
      <c r="F67" t="inlineStr">
        <is>
          <t>2026-05-26</t>
        </is>
      </c>
      <c r="G67" t="inlineStr">
        <is>
          <t xml:space="preserve"> - Couple Cottage</t>
        </is>
      </c>
      <c r="H67">
        <f>HYPERLINK("https://booking.roadsurfer.com/es/rally/pick?pickup_date=2026-05-19&amp;return_date=2026-05-26&amp;currency=EUR&amp;startStation=57&amp;endStation=22",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2026-05-08</t>
        </is>
      </c>
      <c r="F68" t="inlineStr">
        <is>
          <t>2026-05-15</t>
        </is>
      </c>
      <c r="G68" t="inlineStr">
        <is>
          <t xml:space="preserve"> - No hay coche</t>
        </is>
      </c>
      <c r="H68">
        <f>HYPERLINK("https://booking.roadsurfer.com/es/rally/pick?pickup_date=2026-05-08&amp;return_date=2026-05-15&amp;currency=EUR&amp;startStation=13&amp;endStation=22",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Camper Cabin - Couple Cottage</t>
        </is>
      </c>
      <c r="H69">
        <f>HYPERLINK("https://booking.roadsurfer.com/es/rally/pick?pickup_date=2026-05-11&amp;return_date=2026-05-18&amp;currency=EUR&amp;startStation=13&amp;endStation=22",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Surfer Suite - Road House</t>
        </is>
      </c>
      <c r="H70">
        <f>HYPERLINK("https://booking.roadsurfer.com/es/rally/pick?pickup_date=2026-05-11&amp;return_date=2026-05-18&amp;currency=EUR&amp;startStation=13&amp;endStation=56",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2026-05-26</t>
        </is>
      </c>
      <c r="F71" t="inlineStr">
        <is>
          <t>2026-06-02</t>
        </is>
      </c>
      <c r="G71" t="inlineStr">
        <is>
          <t xml:space="preserve"> - No hay coche</t>
        </is>
      </c>
      <c r="H71">
        <f>HYPERLINK("https://booking.roadsurfer.com/es/rally/pick?pickup_date=2026-05-26&amp;return_date=2026-06-02&amp;currency=EUR&amp;startStation=13&amp;endStation=56",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2026-05-07</t>
        </is>
      </c>
      <c r="F72" t="inlineStr">
        <is>
          <t>2026-05-14</t>
        </is>
      </c>
      <c r="G72" t="inlineStr">
        <is>
          <t xml:space="preserve"> - No hay coche</t>
        </is>
      </c>
      <c r="H72">
        <f>HYPERLINK("https://booking.roadsurfer.com/es/rally/pick?pickup_date=2026-05-07&amp;return_date=2026-05-14&amp;currency=EUR&amp;startStation=13&amp;endStation=56",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2026-05-20</t>
        </is>
      </c>
      <c r="F73" t="inlineStr">
        <is>
          <t>2026-05-27</t>
        </is>
      </c>
      <c r="G73" t="inlineStr">
        <is>
          <t xml:space="preserve"> - Surfer Suite</t>
        </is>
      </c>
      <c r="H73">
        <f>HYPERLINK("https://booking.roadsurfer.com/es/rally/pick?pickup_date=2026-05-20&amp;return_date=2026-05-27&amp;currency=EUR&amp;startStation=13&amp;endStation=56",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Sunrise Suite</t>
        </is>
      </c>
      <c r="H74">
        <f>HYPERLINK("https://booking.roadsurfer.com/es/rally/pick?pickup_date=2026-05-11&amp;return_date=2026-05-18&amp;currency=EUR&amp;startStation=13&amp;endStation=90",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2026-05-16</t>
        </is>
      </c>
      <c r="F75" t="inlineStr">
        <is>
          <t>2026-05-23</t>
        </is>
      </c>
      <c r="G75" t="inlineStr">
        <is>
          <t xml:space="preserve"> - No hay coche</t>
        </is>
      </c>
      <c r="H75">
        <f>HYPERLINK("https://booking.roadsurfer.com/es/rally/pick?pickup_date=2026-05-16&amp;return_date=2026-05-23&amp;currency=EUR&amp;startStation=13&amp;endStation=90",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Sunrise Suite</t>
        </is>
      </c>
      <c r="H76">
        <f>HYPERLINK("https://booking.roadsurfer.com/es/rally/pick?pickup_date=2026-06-01&amp;return_date=2026-06-08&amp;currency=EUR&amp;startStation=13&amp;endStation=90",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2026-05-28</t>
        </is>
      </c>
      <c r="F77" t="inlineStr">
        <is>
          <t>2026-06-04</t>
        </is>
      </c>
      <c r="G77" t="inlineStr">
        <is>
          <t xml:space="preserve"> - Couple Cottage</t>
        </is>
      </c>
      <c r="H77">
        <f>HYPERLINK("https://booking.roadsurfer.com/es/rally/pick?pickup_date=2026-05-28&amp;return_date=2026-06-04&amp;currency=EUR&amp;startStation=13&amp;endStation=90",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Surfer Suite</t>
        </is>
      </c>
      <c r="H78">
        <f>HYPERLINK("https://booking.roadsurfer.com/es/rally/pick?pickup_date=2026-05-11&amp;return_date=2026-05-18&amp;currency=EUR&amp;startStation=13&amp;endStation=130",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Braunschweig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Beach Hostel</t>
        </is>
      </c>
      <c r="H79">
        <f>HYPERLINK("https://booking.roadsurfer.com/es/rally/pick?pickup_date=2026-05-02&amp;return_date=2026-05-09&amp;currency=EUR&amp;startStation=13&amp;endStation=128",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Braunschweig</t>
        </is>
      </c>
      <c r="E80" t="inlineStr">
        <is>
          <t>2026-05-05</t>
        </is>
      </c>
      <c r="F80" t="inlineStr">
        <is>
          <t>2026-05-12</t>
        </is>
      </c>
      <c r="G80" t="inlineStr">
        <is>
          <t xml:space="preserve"> - Beach Hostel</t>
        </is>
      </c>
      <c r="H80">
        <f>HYPERLINK("https://booking.roadsurfer.com/es/rally/pick?pickup_date=2026-05-05&amp;return_date=2026-05-12&amp;currency=EUR&amp;startStation=13&amp;endStation=128",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Lübeck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Camper Cabin</t>
        </is>
      </c>
      <c r="H81">
        <f>HYPERLINK("https://booking.roadsurfer.com/es/rally/pick?pickup_date=2026-05-06&amp;return_date=2026-05-13&amp;currency=EUR&amp;startStation=13&amp;endStation=109",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Camper Castle</t>
        </is>
      </c>
      <c r="H82">
        <f>HYPERLINK("https://booking.roadsurfer.com/es/rally/pick?pickup_date=2026-05-06&amp;return_date=2026-05-13&amp;currency=EUR&amp;startStation=13&amp;endStation=8",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2026-05-13</t>
        </is>
      </c>
      <c r="F83" t="inlineStr">
        <is>
          <t>2026-05-20</t>
        </is>
      </c>
      <c r="G83" t="inlineStr">
        <is>
          <t xml:space="preserve"> - Road House</t>
        </is>
      </c>
      <c r="H83">
        <f>HYPERLINK("https://booking.roadsurfer.com/es/rally/pick?pickup_date=2026-05-13&amp;return_date=2026-05-20&amp;currency=EUR&amp;startStation=13&amp;endStation=8",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Ratisbona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Road House</t>
        </is>
      </c>
      <c r="H84">
        <f>HYPERLINK("https://booking.roadsurfer.com/es/rally/pick?pickup_date=2026-05-11&amp;return_date=2026-05-18&amp;currency=EUR&amp;startStation=13&amp;endStation=89",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2026-05-02</t>
        </is>
      </c>
      <c r="F85" t="inlineStr">
        <is>
          <t>2026-05-09</t>
        </is>
      </c>
      <c r="G85" t="inlineStr">
        <is>
          <t xml:space="preserve"> - Road House</t>
        </is>
      </c>
      <c r="H85">
        <f>HYPERLINK("https://booking.roadsurfer.com/es/rally/pick?pickup_date=2026-05-02&amp;return_date=2026-05-09&amp;currency=EUR&amp;startStation=13&amp;endStation=112",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Family Finca</t>
        </is>
      </c>
      <c r="H86">
        <f>HYPERLINK("https://booking.roadsurfer.com/es/rally/pick?pickup_date=2026-05-06&amp;return_date=2026-05-13&amp;currency=EUR&amp;startStation=13&amp;endStation=4",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Sunrise Suite</t>
        </is>
      </c>
      <c r="H87">
        <f>HYPERLINK("https://booking.roadsurfer.com/es/rally/pick?pickup_date=2026-05-11&amp;return_date=2026-05-18&amp;currency=EUR&amp;startStation=13&amp;endStation=4",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2026-05-13</t>
        </is>
      </c>
      <c r="F88" t="inlineStr">
        <is>
          <t>2026-05-20</t>
        </is>
      </c>
      <c r="G88" t="inlineStr">
        <is>
          <t xml:space="preserve"> - No hay coche</t>
        </is>
      </c>
      <c r="H88">
        <f>HYPERLINK("https://booking.roadsurfer.com/es/rally/pick?pickup_date=2026-05-13&amp;return_date=2026-05-20&amp;currency=EUR&amp;startStation=13&amp;endStation=4",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Surfer Suite</t>
        </is>
      </c>
      <c r="H89">
        <f>HYPERLINK("https://booking.roadsurfer.com/es/rally/pick?pickup_date=2026-05-08&amp;return_date=2026-05-15&amp;currency=EUR&amp;startStation=55&amp;endStation=130",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2026-05-13</t>
        </is>
      </c>
      <c r="F90" t="inlineStr">
        <is>
          <t>2026-05-20</t>
        </is>
      </c>
      <c r="G90" t="inlineStr"/>
      <c r="H90">
        <f>HYPERLINK("https://booking.roadsurfer.com/es/rally/pick?pickup_date=2026-05-13&amp;return_date=2026-05-20&amp;currency=EUR&amp;startStation=55&amp;endStation=59",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Travel Home</t>
        </is>
      </c>
      <c r="H91">
        <f>HYPERLINK("https://booking.roadsurfer.com/es/rally/pick?pickup_date=2026-05-04&amp;return_date=2026-05-11&amp;currency=EUR&amp;startStation=55&amp;endStation=51",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Cozy Cottage</t>
        </is>
      </c>
      <c r="H92">
        <f>HYPERLINK("https://booking.roadsurfer.com/es/rally/pick?pickup_date=2026-06-05&amp;return_date=2026-06-12&amp;currency=EUR&amp;startStation=55&amp;endStation=60",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2026-05-18</t>
        </is>
      </c>
      <c r="F93" t="inlineStr">
        <is>
          <t>2026-05-25</t>
        </is>
      </c>
      <c r="G93" t="inlineStr"/>
      <c r="H93">
        <f>HYPERLINK("https://booking.roadsurfer.com/es/rally/pick?pickup_date=2026-05-18&amp;return_date=2026-05-25&amp;currency=EUR&amp;startStation=55&amp;endStation=60",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Malmö</t>
        </is>
      </c>
      <c r="E94" t="inlineStr">
        <is>
          <t>2026-05-12</t>
        </is>
      </c>
      <c r="F94" t="inlineStr">
        <is>
          <t>2026-05-19</t>
        </is>
      </c>
      <c r="G94" t="inlineStr">
        <is>
          <t xml:space="preserve"> - Road House</t>
        </is>
      </c>
      <c r="H94">
        <f>HYPERLINK("https://booking.roadsurfer.com/es/rally/pick?pickup_date=2026-05-12&amp;return_date=2026-05-19&amp;currency=EUR&amp;startStation=55&amp;endStation=60",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HYPERLINK("https://booking.roadsurfer.com/es/rally/pick?pickup_date=2026-05-11&amp;return_date=2026-05-18&amp;currency=EUR&amp;startStation=55&amp;endStation=29",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2026-05-26</t>
        </is>
      </c>
      <c r="F96" t="inlineStr">
        <is>
          <t>2026-06-01</t>
        </is>
      </c>
      <c r="G96" t="inlineStr">
        <is>
          <t xml:space="preserve"> - Camper Cabin Deluxe</t>
        </is>
      </c>
      <c r="H96">
        <f>HYPERLINK("https://booking.roadsurfer.com/es/rally/pick?pickup_date=2026-05-26&amp;return_date=2026-06-01&amp;currency=EUR&amp;startStation=55&amp;endStation=78",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No hay coche</t>
        </is>
      </c>
      <c r="H97">
        <f>HYPERLINK("https://booking.roadsurfer.com/es/rally/pick?pickup_date=2026-06-05&amp;return_date=2026-06-12&amp;currency=EUR&amp;startStation=55&amp;endStation=42",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2026-05-18</t>
        </is>
      </c>
      <c r="F98" t="inlineStr">
        <is>
          <t>2026-05-25</t>
        </is>
      </c>
      <c r="G98" t="inlineStr">
        <is>
          <t xml:space="preserve"> - No hay coche</t>
        </is>
      </c>
      <c r="H98">
        <f>HYPERLINK("https://booking.roadsurfer.com/es/rally/pick?pickup_date=2026-05-18&amp;return_date=2026-05-25&amp;currency=EUR&amp;startStation=55&amp;endStation=42",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2026-05-09</t>
        </is>
      </c>
      <c r="F99" t="inlineStr">
        <is>
          <t>2026-05-16</t>
        </is>
      </c>
      <c r="G99" t="inlineStr">
        <is>
          <t xml:space="preserve"> - Cozy Cottage</t>
        </is>
      </c>
      <c r="H99">
        <f>HYPERLINK("https://booking.roadsurfer.com/es/rally/pick?pickup_date=2026-05-09&amp;return_date=2026-05-16&amp;currency=EUR&amp;startStation=55&amp;endStation=77",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Sunrise Suite</t>
        </is>
      </c>
      <c r="H100">
        <f>HYPERLINK("https://booking.roadsurfer.com/es/rally/pick?pickup_date=2026-06-08&amp;return_date=2026-06-15&amp;currency=EUR&amp;startStation=55&amp;endStation=13",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2026-05-08</t>
        </is>
      </c>
      <c r="F101" t="inlineStr">
        <is>
          <t>2026-05-15</t>
        </is>
      </c>
      <c r="G101" t="inlineStr">
        <is>
          <t xml:space="preserve"> - No hay coche</t>
        </is>
      </c>
      <c r="H101">
        <f>HYPERLINK("https://booking.roadsurfer.com/es/rally/pick?pickup_date=2026-05-08&amp;return_date=2026-05-15&amp;currency=EUR&amp;startStation=55&amp;endStation=4", "Clic para verlo en la web de RoadSurfer")</f>
        <v/>
      </c>
    </row>
    <row r="102">
      <c r="A102" t="inlineStr">
        <is>
          <t>Bélgica</t>
        </is>
      </c>
      <c r="B102" t="inlineStr">
        <is>
          <t>Bruselas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Couple Cottage</t>
        </is>
      </c>
      <c r="H102">
        <f>HYPERLINK("https://booking.roadsurfer.com/es/rally/pick?pickup_date=2026-05-11&amp;return_date=2026-05-18&amp;currency=EUR&amp;startStation=42&amp;endStation=90",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Beach Hostel</t>
        </is>
      </c>
      <c r="H103">
        <f>HYPERLINK("https://booking.roadsurfer.com/es/rally/pick?pickup_date=2026-05-06&amp;return_date=2026-05-13&amp;currency=EUR&amp;startStation=42&amp;endStation=90",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Bochum</t>
        </is>
      </c>
      <c r="E104" t="inlineStr">
        <is>
          <t>2026-05-21</t>
        </is>
      </c>
      <c r="F104" t="inlineStr">
        <is>
          <t>2026-05-28</t>
        </is>
      </c>
      <c r="G104" t="inlineStr">
        <is>
          <t xml:space="preserve"> - Camper Cabin</t>
        </is>
      </c>
      <c r="H104">
        <f>HYPERLINK("https://booking.roadsurfer.com/es/rally/pick?pickup_date=2026-05-21&amp;return_date=2026-05-28&amp;currency=EUR&amp;startStation=42&amp;endStation=24",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Bremen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Camper Cabin</t>
        </is>
      </c>
      <c r="H105">
        <f>HYPERLINK("https://booking.roadsurfer.com/es/rally/pick?pickup_date=2026-05-06&amp;return_date=2026-05-13&amp;currency=EUR&amp;startStation=42&amp;endStation=55", "Clic para verlo en la web de RoadSurfer")</f>
        <v/>
      </c>
    </row>
    <row r="106">
      <c r="A106" t="inlineStr">
        <is>
          <t>Bélgica</t>
        </is>
      </c>
      <c r="B106" t="inlineStr">
        <is>
          <t>Bruselas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2026-05-18</t>
        </is>
      </c>
      <c r="F106" t="inlineStr">
        <is>
          <t>2026-05-25</t>
        </is>
      </c>
      <c r="G106" t="inlineStr">
        <is>
          <t xml:space="preserve"> - No hay coche</t>
        </is>
      </c>
      <c r="H106">
        <f>HYPERLINK("https://booking.roadsurfer.com/es/rally/pick?pickup_date=2026-05-18&amp;return_date=2026-05-25&amp;currency=EUR&amp;startStation=42&amp;endStation=91", "Clic para verlo en la web de RoadSurfer")</f>
        <v/>
      </c>
    </row>
    <row r="107">
      <c r="A107" t="inlineStr">
        <is>
          <t>Alemania</t>
        </is>
      </c>
      <c r="B107" t="inlineStr">
        <is>
          <t>Colonia-Bonn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2026-05-07</t>
        </is>
      </c>
      <c r="F107" t="inlineStr">
        <is>
          <t>2026-05-14</t>
        </is>
      </c>
      <c r="G107" t="inlineStr">
        <is>
          <t xml:space="preserve"> - No hay coche</t>
        </is>
      </c>
      <c r="H107">
        <f>HYPERLINK("https://booking.roadsurfer.com/es/rally/pick?pickup_date=2026-05-07&amp;return_date=2026-05-14&amp;currency=EUR&amp;startStation=52&amp;endStation=29", "Clic para verlo en la web de RoadSurfer")</f>
        <v/>
      </c>
    </row>
    <row r="108">
      <c r="A108" t="inlineStr">
        <is>
          <t>Alemania</t>
        </is>
      </c>
      <c r="B108" t="inlineStr">
        <is>
          <t>Colonia-Bonn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Surfer Suite</t>
        </is>
      </c>
      <c r="H108">
        <f>HYPERLINK("https://booking.roadsurfer.com/es/rally/pick?pickup_date=2026-05-04&amp;return_date=2026-05-11&amp;currency=EUR&amp;startStation=52&amp;endStation=29", "Clic para verlo en la web de RoadSurfer")</f>
        <v/>
      </c>
    </row>
    <row r="109">
      <c r="A109" t="inlineStr">
        <is>
          <t>Alemania</t>
        </is>
      </c>
      <c r="B109" t="inlineStr">
        <is>
          <t>Colonia-Bonn</t>
        </is>
      </c>
      <c r="C109" t="inlineStr">
        <is>
          <t>Alemania</t>
        </is>
      </c>
      <c r="D109" t="inlineStr">
        <is>
          <t>Flensburgo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Beach Hostel</t>
        </is>
      </c>
      <c r="H109">
        <f>HYPERLINK("https://booking.roadsurfer.com/es/rally/pick?pickup_date=2026-05-04&amp;return_date=2026-05-11&amp;currency=EUR&amp;startStation=52&amp;endStation=130", "Clic para verlo en la web de RoadSurfer")</f>
        <v/>
      </c>
    </row>
    <row r="110">
      <c r="A110" t="inlineStr">
        <is>
          <t>Alemania</t>
        </is>
      </c>
      <c r="B110" t="inlineStr">
        <is>
          <t>Colonia-Bonn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HYPERLINK("https://booking.roadsurfer.com/es/rally/pick?pickup_date=2026-05-07&amp;return_date=2026-05-14&amp;currency=EUR&amp;startStation=52&amp;endStation=13", "Clic para verlo en la web de RoadSurfer")</f>
        <v/>
      </c>
    </row>
    <row r="111">
      <c r="A111" t="inlineStr">
        <is>
          <t>Alemania</t>
        </is>
      </c>
      <c r="B111" t="inlineStr">
        <is>
          <t>Colonia-Bonn</t>
        </is>
      </c>
      <c r="C111" t="inlineStr">
        <is>
          <t>Italia</t>
        </is>
      </c>
      <c r="D111" t="inlineStr">
        <is>
          <t>Venecia</t>
        </is>
      </c>
      <c r="E111" t="inlineStr">
        <is>
          <t>2026-05-18</t>
        </is>
      </c>
      <c r="F111" t="inlineStr">
        <is>
          <t>2026-05-26</t>
        </is>
      </c>
      <c r="G111" t="inlineStr">
        <is>
          <t xml:space="preserve"> - Camper Cabin</t>
        </is>
      </c>
      <c r="H111">
        <f>HYPERLINK("https://booking.roadsurfer.com/es/rally/pick?pickup_date=2026-05-18&amp;return_date=2026-05-26&amp;currency=EUR&amp;startStation=52&amp;endStation=78", "Clic para verlo en la web de RoadSurfer")</f>
        <v/>
      </c>
    </row>
    <row r="112">
      <c r="A112" t="inlineStr">
        <is>
          <t>Alemania</t>
        </is>
      </c>
      <c r="B112" t="inlineStr">
        <is>
          <t>Colonia-Bonn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HYPERLINK("https://booking.roadsurfer.com/es/rally/pick?pickup_date=2026-05-07&amp;return_date=2026-05-14&amp;currency=EUR&amp;startStation=52&amp;endStation=31",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2026-05-18</t>
        </is>
      </c>
      <c r="F113" t="inlineStr">
        <is>
          <t>2026-05-25</t>
        </is>
      </c>
      <c r="G113" t="inlineStr">
        <is>
          <t xml:space="preserve"> - No hay coche</t>
        </is>
      </c>
      <c r="H113">
        <f>HYPERLINK("https://booking.roadsurfer.com/es/rally/pick?pickup_date=2026-05-18&amp;return_date=2026-05-25&amp;currency=EUR&amp;startStation=52&amp;endStation=48",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HYPERLINK("https://booking.roadsurfer.com/es/rally/pick?pickup_date=2026-05-07&amp;return_date=2026-05-14&amp;currency=EUR&amp;startStation=52&amp;endStation=47",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Surfer Suite</t>
        </is>
      </c>
      <c r="H115">
        <f>HYPERLINK("https://booking.roadsurfer.com/es/rally/pick?pickup_date=2026-05-11&amp;return_date=2026-05-18&amp;currency=EUR&amp;startStation=4&amp;endStation=31",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Austria</t>
        </is>
      </c>
      <c r="D116" t="inlineStr">
        <is>
          <t>Viena Sur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Camper Cabin</t>
        </is>
      </c>
      <c r="H116">
        <f>HYPERLINK("https://booking.roadsurfer.com/es/rally/pick?pickup_date=2026-05-05&amp;return_date=2026-05-12&amp;currency=EUR&amp;startStation=4&amp;endStation=45",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Austria</t>
        </is>
      </c>
      <c r="D117" t="inlineStr">
        <is>
          <t>Viena Sur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HYPERLINK("https://booking.roadsurfer.com/es/rally/pick?pickup_date=2026-05-08&amp;return_date=2026-05-15&amp;currency=EUR&amp;startStation=4&amp;endStation=45",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2026-05-18</t>
        </is>
      </c>
      <c r="F118" t="inlineStr">
        <is>
          <t>2026-05-26</t>
        </is>
      </c>
      <c r="G118" t="inlineStr">
        <is>
          <t xml:space="preserve"> - No hay coche</t>
        </is>
      </c>
      <c r="H118">
        <f>HYPERLINK("https://booking.roadsurfer.com/es/rally/pick?pickup_date=2026-05-18&amp;return_date=2026-05-26&amp;currency=EUR&amp;startStation=4&amp;endStation=59",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2026-05-05</t>
        </is>
      </c>
      <c r="F119" t="inlineStr">
        <is>
          <t>2026-05-12</t>
        </is>
      </c>
      <c r="G119" t="inlineStr">
        <is>
          <t xml:space="preserve"> - No hay coche</t>
        </is>
      </c>
      <c r="H119">
        <f>HYPERLINK("https://booking.roadsurfer.com/es/rally/pick?pickup_date=2026-05-05&amp;return_date=2026-05-12&amp;currency=EUR&amp;startStation=4&amp;endStation=15",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2026-05-21</t>
        </is>
      </c>
      <c r="F120" t="inlineStr">
        <is>
          <t>2026-05-28</t>
        </is>
      </c>
      <c r="G120" t="inlineStr">
        <is>
          <t xml:space="preserve"> - Camper Castle</t>
        </is>
      </c>
      <c r="H120">
        <f>HYPERLINK("https://booking.roadsurfer.com/es/rally/pick?pickup_date=2026-05-21&amp;return_date=2026-05-28&amp;currency=EUR&amp;startStation=4&amp;endStation=36",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2026-05-25</t>
        </is>
      </c>
      <c r="F121" t="inlineStr">
        <is>
          <t>2026-06-01</t>
        </is>
      </c>
      <c r="G121" t="inlineStr">
        <is>
          <t xml:space="preserve"> - No hay coche</t>
        </is>
      </c>
      <c r="H121">
        <f>HYPERLINK("https://booking.roadsurfer.com/es/rally/pick?pickup_date=2026-05-25&amp;return_date=2026-06-01&amp;currency=EUR&amp;startStation=4&amp;endStation=40",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Aix-Marsella</t>
        </is>
      </c>
      <c r="E122" t="inlineStr">
        <is>
          <t>2026-05-08</t>
        </is>
      </c>
      <c r="F122" t="inlineStr">
        <is>
          <t>2026-05-15</t>
        </is>
      </c>
      <c r="G122" t="inlineStr">
        <is>
          <t xml:space="preserve"> - Couple Cottage</t>
        </is>
      </c>
      <c r="H122">
        <f>HYPERLINK("https://booking.roadsurfer.com/es/rally/pick?pickup_date=2026-05-08&amp;return_date=2026-05-15&amp;currency=EUR&amp;startStation=4&amp;endStation=16",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Niza</t>
        </is>
      </c>
      <c r="E123" t="inlineStr">
        <is>
          <t>2026-05-05</t>
        </is>
      </c>
      <c r="F123" t="inlineStr">
        <is>
          <t>2026-05-12</t>
        </is>
      </c>
      <c r="G123" t="inlineStr">
        <is>
          <t xml:space="preserve"> - Couple Cottage</t>
        </is>
      </c>
      <c r="H123">
        <f>HYPERLINK("https://booking.roadsurfer.com/es/rally/pick?pickup_date=2026-05-05&amp;return_date=2026-05-12&amp;currency=EUR&amp;startStation=4&amp;endStation=88", "Clic para verlo en la web de RoadSurfer")</f>
        <v/>
      </c>
    </row>
    <row r="124">
      <c r="A124" t="inlineStr">
        <is>
          <t>Alemania</t>
        </is>
      </c>
      <c r="B124" t="inlineStr">
        <is>
          <t>Constanza (Aach)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2026-05-02</t>
        </is>
      </c>
      <c r="F124" t="inlineStr">
        <is>
          <t>2026-05-09</t>
        </is>
      </c>
      <c r="G124" t="inlineStr">
        <is>
          <t xml:space="preserve"> - Surfer Suite</t>
        </is>
      </c>
      <c r="H124">
        <f>HYPERLINK("https://booking.roadsurfer.com/es/rally/pick?pickup_date=2026-05-02&amp;return_date=2026-05-09&amp;currency=EUR&amp;startStation=10&amp;endStation=15", "Clic para verlo en la web de RoadSurfer")</f>
        <v/>
      </c>
    </row>
    <row r="125">
      <c r="A125" t="inlineStr">
        <is>
          <t>Alemania</t>
        </is>
      </c>
      <c r="B125" t="inlineStr">
        <is>
          <t>Constanza (Aach)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Camper Cabin</t>
        </is>
      </c>
      <c r="H125">
        <f>HYPERLINK("https://booking.roadsurfer.com/es/rally/pick?pickup_date=2026-05-21&amp;return_date=2026-05-28&amp;currency=EUR&amp;startStation=10&amp;endStation=56", "Clic para verlo en la web de RoadSurfer")</f>
        <v/>
      </c>
    </row>
    <row r="126">
      <c r="A126" t="inlineStr">
        <is>
          <t>Alemania</t>
        </is>
      </c>
      <c r="B126" t="inlineStr">
        <is>
          <t>Constanza (Aach)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No hay coche</t>
        </is>
      </c>
      <c r="H126">
        <f>HYPERLINK("https://booking.roadsurfer.com/es/rally/pick?pickup_date=2026-05-06&amp;return_date=2026-05-13&amp;currency=EUR&amp;startStation=10&amp;endStation=31", "Clic para verlo en la web de RoadSurfer")</f>
        <v/>
      </c>
    </row>
    <row r="127">
      <c r="A127" t="inlineStr">
        <is>
          <t>Alemania</t>
        </is>
      </c>
      <c r="B127" t="inlineStr">
        <is>
          <t>Constanza (Aach)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Cabin Deluxe</t>
        </is>
      </c>
      <c r="H127">
        <f>HYPERLINK("https://booking.roadsurfer.com/es/rally/pick?pickup_date=2026-06-01&amp;return_date=2026-06-08&amp;currency=EUR&amp;startStation=10&amp;endStation=42", "Clic para verlo en la web de RoadSurfer")</f>
        <v/>
      </c>
    </row>
    <row r="128">
      <c r="A128" t="inlineStr">
        <is>
          <t>Alemania</t>
        </is>
      </c>
      <c r="B128" t="inlineStr">
        <is>
          <t>Constanza (Aach)</t>
        </is>
      </c>
      <c r="C128" t="inlineStr">
        <is>
          <t>Austria</t>
        </is>
      </c>
      <c r="D128" t="inlineStr">
        <is>
          <t>Viena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No hay coche</t>
        </is>
      </c>
      <c r="H128">
        <f>HYPERLINK("https://booking.roadsurfer.com/es/rally/pick?pickup_date=2026-05-08&amp;return_date=2026-05-15&amp;currency=EUR&amp;startStation=10&amp;endStation=36", "Clic para verlo en la web de RoadSurfer")</f>
        <v/>
      </c>
    </row>
    <row r="129">
      <c r="A129" t="inlineStr">
        <is>
          <t>Alemania</t>
        </is>
      </c>
      <c r="B129" t="inlineStr">
        <is>
          <t>Constanza (Aach)</t>
        </is>
      </c>
      <c r="C129" t="inlineStr">
        <is>
          <t>Francia</t>
        </is>
      </c>
      <c r="D129" t="inlineStr">
        <is>
          <t>Aix-Marsella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Castle</t>
        </is>
      </c>
      <c r="H129">
        <f>HYPERLINK("https://booking.roadsurfer.com/es/rally/pick?pickup_date=2026-06-08&amp;return_date=2026-06-15&amp;currency=EUR&amp;startStation=10&amp;endStation=16",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Alemania</t>
        </is>
      </c>
      <c r="D130" t="inlineStr">
        <is>
          <t>Braunschweig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Surfer Suite</t>
        </is>
      </c>
      <c r="H130">
        <f>HYPERLINK("https://booking.roadsurfer.com/es/rally/pick?pickup_date=2026-05-06&amp;return_date=2026-05-13&amp;currency=EUR&amp;startStation=56&amp;endStation=128",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No hay coche</t>
        </is>
      </c>
      <c r="H131">
        <f>HYPERLINK("https://booking.roadsurfer.com/es/rally/pick?pickup_date=2026-05-16&amp;return_date=2026-05-23&amp;currency=EUR&amp;startStation=56&amp;endStation=33",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2026-05-13</t>
        </is>
      </c>
      <c r="F132" t="inlineStr">
        <is>
          <t>2026-05-20</t>
        </is>
      </c>
      <c r="G132" t="inlineStr"/>
      <c r="H132">
        <f>HYPERLINK("https://booking.roadsurfer.com/es/rally/pick?pickup_date=2026-05-13&amp;return_date=2026-05-20&amp;currency=EUR&amp;startStation=56&amp;endStation=47",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HYPERLINK("https://booking.roadsurfer.com/es/rally/pick?pickup_date=2026-05-07&amp;return_date=2026-05-14&amp;currency=EUR&amp;startStation=56&amp;endStation=47",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2026-05-20</t>
        </is>
      </c>
      <c r="F134" t="inlineStr">
        <is>
          <t>2026-05-27</t>
        </is>
      </c>
      <c r="G134" t="inlineStr">
        <is>
          <t xml:space="preserve"> - Road House</t>
        </is>
      </c>
      <c r="H134">
        <f>HYPERLINK("https://booking.roadsurfer.com/es/rally/pick?pickup_date=2026-05-20&amp;return_date=2026-05-27&amp;currency=EUR&amp;startStation=56&amp;endStation=59",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2026-06-04</t>
        </is>
      </c>
      <c r="F135" t="inlineStr">
        <is>
          <t>2026-06-11</t>
        </is>
      </c>
      <c r="G135" t="inlineStr">
        <is>
          <t xml:space="preserve"> - Road House</t>
        </is>
      </c>
      <c r="H135">
        <f>HYPERLINK("https://booking.roadsurfer.com/es/rally/pick?pickup_date=2026-06-04&amp;return_date=2026-06-11&amp;currency=EUR&amp;startStation=56&amp;endStation=59",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Family Finca</t>
        </is>
      </c>
      <c r="H136">
        <f>HYPERLINK("https://booking.roadsurfer.com/es/rally/pick?pickup_date=2026-05-11&amp;return_date=2026-05-18&amp;currency=EUR&amp;startStation=56&amp;endStation=77",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2026-05-09</t>
        </is>
      </c>
      <c r="F137" t="inlineStr">
        <is>
          <t>2026-05-16</t>
        </is>
      </c>
      <c r="G137" t="inlineStr">
        <is>
          <t xml:space="preserve"> - Road House</t>
        </is>
      </c>
      <c r="H137">
        <f>HYPERLINK("https://booking.roadsurfer.com/es/rally/pick?pickup_date=2026-05-09&amp;return_date=2026-05-16&amp;currency=EUR&amp;startStation=56&amp;endStation=13",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No hay coche</t>
        </is>
      </c>
      <c r="H138">
        <f>HYPERLINK("https://booking.roadsurfer.com/es/rally/pick?pickup_date=2026-05-06&amp;return_date=2026-05-13&amp;currency=EUR&amp;startStation=56&amp;endStation=13",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Austria</t>
        </is>
      </c>
      <c r="D139" t="inlineStr">
        <is>
          <t>Viena</t>
        </is>
      </c>
      <c r="E139" t="inlineStr">
        <is>
          <t>2026-05-25</t>
        </is>
      </c>
      <c r="F139" t="inlineStr">
        <is>
          <t>2026-06-01</t>
        </is>
      </c>
      <c r="G139" t="inlineStr">
        <is>
          <t xml:space="preserve"> - No hay coche</t>
        </is>
      </c>
      <c r="H139">
        <f>HYPERLINK("https://booking.roadsurfer.com/es/rally/pick?pickup_date=2026-05-25&amp;return_date=2026-06-01&amp;currency=EUR&amp;startStation=56&amp;endStation=36",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Castle</t>
        </is>
      </c>
      <c r="H140">
        <f>HYPERLINK("https://booking.roadsurfer.com/es/rally/pick?pickup_date=2026-05-11&amp;return_date=2026-05-18&amp;currency=EUR&amp;startStation=56&amp;endStation=31",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Austria</t>
        </is>
      </c>
      <c r="D141" t="inlineStr">
        <is>
          <t>Viena Sur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Couple Cottage</t>
        </is>
      </c>
      <c r="H141">
        <f>HYPERLINK("https://booking.roadsurfer.com/es/rally/pick?pickup_date=2026-05-13&amp;return_date=2026-05-20&amp;currency=EUR&amp;startStation=56&amp;endStation=45", "Clic para verlo en la web de RoadSurfer")</f>
        <v/>
      </c>
    </row>
    <row r="142">
      <c r="A142" t="inlineStr">
        <is>
          <t>Alemania</t>
        </is>
      </c>
      <c r="B142" t="inlineStr">
        <is>
          <t>Duisburgo</t>
        </is>
      </c>
      <c r="C142" t="inlineStr">
        <is>
          <t>Francia</t>
        </is>
      </c>
      <c r="D142" t="inlineStr">
        <is>
          <t>Lille</t>
        </is>
      </c>
      <c r="E142" t="inlineStr">
        <is>
          <t>2026-05-02</t>
        </is>
      </c>
      <c r="F142" t="inlineStr">
        <is>
          <t>2026-05-09</t>
        </is>
      </c>
      <c r="G142" t="inlineStr">
        <is>
          <t xml:space="preserve"> - Beach Hostel</t>
        </is>
      </c>
      <c r="H142">
        <f>HYPERLINK("https://booking.roadsurfer.com/es/rally/pick?pickup_date=2026-05-02&amp;return_date=2026-05-09&amp;currency=EUR&amp;startStation=113&amp;endStation=87", "Clic para verlo en la web de RoadSurfer")</f>
        <v/>
      </c>
    </row>
    <row r="143">
      <c r="A143" t="inlineStr">
        <is>
          <t>Alemania</t>
        </is>
      </c>
      <c r="B143" t="inlineStr">
        <is>
          <t>Duisburgo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Family Finca</t>
        </is>
      </c>
      <c r="H143">
        <f>HYPERLINK("https://booking.roadsurfer.com/es/rally/pick?pickup_date=2026-05-06&amp;return_date=2026-05-13&amp;currency=EUR&amp;startStation=113&amp;endStation=31",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</t>
        </is>
      </c>
      <c r="H144">
        <f>HYPERLINK("https://booking.roadsurfer.com/es/rally/pick?pickup_date=2026-05-11&amp;return_date=2026-05-18&amp;currency=EUR&amp;startStation=90&amp;endStation=47",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Sunrise Suite</t>
        </is>
      </c>
      <c r="H145">
        <f>HYPERLINK("https://booking.roadsurfer.com/es/rally/pick?pickup_date=2026-05-13&amp;return_date=2026-05-20&amp;currency=EUR&amp;startStation=90&amp;endStation=47",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Bélgica</t>
        </is>
      </c>
      <c r="D146" t="inlineStr">
        <is>
          <t>Bruselas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</t>
        </is>
      </c>
      <c r="H146">
        <f>HYPERLINK("https://booking.roadsurfer.com/es/rally/pick?pickup_date=2026-05-11&amp;return_date=2026-05-18&amp;currency=EUR&amp;startStation=90&amp;endStation=42",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Bélgica</t>
        </is>
      </c>
      <c r="D147" t="inlineStr">
        <is>
          <t>Bruselas</t>
        </is>
      </c>
      <c r="E147" t="inlineStr">
        <is>
          <t>2026-06-04</t>
        </is>
      </c>
      <c r="F147" t="inlineStr">
        <is>
          <t>2026-06-11</t>
        </is>
      </c>
      <c r="G147" t="inlineStr">
        <is>
          <t xml:space="preserve"> - Beach Hostel</t>
        </is>
      </c>
      <c r="H147">
        <f>HYPERLINK("https://booking.roadsurfer.com/es/rally/pick?pickup_date=2026-06-04&amp;return_date=2026-06-11&amp;currency=EUR&amp;startStation=90&amp;endStation=42",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Alemania</t>
        </is>
      </c>
      <c r="D148" t="inlineStr">
        <is>
          <t>Flensburgo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Surfer Suite</t>
        </is>
      </c>
      <c r="H148">
        <f>HYPERLINK("https://booking.roadsurfer.com/es/rally/pick?pickup_date=2026-05-05&amp;return_date=2026-05-12&amp;currency=EUR&amp;startStation=90&amp;endStation=130",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Austria</t>
        </is>
      </c>
      <c r="D149" t="inlineStr">
        <is>
          <t>Linz</t>
        </is>
      </c>
      <c r="E149" t="inlineStr">
        <is>
          <t>2026-05-05</t>
        </is>
      </c>
      <c r="F149" t="inlineStr">
        <is>
          <t>2026-05-12</t>
        </is>
      </c>
      <c r="G149" t="inlineStr">
        <is>
          <t xml:space="preserve"> - Surfer Suite</t>
        </is>
      </c>
      <c r="H149">
        <f>HYPERLINK("https://booking.roadsurfer.com/es/rally/pick?pickup_date=2026-05-05&amp;return_date=2026-05-12&amp;currency=EUR&amp;startStation=90&amp;endStation=116",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Austria</t>
        </is>
      </c>
      <c r="D150" t="inlineStr">
        <is>
          <t>Graz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Surfer Suite</t>
        </is>
      </c>
      <c r="H150">
        <f>HYPERLINK("https://booking.roadsurfer.com/es/rally/pick?pickup_date=2026-05-11&amp;return_date=2026-05-18&amp;currency=EUR&amp;startStation=90&amp;endStation=37",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Surfer Suite</t>
        </is>
      </c>
      <c r="H151">
        <f>HYPERLINK("https://booking.roadsurfer.com/es/rally/pick?pickup_date=2026-05-13&amp;return_date=2026-05-20&amp;currency=EUR&amp;startStation=90&amp;endStation=37",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No hay coche</t>
        </is>
      </c>
      <c r="H152">
        <f>HYPERLINK("https://booking.roadsurfer.com/es/rally/pick?pickup_date=2026-05-02&amp;return_date=2026-05-09&amp;currency=EUR&amp;startStation=90&amp;endStation=48",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Alemania</t>
        </is>
      </c>
      <c r="D153" t="inlineStr">
        <is>
          <t>Augsburgo</t>
        </is>
      </c>
      <c r="E153" t="inlineStr">
        <is>
          <t>2026-05-09</t>
        </is>
      </c>
      <c r="F153" t="inlineStr">
        <is>
          <t>2026-05-16</t>
        </is>
      </c>
      <c r="G153" t="inlineStr">
        <is>
          <t xml:space="preserve"> - Surfer Suite</t>
        </is>
      </c>
      <c r="H153">
        <f>HYPERLINK("https://booking.roadsurfer.com/es/rally/pick?pickup_date=2026-05-09&amp;return_date=2026-05-16&amp;currency=EUR&amp;startStation=90&amp;endStation=108",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2026-05-20</t>
        </is>
      </c>
      <c r="F154" t="inlineStr">
        <is>
          <t>2026-05-27</t>
        </is>
      </c>
      <c r="G154" t="inlineStr">
        <is>
          <t xml:space="preserve"> - Family Finca</t>
        </is>
      </c>
      <c r="H154">
        <f>HYPERLINK("https://booking.roadsurfer.com/es/rally/pick?pickup_date=2026-05-20&amp;return_date=2026-05-27&amp;currency=EUR&amp;startStation=90&amp;endStation=77",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2026-05-09</t>
        </is>
      </c>
      <c r="F155" t="inlineStr">
        <is>
          <t>2026-05-16</t>
        </is>
      </c>
      <c r="G155" t="inlineStr">
        <is>
          <t xml:space="preserve"> - Road House</t>
        </is>
      </c>
      <c r="H155">
        <f>HYPERLINK("https://booking.roadsurfer.com/es/rally/pick?pickup_date=2026-05-09&amp;return_date=2026-05-16&amp;currency=EUR&amp;startStation=90&amp;endStation=77",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2026-06-09</t>
        </is>
      </c>
      <c r="F156" t="inlineStr">
        <is>
          <t>2026-06-16</t>
        </is>
      </c>
      <c r="G156" t="inlineStr">
        <is>
          <t xml:space="preserve"> - Sunrise Suite</t>
        </is>
      </c>
      <c r="H156">
        <f>HYPERLINK("https://booking.roadsurfer.com/es/rally/pick?pickup_date=2026-06-09&amp;return_date=2026-06-16&amp;currency=EUR&amp;startStation=90&amp;endStation=77",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2026-06-05</t>
        </is>
      </c>
      <c r="F157" t="inlineStr">
        <is>
          <t>2026-06-12</t>
        </is>
      </c>
      <c r="G157" t="inlineStr">
        <is>
          <t xml:space="preserve"> - Beach Hostel</t>
        </is>
      </c>
      <c r="H157">
        <f>HYPERLINK("https://booking.roadsurfer.com/es/rally/pick?pickup_date=2026-06-05&amp;return_date=2026-06-12&amp;currency=EUR&amp;startStation=90&amp;endStation=77",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Travel Home</t>
        </is>
      </c>
      <c r="H158">
        <f>HYPERLINK("https://booking.roadsurfer.com/es/rally/pick?pickup_date=2026-05-06&amp;return_date=2026-05-13&amp;currency=EUR&amp;startStation=90&amp;endStation=13",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2026-05-30</t>
        </is>
      </c>
      <c r="F159" t="inlineStr">
        <is>
          <t>2026-06-06</t>
        </is>
      </c>
      <c r="G159" t="inlineStr">
        <is>
          <t xml:space="preserve"> - Camper Cabin</t>
        </is>
      </c>
      <c r="H159">
        <f>HYPERLINK("https://booking.roadsurfer.com/es/rally/pick?pickup_date=2026-05-30&amp;return_date=2026-06-06&amp;currency=EUR&amp;startStation=90&amp;endStation=15",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Road House</t>
        </is>
      </c>
      <c r="H160">
        <f>HYPERLINK("https://booking.roadsurfer.com/es/rally/pick?pickup_date=2026-06-01&amp;return_date=2026-06-08&amp;currency=EUR&amp;startStation=90&amp;endStation=40",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2026-06-02</t>
        </is>
      </c>
      <c r="F161" t="inlineStr">
        <is>
          <t>2026-06-09</t>
        </is>
      </c>
      <c r="G161" t="inlineStr">
        <is>
          <t xml:space="preserve"> - Road House</t>
        </is>
      </c>
      <c r="H161">
        <f>HYPERLINK("https://booking.roadsurfer.com/es/rally/pick?pickup_date=2026-06-02&amp;return_date=2026-06-09&amp;currency=EUR&amp;startStation=90&amp;endStation=59",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2026-05-05</t>
        </is>
      </c>
      <c r="F162" t="inlineStr">
        <is>
          <t>2026-05-12</t>
        </is>
      </c>
      <c r="G162" t="inlineStr">
        <is>
          <t xml:space="preserve"> - Family Finca</t>
        </is>
      </c>
      <c r="H162">
        <f>HYPERLINK("https://booking.roadsurfer.com/es/rally/pick?pickup_date=2026-05-05&amp;return_date=2026-05-12&amp;currency=EUR&amp;startStation=90&amp;endStation=12",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2026-05-02</t>
        </is>
      </c>
      <c r="F163" t="inlineStr">
        <is>
          <t>2026-05-09</t>
        </is>
      </c>
      <c r="G163" t="inlineStr">
        <is>
          <t xml:space="preserve"> - No hay coche</t>
        </is>
      </c>
      <c r="H163">
        <f>HYPERLINK("https://booking.roadsurfer.com/es/rally/pick?pickup_date=2026-05-02&amp;return_date=2026-05-09&amp;currency=EUR&amp;startStation=90&amp;endStation=12",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2026-05-12</t>
        </is>
      </c>
      <c r="F164" t="inlineStr">
        <is>
          <t>2026-05-19</t>
        </is>
      </c>
      <c r="G164" t="inlineStr"/>
      <c r="H164">
        <f>HYPERLINK("https://booking.roadsurfer.com/es/rally/pick?pickup_date=2026-05-12&amp;return_date=2026-05-19&amp;currency=EUR&amp;startStation=90&amp;endStation=60",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Family Finca</t>
        </is>
      </c>
      <c r="H165">
        <f>HYPERLINK("https://booking.roadsurfer.com/es/rally/pick?pickup_date=2026-06-08&amp;return_date=2026-06-15&amp;currency=EUR&amp;startStation=90&amp;endStation=60",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2026-05-11</t>
        </is>
      </c>
      <c r="F166" t="inlineStr">
        <is>
          <t>2026-05-18</t>
        </is>
      </c>
      <c r="G166" t="inlineStr">
        <is>
          <t xml:space="preserve"> - Family Finca - Cozy Cottage</t>
        </is>
      </c>
      <c r="H166">
        <f>HYPERLINK("https://booking.roadsurfer.com/es/rally/pick?pickup_date=2026-05-11&amp;return_date=2026-05-18&amp;currency=EUR&amp;startStation=90&amp;endStation=45",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Alemania</t>
        </is>
      </c>
      <c r="D167" t="inlineStr">
        <is>
          <t>Braunschweig</t>
        </is>
      </c>
      <c r="E167" t="inlineStr">
        <is>
          <t>2026-05-04</t>
        </is>
      </c>
      <c r="F167" t="inlineStr">
        <is>
          <t>2026-05-11</t>
        </is>
      </c>
      <c r="G167" t="inlineStr">
        <is>
          <t xml:space="preserve"> - No hay coche</t>
        </is>
      </c>
      <c r="H167">
        <f>HYPERLINK("https://booking.roadsurfer.com/es/rally/pick?pickup_date=2026-05-04&amp;return_date=2026-05-11&amp;currency=EUR&amp;startStation=2&amp;endStation=128",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Alemania</t>
        </is>
      </c>
      <c r="D168" t="inlineStr">
        <is>
          <t>Braunschweig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Road House</t>
        </is>
      </c>
      <c r="H168">
        <f>HYPERLINK("https://booking.roadsurfer.com/es/rally/pick?pickup_date=2026-05-11&amp;return_date=2026-05-18&amp;currency=EUR&amp;startStation=2&amp;endStation=128",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2026-05-01</t>
        </is>
      </c>
      <c r="F169" t="inlineStr">
        <is>
          <t>2026-05-08</t>
        </is>
      </c>
      <c r="G169" t="inlineStr">
        <is>
          <t xml:space="preserve"> - No hay coche</t>
        </is>
      </c>
      <c r="H169">
        <f>HYPERLINK("https://booking.roadsurfer.com/es/rally/pick?pickup_date=2026-05-01&amp;return_date=2026-05-08&amp;currency=EUR&amp;startStation=2&amp;endStation=128",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Alemania</t>
        </is>
      </c>
      <c r="D170" t="inlineStr">
        <is>
          <t>Braunschweig</t>
        </is>
      </c>
      <c r="E170" t="inlineStr">
        <is>
          <t>2026-05-02</t>
        </is>
      </c>
      <c r="F170" t="inlineStr">
        <is>
          <t>2026-05-09</t>
        </is>
      </c>
      <c r="G170" t="inlineStr">
        <is>
          <t xml:space="preserve"> - Surfer Suite</t>
        </is>
      </c>
      <c r="H170">
        <f>HYPERLINK("https://booking.roadsurfer.com/es/rally/pick?pickup_date=2026-05-02&amp;return_date=2026-05-09&amp;currency=EUR&amp;startStation=2&amp;endStation=128",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Surfer Suite</t>
        </is>
      </c>
      <c r="H171">
        <f>HYPERLINK("https://booking.roadsurfer.com/es/rally/pick?pickup_date=2026-06-12&amp;return_date=2026-06-19&amp;currency=EUR&amp;startStation=2&amp;endStation=40",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Couple Cottage - Sunrise Suite</t>
        </is>
      </c>
      <c r="H172">
        <f>HYPERLINK("https://booking.roadsurfer.com/es/rally/pick?pickup_date=2026-05-08&amp;return_date=2026-05-15&amp;currency=EUR&amp;startStation=2&amp;endStation=40",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2026-05-25</t>
        </is>
      </c>
      <c r="F173" t="inlineStr">
        <is>
          <t>2026-06-01</t>
        </is>
      </c>
      <c r="G173" t="inlineStr">
        <is>
          <t xml:space="preserve"> - No hay coche</t>
        </is>
      </c>
      <c r="H173">
        <f>HYPERLINK("https://booking.roadsurfer.com/es/rally/pick?pickup_date=2026-05-25&amp;return_date=2026-06-01&amp;currency=EUR&amp;startStation=2&amp;endStation=40",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España</t>
        </is>
      </c>
      <c r="D174" t="inlineStr">
        <is>
          <t>Bilbao</t>
        </is>
      </c>
      <c r="E174" t="inlineStr">
        <is>
          <t>2026-05-20</t>
        </is>
      </c>
      <c r="F174" t="inlineStr">
        <is>
          <t>2026-05-27</t>
        </is>
      </c>
      <c r="G174" t="inlineStr">
        <is>
          <t xml:space="preserve"> - Surfer Suite</t>
        </is>
      </c>
      <c r="H174">
        <f>HYPERLINK("https://booking.roadsurfer.com/es/rally/pick?pickup_date=2026-05-20&amp;return_date=2026-05-27&amp;currency=EUR&amp;startStation=2&amp;endStation=40",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2026-05-14</t>
        </is>
      </c>
      <c r="F175" t="inlineStr">
        <is>
          <t>2026-05-21</t>
        </is>
      </c>
      <c r="G175" t="inlineStr">
        <is>
          <t xml:space="preserve"> - No hay coche</t>
        </is>
      </c>
      <c r="H175">
        <f>HYPERLINK("https://booking.roadsurfer.com/es/rally/pick?pickup_date=2026-05-14&amp;return_date=2026-05-21&amp;currency=EUR&amp;startStation=2&amp;endStation=40",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Italia</t>
        </is>
      </c>
      <c r="D176" t="inlineStr">
        <is>
          <t>Roma Aeropuerto Fiumicino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Surfer Suite</t>
        </is>
      </c>
      <c r="H176">
        <f>HYPERLINK("https://booking.roadsurfer.com/es/rally/pick?pickup_date=2026-05-11&amp;return_date=2026-05-18&amp;currency=EUR&amp;startStation=2&amp;endStation=35",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Italia</t>
        </is>
      </c>
      <c r="D177" t="inlineStr">
        <is>
          <t>Florencia</t>
        </is>
      </c>
      <c r="E177" t="inlineStr">
        <is>
          <t>2026-05-08</t>
        </is>
      </c>
      <c r="F177" t="inlineStr">
        <is>
          <t>2026-05-15</t>
        </is>
      </c>
      <c r="G177" t="inlineStr">
        <is>
          <t xml:space="preserve"> - Couple Cottage</t>
        </is>
      </c>
      <c r="H177">
        <f>HYPERLINK("https://booking.roadsurfer.com/es/rally/pick?pickup_date=2026-05-08&amp;return_date=2026-05-15&amp;currency=EUR&amp;startStation=2&amp;endStation=80",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Italia</t>
        </is>
      </c>
      <c r="D178" t="inlineStr">
        <is>
          <t>Florencia</t>
        </is>
      </c>
      <c r="E178" t="inlineStr">
        <is>
          <t>2026-05-09</t>
        </is>
      </c>
      <c r="F178" t="inlineStr">
        <is>
          <t>2026-05-16</t>
        </is>
      </c>
      <c r="G178" t="inlineStr">
        <is>
          <t xml:space="preserve"> - Surfer Suite</t>
        </is>
      </c>
      <c r="H178">
        <f>HYPERLINK("https://booking.roadsurfer.com/es/rally/pick?pickup_date=2026-05-09&amp;return_date=2026-05-16&amp;currency=EUR&amp;startStation=2&amp;endStation=80",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Beach Hostel</t>
        </is>
      </c>
      <c r="H179">
        <f>HYPERLINK("https://booking.roadsurfer.com/es/rally/pick?pickup_date=2026-06-08&amp;return_date=2026-06-15&amp;currency=EUR&amp;startStation=2&amp;endStation=12",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Camper Castle</t>
        </is>
      </c>
      <c r="H180">
        <f>HYPERLINK("https://booking.roadsurfer.com/es/rally/pick?pickup_date=2026-05-15&amp;return_date=2026-05-22&amp;currency=EUR&amp;startStation=2&amp;endStation=20",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España</t>
        </is>
      </c>
      <c r="D181" t="inlineStr">
        <is>
          <t>Madrid</t>
        </is>
      </c>
      <c r="E181" t="inlineStr">
        <is>
          <t>2026-05-05</t>
        </is>
      </c>
      <c r="F181" t="inlineStr">
        <is>
          <t>2026-05-12</t>
        </is>
      </c>
      <c r="G181" t="inlineStr"/>
      <c r="H181">
        <f>HYPERLINK("https://booking.roadsurfer.com/es/rally/pick?pickup_date=2026-05-05&amp;return_date=2026-05-12&amp;currency=EUR&amp;startStation=2&amp;endStation=20",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2026-05-22</t>
        </is>
      </c>
      <c r="F182" t="inlineStr">
        <is>
          <t>2026-05-29</t>
        </is>
      </c>
      <c r="G182" t="inlineStr"/>
      <c r="H182">
        <f>HYPERLINK("https://booking.roadsurfer.com/es/rally/pick?pickup_date=2026-05-22&amp;return_date=2026-05-29&amp;currency=EUR&amp;startStation=2&amp;endStation=20",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Couple Cottage</t>
        </is>
      </c>
      <c r="H183">
        <f>HYPERLINK("https://booking.roadsurfer.com/es/rally/pick?pickup_date=2026-05-08&amp;return_date=2026-05-15&amp;currency=EUR&amp;startStation=2&amp;endStation=77",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2026-05-13</t>
        </is>
      </c>
      <c r="F184" t="inlineStr">
        <is>
          <t>2026-05-20</t>
        </is>
      </c>
      <c r="G184" t="inlineStr">
        <is>
          <t xml:space="preserve"> - No hay coche</t>
        </is>
      </c>
      <c r="H184">
        <f>HYPERLINK("https://booking.roadsurfer.com/es/rally/pick?pickup_date=2026-05-13&amp;return_date=2026-05-20&amp;currency=EUR&amp;startStation=2&amp;endStation=15",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2026-05-06</t>
        </is>
      </c>
      <c r="F185" t="inlineStr">
        <is>
          <t>2026-05-13</t>
        </is>
      </c>
      <c r="G185" t="inlineStr">
        <is>
          <t xml:space="preserve"> - Couple Cottage</t>
        </is>
      </c>
      <c r="H185">
        <f>HYPERLINK("https://booking.roadsurfer.com/es/rally/pick?pickup_date=2026-05-06&amp;return_date=2026-05-13&amp;currency=EUR&amp;startStation=2&amp;endStation=60",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Surfer Suite</t>
        </is>
      </c>
      <c r="H186">
        <f>HYPERLINK("https://booking.roadsurfer.com/es/rally/pick?pickup_date=2026-04-29&amp;return_date=2026-05-06&amp;currency=EUR&amp;startStation=9&amp;endStation=40",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2026-05-09</t>
        </is>
      </c>
      <c r="F187" t="inlineStr">
        <is>
          <t>2026-05-16</t>
        </is>
      </c>
      <c r="G187" t="inlineStr">
        <is>
          <t xml:space="preserve"> - Camper Cabin</t>
        </is>
      </c>
      <c r="H187">
        <f>HYPERLINK("https://booking.roadsurfer.com/es/rally/pick?pickup_date=2026-05-09&amp;return_date=2026-05-16&amp;currency=EUR&amp;startStation=9&amp;endStation=40",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2026-05-19</t>
        </is>
      </c>
      <c r="F188" t="inlineStr">
        <is>
          <t>2026-05-26</t>
        </is>
      </c>
      <c r="G188" t="inlineStr">
        <is>
          <t xml:space="preserve"> - Surfer Suite</t>
        </is>
      </c>
      <c r="H188">
        <f>HYPERLINK("https://booking.roadsurfer.com/es/rally/pick?pickup_date=2026-05-19&amp;return_date=2026-05-26&amp;currency=EUR&amp;startStation=9&amp;endStation=40",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2026-05-09</t>
        </is>
      </c>
      <c r="F189" t="inlineStr">
        <is>
          <t>2026-05-16</t>
        </is>
      </c>
      <c r="G189" t="inlineStr">
        <is>
          <t xml:space="preserve"> - Surfer Suite</t>
        </is>
      </c>
      <c r="H189">
        <f>HYPERLINK("https://booking.roadsurfer.com/es/rally/pick?pickup_date=2026-05-09&amp;return_date=2026-05-16&amp;currency=EUR&amp;startStation=9&amp;endStation=113",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2026-05-09</t>
        </is>
      </c>
      <c r="F190" t="inlineStr">
        <is>
          <t>2026-05-16</t>
        </is>
      </c>
      <c r="G190" t="inlineStr">
        <is>
          <t xml:space="preserve"> - Surfer Suite</t>
        </is>
      </c>
      <c r="H190">
        <f>HYPERLINK("https://booking.roadsurfer.com/es/rally/pick?pickup_date=2026-05-09&amp;return_date=2026-05-16&amp;currency=EUR&amp;startStation=9&amp;endStation=20",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2026-05-08</t>
        </is>
      </c>
      <c r="F191" t="inlineStr">
        <is>
          <t>2026-05-15</t>
        </is>
      </c>
      <c r="G191" t="inlineStr">
        <is>
          <t xml:space="preserve"> - No hay coche</t>
        </is>
      </c>
      <c r="H191">
        <f>HYPERLINK("https://booking.roadsurfer.com/es/rally/pick?pickup_date=2026-05-08&amp;return_date=2026-05-15&amp;currency=EUR&amp;startStation=9&amp;endStation=15",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Travel Home</t>
        </is>
      </c>
      <c r="H192">
        <f>HYPERLINK("https://booking.roadsurfer.com/es/rally/pick?pickup_date=2026-05-02&amp;return_date=2026-05-09&amp;currency=EUR&amp;startStation=9&amp;endStation=15",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2026-05-07</t>
        </is>
      </c>
      <c r="F193" t="inlineStr">
        <is>
          <t>2026-05-14</t>
        </is>
      </c>
      <c r="G193" t="inlineStr">
        <is>
          <t xml:space="preserve"> - No hay coche</t>
        </is>
      </c>
      <c r="H193">
        <f>HYPERLINK("https://booking.roadsurfer.com/es/rally/pick?pickup_date=2026-05-07&amp;return_date=2026-05-14&amp;currency=EUR&amp;startStation=9&amp;endStation=130",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2026-05-06</t>
        </is>
      </c>
      <c r="F194" t="inlineStr">
        <is>
          <t>2026-05-13</t>
        </is>
      </c>
      <c r="G194" t="inlineStr">
        <is>
          <t xml:space="preserve"> - Camper Cabin</t>
        </is>
      </c>
      <c r="H194">
        <f>HYPERLINK("https://booking.roadsurfer.com/es/rally/pick?pickup_date=2026-05-06&amp;return_date=2026-05-13&amp;currency=EUR&amp;startStation=9&amp;endStation=31",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España</t>
        </is>
      </c>
      <c r="D195" t="inlineStr">
        <is>
          <t>Valencia</t>
        </is>
      </c>
      <c r="E195" t="inlineStr">
        <is>
          <t>2026-06-09</t>
        </is>
      </c>
      <c r="F195" t="inlineStr">
        <is>
          <t>2026-06-16</t>
        </is>
      </c>
      <c r="G195" t="inlineStr">
        <is>
          <t xml:space="preserve"> - Road House</t>
        </is>
      </c>
      <c r="H195">
        <f>HYPERLINK("https://booking.roadsurfer.com/es/rally/pick?pickup_date=2026-06-09&amp;return_date=2026-06-16&amp;currency=EUR&amp;startStation=9&amp;endStation=38",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Couple Cottage</t>
        </is>
      </c>
      <c r="H196">
        <f>HYPERLINK("https://booking.roadsurfer.com/es/rally/pick?pickup_date=2026-05-04&amp;return_date=2026-05-11&amp;currency=EUR&amp;startStation=9&amp;endStation=32",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2026-05-15</t>
        </is>
      </c>
      <c r="F197" t="inlineStr">
        <is>
          <t>2026-05-22</t>
        </is>
      </c>
      <c r="G197" t="inlineStr">
        <is>
          <t xml:space="preserve"> - No hay coche</t>
        </is>
      </c>
      <c r="H197">
        <f>HYPERLINK("https://booking.roadsurfer.com/es/rally/pick?pickup_date=2026-05-15&amp;return_date=2026-05-22&amp;currency=EUR&amp;startStation=29&amp;endStation=90",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Erfurt</t>
        </is>
      </c>
      <c r="E198" t="inlineStr">
        <is>
          <t>2026-05-06</t>
        </is>
      </c>
      <c r="F198" t="inlineStr">
        <is>
          <t>2026-05-13</t>
        </is>
      </c>
      <c r="G198" t="inlineStr">
        <is>
          <t xml:space="preserve"> - Surfer Suite</t>
        </is>
      </c>
      <c r="H198">
        <f>HYPERLINK("https://booking.roadsurfer.com/es/rally/pick?pickup_date=2026-05-06&amp;return_date=2026-05-13&amp;currency=EUR&amp;startStation=29&amp;endStation=90",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Camper Cabin</t>
        </is>
      </c>
      <c r="H199">
        <f>HYPERLINK("https://booking.roadsurfer.com/es/rally/pick?pickup_date=2026-05-13&amp;return_date=2026-05-20&amp;currency=EUR&amp;startStation=29&amp;endStation=90", "Clic para verlo en la web de RoadSurfer")</f>
        <v/>
      </c>
    </row>
    <row r="200">
      <c r="A200" t="inlineStr">
        <is>
          <t>Francia</t>
        </is>
      </c>
      <c r="B200" t="inlineStr">
        <is>
          <t>Ginebra-Pays de Gex (Francia)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2026-05-11</t>
        </is>
      </c>
      <c r="F200" t="inlineStr">
        <is>
          <t>2026-05-18</t>
        </is>
      </c>
      <c r="G200" t="inlineStr">
        <is>
          <t xml:space="preserve"> - Camper Cabin</t>
        </is>
      </c>
      <c r="H200">
        <f>HYPERLINK("https://booking.roadsurfer.com/es/rally/pick?pickup_date=2026-05-11&amp;return_date=2026-05-18&amp;currency=EUR&amp;startStation=29&amp;endStation=56", "Clic para verlo en la web de RoadSurfer")</f>
        <v/>
      </c>
    </row>
    <row r="201">
      <c r="A201" t="inlineStr">
        <is>
          <t>Francia</t>
        </is>
      </c>
      <c r="B201" t="inlineStr">
        <is>
          <t>Ginebra-Pays de Gex (Francia)</t>
        </is>
      </c>
      <c r="C201" t="inlineStr">
        <is>
          <t>Alemania</t>
        </is>
      </c>
      <c r="D201" t="inlineStr">
        <is>
          <t>Dresde</t>
        </is>
      </c>
      <c r="E201" t="inlineStr">
        <is>
          <t>2026-05-08</t>
        </is>
      </c>
      <c r="F201" t="inlineStr">
        <is>
          <t>2026-05-15</t>
        </is>
      </c>
      <c r="G201" t="inlineStr">
        <is>
          <t xml:space="preserve"> - No hay coche</t>
        </is>
      </c>
      <c r="H201">
        <f>HYPERLINK("https://booking.roadsurfer.com/es/rally/pick?pickup_date=2026-05-08&amp;return_date=2026-05-15&amp;currency=EUR&amp;startStation=29&amp;endStation=56", "Clic para verlo en la web de RoadSurfer")</f>
        <v/>
      </c>
    </row>
    <row r="202">
      <c r="A202" t="inlineStr">
        <is>
          <t>Francia</t>
        </is>
      </c>
      <c r="B202" t="inlineStr">
        <is>
          <t>Ginebra-Pays de Gex (Francia)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2026-05-15</t>
        </is>
      </c>
      <c r="F202" t="inlineStr">
        <is>
          <t>2026-05-22</t>
        </is>
      </c>
      <c r="G202" t="inlineStr">
        <is>
          <t xml:space="preserve"> - Sunrise Suite</t>
        </is>
      </c>
      <c r="H202">
        <f>HYPERLINK("https://booking.roadsurfer.com/es/rally/pick?pickup_date=2026-05-15&amp;return_date=2026-05-22&amp;currency=EUR&amp;startStation=29&amp;endStation=56", "Clic para verlo en la web de RoadSurfer")</f>
        <v/>
      </c>
    </row>
    <row r="203">
      <c r="A203" t="inlineStr">
        <is>
          <t>Francia</t>
        </is>
      </c>
      <c r="B203" t="inlineStr">
        <is>
          <t>Ginebra-Pays de Gex (Francia)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Camper Cabin</t>
        </is>
      </c>
      <c r="H203">
        <f>HYPERLINK("https://booking.roadsurfer.com/es/rally/pick?pickup_date=2026-05-11&amp;return_date=2026-05-18&amp;currency=EUR&amp;startStation=29&amp;endStation=22",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2026-05-21</t>
        </is>
      </c>
      <c r="F204" t="inlineStr">
        <is>
          <t>2026-05-28</t>
        </is>
      </c>
      <c r="G204" t="inlineStr">
        <is>
          <t xml:space="preserve"> - Camper Castle</t>
        </is>
      </c>
      <c r="H204">
        <f>HYPERLINK("https://booking.roadsurfer.com/es/rally/pick?pickup_date=2026-05-21&amp;return_date=2026-05-28&amp;currency=EUR&amp;startStation=29&amp;endStation=10",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2026-05-19</t>
        </is>
      </c>
      <c r="F205" t="inlineStr">
        <is>
          <t>2026-05-26</t>
        </is>
      </c>
      <c r="G205" t="inlineStr">
        <is>
          <t xml:space="preserve"> - Family Finca</t>
        </is>
      </c>
      <c r="H205">
        <f>HYPERLINK("https://booking.roadsurfer.com/es/rally/pick?pickup_date=2026-05-19&amp;return_date=2026-05-26&amp;currency=EUR&amp;startStation=29&amp;endStation=52", "Clic para verlo en la web de RoadSurfer")</f>
        <v/>
      </c>
    </row>
    <row r="206">
      <c r="A206" t="inlineStr">
        <is>
          <t>Francia</t>
        </is>
      </c>
      <c r="B206" t="inlineStr">
        <is>
          <t>Ginebra-Pays de Gex (Francia)</t>
        </is>
      </c>
      <c r="C206" t="inlineStr">
        <is>
          <t>Alemania</t>
        </is>
      </c>
      <c r="D206" t="inlineStr">
        <is>
          <t>Bochum</t>
        </is>
      </c>
      <c r="E206" t="inlineStr">
        <is>
          <t>2026-05-18</t>
        </is>
      </c>
      <c r="F206" t="inlineStr">
        <is>
          <t>2026-05-25</t>
        </is>
      </c>
      <c r="G206" t="inlineStr">
        <is>
          <t xml:space="preserve"> - No hay coche</t>
        </is>
      </c>
      <c r="H206">
        <f>HYPERLINK("https://booking.roadsurfer.com/es/rally/pick?pickup_date=2026-05-18&amp;return_date=2026-05-25&amp;currency=EUR&amp;startStation=29&amp;endStation=24", "Clic para verlo en la web de RoadSurfer")</f>
        <v/>
      </c>
    </row>
    <row r="207">
      <c r="A207" t="inlineStr">
        <is>
          <t>Francia</t>
        </is>
      </c>
      <c r="B207" t="inlineStr">
        <is>
          <t>Ginebra-Pays de Gex (Francia)</t>
        </is>
      </c>
      <c r="C207" t="inlineStr">
        <is>
          <t>Alemania</t>
        </is>
      </c>
      <c r="D207" t="inlineStr">
        <is>
          <t>Lübeck</t>
        </is>
      </c>
      <c r="E207" t="inlineStr">
        <is>
          <t>2026-05-29</t>
        </is>
      </c>
      <c r="F207" t="inlineStr">
        <is>
          <t>2026-06-05</t>
        </is>
      </c>
      <c r="G207" t="inlineStr">
        <is>
          <t xml:space="preserve"> - Couple Cottage</t>
        </is>
      </c>
      <c r="H207">
        <f>HYPERLINK("https://booking.roadsurfer.com/es/rally/pick?pickup_date=2026-05-29&amp;return_date=2026-06-05&amp;currency=EUR&amp;startStation=29&amp;endStation=109", "Clic para verlo en la web de RoadSurfer")</f>
        <v/>
      </c>
    </row>
    <row r="208">
      <c r="A208" t="inlineStr">
        <is>
          <t>Francia</t>
        </is>
      </c>
      <c r="B208" t="inlineStr">
        <is>
          <t>Ginebra-Pays de Gex (Francia)</t>
        </is>
      </c>
      <c r="C208" t="inlineStr">
        <is>
          <t>Alemania</t>
        </is>
      </c>
      <c r="D208" t="inlineStr">
        <is>
          <t>Colonia-Düsseldorf</t>
        </is>
      </c>
      <c r="E208" t="inlineStr">
        <is>
          <t>2026-05-08</t>
        </is>
      </c>
      <c r="F208" t="inlineStr">
        <is>
          <t>2026-05-15</t>
        </is>
      </c>
      <c r="G208" t="inlineStr">
        <is>
          <t xml:space="preserve"> - No hay coche</t>
        </is>
      </c>
      <c r="H208">
        <f>HYPERLINK("https://booking.roadsurfer.com/es/rally/pick?pickup_date=2026-05-08&amp;return_date=2026-05-15&amp;currency=EUR&amp;startStation=29&amp;endStation=4",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Hamburgo Aeropuerto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Surfer Suite</t>
        </is>
      </c>
      <c r="H209">
        <f>HYPERLINK("https://booking.roadsurfer.com/es/rally/pick?pickup_date=2026-05-11&amp;return_date=2026-05-18&amp;currency=EUR&amp;startStation=77&amp;endStation=65",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Kiel</t>
        </is>
      </c>
      <c r="E210" t="inlineStr">
        <is>
          <t>2026-05-11</t>
        </is>
      </c>
      <c r="F210" t="inlineStr">
        <is>
          <t>2026-05-18</t>
        </is>
      </c>
      <c r="G210" t="inlineStr">
        <is>
          <t xml:space="preserve"> - Surfer Suite</t>
        </is>
      </c>
      <c r="H210">
        <f>HYPERLINK("https://booking.roadsurfer.com/es/rally/pick?pickup_date=2026-05-11&amp;return_date=2026-05-18&amp;currency=EUR&amp;startStation=77&amp;endStation=111",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2026-05-06</t>
        </is>
      </c>
      <c r="F211" t="inlineStr">
        <is>
          <t>2026-05-13</t>
        </is>
      </c>
      <c r="G211" t="inlineStr">
        <is>
          <t xml:space="preserve"> - Surfer Suite - Sunrise Suite</t>
        </is>
      </c>
      <c r="H211">
        <f>HYPERLINK("https://booking.roadsurfer.com/es/rally/pick?pickup_date=2026-05-06&amp;return_date=2026-05-13&amp;currency=EUR&amp;startStation=77&amp;endStation=91",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2026-05-09</t>
        </is>
      </c>
      <c r="F212" t="inlineStr">
        <is>
          <t>2026-05-16</t>
        </is>
      </c>
      <c r="G212" t="inlineStr">
        <is>
          <t xml:space="preserve"> - Sunrise Suite</t>
        </is>
      </c>
      <c r="H212">
        <f>HYPERLINK("https://booking.roadsurfer.com/es/rally/pick?pickup_date=2026-05-09&amp;return_date=2026-05-16&amp;currency=EUR&amp;startStation=77&amp;endStation=91",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Hamburgo</t>
        </is>
      </c>
      <c r="E213" t="inlineStr">
        <is>
          <t>2026-04-30</t>
        </is>
      </c>
      <c r="F213" t="inlineStr">
        <is>
          <t>2026-05-07</t>
        </is>
      </c>
      <c r="G213" t="inlineStr">
        <is>
          <t xml:space="preserve"> - Family Finca</t>
        </is>
      </c>
      <c r="H213">
        <f>HYPERLINK("https://booking.roadsurfer.com/es/rally/pick?pickup_date=2026-04-30&amp;return_date=2026-05-07&amp;currency=EUR&amp;startStation=77&amp;endStation=3",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Surfer Suite</t>
        </is>
      </c>
      <c r="H214">
        <f>HYPERLINK("https://booking.roadsurfer.com/es/rally/pick?pickup_date=2026-05-11&amp;return_date=2026-05-18&amp;currency=EUR&amp;startStation=77&amp;endStation=3",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Beach Hostel</t>
        </is>
      </c>
      <c r="H215">
        <f>HYPERLINK("https://booking.roadsurfer.com/es/rally/pick?pickup_date=2026-05-06&amp;return_date=2026-05-13&amp;currency=EUR&amp;startStation=77&amp;endStation=22",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2026-05-07</t>
        </is>
      </c>
      <c r="F216" t="inlineStr">
        <is>
          <t>2026-05-14</t>
        </is>
      </c>
      <c r="G216" t="inlineStr">
        <is>
          <t xml:space="preserve"> - Couple Cottage</t>
        </is>
      </c>
      <c r="H216">
        <f>HYPERLINK("https://booking.roadsurfer.com/es/rally/pick?pickup_date=2026-05-07&amp;return_date=2026-05-14&amp;currency=EUR&amp;startStation=77&amp;endStation=22",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2026-05-08</t>
        </is>
      </c>
      <c r="F217" t="inlineStr">
        <is>
          <t>2026-05-15</t>
        </is>
      </c>
      <c r="G217" t="inlineStr">
        <is>
          <t xml:space="preserve"> - Beach Hostel</t>
        </is>
      </c>
      <c r="H217">
        <f>HYPERLINK("https://booking.roadsurfer.com/es/rally/pick?pickup_date=2026-05-08&amp;return_date=2026-05-15&amp;currency=EUR&amp;startStation=77&amp;endStation=90",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Sunrise Suite</t>
        </is>
      </c>
      <c r="H218">
        <f>HYPERLINK("https://booking.roadsurfer.com/es/rally/pick?pickup_date=2026-05-11&amp;return_date=2026-05-18&amp;currency=EUR&amp;startStation=77&amp;endStation=90",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2026-05-07</t>
        </is>
      </c>
      <c r="F219" t="inlineStr">
        <is>
          <t>2026-05-14</t>
        </is>
      </c>
      <c r="G219" t="inlineStr">
        <is>
          <t xml:space="preserve"> - No hay coche</t>
        </is>
      </c>
      <c r="H219">
        <f>HYPERLINK("https://booking.roadsurfer.com/es/rally/pick?pickup_date=2026-05-07&amp;return_date=2026-05-14&amp;currency=EUR&amp;startStation=77&amp;endStation=6",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No hay coche</t>
        </is>
      </c>
      <c r="H220">
        <f>HYPERLINK("https://booking.roadsurfer.com/es/rally/pick?pickup_date=2026-09-07&amp;return_date=2026-09-14&amp;currency=EUR&amp;startStation=77&amp;endStation=55",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Karlsruhe</t>
        </is>
      </c>
      <c r="E221" t="inlineStr">
        <is>
          <t>2026-05-17</t>
        </is>
      </c>
      <c r="F221" t="inlineStr">
        <is>
          <t>2026-05-24</t>
        </is>
      </c>
      <c r="G221" t="inlineStr">
        <is>
          <t xml:space="preserve"> - No hay coche</t>
        </is>
      </c>
      <c r="H221">
        <f>HYPERLINK("https://booking.roadsurfer.com/es/rally/pick?pickup_date=2026-05-17&amp;return_date=2026-05-24&amp;currency=EUR&amp;startStation=77&amp;endStation=110",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2026-05-06</t>
        </is>
      </c>
      <c r="F222" t="inlineStr">
        <is>
          <t>2026-05-13</t>
        </is>
      </c>
      <c r="G222" t="inlineStr">
        <is>
          <t xml:space="preserve"> - Road House</t>
        </is>
      </c>
      <c r="H222">
        <f>HYPERLINK("https://booking.roadsurfer.com/es/rally/pick?pickup_date=2026-05-06&amp;return_date=2026-05-13&amp;currency=EUR&amp;startStation=37&amp;endStation=8",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2026-05-07</t>
        </is>
      </c>
      <c r="F223" t="inlineStr">
        <is>
          <t>2026-05-14</t>
        </is>
      </c>
      <c r="G223" t="inlineStr">
        <is>
          <t xml:space="preserve"> - No hay coche</t>
        </is>
      </c>
      <c r="H223">
        <f>HYPERLINK("https://booking.roadsurfer.com/es/rally/pick?pickup_date=2026-05-07&amp;return_date=2026-05-14&amp;currency=EUR&amp;startStation=37&amp;endStation=91",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Road House</t>
        </is>
      </c>
      <c r="H224">
        <f>HYPERLINK("https://booking.roadsurfer.com/es/rally/pick?pickup_date=2026-05-11&amp;return_date=2026-05-18&amp;currency=EUR&amp;startStation=37&amp;endStation=56", "Clic para verlo en la web de RoadSurfer")</f>
        <v/>
      </c>
    </row>
    <row r="225">
      <c r="A225" t="inlineStr">
        <is>
          <t>Austria</t>
        </is>
      </c>
      <c r="B225" t="inlineStr">
        <is>
          <t>Graz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2026-05-09</t>
        </is>
      </c>
      <c r="F225" t="inlineStr">
        <is>
          <t>2026-05-16</t>
        </is>
      </c>
      <c r="G225" t="inlineStr">
        <is>
          <t xml:space="preserve"> - Couple Cottage</t>
        </is>
      </c>
      <c r="H225">
        <f>HYPERLINK("https://booking.roadsurfer.com/es/rally/pick?pickup_date=2026-05-09&amp;return_date=2026-05-16&amp;currency=EUR&amp;startStation=37&amp;endStation=56",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Alemania</t>
        </is>
      </c>
      <c r="D226" t="inlineStr">
        <is>
          <t>Flensburgo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Surfer Suite - Beach Hostel</t>
        </is>
      </c>
      <c r="H226">
        <f>HYPERLINK("https://booking.roadsurfer.com/es/rally/pick?pickup_date=2026-05-08&amp;return_date=2026-05-15&amp;currency=EUR&amp;startStation=3&amp;endStation=130",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Alemania</t>
        </is>
      </c>
      <c r="D227" t="inlineStr">
        <is>
          <t>Flensburgo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Road House</t>
        </is>
      </c>
      <c r="H227">
        <f>HYPERLINK("https://booking.roadsurfer.com/es/rally/pick?pickup_date=2026-05-02&amp;return_date=2026-05-09&amp;currency=EUR&amp;startStation=3&amp;endStation=130",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No hay coche</t>
        </is>
      </c>
      <c r="H228">
        <f>HYPERLINK("https://booking.roadsurfer.com/es/rally/pick?pickup_date=2026-05-04&amp;return_date=2026-05-11&amp;currency=EUR&amp;startStation=3&amp;endStation=130",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Alemania</t>
        </is>
      </c>
      <c r="D229" t="inlineStr">
        <is>
          <t>Flensburgo</t>
        </is>
      </c>
      <c r="E229" t="inlineStr">
        <is>
          <t>2026-05-11</t>
        </is>
      </c>
      <c r="F229" t="inlineStr">
        <is>
          <t>2026-05-18</t>
        </is>
      </c>
      <c r="G229" t="inlineStr"/>
      <c r="H229">
        <f>HYPERLINK("https://booking.roadsurfer.com/es/rally/pick?pickup_date=2026-05-11&amp;return_date=2026-05-18&amp;currency=EUR&amp;startStation=3&amp;endStation=130",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Austria</t>
        </is>
      </c>
      <c r="D230" t="inlineStr">
        <is>
          <t>Viena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Beach Hostel</t>
        </is>
      </c>
      <c r="H230">
        <f>HYPERLINK("https://booking.roadsurfer.com/es/rally/pick?pickup_date=2026-05-11&amp;return_date=2026-05-18&amp;currency=EUR&amp;startStation=3&amp;endStation=36",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Austria</t>
        </is>
      </c>
      <c r="D231" t="inlineStr">
        <is>
          <t>Linz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No hay coche</t>
        </is>
      </c>
      <c r="H231">
        <f>HYPERLINK("https://booking.roadsurfer.com/es/rally/pick?pickup_date=2026-05-11&amp;return_date=2026-05-18&amp;currency=EUR&amp;startStation=3&amp;endStation=116",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2026-05-21</t>
        </is>
      </c>
      <c r="F232" t="inlineStr">
        <is>
          <t>2026-05-28</t>
        </is>
      </c>
      <c r="G232" t="inlineStr">
        <is>
          <t xml:space="preserve"> - Camper Castle</t>
        </is>
      </c>
      <c r="H232">
        <f>HYPERLINK("https://booking.roadsurfer.com/es/rally/pick?pickup_date=2026-05-21&amp;return_date=2026-05-28&amp;currency=EUR&amp;startStation=3&amp;endStation=42",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Alemania</t>
        </is>
      </c>
      <c r="D233" t="inlineStr">
        <is>
          <t>Berlín-Schönefeld</t>
        </is>
      </c>
      <c r="E233" t="inlineStr">
        <is>
          <t>2026-05-11</t>
        </is>
      </c>
      <c r="F233" t="inlineStr">
        <is>
          <t>2026-05-18</t>
        </is>
      </c>
      <c r="G233" t="inlineStr">
        <is>
          <t xml:space="preserve"> - Cozy Cottage</t>
        </is>
      </c>
      <c r="H233">
        <f>HYPERLINK("https://booking.roadsurfer.com/es/rally/pick?pickup_date=2026-05-11&amp;return_date=2026-05-18&amp;currency=EUR&amp;startStation=3&amp;endStation=51",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2026-05-07</t>
        </is>
      </c>
      <c r="F234" t="inlineStr">
        <is>
          <t>2026-05-14</t>
        </is>
      </c>
      <c r="G234" t="inlineStr">
        <is>
          <t xml:space="preserve"> - No hay coche</t>
        </is>
      </c>
      <c r="H234">
        <f>HYPERLINK("https://booking.roadsurfer.com/es/rally/pick?pickup_date=2026-05-07&amp;return_date=2026-05-14&amp;currency=EUR&amp;startStation=3&amp;endStation=77",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2026-05-08</t>
        </is>
      </c>
      <c r="F235" t="inlineStr">
        <is>
          <t>2026-05-15</t>
        </is>
      </c>
      <c r="G235" t="inlineStr"/>
      <c r="H235">
        <f>HYPERLINK("https://booking.roadsurfer.com/es/rally/pick?pickup_date=2026-05-08&amp;return_date=2026-05-15&amp;currency=EUR&amp;startStation=3&amp;endStation=77", "Clic para verlo en la web de RoadSurfer")</f>
        <v/>
      </c>
    </row>
    <row r="236">
      <c r="A236" t="inlineStr">
        <is>
          <t>Alemania</t>
        </is>
      </c>
      <c r="B236" t="inlineStr">
        <is>
          <t>Hannover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Camper Castle</t>
        </is>
      </c>
      <c r="H236">
        <f>HYPERLINK("https://booking.roadsurfer.com/es/rally/pick?pickup_date=2026-05-06&amp;return_date=2026-05-13&amp;currency=EUR&amp;startStation=7&amp;endStation=40", "Clic para verlo en la web de RoadSurfer")</f>
        <v/>
      </c>
    </row>
    <row r="237">
      <c r="A237" t="inlineStr">
        <is>
          <t>Alemania</t>
        </is>
      </c>
      <c r="B237" t="inlineStr">
        <is>
          <t>Heidelberg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Surfer Suite</t>
        </is>
      </c>
      <c r="H237">
        <f>HYPERLINK("https://booking.roadsurfer.com/es/rally/pick?pickup_date=2026-05-11&amp;return_date=2026-05-18&amp;currency=EUR&amp;startStation=79&amp;endStation=77", "Clic para verlo en la web de RoadSurfer")</f>
        <v/>
      </c>
    </row>
    <row r="238">
      <c r="A238" t="inlineStr">
        <is>
          <t>Austria</t>
        </is>
      </c>
      <c r="B238" t="inlineStr">
        <is>
          <t>Innsbruck-Wiesing</t>
        </is>
      </c>
      <c r="C238" t="inlineStr">
        <is>
          <t>Austria</t>
        </is>
      </c>
      <c r="D238" t="inlineStr">
        <is>
          <t>Viena</t>
        </is>
      </c>
      <c r="E238" t="inlineStr">
        <is>
          <t>2026-05-21</t>
        </is>
      </c>
      <c r="F238" t="inlineStr">
        <is>
          <t>2026-05-28</t>
        </is>
      </c>
      <c r="G238" t="inlineStr">
        <is>
          <t xml:space="preserve"> - Beach Hostel</t>
        </is>
      </c>
      <c r="H238">
        <f>HYPERLINK("https://booking.roadsurfer.com/es/rally/pick?pickup_date=2026-05-21&amp;return_date=2026-05-28&amp;currency=EUR&amp;startStation=46&amp;endStation=36", "Clic para verlo en la web de RoadSurfer")</f>
        <v/>
      </c>
    </row>
    <row r="239">
      <c r="A239" t="inlineStr">
        <is>
          <t>Austria</t>
        </is>
      </c>
      <c r="B239" t="inlineStr">
        <is>
          <t>Innsbruck-Wiesing</t>
        </is>
      </c>
      <c r="C239" t="inlineStr">
        <is>
          <t>Alemania</t>
        </is>
      </c>
      <c r="D239" t="inlineStr">
        <is>
          <t>Aquisgrán</t>
        </is>
      </c>
      <c r="E239" t="inlineStr">
        <is>
          <t>2026-05-11</t>
        </is>
      </c>
      <c r="F239" t="inlineStr">
        <is>
          <t>2026-05-18</t>
        </is>
      </c>
      <c r="G239" t="inlineStr">
        <is>
          <t xml:space="preserve"> - Camper Cabin</t>
        </is>
      </c>
      <c r="H239">
        <f>HYPERLINK("https://booking.roadsurfer.com/es/rally/pick?pickup_date=2026-05-11&amp;return_date=2026-05-18&amp;currency=EUR&amp;startStation=46&amp;endStation=114", "Clic para verlo en la web de RoadSurfer")</f>
        <v/>
      </c>
    </row>
    <row r="240">
      <c r="A240" t="inlineStr">
        <is>
          <t>Austria</t>
        </is>
      </c>
      <c r="B240" t="inlineStr">
        <is>
          <t>Innsbruck-Wiesing</t>
        </is>
      </c>
      <c r="C240" t="inlineStr">
        <is>
          <t>Alemania</t>
        </is>
      </c>
      <c r="D240" t="inlineStr">
        <is>
          <t>Hamburgo Aeropuerto</t>
        </is>
      </c>
      <c r="E240" t="inlineStr">
        <is>
          <t>2026-05-07</t>
        </is>
      </c>
      <c r="F240" t="inlineStr">
        <is>
          <t>2026-05-14</t>
        </is>
      </c>
      <c r="G240" t="inlineStr">
        <is>
          <t xml:space="preserve"> - No hay coche</t>
        </is>
      </c>
      <c r="H240">
        <f>HYPERLINK("https://booking.roadsurfer.com/es/rally/pick?pickup_date=2026-05-07&amp;return_date=2026-05-14&amp;currency=EUR&amp;startStation=46&amp;endStation=65",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Lille</t>
        </is>
      </c>
      <c r="E241" t="inlineStr">
        <is>
          <t>2026-05-09</t>
        </is>
      </c>
      <c r="F241" t="inlineStr">
        <is>
          <t>2026-05-16</t>
        </is>
      </c>
      <c r="G241" t="inlineStr">
        <is>
          <t xml:space="preserve"> - Cozy Cottage</t>
        </is>
      </c>
      <c r="H241">
        <f>HYPERLINK("https://booking.roadsurfer.com/es/rally/pick?pickup_date=2026-05-09&amp;return_date=2026-05-16&amp;currency=EUR&amp;startStation=110&amp;endStation=87",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No hay coche</t>
        </is>
      </c>
      <c r="H242">
        <f>HYPERLINK("https://booking.roadsurfer.com/es/rally/pick?pickup_date=2026-05-08&amp;return_date=2026-05-15&amp;currency=EUR&amp;startStation=110&amp;endStation=20",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2026-05-16</t>
        </is>
      </c>
      <c r="F243" t="inlineStr">
        <is>
          <t>2026-05-23</t>
        </is>
      </c>
      <c r="G243" t="inlineStr">
        <is>
          <t xml:space="preserve"> - Couple Cottage</t>
        </is>
      </c>
      <c r="H243">
        <f>HYPERLINK("https://booking.roadsurfer.com/es/rally/pick?pickup_date=2026-05-16&amp;return_date=2026-05-23&amp;currency=EUR&amp;startStation=110&amp;endStation=31",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Francia</t>
        </is>
      </c>
      <c r="D244" t="inlineStr">
        <is>
          <t>Toulouse</t>
        </is>
      </c>
      <c r="E244" t="inlineStr">
        <is>
          <t>2026-05-26</t>
        </is>
      </c>
      <c r="F244" t="inlineStr">
        <is>
          <t>2026-06-02</t>
        </is>
      </c>
      <c r="G244" t="inlineStr">
        <is>
          <t xml:space="preserve"> - Surfer Suite</t>
        </is>
      </c>
      <c r="H244">
        <f>HYPERLINK("https://booking.roadsurfer.com/es/rally/pick?pickup_date=2026-05-26&amp;return_date=2026-06-02&amp;currency=EUR&amp;startStation=110&amp;endStation=30",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2026-05-07</t>
        </is>
      </c>
      <c r="F245" t="inlineStr">
        <is>
          <t>2026-05-14</t>
        </is>
      </c>
      <c r="G245" t="inlineStr">
        <is>
          <t xml:space="preserve"> - No hay coche</t>
        </is>
      </c>
      <c r="H245">
        <f>HYPERLINK("https://booking.roadsurfer.com/es/rally/pick?pickup_date=2026-05-07&amp;return_date=2026-05-14&amp;currency=EUR&amp;startStation=110&amp;endStation=15",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2026-05-21</t>
        </is>
      </c>
      <c r="F246" t="inlineStr">
        <is>
          <t>2026-05-28</t>
        </is>
      </c>
      <c r="G246" t="inlineStr">
        <is>
          <t xml:space="preserve"> - Beach Hostel</t>
        </is>
      </c>
      <c r="H246">
        <f>HYPERLINK("https://booking.roadsurfer.com/es/rally/pick?pickup_date=2026-05-21&amp;return_date=2026-05-28&amp;currency=EUR&amp;startStation=110&amp;endStation=29", "Clic para verlo en la web de RoadSurfer")</f>
        <v/>
      </c>
    </row>
    <row r="247">
      <c r="A247" t="inlineStr">
        <is>
          <t>Alemania</t>
        </is>
      </c>
      <c r="B247" t="inlineStr">
        <is>
          <t>Kassel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2026-05-09</t>
        </is>
      </c>
      <c r="F247" t="inlineStr">
        <is>
          <t>2026-05-16</t>
        </is>
      </c>
      <c r="G247" t="inlineStr">
        <is>
          <t xml:space="preserve"> - Beach Hostel</t>
        </is>
      </c>
      <c r="H247">
        <f>HYPERLINK("https://booking.roadsurfer.com/es/rally/pick?pickup_date=2026-05-09&amp;return_date=2026-05-16&amp;currency=EUR&amp;startStation=92&amp;endStation=13", "Clic para verlo en la web de RoadSurfer")</f>
        <v/>
      </c>
    </row>
    <row r="248">
      <c r="A248" t="inlineStr">
        <is>
          <t>Alemania</t>
        </is>
      </c>
      <c r="B248" t="inlineStr">
        <is>
          <t>Kassel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No hay coche</t>
        </is>
      </c>
      <c r="H248">
        <f>HYPERLINK("https://booking.roadsurfer.com/es/rally/pick?pickup_date=2026-05-08&amp;return_date=2026-05-15&amp;currency=EUR&amp;startStation=92&amp;endStation=29", "Clic para verlo en la web de RoadSurfer")</f>
        <v/>
      </c>
    </row>
    <row r="249">
      <c r="A249" t="inlineStr">
        <is>
          <t>Alemania</t>
        </is>
      </c>
      <c r="B249" t="inlineStr">
        <is>
          <t>Kiel</t>
        </is>
      </c>
      <c r="C249" t="inlineStr">
        <is>
          <t>Suecia</t>
        </is>
      </c>
      <c r="D249" t="inlineStr">
        <is>
          <t>Malmö</t>
        </is>
      </c>
      <c r="E249" t="inlineStr">
        <is>
          <t>2026-05-08</t>
        </is>
      </c>
      <c r="F249" t="inlineStr">
        <is>
          <t>2026-05-15</t>
        </is>
      </c>
      <c r="G249" t="inlineStr">
        <is>
          <t xml:space="preserve"> - Road House</t>
        </is>
      </c>
      <c r="H249">
        <f>HYPERLINK("https://booking.roadsurfer.com/es/rally/pick?pickup_date=2026-05-08&amp;return_date=2026-05-15&amp;currency=EUR&amp;startStation=111&amp;endStation=60", "Clic para verlo en la web de RoadSurfer")</f>
        <v/>
      </c>
    </row>
    <row r="250">
      <c r="A250" t="inlineStr">
        <is>
          <t>Alemania</t>
        </is>
      </c>
      <c r="B250" t="inlineStr">
        <is>
          <t>Kiel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2026-05-21</t>
        </is>
      </c>
      <c r="F250" t="inlineStr">
        <is>
          <t>2026-05-28</t>
        </is>
      </c>
      <c r="G250" t="inlineStr">
        <is>
          <t xml:space="preserve"> - Beach Hostel</t>
        </is>
      </c>
      <c r="H250">
        <f>HYPERLINK("https://booking.roadsurfer.com/es/rally/pick?pickup_date=2026-05-21&amp;return_date=2026-05-28&amp;currency=EUR&amp;startStation=111&amp;endStation=77", "Clic para verlo en la web de RoadSurfer")</f>
        <v/>
      </c>
    </row>
    <row r="251">
      <c r="A251" t="inlineStr">
        <is>
          <t>EE.UU.</t>
        </is>
      </c>
      <c r="B251" t="inlineStr">
        <is>
          <t>Las Vegas</t>
        </is>
      </c>
      <c r="C251" t="inlineStr">
        <is>
          <t>EE.UU.</t>
        </is>
      </c>
      <c r="D251" t="inlineStr">
        <is>
          <t>Dallas</t>
        </is>
      </c>
      <c r="E251" t="inlineStr">
        <is>
          <t>2026-05-30</t>
        </is>
      </c>
      <c r="F251" t="inlineStr">
        <is>
          <t>2026-06-06</t>
        </is>
      </c>
      <c r="G251" t="inlineStr">
        <is>
          <t xml:space="preserve"> - Family Freedom</t>
        </is>
      </c>
      <c r="H251">
        <f>HYPERLINK("https://booking.roadsurfer.com/es/rally/pick?pickup_date=2026-05-30&amp;return_date=2026-06-06&amp;currency=EUR&amp;startStation=76&amp;endStation=125", "Clic para verlo en la web de RoadSurfer")</f>
        <v/>
      </c>
    </row>
    <row r="252">
      <c r="A252" t="inlineStr">
        <is>
          <t>EE.UU.</t>
        </is>
      </c>
      <c r="B252" t="inlineStr">
        <is>
          <t>Las Vegas</t>
        </is>
      </c>
      <c r="C252" t="inlineStr">
        <is>
          <t>EE.UU.</t>
        </is>
      </c>
      <c r="D252" t="inlineStr">
        <is>
          <t>Dallas</t>
        </is>
      </c>
      <c r="E252" t="inlineStr">
        <is>
          <t>2026-05-29</t>
        </is>
      </c>
      <c r="F252" t="inlineStr">
        <is>
          <t>2026-06-05</t>
        </is>
      </c>
      <c r="G252" t="inlineStr">
        <is>
          <t xml:space="preserve"> - No hay coche</t>
        </is>
      </c>
      <c r="H252">
        <f>HYPERLINK("https://booking.roadsurfer.com/es/rally/pick?pickup_date=2026-05-29&amp;return_date=2026-06-05&amp;currency=EUR&amp;startStation=76&amp;endStation=125", "Clic para verlo en la web de RoadSurfer")</f>
        <v/>
      </c>
    </row>
    <row r="253">
      <c r="A253" t="inlineStr">
        <is>
          <t>EE.UU.</t>
        </is>
      </c>
      <c r="B253" t="inlineStr">
        <is>
          <t>Las Vegas</t>
        </is>
      </c>
      <c r="C253" t="inlineStr">
        <is>
          <t>EE.UU.</t>
        </is>
      </c>
      <c r="D253" t="inlineStr">
        <is>
          <t>Denver</t>
        </is>
      </c>
      <c r="E253" t="inlineStr">
        <is>
          <t>2026-05-07</t>
        </is>
      </c>
      <c r="F253" t="inlineStr">
        <is>
          <t>2026-05-14</t>
        </is>
      </c>
      <c r="G253" t="inlineStr">
        <is>
          <t xml:space="preserve"> - Family Freedom</t>
        </is>
      </c>
      <c r="H253">
        <f>HYPERLINK("https://booking.roadsurfer.com/es/rally/pick?pickup_date=2026-05-07&amp;return_date=2026-05-14&amp;currency=EUR&amp;startStation=76&amp;endStation=104",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Couple Cottage</t>
        </is>
      </c>
      <c r="H254">
        <f>HYPERLINK("https://booking.roadsurfer.com/es/rally/pick?pickup_date=2026-05-04&amp;return_date=2026-05-11&amp;currency=EUR&amp;startStation=8&amp;endStation=33",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Países Bajos</t>
        </is>
      </c>
      <c r="D255" t="inlineStr">
        <is>
          <t>Róterdam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Surfer Suite - Couple Cottage</t>
        </is>
      </c>
      <c r="H255">
        <f>HYPERLINK("https://booking.roadsurfer.com/es/rally/pick?pickup_date=2026-05-11&amp;return_date=2026-05-18&amp;currency=EUR&amp;startStation=8&amp;endStation=33",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Países Bajos</t>
        </is>
      </c>
      <c r="D256" t="inlineStr">
        <is>
          <t>Róterdam</t>
        </is>
      </c>
      <c r="E256" t="inlineStr">
        <is>
          <t>2026-05-05</t>
        </is>
      </c>
      <c r="F256" t="inlineStr">
        <is>
          <t>2026-05-12</t>
        </is>
      </c>
      <c r="G256" t="inlineStr">
        <is>
          <t xml:space="preserve"> - Camper Cabin - Couple Cottage</t>
        </is>
      </c>
      <c r="H256">
        <f>HYPERLINK("https://booking.roadsurfer.com/es/rally/pick?pickup_date=2026-05-05&amp;return_date=2026-05-12&amp;currency=EUR&amp;startStation=8&amp;endStation=33",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Países Bajos</t>
        </is>
      </c>
      <c r="D257" t="inlineStr">
        <is>
          <t>Róterdam</t>
        </is>
      </c>
      <c r="E257" t="inlineStr">
        <is>
          <t>2026-05-08</t>
        </is>
      </c>
      <c r="F257" t="inlineStr">
        <is>
          <t>2026-05-15</t>
        </is>
      </c>
      <c r="G257" t="inlineStr">
        <is>
          <t xml:space="preserve"> - Camper Cabin</t>
        </is>
      </c>
      <c r="H257">
        <f>HYPERLINK("https://booking.roadsurfer.com/es/rally/pick?pickup_date=2026-05-08&amp;return_date=2026-05-15&amp;currency=EUR&amp;startStation=8&amp;endStation=33",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Alemania</t>
        </is>
      </c>
      <c r="D258" t="inlineStr">
        <is>
          <t>Braunschweig</t>
        </is>
      </c>
      <c r="E258" t="inlineStr">
        <is>
          <t>2026-05-05</t>
        </is>
      </c>
      <c r="F258" t="inlineStr">
        <is>
          <t>2026-05-12</t>
        </is>
      </c>
      <c r="G258" t="inlineStr">
        <is>
          <t xml:space="preserve"> - Road House</t>
        </is>
      </c>
      <c r="H258">
        <f>HYPERLINK("https://booking.roadsurfer.com/es/rally/pick?pickup_date=2026-05-05&amp;return_date=2026-05-12&amp;currency=EUR&amp;startStation=8&amp;endStation=128",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Alemania</t>
        </is>
      </c>
      <c r="D259" t="inlineStr">
        <is>
          <t>Braunschweig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Beach Hostel</t>
        </is>
      </c>
      <c r="H259">
        <f>HYPERLINK("https://booking.roadsurfer.com/es/rally/pick?pickup_date=2026-05-04&amp;return_date=2026-05-11&amp;currency=EUR&amp;startStation=8&amp;endStation=128",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Francia</t>
        </is>
      </c>
      <c r="D260" t="inlineStr">
        <is>
          <t>Estrasburgo</t>
        </is>
      </c>
      <c r="E260" t="inlineStr">
        <is>
          <t>2026-05-11</t>
        </is>
      </c>
      <c r="F260" t="inlineStr">
        <is>
          <t>2026-05-18</t>
        </is>
      </c>
      <c r="G260" t="inlineStr">
        <is>
          <t xml:space="preserve"> - No hay coche</t>
        </is>
      </c>
      <c r="H260">
        <f>HYPERLINK("https://booking.roadsurfer.com/es/rally/pick?pickup_date=2026-05-11&amp;return_date=2026-05-18&amp;currency=EUR&amp;startStation=8&amp;endStation=49",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Camper Cabin</t>
        </is>
      </c>
      <c r="H261">
        <f>HYPERLINK("https://booking.roadsurfer.com/es/rally/pick?pickup_date=2026-05-06&amp;return_date=2026-05-13&amp;currency=EUR&amp;startStation=8&amp;endStation=15",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2026-05-16</t>
        </is>
      </c>
      <c r="F262" t="inlineStr">
        <is>
          <t>2026-05-23</t>
        </is>
      </c>
      <c r="G262" t="inlineStr">
        <is>
          <t xml:space="preserve"> - Camper Cabin</t>
        </is>
      </c>
      <c r="H262">
        <f>HYPERLINK("https://booking.roadsurfer.com/es/rally/pick?pickup_date=2026-05-16&amp;return_date=2026-05-23&amp;currency=EUR&amp;startStation=8&amp;endStation=36",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Austria</t>
        </is>
      </c>
      <c r="D263" t="inlineStr">
        <is>
          <t>Graz</t>
        </is>
      </c>
      <c r="E263" t="inlineStr">
        <is>
          <t>2026-05-08</t>
        </is>
      </c>
      <c r="F263" t="inlineStr">
        <is>
          <t>2026-05-15</t>
        </is>
      </c>
      <c r="G263" t="inlineStr"/>
      <c r="H263">
        <f>HYPERLINK("https://booking.roadsurfer.com/es/rally/pick?pickup_date=2026-05-08&amp;return_date=2026-05-15&amp;currency=EUR&amp;startStation=8&amp;endStation=37",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Austria</t>
        </is>
      </c>
      <c r="D264" t="inlineStr">
        <is>
          <t>Graz</t>
        </is>
      </c>
      <c r="E264" t="inlineStr">
        <is>
          <t>2026-05-15</t>
        </is>
      </c>
      <c r="F264" t="inlineStr">
        <is>
          <t>2026-05-22</t>
        </is>
      </c>
      <c r="G264" t="inlineStr">
        <is>
          <t xml:space="preserve"> - No hay coche</t>
        </is>
      </c>
      <c r="H264">
        <f>HYPERLINK("https://booking.roadsurfer.com/es/rally/pick?pickup_date=2026-05-15&amp;return_date=2026-05-22&amp;currency=EUR&amp;startStation=8&amp;endStation=37",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2026-05-27</t>
        </is>
      </c>
      <c r="F265" t="inlineStr">
        <is>
          <t>2026-06-03</t>
        </is>
      </c>
      <c r="G265" t="inlineStr">
        <is>
          <t xml:space="preserve"> - Road House</t>
        </is>
      </c>
      <c r="H265">
        <f>HYPERLINK("https://booking.roadsurfer.com/es/rally/pick?pickup_date=2026-05-27&amp;return_date=2026-06-03&amp;currency=EUR&amp;startStation=8&amp;endStation=37",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2026-05-18</t>
        </is>
      </c>
      <c r="F266" t="inlineStr">
        <is>
          <t>2026-05-25</t>
        </is>
      </c>
      <c r="G266" t="inlineStr">
        <is>
          <t xml:space="preserve"> - No hay coche</t>
        </is>
      </c>
      <c r="H266">
        <f>HYPERLINK("https://booking.roadsurfer.com/es/rally/pick?pickup_date=2026-05-18&amp;return_date=2026-05-25&amp;currency=EUR&amp;startStation=8&amp;endStation=45",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2026-05-12</t>
        </is>
      </c>
      <c r="F267" t="inlineStr">
        <is>
          <t>2026-05-19</t>
        </is>
      </c>
      <c r="G267" t="inlineStr">
        <is>
          <t xml:space="preserve"> - Family Finca</t>
        </is>
      </c>
      <c r="H267">
        <f>HYPERLINK("https://booking.roadsurfer.com/es/rally/pick?pickup_date=2026-05-12&amp;return_date=2026-05-19&amp;currency=EUR&amp;startStation=8&amp;endStation=45",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España</t>
        </is>
      </c>
      <c r="D268" t="inlineStr">
        <is>
          <t>Madrid</t>
        </is>
      </c>
      <c r="E268" t="inlineStr">
        <is>
          <t>2026-06-02</t>
        </is>
      </c>
      <c r="F268" t="inlineStr">
        <is>
          <t>2026-06-09</t>
        </is>
      </c>
      <c r="G268" t="inlineStr">
        <is>
          <t xml:space="preserve"> - Family Finca</t>
        </is>
      </c>
      <c r="H268">
        <f>HYPERLINK("https://booking.roadsurfer.com/es/rally/pick?pickup_date=2026-06-02&amp;return_date=2026-06-09&amp;currency=EUR&amp;startStation=8&amp;endStation=20",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España</t>
        </is>
      </c>
      <c r="D269" t="inlineStr">
        <is>
          <t>Valencia</t>
        </is>
      </c>
      <c r="E269" t="inlineStr">
        <is>
          <t>2026-06-02</t>
        </is>
      </c>
      <c r="F269" t="inlineStr">
        <is>
          <t>2026-06-09</t>
        </is>
      </c>
      <c r="G269" t="inlineStr">
        <is>
          <t xml:space="preserve"> - Family Finca</t>
        </is>
      </c>
      <c r="H269">
        <f>HYPERLINK("https://booking.roadsurfer.com/es/rally/pick?pickup_date=2026-06-02&amp;return_date=2026-06-09&amp;currency=EUR&amp;startStation=8&amp;endStation=38",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Couple Cottage</t>
        </is>
      </c>
      <c r="H270">
        <f>HYPERLINK("https://booking.roadsurfer.com/es/rally/pick?pickup_date=2026-05-11&amp;return_date=2026-05-18&amp;currency=EUR&amp;startStation=8&amp;endStation=59",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Turín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Couple Cottage</t>
        </is>
      </c>
      <c r="H271">
        <f>HYPERLINK("https://booking.roadsurfer.com/es/rally/pick?pickup_date=2026-05-11&amp;return_date=2026-05-18&amp;currency=EUR&amp;startStation=8&amp;endStation=58", "Clic para verlo en la web de RoadSurfer")</f>
        <v/>
      </c>
    </row>
    <row r="272">
      <c r="A272" t="inlineStr">
        <is>
          <t>Francia</t>
        </is>
      </c>
      <c r="B272" t="inlineStr">
        <is>
          <t>Lille</t>
        </is>
      </c>
      <c r="C272" t="inlineStr">
        <is>
          <t>Alemania</t>
        </is>
      </c>
      <c r="D272" t="inlineStr">
        <is>
          <t>Braunschweig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Road House</t>
        </is>
      </c>
      <c r="H272">
        <f>HYPERLINK("https://booking.roadsurfer.com/es/rally/pick?pickup_date=2026-05-11&amp;return_date=2026-05-18&amp;currency=EUR&amp;startStation=87&amp;endStation=128", "Clic para verlo en la web de RoadSurfer")</f>
        <v/>
      </c>
    </row>
    <row r="273">
      <c r="A273" t="inlineStr">
        <is>
          <t>Francia</t>
        </is>
      </c>
      <c r="B273" t="inlineStr">
        <is>
          <t>Lille</t>
        </is>
      </c>
      <c r="C273" t="inlineStr">
        <is>
          <t>Alemania</t>
        </is>
      </c>
      <c r="D273" t="inlineStr">
        <is>
          <t>Braunschweig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No hay coche</t>
        </is>
      </c>
      <c r="H273">
        <f>HYPERLINK("https://booking.roadsurfer.com/es/rally/pick?pickup_date=2026-05-04&amp;return_date=2026-05-11&amp;currency=EUR&amp;startStation=87&amp;endStation=128", "Clic para verlo en la web de RoadSurfer")</f>
        <v/>
      </c>
    </row>
    <row r="274">
      <c r="A274" t="inlineStr">
        <is>
          <t>Alemania</t>
        </is>
      </c>
      <c r="B274" t="inlineStr">
        <is>
          <t>Lindau-Wangen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2026-05-05</t>
        </is>
      </c>
      <c r="F274" t="inlineStr">
        <is>
          <t>2026-05-12</t>
        </is>
      </c>
      <c r="G274" t="inlineStr">
        <is>
          <t xml:space="preserve"> - Family Finca</t>
        </is>
      </c>
      <c r="H274">
        <f>HYPERLINK("https://booking.roadsurfer.com/es/rally/pick?pickup_date=2026-05-05&amp;return_date=2026-05-12&amp;currency=EUR&amp;startStation=117&amp;endStation=20", "Clic para verlo en la web de RoadSurfer")</f>
        <v/>
      </c>
    </row>
    <row r="275">
      <c r="A275" t="inlineStr">
        <is>
          <t>Alemania</t>
        </is>
      </c>
      <c r="B275" t="inlineStr">
        <is>
          <t>Lindau-Wangen</t>
        </is>
      </c>
      <c r="C275" t="inlineStr">
        <is>
          <t>Alemania</t>
        </is>
      </c>
      <c r="D275" t="inlineStr">
        <is>
          <t>Fráncfort</t>
        </is>
      </c>
      <c r="E275" t="inlineStr">
        <is>
          <t>2026-05-10</t>
        </is>
      </c>
      <c r="F275" t="inlineStr">
        <is>
          <t>2026-05-17</t>
        </is>
      </c>
      <c r="G275" t="inlineStr">
        <is>
          <t xml:space="preserve"> - No hay coche</t>
        </is>
      </c>
      <c r="H275">
        <f>HYPERLINK("https://booking.roadsurfer.com/es/rally/pick?pickup_date=2026-05-10&amp;return_date=2026-05-17&amp;currency=EUR&amp;startStation=117&amp;endStation=2", "Clic para verlo en la web de RoadSurfer")</f>
        <v/>
      </c>
    </row>
    <row r="276">
      <c r="A276" t="inlineStr">
        <is>
          <t>Alemania</t>
        </is>
      </c>
      <c r="B276" t="inlineStr">
        <is>
          <t>Lindau-Wangen</t>
        </is>
      </c>
      <c r="C276" t="inlineStr">
        <is>
          <t>Alemania</t>
        </is>
      </c>
      <c r="D276" t="inlineStr">
        <is>
          <t>Hamburgo Aeropuerto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Beach Hostel</t>
        </is>
      </c>
      <c r="H276">
        <f>HYPERLINK("https://booking.roadsurfer.com/es/rally/pick?pickup_date=2026-05-11&amp;return_date=2026-05-18&amp;currency=EUR&amp;startStation=117&amp;endStation=65", "Clic para verlo en la web de RoadSurfer")</f>
        <v/>
      </c>
    </row>
    <row r="277">
      <c r="A277" t="inlineStr">
        <is>
          <t>Alemania</t>
        </is>
      </c>
      <c r="B277" t="inlineStr">
        <is>
          <t>Lindau-Wangen</t>
        </is>
      </c>
      <c r="C277" t="inlineStr">
        <is>
          <t>España</t>
        </is>
      </c>
      <c r="D277" t="inlineStr">
        <is>
          <t>Barcelona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Cozy Cottage</t>
        </is>
      </c>
      <c r="H277">
        <f>HYPERLINK("https://booking.roadsurfer.com/es/rally/pick?pickup_date=2026-05-11&amp;return_date=2026-05-18&amp;currency=EUR&amp;startStation=117&amp;endStation=17", "Clic para verlo en la web de RoadSurfer")</f>
        <v/>
      </c>
    </row>
    <row r="278">
      <c r="A278" t="inlineStr">
        <is>
          <t>Alemania</t>
        </is>
      </c>
      <c r="B278" t="inlineStr">
        <is>
          <t>Lübeck</t>
        </is>
      </c>
      <c r="C278" t="inlineStr">
        <is>
          <t>Italia</t>
        </is>
      </c>
      <c r="D278" t="inlineStr">
        <is>
          <t>Venecia</t>
        </is>
      </c>
      <c r="E278" t="inlineStr">
        <is>
          <t>2026-05-16</t>
        </is>
      </c>
      <c r="F278" t="inlineStr">
        <is>
          <t>2026-05-23</t>
        </is>
      </c>
      <c r="G278" t="inlineStr">
        <is>
          <t xml:space="preserve"> - Cozy Cottage</t>
        </is>
      </c>
      <c r="H278">
        <f>HYPERLINK("https://booking.roadsurfer.com/es/rally/pick?pickup_date=2026-05-16&amp;return_date=2026-05-23&amp;currency=EUR&amp;startStation=109&amp;endStation=78", "Clic para verlo en la web de RoadSurfer")</f>
        <v/>
      </c>
    </row>
    <row r="279">
      <c r="A279" t="inlineStr">
        <is>
          <t>Alemania</t>
        </is>
      </c>
      <c r="B279" t="inlineStr">
        <is>
          <t>Lübeck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No hay coche</t>
        </is>
      </c>
      <c r="H279">
        <f>HYPERLINK("https://booking.roadsurfer.com/es/rally/pick?pickup_date=2026-05-08&amp;return_date=2026-05-15&amp;currency=EUR&amp;startStation=109&amp;endStation=77", "Clic para verlo en la web de RoadSurfer")</f>
        <v/>
      </c>
    </row>
    <row r="280">
      <c r="A280" t="inlineStr">
        <is>
          <t>Alemania</t>
        </is>
      </c>
      <c r="B280" t="inlineStr">
        <is>
          <t>Lübeck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2026-05-02</t>
        </is>
      </c>
      <c r="F280" t="inlineStr">
        <is>
          <t>2026-05-09</t>
        </is>
      </c>
      <c r="G280" t="inlineStr">
        <is>
          <t xml:space="preserve"> - No hay coche</t>
        </is>
      </c>
      <c r="H280">
        <f>HYPERLINK("https://booking.roadsurfer.com/es/rally/pick?pickup_date=2026-05-02&amp;return_date=2026-05-09&amp;currency=EUR&amp;startStation=109&amp;endStation=40", "Clic para verlo en la web de RoadSurfer")</f>
        <v/>
      </c>
    </row>
    <row r="281">
      <c r="A281" t="inlineStr">
        <is>
          <t>Alemania</t>
        </is>
      </c>
      <c r="B281" t="inlineStr">
        <is>
          <t>Lübeck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2026-05-21</t>
        </is>
      </c>
      <c r="F281" t="inlineStr">
        <is>
          <t>2026-05-28</t>
        </is>
      </c>
      <c r="G281" t="inlineStr">
        <is>
          <t xml:space="preserve"> - Beach Hostel</t>
        </is>
      </c>
      <c r="H281">
        <f>HYPERLINK("https://booking.roadsurfer.com/es/rally/pick?pickup_date=2026-05-21&amp;return_date=2026-05-28&amp;currency=EUR&amp;startStation=109&amp;endStation=60", "Clic para verlo en la web de RoadSurfer")</f>
        <v/>
      </c>
    </row>
    <row r="282">
      <c r="A282" t="inlineStr">
        <is>
          <t>Francia</t>
        </is>
      </c>
      <c r="B282" t="inlineStr">
        <is>
          <t>Lyon</t>
        </is>
      </c>
      <c r="C282" t="inlineStr">
        <is>
          <t>Alemania</t>
        </is>
      </c>
      <c r="D282" t="inlineStr">
        <is>
          <t>Leipzig</t>
        </is>
      </c>
      <c r="E282" t="inlineStr">
        <is>
          <t>2026-05-11</t>
        </is>
      </c>
      <c r="F282" t="inlineStr">
        <is>
          <t>2026-05-18</t>
        </is>
      </c>
      <c r="G282" t="inlineStr">
        <is>
          <t xml:space="preserve"> - Surfer Suite - Road House</t>
        </is>
      </c>
      <c r="H282">
        <f>HYPERLINK("https://booking.roadsurfer.com/es/rally/pick?pickup_date=2026-05-11&amp;return_date=2026-05-18&amp;currency=EUR&amp;startStation=15&amp;endStation=8", "Clic para verlo en la web de RoadSurfer")</f>
        <v/>
      </c>
    </row>
    <row r="283">
      <c r="A283" t="inlineStr">
        <is>
          <t>Francia</t>
        </is>
      </c>
      <c r="B283" t="inlineStr">
        <is>
          <t>Lyon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Camper Cabin</t>
        </is>
      </c>
      <c r="H283">
        <f>HYPERLINK("https://booking.roadsurfer.com/es/rally/pick?pickup_date=2026-05-11&amp;return_date=2026-05-18&amp;currency=EUR&amp;startStation=15&amp;endStation=90", "Clic para verlo en la web de RoadSurfer")</f>
        <v/>
      </c>
    </row>
    <row r="284">
      <c r="A284" t="inlineStr">
        <is>
          <t>Francia</t>
        </is>
      </c>
      <c r="B284" t="inlineStr">
        <is>
          <t>Lyon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2026-05-08</t>
        </is>
      </c>
      <c r="F284" t="inlineStr">
        <is>
          <t>2026-05-15</t>
        </is>
      </c>
      <c r="G284" t="inlineStr">
        <is>
          <t xml:space="preserve"> - No hay coche</t>
        </is>
      </c>
      <c r="H284">
        <f>HYPERLINK("https://booking.roadsurfer.com/es/rally/pick?pickup_date=2026-05-08&amp;return_date=2026-05-15&amp;currency=EUR&amp;startStation=15&amp;endStation=90", "Clic para verlo en la web de RoadSurfer")</f>
        <v/>
      </c>
    </row>
    <row r="285">
      <c r="A285" t="inlineStr">
        <is>
          <t>Francia</t>
        </is>
      </c>
      <c r="B285" t="inlineStr">
        <is>
          <t>Lyon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2026-05-07</t>
        </is>
      </c>
      <c r="F285" t="inlineStr">
        <is>
          <t>2026-05-14</t>
        </is>
      </c>
      <c r="G285" t="inlineStr">
        <is>
          <t xml:space="preserve"> - No hay coche</t>
        </is>
      </c>
      <c r="H285">
        <f>HYPERLINK("https://booking.roadsurfer.com/es/rally/pick?pickup_date=2026-05-07&amp;return_date=2026-05-14&amp;currency=EUR&amp;startStation=15&amp;endStation=90", "Clic para verlo en la web de RoadSurfer")</f>
        <v/>
      </c>
    </row>
    <row r="286">
      <c r="A286" t="inlineStr">
        <is>
          <t>Francia</t>
        </is>
      </c>
      <c r="B286" t="inlineStr">
        <is>
          <t>Lyon</t>
        </is>
      </c>
      <c r="C286" t="inlineStr">
        <is>
          <t>Alemania</t>
        </is>
      </c>
      <c r="D286" t="inlineStr">
        <is>
          <t>Erfurt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Camper Cabin</t>
        </is>
      </c>
      <c r="H286">
        <f>HYPERLINK("https://booking.roadsurfer.com/es/rally/pick?pickup_date=2026-06-01&amp;return_date=2026-06-08&amp;currency=EUR&amp;startStation=15&amp;endStation=90", "Clic para verlo en la web de RoadSurfer")</f>
        <v/>
      </c>
    </row>
    <row r="287">
      <c r="A287" t="inlineStr">
        <is>
          <t>Francia</t>
        </is>
      </c>
      <c r="B287" t="inlineStr">
        <is>
          <t>Lyon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2026-05-16</t>
        </is>
      </c>
      <c r="F287" t="inlineStr">
        <is>
          <t>2026-05-23</t>
        </is>
      </c>
      <c r="G287" t="inlineStr">
        <is>
          <t xml:space="preserve"> - Road House</t>
        </is>
      </c>
      <c r="H287">
        <f>HYPERLINK("https://booking.roadsurfer.com/es/rally/pick?pickup_date=2026-05-16&amp;return_date=2026-05-23&amp;currency=EUR&amp;startStation=15&amp;endStation=56", "Clic para verlo en la web de RoadSurfer")</f>
        <v/>
      </c>
    </row>
    <row r="288">
      <c r="A288" t="inlineStr">
        <is>
          <t>Francia</t>
        </is>
      </c>
      <c r="B288" t="inlineStr">
        <is>
          <t>Lyon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2026-05-29</t>
        </is>
      </c>
      <c r="F288" t="inlineStr">
        <is>
          <t>2026-06-05</t>
        </is>
      </c>
      <c r="G288" t="inlineStr"/>
      <c r="H288">
        <f>HYPERLINK("https://booking.roadsurfer.com/es/rally/pick?pickup_date=2026-05-29&amp;return_date=2026-06-05&amp;currency=EUR&amp;startStation=15&amp;endStation=56", "Clic para verlo en la web de RoadSurfer")</f>
        <v/>
      </c>
    </row>
    <row r="289">
      <c r="A289" t="inlineStr">
        <is>
          <t>Francia</t>
        </is>
      </c>
      <c r="B289" t="inlineStr">
        <is>
          <t>Lyon</t>
        </is>
      </c>
      <c r="C289" t="inlineStr">
        <is>
          <t>Alemania</t>
        </is>
      </c>
      <c r="D289" t="inlineStr">
        <is>
          <t>Colonia-Düsseldorf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Road House</t>
        </is>
      </c>
      <c r="H289">
        <f>HYPERLINK("https://booking.roadsurfer.com/es/rally/pick?pickup_date=2026-05-11&amp;return_date=2026-05-18&amp;currency=EUR&amp;startStation=15&amp;endStation=4", "Clic para verlo en la web de RoadSurfer")</f>
        <v/>
      </c>
    </row>
    <row r="290">
      <c r="A290" t="inlineStr">
        <is>
          <t>Francia</t>
        </is>
      </c>
      <c r="B290" t="inlineStr">
        <is>
          <t>Lyon</t>
        </is>
      </c>
      <c r="C290" t="inlineStr">
        <is>
          <t>Alemania</t>
        </is>
      </c>
      <c r="D290" t="inlineStr">
        <is>
          <t>Colonia-Düsseldorf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Camper Cabin</t>
        </is>
      </c>
      <c r="H290">
        <f>HYPERLINK("https://booking.roadsurfer.com/es/rally/pick?pickup_date=2026-05-15&amp;return_date=2026-05-22&amp;currency=EUR&amp;startStation=15&amp;endStation=4", "Clic para verlo en la web de RoadSurfer")</f>
        <v/>
      </c>
    </row>
    <row r="291">
      <c r="A291" t="inlineStr">
        <is>
          <t>Francia</t>
        </is>
      </c>
      <c r="B291" t="inlineStr">
        <is>
          <t>Lyon</t>
        </is>
      </c>
      <c r="C291" t="inlineStr">
        <is>
          <t>Alemania</t>
        </is>
      </c>
      <c r="D291" t="inlineStr">
        <is>
          <t>Bremen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Family Finca</t>
        </is>
      </c>
      <c r="H291">
        <f>HYPERLINK("https://booking.roadsurfer.com/es/rally/pick?pickup_date=2026-05-04&amp;return_date=2026-05-11&amp;currency=EUR&amp;startStation=15&amp;endStation=55", "Clic para verlo en la web de RoadSurfer")</f>
        <v/>
      </c>
    </row>
    <row r="292">
      <c r="A292" t="inlineStr">
        <is>
          <t>España</t>
        </is>
      </c>
      <c r="B292" t="inlineStr">
        <is>
          <t>Madrid</t>
        </is>
      </c>
      <c r="C292" t="inlineStr">
        <is>
          <t>Alemania</t>
        </is>
      </c>
      <c r="D292" t="inlineStr">
        <is>
          <t>Núremberg</t>
        </is>
      </c>
      <c r="E292" t="inlineStr">
        <is>
          <t>2026-05-14</t>
        </is>
      </c>
      <c r="F292" t="inlineStr">
        <is>
          <t>2026-05-21</t>
        </is>
      </c>
      <c r="G292" t="inlineStr">
        <is>
          <t xml:space="preserve"> - Surfer Suite</t>
        </is>
      </c>
      <c r="H292">
        <f>HYPERLINK("https://booking.roadsurfer.com/es/rally/pick?pickup_date=2026-05-14&amp;return_date=2026-05-21&amp;currency=EUR&amp;startStation=20&amp;endStation=11", "Clic para verlo en la web de RoadSurfer")</f>
        <v/>
      </c>
    </row>
    <row r="293">
      <c r="A293" t="inlineStr">
        <is>
          <t>España</t>
        </is>
      </c>
      <c r="B293" t="inlineStr">
        <is>
          <t>Madrid</t>
        </is>
      </c>
      <c r="C293" t="inlineStr">
        <is>
          <t>Alemania</t>
        </is>
      </c>
      <c r="D293" t="inlineStr">
        <is>
          <t>Núremberg</t>
        </is>
      </c>
      <c r="E293" t="inlineStr">
        <is>
          <t>2026-06-08</t>
        </is>
      </c>
      <c r="F293" t="inlineStr">
        <is>
          <t>2026-06-15</t>
        </is>
      </c>
      <c r="G293" t="inlineStr">
        <is>
          <t xml:space="preserve"> - Couple Cottage</t>
        </is>
      </c>
      <c r="H293">
        <f>HYPERLINK("https://booking.roadsurfer.com/es/rally/pick?pickup_date=2026-06-08&amp;return_date=2026-06-15&amp;currency=EUR&amp;startStation=20&amp;endStation=11", "Clic para verlo en la web de RoadSurfer")</f>
        <v/>
      </c>
    </row>
    <row r="294">
      <c r="A294" t="inlineStr">
        <is>
          <t>España</t>
        </is>
      </c>
      <c r="B294" t="inlineStr">
        <is>
          <t>Madrid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Camper Cabin</t>
        </is>
      </c>
      <c r="H294">
        <f>HYPERLINK("https://booking.roadsurfer.com/es/rally/pick?pickup_date=2026-05-06&amp;return_date=2026-05-13&amp;currency=EUR&amp;startStation=20&amp;endStation=5", "Clic para verlo en la web de RoadSurfer")</f>
        <v/>
      </c>
    </row>
    <row r="295">
      <c r="A295" t="inlineStr">
        <is>
          <t>España</t>
        </is>
      </c>
      <c r="B295" t="inlineStr">
        <is>
          <t>Madrid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Surfer Suite - Road House</t>
        </is>
      </c>
      <c r="H295">
        <f>HYPERLINK("https://booking.roadsurfer.com/es/rally/pick?pickup_date=2026-05-08&amp;return_date=2026-05-15&amp;currency=EUR&amp;startStation=20&amp;endStation=5", "Clic para verlo en la web de RoadSurfer")</f>
        <v/>
      </c>
    </row>
    <row r="296">
      <c r="A296" t="inlineStr">
        <is>
          <t>España</t>
        </is>
      </c>
      <c r="B296" t="inlineStr">
        <is>
          <t>Madrid</t>
        </is>
      </c>
      <c r="C296" t="inlineStr">
        <is>
          <t>Alemania</t>
        </is>
      </c>
      <c r="D296" t="inlineStr">
        <is>
          <t>Maguncia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Couple Cottage - Sunrise Suite</t>
        </is>
      </c>
      <c r="H296">
        <f>HYPERLINK("https://booking.roadsurfer.com/es/rally/pick?pickup_date=2026-05-11&amp;return_date=2026-05-18&amp;currency=EUR&amp;startStation=20&amp;endStation=54", "Clic para verlo en la web de RoadSurfer")</f>
        <v/>
      </c>
    </row>
    <row r="297">
      <c r="A297" t="inlineStr">
        <is>
          <t>España</t>
        </is>
      </c>
      <c r="B297" t="inlineStr">
        <is>
          <t>Madrid</t>
        </is>
      </c>
      <c r="C297" t="inlineStr">
        <is>
          <t>Alemania</t>
        </is>
      </c>
      <c r="D297" t="inlineStr">
        <is>
          <t>Maguncia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No hay coche</t>
        </is>
      </c>
      <c r="H297">
        <f>HYPERLINK("https://booking.roadsurfer.com/es/rally/pick?pickup_date=2026-05-15&amp;return_date=2026-05-22&amp;currency=EUR&amp;startStation=20&amp;endStation=54", "Clic para verlo en la web de RoadSurfer")</f>
        <v/>
      </c>
    </row>
    <row r="298">
      <c r="A298" t="inlineStr">
        <is>
          <t>España</t>
        </is>
      </c>
      <c r="B298" t="inlineStr">
        <is>
          <t>Madrid</t>
        </is>
      </c>
      <c r="C298" t="inlineStr">
        <is>
          <t>Alemania</t>
        </is>
      </c>
      <c r="D298" t="inlineStr">
        <is>
          <t>Heidelberg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Road House</t>
        </is>
      </c>
      <c r="H298">
        <f>HYPERLINK("https://booking.roadsurfer.com/es/rally/pick?pickup_date=2026-05-11&amp;return_date=2026-05-18&amp;currency=EUR&amp;startStation=20&amp;endStation=79",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Ulm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Road House</t>
        </is>
      </c>
      <c r="H299">
        <f>HYPERLINK("https://booking.roadsurfer.com/es/rally/pick?pickup_date=2026-05-11&amp;return_date=2026-05-18&amp;currency=EUR&amp;startStation=20&amp;endStation=112", "Clic para verlo en la web de RoadSurfer")</f>
        <v/>
      </c>
    </row>
    <row r="300">
      <c r="A300" t="inlineStr">
        <is>
          <t>España</t>
        </is>
      </c>
      <c r="B300" t="inlineStr">
        <is>
          <t>Madrid</t>
        </is>
      </c>
      <c r="C300" t="inlineStr">
        <is>
          <t>Alemania</t>
        </is>
      </c>
      <c r="D300" t="inlineStr">
        <is>
          <t>Wurzburgo</t>
        </is>
      </c>
      <c r="E300" t="inlineStr">
        <is>
          <t>2026-05-15</t>
        </is>
      </c>
      <c r="F300" t="inlineStr">
        <is>
          <t>2026-05-22</t>
        </is>
      </c>
      <c r="G300" t="inlineStr">
        <is>
          <t xml:space="preserve"> - No hay coche</t>
        </is>
      </c>
      <c r="H300">
        <f>HYPERLINK("https://booking.roadsurfer.com/es/rally/pick?pickup_date=2026-05-15&amp;return_date=2026-05-22&amp;currency=EUR&amp;startStation=20&amp;endStation=115",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Wurzburgo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Family Finca</t>
        </is>
      </c>
      <c r="H301">
        <f>HYPERLINK("https://booking.roadsurfer.com/es/rally/pick?pickup_date=2026-06-01&amp;return_date=2026-06-08&amp;currency=EUR&amp;startStation=20&amp;endStation=115",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Lindau-Wangen</t>
        </is>
      </c>
      <c r="E302" t="inlineStr">
        <is>
          <t>2026-05-07</t>
        </is>
      </c>
      <c r="F302" t="inlineStr">
        <is>
          <t>2026-05-14</t>
        </is>
      </c>
      <c r="G302" t="inlineStr">
        <is>
          <t xml:space="preserve"> - No hay coche</t>
        </is>
      </c>
      <c r="H302">
        <f>HYPERLINK("https://booking.roadsurfer.com/es/rally/pick?pickup_date=2026-05-07&amp;return_date=2026-05-14&amp;currency=EUR&amp;startStation=20&amp;endStation=117",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Lindau-Wangen</t>
        </is>
      </c>
      <c r="E303" t="inlineStr">
        <is>
          <t>2026-05-25</t>
        </is>
      </c>
      <c r="F303" t="inlineStr">
        <is>
          <t>2026-06-01</t>
        </is>
      </c>
      <c r="G303" t="inlineStr">
        <is>
          <t xml:space="preserve"> - Couple Cottage</t>
        </is>
      </c>
      <c r="H303">
        <f>HYPERLINK("https://booking.roadsurfer.com/es/rally/pick?pickup_date=2026-05-25&amp;return_date=2026-06-01&amp;currency=EUR&amp;startStation=20&amp;endStation=117", "Clic para verlo en la web de RoadSurfer")</f>
        <v/>
      </c>
    </row>
    <row r="304">
      <c r="A304" t="inlineStr">
        <is>
          <t>España</t>
        </is>
      </c>
      <c r="B304" t="inlineStr">
        <is>
          <t>Madrid</t>
        </is>
      </c>
      <c r="C304" t="inlineStr">
        <is>
          <t>Alemania</t>
        </is>
      </c>
      <c r="D304" t="inlineStr">
        <is>
          <t>Leipzig</t>
        </is>
      </c>
      <c r="E304" t="inlineStr">
        <is>
          <t>2026-05-25</t>
        </is>
      </c>
      <c r="F304" t="inlineStr">
        <is>
          <t>2026-06-01</t>
        </is>
      </c>
      <c r="G304" t="inlineStr">
        <is>
          <t xml:space="preserve"> - Family Finca</t>
        </is>
      </c>
      <c r="H304">
        <f>HYPERLINK("https://booking.roadsurfer.com/es/rally/pick?pickup_date=2026-05-25&amp;return_date=2026-06-01&amp;currency=EUR&amp;startStation=20&amp;endStation=8",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Family Finca</t>
        </is>
      </c>
      <c r="H305">
        <f>HYPERLINK("https://booking.roadsurfer.com/es/rally/pick?pickup_date=2026-05-05&amp;return_date=2026-05-12&amp;currency=EUR&amp;startStation=20&amp;endStation=8",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Aquisgrán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Couple Cottage</t>
        </is>
      </c>
      <c r="H306">
        <f>HYPERLINK("https://booking.roadsurfer.com/es/rally/pick?pickup_date=2026-05-11&amp;return_date=2026-05-18&amp;currency=EUR&amp;startStation=20&amp;endStation=114",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Karlsruhe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Sunrise Suite</t>
        </is>
      </c>
      <c r="H307">
        <f>HYPERLINK("https://booking.roadsurfer.com/es/rally/pick?pickup_date=2026-05-13&amp;return_date=2026-05-20&amp;currency=EUR&amp;startStation=20&amp;endStation=110",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No hay coche</t>
        </is>
      </c>
      <c r="H308">
        <f>HYPERLINK("https://booking.roadsurfer.com/es/rally/pick?pickup_date=2026-05-15&amp;return_date=2026-05-22&amp;currency=EUR&amp;startStation=20&amp;endStation=110", "Clic para verlo en la web de RoadSurfer")</f>
        <v/>
      </c>
    </row>
    <row r="309">
      <c r="A309" t="inlineStr">
        <is>
          <t>Alemania</t>
        </is>
      </c>
      <c r="B309" t="inlineStr">
        <is>
          <t>Maguncia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Surfer Suite</t>
        </is>
      </c>
      <c r="H309">
        <f>HYPERLINK("https://booking.roadsurfer.com/es/rally/pick?pickup_date=2026-05-08&amp;return_date=2026-05-15&amp;currency=EUR&amp;startStation=54&amp;endStation=59", "Clic para verlo en la web de RoadSurfer")</f>
        <v/>
      </c>
    </row>
    <row r="310">
      <c r="A310" t="inlineStr">
        <is>
          <t>Alemania</t>
        </is>
      </c>
      <c r="B310" t="inlineStr">
        <is>
          <t>Maguncia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No hay coche</t>
        </is>
      </c>
      <c r="H310">
        <f>HYPERLINK("https://booking.roadsurfer.com/es/rally/pick?pickup_date=2026-05-06&amp;return_date=2026-05-13&amp;currency=EUR&amp;startStation=54&amp;endStation=29", "Clic para verlo en la web de RoadSurfer")</f>
        <v/>
      </c>
    </row>
    <row r="311">
      <c r="A311" t="inlineStr">
        <is>
          <t>España</t>
        </is>
      </c>
      <c r="B311" t="inlineStr">
        <is>
          <t>Málaga</t>
        </is>
      </c>
      <c r="C311" t="inlineStr">
        <is>
          <t>Alemania</t>
        </is>
      </c>
      <c r="D311" t="inlineStr">
        <is>
          <t>Friburgo-Basilea (Alemania)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Surfer Suite</t>
        </is>
      </c>
      <c r="H311">
        <f>HYPERLINK("https://booking.roadsurfer.com/es/rally/pick?pickup_date=2026-05-04&amp;return_date=2026-05-11&amp;currency=EUR&amp;startStation=21&amp;endStation=9", "Clic para verlo en la web de RoadSurfer")</f>
        <v/>
      </c>
    </row>
    <row r="312">
      <c r="A312" t="inlineStr">
        <is>
          <t>España</t>
        </is>
      </c>
      <c r="B312" t="inlineStr">
        <is>
          <t>Málaga</t>
        </is>
      </c>
      <c r="C312" t="inlineStr">
        <is>
          <t>Alemania</t>
        </is>
      </c>
      <c r="D312" t="inlineStr">
        <is>
          <t>Ulm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Surfer Suite</t>
        </is>
      </c>
      <c r="H312">
        <f>HYPERLINK("https://booking.roadsurfer.com/es/rally/pick?pickup_date=2026-05-08&amp;return_date=2026-05-15&amp;currency=EUR&amp;startStation=21&amp;endStation=112", "Clic para verlo en la web de RoadSurfer")</f>
        <v/>
      </c>
    </row>
    <row r="313">
      <c r="A313" t="inlineStr">
        <is>
          <t>España</t>
        </is>
      </c>
      <c r="B313" t="inlineStr">
        <is>
          <t>Málaga</t>
        </is>
      </c>
      <c r="C313" t="inlineStr">
        <is>
          <t>Alemania</t>
        </is>
      </c>
      <c r="D313" t="inlineStr">
        <is>
          <t>Maguncia</t>
        </is>
      </c>
      <c r="E313" t="inlineStr">
        <is>
          <t>2026-05-14</t>
        </is>
      </c>
      <c r="F313" t="inlineStr">
        <is>
          <t>2026-05-21</t>
        </is>
      </c>
      <c r="G313" t="inlineStr">
        <is>
          <t xml:space="preserve"> - Road House</t>
        </is>
      </c>
      <c r="H313">
        <f>HYPERLINK("https://booking.roadsurfer.com/es/rally/pick?pickup_date=2026-05-14&amp;return_date=2026-05-21&amp;currency=EUR&amp;startStation=21&amp;endStation=54", "Clic para verlo en la web de RoadSurfer")</f>
        <v/>
      </c>
    </row>
    <row r="314">
      <c r="A314" t="inlineStr">
        <is>
          <t>España</t>
        </is>
      </c>
      <c r="B314" t="inlineStr">
        <is>
          <t>Málaga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2026-05-16</t>
        </is>
      </c>
      <c r="F314" t="inlineStr">
        <is>
          <t>2026-05-23</t>
        </is>
      </c>
      <c r="G314" t="inlineStr">
        <is>
          <t xml:space="preserve"> - No hay coche</t>
        </is>
      </c>
      <c r="H314">
        <f>HYPERLINK("https://booking.roadsurfer.com/es/rally/pick?pickup_date=2026-05-16&amp;return_date=2026-05-23&amp;currency=EUR&amp;startStation=21&amp;endStation=1", "Clic para verlo en la web de RoadSurfer")</f>
        <v/>
      </c>
    </row>
    <row r="315">
      <c r="A315" t="inlineStr">
        <is>
          <t>España</t>
        </is>
      </c>
      <c r="B315" t="inlineStr">
        <is>
          <t>Málaga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2026-05-25</t>
        </is>
      </c>
      <c r="F315" t="inlineStr">
        <is>
          <t>2026-06-01</t>
        </is>
      </c>
      <c r="G315" t="inlineStr">
        <is>
          <t xml:space="preserve"> - Couple Cottage</t>
        </is>
      </c>
      <c r="H315">
        <f>HYPERLINK("https://booking.roadsurfer.com/es/rally/pick?pickup_date=2026-05-25&amp;return_date=2026-06-01&amp;currency=EUR&amp;startStation=21&amp;endStation=1", "Clic para verlo en la web de RoadSurfer")</f>
        <v/>
      </c>
    </row>
    <row r="316">
      <c r="A316" t="inlineStr">
        <is>
          <t>Suecia</t>
        </is>
      </c>
      <c r="B316" t="inlineStr">
        <is>
          <t>Malmö</t>
        </is>
      </c>
      <c r="C316" t="inlineStr">
        <is>
          <t>Alemania</t>
        </is>
      </c>
      <c r="D316" t="inlineStr">
        <is>
          <t>Bremen</t>
        </is>
      </c>
      <c r="E316" t="inlineStr">
        <is>
          <t>2026-05-09</t>
        </is>
      </c>
      <c r="F316" t="inlineStr">
        <is>
          <t>2026-05-16</t>
        </is>
      </c>
      <c r="G316" t="inlineStr">
        <is>
          <t xml:space="preserve"> - Surfer Suite</t>
        </is>
      </c>
      <c r="H316">
        <f>HYPERLINK("https://booking.roadsurfer.com/es/rally/pick?pickup_date=2026-05-09&amp;return_date=2026-05-16&amp;currency=EUR&amp;startStation=60&amp;endStation=55", "Clic para verlo en la web de RoadSurfer")</f>
        <v/>
      </c>
    </row>
    <row r="317">
      <c r="A317" t="inlineStr">
        <is>
          <t>Suecia</t>
        </is>
      </c>
      <c r="B317" t="inlineStr">
        <is>
          <t>Malmö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Surfer Suite - Road House</t>
        </is>
      </c>
      <c r="H317">
        <f>HYPERLINK("https://booking.roadsurfer.com/es/rally/pick?pickup_date=2026-05-06&amp;return_date=2026-05-13&amp;currency=EUR&amp;startStation=60&amp;endStation=22", "Clic para verlo en la web de RoadSurfer")</f>
        <v/>
      </c>
    </row>
    <row r="318">
      <c r="A318" t="inlineStr">
        <is>
          <t>Suecia</t>
        </is>
      </c>
      <c r="B318" t="inlineStr">
        <is>
          <t>Malmö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2026-05-09</t>
        </is>
      </c>
      <c r="F318" t="inlineStr">
        <is>
          <t>2026-05-16</t>
        </is>
      </c>
      <c r="G318" t="inlineStr">
        <is>
          <t xml:space="preserve"> - No hay coche</t>
        </is>
      </c>
      <c r="H318">
        <f>HYPERLINK("https://booking.roadsurfer.com/es/rally/pick?pickup_date=2026-05-09&amp;return_date=2026-05-16&amp;currency=EUR&amp;startStation=60&amp;endStation=22", "Clic para verlo en la web de RoadSurfer")</f>
        <v/>
      </c>
    </row>
    <row r="319">
      <c r="A319" t="inlineStr">
        <is>
          <t>Suecia</t>
        </is>
      </c>
      <c r="B319" t="inlineStr">
        <is>
          <t>Malmö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2026-05-11</t>
        </is>
      </c>
      <c r="F319" t="inlineStr">
        <is>
          <t>2026-05-18</t>
        </is>
      </c>
      <c r="G319" t="inlineStr"/>
      <c r="H319">
        <f>HYPERLINK("https://booking.roadsurfer.com/es/rally/pick?pickup_date=2026-05-11&amp;return_date=2026-05-18&amp;currency=EUR&amp;startStation=60&amp;endStation=22", "Clic para verlo en la web de RoadSurfer")</f>
        <v/>
      </c>
    </row>
    <row r="320">
      <c r="A320" t="inlineStr">
        <is>
          <t>Suecia</t>
        </is>
      </c>
      <c r="B320" t="inlineStr">
        <is>
          <t>Malmö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No hay coche</t>
        </is>
      </c>
      <c r="H320">
        <f>HYPERLINK("https://booking.roadsurfer.com/es/rally/pick?pickup_date=2026-05-02&amp;return_date=2026-05-09&amp;currency=EUR&amp;startStation=60&amp;endStation=22", "Clic para verlo en la web de RoadSurfer")</f>
        <v/>
      </c>
    </row>
    <row r="321">
      <c r="A321" t="inlineStr">
        <is>
          <t>Suecia</t>
        </is>
      </c>
      <c r="B321" t="inlineStr">
        <is>
          <t>Malmö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Family Finca</t>
        </is>
      </c>
      <c r="H321">
        <f>HYPERLINK("https://booking.roadsurfer.com/es/rally/pick?pickup_date=2026-05-07&amp;return_date=2026-05-14&amp;currency=EUR&amp;startStation=60&amp;endStation=22", "Clic para verlo en la web de RoadSurfer")</f>
        <v/>
      </c>
    </row>
    <row r="322">
      <c r="A322" t="inlineStr">
        <is>
          <t>Suecia</t>
        </is>
      </c>
      <c r="B322" t="inlineStr">
        <is>
          <t>Malmö</t>
        </is>
      </c>
      <c r="C322" t="inlineStr">
        <is>
          <t>Alemania</t>
        </is>
      </c>
      <c r="D322" t="inlineStr">
        <is>
          <t>Núremberg</t>
        </is>
      </c>
      <c r="E322" t="inlineStr">
        <is>
          <t>2026-05-07</t>
        </is>
      </c>
      <c r="F322" t="inlineStr">
        <is>
          <t>2026-05-14</t>
        </is>
      </c>
      <c r="G322" t="inlineStr">
        <is>
          <t xml:space="preserve"> - No hay coche</t>
        </is>
      </c>
      <c r="H322">
        <f>HYPERLINK("https://booking.roadsurfer.com/es/rally/pick?pickup_date=2026-05-07&amp;return_date=2026-05-14&amp;currency=EUR&amp;startStation=60&amp;endStation=11",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Surfer Suite</t>
        </is>
      </c>
      <c r="H323">
        <f>HYPERLINK("https://booking.roadsurfer.com/es/rally/pick?pickup_date=2026-05-11&amp;return_date=2026-05-18&amp;currency=EUR&amp;startStation=60&amp;endStation=52",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Maguncia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Surfer Suite</t>
        </is>
      </c>
      <c r="H324">
        <f>HYPERLINK("https://booking.roadsurfer.com/es/rally/pick?pickup_date=2026-05-06&amp;return_date=2026-05-13&amp;currency=EUR&amp;startStation=60&amp;endStation=54",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2026-05-05</t>
        </is>
      </c>
      <c r="F325" t="inlineStr">
        <is>
          <t>2026-05-12</t>
        </is>
      </c>
      <c r="G325" t="inlineStr">
        <is>
          <t xml:space="preserve"> - Family Finca</t>
        </is>
      </c>
      <c r="H325">
        <f>HYPERLINK("https://booking.roadsurfer.com/es/rally/pick?pickup_date=2026-05-05&amp;return_date=2026-05-12&amp;currency=EUR&amp;startStation=60&amp;endStation=91",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2026-05-07</t>
        </is>
      </c>
      <c r="F326" t="inlineStr">
        <is>
          <t>2026-05-14</t>
        </is>
      </c>
      <c r="G326" t="inlineStr">
        <is>
          <t xml:space="preserve"> - No hay coche</t>
        </is>
      </c>
      <c r="H326">
        <f>HYPERLINK("https://booking.roadsurfer.com/es/rally/pick?pickup_date=2026-05-07&amp;return_date=2026-05-14&amp;currency=EUR&amp;startStation=60&amp;endStation=91",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2026-05-12</t>
        </is>
      </c>
      <c r="F327" t="inlineStr">
        <is>
          <t>2026-05-19</t>
        </is>
      </c>
      <c r="G327" t="inlineStr"/>
      <c r="H327">
        <f>HYPERLINK("https://booking.roadsurfer.com/es/rally/pick?pickup_date=2026-05-12&amp;return_date=2026-05-19&amp;currency=EUR&amp;startStation=60&amp;endStation=3",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Hamburgo</t>
        </is>
      </c>
      <c r="E328" t="inlineStr">
        <is>
          <t>2026-05-27</t>
        </is>
      </c>
      <c r="F328" t="inlineStr">
        <is>
          <t>2026-06-03</t>
        </is>
      </c>
      <c r="G328" t="inlineStr">
        <is>
          <t xml:space="preserve"> - Camper Castle</t>
        </is>
      </c>
      <c r="H328">
        <f>HYPERLINK("https://booking.roadsurfer.com/es/rally/pick?pickup_date=2026-05-27&amp;return_date=2026-06-03&amp;currency=EUR&amp;startStation=60&amp;endStation=3",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Surfer Suite</t>
        </is>
      </c>
      <c r="H329">
        <f>HYPERLINK("https://booking.roadsurfer.com/es/rally/pick?pickup_date=2026-05-04&amp;return_date=2026-05-11&amp;currency=EUR&amp;startStation=60&amp;endStation=3",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Lübeck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Road House</t>
        </is>
      </c>
      <c r="H330">
        <f>HYPERLINK("https://booking.roadsurfer.com/es/rally/pick?pickup_date=2026-05-11&amp;return_date=2026-05-18&amp;currency=EUR&amp;startStation=60&amp;endStation=109",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Flensburgo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Camper Castle</t>
        </is>
      </c>
      <c r="H331">
        <f>HYPERLINK("https://booking.roadsurfer.com/es/rally/pick?pickup_date=2026-05-16&amp;return_date=2026-05-23&amp;currency=EUR&amp;startStation=60&amp;endStation=130",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Camper Castle</t>
        </is>
      </c>
      <c r="H332">
        <f>HYPERLINK("https://booking.roadsurfer.com/es/rally/pick?pickup_date=2026-05-11&amp;return_date=2026-05-18&amp;currency=EUR&amp;startStation=60&amp;endStation=130",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Stuttgart</t>
        </is>
      </c>
      <c r="E333" t="inlineStr">
        <is>
          <t>2026-05-02</t>
        </is>
      </c>
      <c r="F333" t="inlineStr">
        <is>
          <t>2026-05-09</t>
        </is>
      </c>
      <c r="G333" t="inlineStr">
        <is>
          <t xml:space="preserve"> - Camper Castle</t>
        </is>
      </c>
      <c r="H333">
        <f>HYPERLINK("https://booking.roadsurfer.com/es/rally/pick?pickup_date=2026-05-02&amp;return_date=2026-05-09&amp;currency=EUR&amp;startStation=60&amp;endStation=5",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Alemania</t>
        </is>
      </c>
      <c r="D334" t="inlineStr">
        <is>
          <t>Kiel</t>
        </is>
      </c>
      <c r="E334" t="inlineStr">
        <is>
          <t>2026-05-04</t>
        </is>
      </c>
      <c r="F334" t="inlineStr">
        <is>
          <t>2026-05-10</t>
        </is>
      </c>
      <c r="G334" t="inlineStr">
        <is>
          <t xml:space="preserve"> - No hay coche</t>
        </is>
      </c>
      <c r="H334">
        <f>HYPERLINK("https://booking.roadsurfer.com/es/rally/pick?pickup_date=2026-05-04&amp;return_date=2026-05-10&amp;currency=EUR&amp;startStation=60&amp;endStation=111",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Camper Castle</t>
        </is>
      </c>
      <c r="H335">
        <f>HYPERLINK("https://booking.roadsurfer.com/es/rally/pick?pickup_date=2026-05-20&amp;return_date=2026-05-27&amp;currency=EUR&amp;startStation=60&amp;endStation=90", "Clic para verlo en la web de RoadSurfer")</f>
        <v/>
      </c>
    </row>
    <row r="336">
      <c r="A336" t="inlineStr">
        <is>
          <t>Suecia</t>
        </is>
      </c>
      <c r="B336" t="inlineStr">
        <is>
          <t>Malmö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Family Finca</t>
        </is>
      </c>
      <c r="H336">
        <f>HYPERLINK("https://booking.roadsurfer.com/es/rally/pick?pickup_date=2026-05-11&amp;return_date=2026-05-18&amp;currency=EUR&amp;startStation=60&amp;endStation=90", "Clic para verlo en la web de RoadSurfer")</f>
        <v/>
      </c>
    </row>
    <row r="337">
      <c r="A337" t="inlineStr">
        <is>
          <t>Suecia</t>
        </is>
      </c>
      <c r="B337" t="inlineStr">
        <is>
          <t>Malmö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2026-05-07</t>
        </is>
      </c>
      <c r="F337" t="inlineStr">
        <is>
          <t>2026-05-14</t>
        </is>
      </c>
      <c r="G337" t="inlineStr">
        <is>
          <t xml:space="preserve"> - No hay coche</t>
        </is>
      </c>
      <c r="H337">
        <f>HYPERLINK("https://booking.roadsurfer.com/es/rally/pick?pickup_date=2026-05-07&amp;return_date=2026-05-14&amp;currency=EUR&amp;startStation=60&amp;endStation=110",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2026-05-05</t>
        </is>
      </c>
      <c r="F338" t="inlineStr">
        <is>
          <t>2026-05-12</t>
        </is>
      </c>
      <c r="G338" t="inlineStr">
        <is>
          <t xml:space="preserve"> - No hay coche</t>
        </is>
      </c>
      <c r="H338">
        <f>HYPERLINK("https://booking.roadsurfer.com/es/rally/pick?pickup_date=2026-05-05&amp;return_date=2026-05-12&amp;currency=EUR&amp;startStation=22&amp;endStation=12",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Camper Cabin</t>
        </is>
      </c>
      <c r="H339">
        <f>HYPERLINK("https://booking.roadsurfer.com/es/rally/pick?pickup_date=2026-05-06&amp;return_date=2026-05-13&amp;currency=EUR&amp;startStation=22&amp;endStation=12",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2026-05-07</t>
        </is>
      </c>
      <c r="F340" t="inlineStr">
        <is>
          <t>2026-05-14</t>
        </is>
      </c>
      <c r="G340" t="inlineStr">
        <is>
          <t xml:space="preserve"> - No hay coche</t>
        </is>
      </c>
      <c r="H340">
        <f>HYPERLINK("https://booking.roadsurfer.com/es/rally/pick?pickup_date=2026-05-07&amp;return_date=2026-05-14&amp;currency=EUR&amp;startStation=22&amp;endStation=12",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Austria</t>
        </is>
      </c>
      <c r="D341" t="inlineStr">
        <is>
          <t>Linz</t>
        </is>
      </c>
      <c r="E341" t="inlineStr">
        <is>
          <t>2026-05-07</t>
        </is>
      </c>
      <c r="F341" t="inlineStr">
        <is>
          <t>2026-05-14</t>
        </is>
      </c>
      <c r="G341" t="inlineStr">
        <is>
          <t xml:space="preserve"> - No hay coche</t>
        </is>
      </c>
      <c r="H341">
        <f>HYPERLINK("https://booking.roadsurfer.com/es/rally/pick?pickup_date=2026-05-07&amp;return_date=2026-05-14&amp;currency=EUR&amp;startStation=22&amp;endStation=116",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2026-05-02</t>
        </is>
      </c>
      <c r="F342" t="inlineStr">
        <is>
          <t>2026-05-09</t>
        </is>
      </c>
      <c r="G342" t="inlineStr">
        <is>
          <t xml:space="preserve"> - No hay coche</t>
        </is>
      </c>
      <c r="H342">
        <f>HYPERLINK("https://booking.roadsurfer.com/es/rally/pick?pickup_date=2026-05-02&amp;return_date=2026-05-09&amp;currency=EUR&amp;startStation=22&amp;endStation=33",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2026-05-07</t>
        </is>
      </c>
      <c r="F343" t="inlineStr">
        <is>
          <t>2026-05-14</t>
        </is>
      </c>
      <c r="G343" t="inlineStr">
        <is>
          <t xml:space="preserve"> - No hay coche</t>
        </is>
      </c>
      <c r="H343">
        <f>HYPERLINK("https://booking.roadsurfer.com/es/rally/pick?pickup_date=2026-05-07&amp;return_date=2026-05-14&amp;currency=EUR&amp;startStation=22&amp;endStation=33",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Países Bajos</t>
        </is>
      </c>
      <c r="D344" t="inlineStr">
        <is>
          <t>Róterdam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Surfer Suite</t>
        </is>
      </c>
      <c r="H344">
        <f>HYPERLINK("https://booking.roadsurfer.com/es/rally/pick?pickup_date=2026-05-11&amp;return_date=2026-05-18&amp;currency=EUR&amp;startStation=22&amp;endStation=33",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Países Bajos</t>
        </is>
      </c>
      <c r="D345" t="inlineStr">
        <is>
          <t>Róterdam</t>
        </is>
      </c>
      <c r="E345" t="inlineStr">
        <is>
          <t>2026-05-09</t>
        </is>
      </c>
      <c r="F345" t="inlineStr">
        <is>
          <t>2026-05-16</t>
        </is>
      </c>
      <c r="G345" t="inlineStr">
        <is>
          <t xml:space="preserve"> - No hay coche</t>
        </is>
      </c>
      <c r="H345">
        <f>HYPERLINK("https://booking.roadsurfer.com/es/rally/pick?pickup_date=2026-05-09&amp;return_date=2026-05-16&amp;currency=EUR&amp;startStation=22&amp;endStation=33",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Surfer Suite</t>
        </is>
      </c>
      <c r="H346">
        <f>HYPERLINK("https://booking.roadsurfer.com/es/rally/pick?pickup_date=2026-05-06&amp;return_date=2026-05-13&amp;currency=EUR&amp;startStation=22&amp;endStation=15",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2026-05-05</t>
        </is>
      </c>
      <c r="F347" t="inlineStr">
        <is>
          <t>2026-05-12</t>
        </is>
      </c>
      <c r="G347" t="inlineStr">
        <is>
          <t xml:space="preserve"> - Surfer Suite</t>
        </is>
      </c>
      <c r="H347">
        <f>HYPERLINK("https://booking.roadsurfer.com/es/rally/pick?pickup_date=2026-05-05&amp;return_date=2026-05-12&amp;currency=EUR&amp;startStation=22&amp;endStation=15",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Lyon</t>
        </is>
      </c>
      <c r="E348" t="inlineStr">
        <is>
          <t>2026-04-30</t>
        </is>
      </c>
      <c r="F348" t="inlineStr">
        <is>
          <t>2026-05-07</t>
        </is>
      </c>
      <c r="G348" t="inlineStr">
        <is>
          <t xml:space="preserve"> - Surfer Suite</t>
        </is>
      </c>
      <c r="H348">
        <f>HYPERLINK("https://booking.roadsurfer.com/es/rally/pick?pickup_date=2026-04-30&amp;return_date=2026-05-07&amp;currency=EUR&amp;startStation=22&amp;endStation=15",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Lyon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No hay coche</t>
        </is>
      </c>
      <c r="H349">
        <f>HYPERLINK("https://booking.roadsurfer.com/es/rally/pick?pickup_date=2026-05-02&amp;return_date=2026-05-09&amp;currency=EUR&amp;startStation=22&amp;endStation=15",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No hay coche</t>
        </is>
      </c>
      <c r="H350">
        <f>HYPERLINK("https://booking.roadsurfer.com/es/rally/pick?pickup_date=2026-05-07&amp;return_date=2026-05-14&amp;currency=EUR&amp;startStation=22&amp;endStation=15",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Alemania</t>
        </is>
      </c>
      <c r="D351" t="inlineStr">
        <is>
          <t>Flensburgo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Surfer Suite</t>
        </is>
      </c>
      <c r="H351">
        <f>HYPERLINK("https://booking.roadsurfer.com/es/rally/pick?pickup_date=2026-05-11&amp;return_date=2026-05-18&amp;currency=EUR&amp;startStation=22&amp;endStation=130",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Beach Hostel</t>
        </is>
      </c>
      <c r="H352">
        <f>HYPERLINK("https://booking.roadsurfer.com/es/rally/pick?pickup_date=2026-05-11&amp;return_date=2026-05-18&amp;currency=EUR&amp;startStation=22&amp;endStation=59",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2026-05-09</t>
        </is>
      </c>
      <c r="F353" t="inlineStr">
        <is>
          <t>2026-05-16</t>
        </is>
      </c>
      <c r="G353" t="inlineStr">
        <is>
          <t xml:space="preserve"> - No hay coche</t>
        </is>
      </c>
      <c r="H353">
        <f>HYPERLINK("https://booking.roadsurfer.com/es/rally/pick?pickup_date=2026-05-09&amp;return_date=2026-05-16&amp;currency=EUR&amp;startStation=22&amp;endStation=59",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2026-05-07</t>
        </is>
      </c>
      <c r="F354" t="inlineStr">
        <is>
          <t>2026-05-14</t>
        </is>
      </c>
      <c r="G354" t="inlineStr">
        <is>
          <t xml:space="preserve"> - No hay coche</t>
        </is>
      </c>
      <c r="H354">
        <f>HYPERLINK("https://booking.roadsurfer.com/es/rally/pick?pickup_date=2026-05-07&amp;return_date=2026-05-14&amp;currency=EUR&amp;startStation=22&amp;endStation=59",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2026-05-14</t>
        </is>
      </c>
      <c r="F355" t="inlineStr">
        <is>
          <t>2026-05-21</t>
        </is>
      </c>
      <c r="G355" t="inlineStr">
        <is>
          <t xml:space="preserve"> - Camper Castle</t>
        </is>
      </c>
      <c r="H355">
        <f>HYPERLINK("https://booking.roadsurfer.com/es/rally/pick?pickup_date=2026-05-14&amp;return_date=2026-05-21&amp;currency=EUR&amp;startStation=22&amp;endStation=59",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2026-05-05</t>
        </is>
      </c>
      <c r="F356" t="inlineStr">
        <is>
          <t>2026-05-12</t>
        </is>
      </c>
      <c r="G356" t="inlineStr">
        <is>
          <t xml:space="preserve"> - Surfer Suite - Couple Cottage</t>
        </is>
      </c>
      <c r="H356">
        <f>HYPERLINK("https://booking.roadsurfer.com/es/rally/pick?pickup_date=2026-05-05&amp;return_date=2026-05-12&amp;currency=EUR&amp;startStation=22&amp;endStation=59",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2026-06-22</t>
        </is>
      </c>
      <c r="F357" t="inlineStr">
        <is>
          <t>2026-06-29</t>
        </is>
      </c>
      <c r="G357" t="inlineStr">
        <is>
          <t xml:space="preserve"> - Beach Hostel</t>
        </is>
      </c>
      <c r="H357">
        <f>HYPERLINK("https://booking.roadsurfer.com/es/rally/pick?pickup_date=2026-06-22&amp;return_date=2026-06-29&amp;currency=EUR&amp;startStation=22&amp;endStation=59",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2026-05-16</t>
        </is>
      </c>
      <c r="F358" t="inlineStr">
        <is>
          <t>2026-05-23</t>
        </is>
      </c>
      <c r="G358" t="inlineStr">
        <is>
          <t xml:space="preserve"> - No hay coche</t>
        </is>
      </c>
      <c r="H358">
        <f>HYPERLINK("https://booking.roadsurfer.com/es/rally/pick?pickup_date=2026-05-16&amp;return_date=2026-05-23&amp;currency=EUR&amp;startStation=22&amp;endStation=59",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Couple Cottage</t>
        </is>
      </c>
      <c r="H359">
        <f>HYPERLINK("https://booking.roadsurfer.com/es/rally/pick?pickup_date=2026-05-15&amp;return_date=2026-05-22&amp;currency=EUR&amp;startStation=22&amp;endStation=59",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2026-06-04</t>
        </is>
      </c>
      <c r="F360" t="inlineStr">
        <is>
          <t>2026-06-11</t>
        </is>
      </c>
      <c r="G360" t="inlineStr">
        <is>
          <t xml:space="preserve"> - Camper Castle</t>
        </is>
      </c>
      <c r="H360">
        <f>HYPERLINK("https://booking.roadsurfer.com/es/rally/pick?pickup_date=2026-06-04&amp;return_date=2026-06-11&amp;currency=EUR&amp;startStation=22&amp;endStation=59",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2026-05-05</t>
        </is>
      </c>
      <c r="F361" t="inlineStr">
        <is>
          <t>2026-05-12</t>
        </is>
      </c>
      <c r="G361" t="inlineStr">
        <is>
          <t xml:space="preserve"> - Surfer Suite</t>
        </is>
      </c>
      <c r="H361">
        <f>HYPERLINK("https://booking.roadsurfer.com/es/rally/pick?pickup_date=2026-05-05&amp;return_date=2026-05-12&amp;currency=EUR&amp;startStation=22&amp;endStation=29",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Surfer Suite</t>
        </is>
      </c>
      <c r="H362">
        <f>HYPERLINK("https://booking.roadsurfer.com/es/rally/pick?pickup_date=2026-05-11&amp;return_date=2026-05-18&amp;currency=EUR&amp;startStation=22&amp;endStation=29",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Couple Cottage</t>
        </is>
      </c>
      <c r="H363">
        <f>HYPERLINK("https://booking.roadsurfer.com/es/rally/pick?pickup_date=2026-05-15&amp;return_date=2026-05-22&amp;currency=EUR&amp;startStation=22&amp;endStation=29",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2026-05-02</t>
        </is>
      </c>
      <c r="F364" t="inlineStr">
        <is>
          <t>2026-05-09</t>
        </is>
      </c>
      <c r="G364" t="inlineStr">
        <is>
          <t xml:space="preserve"> - No hay coche</t>
        </is>
      </c>
      <c r="H364">
        <f>HYPERLINK("https://booking.roadsurfer.com/es/rally/pick?pickup_date=2026-05-02&amp;return_date=2026-05-09&amp;currency=EUR&amp;startStation=22&amp;endStation=29",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2026-05-07</t>
        </is>
      </c>
      <c r="F365" t="inlineStr">
        <is>
          <t>2026-05-14</t>
        </is>
      </c>
      <c r="G365" t="inlineStr">
        <is>
          <t xml:space="preserve"> - No hay coche</t>
        </is>
      </c>
      <c r="H365">
        <f>HYPERLINK("https://booking.roadsurfer.com/es/rally/pick?pickup_date=2026-05-07&amp;return_date=2026-05-14&amp;currency=EUR&amp;startStation=22&amp;endStation=29",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Alemania</t>
        </is>
      </c>
      <c r="D366" t="inlineStr">
        <is>
          <t>Augsburgo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Surfer Suite</t>
        </is>
      </c>
      <c r="H366">
        <f>HYPERLINK("https://booking.roadsurfer.com/es/rally/pick?pickup_date=2026-05-11&amp;return_date=2026-05-18&amp;currency=EUR&amp;startStation=22&amp;endStation=108",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Nantes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No hay coche</t>
        </is>
      </c>
      <c r="H367">
        <f>HYPERLINK("https://booking.roadsurfer.com/es/rally/pick?pickup_date=2026-05-07&amp;return_date=2026-05-14&amp;currency=EUR&amp;startStation=22&amp;endStation=31",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2026-05-15</t>
        </is>
      </c>
      <c r="F368" t="inlineStr">
        <is>
          <t>2026-05-22</t>
        </is>
      </c>
      <c r="G368" t="inlineStr">
        <is>
          <t xml:space="preserve"> - No hay coche</t>
        </is>
      </c>
      <c r="H368">
        <f>HYPERLINK("https://booking.roadsurfer.com/es/rally/pick?pickup_date=2026-05-15&amp;return_date=2026-05-22&amp;currency=EUR&amp;startStation=22&amp;endStation=31",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2026-05-06</t>
        </is>
      </c>
      <c r="F369" t="inlineStr">
        <is>
          <t>2026-05-13</t>
        </is>
      </c>
      <c r="G369" t="inlineStr">
        <is>
          <t xml:space="preserve"> - No hay coche</t>
        </is>
      </c>
      <c r="H369">
        <f>HYPERLINK("https://booking.roadsurfer.com/es/rally/pick?pickup_date=2026-05-06&amp;return_date=2026-05-13&amp;currency=EUR&amp;startStation=22&amp;endStation=31",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Family Finca</t>
        </is>
      </c>
      <c r="H370">
        <f>HYPERLINK("https://booking.roadsurfer.com/es/rally/pick?pickup_date=2026-05-08&amp;return_date=2026-05-15&amp;currency=EUR&amp;startStation=22&amp;endStation=31",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2026-05-09</t>
        </is>
      </c>
      <c r="F371" t="inlineStr">
        <is>
          <t>2026-05-16</t>
        </is>
      </c>
      <c r="G371" t="inlineStr">
        <is>
          <t xml:space="preserve"> - No hay coche</t>
        </is>
      </c>
      <c r="H371">
        <f>HYPERLINK("https://booking.roadsurfer.com/es/rally/pick?pickup_date=2026-05-09&amp;return_date=2026-05-16&amp;currency=EUR&amp;startStation=22&amp;endStation=31",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Nantes</t>
        </is>
      </c>
      <c r="E372" t="inlineStr">
        <is>
          <t>2026-05-02</t>
        </is>
      </c>
      <c r="F372" t="inlineStr">
        <is>
          <t>2026-05-09</t>
        </is>
      </c>
      <c r="G372" t="inlineStr">
        <is>
          <t xml:space="preserve"> - No hay coche</t>
        </is>
      </c>
      <c r="H372">
        <f>HYPERLINK("https://booking.roadsurfer.com/es/rally/pick?pickup_date=2026-05-02&amp;return_date=2026-05-09&amp;currency=EUR&amp;startStation=22&amp;endStation=31",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Nantes</t>
        </is>
      </c>
      <c r="E373" t="inlineStr">
        <is>
          <t>2026-05-05</t>
        </is>
      </c>
      <c r="F373" t="inlineStr">
        <is>
          <t>2026-05-12</t>
        </is>
      </c>
      <c r="G373" t="inlineStr">
        <is>
          <t xml:space="preserve"> - Surfer Suite</t>
        </is>
      </c>
      <c r="H373">
        <f>HYPERLINK("https://booking.roadsurfer.com/es/rally/pick?pickup_date=2026-05-05&amp;return_date=2026-05-12&amp;currency=EUR&amp;startStation=22&amp;endStation=31",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Toulouse</t>
        </is>
      </c>
      <c r="E374" t="inlineStr">
        <is>
          <t>2026-05-02</t>
        </is>
      </c>
      <c r="F374" t="inlineStr">
        <is>
          <t>2026-05-09</t>
        </is>
      </c>
      <c r="G374" t="inlineStr">
        <is>
          <t xml:space="preserve"> - No hay coche</t>
        </is>
      </c>
      <c r="H374">
        <f>HYPERLINK("https://booking.roadsurfer.com/es/rally/pick?pickup_date=2026-05-02&amp;return_date=2026-05-09&amp;currency=EUR&amp;startStation=22&amp;endStation=30",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Toulouse</t>
        </is>
      </c>
      <c r="E375" t="inlineStr">
        <is>
          <t>2026-05-24</t>
        </is>
      </c>
      <c r="F375" t="inlineStr">
        <is>
          <t>2026-05-31</t>
        </is>
      </c>
      <c r="G375" t="inlineStr">
        <is>
          <t xml:space="preserve"> - No hay coche</t>
        </is>
      </c>
      <c r="H375">
        <f>HYPERLINK("https://booking.roadsurfer.com/es/rally/pick?pickup_date=2026-05-24&amp;return_date=2026-05-31&amp;currency=EUR&amp;startStation=22&amp;endStation=30",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Toulouse</t>
        </is>
      </c>
      <c r="E376" t="inlineStr">
        <is>
          <t>2026-05-07</t>
        </is>
      </c>
      <c r="F376" t="inlineStr">
        <is>
          <t>2026-05-14</t>
        </is>
      </c>
      <c r="G376" t="inlineStr">
        <is>
          <t xml:space="preserve"> - No hay coche</t>
        </is>
      </c>
      <c r="H376">
        <f>HYPERLINK("https://booking.roadsurfer.com/es/rally/pick?pickup_date=2026-05-07&amp;return_date=2026-05-14&amp;currency=EUR&amp;startStation=22&amp;endStation=30",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2026-05-22</t>
        </is>
      </c>
      <c r="F377" t="inlineStr">
        <is>
          <t>2026-05-29</t>
        </is>
      </c>
      <c r="G377" t="inlineStr">
        <is>
          <t xml:space="preserve"> - Couple Cottage</t>
        </is>
      </c>
      <c r="H377">
        <f>HYPERLINK("https://booking.roadsurfer.com/es/rally/pick?pickup_date=2026-05-22&amp;return_date=2026-05-29&amp;currency=EUR&amp;startStation=22&amp;endStation=40",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Surfer Suite</t>
        </is>
      </c>
      <c r="H378">
        <f>HYPERLINK("https://booking.roadsurfer.com/es/rally/pick?pickup_date=2026-05-05&amp;return_date=2026-05-12&amp;currency=EUR&amp;startStation=22&amp;endStation=40",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Bilbao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Road House</t>
        </is>
      </c>
      <c r="H379">
        <f>HYPERLINK("https://booking.roadsurfer.com/es/rally/pick?pickup_date=2026-06-08&amp;return_date=2026-06-15&amp;currency=EUR&amp;startStation=22&amp;endStation=40",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2026-05-08</t>
        </is>
      </c>
      <c r="F380" t="inlineStr">
        <is>
          <t>2026-05-15</t>
        </is>
      </c>
      <c r="G380" t="inlineStr">
        <is>
          <t xml:space="preserve"> - Surfer Suite</t>
        </is>
      </c>
      <c r="H380">
        <f>HYPERLINK("https://booking.roadsurfer.com/es/rally/pick?pickup_date=2026-05-08&amp;return_date=2026-05-15&amp;currency=EUR&amp;startStation=22&amp;endStation=40",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Bélgica</t>
        </is>
      </c>
      <c r="D381" t="inlineStr">
        <is>
          <t>Amberes</t>
        </is>
      </c>
      <c r="E381" t="inlineStr">
        <is>
          <t>2026-05-06</t>
        </is>
      </c>
      <c r="F381" t="inlineStr">
        <is>
          <t>2026-05-13</t>
        </is>
      </c>
      <c r="G381" t="inlineStr">
        <is>
          <t xml:space="preserve"> - No hay coche</t>
        </is>
      </c>
      <c r="H381">
        <f>HYPERLINK("https://booking.roadsurfer.com/es/rally/pick?pickup_date=2026-05-06&amp;return_date=2026-05-13&amp;currency=EUR&amp;startStation=22&amp;endStation=47",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Bélgica</t>
        </is>
      </c>
      <c r="D382" t="inlineStr">
        <is>
          <t>Amberes</t>
        </is>
      </c>
      <c r="E382" t="inlineStr">
        <is>
          <t>2026-05-05</t>
        </is>
      </c>
      <c r="F382" t="inlineStr">
        <is>
          <t>2026-05-12</t>
        </is>
      </c>
      <c r="G382" t="inlineStr">
        <is>
          <t xml:space="preserve"> - Surfer Suite</t>
        </is>
      </c>
      <c r="H382">
        <f>HYPERLINK("https://booking.roadsurfer.com/es/rally/pick?pickup_date=2026-05-05&amp;return_date=2026-05-12&amp;currency=EUR&amp;startStation=22&amp;endStation=47",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España</t>
        </is>
      </c>
      <c r="D383" t="inlineStr">
        <is>
          <t>Valencia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Surfer Suite</t>
        </is>
      </c>
      <c r="H383">
        <f>HYPERLINK("https://booking.roadsurfer.com/es/rally/pick?pickup_date=2026-05-11&amp;return_date=2026-05-18&amp;currency=EUR&amp;startStation=22&amp;endStation=38",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Bélgica</t>
        </is>
      </c>
      <c r="D384" t="inlineStr">
        <is>
          <t>Bruselas</t>
        </is>
      </c>
      <c r="E384" t="inlineStr">
        <is>
          <t>2026-05-05</t>
        </is>
      </c>
      <c r="F384" t="inlineStr">
        <is>
          <t>2026-05-12</t>
        </is>
      </c>
      <c r="G384" t="inlineStr">
        <is>
          <t xml:space="preserve"> - Surfer Suite</t>
        </is>
      </c>
      <c r="H384">
        <f>HYPERLINK("https://booking.roadsurfer.com/es/rally/pick?pickup_date=2026-05-05&amp;return_date=2026-05-12&amp;currency=EUR&amp;startStation=22&amp;endStation=42",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Bélgica</t>
        </is>
      </c>
      <c r="D385" t="inlineStr">
        <is>
          <t>Bruselas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No hay coche</t>
        </is>
      </c>
      <c r="H385">
        <f>HYPERLINK("https://booking.roadsurfer.com/es/rally/pick?pickup_date=2026-04-30&amp;return_date=2026-05-07&amp;currency=EUR&amp;startStation=22&amp;endStation=42",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Italia</t>
        </is>
      </c>
      <c r="D386" t="inlineStr">
        <is>
          <t>Turín</t>
        </is>
      </c>
      <c r="E386" t="inlineStr">
        <is>
          <t>2026-05-08</t>
        </is>
      </c>
      <c r="F386" t="inlineStr">
        <is>
          <t>2026-05-15</t>
        </is>
      </c>
      <c r="G386" t="inlineStr">
        <is>
          <t xml:space="preserve"> - No hay coche</t>
        </is>
      </c>
      <c r="H386">
        <f>HYPERLINK("https://booking.roadsurfer.com/es/rally/pick?pickup_date=2026-05-08&amp;return_date=2026-05-15&amp;currency=EUR&amp;startStation=22&amp;endStation=58",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Italia</t>
        </is>
      </c>
      <c r="D387" t="inlineStr">
        <is>
          <t>Turín</t>
        </is>
      </c>
      <c r="E387" t="inlineStr">
        <is>
          <t>2026-05-09</t>
        </is>
      </c>
      <c r="F387" t="inlineStr">
        <is>
          <t>2026-05-16</t>
        </is>
      </c>
      <c r="G387" t="inlineStr">
        <is>
          <t xml:space="preserve"> - No hay coche</t>
        </is>
      </c>
      <c r="H387">
        <f>HYPERLINK("https://booking.roadsurfer.com/es/rally/pick?pickup_date=2026-05-09&amp;return_date=2026-05-16&amp;currency=EUR&amp;startStation=22&amp;endStation=58",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Italia</t>
        </is>
      </c>
      <c r="D388" t="inlineStr">
        <is>
          <t>Turín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Surfer Suite</t>
        </is>
      </c>
      <c r="H388">
        <f>HYPERLINK("https://booking.roadsurfer.com/es/rally/pick?pickup_date=2026-05-07&amp;return_date=2026-05-14&amp;currency=EUR&amp;startStation=22&amp;endStation=58",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París Aeropuerto CDG</t>
        </is>
      </c>
      <c r="E389" t="inlineStr">
        <is>
          <t>2026-05-02</t>
        </is>
      </c>
      <c r="F389" t="inlineStr">
        <is>
          <t>2026-05-09</t>
        </is>
      </c>
      <c r="G389" t="inlineStr">
        <is>
          <t xml:space="preserve"> - No hay coche</t>
        </is>
      </c>
      <c r="H389">
        <f>HYPERLINK("https://booking.roadsurfer.com/es/rally/pick?pickup_date=2026-05-02&amp;return_date=2026-05-09&amp;currency=EUR&amp;startStation=22&amp;endStation=48",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Gotemburgo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No hay coche</t>
        </is>
      </c>
      <c r="H390">
        <f>HYPERLINK("https://booking.roadsurfer.com/es/rally/pick?pickup_date=2026-05-06&amp;return_date=2026-05-13&amp;currency=EUR&amp;startStation=22&amp;endStation=77",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Gotemburgo</t>
        </is>
      </c>
      <c r="E391" t="inlineStr">
        <is>
          <t>2026-06-03</t>
        </is>
      </c>
      <c r="F391" t="inlineStr">
        <is>
          <t>2026-06-10</t>
        </is>
      </c>
      <c r="G391" t="inlineStr">
        <is>
          <t xml:space="preserve"> - Beach Hostel</t>
        </is>
      </c>
      <c r="H391">
        <f>HYPERLINK("https://booking.roadsurfer.com/es/rally/pick?pickup_date=2026-06-03&amp;return_date=2026-06-10&amp;currency=EUR&amp;startStation=22&amp;endStation=77",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Surfer Suite</t>
        </is>
      </c>
      <c r="H392">
        <f>HYPERLINK("https://booking.roadsurfer.com/es/rally/pick?pickup_date=2026-05-11&amp;return_date=2026-05-18&amp;currency=EUR&amp;startStation=22&amp;endStation=77",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2026-05-08</t>
        </is>
      </c>
      <c r="F393" t="inlineStr">
        <is>
          <t>2026-05-15</t>
        </is>
      </c>
      <c r="G393" t="inlineStr"/>
      <c r="H393">
        <f>HYPERLINK("https://booking.roadsurfer.com/es/rally/pick?pickup_date=2026-05-08&amp;return_date=2026-05-15&amp;currency=EUR&amp;startStation=22&amp;endStation=77",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2026-05-06</t>
        </is>
      </c>
      <c r="F394" t="inlineStr">
        <is>
          <t>2026-05-13</t>
        </is>
      </c>
      <c r="G394" t="inlineStr">
        <is>
          <t xml:space="preserve"> - No hay coche</t>
        </is>
      </c>
      <c r="H394">
        <f>HYPERLINK("https://booking.roadsurfer.com/es/rally/pick?pickup_date=2026-05-06&amp;return_date=2026-05-13&amp;currency=EUR&amp;startStation=22&amp;endStation=60",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2026-05-09</t>
        </is>
      </c>
      <c r="F395" t="inlineStr">
        <is>
          <t>2026-05-16</t>
        </is>
      </c>
      <c r="G395" t="inlineStr">
        <is>
          <t xml:space="preserve"> - No hay coche</t>
        </is>
      </c>
      <c r="H395">
        <f>HYPERLINK("https://booking.roadsurfer.com/es/rally/pick?pickup_date=2026-05-09&amp;return_date=2026-05-16&amp;currency=EUR&amp;startStation=22&amp;endStation=60",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Malmö</t>
        </is>
      </c>
      <c r="E396" t="inlineStr">
        <is>
          <t>2026-05-07</t>
        </is>
      </c>
      <c r="F396" t="inlineStr">
        <is>
          <t>2026-05-14</t>
        </is>
      </c>
      <c r="G396" t="inlineStr">
        <is>
          <t xml:space="preserve"> - No hay coche</t>
        </is>
      </c>
      <c r="H396">
        <f>HYPERLINK("https://booking.roadsurfer.com/es/rally/pick?pickup_date=2026-05-07&amp;return_date=2026-05-14&amp;currency=EUR&amp;startStation=22&amp;endStation=60",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Malmö</t>
        </is>
      </c>
      <c r="E397" t="inlineStr">
        <is>
          <t>2026-05-08</t>
        </is>
      </c>
      <c r="F397" t="inlineStr">
        <is>
          <t>2026-05-15</t>
        </is>
      </c>
      <c r="G397" t="inlineStr">
        <is>
          <t xml:space="preserve"> - Surfer Suite - Couple Cottage</t>
        </is>
      </c>
      <c r="H397">
        <f>HYPERLINK("https://booking.roadsurfer.com/es/rally/pick?pickup_date=2026-05-08&amp;return_date=2026-05-15&amp;currency=EUR&amp;startStation=22&amp;endStation=60",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Malmö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Surfer Suite</t>
        </is>
      </c>
      <c r="H398">
        <f>HYPERLINK("https://booking.roadsurfer.com/es/rally/pick?pickup_date=2026-05-11&amp;return_date=2026-05-18&amp;currency=EUR&amp;startStation=22&amp;endStation=60",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Malmö</t>
        </is>
      </c>
      <c r="E399" t="inlineStr">
        <is>
          <t>2026-05-26</t>
        </is>
      </c>
      <c r="F399" t="inlineStr">
        <is>
          <t>2026-06-02</t>
        </is>
      </c>
      <c r="G399" t="inlineStr">
        <is>
          <t xml:space="preserve"> - Camper Castle</t>
        </is>
      </c>
      <c r="H399">
        <f>HYPERLINK("https://booking.roadsurfer.com/es/rally/pick?pickup_date=2026-05-26&amp;return_date=2026-06-02&amp;currency=EUR&amp;startStation=22&amp;endStation=60",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Austria</t>
        </is>
      </c>
      <c r="D400" t="inlineStr">
        <is>
          <t>Viena Sur</t>
        </is>
      </c>
      <c r="E400" t="inlineStr">
        <is>
          <t>2026-05-05</t>
        </is>
      </c>
      <c r="F400" t="inlineStr">
        <is>
          <t>2026-05-12</t>
        </is>
      </c>
      <c r="G400" t="inlineStr">
        <is>
          <t xml:space="preserve"> - Surfer Suite</t>
        </is>
      </c>
      <c r="H400">
        <f>HYPERLINK("https://booking.roadsurfer.com/es/rally/pick?pickup_date=2026-05-05&amp;return_date=2026-05-12&amp;currency=EUR&amp;startStation=22&amp;endStation=45",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Viena Sur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Camper Cabin</t>
        </is>
      </c>
      <c r="H401">
        <f>HYPERLINK("https://booking.roadsurfer.com/es/rally/pick?pickup_date=2026-05-11&amp;return_date=2026-05-18&amp;currency=EUR&amp;startStation=22&amp;endStation=45",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Austria</t>
        </is>
      </c>
      <c r="D402" t="inlineStr">
        <is>
          <t>Viena Sur</t>
        </is>
      </c>
      <c r="E402" t="inlineStr">
        <is>
          <t>2026-05-07</t>
        </is>
      </c>
      <c r="F402" t="inlineStr">
        <is>
          <t>2026-05-14</t>
        </is>
      </c>
      <c r="G402" t="inlineStr">
        <is>
          <t xml:space="preserve"> - No hay coche</t>
        </is>
      </c>
      <c r="H402">
        <f>HYPERLINK("https://booking.roadsurfer.com/es/rally/pick?pickup_date=2026-05-07&amp;return_date=2026-05-14&amp;currency=EUR&amp;startStation=22&amp;endStation=45",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2026-06-18</t>
        </is>
      </c>
      <c r="F403" t="inlineStr">
        <is>
          <t>2026-06-25</t>
        </is>
      </c>
      <c r="G403" t="inlineStr">
        <is>
          <t xml:space="preserve"> - No hay coche</t>
        </is>
      </c>
      <c r="H403">
        <f>HYPERLINK("https://booking.roadsurfer.com/es/rally/pick?pickup_date=2026-06-18&amp;return_date=2026-06-25&amp;currency=EUR&amp;startStation=22&amp;endStation=45",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Lille</t>
        </is>
      </c>
      <c r="E404" t="inlineStr">
        <is>
          <t>2026-05-05</t>
        </is>
      </c>
      <c r="F404" t="inlineStr">
        <is>
          <t>2026-05-12</t>
        </is>
      </c>
      <c r="G404" t="inlineStr">
        <is>
          <t xml:space="preserve"> - Surfer Suite</t>
        </is>
      </c>
      <c r="H404">
        <f>HYPERLINK("https://booking.roadsurfer.com/es/rally/pick?pickup_date=2026-05-05&amp;return_date=2026-05-12&amp;currency=EUR&amp;startStation=22&amp;endStation=87",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Bolonia</t>
        </is>
      </c>
      <c r="E405" t="inlineStr">
        <is>
          <t>2026-05-25</t>
        </is>
      </c>
      <c r="F405" t="inlineStr">
        <is>
          <t>2026-06-01</t>
        </is>
      </c>
      <c r="G405" t="inlineStr">
        <is>
          <t xml:space="preserve"> - Beach Hostel</t>
        </is>
      </c>
      <c r="H405">
        <f>HYPERLINK("https://booking.roadsurfer.com/es/rally/pick?pickup_date=2026-05-25&amp;return_date=2026-06-01&amp;currency=EUR&amp;startStation=22&amp;endStation=57",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Florencia</t>
        </is>
      </c>
      <c r="E406" t="inlineStr">
        <is>
          <t>2026-05-05</t>
        </is>
      </c>
      <c r="F406" t="inlineStr">
        <is>
          <t>2026-05-12</t>
        </is>
      </c>
      <c r="G406" t="inlineStr">
        <is>
          <t xml:space="preserve"> - Beach Hostel</t>
        </is>
      </c>
      <c r="H406">
        <f>HYPERLINK("https://booking.roadsurfer.com/es/rally/pick?pickup_date=2026-05-05&amp;return_date=2026-05-12&amp;currency=EUR&amp;startStation=22&amp;endStation=80",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Camper Cabin</t>
        </is>
      </c>
      <c r="H407">
        <f>HYPERLINK("https://booking.roadsurfer.com/es/rally/pick?pickup_date=2026-05-06&amp;return_date=2026-05-13&amp;currency=EUR&amp;startStation=22&amp;endStation=13",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Beach Hostel</t>
        </is>
      </c>
      <c r="H408">
        <f>HYPERLINK("https://booking.roadsurfer.com/es/rally/pick?pickup_date=2026-05-04&amp;return_date=2026-05-11&amp;currency=EUR&amp;startStation=22&amp;endStation=13",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Burdeos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Couple Cottage</t>
        </is>
      </c>
      <c r="H409">
        <f>HYPERLINK("https://booking.roadsurfer.com/es/rally/pick?pickup_date=2026-05-13&amp;return_date=2026-05-20&amp;currency=EUR&amp;startStation=22&amp;endStation=13",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Burdeos</t>
        </is>
      </c>
      <c r="E410" t="inlineStr">
        <is>
          <t>2026-05-07</t>
        </is>
      </c>
      <c r="F410" t="inlineStr">
        <is>
          <t>2026-05-14</t>
        </is>
      </c>
      <c r="G410" t="inlineStr">
        <is>
          <t xml:space="preserve"> - No hay coche</t>
        </is>
      </c>
      <c r="H410">
        <f>HYPERLINK("https://booking.roadsurfer.com/es/rally/pick?pickup_date=2026-05-07&amp;return_date=2026-05-14&amp;currency=EUR&amp;startStation=22&amp;endStation=13",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Burdeos</t>
        </is>
      </c>
      <c r="E411" t="inlineStr">
        <is>
          <t>2026-05-08</t>
        </is>
      </c>
      <c r="F411" t="inlineStr">
        <is>
          <t>2026-05-15</t>
        </is>
      </c>
      <c r="G411" t="inlineStr">
        <is>
          <t xml:space="preserve"> - Camper Cabin</t>
        </is>
      </c>
      <c r="H411">
        <f>HYPERLINK("https://booking.roadsurfer.com/es/rally/pick?pickup_date=2026-05-08&amp;return_date=2026-05-15&amp;currency=EUR&amp;startStation=22&amp;endStation=13",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2026-05-05</t>
        </is>
      </c>
      <c r="F412" t="inlineStr">
        <is>
          <t>2026-05-12</t>
        </is>
      </c>
      <c r="G412" t="inlineStr">
        <is>
          <t xml:space="preserve"> - Couple Cottage</t>
        </is>
      </c>
      <c r="H412">
        <f>HYPERLINK("https://booking.roadsurfer.com/es/rally/pick?pickup_date=2026-05-05&amp;return_date=2026-05-12&amp;currency=EUR&amp;startStation=22&amp;endStation=13",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Milán</t>
        </is>
      </c>
      <c r="E413" t="inlineStr">
        <is>
          <t>2026-05-12</t>
        </is>
      </c>
      <c r="F413" t="inlineStr">
        <is>
          <t>2026-05-19</t>
        </is>
      </c>
      <c r="G413" t="inlineStr">
        <is>
          <t xml:space="preserve"> - Family Finca</t>
        </is>
      </c>
      <c r="H413">
        <f>HYPERLINK("https://booking.roadsurfer.com/es/rally/pick?pickup_date=2026-05-12&amp;return_date=2026-05-19&amp;currency=EUR&amp;startStation=22&amp;endStation=34",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Beach Hostel - Family Finca</t>
        </is>
      </c>
      <c r="H414">
        <f>HYPERLINK("https://booking.roadsurfer.com/es/rally/pick?pickup_date=2026-05-11&amp;return_date=2026-05-18&amp;currency=EUR&amp;startStation=22&amp;endStation=34",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Sunrise Suite</t>
        </is>
      </c>
      <c r="H415">
        <f>HYPERLINK("https://booking.roadsurfer.com/es/rally/pick?pickup_date=2026-05-06&amp;return_date=2026-05-13&amp;currency=EUR&amp;startStation=22&amp;endStation=34",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Milán</t>
        </is>
      </c>
      <c r="E416" t="inlineStr">
        <is>
          <t>2026-05-20</t>
        </is>
      </c>
      <c r="F416" t="inlineStr">
        <is>
          <t>2026-05-27</t>
        </is>
      </c>
      <c r="G416" t="inlineStr">
        <is>
          <t xml:space="preserve"> - Couple Cottage</t>
        </is>
      </c>
      <c r="H416">
        <f>HYPERLINK("https://booking.roadsurfer.com/es/rally/pick?pickup_date=2026-05-20&amp;return_date=2026-05-27&amp;currency=EUR&amp;startStation=22&amp;endStation=34",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2026-05-07</t>
        </is>
      </c>
      <c r="F417" t="inlineStr">
        <is>
          <t>2026-05-14</t>
        </is>
      </c>
      <c r="G417" t="inlineStr">
        <is>
          <t xml:space="preserve"> - Camper Castle</t>
        </is>
      </c>
      <c r="H417">
        <f>HYPERLINK("https://booking.roadsurfer.com/es/rally/pick?pickup_date=2026-05-07&amp;return_date=2026-05-14&amp;currency=EUR&amp;startStation=22&amp;endStation=34",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España</t>
        </is>
      </c>
      <c r="D418" t="inlineStr">
        <is>
          <t>Sevilla</t>
        </is>
      </c>
      <c r="E418" t="inlineStr">
        <is>
          <t>2026-06-04</t>
        </is>
      </c>
      <c r="F418" t="inlineStr">
        <is>
          <t>2026-06-11</t>
        </is>
      </c>
      <c r="G418" t="inlineStr">
        <is>
          <t xml:space="preserve"> - Beach Hostel</t>
        </is>
      </c>
      <c r="H418">
        <f>HYPERLINK("https://booking.roadsurfer.com/es/rally/pick?pickup_date=2026-06-04&amp;return_date=2026-06-11&amp;currency=EUR&amp;startStation=22&amp;endStation=39",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Países Bajos</t>
        </is>
      </c>
      <c r="D419" t="inlineStr">
        <is>
          <t>Ámsterdam</t>
        </is>
      </c>
      <c r="E419" t="inlineStr">
        <is>
          <t>2026-05-18</t>
        </is>
      </c>
      <c r="F419" t="inlineStr">
        <is>
          <t>2026-05-25</t>
        </is>
      </c>
      <c r="G419" t="inlineStr">
        <is>
          <t xml:space="preserve"> - No hay coche</t>
        </is>
      </c>
      <c r="H419">
        <f>HYPERLINK("https://booking.roadsurfer.com/es/rally/pick?pickup_date=2026-05-18&amp;return_date=2026-05-25&amp;currency=EUR&amp;startStation=22&amp;endStation=32",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España</t>
        </is>
      </c>
      <c r="D420" t="inlineStr">
        <is>
          <t>Madrid</t>
        </is>
      </c>
      <c r="E420" t="inlineStr">
        <is>
          <t>2026-05-08</t>
        </is>
      </c>
      <c r="F420" t="inlineStr">
        <is>
          <t>2026-05-15</t>
        </is>
      </c>
      <c r="G420" t="inlineStr">
        <is>
          <t xml:space="preserve"> - No hay coche</t>
        </is>
      </c>
      <c r="H420">
        <f>HYPERLINK("https://booking.roadsurfer.com/es/rally/pick?pickup_date=2026-05-08&amp;return_date=2026-05-15&amp;currency=EUR&amp;startStation=22&amp;endStation=20",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2026-06-11</t>
        </is>
      </c>
      <c r="F421" t="inlineStr">
        <is>
          <t>2026-06-18</t>
        </is>
      </c>
      <c r="G421" t="inlineStr">
        <is>
          <t xml:space="preserve"> - Camper Cabin</t>
        </is>
      </c>
      <c r="H421">
        <f>HYPERLINK("https://booking.roadsurfer.com/es/rally/pick?pickup_date=2026-06-11&amp;return_date=2026-06-18&amp;currency=EUR&amp;startStation=22&amp;endStation=20",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España</t>
        </is>
      </c>
      <c r="D422" t="inlineStr">
        <is>
          <t>Málaga</t>
        </is>
      </c>
      <c r="E422" t="inlineStr">
        <is>
          <t>2026-05-05</t>
        </is>
      </c>
      <c r="F422" t="inlineStr">
        <is>
          <t>2026-05-12</t>
        </is>
      </c>
      <c r="G422" t="inlineStr">
        <is>
          <t xml:space="preserve"> - Road House</t>
        </is>
      </c>
      <c r="H422">
        <f>HYPERLINK("https://booking.roadsurfer.com/es/rally/pick?pickup_date=2026-05-05&amp;return_date=2026-05-12&amp;currency=EUR&amp;startStation=22&amp;endStation=21",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Málaga</t>
        </is>
      </c>
      <c r="E423" t="inlineStr">
        <is>
          <t>2026-05-28</t>
        </is>
      </c>
      <c r="F423" t="inlineStr">
        <is>
          <t>2026-06-04</t>
        </is>
      </c>
      <c r="G423" t="inlineStr">
        <is>
          <t xml:space="preserve"> - Road House</t>
        </is>
      </c>
      <c r="H423">
        <f>HYPERLINK("https://booking.roadsurfer.com/es/rally/pick?pickup_date=2026-05-28&amp;return_date=2026-06-04&amp;currency=EUR&amp;startStation=22&amp;endStation=21",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Aix-Marsella</t>
        </is>
      </c>
      <c r="E424" t="inlineStr">
        <is>
          <t>2026-05-21</t>
        </is>
      </c>
      <c r="F424" t="inlineStr">
        <is>
          <t>2026-05-28</t>
        </is>
      </c>
      <c r="G424" t="inlineStr">
        <is>
          <t xml:space="preserve"> - Camper Castle</t>
        </is>
      </c>
      <c r="H424">
        <f>HYPERLINK("https://booking.roadsurfer.com/es/rally/pick?pickup_date=2026-05-21&amp;return_date=2026-05-28&amp;currency=EUR&amp;startStation=22&amp;endStation=16",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2026-05-14</t>
        </is>
      </c>
      <c r="F425" t="inlineStr">
        <is>
          <t>2026-05-21</t>
        </is>
      </c>
      <c r="G425" t="inlineStr">
        <is>
          <t xml:space="preserve"> - Family Finca</t>
        </is>
      </c>
      <c r="H425">
        <f>HYPERLINK("https://booking.roadsurfer.com/es/rally/pick?pickup_date=2026-05-14&amp;return_date=2026-05-21&amp;currency=EUR&amp;startStation=22&amp;endStation=94",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Salzburgo</t>
        </is>
      </c>
      <c r="E426" t="inlineStr">
        <is>
          <t>2026-05-21</t>
        </is>
      </c>
      <c r="F426" t="inlineStr">
        <is>
          <t>2026-05-28</t>
        </is>
      </c>
      <c r="G426" t="inlineStr">
        <is>
          <t xml:space="preserve"> - Couple Cottage</t>
        </is>
      </c>
      <c r="H426">
        <f>HYPERLINK("https://booking.roadsurfer.com/es/rally/pick?pickup_date=2026-05-21&amp;return_date=2026-05-28&amp;currency=EUR&amp;startStation=22&amp;endStation=85",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Niza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No hay coche</t>
        </is>
      </c>
      <c r="H427">
        <f>HYPERLINK("https://booking.roadsurfer.com/es/rally/pick?pickup_date=2026-05-11&amp;return_date=2026-05-18&amp;currency=EUR&amp;startStation=22&amp;endStation=88",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Italia</t>
        </is>
      </c>
      <c r="D428" t="inlineStr">
        <is>
          <t>Roma Aeropuerto Fiumicino</t>
        </is>
      </c>
      <c r="E428" t="inlineStr">
        <is>
          <t>2026-05-07</t>
        </is>
      </c>
      <c r="F428" t="inlineStr">
        <is>
          <t>2026-05-14</t>
        </is>
      </c>
      <c r="G428" t="inlineStr">
        <is>
          <t xml:space="preserve"> - Couple Cottage</t>
        </is>
      </c>
      <c r="H428">
        <f>HYPERLINK("https://booking.roadsurfer.com/es/rally/pick?pickup_date=2026-05-07&amp;return_date=2026-05-14&amp;currency=EUR&amp;startStation=22&amp;endStation=35", "Clic para verlo en la web de RoadSurfer")</f>
        <v/>
      </c>
    </row>
    <row r="429">
      <c r="A429" t="inlineStr">
        <is>
          <t>Italia</t>
        </is>
      </c>
      <c r="B429" t="inlineStr">
        <is>
          <t>Milán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2026-05-12</t>
        </is>
      </c>
      <c r="F429" t="inlineStr">
        <is>
          <t>2026-05-19</t>
        </is>
      </c>
      <c r="G429" t="inlineStr">
        <is>
          <t xml:space="preserve"> - Surfer Suite</t>
        </is>
      </c>
      <c r="H429">
        <f>HYPERLINK("https://booking.roadsurfer.com/es/rally/pick?pickup_date=2026-05-12&amp;return_date=2026-05-19&amp;currency=EUR&amp;startStation=34&amp;endStation=22", "Clic para verlo en la web de RoadSurfer")</f>
        <v/>
      </c>
    </row>
    <row r="430">
      <c r="A430" t="inlineStr">
        <is>
          <t>Italia</t>
        </is>
      </c>
      <c r="B430" t="inlineStr">
        <is>
          <t>Milán</t>
        </is>
      </c>
      <c r="C430" t="inlineStr">
        <is>
          <t>Alemania</t>
        </is>
      </c>
      <c r="D430" t="inlineStr">
        <is>
          <t>Wurzburgo</t>
        </is>
      </c>
      <c r="E430" t="inlineStr">
        <is>
          <t>2026-05-05</t>
        </is>
      </c>
      <c r="F430" t="inlineStr">
        <is>
          <t>2026-05-12</t>
        </is>
      </c>
      <c r="G430" t="inlineStr">
        <is>
          <t xml:space="preserve"> - No hay coche</t>
        </is>
      </c>
      <c r="H430">
        <f>HYPERLINK("https://booking.roadsurfer.com/es/rally/pick?pickup_date=2026-05-05&amp;return_date=2026-05-12&amp;currency=EUR&amp;startStation=34&amp;endStation=115", "Clic para verlo en la web de RoadSurfer")</f>
        <v/>
      </c>
    </row>
    <row r="431">
      <c r="A431" t="inlineStr">
        <is>
          <t>Italia</t>
        </is>
      </c>
      <c r="B431" t="inlineStr">
        <is>
          <t>Milán</t>
        </is>
      </c>
      <c r="C431" t="inlineStr">
        <is>
          <t>Alemania</t>
        </is>
      </c>
      <c r="D431" t="inlineStr">
        <is>
          <t>Stuttgart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Sunrise Suite</t>
        </is>
      </c>
      <c r="H431">
        <f>HYPERLINK("https://booking.roadsurfer.com/es/rally/pick?pickup_date=2026-05-11&amp;return_date=2026-05-18&amp;currency=EUR&amp;startStation=34&amp;endStation=5",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Países Bajos</t>
        </is>
      </c>
      <c r="D432" t="inlineStr">
        <is>
          <t>Ámsterdam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Surfer Suite</t>
        </is>
      </c>
      <c r="H432">
        <f>HYPERLINK("https://booking.roadsurfer.com/es/rally/pick?pickup_date=2026-05-11&amp;return_date=2026-05-18&amp;currency=EUR&amp;startStation=1&amp;endStation=32",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Italia</t>
        </is>
      </c>
      <c r="D433" t="inlineStr">
        <is>
          <t>Turín</t>
        </is>
      </c>
      <c r="E433" t="inlineStr">
        <is>
          <t>2026-06-05</t>
        </is>
      </c>
      <c r="F433" t="inlineStr">
        <is>
          <t>2026-06-12</t>
        </is>
      </c>
      <c r="G433" t="inlineStr">
        <is>
          <t xml:space="preserve"> - Road House</t>
        </is>
      </c>
      <c r="H433">
        <f>HYPERLINK("https://booking.roadsurfer.com/es/rally/pick?pickup_date=2026-06-05&amp;return_date=2026-06-12&amp;currency=EUR&amp;startStation=1&amp;endStation=58",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España</t>
        </is>
      </c>
      <c r="D434" t="inlineStr">
        <is>
          <t>Bilbao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Camper Castle</t>
        </is>
      </c>
      <c r="H434">
        <f>HYPERLINK("https://booking.roadsurfer.com/es/rally/pick?pickup_date=2026-05-11&amp;return_date=2026-05-18&amp;currency=EUR&amp;startStation=1&amp;endStation=40",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Alemania</t>
        </is>
      </c>
      <c r="D435" t="inlineStr">
        <is>
          <t>Flensburgo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No hay coche</t>
        </is>
      </c>
      <c r="H435">
        <f>HYPERLINK("https://booking.roadsurfer.com/es/rally/pick?pickup_date=2026-05-06&amp;return_date=2026-05-13&amp;currency=EUR&amp;startStation=1&amp;endStation=130",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Alemania</t>
        </is>
      </c>
      <c r="D436" t="inlineStr">
        <is>
          <t>Flensburgo</t>
        </is>
      </c>
      <c r="E436" t="inlineStr">
        <is>
          <t>2026-05-07</t>
        </is>
      </c>
      <c r="F436" t="inlineStr">
        <is>
          <t>2026-05-14</t>
        </is>
      </c>
      <c r="G436" t="inlineStr">
        <is>
          <t xml:space="preserve"> - No hay coche</t>
        </is>
      </c>
      <c r="H436">
        <f>HYPERLINK("https://booking.roadsurfer.com/es/rally/pick?pickup_date=2026-05-07&amp;return_date=2026-05-14&amp;currency=EUR&amp;startStation=1&amp;endStation=130",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Alemania</t>
        </is>
      </c>
      <c r="D437" t="inlineStr">
        <is>
          <t>Flensburgo</t>
        </is>
      </c>
      <c r="E437" t="inlineStr">
        <is>
          <t>2026-05-04</t>
        </is>
      </c>
      <c r="F437" t="inlineStr">
        <is>
          <t>2026-05-11</t>
        </is>
      </c>
      <c r="G437" t="inlineStr">
        <is>
          <t xml:space="preserve"> - No hay coche</t>
        </is>
      </c>
      <c r="H437">
        <f>HYPERLINK("https://booking.roadsurfer.com/es/rally/pick?pickup_date=2026-05-04&amp;return_date=2026-05-11&amp;currency=EUR&amp;startStation=1&amp;endStation=130",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2026-06-22</t>
        </is>
      </c>
      <c r="F438" t="inlineStr">
        <is>
          <t>2026-06-29</t>
        </is>
      </c>
      <c r="G438" t="inlineStr">
        <is>
          <t xml:space="preserve"> - Couple Cottage</t>
        </is>
      </c>
      <c r="H438">
        <f>HYPERLINK("https://booking.roadsurfer.com/es/rally/pick?pickup_date=2026-06-22&amp;return_date=2026-06-29&amp;currency=EUR&amp;startStation=1&amp;endStation=21",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España</t>
        </is>
      </c>
      <c r="D439" t="inlineStr">
        <is>
          <t>Sevilla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Cozy Cottage</t>
        </is>
      </c>
      <c r="H439">
        <f>HYPERLINK("https://booking.roadsurfer.com/es/rally/pick?pickup_date=2026-05-06&amp;return_date=2026-05-13&amp;currency=EUR&amp;startStation=1&amp;endStation=39",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Francia</t>
        </is>
      </c>
      <c r="D440" t="inlineStr">
        <is>
          <t>París Sur (Orly)</t>
        </is>
      </c>
      <c r="E440" t="inlineStr">
        <is>
          <t>2026-05-07</t>
        </is>
      </c>
      <c r="F440" t="inlineStr">
        <is>
          <t>2026-05-14</t>
        </is>
      </c>
      <c r="G440" t="inlineStr">
        <is>
          <t xml:space="preserve"> - No hay coche</t>
        </is>
      </c>
      <c r="H440">
        <f>HYPERLINK("https://booking.roadsurfer.com/es/rally/pick?pickup_date=2026-05-07&amp;return_date=2026-05-14&amp;currency=EUR&amp;startStation=1&amp;endStation=12",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Francia</t>
        </is>
      </c>
      <c r="D441" t="inlineStr">
        <is>
          <t>Burdeos</t>
        </is>
      </c>
      <c r="E441" t="inlineStr">
        <is>
          <t>2026-05-02</t>
        </is>
      </c>
      <c r="F441" t="inlineStr">
        <is>
          <t>2026-05-09</t>
        </is>
      </c>
      <c r="G441" t="inlineStr">
        <is>
          <t xml:space="preserve"> - Sunrise Suite</t>
        </is>
      </c>
      <c r="H441">
        <f>HYPERLINK("https://booking.roadsurfer.com/es/rally/pick?pickup_date=2026-05-02&amp;return_date=2026-05-09&amp;currency=EUR&amp;startStation=1&amp;endStation=13",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Surfer Suite</t>
        </is>
      </c>
      <c r="H442">
        <f>HYPERLINK("https://booking.roadsurfer.com/es/rally/pick?pickup_date=2026-05-11&amp;return_date=2026-05-18&amp;currency=EUR&amp;startStation=31&amp;endStation=117",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Lindau-Wangen</t>
        </is>
      </c>
      <c r="E443" t="inlineStr">
        <is>
          <t>2026-05-18</t>
        </is>
      </c>
      <c r="F443" t="inlineStr">
        <is>
          <t>2026-05-25</t>
        </is>
      </c>
      <c r="G443" t="inlineStr">
        <is>
          <t xml:space="preserve"> - No hay coche</t>
        </is>
      </c>
      <c r="H443">
        <f>HYPERLINK("https://booking.roadsurfer.com/es/rally/pick?pickup_date=2026-05-18&amp;return_date=2026-05-25&amp;currency=EUR&amp;startStation=31&amp;endStation=117",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Francia</t>
        </is>
      </c>
      <c r="D444" t="inlineStr">
        <is>
          <t>Toulouse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Surfer Suite</t>
        </is>
      </c>
      <c r="H444">
        <f>HYPERLINK("https://booking.roadsurfer.com/es/rally/pick?pickup_date=2026-05-13&amp;return_date=2026-05-20&amp;currency=EUR&amp;startStation=31&amp;endStation=30", "Clic para verlo en la web de RoadSurfer")</f>
        <v/>
      </c>
    </row>
    <row r="445">
      <c r="A445" t="inlineStr">
        <is>
          <t>Francia</t>
        </is>
      </c>
      <c r="B445" t="inlineStr">
        <is>
          <t>Nantes</t>
        </is>
      </c>
      <c r="C445" t="inlineStr">
        <is>
          <t>Alemania</t>
        </is>
      </c>
      <c r="D445" t="inlineStr">
        <is>
          <t>Ulm</t>
        </is>
      </c>
      <c r="E445" t="inlineStr">
        <is>
          <t>2026-05-09</t>
        </is>
      </c>
      <c r="F445" t="inlineStr">
        <is>
          <t>2026-05-16</t>
        </is>
      </c>
      <c r="G445" t="inlineStr">
        <is>
          <t xml:space="preserve"> - Beach Hostel</t>
        </is>
      </c>
      <c r="H445">
        <f>HYPERLINK("https://booking.roadsurfer.com/es/rally/pick?pickup_date=2026-05-09&amp;return_date=2026-05-16&amp;currency=EUR&amp;startStation=31&amp;endStation=112", "Clic para verlo en la web de RoadSurfer")</f>
        <v/>
      </c>
    </row>
    <row r="446">
      <c r="A446" t="inlineStr">
        <is>
          <t>Francia</t>
        </is>
      </c>
      <c r="B446" t="inlineStr">
        <is>
          <t>Nantes</t>
        </is>
      </c>
      <c r="C446" t="inlineStr">
        <is>
          <t>Alemania</t>
        </is>
      </c>
      <c r="D446" t="inlineStr">
        <is>
          <t>Aquisgrán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Travel Home</t>
        </is>
      </c>
      <c r="H446">
        <f>HYPERLINK("https://booking.roadsurfer.com/es/rally/pick?pickup_date=2026-05-11&amp;return_date=2026-05-18&amp;currency=EUR&amp;startStation=31&amp;endStation=114", "Clic para verlo en la web de RoadSurfer")</f>
        <v/>
      </c>
    </row>
    <row r="447">
      <c r="A447" t="inlineStr">
        <is>
          <t>Francia</t>
        </is>
      </c>
      <c r="B447" t="inlineStr">
        <is>
          <t>Nantes</t>
        </is>
      </c>
      <c r="C447" t="inlineStr">
        <is>
          <t>Alemania</t>
        </is>
      </c>
      <c r="D447" t="inlineStr">
        <is>
          <t>Constanza (Aach)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Camper Cabin</t>
        </is>
      </c>
      <c r="H447">
        <f>HYPERLINK("https://booking.roadsurfer.com/es/rally/pick?pickup_date=2026-05-13&amp;return_date=2026-05-20&amp;currency=EUR&amp;startStation=31&amp;endStation=10", "Clic para verlo en la web de RoadSurfer")</f>
        <v/>
      </c>
    </row>
    <row r="448">
      <c r="A448" t="inlineStr">
        <is>
          <t>Francia</t>
        </is>
      </c>
      <c r="B448" t="inlineStr">
        <is>
          <t>Nantes</t>
        </is>
      </c>
      <c r="C448" t="inlineStr">
        <is>
          <t>Alemania</t>
        </is>
      </c>
      <c r="D448" t="inlineStr">
        <is>
          <t>Constanza (Aach)</t>
        </is>
      </c>
      <c r="E448" t="inlineStr">
        <is>
          <t>2026-05-29</t>
        </is>
      </c>
      <c r="F448" t="inlineStr">
        <is>
          <t>2026-06-05</t>
        </is>
      </c>
      <c r="G448" t="inlineStr">
        <is>
          <t xml:space="preserve"> - Couple Cottage</t>
        </is>
      </c>
      <c r="H448">
        <f>HYPERLINK("https://booking.roadsurfer.com/es/rally/pick?pickup_date=2026-05-29&amp;return_date=2026-06-05&amp;currency=EUR&amp;startStation=31&amp;endStation=10", "Clic para verlo en la web de RoadSurfer")</f>
        <v/>
      </c>
    </row>
    <row r="449">
      <c r="A449" t="inlineStr">
        <is>
          <t>Francia</t>
        </is>
      </c>
      <c r="B449" t="inlineStr">
        <is>
          <t>Nantes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Camper Cabin</t>
        </is>
      </c>
      <c r="H449">
        <f>HYPERLINK("https://booking.roadsurfer.com/es/rally/pick?pickup_date=2026-05-06&amp;return_date=2026-05-13&amp;currency=EUR&amp;startStation=31&amp;endStation=11", "Clic para verlo en la web de RoadSurfer")</f>
        <v/>
      </c>
    </row>
    <row r="450">
      <c r="A450" t="inlineStr">
        <is>
          <t>Francia</t>
        </is>
      </c>
      <c r="B450" t="inlineStr">
        <is>
          <t>Nantes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2026-05-18</t>
        </is>
      </c>
      <c r="F450" t="inlineStr">
        <is>
          <t>2026-05-26</t>
        </is>
      </c>
      <c r="G450" t="inlineStr">
        <is>
          <t xml:space="preserve"> - Camper Cabin</t>
        </is>
      </c>
      <c r="H450">
        <f>HYPERLINK("https://booking.roadsurfer.com/es/rally/pick?pickup_date=2026-05-18&amp;return_date=2026-05-26&amp;currency=EUR&amp;startStation=31&amp;endStation=54", "Clic para verlo en la web de RoadSurfer")</f>
        <v/>
      </c>
    </row>
    <row r="451">
      <c r="A451" t="inlineStr">
        <is>
          <t>Francia</t>
        </is>
      </c>
      <c r="B451" t="inlineStr">
        <is>
          <t>Nantes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No hay coche</t>
        </is>
      </c>
      <c r="H451">
        <f>HYPERLINK("https://booking.roadsurfer.com/es/rally/pick?pickup_date=2026-05-13&amp;return_date=2026-05-20&amp;currency=EUR&amp;startStation=31&amp;endStation=22",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Fráncfort</t>
        </is>
      </c>
      <c r="E452" t="inlineStr">
        <is>
          <t>2026-05-18</t>
        </is>
      </c>
      <c r="F452" t="inlineStr">
        <is>
          <t>2026-05-25</t>
        </is>
      </c>
      <c r="G452" t="inlineStr">
        <is>
          <t xml:space="preserve"> - No hay coche</t>
        </is>
      </c>
      <c r="H452">
        <f>HYPERLINK("https://booking.roadsurfer.com/es/rally/pick?pickup_date=2026-05-18&amp;return_date=2026-05-25&amp;currency=EUR&amp;startStation=31&amp;endStation=2",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Karlsruhe</t>
        </is>
      </c>
      <c r="E453" t="inlineStr">
        <is>
          <t>2026-05-20</t>
        </is>
      </c>
      <c r="F453" t="inlineStr">
        <is>
          <t>2026-05-27</t>
        </is>
      </c>
      <c r="G453" t="inlineStr">
        <is>
          <t xml:space="preserve"> - Couple Cottage</t>
        </is>
      </c>
      <c r="H453">
        <f>HYPERLINK("https://booking.roadsurfer.com/es/rally/pick?pickup_date=2026-05-20&amp;return_date=2026-05-27&amp;currency=EUR&amp;startStation=31&amp;endStation=110", "Clic para verlo en la web de RoadSurfer")</f>
        <v/>
      </c>
    </row>
    <row r="454">
      <c r="A454" t="inlineStr">
        <is>
          <t>Alemania</t>
        </is>
      </c>
      <c r="B454" t="inlineStr">
        <is>
          <t>Núremberg</t>
        </is>
      </c>
      <c r="C454" t="inlineStr">
        <is>
          <t>Francia</t>
        </is>
      </c>
      <c r="D454" t="inlineStr">
        <is>
          <t>Nantes</t>
        </is>
      </c>
      <c r="E454" t="inlineStr">
        <is>
          <t>2026-06-08</t>
        </is>
      </c>
      <c r="F454" t="inlineStr">
        <is>
          <t>2026-06-15</t>
        </is>
      </c>
      <c r="G454" t="inlineStr">
        <is>
          <t xml:space="preserve"> - Camper Cabin</t>
        </is>
      </c>
      <c r="H454">
        <f>HYPERLINK("https://booking.roadsurfer.com/es/rally/pick?pickup_date=2026-06-08&amp;return_date=2026-06-15&amp;currency=EUR&amp;startStation=11&amp;endStation=31", "Clic para verlo en la web de RoadSurfer")</f>
        <v/>
      </c>
    </row>
    <row r="455">
      <c r="A455" t="inlineStr">
        <is>
          <t>Alemania</t>
        </is>
      </c>
      <c r="B455" t="inlineStr">
        <is>
          <t>Núremberg</t>
        </is>
      </c>
      <c r="C455" t="inlineStr">
        <is>
          <t>España</t>
        </is>
      </c>
      <c r="D455" t="inlineStr">
        <is>
          <t>Madrid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Camper Cabin</t>
        </is>
      </c>
      <c r="H455">
        <f>HYPERLINK("https://booking.roadsurfer.com/es/rally/pick?pickup_date=2026-06-08&amp;return_date=2026-06-15&amp;currency=EUR&amp;startStation=11&amp;endStation=20", "Clic para verlo en la web de RoadSurfer")</f>
        <v/>
      </c>
    </row>
    <row r="456">
      <c r="A456" t="inlineStr">
        <is>
          <t>Alemania</t>
        </is>
      </c>
      <c r="B456" t="inlineStr">
        <is>
          <t>Núremberg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2026-06-08</t>
        </is>
      </c>
      <c r="F456" t="inlineStr">
        <is>
          <t>2026-06-15</t>
        </is>
      </c>
      <c r="G456" t="inlineStr">
        <is>
          <t xml:space="preserve"> - Camper Cabin Deluxe</t>
        </is>
      </c>
      <c r="H456">
        <f>HYPERLINK("https://booking.roadsurfer.com/es/rally/pick?pickup_date=2026-06-08&amp;return_date=2026-06-15&amp;currency=EUR&amp;startStation=11&amp;endStation=8", "Clic para verlo en la web de RoadSurfer")</f>
        <v/>
      </c>
    </row>
    <row r="457">
      <c r="A457" t="inlineStr">
        <is>
          <t>Alemania</t>
        </is>
      </c>
      <c r="B457" t="inlineStr">
        <is>
          <t>Núremberg</t>
        </is>
      </c>
      <c r="C457" t="inlineStr">
        <is>
          <t>Francia</t>
        </is>
      </c>
      <c r="D457" t="inlineStr">
        <is>
          <t>Toulouse</t>
        </is>
      </c>
      <c r="E457" t="inlineStr">
        <is>
          <t>2026-05-08</t>
        </is>
      </c>
      <c r="F457" t="inlineStr">
        <is>
          <t>2026-05-15</t>
        </is>
      </c>
      <c r="G457" t="inlineStr">
        <is>
          <t xml:space="preserve"> - Camper Castle</t>
        </is>
      </c>
      <c r="H457">
        <f>HYPERLINK("https://booking.roadsurfer.com/es/rally/pick?pickup_date=2026-05-08&amp;return_date=2026-05-15&amp;currency=EUR&amp;startStation=11&amp;endStation=30", "Clic para verlo en la web de RoadSurfer")</f>
        <v/>
      </c>
    </row>
    <row r="458">
      <c r="A458" t="inlineStr">
        <is>
          <t>Alemania</t>
        </is>
      </c>
      <c r="B458" t="inlineStr">
        <is>
          <t>Núremberg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2026-05-18</t>
        </is>
      </c>
      <c r="F458" t="inlineStr">
        <is>
          <t>2026-05-25</t>
        </is>
      </c>
      <c r="G458" t="inlineStr">
        <is>
          <t xml:space="preserve"> - No hay coche</t>
        </is>
      </c>
      <c r="H458">
        <f>HYPERLINK("https://booking.roadsurfer.com/es/rally/pick?pickup_date=2026-05-18&amp;return_date=2026-05-25&amp;currency=EUR&amp;startStation=11&amp;endStation=45", "Clic para verlo en la web de RoadSurfer")</f>
        <v/>
      </c>
    </row>
    <row r="459">
      <c r="A459" t="inlineStr">
        <is>
          <t>Alemania</t>
        </is>
      </c>
      <c r="B459" t="inlineStr">
        <is>
          <t>Núremberg</t>
        </is>
      </c>
      <c r="C459" t="inlineStr">
        <is>
          <t>España</t>
        </is>
      </c>
      <c r="D459" t="inlineStr">
        <is>
          <t>Sevilla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Cozy Cottage</t>
        </is>
      </c>
      <c r="H459">
        <f>HYPERLINK("https://booking.roadsurfer.com/es/rally/pick?pickup_date=2026-05-07&amp;return_date=2026-05-14&amp;currency=EUR&amp;startStation=11&amp;endStation=39", "Clic para verlo en la web de RoadSurfer")</f>
        <v/>
      </c>
    </row>
    <row r="460">
      <c r="A460" t="inlineStr">
        <is>
          <t>Noruega</t>
        </is>
      </c>
      <c r="B460" t="inlineStr">
        <is>
          <t>Oslo</t>
        </is>
      </c>
      <c r="C460" t="inlineStr">
        <is>
          <t>Noruega</t>
        </is>
      </c>
      <c r="D460" t="inlineStr">
        <is>
          <t>Bergen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Camper Castle</t>
        </is>
      </c>
      <c r="H460">
        <f>HYPERLINK("https://booking.roadsurfer.com/es/rally/pick?pickup_date=2026-05-04&amp;return_date=2026-05-11&amp;currency=EUR&amp;startStation=96&amp;endStation=95", "Clic para verlo en la web de RoadSurfer")</f>
        <v/>
      </c>
    </row>
    <row r="461">
      <c r="A461" t="inlineStr">
        <is>
          <t>Francia</t>
        </is>
      </c>
      <c r="B461" t="inlineStr">
        <is>
          <t>París Sur (Orly)</t>
        </is>
      </c>
      <c r="C461" t="inlineStr">
        <is>
          <t>Alemania</t>
        </is>
      </c>
      <c r="D461" t="inlineStr">
        <is>
          <t>Colonia-Düsseldorf</t>
        </is>
      </c>
      <c r="E461" t="inlineStr">
        <is>
          <t>2026-05-07</t>
        </is>
      </c>
      <c r="F461" t="inlineStr">
        <is>
          <t>2026-05-13</t>
        </is>
      </c>
      <c r="G461" t="inlineStr">
        <is>
          <t xml:space="preserve"> - No hay coche</t>
        </is>
      </c>
      <c r="H461">
        <f>HYPERLINK("https://booking.roadsurfer.com/es/rally/pick?pickup_date=2026-05-07&amp;return_date=2026-05-13&amp;currency=EUR&amp;startStation=12&amp;endStation=4", "Clic para verlo en la web de RoadSurfer")</f>
        <v/>
      </c>
    </row>
    <row r="462">
      <c r="A462" t="inlineStr">
        <is>
          <t>Francia</t>
        </is>
      </c>
      <c r="B462" t="inlineStr">
        <is>
          <t>París Sur (Orly)</t>
        </is>
      </c>
      <c r="C462" t="inlineStr">
        <is>
          <t>Alemania</t>
        </is>
      </c>
      <c r="D462" t="inlineStr">
        <is>
          <t>Dresde</t>
        </is>
      </c>
      <c r="E462" t="inlineStr">
        <is>
          <t>2026-05-08</t>
        </is>
      </c>
      <c r="F462" t="inlineStr">
        <is>
          <t>2026-05-15</t>
        </is>
      </c>
      <c r="G462" t="inlineStr">
        <is>
          <t xml:space="preserve"> - No hay coche</t>
        </is>
      </c>
      <c r="H462">
        <f>HYPERLINK("https://booking.roadsurfer.com/es/rally/pick?pickup_date=2026-05-08&amp;return_date=2026-05-15&amp;currency=EUR&amp;startStation=12&amp;endStation=56",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Tréveris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HYPERLINK("https://booking.roadsurfer.com/es/rally/pick?pickup_date=2026-05-15&amp;return_date=2026-05-22&amp;currency=EUR&amp;startStation=12&amp;endStation=28",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Bochum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Couple Cottage</t>
        </is>
      </c>
      <c r="H464">
        <f>HYPERLINK("https://booking.roadsurfer.com/es/rally/pick?pickup_date=2026-05-21&amp;return_date=2026-05-28&amp;currency=EUR&amp;startStation=12&amp;endStation=24", "Clic para verlo en la web de RoadSurfer")</f>
        <v/>
      </c>
    </row>
    <row r="465">
      <c r="A465" t="inlineStr">
        <is>
          <t>Francia</t>
        </is>
      </c>
      <c r="B465" t="inlineStr">
        <is>
          <t>París Sur (Orly)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Sunrise Suite</t>
        </is>
      </c>
      <c r="H465">
        <f>HYPERLINK("https://booking.roadsurfer.com/es/rally/pick?pickup_date=2026-05-06&amp;return_date=2026-05-13&amp;currency=EUR&amp;startStation=12&amp;endStation=91", "Clic para verlo en la web de RoadSurfer")</f>
        <v/>
      </c>
    </row>
    <row r="466">
      <c r="A466" t="inlineStr">
        <is>
          <t>Francia</t>
        </is>
      </c>
      <c r="B466" t="inlineStr">
        <is>
          <t>París Sur (Orly)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2026-05-19</t>
        </is>
      </c>
      <c r="F466" t="inlineStr">
        <is>
          <t>2026-05-26</t>
        </is>
      </c>
      <c r="G466" t="inlineStr">
        <is>
          <t xml:space="preserve"> - Sunrise Suite</t>
        </is>
      </c>
      <c r="H466">
        <f>HYPERLINK("https://booking.roadsurfer.com/es/rally/pick?pickup_date=2026-05-19&amp;return_date=2026-05-26&amp;currency=EUR&amp;startStation=12&amp;endStation=91", "Clic para verlo en la web de RoadSurfer")</f>
        <v/>
      </c>
    </row>
    <row r="467">
      <c r="A467" t="inlineStr">
        <is>
          <t>Francia</t>
        </is>
      </c>
      <c r="B467" t="inlineStr">
        <is>
          <t>París Aeropuerto CDG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2026-05-15</t>
        </is>
      </c>
      <c r="F467" t="inlineStr">
        <is>
          <t>2026-05-22</t>
        </is>
      </c>
      <c r="G467" t="inlineStr">
        <is>
          <t xml:space="preserve"> - Road House</t>
        </is>
      </c>
      <c r="H467">
        <f>HYPERLINK("https://booking.roadsurfer.com/es/rally/pick?pickup_date=2026-05-15&amp;return_date=2026-05-22&amp;currency=EUR&amp;startStation=48&amp;endStation=22", "Clic para verlo en la web de RoadSurfer")</f>
        <v/>
      </c>
    </row>
    <row r="468">
      <c r="A468" t="inlineStr">
        <is>
          <t>Francia</t>
        </is>
      </c>
      <c r="B468" t="inlineStr">
        <is>
          <t>París Aeropuerto CDG</t>
        </is>
      </c>
      <c r="C468" t="inlineStr">
        <is>
          <t>Alemania</t>
        </is>
      </c>
      <c r="D468" t="inlineStr">
        <is>
          <t>Constanza (Aach)</t>
        </is>
      </c>
      <c r="E468" t="inlineStr">
        <is>
          <t>2026-05-28</t>
        </is>
      </c>
      <c r="F468" t="inlineStr">
        <is>
          <t>2026-06-04</t>
        </is>
      </c>
      <c r="G468" t="inlineStr">
        <is>
          <t xml:space="preserve"> - No hay coche</t>
        </is>
      </c>
      <c r="H468">
        <f>HYPERLINK("https://booking.roadsurfer.com/es/rally/pick?pickup_date=2026-05-28&amp;return_date=2026-06-04&amp;currency=EUR&amp;startStation=48&amp;endStation=10", "Clic para verlo en la web de RoadSurfer")</f>
        <v/>
      </c>
    </row>
    <row r="469">
      <c r="A469" t="inlineStr">
        <is>
          <t>Francia</t>
        </is>
      </c>
      <c r="B469" t="inlineStr">
        <is>
          <t>París Aeropuerto CDG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2026-05-27</t>
        </is>
      </c>
      <c r="F469" t="inlineStr">
        <is>
          <t>2026-06-03</t>
        </is>
      </c>
      <c r="G469" t="inlineStr">
        <is>
          <t xml:space="preserve"> - Couple Cottage</t>
        </is>
      </c>
      <c r="H469">
        <f>HYPERLINK("https://booking.roadsurfer.com/es/rally/pick?pickup_date=2026-05-27&amp;return_date=2026-06-03&amp;currency=EUR&amp;startStation=48&amp;endStation=52", "Clic para verlo en la web de RoadSurfer")</f>
        <v/>
      </c>
    </row>
    <row r="470">
      <c r="A470" t="inlineStr">
        <is>
          <t>Francia</t>
        </is>
      </c>
      <c r="B470" t="inlineStr">
        <is>
          <t>París Aeropuerto CDG</t>
        </is>
      </c>
      <c r="C470" t="inlineStr">
        <is>
          <t>Alemania</t>
        </is>
      </c>
      <c r="D470" t="inlineStr">
        <is>
          <t>Aquisgrán</t>
        </is>
      </c>
      <c r="E470" t="inlineStr">
        <is>
          <t>2026-05-26</t>
        </is>
      </c>
      <c r="F470" t="inlineStr">
        <is>
          <t>2026-06-02</t>
        </is>
      </c>
      <c r="G470" t="inlineStr">
        <is>
          <t xml:space="preserve"> - Couple Cottage</t>
        </is>
      </c>
      <c r="H470">
        <f>HYPERLINK("https://booking.roadsurfer.com/es/rally/pick?pickup_date=2026-05-26&amp;return_date=2026-06-02&amp;currency=EUR&amp;startStation=48&amp;endStation=114", "Clic para verlo en la web de RoadSurfer")</f>
        <v/>
      </c>
    </row>
    <row r="471">
      <c r="A471" t="inlineStr">
        <is>
          <t>Francia</t>
        </is>
      </c>
      <c r="B471" t="inlineStr">
        <is>
          <t>París Aeropuerto CDG</t>
        </is>
      </c>
      <c r="C471" t="inlineStr">
        <is>
          <t>Alemania</t>
        </is>
      </c>
      <c r="D471" t="inlineStr">
        <is>
          <t>Bochum</t>
        </is>
      </c>
      <c r="E471" t="inlineStr">
        <is>
          <t>2026-06-12</t>
        </is>
      </c>
      <c r="F471" t="inlineStr">
        <is>
          <t>2026-06-19</t>
        </is>
      </c>
      <c r="G471" t="inlineStr">
        <is>
          <t xml:space="preserve"> - Couple Cottage</t>
        </is>
      </c>
      <c r="H471">
        <f>HYPERLINK("https://booking.roadsurfer.com/es/rally/pick?pickup_date=2026-06-12&amp;return_date=2026-06-19&amp;currency=EUR&amp;startStation=48&amp;endStation=24", "Clic para verlo en la web de RoadSurfer")</f>
        <v/>
      </c>
    </row>
    <row r="472">
      <c r="A472" t="inlineStr">
        <is>
          <t>Francia</t>
        </is>
      </c>
      <c r="B472" t="inlineStr">
        <is>
          <t>París Aeropuerto CDG</t>
        </is>
      </c>
      <c r="C472" t="inlineStr">
        <is>
          <t>Alemania</t>
        </is>
      </c>
      <c r="D472" t="inlineStr">
        <is>
          <t>Dresde</t>
        </is>
      </c>
      <c r="E472" t="inlineStr">
        <is>
          <t>2026-05-20</t>
        </is>
      </c>
      <c r="F472" t="inlineStr">
        <is>
          <t>2026-05-27</t>
        </is>
      </c>
      <c r="G472" t="inlineStr"/>
      <c r="H472">
        <f>HYPERLINK("https://booking.roadsurfer.com/es/rally/pick?pickup_date=2026-05-20&amp;return_date=2026-05-27&amp;currency=EUR&amp;startStation=48&amp;endStation=56", "Clic para verlo en la web de RoadSurfer")</f>
        <v/>
      </c>
    </row>
    <row r="473">
      <c r="A473" t="inlineStr">
        <is>
          <t>Alemania</t>
        </is>
      </c>
      <c r="B473" t="inlineStr">
        <is>
          <t>Ratisbona</t>
        </is>
      </c>
      <c r="C473" t="inlineStr">
        <is>
          <t>Alemania</t>
        </is>
      </c>
      <c r="D473" t="inlineStr">
        <is>
          <t>Karlsruhe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Surfer Suite</t>
        </is>
      </c>
      <c r="H473">
        <f>HYPERLINK("https://booking.roadsurfer.com/es/rally/pick?pickup_date=2026-05-11&amp;return_date=2026-05-18&amp;currency=EUR&amp;startStation=89&amp;endStation=110", "Clic para verlo en la web de RoadSurfer")</f>
        <v/>
      </c>
    </row>
    <row r="474">
      <c r="A474" t="inlineStr">
        <is>
          <t>Alemania</t>
        </is>
      </c>
      <c r="B474" t="inlineStr">
        <is>
          <t>Ratisbona</t>
        </is>
      </c>
      <c r="C474" t="inlineStr">
        <is>
          <t>Alemania</t>
        </is>
      </c>
      <c r="D474" t="inlineStr">
        <is>
          <t>Berlín-Schönefeld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Beach Hostel</t>
        </is>
      </c>
      <c r="H474">
        <f>HYPERLINK("https://booking.roadsurfer.com/es/rally/pick?pickup_date=2026-05-11&amp;return_date=2026-05-18&amp;currency=EUR&amp;startStation=89&amp;endStation=51", "Clic para verlo en la web de RoadSurfer")</f>
        <v/>
      </c>
    </row>
    <row r="475">
      <c r="A475" t="inlineStr">
        <is>
          <t>Italia</t>
        </is>
      </c>
      <c r="B475" t="inlineStr">
        <is>
          <t>Roma Aeropuerto Fiumicino</t>
        </is>
      </c>
      <c r="C475" t="inlineStr">
        <is>
          <t>Italia</t>
        </is>
      </c>
      <c r="D475" t="inlineStr">
        <is>
          <t>Turín</t>
        </is>
      </c>
      <c r="E475" t="inlineStr">
        <is>
          <t>2026-05-18</t>
        </is>
      </c>
      <c r="F475" t="inlineStr">
        <is>
          <t>2026-05-25</t>
        </is>
      </c>
      <c r="G475" t="inlineStr">
        <is>
          <t xml:space="preserve"> - Beach Hostel</t>
        </is>
      </c>
      <c r="H475">
        <f>HYPERLINK("https://booking.roadsurfer.com/es/rally/pick?pickup_date=2026-05-18&amp;return_date=2026-05-25&amp;currency=EUR&amp;startStation=35&amp;endStation=58", "Clic para verlo en la web de RoadSurfer")</f>
        <v/>
      </c>
    </row>
    <row r="476">
      <c r="A476" t="inlineStr">
        <is>
          <t>Italia</t>
        </is>
      </c>
      <c r="B476" t="inlineStr">
        <is>
          <t>Roma Aeropuerto Fiumicino</t>
        </is>
      </c>
      <c r="C476" t="inlineStr">
        <is>
          <t>Alemania</t>
        </is>
      </c>
      <c r="D476" t="inlineStr">
        <is>
          <t>Núremberg</t>
        </is>
      </c>
      <c r="E476" t="inlineStr">
        <is>
          <t>2026-05-18</t>
        </is>
      </c>
      <c r="F476" t="inlineStr">
        <is>
          <t>2026-05-25</t>
        </is>
      </c>
      <c r="G476" t="inlineStr">
        <is>
          <t xml:space="preserve"> - No hay coche</t>
        </is>
      </c>
      <c r="H476">
        <f>HYPERLINK("https://booking.roadsurfer.com/es/rally/pick?pickup_date=2026-05-18&amp;return_date=2026-05-25&amp;currency=EUR&amp;startStation=35&amp;endStation=11", "Clic para verlo en la web de RoadSurfer")</f>
        <v/>
      </c>
    </row>
    <row r="477">
      <c r="A477" t="inlineStr">
        <is>
          <t>Austria</t>
        </is>
      </c>
      <c r="B477" t="inlineStr">
        <is>
          <t>Salzburgo</t>
        </is>
      </c>
      <c r="C477" t="inlineStr">
        <is>
          <t>Alemania</t>
        </is>
      </c>
      <c r="D477" t="inlineStr">
        <is>
          <t>Colonia-Bonn</t>
        </is>
      </c>
      <c r="E477" t="inlineStr">
        <is>
          <t>2026-05-07</t>
        </is>
      </c>
      <c r="F477" t="inlineStr">
        <is>
          <t>2026-05-14</t>
        </is>
      </c>
      <c r="G477" t="inlineStr"/>
      <c r="H477">
        <f>HYPERLINK("https://booking.roadsurfer.com/es/rally/pick?pickup_date=2026-05-07&amp;return_date=2026-05-14&amp;currency=EUR&amp;startStation=85&amp;endStation=52", "Clic para verlo en la web de RoadSurfer")</f>
        <v/>
      </c>
    </row>
    <row r="478">
      <c r="A478" t="inlineStr">
        <is>
          <t>España</t>
        </is>
      </c>
      <c r="B478" t="inlineStr">
        <is>
          <t>Sevilla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2026-05-07</t>
        </is>
      </c>
      <c r="F478" t="inlineStr">
        <is>
          <t>2026-05-14</t>
        </is>
      </c>
      <c r="G478" t="inlineStr">
        <is>
          <t xml:space="preserve"> - No hay coche</t>
        </is>
      </c>
      <c r="H478">
        <f>HYPERLINK("https://booking.roadsurfer.com/es/rally/pick?pickup_date=2026-05-07&amp;return_date=2026-05-14&amp;currency=EUR&amp;startStation=39&amp;endStation=30",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Dresde</t>
        </is>
      </c>
      <c r="E479" t="inlineStr">
        <is>
          <t>2026-05-11</t>
        </is>
      </c>
      <c r="F479" t="inlineStr">
        <is>
          <t>2026-05-18</t>
        </is>
      </c>
      <c r="G479" t="inlineStr"/>
      <c r="H479">
        <f>HYPERLINK("https://booking.roadsurfer.com/es/rally/pick?pickup_date=2026-05-11&amp;return_date=2026-05-18&amp;currency=EUR&amp;startStation=39&amp;endStation=56", "Clic para verlo en la web de RoadSurfer")</f>
        <v/>
      </c>
    </row>
    <row r="480">
      <c r="A480" t="inlineStr">
        <is>
          <t>España</t>
        </is>
      </c>
      <c r="B480" t="inlineStr">
        <is>
          <t>Sevilla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2026-05-11</t>
        </is>
      </c>
      <c r="F480" t="inlineStr">
        <is>
          <t>2026-05-17</t>
        </is>
      </c>
      <c r="G480" t="inlineStr">
        <is>
          <t xml:space="preserve"> - No hay coche</t>
        </is>
      </c>
      <c r="H480">
        <f>HYPERLINK("https://booking.roadsurfer.com/es/rally/pick?pickup_date=2026-05-11&amp;return_date=2026-05-17&amp;currency=EUR&amp;startStation=39&amp;endStation=22",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2026-05-05</t>
        </is>
      </c>
      <c r="F481" t="inlineStr">
        <is>
          <t>2026-05-12</t>
        </is>
      </c>
      <c r="G481" t="inlineStr"/>
      <c r="H481">
        <f>HYPERLINK("https://booking.roadsurfer.com/es/rally/pick?pickup_date=2026-05-05&amp;return_date=2026-05-12&amp;currency=EUR&amp;startStation=39&amp;endStation=2",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2026-05-21</t>
        </is>
      </c>
      <c r="F482" t="inlineStr">
        <is>
          <t>2026-05-28</t>
        </is>
      </c>
      <c r="G482" t="inlineStr"/>
      <c r="H482">
        <f>HYPERLINK("https://booking.roadsurfer.com/es/rally/pick?pickup_date=2026-05-21&amp;return_date=2026-05-28&amp;currency=EUR&amp;startStation=39&amp;endStation=2", "Clic para verlo en la web de RoadSurfer")</f>
        <v/>
      </c>
    </row>
    <row r="483">
      <c r="A483" t="inlineStr">
        <is>
          <t>España</t>
        </is>
      </c>
      <c r="B483" t="inlineStr">
        <is>
          <t>Sevilla</t>
        </is>
      </c>
      <c r="C483" t="inlineStr">
        <is>
          <t>Alemania</t>
        </is>
      </c>
      <c r="D483" t="inlineStr">
        <is>
          <t>Tréveris</t>
        </is>
      </c>
      <c r="E483" t="inlineStr">
        <is>
          <t>2026-05-14</t>
        </is>
      </c>
      <c r="F483" t="inlineStr">
        <is>
          <t>2026-05-21</t>
        </is>
      </c>
      <c r="G483" t="inlineStr">
        <is>
          <t xml:space="preserve"> - Couple Cottage</t>
        </is>
      </c>
      <c r="H483">
        <f>HYPERLINK("https://booking.roadsurfer.com/es/rally/pick?pickup_date=2026-05-14&amp;return_date=2026-05-21&amp;currency=EUR&amp;startStation=39&amp;endStation=28", "Clic para verlo en la web de RoadSurfer")</f>
        <v/>
      </c>
    </row>
    <row r="484">
      <c r="A484" t="inlineStr">
        <is>
          <t>España</t>
        </is>
      </c>
      <c r="B484" t="inlineStr">
        <is>
          <t>Sevilla</t>
        </is>
      </c>
      <c r="C484" t="inlineStr">
        <is>
          <t>Alemania</t>
        </is>
      </c>
      <c r="D484" t="inlineStr">
        <is>
          <t>Tréveris</t>
        </is>
      </c>
      <c r="E484" t="inlineStr">
        <is>
          <t>2026-05-21</t>
        </is>
      </c>
      <c r="F484" t="inlineStr">
        <is>
          <t>2026-05-28</t>
        </is>
      </c>
      <c r="G484" t="inlineStr"/>
      <c r="H484">
        <f>HYPERLINK("https://booking.roadsurfer.com/es/rally/pick?pickup_date=2026-05-21&amp;return_date=2026-05-28&amp;currency=EUR&amp;startStation=39&amp;endStation=28",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Flensburgo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Surfer Suite</t>
        </is>
      </c>
      <c r="H485">
        <f>HYPERLINK("https://booking.roadsurfer.com/es/rally/pick?pickup_date=2026-05-11&amp;return_date=2026-05-18&amp;currency=EUR&amp;startStation=59&amp;endStation=130",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Ratisbona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Surfer Suite</t>
        </is>
      </c>
      <c r="H486">
        <f>HYPERLINK("https://booking.roadsurfer.com/es/rally/pick?pickup_date=2026-05-11&amp;return_date=2026-05-18&amp;currency=EUR&amp;startStation=59&amp;endStation=89",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2026-05-12</t>
        </is>
      </c>
      <c r="F487" t="inlineStr">
        <is>
          <t>2026-05-19</t>
        </is>
      </c>
      <c r="G487" t="inlineStr"/>
      <c r="H487">
        <f>HYPERLINK("https://booking.roadsurfer.com/es/rally/pick?pickup_date=2026-05-12&amp;return_date=2026-05-19&amp;currency=EUR&amp;startStation=59&amp;endStation=90",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Erfurt</t>
        </is>
      </c>
      <c r="E488" t="inlineStr">
        <is>
          <t>2026-05-07</t>
        </is>
      </c>
      <c r="F488" t="inlineStr">
        <is>
          <t>2026-05-14</t>
        </is>
      </c>
      <c r="G488" t="inlineStr">
        <is>
          <t xml:space="preserve"> - No hay coche</t>
        </is>
      </c>
      <c r="H488">
        <f>HYPERLINK("https://booking.roadsurfer.com/es/rally/pick?pickup_date=2026-05-07&amp;return_date=2026-05-14&amp;currency=EUR&amp;startStation=59&amp;endStation=90",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 - Sunrise Suite</t>
        </is>
      </c>
      <c r="H489">
        <f>HYPERLINK("https://booking.roadsurfer.com/es/rally/pick?pickup_date=2026-05-11&amp;return_date=2026-05-18&amp;currency=EUR&amp;startStation=59&amp;endStation=90",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2026-06-01</t>
        </is>
      </c>
      <c r="F490" t="inlineStr">
        <is>
          <t>2026-06-08</t>
        </is>
      </c>
      <c r="G490" t="inlineStr">
        <is>
          <t xml:space="preserve"> - Family Finca</t>
        </is>
      </c>
      <c r="H490">
        <f>HYPERLINK("https://booking.roadsurfer.com/es/rally/pick?pickup_date=2026-06-01&amp;return_date=2026-06-08&amp;currency=EUR&amp;startStation=59&amp;endStation=90",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Road House</t>
        </is>
      </c>
      <c r="H491">
        <f>HYPERLINK("https://booking.roadsurfer.com/es/rally/pick?pickup_date=2026-05-05&amp;return_date=2026-05-12&amp;currency=EUR&amp;startStation=59&amp;endStation=90",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2026-05-08</t>
        </is>
      </c>
      <c r="F492" t="inlineStr">
        <is>
          <t>2026-05-15</t>
        </is>
      </c>
      <c r="G492" t="inlineStr">
        <is>
          <t xml:space="preserve"> - Cozy Cottage</t>
        </is>
      </c>
      <c r="H492">
        <f>HYPERLINK("https://booking.roadsurfer.com/es/rally/pick?pickup_date=2026-05-08&amp;return_date=2026-05-15&amp;currency=EUR&amp;startStation=59&amp;endStation=90",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Núremberg</t>
        </is>
      </c>
      <c r="E493" t="inlineStr">
        <is>
          <t>2026-05-07</t>
        </is>
      </c>
      <c r="F493" t="inlineStr">
        <is>
          <t>2026-05-14</t>
        </is>
      </c>
      <c r="G493" t="inlineStr">
        <is>
          <t xml:space="preserve"> - No hay coche</t>
        </is>
      </c>
      <c r="H493">
        <f>HYPERLINK("https://booking.roadsurfer.com/es/rally/pick?pickup_date=2026-05-07&amp;return_date=2026-05-14&amp;currency=EUR&amp;startStation=59&amp;endStation=11",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Núremberg</t>
        </is>
      </c>
      <c r="E494" t="inlineStr">
        <is>
          <t>2026-05-11</t>
        </is>
      </c>
      <c r="F494" t="inlineStr">
        <is>
          <t>2026-05-18</t>
        </is>
      </c>
      <c r="G494" t="inlineStr">
        <is>
          <t xml:space="preserve"> - Beach Hostel</t>
        </is>
      </c>
      <c r="H494">
        <f>HYPERLINK("https://booking.roadsurfer.com/es/rally/pick?pickup_date=2026-05-11&amp;return_date=2026-05-18&amp;currency=EUR&amp;startStation=59&amp;endStation=11",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Wurzburgo</t>
        </is>
      </c>
      <c r="E495" t="inlineStr">
        <is>
          <t>2026-05-05</t>
        </is>
      </c>
      <c r="F495" t="inlineStr">
        <is>
          <t>2026-05-12</t>
        </is>
      </c>
      <c r="G495" t="inlineStr">
        <is>
          <t xml:space="preserve"> - Beach Hostel</t>
        </is>
      </c>
      <c r="H495">
        <f>HYPERLINK("https://booking.roadsurfer.com/es/rally/pick?pickup_date=2026-05-05&amp;return_date=2026-05-12&amp;currency=EUR&amp;startStation=59&amp;endStation=115",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Fráncfort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Beach Hostel</t>
        </is>
      </c>
      <c r="H496">
        <f>HYPERLINK("https://booking.roadsurfer.com/es/rally/pick?pickup_date=2026-05-11&amp;return_date=2026-05-18&amp;currency=EUR&amp;startStation=59&amp;endStation=2",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Bremen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Beach Hostel - Family Finca</t>
        </is>
      </c>
      <c r="H497">
        <f>HYPERLINK("https://booking.roadsurfer.com/es/rally/pick?pickup_date=2026-05-06&amp;return_date=2026-05-13&amp;currency=EUR&amp;startStation=59&amp;endStation=55",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Bremen</t>
        </is>
      </c>
      <c r="E498" t="inlineStr">
        <is>
          <t>2026-05-20</t>
        </is>
      </c>
      <c r="F498" t="inlineStr">
        <is>
          <t>2026-05-27</t>
        </is>
      </c>
      <c r="G498" t="inlineStr">
        <is>
          <t xml:space="preserve"> - Sunrise Suite</t>
        </is>
      </c>
      <c r="H498">
        <f>HYPERLINK("https://booking.roadsurfer.com/es/rally/pick?pickup_date=2026-05-20&amp;return_date=2026-05-27&amp;currency=EUR&amp;startStation=59&amp;endStation=55",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2026-05-07</t>
        </is>
      </c>
      <c r="F499" t="inlineStr">
        <is>
          <t>2026-05-14</t>
        </is>
      </c>
      <c r="G499" t="inlineStr"/>
      <c r="H499">
        <f>HYPERLINK("https://booking.roadsurfer.com/es/rally/pick?pickup_date=2026-05-07&amp;return_date=2026-05-14&amp;currency=EUR&amp;startStation=59&amp;endStation=22",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2026-05-18</t>
        </is>
      </c>
      <c r="F500" t="inlineStr">
        <is>
          <t>2026-05-25</t>
        </is>
      </c>
      <c r="G500" t="inlineStr">
        <is>
          <t xml:space="preserve"> - Camper Castle</t>
        </is>
      </c>
      <c r="H500">
        <f>HYPERLINK("https://booking.roadsurfer.com/es/rally/pick?pickup_date=2026-05-18&amp;return_date=2026-05-25&amp;currency=EUR&amp;startStation=59&amp;endStation=22",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2026-05-08</t>
        </is>
      </c>
      <c r="F501" t="inlineStr">
        <is>
          <t>2026-05-15</t>
        </is>
      </c>
      <c r="G501" t="inlineStr">
        <is>
          <t xml:space="preserve"> - Couple Cottage</t>
        </is>
      </c>
      <c r="H501">
        <f>HYPERLINK("https://booking.roadsurfer.com/es/rally/pick?pickup_date=2026-05-08&amp;return_date=2026-05-15&amp;currency=EUR&amp;startStation=59&amp;endStation=22",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2026-05-25</t>
        </is>
      </c>
      <c r="F502" t="inlineStr">
        <is>
          <t>2026-06-01</t>
        </is>
      </c>
      <c r="G502" t="inlineStr">
        <is>
          <t xml:space="preserve"> - Beach Hostel</t>
        </is>
      </c>
      <c r="H502">
        <f>HYPERLINK("https://booking.roadsurfer.com/es/rally/pick?pickup_date=2026-05-25&amp;return_date=2026-06-01&amp;currency=EUR&amp;startStation=59&amp;endStation=22",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2026-05-14</t>
        </is>
      </c>
      <c r="F503" t="inlineStr">
        <is>
          <t>2026-05-21</t>
        </is>
      </c>
      <c r="G503" t="inlineStr">
        <is>
          <t xml:space="preserve"> - No hay coche</t>
        </is>
      </c>
      <c r="H503">
        <f>HYPERLINK("https://booking.roadsurfer.com/es/rally/pick?pickup_date=2026-05-14&amp;return_date=2026-05-21&amp;currency=EUR&amp;startStation=59&amp;endStation=56",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2026-05-25</t>
        </is>
      </c>
      <c r="F504" t="inlineStr">
        <is>
          <t>2026-06-01</t>
        </is>
      </c>
      <c r="G504" t="inlineStr">
        <is>
          <t xml:space="preserve"> - Camper Castle</t>
        </is>
      </c>
      <c r="H504">
        <f>HYPERLINK("https://booking.roadsurfer.com/es/rally/pick?pickup_date=2026-05-25&amp;return_date=2026-06-01&amp;currency=EUR&amp;startStation=59&amp;endStation=56",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2026-05-07</t>
        </is>
      </c>
      <c r="F505" t="inlineStr">
        <is>
          <t>2026-05-14</t>
        </is>
      </c>
      <c r="G505" t="inlineStr">
        <is>
          <t xml:space="preserve"> - No hay coche</t>
        </is>
      </c>
      <c r="H505">
        <f>HYPERLINK("https://booking.roadsurfer.com/es/rally/pick?pickup_date=2026-05-07&amp;return_date=2026-05-14&amp;currency=EUR&amp;startStation=59&amp;endStation=56",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2026-05-11</t>
        </is>
      </c>
      <c r="F506" t="inlineStr">
        <is>
          <t>2026-05-18</t>
        </is>
      </c>
      <c r="G506" t="inlineStr"/>
      <c r="H506">
        <f>HYPERLINK("https://booking.roadsurfer.com/es/rally/pick?pickup_date=2026-05-11&amp;return_date=2026-05-18&amp;currency=EUR&amp;startStation=59&amp;endStation=56",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Bielefeld</t>
        </is>
      </c>
      <c r="E507" t="inlineStr">
        <is>
          <t>2026-05-02</t>
        </is>
      </c>
      <c r="F507" t="inlineStr">
        <is>
          <t>2026-05-09</t>
        </is>
      </c>
      <c r="G507" t="inlineStr">
        <is>
          <t xml:space="preserve"> - Road House</t>
        </is>
      </c>
      <c r="H507">
        <f>HYPERLINK("https://booking.roadsurfer.com/es/rally/pick?pickup_date=2026-05-02&amp;return_date=2026-05-09&amp;currency=EUR&amp;startStation=59&amp;endStation=91",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Bielefeld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Road House - Sunrise Suite</t>
        </is>
      </c>
      <c r="H508">
        <f>HYPERLINK("https://booking.roadsurfer.com/es/rally/pick?pickup_date=2026-05-11&amp;return_date=2026-05-18&amp;currency=EUR&amp;startStation=59&amp;endStation=91",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Bielefeld</t>
        </is>
      </c>
      <c r="E509" t="inlineStr">
        <is>
          <t>2026-05-29</t>
        </is>
      </c>
      <c r="F509" t="inlineStr">
        <is>
          <t>2026-06-05</t>
        </is>
      </c>
      <c r="G509" t="inlineStr"/>
      <c r="H509">
        <f>HYPERLINK("https://booking.roadsurfer.com/es/rally/pick?pickup_date=2026-05-29&amp;return_date=2026-06-05&amp;currency=EUR&amp;startStation=59&amp;endStation=91",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Leipzig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No hay coche</t>
        </is>
      </c>
      <c r="H510">
        <f>HYPERLINK("https://booking.roadsurfer.com/es/rally/pick?pickup_date=2026-05-11&amp;return_date=2026-05-18&amp;currency=EUR&amp;startStation=59&amp;endStation=8",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Couple Cottage</t>
        </is>
      </c>
      <c r="H511">
        <f>HYPERLINK("https://booking.roadsurfer.com/es/rally/pick?pickup_date=2026-05-06&amp;return_date=2026-05-13&amp;currency=EUR&amp;startStation=59&amp;endStation=8",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2026-05-08</t>
        </is>
      </c>
      <c r="F512" t="inlineStr">
        <is>
          <t>2026-05-15</t>
        </is>
      </c>
      <c r="G512" t="inlineStr"/>
      <c r="H512">
        <f>HYPERLINK("https://booking.roadsurfer.com/es/rally/pick?pickup_date=2026-05-08&amp;return_date=2026-05-15&amp;currency=EUR&amp;startStation=59&amp;endStation=8",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Lübeck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Sunrise Suite</t>
        </is>
      </c>
      <c r="H513">
        <f>HYPERLINK("https://booking.roadsurfer.com/es/rally/pick?pickup_date=2026-05-06&amp;return_date=2026-05-13&amp;currency=EUR&amp;startStation=59&amp;endStation=109",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Lübeck</t>
        </is>
      </c>
      <c r="E514" t="inlineStr">
        <is>
          <t>2026-05-12</t>
        </is>
      </c>
      <c r="F514" t="inlineStr">
        <is>
          <t>2026-05-19</t>
        </is>
      </c>
      <c r="G514" t="inlineStr">
        <is>
          <t xml:space="preserve"> - Camper Castle</t>
        </is>
      </c>
      <c r="H514">
        <f>HYPERLINK("https://booking.roadsurfer.com/es/rally/pick?pickup_date=2026-05-12&amp;return_date=2026-05-19&amp;currency=EUR&amp;startStation=59&amp;endStation=109",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Hamburgo</t>
        </is>
      </c>
      <c r="E515" t="inlineStr">
        <is>
          <t>2026-05-06</t>
        </is>
      </c>
      <c r="F515" t="inlineStr">
        <is>
          <t>2026-05-13</t>
        </is>
      </c>
      <c r="G515" t="inlineStr">
        <is>
          <t xml:space="preserve"> - No hay coche</t>
        </is>
      </c>
      <c r="H515">
        <f>HYPERLINK("https://booking.roadsurfer.com/es/rally/pick?pickup_date=2026-05-06&amp;return_date=2026-05-13&amp;currency=EUR&amp;startStation=59&amp;endStation=3",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Hamburgo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Family Finca</t>
        </is>
      </c>
      <c r="H516">
        <f>HYPERLINK("https://booking.roadsurfer.com/es/rally/pick?pickup_date=2026-05-11&amp;return_date=2026-05-18&amp;currency=EUR&amp;startStation=59&amp;endStation=3",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2026-05-09</t>
        </is>
      </c>
      <c r="F517" t="inlineStr">
        <is>
          <t>2026-05-16</t>
        </is>
      </c>
      <c r="G517" t="inlineStr">
        <is>
          <t xml:space="preserve"> - Road House</t>
        </is>
      </c>
      <c r="H517">
        <f>HYPERLINK("https://booking.roadsurfer.com/es/rally/pick?pickup_date=2026-05-09&amp;return_date=2026-05-16&amp;currency=EUR&amp;startStation=5&amp;endStation=40", "Clic para verlo en la web de RoadSurfer")</f>
        <v/>
      </c>
    </row>
    <row r="518">
      <c r="A518" t="inlineStr">
        <is>
          <t>Alemania</t>
        </is>
      </c>
      <c r="B518" t="inlineStr">
        <is>
          <t>Stuttgart</t>
        </is>
      </c>
      <c r="C518" t="inlineStr">
        <is>
          <t>Italia</t>
        </is>
      </c>
      <c r="D518" t="inlineStr">
        <is>
          <t>Bolonia</t>
        </is>
      </c>
      <c r="E518" t="inlineStr">
        <is>
          <t>2026-05-05</t>
        </is>
      </c>
      <c r="F518" t="inlineStr">
        <is>
          <t>2026-05-12</t>
        </is>
      </c>
      <c r="G518" t="inlineStr">
        <is>
          <t xml:space="preserve"> - Road House</t>
        </is>
      </c>
      <c r="H518">
        <f>HYPERLINK("https://booking.roadsurfer.com/es/rally/pick?pickup_date=2026-05-05&amp;return_date=2026-05-12&amp;currency=EUR&amp;startStation=5&amp;endStation=57", "Clic para verlo en la web de RoadSurfer")</f>
        <v/>
      </c>
    </row>
    <row r="519">
      <c r="A519" t="inlineStr">
        <is>
          <t>Alemania</t>
        </is>
      </c>
      <c r="B519" t="inlineStr">
        <is>
          <t>Stuttgart</t>
        </is>
      </c>
      <c r="C519" t="inlineStr">
        <is>
          <t>Bélgica</t>
        </is>
      </c>
      <c r="D519" t="inlineStr">
        <is>
          <t>Bruselas</t>
        </is>
      </c>
      <c r="E519" t="inlineStr">
        <is>
          <t>2026-06-01</t>
        </is>
      </c>
      <c r="F519" t="inlineStr">
        <is>
          <t>2026-06-08</t>
        </is>
      </c>
      <c r="G519" t="inlineStr">
        <is>
          <t xml:space="preserve"> - Camper Cabin Deluxe</t>
        </is>
      </c>
      <c r="H519">
        <f>HYPERLINK("https://booking.roadsurfer.com/es/rally/pick?pickup_date=2026-06-01&amp;return_date=2026-06-08&amp;currency=EUR&amp;startStation=5&amp;endStation=42", "Clic para verlo en la web de RoadSurfer")</f>
        <v/>
      </c>
    </row>
    <row r="520">
      <c r="A520" t="inlineStr">
        <is>
          <t>Alemania</t>
        </is>
      </c>
      <c r="B520" t="inlineStr">
        <is>
          <t>Stuttgart</t>
        </is>
      </c>
      <c r="C520" t="inlineStr">
        <is>
          <t>Italia</t>
        </is>
      </c>
      <c r="D520" t="inlineStr">
        <is>
          <t>Venecia</t>
        </is>
      </c>
      <c r="E520" t="inlineStr">
        <is>
          <t>2026-05-29</t>
        </is>
      </c>
      <c r="F520" t="inlineStr">
        <is>
          <t>2026-06-05</t>
        </is>
      </c>
      <c r="G520" t="inlineStr">
        <is>
          <t xml:space="preserve"> - Camper Cabin Deluxe</t>
        </is>
      </c>
      <c r="H520">
        <f>HYPERLINK("https://booking.roadsurfer.com/es/rally/pick?pickup_date=2026-05-29&amp;return_date=2026-06-05&amp;currency=EUR&amp;startStation=5&amp;endStation=78", "Clic para verlo en la web de RoadSurfer")</f>
        <v/>
      </c>
    </row>
    <row r="521">
      <c r="A521" t="inlineStr">
        <is>
          <t>Alemania</t>
        </is>
      </c>
      <c r="B521" t="inlineStr">
        <is>
          <t>Stuttgart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2026-05-06</t>
        </is>
      </c>
      <c r="F521" t="inlineStr">
        <is>
          <t>2026-05-13</t>
        </is>
      </c>
      <c r="G521" t="inlineStr"/>
      <c r="H521">
        <f>HYPERLINK("https://booking.roadsurfer.com/es/rally/pick?pickup_date=2026-05-06&amp;return_date=2026-05-13&amp;currency=EUR&amp;startStation=5&amp;endStation=30", "Clic para verlo en la web de RoadSurfer")</f>
        <v/>
      </c>
    </row>
    <row r="522">
      <c r="A522" t="inlineStr">
        <is>
          <t>Alemania</t>
        </is>
      </c>
      <c r="B522" t="inlineStr">
        <is>
          <t>Stuttgart</t>
        </is>
      </c>
      <c r="C522" t="inlineStr">
        <is>
          <t>Francia</t>
        </is>
      </c>
      <c r="D522" t="inlineStr">
        <is>
          <t>París Sur (Orly)</t>
        </is>
      </c>
      <c r="E522" t="inlineStr">
        <is>
          <t>2026-05-05</t>
        </is>
      </c>
      <c r="F522" t="inlineStr">
        <is>
          <t>2026-05-12</t>
        </is>
      </c>
      <c r="G522" t="inlineStr"/>
      <c r="H522">
        <f>HYPERLINK("https://booking.roadsurfer.com/es/rally/pick?pickup_date=2026-05-05&amp;return_date=2026-05-12&amp;currency=EUR&amp;startStation=5&amp;endStation=12", "Clic para verlo en la web de RoadSurfer")</f>
        <v/>
      </c>
    </row>
    <row r="523">
      <c r="A523" t="inlineStr">
        <is>
          <t>Alemania</t>
        </is>
      </c>
      <c r="B523" t="inlineStr">
        <is>
          <t>Stuttgart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2026-05-21</t>
        </is>
      </c>
      <c r="F523" t="inlineStr">
        <is>
          <t>2026-05-28</t>
        </is>
      </c>
      <c r="G523" t="inlineStr">
        <is>
          <t xml:space="preserve"> - Couple Cottage</t>
        </is>
      </c>
      <c r="H523">
        <f>HYPERLINK("https://booking.roadsurfer.com/es/rally/pick?pickup_date=2026-05-21&amp;return_date=2026-05-28&amp;currency=EUR&amp;startStation=5&amp;endStation=29", "Clic para verlo en la web de RoadSurfer")</f>
        <v/>
      </c>
    </row>
    <row r="524">
      <c r="A524" t="inlineStr">
        <is>
          <t>Francia</t>
        </is>
      </c>
      <c r="B524" t="inlineStr">
        <is>
          <t>Toulouse</t>
        </is>
      </c>
      <c r="C524" t="inlineStr">
        <is>
          <t>Alemania</t>
        </is>
      </c>
      <c r="D524" t="inlineStr">
        <is>
          <t>Wurzburgo</t>
        </is>
      </c>
      <c r="E524" t="inlineStr">
        <is>
          <t>2026-06-01</t>
        </is>
      </c>
      <c r="F524" t="inlineStr">
        <is>
          <t>2026-06-08</t>
        </is>
      </c>
      <c r="G524" t="inlineStr"/>
      <c r="H524">
        <f>HYPERLINK("https://booking.roadsurfer.com/es/rally/pick?pickup_date=2026-06-01&amp;return_date=2026-06-08&amp;currency=EUR&amp;startStation=30&amp;endStation=115", "Clic para verlo en la web de RoadSurfer")</f>
        <v/>
      </c>
    </row>
    <row r="525">
      <c r="A525" t="inlineStr">
        <is>
          <t>Francia</t>
        </is>
      </c>
      <c r="B525" t="inlineStr">
        <is>
          <t>Toulouse</t>
        </is>
      </c>
      <c r="C525" t="inlineStr">
        <is>
          <t>Alemania</t>
        </is>
      </c>
      <c r="D525" t="inlineStr">
        <is>
          <t>Erfurt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Camper Castle</t>
        </is>
      </c>
      <c r="H525">
        <f>HYPERLINK("https://booking.roadsurfer.com/es/rally/pick?pickup_date=2026-05-11&amp;return_date=2026-05-18&amp;currency=EUR&amp;startStation=30&amp;endStation=90", "Clic para verlo en la web de RoadSurfer")</f>
        <v/>
      </c>
    </row>
    <row r="526">
      <c r="A526" t="inlineStr">
        <is>
          <t>Francia</t>
        </is>
      </c>
      <c r="B526" t="inlineStr">
        <is>
          <t>Toulouse</t>
        </is>
      </c>
      <c r="C526" t="inlineStr">
        <is>
          <t>Alemania</t>
        </is>
      </c>
      <c r="D526" t="inlineStr">
        <is>
          <t>Erfurt</t>
        </is>
      </c>
      <c r="E526" t="inlineStr">
        <is>
          <t>2026-05-26</t>
        </is>
      </c>
      <c r="F526" t="inlineStr">
        <is>
          <t>2026-06-02</t>
        </is>
      </c>
      <c r="G526" t="inlineStr">
        <is>
          <t xml:space="preserve"> - Surfer Suite</t>
        </is>
      </c>
      <c r="H526">
        <f>HYPERLINK("https://booking.roadsurfer.com/es/rally/pick?pickup_date=2026-05-26&amp;return_date=2026-06-02&amp;currency=EUR&amp;startStation=30&amp;endStation=90", "Clic para verlo en la web de RoadSurfer")</f>
        <v/>
      </c>
    </row>
    <row r="527">
      <c r="A527" t="inlineStr">
        <is>
          <t>Francia</t>
        </is>
      </c>
      <c r="B527" t="inlineStr">
        <is>
          <t>Toulouse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2026-06-01</t>
        </is>
      </c>
      <c r="F527" t="inlineStr">
        <is>
          <t>2026-06-08</t>
        </is>
      </c>
      <c r="G527" t="inlineStr">
        <is>
          <t xml:space="preserve"> - No hay coche</t>
        </is>
      </c>
      <c r="H527">
        <f>HYPERLINK("https://booking.roadsurfer.com/es/rally/pick?pickup_date=2026-06-01&amp;return_date=2026-06-08&amp;currency=EUR&amp;startStation=30&amp;endStation=31", "Clic para verlo en la web de RoadSurfer")</f>
        <v/>
      </c>
    </row>
    <row r="528">
      <c r="A528" t="inlineStr">
        <is>
          <t>Francia</t>
        </is>
      </c>
      <c r="B528" t="inlineStr">
        <is>
          <t>Toulouse</t>
        </is>
      </c>
      <c r="C528" t="inlineStr">
        <is>
          <t>Francia</t>
        </is>
      </c>
      <c r="D528" t="inlineStr">
        <is>
          <t>Lille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No hay coche</t>
        </is>
      </c>
      <c r="H528">
        <f>HYPERLINK("https://booking.roadsurfer.com/es/rally/pick?pickup_date=2026-05-04&amp;return_date=2026-05-11&amp;currency=EUR&amp;startStation=30&amp;endStation=87", "Clic para verlo en la web de RoadSurfer")</f>
        <v/>
      </c>
    </row>
    <row r="529">
      <c r="A529" t="inlineStr">
        <is>
          <t>Francia</t>
        </is>
      </c>
      <c r="B529" t="inlineStr">
        <is>
          <t>Toulouse</t>
        </is>
      </c>
      <c r="C529" t="inlineStr">
        <is>
          <t>Francia</t>
        </is>
      </c>
      <c r="D529" t="inlineStr">
        <is>
          <t>Estrasburgo</t>
        </is>
      </c>
      <c r="E529" t="inlineStr">
        <is>
          <t>2026-05-28</t>
        </is>
      </c>
      <c r="F529" t="inlineStr">
        <is>
          <t>2026-06-04</t>
        </is>
      </c>
      <c r="G529" t="inlineStr"/>
      <c r="H529">
        <f>HYPERLINK("https://booking.roadsurfer.com/es/rally/pick?pickup_date=2026-05-28&amp;return_date=2026-06-04&amp;currency=EUR&amp;startStation=30&amp;endStation=49", "Clic para verlo en la web de RoadSurfer")</f>
        <v/>
      </c>
    </row>
    <row r="530">
      <c r="A530" t="inlineStr">
        <is>
          <t>Francia</t>
        </is>
      </c>
      <c r="B530" t="inlineStr">
        <is>
          <t>Toulouse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2026-05-28</t>
        </is>
      </c>
      <c r="F530" t="inlineStr">
        <is>
          <t>2026-06-04</t>
        </is>
      </c>
      <c r="G530" t="inlineStr">
        <is>
          <t xml:space="preserve"> - Beach Hostel</t>
        </is>
      </c>
      <c r="H530">
        <f>HYPERLINK("https://booking.roadsurfer.com/es/rally/pick?pickup_date=2026-05-28&amp;return_date=2026-06-04&amp;currency=EUR&amp;startStation=30&amp;endStation=13", "Clic para verlo en la web de RoadSurfer")</f>
        <v/>
      </c>
    </row>
    <row r="531">
      <c r="A531" t="inlineStr">
        <is>
          <t>Francia</t>
        </is>
      </c>
      <c r="B531" t="inlineStr">
        <is>
          <t>Toulouse</t>
        </is>
      </c>
      <c r="C531" t="inlineStr">
        <is>
          <t>Alemania</t>
        </is>
      </c>
      <c r="D531" t="inlineStr">
        <is>
          <t>Kassel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Family Finca</t>
        </is>
      </c>
      <c r="H531">
        <f>HYPERLINK("https://booking.roadsurfer.com/es/rally/pick?pickup_date=2026-05-11&amp;return_date=2026-05-18&amp;currency=EUR&amp;startStation=30&amp;endStation=92", "Clic para verlo en la web de RoadSurfer")</f>
        <v/>
      </c>
    </row>
    <row r="532">
      <c r="A532" t="inlineStr">
        <is>
          <t>Francia</t>
        </is>
      </c>
      <c r="B532" t="inlineStr">
        <is>
          <t>Toulouse</t>
        </is>
      </c>
      <c r="C532" t="inlineStr">
        <is>
          <t>Alemania</t>
        </is>
      </c>
      <c r="D532" t="inlineStr">
        <is>
          <t>Kassel</t>
        </is>
      </c>
      <c r="E532" t="inlineStr">
        <is>
          <t>2026-06-07</t>
        </is>
      </c>
      <c r="F532" t="inlineStr">
        <is>
          <t>2026-06-14</t>
        </is>
      </c>
      <c r="G532" t="inlineStr"/>
      <c r="H532">
        <f>HYPERLINK("https://booking.roadsurfer.com/es/rally/pick?pickup_date=2026-06-07&amp;return_date=2026-06-14&amp;currency=EUR&amp;startStation=30&amp;endStation=92", "Clic para verlo en la web de RoadSurfer")</f>
        <v/>
      </c>
    </row>
    <row r="533">
      <c r="A533" t="inlineStr">
        <is>
          <t>Francia</t>
        </is>
      </c>
      <c r="B533" t="inlineStr">
        <is>
          <t>Toulouse</t>
        </is>
      </c>
      <c r="C533" t="inlineStr">
        <is>
          <t>Alemania</t>
        </is>
      </c>
      <c r="D533" t="inlineStr">
        <is>
          <t>Kassel</t>
        </is>
      </c>
      <c r="E533" t="inlineStr">
        <is>
          <t>2026-05-23</t>
        </is>
      </c>
      <c r="F533" t="inlineStr">
        <is>
          <t>2026-05-30</t>
        </is>
      </c>
      <c r="G533" t="inlineStr">
        <is>
          <t xml:space="preserve"> - Family Finca</t>
        </is>
      </c>
      <c r="H533">
        <f>HYPERLINK("https://booking.roadsurfer.com/es/rally/pick?pickup_date=2026-05-23&amp;return_date=2026-05-30&amp;currency=EUR&amp;startStation=30&amp;endStation=92", "Clic para verlo en la web de RoadSurfer")</f>
        <v/>
      </c>
    </row>
    <row r="534">
      <c r="A534" t="inlineStr">
        <is>
          <t>Alemania</t>
        </is>
      </c>
      <c r="B534" t="inlineStr">
        <is>
          <t>Tréveris</t>
        </is>
      </c>
      <c r="C534" t="inlineStr">
        <is>
          <t>España</t>
        </is>
      </c>
      <c r="D534" t="inlineStr">
        <is>
          <t>Bilbao</t>
        </is>
      </c>
      <c r="E534" t="inlineStr">
        <is>
          <t>2026-06-01</t>
        </is>
      </c>
      <c r="F534" t="inlineStr">
        <is>
          <t>2026-06-08</t>
        </is>
      </c>
      <c r="G534" t="inlineStr">
        <is>
          <t xml:space="preserve"> - Camper Castle</t>
        </is>
      </c>
      <c r="H534">
        <f>HYPERLINK("https://booking.roadsurfer.com/es/rally/pick?pickup_date=2026-06-01&amp;return_date=2026-06-08&amp;currency=EUR&amp;startStation=28&amp;endStation=40", "Clic para verlo en la web de RoadSurfer")</f>
        <v/>
      </c>
    </row>
    <row r="535">
      <c r="A535" t="inlineStr">
        <is>
          <t>Italia</t>
        </is>
      </c>
      <c r="B535" t="inlineStr">
        <is>
          <t>Turín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Family Finca</t>
        </is>
      </c>
      <c r="H535">
        <f>HYPERLINK("https://booking.roadsurfer.com/es/rally/pick?pickup_date=2026-05-11&amp;return_date=2026-05-18&amp;currency=EUR&amp;startStation=58&amp;endStation=56", "Clic para verlo en la web de RoadSurfer")</f>
        <v/>
      </c>
    </row>
    <row r="536">
      <c r="A536" t="inlineStr">
        <is>
          <t>Italia</t>
        </is>
      </c>
      <c r="B536" t="inlineStr">
        <is>
          <t>Turín</t>
        </is>
      </c>
      <c r="C536" t="inlineStr">
        <is>
          <t>Alemania</t>
        </is>
      </c>
      <c r="D536" t="inlineStr">
        <is>
          <t>Friburgo-Basilea (Alemania)</t>
        </is>
      </c>
      <c r="E536" t="inlineStr">
        <is>
          <t>2026-05-02</t>
        </is>
      </c>
      <c r="F536" t="inlineStr">
        <is>
          <t>2026-05-09</t>
        </is>
      </c>
      <c r="G536" t="inlineStr">
        <is>
          <t xml:space="preserve"> - No hay coche</t>
        </is>
      </c>
      <c r="H536">
        <f>HYPERLINK("https://booking.roadsurfer.com/es/rally/pick?pickup_date=2026-05-02&amp;return_date=2026-05-09&amp;currency=EUR&amp;startStation=58&amp;endStation=9", "Clic para verlo en la web de RoadSurfer")</f>
        <v/>
      </c>
    </row>
    <row r="537">
      <c r="A537" t="inlineStr">
        <is>
          <t>Alemania</t>
        </is>
      </c>
      <c r="B537" t="inlineStr">
        <is>
          <t>Ulm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2026-05-06</t>
        </is>
      </c>
      <c r="F537" t="inlineStr">
        <is>
          <t>2026-05-13</t>
        </is>
      </c>
      <c r="G537" t="inlineStr">
        <is>
          <t xml:space="preserve"> - Camper Cabin</t>
        </is>
      </c>
      <c r="H537">
        <f>HYPERLINK("https://booking.roadsurfer.com/es/rally/pick?pickup_date=2026-05-06&amp;return_date=2026-05-13&amp;currency=EUR&amp;startStation=112&amp;endStation=12", "Clic para verlo en la web de RoadSurfer")</f>
        <v/>
      </c>
    </row>
    <row r="538">
      <c r="A538" t="inlineStr">
        <is>
          <t>Alemania</t>
        </is>
      </c>
      <c r="B538" t="inlineStr">
        <is>
          <t>Ulm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2026-05-02</t>
        </is>
      </c>
      <c r="F538" t="inlineStr">
        <is>
          <t>2026-05-09</t>
        </is>
      </c>
      <c r="G538" t="inlineStr">
        <is>
          <t xml:space="preserve"> - Family Finca</t>
        </is>
      </c>
      <c r="H538">
        <f>HYPERLINK("https://booking.roadsurfer.com/es/rally/pick?pickup_date=2026-05-02&amp;return_date=2026-05-09&amp;currency=EUR&amp;startStation=112&amp;endStation=77", "Clic para verlo en la web de RoadSurfer")</f>
        <v/>
      </c>
    </row>
    <row r="539">
      <c r="A539" t="inlineStr">
        <is>
          <t>Alemania</t>
        </is>
      </c>
      <c r="B539" t="inlineStr">
        <is>
          <t>Ulm</t>
        </is>
      </c>
      <c r="C539" t="inlineStr">
        <is>
          <t>Alemania</t>
        </is>
      </c>
      <c r="D539" t="inlineStr">
        <is>
          <t>Tréveris</t>
        </is>
      </c>
      <c r="E539" t="inlineStr">
        <is>
          <t>2026-06-08</t>
        </is>
      </c>
      <c r="F539" t="inlineStr">
        <is>
          <t>2026-06-15</t>
        </is>
      </c>
      <c r="G539" t="inlineStr">
        <is>
          <t xml:space="preserve"> - No hay coche</t>
        </is>
      </c>
      <c r="H539">
        <f>HYPERLINK("https://booking.roadsurfer.com/es/rally/pick?pickup_date=2026-06-08&amp;return_date=2026-06-15&amp;currency=EUR&amp;startStation=112&amp;endStation=28", "Clic para verlo en la web de RoadSurfer")</f>
        <v/>
      </c>
    </row>
    <row r="540">
      <c r="A540" t="inlineStr">
        <is>
          <t>España</t>
        </is>
      </c>
      <c r="B540" t="inlineStr">
        <is>
          <t>Valencia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2026-05-13</t>
        </is>
      </c>
      <c r="F540" t="inlineStr">
        <is>
          <t>2026-05-20</t>
        </is>
      </c>
      <c r="G540" t="inlineStr"/>
      <c r="H540">
        <f>HYPERLINK("https://booking.roadsurfer.com/es/rally/pick?pickup_date=2026-05-13&amp;return_date=2026-05-20&amp;currency=EUR&amp;startStation=38&amp;endStation=22", "Clic para verlo en la web de RoadSurfer")</f>
        <v/>
      </c>
    </row>
    <row r="541">
      <c r="A541" t="inlineStr">
        <is>
          <t>España</t>
        </is>
      </c>
      <c r="B541" t="inlineStr">
        <is>
          <t>Valencia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2026-05-08</t>
        </is>
      </c>
      <c r="F541" t="inlineStr">
        <is>
          <t>2026-05-15</t>
        </is>
      </c>
      <c r="G541" t="inlineStr">
        <is>
          <t xml:space="preserve"> - Beach Hostel</t>
        </is>
      </c>
      <c r="H541">
        <f>HYPERLINK("https://booking.roadsurfer.com/es/rally/pick?pickup_date=2026-05-08&amp;return_date=2026-05-15&amp;currency=EUR&amp;startStation=38&amp;endStation=22", "Clic para verlo en la web de RoadSurfer")</f>
        <v/>
      </c>
    </row>
    <row r="542">
      <c r="A542" t="inlineStr">
        <is>
          <t>Italia</t>
        </is>
      </c>
      <c r="B542" t="inlineStr">
        <is>
          <t>Venecia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2026-05-11</t>
        </is>
      </c>
      <c r="F542" t="inlineStr">
        <is>
          <t>2026-05-18</t>
        </is>
      </c>
      <c r="G542" t="inlineStr"/>
      <c r="H542">
        <f>HYPERLINK("https://booking.roadsurfer.com/es/rally/pick?pickup_date=2026-05-11&amp;return_date=2026-05-18&amp;currency=EUR&amp;startStation=78&amp;endStation=5", "Clic para verlo en la web de RoadSurfer")</f>
        <v/>
      </c>
    </row>
    <row r="543">
      <c r="A543" t="inlineStr">
        <is>
          <t>Italia</t>
        </is>
      </c>
      <c r="B543" t="inlineStr">
        <is>
          <t>Venecia</t>
        </is>
      </c>
      <c r="C543" t="inlineStr">
        <is>
          <t>Alemania</t>
        </is>
      </c>
      <c r="D543" t="inlineStr">
        <is>
          <t>Tréveris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Camper Cabin</t>
        </is>
      </c>
      <c r="H543">
        <f>HYPERLINK("https://booking.roadsurfer.com/es/rally/pick?pickup_date=2026-05-14&amp;return_date=2026-05-21&amp;currency=EUR&amp;startStation=78&amp;endStation=28", "Clic para verlo en la web de RoadSurfer")</f>
        <v/>
      </c>
    </row>
    <row r="544">
      <c r="A544" t="inlineStr">
        <is>
          <t>Italia</t>
        </is>
      </c>
      <c r="B544" t="inlineStr">
        <is>
          <t>Venecia</t>
        </is>
      </c>
      <c r="C544" t="inlineStr">
        <is>
          <t>Alemania</t>
        </is>
      </c>
      <c r="D544" t="inlineStr">
        <is>
          <t>Tréveris</t>
        </is>
      </c>
      <c r="E544" t="inlineStr">
        <is>
          <t>2026-05-13</t>
        </is>
      </c>
      <c r="F544" t="inlineStr">
        <is>
          <t>2026-05-20</t>
        </is>
      </c>
      <c r="G544" t="inlineStr">
        <is>
          <t xml:space="preserve"> - Road House</t>
        </is>
      </c>
      <c r="H544">
        <f>HYPERLINK("https://booking.roadsurfer.com/es/rally/pick?pickup_date=2026-05-13&amp;return_date=2026-05-20&amp;currency=EUR&amp;startStation=78&amp;endStation=28", "Clic para verlo en la web de RoadSurfer")</f>
        <v/>
      </c>
    </row>
    <row r="545">
      <c r="A545" t="inlineStr">
        <is>
          <t>Italia</t>
        </is>
      </c>
      <c r="B545" t="inlineStr">
        <is>
          <t>Venecia</t>
        </is>
      </c>
      <c r="C545" t="inlineStr">
        <is>
          <t>Alemania</t>
        </is>
      </c>
      <c r="D545" t="inlineStr">
        <is>
          <t>Friburgo-Basilea (Alemania)</t>
        </is>
      </c>
      <c r="E545" t="inlineStr">
        <is>
          <t>2026-06-01</t>
        </is>
      </c>
      <c r="F545" t="inlineStr">
        <is>
          <t>2026-06-08</t>
        </is>
      </c>
      <c r="G545" t="inlineStr">
        <is>
          <t xml:space="preserve"> - Couple Cottage</t>
        </is>
      </c>
      <c r="H545">
        <f>HYPERLINK("https://booking.roadsurfer.com/es/rally/pick?pickup_date=2026-06-01&amp;return_date=2026-06-08&amp;currency=EUR&amp;startStation=78&amp;endStation=9", "Clic para verlo en la web de RoadSurfer")</f>
        <v/>
      </c>
    </row>
    <row r="546">
      <c r="A546" t="inlineStr">
        <is>
          <t>Italia</t>
        </is>
      </c>
      <c r="B546" t="inlineStr">
        <is>
          <t>Venecia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Couple Cottage</t>
        </is>
      </c>
      <c r="H546">
        <f>HYPERLINK("https://booking.roadsurfer.com/es/rally/pick?pickup_date=2026-05-11&amp;return_date=2026-05-18&amp;currency=EUR&amp;startStation=78&amp;endStation=90", "Clic para verlo en la web de RoadSurfer")</f>
        <v/>
      </c>
    </row>
    <row r="547">
      <c r="A547" t="inlineStr">
        <is>
          <t>Italia</t>
        </is>
      </c>
      <c r="B547" t="inlineStr">
        <is>
          <t>Venecia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Sunrise Suite</t>
        </is>
      </c>
      <c r="H547">
        <f>HYPERLINK("https://booking.roadsurfer.com/es/rally/pick?pickup_date=2026-05-11&amp;return_date=2026-05-18&amp;currency=EUR&amp;startStation=78&amp;endStation=22", "Clic para verlo en la web de RoadSurfer")</f>
        <v/>
      </c>
    </row>
    <row r="548">
      <c r="A548" t="inlineStr">
        <is>
          <t>Austria</t>
        </is>
      </c>
      <c r="B548" t="inlineStr">
        <is>
          <t>Viena</t>
        </is>
      </c>
      <c r="C548" t="inlineStr">
        <is>
          <t>Alemania</t>
        </is>
      </c>
      <c r="D548" t="inlineStr">
        <is>
          <t>Berlín</t>
        </is>
      </c>
      <c r="E548" t="inlineStr">
        <is>
          <t>2026-05-23</t>
        </is>
      </c>
      <c r="F548" t="inlineStr">
        <is>
          <t>2026-05-30</t>
        </is>
      </c>
      <c r="G548" t="inlineStr">
        <is>
          <t xml:space="preserve"> - Family Finca</t>
        </is>
      </c>
      <c r="H548">
        <f>HYPERLINK("https://booking.roadsurfer.com/es/rally/pick?pickup_date=2026-05-23&amp;return_date=2026-05-30&amp;currency=EUR&amp;startStation=36&amp;endStation=6", "Clic para verlo en la web de RoadSurfer")</f>
        <v/>
      </c>
    </row>
    <row r="549">
      <c r="A549" t="inlineStr">
        <is>
          <t>Austria</t>
        </is>
      </c>
      <c r="B549" t="inlineStr">
        <is>
          <t>Viena Sur</t>
        </is>
      </c>
      <c r="C549" t="inlineStr">
        <is>
          <t>Suecia</t>
        </is>
      </c>
      <c r="D549" t="inlineStr">
        <is>
          <t>Malmö</t>
        </is>
      </c>
      <c r="E549" t="inlineStr">
        <is>
          <t>2026-05-18</t>
        </is>
      </c>
      <c r="F549" t="inlineStr">
        <is>
          <t>2026-05-25</t>
        </is>
      </c>
      <c r="G549" t="inlineStr">
        <is>
          <t xml:space="preserve"> - Couple Cottage</t>
        </is>
      </c>
      <c r="H549">
        <f>HYPERLINK("https://booking.roadsurfer.com/es/rally/pick?pickup_date=2026-05-18&amp;return_date=2026-05-25&amp;currency=EUR&amp;startStation=45&amp;endStation=60", "Clic para verlo en la web de RoadSurfer")</f>
        <v/>
      </c>
    </row>
    <row r="550">
      <c r="A550" t="inlineStr">
        <is>
          <t>Alemania</t>
        </is>
      </c>
      <c r="B550" t="inlineStr">
        <is>
          <t>Wurzburgo</t>
        </is>
      </c>
      <c r="C550" t="inlineStr">
        <is>
          <t>Francia</t>
        </is>
      </c>
      <c r="D550" t="inlineStr">
        <is>
          <t>Toulouse</t>
        </is>
      </c>
      <c r="E550" t="inlineStr">
        <is>
          <t>2026-06-22</t>
        </is>
      </c>
      <c r="F550" t="inlineStr">
        <is>
          <t>2026-06-29</t>
        </is>
      </c>
      <c r="G550" t="inlineStr"/>
      <c r="H550">
        <f>HYPERLINK("https://booking.roadsurfer.com/es/rally/pick?pickup_date=2026-06-22&amp;return_date=2026-06-29&amp;currency=EUR&amp;startStation=115&amp;endStation=30", "Clic para verlo en la web de RoadSurfer")</f>
        <v/>
      </c>
    </row>
    <row r="551">
      <c r="A551" t="inlineStr">
        <is>
          <t>Alemania</t>
        </is>
      </c>
      <c r="B551" t="inlineStr">
        <is>
          <t>Wurzburgo</t>
        </is>
      </c>
      <c r="C551" t="inlineStr">
        <is>
          <t>Alemania</t>
        </is>
      </c>
      <c r="D551" t="inlineStr">
        <is>
          <t>Friburgo-Basilea (Alemania)</t>
        </is>
      </c>
      <c r="E551" t="inlineStr">
        <is>
          <t>2026-04-30</t>
        </is>
      </c>
      <c r="F551" t="inlineStr">
        <is>
          <t>2026-05-07</t>
        </is>
      </c>
      <c r="G551" t="inlineStr">
        <is>
          <t xml:space="preserve"> - Family Finca</t>
        </is>
      </c>
      <c r="H551">
        <f>HYPERLINK("https://booking.roadsurfer.com/es/rally/pick?pickup_date=2026-04-30&amp;return_date=2026-05-07&amp;currency=EUR&amp;startStation=115&amp;endStation=9", "Clic para verlo en la web de RoadSurfer")</f>
        <v/>
      </c>
    </row>
    <row r="552">
      <c r="A552" t="inlineStr">
        <is>
          <t>Alemania</t>
        </is>
      </c>
      <c r="B552" t="inlineStr">
        <is>
          <t>Wurzburgo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2026-05-23</t>
        </is>
      </c>
      <c r="F552" t="inlineStr">
        <is>
          <t>2026-05-30</t>
        </is>
      </c>
      <c r="G552" t="inlineStr"/>
      <c r="H552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2026-05-01T09:40:09Z</dcterms:created>
  <dcterms:modified xsi:type="dcterms:W3CDTF">2026-05-01T09:40:09Z</dcterms:modified>
</cp:coreProperties>
</file>