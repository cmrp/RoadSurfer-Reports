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2026-06-25</t>
        </is>
      </c>
      <c r="F3" t="inlineStr">
        <is>
          <t>2026-07-02</t>
        </is>
      </c>
      <c r="G3" t="inlineStr">
        <is>
          <t xml:space="preserve"> - No hay coche</t>
        </is>
      </c>
      <c r="H3">
        <f>HYPERLINK("https://booking.roadsurfer.com/es/rally/pick?pickup_date=2026-06-25&amp;return_date=2026-07-02&amp;currency=EUR&amp;startStation=91&amp;endStation=33",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2026-06-23</t>
        </is>
      </c>
      <c r="F4" t="inlineStr">
        <is>
          <t>2026-06-30</t>
        </is>
      </c>
      <c r="G4" t="inlineStr">
        <is>
          <t xml:space="preserve"> - Sunrise Suite</t>
        </is>
      </c>
      <c r="H4">
        <f>HYPERLINK("https://booking.roadsurfer.com/es/rally/pick?pickup_date=2026-06-23&amp;return_date=2026-06-30&amp;currency=EUR&amp;startStation=91&amp;endStation=12",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Family Finca</t>
        </is>
      </c>
      <c r="H5">
        <f>HYPERLINK("https://booking.roadsurfer.com/es/rally/pick?pickup_date=2026-07-06&amp;return_date=2026-07-13&amp;currency=EUR&amp;startStation=40&amp;endStation=22",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Couple Cottage</t>
        </is>
      </c>
      <c r="H6">
        <f>HYPERLINK("https://booking.roadsurfer.com/es/rally/pick?pickup_date=2026-06-23&amp;return_date=2026-06-30&amp;currency=EUR&amp;startStation=24&amp;endStation=29",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Couple Cottage</t>
        </is>
      </c>
      <c r="H7">
        <f>HYPERLINK("https://booking.roadsurfer.com/es/rally/pick?pickup_date=2026-06-19&amp;return_date=2026-06-26&amp;currency=EUR&amp;startStation=24&amp;endStation=48",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Surfer Suite</t>
        </is>
      </c>
      <c r="H8">
        <f>HYPERLINK("https://booking.roadsurfer.com/es/rally/pick?pickup_date=2026-06-24&amp;return_date=2026-07-01&amp;currency=EUR&amp;startStation=13&amp;endStation=22",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2026-06-18</t>
        </is>
      </c>
      <c r="F9" t="inlineStr">
        <is>
          <t>2026-06-25</t>
        </is>
      </c>
      <c r="G9" t="inlineStr">
        <is>
          <t xml:space="preserve"> - Surfer Suite</t>
        </is>
      </c>
      <c r="H9">
        <f>HYPERLINK("https://booking.roadsurfer.com/es/rally/pick?pickup_date=2026-06-18&amp;return_date=2026-06-25&amp;currency=EUR&amp;startStation=13&amp;endStation=22",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Francia</t>
        </is>
      </c>
      <c r="D10" t="inlineStr">
        <is>
          <t>Lille</t>
        </is>
      </c>
      <c r="E10" t="inlineStr">
        <is>
          <t>2026-06-20</t>
        </is>
      </c>
      <c r="F10" t="inlineStr">
        <is>
          <t>2026-06-27</t>
        </is>
      </c>
      <c r="G10" t="inlineStr">
        <is>
          <t xml:space="preserve"> - Beach Hostel</t>
        </is>
      </c>
      <c r="H10">
        <f>HYPERLINK("https://booking.roadsurfer.com/es/rally/pick?pickup_date=2026-06-20&amp;return_date=2026-06-27&amp;currency=EUR&amp;startStation=55&amp;endStation=87",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Países Bajos</t>
        </is>
      </c>
      <c r="D11" t="inlineStr">
        <is>
          <t>Ámsterdam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Road House</t>
        </is>
      </c>
      <c r="H11">
        <f>HYPERLINK("https://booking.roadsurfer.com/es/rally/pick?pickup_date=2026-06-22&amp;return_date=2026-06-29&amp;currency=EUR&amp;startStation=55&amp;endStation=32",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Francia</t>
        </is>
      </c>
      <c r="D12" t="inlineStr">
        <is>
          <t>París Aeropuerto CDG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Couple Cottage</t>
        </is>
      </c>
      <c r="H12">
        <f>HYPERLINK("https://booking.roadsurfer.com/es/rally/pick?pickup_date=2026-06-23&amp;return_date=2026-06-30&amp;currency=EUR&amp;startStation=55&amp;endStation=48",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Malmö</t>
        </is>
      </c>
      <c r="E13" t="inlineStr">
        <is>
          <t>2026-06-27</t>
        </is>
      </c>
      <c r="F13" t="inlineStr">
        <is>
          <t>2026-07-04</t>
        </is>
      </c>
      <c r="G13" t="inlineStr">
        <is>
          <t xml:space="preserve"> - No hay coche</t>
        </is>
      </c>
      <c r="H13">
        <f>HYPERLINK("https://booking.roadsurfer.com/es/rally/pick?pickup_date=2026-06-27&amp;return_date=2026-07-04&amp;currency=EUR&amp;startStation=55&amp;endStation=60", "Clic para verlo en la web de RoadSurfer")</f>
        <v/>
      </c>
    </row>
    <row r="14">
      <c r="A14" t="inlineStr">
        <is>
          <t>Reino Unido</t>
        </is>
      </c>
      <c r="B14" t="inlineStr">
        <is>
          <t>Bristol</t>
        </is>
      </c>
      <c r="C14" t="inlineStr">
        <is>
          <t>Reino Unido</t>
        </is>
      </c>
      <c r="D14" t="inlineStr">
        <is>
          <t>Edimburgo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Cozy Cottage</t>
        </is>
      </c>
      <c r="H14">
        <f>HYPERLINK("https://booking.roadsurfer.com/es/rally/pick?pickup_date=2026-06-22&amp;return_date=2026-06-29&amp;currency=EUR&amp;startStation=98&amp;endStation=64", "Clic para verlo en la web de RoadSurfer")</f>
        <v/>
      </c>
    </row>
    <row r="15">
      <c r="A15" t="inlineStr">
        <is>
          <t>Alemania</t>
        </is>
      </c>
      <c r="B15" t="inlineStr">
        <is>
          <t>Colonia-Bonn</t>
        </is>
      </c>
      <c r="C15" t="inlineStr">
        <is>
          <t>España</t>
        </is>
      </c>
      <c r="D15" t="inlineStr">
        <is>
          <t>Bilbao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Sunrise Suite</t>
        </is>
      </c>
      <c r="H15">
        <f>HYPERLINK("https://booking.roadsurfer.com/es/rally/pick?pickup_date=2026-06-24&amp;return_date=2026-07-01&amp;currency=EUR&amp;startStation=52&amp;endStation=40",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2026-06-20</t>
        </is>
      </c>
      <c r="F16" t="inlineStr">
        <is>
          <t>2026-06-27</t>
        </is>
      </c>
      <c r="G16" t="inlineStr">
        <is>
          <t xml:space="preserve"> - Beach Hostel</t>
        </is>
      </c>
      <c r="H16">
        <f>HYPERLINK("https://booking.roadsurfer.com/es/rally/pick?pickup_date=2026-06-20&amp;return_date=2026-06-27&amp;currency=EUR&amp;startStation=56&amp;endStation=59",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Camper Castle</t>
        </is>
      </c>
      <c r="H17">
        <f>HYPERLINK("https://booking.roadsurfer.com/es/rally/pick?pickup_date=2026-06-23&amp;return_date=2026-06-30&amp;currency=EUR&amp;startStation=56&amp;endStation=59",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Camper Castle</t>
        </is>
      </c>
      <c r="H18">
        <f>HYPERLINK("https://booking.roadsurfer.com/es/rally/pick?pickup_date=2026-06-22&amp;return_date=2026-06-29&amp;currency=EUR&amp;startStation=56&amp;endStation=59", "Clic para verlo en la web de RoadSurfer")</f>
        <v/>
      </c>
    </row>
    <row r="19">
      <c r="A19" t="inlineStr">
        <is>
          <t>Alemania</t>
        </is>
      </c>
      <c r="B19" t="inlineStr">
        <is>
          <t>Erfurt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Camper Cabin</t>
        </is>
      </c>
      <c r="H19">
        <f>HYPERLINK("https://booking.roadsurfer.com/es/rally/pick?pickup_date=2026-06-29&amp;return_date=2026-07-06&amp;currency=EUR&amp;startStation=90&amp;endStation=15", "Clic para verlo en la web de RoadSurfer")</f>
        <v/>
      </c>
    </row>
    <row r="20">
      <c r="A20" t="inlineStr">
        <is>
          <t>Alemania</t>
        </is>
      </c>
      <c r="B20" t="inlineStr">
        <is>
          <t>Hannover</t>
        </is>
      </c>
      <c r="C20" t="inlineStr">
        <is>
          <t>Francia</t>
        </is>
      </c>
      <c r="D20" t="inlineStr">
        <is>
          <t>París Sur (Orly)</t>
        </is>
      </c>
      <c r="E20" t="inlineStr">
        <is>
          <t>2026-06-22</t>
        </is>
      </c>
      <c r="F20" t="inlineStr">
        <is>
          <t>2026-06-29</t>
        </is>
      </c>
      <c r="G20" t="inlineStr">
        <is>
          <t xml:space="preserve"> - Travel Home</t>
        </is>
      </c>
      <c r="H20">
        <f>HYPERLINK("https://booking.roadsurfer.com/es/rally/pick?pickup_date=2026-06-22&amp;return_date=2026-06-29&amp;currency=EUR&amp;startStation=7&amp;endStation=12", "Clic para verlo en la web de RoadSurfer")</f>
        <v/>
      </c>
    </row>
    <row r="21">
      <c r="A21" t="inlineStr">
        <is>
          <t>Alemania</t>
        </is>
      </c>
      <c r="B21" t="inlineStr">
        <is>
          <t>Heidelberg</t>
        </is>
      </c>
      <c r="C21" t="inlineStr">
        <is>
          <t>España</t>
        </is>
      </c>
      <c r="D21" t="inlineStr">
        <is>
          <t>Madrid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Surfer Suite</t>
        </is>
      </c>
      <c r="H21">
        <f>HYPERLINK("https://booking.roadsurfer.com/es/rally/pick?pickup_date=2026-06-24&amp;return_date=2026-07-01&amp;currency=EUR&amp;startStation=79&amp;endStation=20", "Clic para verlo en la web de RoadSurfer")</f>
        <v/>
      </c>
    </row>
    <row r="22">
      <c r="A22" t="inlineStr">
        <is>
          <t>Alemania</t>
        </is>
      </c>
      <c r="B22" t="inlineStr">
        <is>
          <t>Heidelberg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HYPERLINK("https://booking.roadsurfer.com/es/rally/pick?pickup_date=2026-06-22&amp;return_date=2026-06-29&amp;currency=EUR&amp;startStation=79&amp;endStation=130", "Clic para verlo en la web de RoadSurfer")</f>
        <v/>
      </c>
    </row>
    <row r="23">
      <c r="A23" t="inlineStr">
        <is>
          <t>Alemania</t>
        </is>
      </c>
      <c r="B23" t="inlineStr">
        <is>
          <t>Kassel</t>
        </is>
      </c>
      <c r="C23" t="inlineStr">
        <is>
          <t>Francia</t>
        </is>
      </c>
      <c r="D23" t="inlineStr">
        <is>
          <t>Toulouse</t>
        </is>
      </c>
      <c r="E23" t="inlineStr">
        <is>
          <t>2026-06-24</t>
        </is>
      </c>
      <c r="F23" t="inlineStr">
        <is>
          <t>2026-07-01</t>
        </is>
      </c>
      <c r="G23" t="inlineStr">
        <is>
          <t xml:space="preserve"> - Surfer Suite</t>
        </is>
      </c>
      <c r="H23">
        <f>HYPERLINK("https://booking.roadsurfer.com/es/rally/pick?pickup_date=2026-06-24&amp;return_date=2026-07-01&amp;currency=EUR&amp;startStation=92&amp;endStation=30",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Beach Hostel</t>
        </is>
      </c>
      <c r="H24">
        <f>HYPERLINK("https://booking.roadsurfer.com/es/rally/pick?pickup_date=2026-06-19&amp;return_date=2026-06-26&amp;currency=EUR&amp;startStation=92&amp;endStation=13", "Clic para verlo en la web de RoadSurfer")</f>
        <v/>
      </c>
    </row>
    <row r="25">
      <c r="A25" t="inlineStr">
        <is>
          <t>Alemania</t>
        </is>
      </c>
      <c r="B25" t="inlineStr">
        <is>
          <t>Kiel</t>
        </is>
      </c>
      <c r="C25" t="inlineStr">
        <is>
          <t>Francia</t>
        </is>
      </c>
      <c r="D25" t="inlineStr">
        <is>
          <t>Ginebra-Pays de Gex (Francia)</t>
        </is>
      </c>
      <c r="E25" t="inlineStr">
        <is>
          <t>2026-06-17</t>
        </is>
      </c>
      <c r="F25" t="inlineStr">
        <is>
          <t>2026-06-24</t>
        </is>
      </c>
      <c r="G25" t="inlineStr">
        <is>
          <t xml:space="preserve"> - Sunrise Suite</t>
        </is>
      </c>
      <c r="H25">
        <f>HYPERLINK("https://booking.roadsurfer.com/es/rally/pick?pickup_date=2026-06-17&amp;return_date=2026-06-24&amp;currency=EUR&amp;startStation=111&amp;endStation=29", "Clic para verlo en la web de RoadSurfer")</f>
        <v/>
      </c>
    </row>
    <row r="26">
      <c r="A26" t="inlineStr">
        <is>
          <t>EE.UU.</t>
        </is>
      </c>
      <c r="B26" t="inlineStr">
        <is>
          <t>Las Vegas</t>
        </is>
      </c>
      <c r="C26" t="inlineStr">
        <is>
          <t>EE.UU.</t>
        </is>
      </c>
      <c r="D26" t="inlineStr">
        <is>
          <t>Dallas</t>
        </is>
      </c>
      <c r="E26" t="inlineStr">
        <is>
          <t>2026-07-06</t>
        </is>
      </c>
      <c r="F26" t="inlineStr">
        <is>
          <t>2026-07-13</t>
        </is>
      </c>
      <c r="G26" t="inlineStr">
        <is>
          <t xml:space="preserve"> - Couple Condo</t>
        </is>
      </c>
      <c r="H26">
        <f>HYPERLINK("https://booking.roadsurfer.com/es/rally/pick?pickup_date=2026-07-06&amp;return_date=2026-07-13&amp;currency=EUR&amp;startStation=76&amp;endStation=125",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2026-06-25</t>
        </is>
      </c>
      <c r="F27" t="inlineStr">
        <is>
          <t>2026-07-02</t>
        </is>
      </c>
      <c r="G27" t="inlineStr">
        <is>
          <t xml:space="preserve"> - Surfer Suite</t>
        </is>
      </c>
      <c r="H27">
        <f>HYPERLINK("https://booking.roadsurfer.com/es/rally/pick?pickup_date=2026-06-25&amp;return_date=2026-07-02&amp;currency=EUR&amp;startStation=8&amp;endStation=15", "Clic para verlo en la web de RoadSurfer")</f>
        <v/>
      </c>
    </row>
    <row r="28">
      <c r="A28" t="inlineStr">
        <is>
          <t>Alemania</t>
        </is>
      </c>
      <c r="B28" t="inlineStr">
        <is>
          <t>Leipzig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2026-06-25</t>
        </is>
      </c>
      <c r="F28" t="inlineStr">
        <is>
          <t>2026-07-02</t>
        </is>
      </c>
      <c r="G28" t="inlineStr">
        <is>
          <t xml:space="preserve"> - No hay coche</t>
        </is>
      </c>
      <c r="H28">
        <f>HYPERLINK("https://booking.roadsurfer.com/es/rally/pick?pickup_date=2026-06-25&amp;return_date=2026-07-02&amp;currency=EUR&amp;startStation=8&amp;endStation=13", "Clic para verlo en la web de RoadSurfer")</f>
        <v/>
      </c>
    </row>
    <row r="29">
      <c r="A29" t="inlineStr">
        <is>
          <t>Alemania</t>
        </is>
      </c>
      <c r="B29" t="inlineStr">
        <is>
          <t>Leipzig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2026-06-24</t>
        </is>
      </c>
      <c r="F29" t="inlineStr">
        <is>
          <t>2026-07-01</t>
        </is>
      </c>
      <c r="G29" t="inlineStr">
        <is>
          <t xml:space="preserve"> - Road House</t>
        </is>
      </c>
      <c r="H29">
        <f>HYPERLINK("https://booking.roadsurfer.com/es/rally/pick?pickup_date=2026-06-24&amp;return_date=2026-07-01&amp;currency=EUR&amp;startStation=8&amp;endStation=13",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Suecia</t>
        </is>
      </c>
      <c r="D30" t="inlineStr">
        <is>
          <t>Malmö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No hay coche</t>
        </is>
      </c>
      <c r="H30">
        <f>HYPERLINK("https://booking.roadsurfer.com/es/rally/pick?pickup_date=2026-06-22&amp;return_date=2026-06-29&amp;currency=EUR&amp;startStation=8&amp;endStation=60", "Clic para verlo en la web de RoadSurfer")</f>
        <v/>
      </c>
    </row>
    <row r="31">
      <c r="A31" t="inlineStr">
        <is>
          <t>Alemania</t>
        </is>
      </c>
      <c r="B31" t="inlineStr">
        <is>
          <t>Lindau-Wangen</t>
        </is>
      </c>
      <c r="C31" t="inlineStr">
        <is>
          <t>Francia</t>
        </is>
      </c>
      <c r="D31" t="inlineStr">
        <is>
          <t>Toulouse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Travel Home</t>
        </is>
      </c>
      <c r="H31">
        <f>HYPERLINK("https://booking.roadsurfer.com/es/rally/pick?pickup_date=2026-06-22&amp;return_date=2026-06-29&amp;currency=EUR&amp;startStation=117&amp;endStation=30", "Clic para verlo en la web de RoadSurfer")</f>
        <v/>
      </c>
    </row>
    <row r="32">
      <c r="A32" t="inlineStr">
        <is>
          <t>Alemania</t>
        </is>
      </c>
      <c r="B32" t="inlineStr">
        <is>
          <t>Lindau-Wangen</t>
        </is>
      </c>
      <c r="C32" t="inlineStr">
        <is>
          <t>Francia</t>
        </is>
      </c>
      <c r="D32" t="inlineStr">
        <is>
          <t>Toulouse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Family Finca</t>
        </is>
      </c>
      <c r="H32">
        <f>HYPERLINK("https://booking.roadsurfer.com/es/rally/pick?pickup_date=2026-06-29&amp;return_date=2026-07-06&amp;currency=EUR&amp;startStation=117&amp;endStation=30", "Clic para verlo en la web de RoadSurfer")</f>
        <v/>
      </c>
    </row>
    <row r="33">
      <c r="A33" t="inlineStr">
        <is>
          <t>Alemania</t>
        </is>
      </c>
      <c r="B33" t="inlineStr">
        <is>
          <t>Lindau-Wangen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2026-06-25</t>
        </is>
      </c>
      <c r="F33" t="inlineStr">
        <is>
          <t>2026-07-02</t>
        </is>
      </c>
      <c r="G33" t="inlineStr">
        <is>
          <t xml:space="preserve"> - Surfer Suite</t>
        </is>
      </c>
      <c r="H33">
        <f>HYPERLINK("https://booking.roadsurfer.com/es/rally/pick?pickup_date=2026-06-25&amp;return_date=2026-07-02&amp;currency=EUR&amp;startStation=117&amp;endStation=31", "Clic para verlo en la web de RoadSurfer")</f>
        <v/>
      </c>
    </row>
    <row r="34">
      <c r="A34" t="inlineStr">
        <is>
          <t>Reino Unido</t>
        </is>
      </c>
      <c r="B34" t="inlineStr">
        <is>
          <t>Londres</t>
        </is>
      </c>
      <c r="C34" t="inlineStr">
        <is>
          <t>Reino Unido</t>
        </is>
      </c>
      <c r="D34" t="inlineStr">
        <is>
          <t>Mánchester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No hay coche</t>
        </is>
      </c>
      <c r="H34">
        <f>HYPERLINK("https://booking.roadsurfer.com/es/rally/pick?pickup_date=2026-06-29&amp;return_date=2026-07-06&amp;currency=EUR&amp;startStation=63&amp;endStation=99", "Clic para verlo en la web de RoadSurfer")</f>
        <v/>
      </c>
    </row>
    <row r="35">
      <c r="A35" t="inlineStr">
        <is>
          <t>Alemania</t>
        </is>
      </c>
      <c r="B35" t="inlineStr">
        <is>
          <t>Maguncia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2026-06-24</t>
        </is>
      </c>
      <c r="F35" t="inlineStr">
        <is>
          <t>2026-07-01</t>
        </is>
      </c>
      <c r="G35" t="inlineStr">
        <is>
          <t xml:space="preserve"> - Surfer Suite</t>
        </is>
      </c>
      <c r="H35">
        <f>HYPERLINK("https://booking.roadsurfer.com/es/rally/pick?pickup_date=2026-06-24&amp;return_date=2026-07-01&amp;currency=EUR&amp;startStation=54&amp;endStation=59", "Clic para verlo en la web de RoadSurfer")</f>
        <v/>
      </c>
    </row>
    <row r="36">
      <c r="A36" t="inlineStr">
        <is>
          <t>Alemania</t>
        </is>
      </c>
      <c r="B36" t="inlineStr">
        <is>
          <t>Maguncia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2026-06-22</t>
        </is>
      </c>
      <c r="F36" t="inlineStr">
        <is>
          <t>2026-06-29</t>
        </is>
      </c>
      <c r="G36" t="inlineStr">
        <is>
          <t xml:space="preserve"> - Sunrise Suite</t>
        </is>
      </c>
      <c r="H36">
        <f>HYPERLINK("https://booking.roadsurfer.com/es/rally/pick?pickup_date=2026-06-22&amp;return_date=2026-06-29&amp;currency=EUR&amp;startStation=54&amp;endStation=13", "Clic para verlo en la web de RoadSurfer")</f>
        <v/>
      </c>
    </row>
    <row r="37">
      <c r="A37" t="inlineStr">
        <is>
          <t>Alemania</t>
        </is>
      </c>
      <c r="B37" t="inlineStr">
        <is>
          <t>Maguncia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2026-06-17</t>
        </is>
      </c>
      <c r="F37" t="inlineStr">
        <is>
          <t>2026-06-24</t>
        </is>
      </c>
      <c r="G37" t="inlineStr">
        <is>
          <t xml:space="preserve"> - Camper Castle</t>
        </is>
      </c>
      <c r="H37">
        <f>HYPERLINK("https://booking.roadsurfer.com/es/rally/pick?pickup_date=2026-06-17&amp;return_date=2026-06-24&amp;currency=EUR&amp;startStation=54&amp;endStation=20", "Clic para verlo en la web de RoadSurfer")</f>
        <v/>
      </c>
    </row>
    <row r="38">
      <c r="A38" t="inlineStr">
        <is>
          <t>España</t>
        </is>
      </c>
      <c r="B38" t="inlineStr">
        <is>
          <t>Málaga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2026-06-29</t>
        </is>
      </c>
      <c r="F38" t="inlineStr">
        <is>
          <t>2026-07-06</t>
        </is>
      </c>
      <c r="G38" t="inlineStr">
        <is>
          <t xml:space="preserve"> - Surfer Suite</t>
        </is>
      </c>
      <c r="H38">
        <f>HYPERLINK("https://booking.roadsurfer.com/es/rally/pick?pickup_date=2026-06-29&amp;return_date=2026-07-06&amp;currency=EUR&amp;startStation=21&amp;endStation=78", "Clic para verlo en la web de RoadSurfer")</f>
        <v/>
      </c>
    </row>
    <row r="39">
      <c r="A39" t="inlineStr">
        <is>
          <t>España</t>
        </is>
      </c>
      <c r="B39" t="inlineStr">
        <is>
          <t>Málaga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2026-06-29</t>
        </is>
      </c>
      <c r="F39" t="inlineStr">
        <is>
          <t>2026-07-06</t>
        </is>
      </c>
      <c r="G39" t="inlineStr">
        <is>
          <t xml:space="preserve"> - Road House</t>
        </is>
      </c>
      <c r="H39">
        <f>HYPERLINK("https://booking.roadsurfer.com/es/rally/pick?pickup_date=2026-06-29&amp;return_date=2026-07-06&amp;currency=EUR&amp;startStation=21&amp;endStation=5", "Clic para verlo en la web de RoadSurfer")</f>
        <v/>
      </c>
    </row>
    <row r="40">
      <c r="A40" t="inlineStr">
        <is>
          <t>Suecia</t>
        </is>
      </c>
      <c r="B40" t="inlineStr">
        <is>
          <t>Malmö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No hay coche</t>
        </is>
      </c>
      <c r="H40">
        <f>HYPERLINK("https://booking.roadsurfer.com/es/rally/pick?pickup_date=2026-06-22&amp;return_date=2026-06-29&amp;currency=EUR&amp;startStation=60&amp;endStation=77", "Clic para verlo en la web de RoadSurfer")</f>
        <v/>
      </c>
    </row>
    <row r="41">
      <c r="A41" t="inlineStr">
        <is>
          <t>Reino Unido</t>
        </is>
      </c>
      <c r="B41" t="inlineStr">
        <is>
          <t>Mánchester</t>
        </is>
      </c>
      <c r="C41" t="inlineStr">
        <is>
          <t>Reino Unido</t>
        </is>
      </c>
      <c r="D41" t="inlineStr">
        <is>
          <t>Londres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No hay coche</t>
        </is>
      </c>
      <c r="H41">
        <f>HYPERLINK("https://booking.roadsurfer.com/es/rally/pick?pickup_date=2026-06-22&amp;return_date=2026-06-29&amp;currency=EUR&amp;startStation=99&amp;endStation=63",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2026-06-19</t>
        </is>
      </c>
      <c r="F42" t="inlineStr">
        <is>
          <t>2026-06-26</t>
        </is>
      </c>
      <c r="G42" t="inlineStr">
        <is>
          <t xml:space="preserve"> - Surfer Suite - Camper Cabin Deluxe</t>
        </is>
      </c>
      <c r="H42">
        <f>HYPERLINK("https://booking.roadsurfer.com/es/rally/pick?pickup_date=2026-06-19&amp;return_date=2026-06-26&amp;currency=EUR&amp;startStation=22&amp;endStation=59",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Surfer Suite</t>
        </is>
      </c>
      <c r="H43">
        <f>HYPERLINK("https://booking.roadsurfer.com/es/rally/pick?pickup_date=2026-06-22&amp;return_date=2026-06-29&amp;currency=EUR&amp;startStation=22&amp;endStation=59",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Travel Home</t>
        </is>
      </c>
      <c r="H44">
        <f>HYPERLINK("https://booking.roadsurfer.com/es/rally/pick?pickup_date=2026-06-22&amp;return_date=2026-06-29&amp;currency=EUR&amp;startStation=22&amp;endStation=29",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Francia</t>
        </is>
      </c>
      <c r="D45" t="inlineStr">
        <is>
          <t>Ginebra-Pays de Gex (Francia)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Surfer Suite</t>
        </is>
      </c>
      <c r="H45">
        <f>HYPERLINK("https://booking.roadsurfer.com/es/rally/pick?pickup_date=2026-06-23&amp;return_date=2026-06-30&amp;currency=EUR&amp;startStation=22&amp;endStation=29",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2026-06-25</t>
        </is>
      </c>
      <c r="F46" t="inlineStr">
        <is>
          <t>2026-07-02</t>
        </is>
      </c>
      <c r="G46" t="inlineStr">
        <is>
          <t xml:space="preserve"> - Sunrise Suite</t>
        </is>
      </c>
      <c r="H46">
        <f>HYPERLINK("https://booking.roadsurfer.com/es/rally/pick?pickup_date=2026-06-25&amp;return_date=2026-07-02&amp;currency=EUR&amp;startStation=22&amp;endStation=29",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2026-06-19</t>
        </is>
      </c>
      <c r="F47" t="inlineStr">
        <is>
          <t>2026-06-26</t>
        </is>
      </c>
      <c r="G47" t="inlineStr">
        <is>
          <t xml:space="preserve"> - Camper Cabin</t>
        </is>
      </c>
      <c r="H47">
        <f>HYPERLINK("https://booking.roadsurfer.com/es/rally/pick?pickup_date=2026-06-19&amp;return_date=2026-06-26&amp;currency=EUR&amp;startStation=22&amp;endStation=13",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Surfer Suite</t>
        </is>
      </c>
      <c r="H48">
        <f>HYPERLINK("https://booking.roadsurfer.com/es/rally/pick?pickup_date=2026-06-23&amp;return_date=2026-06-30&amp;currency=EUR&amp;startStation=22&amp;endStation=13",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2026-07-09</t>
        </is>
      </c>
      <c r="F49" t="inlineStr">
        <is>
          <t>2026-07-16</t>
        </is>
      </c>
      <c r="G49" t="inlineStr">
        <is>
          <t xml:space="preserve"> - Beach Hostel</t>
        </is>
      </c>
      <c r="H49">
        <f>HYPERLINK("https://booking.roadsurfer.com/es/rally/pick?pickup_date=2026-07-09&amp;return_date=2026-07-16&amp;currency=EUR&amp;startStation=22&amp;endStation=13",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2026-06-25</t>
        </is>
      </c>
      <c r="F50" t="inlineStr">
        <is>
          <t>2026-07-02</t>
        </is>
      </c>
      <c r="G50" t="inlineStr">
        <is>
          <t xml:space="preserve"> - Camper Cabin</t>
        </is>
      </c>
      <c r="H50">
        <f>HYPERLINK("https://booking.roadsurfer.com/es/rally/pick?pickup_date=2026-06-25&amp;return_date=2026-07-02&amp;currency=EUR&amp;startStation=22&amp;endStation=13",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2026-06-19</t>
        </is>
      </c>
      <c r="F51" t="inlineStr">
        <is>
          <t>2026-06-26</t>
        </is>
      </c>
      <c r="G51" t="inlineStr">
        <is>
          <t xml:space="preserve"> - Camper Cabin Deluxe</t>
        </is>
      </c>
      <c r="H51">
        <f>HYPERLINK("https://booking.roadsurfer.com/es/rally/pick?pickup_date=2026-06-19&amp;return_date=2026-06-26&amp;currency=EUR&amp;startStation=22&amp;endStation=12", "Clic para verlo en la web de RoadSurfer")</f>
        <v/>
      </c>
    </row>
    <row r="52">
      <c r="A52" t="inlineStr">
        <is>
          <t>Alemania</t>
        </is>
      </c>
      <c r="B52" t="inlineStr">
        <is>
          <t>Múnich</t>
        </is>
      </c>
      <c r="C52" t="inlineStr">
        <is>
          <t>España</t>
        </is>
      </c>
      <c r="D52" t="inlineStr">
        <is>
          <t>Málaga</t>
        </is>
      </c>
      <c r="E52" t="inlineStr">
        <is>
          <t>2026-06-22</t>
        </is>
      </c>
      <c r="F52" t="inlineStr">
        <is>
          <t>2026-06-29</t>
        </is>
      </c>
      <c r="G52" t="inlineStr">
        <is>
          <t xml:space="preserve"> - Surfer Suite</t>
        </is>
      </c>
      <c r="H52">
        <f>HYPERLINK("https://booking.roadsurfer.com/es/rally/pick?pickup_date=2026-06-22&amp;return_date=2026-06-29&amp;currency=EUR&amp;startStation=1&amp;endStation=21", "Clic para verlo en la web de RoadSurfer")</f>
        <v/>
      </c>
    </row>
    <row r="53">
      <c r="A53" t="inlineStr">
        <is>
          <t>Alemania</t>
        </is>
      </c>
      <c r="B53" t="inlineStr">
        <is>
          <t>Múnich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2026-07-08</t>
        </is>
      </c>
      <c r="F53" t="inlineStr">
        <is>
          <t>2026-07-15</t>
        </is>
      </c>
      <c r="G53" t="inlineStr">
        <is>
          <t xml:space="preserve"> - Road House</t>
        </is>
      </c>
      <c r="H53">
        <f>HYPERLINK("https://booking.roadsurfer.com/es/rally/pick?pickup_date=2026-07-08&amp;return_date=2026-07-15&amp;currency=EUR&amp;startStation=1&amp;endStation=15", "Clic para verlo en la web de RoadSurfer")</f>
        <v/>
      </c>
    </row>
    <row r="54">
      <c r="A54" t="inlineStr">
        <is>
          <t>Francia</t>
        </is>
      </c>
      <c r="B54" t="inlineStr">
        <is>
          <t>Nantes</t>
        </is>
      </c>
      <c r="C54" t="inlineStr">
        <is>
          <t>Francia</t>
        </is>
      </c>
      <c r="D54" t="inlineStr">
        <is>
          <t>Lyon</t>
        </is>
      </c>
      <c r="E54" t="inlineStr">
        <is>
          <t>2026-06-19</t>
        </is>
      </c>
      <c r="F54" t="inlineStr">
        <is>
          <t>2026-06-26</t>
        </is>
      </c>
      <c r="G54" t="inlineStr">
        <is>
          <t xml:space="preserve"> - Travel Home</t>
        </is>
      </c>
      <c r="H54">
        <f>HYPERLINK("https://booking.roadsurfer.com/es/rally/pick?pickup_date=2026-06-19&amp;return_date=2026-06-26&amp;currency=EUR&amp;startStation=31&amp;endStation=15", "Clic para verlo en la web de RoadSurfer")</f>
        <v/>
      </c>
    </row>
    <row r="55">
      <c r="A55" t="inlineStr">
        <is>
          <t>Francia</t>
        </is>
      </c>
      <c r="B55" t="inlineStr">
        <is>
          <t>Nantes</t>
        </is>
      </c>
      <c r="C55" t="inlineStr">
        <is>
          <t>Francia</t>
        </is>
      </c>
      <c r="D55" t="inlineStr">
        <is>
          <t>Estrasburgo</t>
        </is>
      </c>
      <c r="E55" t="inlineStr">
        <is>
          <t>2026-07-02</t>
        </is>
      </c>
      <c r="F55" t="inlineStr">
        <is>
          <t>2026-07-09</t>
        </is>
      </c>
      <c r="G55" t="inlineStr">
        <is>
          <t xml:space="preserve"> - Road House</t>
        </is>
      </c>
      <c r="H55">
        <f>HYPERLINK("https://booking.roadsurfer.com/es/rally/pick?pickup_date=2026-07-02&amp;return_date=2026-07-09&amp;currency=EUR&amp;startStation=31&amp;endStation=49", "Clic para verlo en la web de RoadSurfer")</f>
        <v/>
      </c>
    </row>
    <row r="56">
      <c r="A56" t="inlineStr">
        <is>
          <t>Alemania</t>
        </is>
      </c>
      <c r="B56" t="inlineStr">
        <is>
          <t>Núremberg</t>
        </is>
      </c>
      <c r="C56" t="inlineStr">
        <is>
          <t>España</t>
        </is>
      </c>
      <c r="D56" t="inlineStr">
        <is>
          <t>Madrid</t>
        </is>
      </c>
      <c r="E56" t="inlineStr">
        <is>
          <t>2026-06-22</t>
        </is>
      </c>
      <c r="F56" t="inlineStr">
        <is>
          <t>2026-06-29</t>
        </is>
      </c>
      <c r="G56" t="inlineStr">
        <is>
          <t xml:space="preserve"> - Couple Cottage</t>
        </is>
      </c>
      <c r="H56">
        <f>HYPERLINK("https://booking.roadsurfer.com/es/rally/pick?pickup_date=2026-06-22&amp;return_date=2026-06-29&amp;currency=EUR&amp;startStation=11&amp;endStation=20", "Clic para verlo en la web de RoadSurfer")</f>
        <v/>
      </c>
    </row>
    <row r="57">
      <c r="A57" t="inlineStr">
        <is>
          <t>Alemania</t>
        </is>
      </c>
      <c r="B57" t="inlineStr">
        <is>
          <t>Núremberg</t>
        </is>
      </c>
      <c r="C57" t="inlineStr">
        <is>
          <t>España</t>
        </is>
      </c>
      <c r="D57" t="inlineStr">
        <is>
          <t>Madrid</t>
        </is>
      </c>
      <c r="E57" t="inlineStr">
        <is>
          <t>2026-06-25</t>
        </is>
      </c>
      <c r="F57" t="inlineStr">
        <is>
          <t>2026-07-02</t>
        </is>
      </c>
      <c r="G57" t="inlineStr">
        <is>
          <t xml:space="preserve"> - Sunrise Suite</t>
        </is>
      </c>
      <c r="H57">
        <f>HYPERLINK("https://booking.roadsurfer.com/es/rally/pick?pickup_date=2026-06-25&amp;return_date=2026-07-02&amp;currency=EUR&amp;startStation=11&amp;endStation=20", "Clic para verlo en la web de RoadSurfer")</f>
        <v/>
      </c>
    </row>
    <row r="58">
      <c r="A58" t="inlineStr">
        <is>
          <t>Italia</t>
        </is>
      </c>
      <c r="B58" t="inlineStr">
        <is>
          <t>Roma Aeropuerto Fiumicino</t>
        </is>
      </c>
      <c r="C58" t="inlineStr">
        <is>
          <t>Italia</t>
        </is>
      </c>
      <c r="D58" t="inlineStr">
        <is>
          <t>Turín</t>
        </is>
      </c>
      <c r="E58" t="inlineStr">
        <is>
          <t>2026-06-17</t>
        </is>
      </c>
      <c r="F58" t="inlineStr">
        <is>
          <t>2026-06-24</t>
        </is>
      </c>
      <c r="G58" t="inlineStr">
        <is>
          <t xml:space="preserve"> - No hay coche</t>
        </is>
      </c>
      <c r="H58">
        <f>HYPERLINK("https://booking.roadsurfer.com/es/rally/pick?pickup_date=2026-06-17&amp;return_date=2026-06-24&amp;currency=EUR&amp;startStation=35&amp;endStation=58", "Clic para verlo en la web de RoadSurfer")</f>
        <v/>
      </c>
    </row>
    <row r="59">
      <c r="A59" t="inlineStr">
        <is>
          <t>EE.UU.</t>
        </is>
      </c>
      <c r="B59" t="inlineStr">
        <is>
          <t>Seattle</t>
        </is>
      </c>
      <c r="C59" t="inlineStr">
        <is>
          <t>EE.UU.</t>
        </is>
      </c>
      <c r="D59" t="inlineStr">
        <is>
          <t>Phoenix</t>
        </is>
      </c>
      <c r="E59" t="inlineStr">
        <is>
          <t>2026-07-06</t>
        </is>
      </c>
      <c r="F59" t="inlineStr">
        <is>
          <t>2026-07-13</t>
        </is>
      </c>
      <c r="G59" t="inlineStr">
        <is>
          <t xml:space="preserve"> - Couple Condo</t>
        </is>
      </c>
      <c r="H59">
        <f>HYPERLINK("https://booking.roadsurfer.com/es/rally/pick?pickup_date=2026-07-06&amp;return_date=2026-07-13&amp;currency=EUR&amp;startStation=107&amp;endStation=105", "Clic para verlo en la web de RoadSurfer")</f>
        <v/>
      </c>
    </row>
    <row r="60">
      <c r="A60" t="inlineStr">
        <is>
          <t>España</t>
        </is>
      </c>
      <c r="B60" t="inlineStr">
        <is>
          <t>Sevilla</t>
        </is>
      </c>
      <c r="C60" t="inlineStr">
        <is>
          <t>Italia</t>
        </is>
      </c>
      <c r="D60" t="inlineStr">
        <is>
          <t>Turín</t>
        </is>
      </c>
      <c r="E60" t="inlineStr">
        <is>
          <t>2026-06-25</t>
        </is>
      </c>
      <c r="F60" t="inlineStr">
        <is>
          <t>2026-07-02</t>
        </is>
      </c>
      <c r="G60" t="inlineStr">
        <is>
          <t xml:space="preserve"> - Road House</t>
        </is>
      </c>
      <c r="H60">
        <f>HYPERLINK("https://booking.roadsurfer.com/es/rally/pick?pickup_date=2026-06-25&amp;return_date=2026-07-02&amp;currency=EUR&amp;startStation=39&amp;endStation=58",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2026-06-17T21:57:18Z</dcterms:created>
  <dcterms:modified xsi:type="dcterms:W3CDTF">2026-06-17T21:57:18Z</dcterms:modified>
</cp:coreProperties>
</file>