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Bérgamo</t>
        </is>
      </c>
      <c r="E2" t="inlineStr">
        <is>
          <t>2026-07-01</t>
        </is>
      </c>
      <c r="F2" t="inlineStr">
        <is>
          <t>2026-07-08</t>
        </is>
      </c>
      <c r="G2" t="inlineStr">
        <is>
          <t xml:space="preserve"> - Family Finca</t>
        </is>
      </c>
      <c r="H2">
        <f>HYPERLINK("https://booking.roadsurfer.com/es/rally/pick?pickup_date=2026-07-01&amp;return_date=2026-07-08&amp;currency=EUR&amp;startStation=108&amp;endStation=94",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Suecia</t>
        </is>
      </c>
      <c r="D3" t="inlineStr">
        <is>
          <t>Gotemburgo</t>
        </is>
      </c>
      <c r="E3" t="inlineStr">
        <is>
          <t>2026-06-29</t>
        </is>
      </c>
      <c r="F3" t="inlineStr">
        <is>
          <t>2026-07-06</t>
        </is>
      </c>
      <c r="G3" t="inlineStr">
        <is>
          <t xml:space="preserve"> - No hay coche</t>
        </is>
      </c>
      <c r="H3">
        <f>HYPERLINK("https://booking.roadsurfer.com/es/rally/pick?pickup_date=2026-06-29&amp;return_date=2026-07-06&amp;currency=EUR&amp;startStation=91&amp;endStation=77", "Clic para verlo en la web de RoadSurfer")</f>
        <v/>
      </c>
    </row>
    <row r="4">
      <c r="A4" t="inlineStr">
        <is>
          <t>Reino Unido</t>
        </is>
      </c>
      <c r="B4" t="inlineStr">
        <is>
          <t>Bristol</t>
        </is>
      </c>
      <c r="C4" t="inlineStr">
        <is>
          <t>Reino Unido</t>
        </is>
      </c>
      <c r="D4" t="inlineStr">
        <is>
          <t>Edimburgo</t>
        </is>
      </c>
      <c r="E4" t="inlineStr">
        <is>
          <t>2026-07-15</t>
        </is>
      </c>
      <c r="F4" t="inlineStr">
        <is>
          <t>2026-07-22</t>
        </is>
      </c>
      <c r="G4" t="inlineStr">
        <is>
          <t xml:space="preserve"> - Cozy Cottage</t>
        </is>
      </c>
      <c r="H4">
        <f>HYPERLINK("https://booking.roadsurfer.com/es/rally/pick?pickup_date=2026-07-15&amp;return_date=2026-07-22&amp;currency=EUR&amp;startStation=98&amp;endStation=64",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España</t>
        </is>
      </c>
      <c r="D5" t="inlineStr">
        <is>
          <t>Bilbao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Sunrise Suite</t>
        </is>
      </c>
      <c r="H5">
        <f>HYPERLINK("https://booking.roadsurfer.com/es/rally/pick?pickup_date=2026-06-29&amp;return_date=2026-07-06&amp;currency=EUR&amp;startStation=52&amp;endStation=40", "Clic para verlo en la web de RoadSurfer")</f>
        <v/>
      </c>
    </row>
    <row r="6">
      <c r="A6" t="inlineStr">
        <is>
          <t>Alemania</t>
        </is>
      </c>
      <c r="B6" t="inlineStr">
        <is>
          <t>Erfurt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2026-07-01</t>
        </is>
      </c>
      <c r="F6" t="inlineStr">
        <is>
          <t>2026-07-08</t>
        </is>
      </c>
      <c r="G6" t="inlineStr">
        <is>
          <t xml:space="preserve"> - Family Finca</t>
        </is>
      </c>
      <c r="H6">
        <f>HYPERLINK("https://booking.roadsurfer.com/es/rally/pick?pickup_date=2026-07-01&amp;return_date=2026-07-08&amp;currency=EUR&amp;startStation=90&amp;endStation=59", "Clic para verlo en la web de RoadSurfer")</f>
        <v/>
      </c>
    </row>
    <row r="7">
      <c r="A7" t="inlineStr">
        <is>
          <t>Alemania</t>
        </is>
      </c>
      <c r="B7" t="inlineStr">
        <is>
          <t>Kassel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2026-07-01</t>
        </is>
      </c>
      <c r="F7" t="inlineStr">
        <is>
          <t>2026-07-08</t>
        </is>
      </c>
      <c r="G7" t="inlineStr">
        <is>
          <t xml:space="preserve"> - Surfer Suite</t>
        </is>
      </c>
      <c r="H7">
        <f>HYPERLINK("https://booking.roadsurfer.com/es/rally/pick?pickup_date=2026-07-01&amp;return_date=2026-07-08&amp;currency=EUR&amp;startStation=92&amp;endStation=30", "Clic para verlo en la web de RoadSurfer")</f>
        <v/>
      </c>
    </row>
    <row r="8">
      <c r="A8" t="inlineStr">
        <is>
          <t>Alemania</t>
        </is>
      </c>
      <c r="B8" t="inlineStr">
        <is>
          <t>Kiel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2026-06-29</t>
        </is>
      </c>
      <c r="F8" t="inlineStr">
        <is>
          <t>2026-07-06</t>
        </is>
      </c>
      <c r="G8" t="inlineStr">
        <is>
          <t xml:space="preserve"> - No hay coche</t>
        </is>
      </c>
      <c r="H8">
        <f>HYPERLINK("https://booking.roadsurfer.com/es/rally/pick?pickup_date=2026-06-29&amp;return_date=2026-07-06&amp;currency=EUR&amp;startStation=111&amp;endStation=29", "Clic para verlo en la web de RoadSurfer")</f>
        <v/>
      </c>
    </row>
    <row r="9">
      <c r="A9" t="inlineStr">
        <is>
          <t>Alemania</t>
        </is>
      </c>
      <c r="B9" t="inlineStr">
        <is>
          <t>Lindau-Wangen</t>
        </is>
      </c>
      <c r="C9" t="inlineStr">
        <is>
          <t>Francia</t>
        </is>
      </c>
      <c r="D9" t="inlineStr">
        <is>
          <t>Toulouse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Family Finca</t>
        </is>
      </c>
      <c r="H9">
        <f>HYPERLINK("https://booking.roadsurfer.com/es/rally/pick?pickup_date=2026-06-29&amp;return_date=2026-07-06&amp;currency=EUR&amp;startStation=117&amp;endStation=30", "Clic para verlo en la web de RoadSurfer")</f>
        <v/>
      </c>
    </row>
    <row r="10">
      <c r="A10" t="inlineStr">
        <is>
          <t>Alemania</t>
        </is>
      </c>
      <c r="B10" t="inlineStr">
        <is>
          <t>Lindau-Wangen</t>
        </is>
      </c>
      <c r="C10" t="inlineStr">
        <is>
          <t>Francia</t>
        </is>
      </c>
      <c r="D10" t="inlineStr">
        <is>
          <t>Nantes</t>
        </is>
      </c>
      <c r="E10" t="inlineStr">
        <is>
          <t>2026-06-29</t>
        </is>
      </c>
      <c r="F10" t="inlineStr">
        <is>
          <t>2026-07-06</t>
        </is>
      </c>
      <c r="G10" t="inlineStr">
        <is>
          <t xml:space="preserve"> - Surfer Suite</t>
        </is>
      </c>
      <c r="H10">
        <f>HYPERLINK("https://booking.roadsurfer.com/es/rally/pick?pickup_date=2026-06-29&amp;return_date=2026-07-06&amp;currency=EUR&amp;startStation=117&amp;endStation=31", "Clic para verlo en la web de RoadSurfer")</f>
        <v/>
      </c>
    </row>
    <row r="11">
      <c r="A11" t="inlineStr">
        <is>
          <t>Reino Unido</t>
        </is>
      </c>
      <c r="B11" t="inlineStr">
        <is>
          <t>Londres</t>
        </is>
      </c>
      <c r="C11" t="inlineStr">
        <is>
          <t>Reino Unido</t>
        </is>
      </c>
      <c r="D11" t="inlineStr">
        <is>
          <t>Bristol</t>
        </is>
      </c>
      <c r="E11" t="inlineStr">
        <is>
          <t>2026-07-01</t>
        </is>
      </c>
      <c r="F11" t="inlineStr">
        <is>
          <t>2026-07-08</t>
        </is>
      </c>
      <c r="G11" t="inlineStr"/>
      <c r="H11">
        <f>HYPERLINK("https://booking.roadsurfer.com/es/rally/pick?pickup_date=2026-07-01&amp;return_date=2026-07-08&amp;currency=EUR&amp;startStation=63&amp;endStation=98", "Clic para verlo en la web de RoadSurfer")</f>
        <v/>
      </c>
    </row>
    <row r="12">
      <c r="A12" t="inlineStr">
        <is>
          <t>Alemania</t>
        </is>
      </c>
      <c r="B12" t="inlineStr">
        <is>
          <t>Maguncia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Surfer Suite</t>
        </is>
      </c>
      <c r="H12">
        <f>HYPERLINK("https://booking.roadsurfer.com/es/rally/pick?pickup_date=2026-07-01&amp;return_date=2026-07-08&amp;currency=EUR&amp;startStation=54&amp;endStation=59", "Clic para verlo en la web de RoadSurfer")</f>
        <v/>
      </c>
    </row>
    <row r="13">
      <c r="A13" t="inlineStr">
        <is>
          <t>Reino Unido</t>
        </is>
      </c>
      <c r="B13" t="inlineStr">
        <is>
          <t>Mánchester</t>
        </is>
      </c>
      <c r="C13" t="inlineStr">
        <is>
          <t>Reino Unido</t>
        </is>
      </c>
      <c r="D13" t="inlineStr">
        <is>
          <t>Londres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Family Finca</t>
        </is>
      </c>
      <c r="H13">
        <f>HYPERLINK("https://booking.roadsurfer.com/es/rally/pick?pickup_date=2026-06-25&amp;return_date=2026-07-02&amp;currency=EUR&amp;startStation=99&amp;endStation=63",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2026-06-25</t>
        </is>
      </c>
      <c r="F14" t="inlineStr">
        <is>
          <t>2026-07-02</t>
        </is>
      </c>
      <c r="G14" t="inlineStr">
        <is>
          <t xml:space="preserve"> - Surfer Suite</t>
        </is>
      </c>
      <c r="H14">
        <f>HYPERLINK("https://booking.roadsurfer.com/es/rally/pick?pickup_date=2026-06-25&amp;return_date=2026-07-02&amp;currency=EUR&amp;startStation=22&amp;endStation=29",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2026-06-26</t>
        </is>
      </c>
      <c r="F15" t="inlineStr">
        <is>
          <t>2026-07-03</t>
        </is>
      </c>
      <c r="G15" t="inlineStr">
        <is>
          <t xml:space="preserve"> - Sunrise Suite</t>
        </is>
      </c>
      <c r="H15">
        <f>HYPERLINK("https://booking.roadsurfer.com/es/rally/pick?pickup_date=2026-06-26&amp;return_date=2026-07-03&amp;currency=EUR&amp;startStation=22&amp;endStation=29",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2026-06-30</t>
        </is>
      </c>
      <c r="F16" t="inlineStr">
        <is>
          <t>2026-07-07</t>
        </is>
      </c>
      <c r="G16" t="inlineStr">
        <is>
          <t xml:space="preserve"> - No hay coche</t>
        </is>
      </c>
      <c r="H16">
        <f>HYPERLINK("https://booking.roadsurfer.com/es/rally/pick?pickup_date=2026-06-30&amp;return_date=2026-07-07&amp;currency=EUR&amp;startStation=22&amp;endStation=13",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2026-07-06</t>
        </is>
      </c>
      <c r="F17" t="inlineStr">
        <is>
          <t>2026-07-13</t>
        </is>
      </c>
      <c r="G17" t="inlineStr"/>
      <c r="H17">
        <f>HYPERLINK("https://booking.roadsurfer.com/es/rally/pick?pickup_date=2026-07-06&amp;return_date=2026-07-13&amp;currency=EUR&amp;startStation=22&amp;endStation=13",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2026-06-29</t>
        </is>
      </c>
      <c r="F18" t="inlineStr">
        <is>
          <t>2026-07-06</t>
        </is>
      </c>
      <c r="G18" t="inlineStr">
        <is>
          <t xml:space="preserve"> - Surfer Suite</t>
        </is>
      </c>
      <c r="H18">
        <f>HYPERLINK("https://booking.roadsurfer.com/es/rally/pick?pickup_date=2026-06-29&amp;return_date=2026-07-06&amp;currency=EUR&amp;startStation=22&amp;endStation=59",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Francia</t>
        </is>
      </c>
      <c r="D19" t="inlineStr">
        <is>
          <t>Estrasburgo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Road House</t>
        </is>
      </c>
      <c r="H19">
        <f>HYPERLINK("https://booking.roadsurfer.com/es/rally/pick?pickup_date=2026-06-29&amp;return_date=2026-07-06&amp;currency=EUR&amp;startStation=31&amp;endStation=49", "Clic para verlo en la web de RoadSurfer")</f>
        <v/>
      </c>
    </row>
    <row r="20">
      <c r="A20" t="inlineStr">
        <is>
          <t>Alemania</t>
        </is>
      </c>
      <c r="B20" t="inlineStr">
        <is>
          <t>Núremberg</t>
        </is>
      </c>
      <c r="C20" t="inlineStr">
        <is>
          <t>España</t>
        </is>
      </c>
      <c r="D20" t="inlineStr">
        <is>
          <t>Madrid</t>
        </is>
      </c>
      <c r="E20" t="inlineStr">
        <is>
          <t>2026-07-01</t>
        </is>
      </c>
      <c r="F20" t="inlineStr">
        <is>
          <t>2026-07-08</t>
        </is>
      </c>
      <c r="G20" t="inlineStr">
        <is>
          <t xml:space="preserve"> - Couple Cottage</t>
        </is>
      </c>
      <c r="H20">
        <f>HYPERLINK("https://booking.roadsurfer.com/es/rally/pick?pickup_date=2026-07-01&amp;return_date=2026-07-08&amp;currency=EUR&amp;startStation=11&amp;endStation=20", "Clic para verlo en la web de RoadSurfer")</f>
        <v/>
      </c>
    </row>
    <row r="21">
      <c r="A21" t="inlineStr">
        <is>
          <t>Alemania</t>
        </is>
      </c>
      <c r="B21" t="inlineStr">
        <is>
          <t>Núremberg</t>
        </is>
      </c>
      <c r="C21" t="inlineStr">
        <is>
          <t>Francia</t>
        </is>
      </c>
      <c r="D21" t="inlineStr">
        <is>
          <t>Estrasburgo</t>
        </is>
      </c>
      <c r="E21" t="inlineStr">
        <is>
          <t>2026-06-19</t>
        </is>
      </c>
      <c r="F21" t="inlineStr">
        <is>
          <t>2026-06-26</t>
        </is>
      </c>
      <c r="G21" t="inlineStr">
        <is>
          <t xml:space="preserve"> - Camper Castle</t>
        </is>
      </c>
      <c r="H21">
        <f>HYPERLINK("https://booking.roadsurfer.com/es/rally/pick?pickup_date=2026-06-19&amp;return_date=2026-06-26&amp;currency=EUR&amp;startStation=11&amp;endStation=49", "Clic para verlo en la web de RoadSurfer")</f>
        <v/>
      </c>
    </row>
    <row r="22">
      <c r="A22" t="inlineStr">
        <is>
          <t>España</t>
        </is>
      </c>
      <c r="B22" t="inlineStr">
        <is>
          <t>Sevilla</t>
        </is>
      </c>
      <c r="C22" t="inlineStr">
        <is>
          <t>Italia</t>
        </is>
      </c>
      <c r="D22" t="inlineStr">
        <is>
          <t>Turín</t>
        </is>
      </c>
      <c r="E22" t="inlineStr">
        <is>
          <t>2026-06-29</t>
        </is>
      </c>
      <c r="F22" t="inlineStr">
        <is>
          <t>2026-07-06</t>
        </is>
      </c>
      <c r="G22" t="inlineStr">
        <is>
          <t xml:space="preserve"> - No hay coche</t>
        </is>
      </c>
      <c r="H22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2026-06-24T10:44:44Z</dcterms:created>
  <dcterms:modified xsi:type="dcterms:W3CDTF">2026-06-24T10:44:44Z</dcterms:modified>
</cp:coreProperties>
</file>