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2026-03-03</t>
        </is>
      </c>
      <c r="F5" t="inlineStr">
        <is>
          <t>2026-03-10</t>
        </is>
      </c>
      <c r="G5" t="inlineStr">
        <is>
          <t xml:space="preserve"> - Family Finca</t>
        </is>
      </c>
      <c r="H5">
        <f>HYPERLINK("https://booking.roadsurfer.com/es/rally/pick?pickup_date=2026-03-03&amp;return_date=2026-03-10&amp;currency=EUR&amp;startStation=16&amp;endStation=5",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Núremberg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ROAD HOUSE</t>
        </is>
      </c>
      <c r="H8">
        <f>HYPERLINK("https://booking.roadsurfer.com/es/rally/pick?pickup_date=2026-04-15&amp;return_date=2026-04-22&amp;currency=EUR&amp;startStation=16&amp;endStation=11",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2026-03-03</t>
        </is>
      </c>
      <c r="F9" t="inlineStr">
        <is>
          <t>2026-03-10</t>
        </is>
      </c>
      <c r="G9" t="inlineStr">
        <is>
          <t xml:space="preserve"> - Surfer Suite</t>
        </is>
      </c>
      <c r="H9">
        <f>HYPERLINK("https://booking.roadsurfer.com/es/rally/pick?pickup_date=2026-03-03&amp;return_date=2026-03-10&amp;currency=EUR&amp;startStation=32&amp;endStation=22",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Surfer Suite</t>
        </is>
      </c>
      <c r="H10">
        <f>HYPERLINK("https://booking.roadsurfer.com/es/rally/pick?pickup_date=2026-03-06&amp;return_date=2026-03-13&amp;currency=EUR&amp;startStation=32&amp;endStation=22",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2026-03-07</t>
        </is>
      </c>
      <c r="F11" t="inlineStr">
        <is>
          <t>2026-03-14</t>
        </is>
      </c>
      <c r="G11" t="inlineStr">
        <is>
          <t xml:space="preserve"> - Surfer Suite</t>
        </is>
      </c>
      <c r="H11">
        <f>HYPERLINK("https://booking.roadsurfer.com/es/rally/pick?pickup_date=2026-03-07&amp;return_date=2026-03-14&amp;currency=EUR&amp;startStation=47&amp;endStation=56",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2026-03-06</t>
        </is>
      </c>
      <c r="F12" t="inlineStr">
        <is>
          <t>2026-03-13</t>
        </is>
      </c>
      <c r="G12" t="inlineStr">
        <is>
          <t xml:space="preserve"> - Beach Hostel</t>
        </is>
      </c>
      <c r="H12">
        <f>HYPERLINK("https://booking.roadsurfer.com/es/rally/pick?pickup_date=2026-03-06&amp;return_date=2026-03-13&amp;currency=EUR&amp;startStation=47&amp;endStation=56",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2026-03-05</t>
        </is>
      </c>
      <c r="F14" t="inlineStr">
        <is>
          <t>2026-03-12</t>
        </is>
      </c>
      <c r="G14" t="inlineStr">
        <is>
          <t xml:space="preserve"> - Camper Castle</t>
        </is>
      </c>
      <c r="H14">
        <f>HYPERLINK("https://booking.roadsurfer.com/es/rally/pick?pickup_date=2026-03-05&amp;return_date=2026-03-12&amp;currency=EUR&amp;startStation=47&amp;endStation=32",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2026-03-04</t>
        </is>
      </c>
      <c r="F15" t="inlineStr">
        <is>
          <t>2026-03-11</t>
        </is>
      </c>
      <c r="G15" t="inlineStr">
        <is>
          <t xml:space="preserve"> - Road House</t>
        </is>
      </c>
      <c r="H15">
        <f>HYPERLINK("https://booking.roadsurfer.com/es/rally/pick?pickup_date=2026-03-04&amp;return_date=2026-03-11&amp;currency=EUR&amp;startStation=47&amp;endStation=4",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Aix-Marsella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Travel Home</t>
        </is>
      </c>
      <c r="H16">
        <f>HYPERLINK("https://booking.roadsurfer.com/es/rally/pick?pickup_date=2026-03-09&amp;return_date=2026-03-16&amp;currency=EUR&amp;startStation=47&amp;endStation=16",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HYPERLINK("https://booking.roadsurfer.com/es/rally/pick?pickup_date=2026-03-09&amp;return_date=2026-03-16&amp;currency=EUR&amp;startStation=47&amp;endStation=34",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Aix-Marsella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Beach Hostel</t>
        </is>
      </c>
      <c r="H19">
        <f>HYPERLINK("https://booking.roadsurfer.com/es/rally/pick?pickup_date=2026-03-09&amp;return_date=2026-03-16&amp;currency=EUR&amp;startStation=108&amp;endStation=16",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No hay coche</t>
        </is>
      </c>
      <c r="H20">
        <f>HYPERLINK("https://booking.roadsurfer.com/es/rally/pick?pickup_date=2026-04-10&amp;return_date=2026-04-17&amp;currency=EUR&amp;startStation=108&amp;endStation=32",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Milán</t>
        </is>
      </c>
      <c r="E21" t="inlineStr">
        <is>
          <t>2026-03-04</t>
        </is>
      </c>
      <c r="F21" t="inlineStr">
        <is>
          <t>2026-03-11</t>
        </is>
      </c>
      <c r="G21" t="inlineStr">
        <is>
          <t xml:space="preserve"> - Surfer Suite</t>
        </is>
      </c>
      <c r="H21">
        <f>HYPERLINK("https://booking.roadsurfer.com/es/rally/pick?pickup_date=2026-03-04&amp;return_date=2026-03-11&amp;currency=EUR&amp;startStation=108&amp;endStation=34",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Road House</t>
        </is>
      </c>
      <c r="H22">
        <f>HYPERLINK("https://booking.roadsurfer.com/es/rally/pick?pickup_date=2026-03-05&amp;return_date=2026-03-12&amp;currency=EUR&amp;startStation=17&amp;endStation=9",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Road House</t>
        </is>
      </c>
      <c r="H24">
        <f>HYPERLINK("https://booking.roadsurfer.com/es/rally/pick?pickup_date=2026-03-09&amp;return_date=2026-03-16&amp;currency=EUR&amp;startStation=17&amp;endStation=2",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Surfer Suite</t>
        </is>
      </c>
      <c r="H25">
        <f>HYPERLINK("https://booking.roadsurfer.com/es/rally/pick?pickup_date=2026-03-09&amp;return_date=2026-03-16&amp;currency=EUR&amp;startStation=17&amp;endStation=22",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HYPERLINK("https://booking.roadsurfer.com/es/rally/pick?pickup_date=2026-03-09&amp;return_date=2026-03-16&amp;currency=EUR&amp;startStation=17&amp;endStation=5",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2026-03-05</t>
        </is>
      </c>
      <c r="F27" t="inlineStr">
        <is>
          <t>2026-03-12</t>
        </is>
      </c>
      <c r="G27" t="inlineStr">
        <is>
          <t xml:space="preserve"> - Family Finca</t>
        </is>
      </c>
      <c r="H27">
        <f>HYPERLINK("https://booking.roadsurfer.com/es/rally/pick?pickup_date=2026-03-05&amp;return_date=2026-03-12&amp;currency=EUR&amp;startStation=94&amp;endStation=3",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Road House</t>
        </is>
      </c>
      <c r="H28">
        <f>HYPERLINK("https://booking.roadsurfer.com/es/rally/pick?pickup_date=2026-03-06&amp;return_date=2026-03-13&amp;currency=EUR&amp;startStation=94&amp;endStation=3",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2026-03-09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HYPERLINK("https://booking.roadsurfer.com/es/rally/pick?pickup_date=2026-03-09&amp;return_date=2026-03-19&amp;currency=EUR&amp;startStation=6&amp;endStation=34",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Surfer Suite</t>
        </is>
      </c>
      <c r="H30">
        <f>HYPERLINK("https://booking.roadsurfer.com/es/rally/pick?pickup_date=2026-03-06&amp;return_date=2026-03-13&amp;currency=EUR&amp;startStation=6&amp;endStation=33",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Linz</t>
        </is>
      </c>
      <c r="E31" t="inlineStr">
        <is>
          <t>2026-03-03</t>
        </is>
      </c>
      <c r="F31" t="inlineStr">
        <is>
          <t>2026-03-10</t>
        </is>
      </c>
      <c r="G31" t="inlineStr">
        <is>
          <t xml:space="preserve"> - Surfer Suite</t>
        </is>
      </c>
      <c r="H31">
        <f>HYPERLINK("https://booking.roadsurfer.com/es/rally/pick?pickup_date=2026-03-03&amp;return_date=2026-03-10&amp;currency=EUR&amp;startStation=6&amp;endStation=116",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2026-04-03</t>
        </is>
      </c>
      <c r="F32" t="inlineStr">
        <is>
          <t>2026-04-10</t>
        </is>
      </c>
      <c r="G32" t="inlineStr">
        <is>
          <t xml:space="preserve"> - No hay coche</t>
        </is>
      </c>
      <c r="H32">
        <f>HYPERLINK("https://booking.roadsurfer.com/es/rally/pick?pickup_date=2026-04-03&amp;return_date=2026-04-10&amp;currency=EUR&amp;startStation=6&amp;endStation=87",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2026-03-05</t>
        </is>
      </c>
      <c r="F33" t="inlineStr">
        <is>
          <t>2026-03-12</t>
        </is>
      </c>
      <c r="G33" t="inlineStr">
        <is>
          <t xml:space="preserve"> - Family Finca</t>
        </is>
      </c>
      <c r="H33">
        <f>HYPERLINK("https://booking.roadsurfer.com/es/rally/pick?pickup_date=2026-03-05&amp;return_date=2026-03-12&amp;currency=EUR&amp;startStation=6&amp;endStation=65",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2026-03-06</t>
        </is>
      </c>
      <c r="F34" t="inlineStr">
        <is>
          <t>2026-03-13</t>
        </is>
      </c>
      <c r="G34" t="inlineStr">
        <is>
          <t xml:space="preserve"> - BEACH HOSTEL</t>
        </is>
      </c>
      <c r="H34">
        <f>HYPERLINK("https://booking.roadsurfer.com/es/rally/pick?pickup_date=2026-03-06&amp;return_date=2026-03-13&amp;currency=EUR&amp;startStation=6&amp;endStation=65",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2026-03-13</t>
        </is>
      </c>
      <c r="F35" t="inlineStr">
        <is>
          <t>2026-03-20</t>
        </is>
      </c>
      <c r="G35" t="inlineStr">
        <is>
          <t xml:space="preserve"> - Camper Cabin</t>
        </is>
      </c>
      <c r="H35">
        <f>HYPERLINK("https://booking.roadsurfer.com/es/rally/pick?pickup_date=2026-03-13&amp;return_date=2026-03-20&amp;currency=EUR&amp;startStation=6&amp;endStation=109",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2026-03-04</t>
        </is>
      </c>
      <c r="F36" t="inlineStr">
        <is>
          <t>2026-03-11</t>
        </is>
      </c>
      <c r="G36" t="inlineStr">
        <is>
          <t xml:space="preserve"> - Surfer Suite</t>
        </is>
      </c>
      <c r="H36">
        <f>HYPERLINK("https://booking.roadsurfer.com/es/rally/pick?pickup_date=2026-03-04&amp;return_date=2026-03-11&amp;currency=EUR&amp;startStation=6&amp;endStation=80",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 - COUPLE COTTAGE</t>
        </is>
      </c>
      <c r="H37">
        <f>HYPERLINK("https://booking.roadsurfer.com/es/rally/pick?pickup_date=2026-03-04&amp;return_date=2026-03-11&amp;currency=EUR&amp;startStation=51&amp;endStation=32",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HYPERLINK("https://booking.roadsurfer.com/es/rally/pick?pickup_date=2026-03-04&amp;return_date=2026-03-11&amp;currency=EUR&amp;startStation=51&amp;endStation=36",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2026-03-03</t>
        </is>
      </c>
      <c r="F39" t="inlineStr">
        <is>
          <t>2026-03-10</t>
        </is>
      </c>
      <c r="G39" t="inlineStr">
        <is>
          <t xml:space="preserve"> - ROAD HOUSE</t>
        </is>
      </c>
      <c r="H39">
        <f>HYPERLINK("https://booking.roadsurfer.com/es/rally/pick?pickup_date=2026-03-03&amp;return_date=2026-03-10&amp;currency=EUR&amp;startStation=51&amp;endStation=20",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Florencia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Family Finca</t>
        </is>
      </c>
      <c r="H40">
        <f>HYPERLINK("https://booking.roadsurfer.com/es/rally/pick?pickup_date=2026-03-09&amp;return_date=2026-03-16&amp;currency=EUR&amp;startStation=51&amp;endStation=80",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2026-04-04</t>
        </is>
      </c>
      <c r="F41" t="inlineStr">
        <is>
          <t>2026-04-11</t>
        </is>
      </c>
      <c r="G41" t="inlineStr">
        <is>
          <t xml:space="preserve"> - BEACH HOSTEL</t>
        </is>
      </c>
      <c r="H41">
        <f>HYPERLINK("https://booking.roadsurfer.com/es/rally/pick?pickup_date=2026-04-04&amp;return_date=2026-04-11&amp;currency=EUR&amp;startStation=91&amp;endStation=31",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Camper Cabin</t>
        </is>
      </c>
      <c r="H42">
        <f>HYPERLINK("https://booking.roadsurfer.com/es/rally/pick?pickup_date=2026-03-09&amp;return_date=2026-03-16&amp;currency=EUR&amp;startStation=91&amp;endStation=33",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Surfer Suite</t>
        </is>
      </c>
      <c r="H43">
        <f>HYPERLINK("https://booking.roadsurfer.com/es/rally/pick?pickup_date=2026-03-09&amp;return_date=2026-03-16&amp;currency=EUR&amp;startStation=91&amp;endStation=40",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2026-03-03</t>
        </is>
      </c>
      <c r="F44" t="inlineStr">
        <is>
          <t>2026-03-10</t>
        </is>
      </c>
      <c r="G44" t="inlineStr">
        <is>
          <t xml:space="preserve"> - Surfer Suite</t>
        </is>
      </c>
      <c r="H44">
        <f>HYPERLINK("https://booking.roadsurfer.com/es/rally/pick?pickup_date=2026-03-03&amp;return_date=2026-03-10&amp;currency=EUR&amp;startStation=40&amp;endStation=2",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Kassel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Travel Home</t>
        </is>
      </c>
      <c r="H45">
        <f>HYPERLINK("https://booking.roadsurfer.com/es/rally/pick?pickup_date=2026-03-09&amp;return_date=2026-03-16&amp;currency=EUR&amp;startStation=40&amp;endStation=92",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2026-03-06</t>
        </is>
      </c>
      <c r="F46" t="inlineStr">
        <is>
          <t>2026-03-13</t>
        </is>
      </c>
      <c r="G46" t="inlineStr">
        <is>
          <t xml:space="preserve"> - Surfer Suite</t>
        </is>
      </c>
      <c r="H46">
        <f>HYPERLINK("https://booking.roadsurfer.com/es/rally/pick?pickup_date=2026-03-06&amp;return_date=2026-03-13&amp;currency=EUR&amp;startStation=40&amp;endStation=22",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2026-03-07</t>
        </is>
      </c>
      <c r="F47" t="inlineStr">
        <is>
          <t>2026-03-14</t>
        </is>
      </c>
      <c r="G47" t="inlineStr">
        <is>
          <t xml:space="preserve"> - Road House</t>
        </is>
      </c>
      <c r="H47">
        <f>HYPERLINK("https://booking.roadsurfer.com/es/rally/pick?pickup_date=2026-03-07&amp;return_date=2026-03-14&amp;currency=EUR&amp;startStation=40&amp;endStation=10",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2026-04-18</t>
        </is>
      </c>
      <c r="F49" t="inlineStr">
        <is>
          <t>2026-04-25</t>
        </is>
      </c>
      <c r="G49" t="inlineStr">
        <is>
          <t xml:space="preserve"> - Family Finca</t>
        </is>
      </c>
      <c r="H49">
        <f>HYPERLINK("https://booking.roadsurfer.com/es/rally/pick?pickup_date=2026-04-18&amp;return_date=2026-04-25&amp;currency=EUR&amp;startStation=40&amp;endStation=1",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Aquisgrán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Couple Cottage</t>
        </is>
      </c>
      <c r="H50">
        <f>HYPERLINK("https://booking.roadsurfer.com/es/rally/pick?pickup_date=2026-03-09&amp;return_date=2026-03-16&amp;currency=EUR&amp;startStation=40&amp;endStation=114",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2026-03-24</t>
        </is>
      </c>
      <c r="F51" t="inlineStr">
        <is>
          <t>2026-03-31</t>
        </is>
      </c>
      <c r="G51" t="inlineStr">
        <is>
          <t xml:space="preserve"> - Surfer Suite</t>
        </is>
      </c>
      <c r="H51">
        <f>HYPERLINK("https://booking.roadsurfer.com/es/rally/pick?pickup_date=2026-03-24&amp;return_date=2026-03-31&amp;currency=EUR&amp;startStation=40&amp;endStation=9", "Clic para verlo en la web de RoadSurfer")</f>
        <v/>
      </c>
    </row>
    <row r="52">
      <c r="A52" t="inlineStr">
        <is>
          <t>Alemania</t>
        </is>
      </c>
      <c r="B52" t="inlineStr">
        <is>
          <t>Bochum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2026-03-04</t>
        </is>
      </c>
      <c r="F52" t="inlineStr">
        <is>
          <t>2026-03-11</t>
        </is>
      </c>
      <c r="G52" t="inlineStr">
        <is>
          <t xml:space="preserve"> - Surfer Suite</t>
        </is>
      </c>
      <c r="H52">
        <f>HYPERLINK("https://booking.roadsurfer.com/es/rally/pick?pickup_date=2026-03-04&amp;return_date=2026-03-11&amp;currency=EUR&amp;startStation=24&amp;endStation=12", "Clic para verlo en la web de RoadSurfer")</f>
        <v/>
      </c>
    </row>
    <row r="53">
      <c r="A53" t="inlineStr">
        <is>
          <t>Italia</t>
        </is>
      </c>
      <c r="B53" t="inlineStr">
        <is>
          <t>Bolonia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2026-04-14</t>
        </is>
      </c>
      <c r="F53" t="inlineStr">
        <is>
          <t>2026-04-21</t>
        </is>
      </c>
      <c r="G53" t="inlineStr">
        <is>
          <t xml:space="preserve"> - Family Finca</t>
        </is>
      </c>
      <c r="H53">
        <f>HYPERLINK("https://booking.roadsurfer.com/es/rally/pick?pickup_date=2026-04-14&amp;return_date=2026-04-21&amp;currency=EUR&amp;startStation=57&amp;endStation=1",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Austria</t>
        </is>
      </c>
      <c r="D54" t="inlineStr">
        <is>
          <t>Salzburgo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Family Finca</t>
        </is>
      </c>
      <c r="H54">
        <f>HYPERLINK("https://booking.roadsurfer.com/es/rally/pick?pickup_date=2026-05-06&amp;return_date=2026-05-13&amp;currency=EUR&amp;startStation=13&amp;endStation=85",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Road House</t>
        </is>
      </c>
      <c r="H55">
        <f>HYPERLINK("https://booking.roadsurfer.com/es/rally/pick?pickup_date=2026-03-09&amp;return_date=2026-03-16&amp;currency=EUR&amp;startStation=13&amp;endStation=4",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Sunrise Suite</t>
        </is>
      </c>
      <c r="H57">
        <f>HYPERLINK("https://booking.roadsurfer.com/es/rally/pick?pickup_date=2026-03-09&amp;return_date=2026-03-16&amp;currency=EUR&amp;startStation=13&amp;endStation=6",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Travel Home</t>
        </is>
      </c>
      <c r="H58">
        <f>HYPERLINK("https://booking.roadsurfer.com/es/rally/pick?pickup_date=2026-03-09&amp;return_date=2026-03-16&amp;currency=EUR&amp;startStation=13&amp;endStation=22",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ROAD HOUSE</t>
        </is>
      </c>
      <c r="H59">
        <f>HYPERLINK("https://booking.roadsurfer.com/es/rally/pick?pickup_date=2026-04-15&amp;return_date=2026-04-22&amp;currency=EUR&amp;startStation=13&amp;endStation=11",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Couple Cottage</t>
        </is>
      </c>
      <c r="H60">
        <f>HYPERLINK("https://booking.roadsurfer.com/es/rally/pick?pickup_date=2026-04-27&amp;return_date=2026-05-04&amp;currency=EUR&amp;startStation=13&amp;endStation=15",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Sunrise Suite</t>
        </is>
      </c>
      <c r="H61">
        <f>HYPERLINK("https://booking.roadsurfer.com/es/rally/pick?pickup_date=2026-03-09&amp;return_date=2026-03-16&amp;currency=EUR&amp;startStation=13&amp;endStation=1",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2026-03-24</t>
        </is>
      </c>
      <c r="F62" t="inlineStr">
        <is>
          <t>2026-03-31</t>
        </is>
      </c>
      <c r="G62" t="inlineStr">
        <is>
          <t xml:space="preserve"> - Family Finca</t>
        </is>
      </c>
      <c r="H62">
        <f>HYPERLINK("https://booking.roadsurfer.com/es/rally/pick?pickup_date=2026-03-24&amp;return_date=2026-03-31&amp;currency=EUR&amp;startStation=55&amp;endStation=77",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2026-04-03</t>
        </is>
      </c>
      <c r="F63" t="inlineStr">
        <is>
          <t>2026-04-10</t>
        </is>
      </c>
      <c r="G63" t="inlineStr">
        <is>
          <t xml:space="preserve"> - No hay coche</t>
        </is>
      </c>
      <c r="H63">
        <f>HYPERLINK("https://booking.roadsurfer.com/es/rally/pick?pickup_date=2026-04-03&amp;return_date=2026-04-10&amp;currency=EUR&amp;startStation=55&amp;endStation=77",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2026-04-02</t>
        </is>
      </c>
      <c r="F64" t="inlineStr">
        <is>
          <t>2026-04-09</t>
        </is>
      </c>
      <c r="G64" t="inlineStr">
        <is>
          <t xml:space="preserve"> - Road House</t>
        </is>
      </c>
      <c r="H64">
        <f>HYPERLINK("https://booking.roadsurfer.com/es/rally/pick?pickup_date=2026-04-02&amp;return_date=2026-04-09&amp;currency=EUR&amp;startStation=55&amp;endStation=77",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2026-03-07</t>
        </is>
      </c>
      <c r="F65" t="inlineStr">
        <is>
          <t>2026-03-14</t>
        </is>
      </c>
      <c r="G65" t="inlineStr">
        <is>
          <t xml:space="preserve"> - Surfer Suite</t>
        </is>
      </c>
      <c r="H65">
        <f>HYPERLINK("https://booking.roadsurfer.com/es/rally/pick?pickup_date=2026-03-07&amp;return_date=2026-03-14&amp;currency=EUR&amp;startStation=55&amp;endStation=32",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2026-03-04</t>
        </is>
      </c>
      <c r="F66" t="inlineStr">
        <is>
          <t>2026-03-11</t>
        </is>
      </c>
      <c r="G66" t="inlineStr">
        <is>
          <t xml:space="preserve"> - Surfer Suite</t>
        </is>
      </c>
      <c r="H66">
        <f>HYPERLINK("https://booking.roadsurfer.com/es/rally/pick?pickup_date=2026-03-04&amp;return_date=2026-03-11&amp;currency=EUR&amp;startStation=55&amp;endStation=33",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2026-04-03</t>
        </is>
      </c>
      <c r="F67" t="inlineStr">
        <is>
          <t>2026-04-10</t>
        </is>
      </c>
      <c r="G67" t="inlineStr">
        <is>
          <t xml:space="preserve"> - No hay coche</t>
        </is>
      </c>
      <c r="H67">
        <f>HYPERLINK("https://booking.roadsurfer.com/es/rally/pick?pickup_date=2026-04-03&amp;return_date=2026-04-10&amp;currency=EUR&amp;startStation=55&amp;endStation=59",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2026-04-02</t>
        </is>
      </c>
      <c r="F68" t="inlineStr">
        <is>
          <t>2026-04-09</t>
        </is>
      </c>
      <c r="G68" t="inlineStr">
        <is>
          <t xml:space="preserve"> - Surfer Suite</t>
        </is>
      </c>
      <c r="H68">
        <f>HYPERLINK("https://booking.roadsurfer.com/es/rally/pick?pickup_date=2026-04-02&amp;return_date=2026-04-09&amp;currency=EUR&amp;startStation=55&amp;endStation=59",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2026-04-01</t>
        </is>
      </c>
      <c r="F69" t="inlineStr">
        <is>
          <t>2026-04-08</t>
        </is>
      </c>
      <c r="G69" t="inlineStr">
        <is>
          <t xml:space="preserve"> - BEACH HOSTEL</t>
        </is>
      </c>
      <c r="H69">
        <f>HYPERLINK("https://booking.roadsurfer.com/es/rally/pick?pickup_date=2026-04-01&amp;return_date=2026-04-08&amp;currency=EUR&amp;startStation=55&amp;endStation=59",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2026-04-02</t>
        </is>
      </c>
      <c r="F70" t="inlineStr">
        <is>
          <t>2026-04-09</t>
        </is>
      </c>
      <c r="G70" t="inlineStr">
        <is>
          <t xml:space="preserve"> - Road House</t>
        </is>
      </c>
      <c r="H70">
        <f>HYPERLINK("https://booking.roadsurfer.com/es/rally/pick?pickup_date=2026-04-02&amp;return_date=2026-04-09&amp;currency=EUR&amp;startStation=55&amp;endStation=60",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2026-03-07</t>
        </is>
      </c>
      <c r="F71" t="inlineStr">
        <is>
          <t>2026-03-14</t>
        </is>
      </c>
      <c r="G71" t="inlineStr">
        <is>
          <t xml:space="preserve"> - Camper Cabin Deluxe</t>
        </is>
      </c>
      <c r="H71">
        <f>HYPERLINK("https://booking.roadsurfer.com/es/rally/pick?pickup_date=2026-03-07&amp;return_date=2026-03-14&amp;currency=EUR&amp;startStation=42&amp;endStation=55",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2026-03-09</t>
        </is>
      </c>
      <c r="F72" t="inlineStr">
        <is>
          <t>2026-03-16</t>
        </is>
      </c>
      <c r="G72" t="inlineStr">
        <is>
          <t xml:space="preserve"> - Camper Cabin</t>
        </is>
      </c>
      <c r="H72">
        <f>HYPERLINK("https://booking.roadsurfer.com/es/rally/pick?pickup_date=2026-03-09&amp;return_date=2026-03-16&amp;currency=EUR&amp;startStation=42&amp;endStation=91",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2026-04-03</t>
        </is>
      </c>
      <c r="F73" t="inlineStr">
        <is>
          <t>2026-04-10</t>
        </is>
      </c>
      <c r="G73" t="inlineStr">
        <is>
          <t xml:space="preserve"> - No hay coche</t>
        </is>
      </c>
      <c r="H73">
        <f>HYPERLINK("https://booking.roadsurfer.com/es/rally/pick?pickup_date=2026-04-03&amp;return_date=2026-04-10&amp;currency=EUR&amp;startStation=52&amp;endStation=48",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Camper Cabin Deluxe</t>
        </is>
      </c>
      <c r="H74">
        <f>HYPERLINK("https://booking.roadsurfer.com/es/rally/pick?pickup_date=2026-04-16&amp;return_date=2026-04-23&amp;currency=EUR&amp;startStation=52&amp;endStation=48",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2026-03-02</t>
        </is>
      </c>
      <c r="F75" t="inlineStr">
        <is>
          <t>2026-03-09</t>
        </is>
      </c>
      <c r="G75" t="inlineStr">
        <is>
          <t xml:space="preserve"> - Camper Cabin Deluxe</t>
        </is>
      </c>
      <c r="H75">
        <f>HYPERLINK("https://booking.roadsurfer.com/es/rally/pick?pickup_date=2026-03-02&amp;return_date=2026-03-09&amp;currency=EUR&amp;startStation=52&amp;endStation=48",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2026-03-03</t>
        </is>
      </c>
      <c r="F76" t="inlineStr">
        <is>
          <t>2026-03-10</t>
        </is>
      </c>
      <c r="G76" t="inlineStr">
        <is>
          <t xml:space="preserve"> - Camper Cabin Deluxe</t>
        </is>
      </c>
      <c r="H76">
        <f>HYPERLINK("https://booking.roadsurfer.com/es/rally/pick?pickup_date=2026-03-03&amp;return_date=2026-03-10&amp;currency=EUR&amp;startStation=52&amp;endStation=48",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Family Finca</t>
        </is>
      </c>
      <c r="H77">
        <f>HYPERLINK("https://booking.roadsurfer.com/es/rally/pick?pickup_date=2026-05-02&amp;return_date=2026-05-09&amp;currency=EUR&amp;startStation=52&amp;endStation=31",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2026-04-03</t>
        </is>
      </c>
      <c r="F78" t="inlineStr">
        <is>
          <t>2026-04-10</t>
        </is>
      </c>
      <c r="G78" t="inlineStr">
        <is>
          <t xml:space="preserve"> - No hay coche</t>
        </is>
      </c>
      <c r="H78">
        <f>HYPERLINK("https://booking.roadsurfer.com/es/rally/pick?pickup_date=2026-04-03&amp;return_date=2026-04-10&amp;currency=EUR&amp;startStation=52&amp;endStation=31",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2026-04-10</t>
        </is>
      </c>
      <c r="F79" t="inlineStr">
        <is>
          <t>2026-04-17</t>
        </is>
      </c>
      <c r="G79" t="inlineStr">
        <is>
          <t xml:space="preserve"> - Surfer Suite</t>
        </is>
      </c>
      <c r="H79">
        <f>HYPERLINK("https://booking.roadsurfer.com/es/rally/pick?pickup_date=2026-04-10&amp;return_date=2026-04-17&amp;currency=EUR&amp;startStation=52&amp;endStation=42",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2026-03-07</t>
        </is>
      </c>
      <c r="F80" t="inlineStr">
        <is>
          <t>2026-03-14</t>
        </is>
      </c>
      <c r="G80" t="inlineStr">
        <is>
          <t xml:space="preserve"> - Road House</t>
        </is>
      </c>
      <c r="H80">
        <f>HYPERLINK("https://booking.roadsurfer.com/es/rally/pick?pickup_date=2026-03-07&amp;return_date=2026-03-14&amp;currency=EUR&amp;startStation=52&amp;endStation=34",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2026-03-09</t>
        </is>
      </c>
      <c r="F81" t="inlineStr">
        <is>
          <t>2026-03-16</t>
        </is>
      </c>
      <c r="G81" t="inlineStr">
        <is>
          <t xml:space="preserve"> - Surfer Suite</t>
        </is>
      </c>
      <c r="H81">
        <f>HYPERLINK("https://booking.roadsurfer.com/es/rally/pick?pickup_date=2026-03-09&amp;return_date=2026-03-16&amp;currency=EUR&amp;startStation=4&amp;endStation=32",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2026-04-09</t>
        </is>
      </c>
      <c r="F82" t="inlineStr">
        <is>
          <t>2026-04-16</t>
        </is>
      </c>
      <c r="G82" t="inlineStr">
        <is>
          <t xml:space="preserve"> - Surfer Suite</t>
        </is>
      </c>
      <c r="H82">
        <f>HYPERLINK("https://booking.roadsurfer.com/es/rally/pick?pickup_date=2026-04-09&amp;return_date=2026-04-16&amp;currency=EUR&amp;startStation=4&amp;endStation=31",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Austria</t>
        </is>
      </c>
      <c r="D83" t="inlineStr">
        <is>
          <t>Viena Sur</t>
        </is>
      </c>
      <c r="E83" t="inlineStr">
        <is>
          <t>2026-03-03</t>
        </is>
      </c>
      <c r="F83" t="inlineStr">
        <is>
          <t>2026-03-10</t>
        </is>
      </c>
      <c r="G83" t="inlineStr">
        <is>
          <t xml:space="preserve"> - Surfer Suite</t>
        </is>
      </c>
      <c r="H83">
        <f>HYPERLINK("https://booking.roadsurfer.com/es/rally/pick?pickup_date=2026-03-03&amp;return_date=2026-03-10&amp;currency=EUR&amp;startStation=10&amp;endStation=45",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Austria</t>
        </is>
      </c>
      <c r="D84" t="inlineStr">
        <is>
          <t>Viena Sur</t>
        </is>
      </c>
      <c r="E84" t="inlineStr">
        <is>
          <t>2026-03-04</t>
        </is>
      </c>
      <c r="F84" t="inlineStr">
        <is>
          <t>2026-03-11</t>
        </is>
      </c>
      <c r="G84" t="inlineStr">
        <is>
          <t xml:space="preserve"> - SURFER SUITE</t>
        </is>
      </c>
      <c r="H84">
        <f>HYPERLINK("https://booking.roadsurfer.com/es/rally/pick?pickup_date=2026-03-04&amp;return_date=2026-03-11&amp;currency=EUR&amp;startStation=10&amp;endStation=45",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2026-04-01</t>
        </is>
      </c>
      <c r="F85" t="inlineStr">
        <is>
          <t>2026-04-08</t>
        </is>
      </c>
      <c r="G85" t="inlineStr">
        <is>
          <t xml:space="preserve"> - Road House</t>
        </is>
      </c>
      <c r="H85">
        <f>HYPERLINK("https://booking.roadsurfer.com/es/rally/pick?pickup_date=2026-04-01&amp;return_date=2026-04-08&amp;currency=EUR&amp;startStation=56&amp;endStation=59",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2026-04-02</t>
        </is>
      </c>
      <c r="F86" t="inlineStr">
        <is>
          <t>2026-04-09</t>
        </is>
      </c>
      <c r="G86" t="inlineStr">
        <is>
          <t xml:space="preserve"> - Road House</t>
        </is>
      </c>
      <c r="H86">
        <f>HYPERLINK("https://booking.roadsurfer.com/es/rally/pick?pickup_date=2026-04-02&amp;return_date=2026-04-09&amp;currency=EUR&amp;startStation=56&amp;endStation=59",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2026-04-07</t>
        </is>
      </c>
      <c r="F87" t="inlineStr">
        <is>
          <t>2026-04-14</t>
        </is>
      </c>
      <c r="G87" t="inlineStr">
        <is>
          <t xml:space="preserve"> - Road House</t>
        </is>
      </c>
      <c r="H87">
        <f>HYPERLINK("https://booking.roadsurfer.com/es/rally/pick?pickup_date=2026-04-07&amp;return_date=2026-04-14&amp;currency=EUR&amp;startStation=56&amp;endStation=59",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Austria</t>
        </is>
      </c>
      <c r="D88" t="inlineStr">
        <is>
          <t>Graz</t>
        </is>
      </c>
      <c r="E88" t="inlineStr">
        <is>
          <t>2026-03-06</t>
        </is>
      </c>
      <c r="F88" t="inlineStr">
        <is>
          <t>2026-03-13</t>
        </is>
      </c>
      <c r="G88" t="inlineStr">
        <is>
          <t xml:space="preserve"> - Camper Cabin</t>
        </is>
      </c>
      <c r="H88">
        <f>HYPERLINK("https://booking.roadsurfer.com/es/rally/pick?pickup_date=2026-03-06&amp;return_date=2026-03-13&amp;currency=EUR&amp;startStation=56&amp;endStation=37",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Países Bajos</t>
        </is>
      </c>
      <c r="D89" t="inlineStr">
        <is>
          <t>Róterdam</t>
        </is>
      </c>
      <c r="E89" t="inlineStr">
        <is>
          <t>2026-03-05</t>
        </is>
      </c>
      <c r="F89" t="inlineStr">
        <is>
          <t>2026-03-12</t>
        </is>
      </c>
      <c r="G89" t="inlineStr">
        <is>
          <t xml:space="preserve"> - Surfer Suite</t>
        </is>
      </c>
      <c r="H89">
        <f>HYPERLINK("https://booking.roadsurfer.com/es/rally/pick?pickup_date=2026-03-05&amp;return_date=2026-03-12&amp;currency=EUR&amp;startStation=56&amp;endStation=33",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Alemania</t>
        </is>
      </c>
      <c r="D90" t="inlineStr">
        <is>
          <t>Braunschweig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No hay coche</t>
        </is>
      </c>
      <c r="H90">
        <f>HYPERLINK("https://booking.roadsurfer.com/es/rally/pick?pickup_date=2026-04-20&amp;return_date=2026-04-27&amp;currency=EUR&amp;startStation=56&amp;endStation=128",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2026-03-09</t>
        </is>
      </c>
      <c r="F91" t="inlineStr">
        <is>
          <t>2026-03-16</t>
        </is>
      </c>
      <c r="G91" t="inlineStr">
        <is>
          <t xml:space="preserve"> - Beach Hostel</t>
        </is>
      </c>
      <c r="H91">
        <f>HYPERLINK("https://booking.roadsurfer.com/es/rally/pick?pickup_date=2026-03-09&amp;return_date=2026-03-16&amp;currency=EUR&amp;startStation=56&amp;endStation=11",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Francia</t>
        </is>
      </c>
      <c r="D92" t="inlineStr">
        <is>
          <t>Lille</t>
        </is>
      </c>
      <c r="E92" t="inlineStr">
        <is>
          <t>2026-04-01</t>
        </is>
      </c>
      <c r="F92" t="inlineStr">
        <is>
          <t>2026-04-08</t>
        </is>
      </c>
      <c r="G92" t="inlineStr">
        <is>
          <t xml:space="preserve"> - Surfer Suite</t>
        </is>
      </c>
      <c r="H92">
        <f>HYPERLINK("https://booking.roadsurfer.com/es/rally/pick?pickup_date=2026-04-01&amp;return_date=2026-04-08&amp;currency=EUR&amp;startStation=56&amp;endStation=87",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2026-03-05</t>
        </is>
      </c>
      <c r="F93" t="inlineStr">
        <is>
          <t>2026-03-12</t>
        </is>
      </c>
      <c r="G93" t="inlineStr">
        <is>
          <t xml:space="preserve"> - Sunrise Suite</t>
        </is>
      </c>
      <c r="H93">
        <f>HYPERLINK("https://booking.roadsurfer.com/es/rally/pick?pickup_date=2026-03-05&amp;return_date=2026-03-12&amp;currency=EUR&amp;startStation=56&amp;endStation=1",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2026-04-09</t>
        </is>
      </c>
      <c r="F94" t="inlineStr">
        <is>
          <t>2026-04-16</t>
        </is>
      </c>
      <c r="G94" t="inlineStr">
        <is>
          <t xml:space="preserve"> - Surfer Suite</t>
        </is>
      </c>
      <c r="H94">
        <f>HYPERLINK("https://booking.roadsurfer.com/es/rally/pick?pickup_date=2026-04-09&amp;return_date=2026-04-16&amp;currency=EUR&amp;startStation=56&amp;endStation=58",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Bélgica</t>
        </is>
      </c>
      <c r="D95" t="inlineStr">
        <is>
          <t>Bruselas</t>
        </is>
      </c>
      <c r="E95" t="inlineStr">
        <is>
          <t>2026-04-10</t>
        </is>
      </c>
      <c r="F95" t="inlineStr">
        <is>
          <t>2026-04-16</t>
        </is>
      </c>
      <c r="G95" t="inlineStr">
        <is>
          <t xml:space="preserve"> - Road House</t>
        </is>
      </c>
      <c r="H95">
        <f>HYPERLINK("https://booking.roadsurfer.com/es/rally/pick?pickup_date=2026-04-10&amp;return_date=2026-04-16&amp;currency=EUR&amp;startStation=56&amp;endStation=42",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Italia</t>
        </is>
      </c>
      <c r="D96" t="inlineStr">
        <is>
          <t>Venecia</t>
        </is>
      </c>
      <c r="E96" t="inlineStr">
        <is>
          <t>2026-04-08</t>
        </is>
      </c>
      <c r="F96" t="inlineStr">
        <is>
          <t>2026-04-15</t>
        </is>
      </c>
      <c r="G96" t="inlineStr">
        <is>
          <t xml:space="preserve"> - Sunrise Suite</t>
        </is>
      </c>
      <c r="H96">
        <f>HYPERLINK("https://booking.roadsurfer.com/es/rally/pick?pickup_date=2026-04-08&amp;return_date=2026-04-15&amp;currency=EUR&amp;startStation=56&amp;endStation=78", "Clic para verlo en la web de RoadSurfer")</f>
        <v/>
      </c>
    </row>
    <row r="97">
      <c r="A97" t="inlineStr">
        <is>
          <t>Alemania</t>
        </is>
      </c>
      <c r="B97" t="inlineStr">
        <is>
          <t>Duisburgo</t>
        </is>
      </c>
      <c r="C97" t="inlineStr">
        <is>
          <t>Países Bajos</t>
        </is>
      </c>
      <c r="D97" t="inlineStr">
        <is>
          <t>Róterdam</t>
        </is>
      </c>
      <c r="E97" t="inlineStr">
        <is>
          <t>2026-03-03</t>
        </is>
      </c>
      <c r="F97" t="inlineStr">
        <is>
          <t>2026-03-10</t>
        </is>
      </c>
      <c r="G97" t="inlineStr">
        <is>
          <t xml:space="preserve"> - Road House</t>
        </is>
      </c>
      <c r="H97">
        <f>HYPERLINK("https://booking.roadsurfer.com/es/rally/pick?pickup_date=2026-03-03&amp;return_date=2026-03-10&amp;currency=EUR&amp;startStation=113&amp;endStation=33", "Clic para verlo en la web de RoadSurfer")</f>
        <v/>
      </c>
    </row>
    <row r="98">
      <c r="A98" t="inlineStr">
        <is>
          <t>Alemania</t>
        </is>
      </c>
      <c r="B98" t="inlineStr">
        <is>
          <t>Duisburgo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2026-03-04</t>
        </is>
      </c>
      <c r="F98" t="inlineStr">
        <is>
          <t>2026-03-11</t>
        </is>
      </c>
      <c r="G98" t="inlineStr">
        <is>
          <t xml:space="preserve"> - Surfer Suite</t>
        </is>
      </c>
      <c r="H98">
        <f>HYPERLINK("https://booking.roadsurfer.com/es/rally/pick?pickup_date=2026-03-04&amp;return_date=2026-03-11&amp;currency=EUR&amp;startStation=113&amp;endStation=32",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2026-03-05</t>
        </is>
      </c>
      <c r="F99" t="inlineStr">
        <is>
          <t>2026-03-12</t>
        </is>
      </c>
      <c r="G99" t="inlineStr">
        <is>
          <t xml:space="preserve"> - No hay coche</t>
        </is>
      </c>
      <c r="H99">
        <f>HYPERLINK("https://booking.roadsurfer.com/es/rally/pick?pickup_date=2026-03-05&amp;return_date=2026-03-12&amp;currency=EUR&amp;startStation=113&amp;endStation=32",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2026-03-06</t>
        </is>
      </c>
      <c r="F100" t="inlineStr">
        <is>
          <t>2026-03-13</t>
        </is>
      </c>
      <c r="G100" t="inlineStr">
        <is>
          <t xml:space="preserve"> - Surfer Suite</t>
        </is>
      </c>
      <c r="H100">
        <f>HYPERLINK("https://booking.roadsurfer.com/es/rally/pick?pickup_date=2026-03-06&amp;return_date=2026-03-13&amp;currency=EUR&amp;startStation=113&amp;endStation=32",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2026-03-09</t>
        </is>
      </c>
      <c r="F101" t="inlineStr">
        <is>
          <t>2026-03-16</t>
        </is>
      </c>
      <c r="G101" t="inlineStr">
        <is>
          <t xml:space="preserve"> - Surfer Suite</t>
        </is>
      </c>
      <c r="H101">
        <f>HYPERLINK("https://booking.roadsurfer.com/es/rally/pick?pickup_date=2026-03-09&amp;return_date=2026-03-16&amp;currency=EUR&amp;startStation=113&amp;endStation=32",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España</t>
        </is>
      </c>
      <c r="D102" t="inlineStr">
        <is>
          <t>Málaga</t>
        </is>
      </c>
      <c r="E102" t="inlineStr">
        <is>
          <t>2026-03-06</t>
        </is>
      </c>
      <c r="F102" t="inlineStr">
        <is>
          <t>2026-03-13</t>
        </is>
      </c>
      <c r="G102" t="inlineStr">
        <is>
          <t xml:space="preserve"> - Road House</t>
        </is>
      </c>
      <c r="H102">
        <f>HYPERLINK("https://booking.roadsurfer.com/es/rally/pick?pickup_date=2026-03-06&amp;return_date=2026-03-13&amp;currency=EUR&amp;startStation=113&amp;endStation=21",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2026-03-04</t>
        </is>
      </c>
      <c r="F103" t="inlineStr">
        <is>
          <t>2026-03-11</t>
        </is>
      </c>
      <c r="G103" t="inlineStr">
        <is>
          <t xml:space="preserve"> - Surfer Suite</t>
        </is>
      </c>
      <c r="H103">
        <f>HYPERLINK("https://booking.roadsurfer.com/es/rally/pick?pickup_date=2026-03-04&amp;return_date=2026-03-11&amp;currency=EUR&amp;startStation=90&amp;endStation=42",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2026-04-14</t>
        </is>
      </c>
      <c r="F104" t="inlineStr">
        <is>
          <t>2026-04-21</t>
        </is>
      </c>
      <c r="G104" t="inlineStr">
        <is>
          <t xml:space="preserve"> - Beach Hostel</t>
        </is>
      </c>
      <c r="H104">
        <f>HYPERLINK("https://booking.roadsurfer.com/es/rally/pick?pickup_date=2026-04-14&amp;return_date=2026-04-21&amp;currency=EUR&amp;startStation=90&amp;endStation=42",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2026-03-04</t>
        </is>
      </c>
      <c r="F105" t="inlineStr">
        <is>
          <t>2026-03-11</t>
        </is>
      </c>
      <c r="G105" t="inlineStr">
        <is>
          <t xml:space="preserve"> - Road House</t>
        </is>
      </c>
      <c r="H105">
        <f>HYPERLINK("https://booking.roadsurfer.com/es/rally/pick?pickup_date=2026-03-04&amp;return_date=2026-03-11&amp;currency=EUR&amp;startStation=90&amp;endStation=29",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Francia</t>
        </is>
      </c>
      <c r="D106" t="inlineStr">
        <is>
          <t>París Aeropuerto CDG</t>
        </is>
      </c>
      <c r="E106" t="inlineStr">
        <is>
          <t>2026-03-31</t>
        </is>
      </c>
      <c r="F106" t="inlineStr">
        <is>
          <t>2026-04-07</t>
        </is>
      </c>
      <c r="G106" t="inlineStr">
        <is>
          <t xml:space="preserve"> - SURFER SUITE</t>
        </is>
      </c>
      <c r="H106">
        <f>HYPERLINK("https://booking.roadsurfer.com/es/rally/pick?pickup_date=2026-03-31&amp;return_date=2026-04-07&amp;currency=EUR&amp;startStation=90&amp;endStation=48",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2026-04-02</t>
        </is>
      </c>
      <c r="F107" t="inlineStr">
        <is>
          <t>2026-04-09</t>
        </is>
      </c>
      <c r="G107" t="inlineStr">
        <is>
          <t xml:space="preserve"> - Surfer Suite</t>
        </is>
      </c>
      <c r="H107">
        <f>HYPERLINK("https://booking.roadsurfer.com/es/rally/pick?pickup_date=2026-04-02&amp;return_date=2026-04-09&amp;currency=EUR&amp;startStation=90&amp;endStation=37",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2026-03-03</t>
        </is>
      </c>
      <c r="F108" t="inlineStr">
        <is>
          <t>2026-03-10</t>
        </is>
      </c>
      <c r="G108" t="inlineStr">
        <is>
          <t xml:space="preserve"> - Road House</t>
        </is>
      </c>
      <c r="H108">
        <f>HYPERLINK("https://booking.roadsurfer.com/es/rally/pick?pickup_date=2026-03-03&amp;return_date=2026-03-10&amp;currency=EUR&amp;startStation=90&amp;endStation=12",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Austria</t>
        </is>
      </c>
      <c r="D109" t="inlineStr">
        <is>
          <t>Viena Sur</t>
        </is>
      </c>
      <c r="E109" t="inlineStr">
        <is>
          <t>2026-03-06</t>
        </is>
      </c>
      <c r="F109" t="inlineStr">
        <is>
          <t>2026-03-13</t>
        </is>
      </c>
      <c r="G109" t="inlineStr">
        <is>
          <t xml:space="preserve"> - Camper Cabin</t>
        </is>
      </c>
      <c r="H109">
        <f>HYPERLINK("https://booking.roadsurfer.com/es/rally/pick?pickup_date=2026-03-06&amp;return_date=2026-03-13&amp;currency=EUR&amp;startStation=90&amp;endStation=45",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2026-04-14</t>
        </is>
      </c>
      <c r="F110" t="inlineStr">
        <is>
          <t>2026-04-21</t>
        </is>
      </c>
      <c r="G110" t="inlineStr">
        <is>
          <t xml:space="preserve"> - Road House</t>
        </is>
      </c>
      <c r="H110">
        <f>HYPERLINK("https://booking.roadsurfer.com/es/rally/pick?pickup_date=2026-04-14&amp;return_date=2026-04-21&amp;currency=EUR&amp;startStation=90&amp;endStation=77",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Francia</t>
        </is>
      </c>
      <c r="D111" t="inlineStr">
        <is>
          <t>Estrasburgo</t>
        </is>
      </c>
      <c r="E111" t="inlineStr">
        <is>
          <t>2026-04-10</t>
        </is>
      </c>
      <c r="F111" t="inlineStr">
        <is>
          <t>2026-04-17</t>
        </is>
      </c>
      <c r="G111" t="inlineStr">
        <is>
          <t xml:space="preserve"> - Beach Hostel</t>
        </is>
      </c>
      <c r="H111">
        <f>HYPERLINK("https://booking.roadsurfer.com/es/rally/pick?pickup_date=2026-04-10&amp;return_date=2026-04-17&amp;currency=EUR&amp;startStation=90&amp;endStation=49",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Aix-Marsella</t>
        </is>
      </c>
      <c r="E112" t="inlineStr">
        <is>
          <t>2026-04-07</t>
        </is>
      </c>
      <c r="F112" t="inlineStr">
        <is>
          <t>2026-04-14</t>
        </is>
      </c>
      <c r="G112" t="inlineStr">
        <is>
          <t xml:space="preserve"> - Family Finca</t>
        </is>
      </c>
      <c r="H112">
        <f>HYPERLINK("https://booking.roadsurfer.com/es/rally/pick?pickup_date=2026-04-07&amp;return_date=2026-04-14&amp;currency=EUR&amp;startStation=90&amp;endStation=16", "Clic para verlo en la web de RoadSurfer")</f>
        <v/>
      </c>
    </row>
    <row r="113">
      <c r="A113" t="inlineStr">
        <is>
          <t>Alemania</t>
        </is>
      </c>
      <c r="B113" t="inlineStr">
        <is>
          <t>Fráncfort</t>
        </is>
      </c>
      <c r="C113" t="inlineStr">
        <is>
          <t>Alemania</t>
        </is>
      </c>
      <c r="D113" t="inlineStr">
        <is>
          <t>Braunschweig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No hay coche</t>
        </is>
      </c>
      <c r="H113">
        <f>HYPERLINK("https://booking.roadsurfer.com/es/rally/pick?pickup_date=2026-04-20&amp;return_date=2026-04-27&amp;currency=EUR&amp;startStation=2&amp;endStation=128",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2026-03-20</t>
        </is>
      </c>
      <c r="F114" t="inlineStr">
        <is>
          <t>2026-03-27</t>
        </is>
      </c>
      <c r="G114" t="inlineStr">
        <is>
          <t xml:space="preserve"> - Surfer Suite</t>
        </is>
      </c>
      <c r="H114">
        <f>HYPERLINK("https://booking.roadsurfer.com/es/rally/pick?pickup_date=2026-03-20&amp;return_date=2026-03-27&amp;currency=EUR&amp;startStation=2&amp;endStation=13",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Francia</t>
        </is>
      </c>
      <c r="D115" t="inlineStr">
        <is>
          <t>Lyon</t>
        </is>
      </c>
      <c r="E115" t="inlineStr">
        <is>
          <t>2026-03-03</t>
        </is>
      </c>
      <c r="F115" t="inlineStr">
        <is>
          <t>2026-03-10</t>
        </is>
      </c>
      <c r="G115" t="inlineStr">
        <is>
          <t xml:space="preserve"> - Beach Hostel</t>
        </is>
      </c>
      <c r="H115">
        <f>HYPERLINK("https://booking.roadsurfer.com/es/rally/pick?pickup_date=2026-03-03&amp;return_date=2026-03-10&amp;currency=EUR&amp;startStation=2&amp;endStation=15",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Alemania</t>
        </is>
      </c>
      <c r="D116" t="inlineStr">
        <is>
          <t>Lindau-Wangen</t>
        </is>
      </c>
      <c r="E116" t="inlineStr">
        <is>
          <t>2026-03-05</t>
        </is>
      </c>
      <c r="F116" t="inlineStr">
        <is>
          <t>2026-03-12</t>
        </is>
      </c>
      <c r="G116" t="inlineStr">
        <is>
          <t xml:space="preserve"> - No hay coche</t>
        </is>
      </c>
      <c r="H116">
        <f>HYPERLINK("https://booking.roadsurfer.com/es/rally/pick?pickup_date=2026-03-05&amp;return_date=2026-03-12&amp;currency=EUR&amp;startStation=2&amp;endStation=117",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Camper Cabin Deluxe</t>
        </is>
      </c>
      <c r="H117">
        <f>HYPERLINK("https://booking.roadsurfer.com/es/rally/pick?pickup_date=2026-03-09&amp;return_date=2026-03-16&amp;currency=EUR&amp;startStation=2&amp;endStation=33",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Francia</t>
        </is>
      </c>
      <c r="D118" t="inlineStr">
        <is>
          <t>Ginebra-Pays de Gex (Francia)</t>
        </is>
      </c>
      <c r="E118" t="inlineStr">
        <is>
          <t>2026-03-05</t>
        </is>
      </c>
      <c r="F118" t="inlineStr">
        <is>
          <t>2026-03-12</t>
        </is>
      </c>
      <c r="G118" t="inlineStr">
        <is>
          <t xml:space="preserve"> - Camper Cabin Deluxe</t>
        </is>
      </c>
      <c r="H118">
        <f>HYPERLINK("https://booking.roadsurfer.com/es/rally/pick?pickup_date=2026-03-05&amp;return_date=2026-03-12&amp;currency=EUR&amp;startStation=2&amp;endStation=29",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2026-03-05</t>
        </is>
      </c>
      <c r="F119" t="inlineStr">
        <is>
          <t>2026-03-12</t>
        </is>
      </c>
      <c r="G119" t="inlineStr">
        <is>
          <t xml:space="preserve"> - Surfer Suite</t>
        </is>
      </c>
      <c r="H119">
        <f>HYPERLINK("https://booking.roadsurfer.com/es/rally/pick?pickup_date=2026-03-05&amp;return_date=2026-03-12&amp;currency=EUR&amp;startStation=9&amp;endStation=33",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España</t>
        </is>
      </c>
      <c r="D120" t="inlineStr">
        <is>
          <t>Málaga</t>
        </is>
      </c>
      <c r="E120" t="inlineStr">
        <is>
          <t>2026-04-03</t>
        </is>
      </c>
      <c r="F120" t="inlineStr">
        <is>
          <t>2026-04-10</t>
        </is>
      </c>
      <c r="G120" t="inlineStr">
        <is>
          <t xml:space="preserve"> - No hay coche</t>
        </is>
      </c>
      <c r="H120">
        <f>HYPERLINK("https://booking.roadsurfer.com/es/rally/pick?pickup_date=2026-04-03&amp;return_date=2026-04-10&amp;currency=EUR&amp;startStation=9&amp;endStation=21",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Surfer Suite</t>
        </is>
      </c>
      <c r="H121">
        <f>HYPERLINK("https://booking.roadsurfer.com/es/rally/pick?pickup_date=2026-03-09&amp;return_date=2026-03-16&amp;currency=EUR&amp;startStation=9&amp;endStation=39",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Francia</t>
        </is>
      </c>
      <c r="D122" t="inlineStr">
        <is>
          <t>Lyon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Surfer Suite</t>
        </is>
      </c>
      <c r="H122">
        <f>HYPERLINK("https://booking.roadsurfer.com/es/rally/pick?pickup_date=2026-03-23&amp;return_date=2026-03-30&amp;currency=EUR&amp;startStation=9&amp;endStation=15",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España</t>
        </is>
      </c>
      <c r="D123" t="inlineStr">
        <is>
          <t>Madrid</t>
        </is>
      </c>
      <c r="E123" t="inlineStr">
        <is>
          <t>2026-04-07</t>
        </is>
      </c>
      <c r="F123" t="inlineStr">
        <is>
          <t>2026-04-14</t>
        </is>
      </c>
      <c r="G123" t="inlineStr">
        <is>
          <t xml:space="preserve"> - Road House</t>
        </is>
      </c>
      <c r="H123">
        <f>HYPERLINK("https://booking.roadsurfer.com/es/rally/pick?pickup_date=2026-04-07&amp;return_date=2026-04-14&amp;currency=EUR&amp;startStation=9&amp;endStation=20",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2026-03-05</t>
        </is>
      </c>
      <c r="F124" t="inlineStr">
        <is>
          <t>2026-03-12</t>
        </is>
      </c>
      <c r="G124" t="inlineStr">
        <is>
          <t xml:space="preserve"> - Family Finca</t>
        </is>
      </c>
      <c r="H124">
        <f>HYPERLINK("https://booking.roadsurfer.com/es/rally/pick?pickup_date=2026-03-05&amp;return_date=2026-03-12&amp;currency=EUR&amp;startStation=9&amp;endStation=94",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2026-03-05</t>
        </is>
      </c>
      <c r="F125" t="inlineStr">
        <is>
          <t>2026-03-12</t>
        </is>
      </c>
      <c r="G125" t="inlineStr">
        <is>
          <t xml:space="preserve"> - Couple Cottage</t>
        </is>
      </c>
      <c r="H125">
        <f>HYPERLINK("https://booking.roadsurfer.com/es/rally/pick?pickup_date=2026-03-05&amp;return_date=2026-03-12&amp;currency=EUR&amp;startStation=9&amp;endStation=52",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2026-03-20</t>
        </is>
      </c>
      <c r="F126" t="inlineStr">
        <is>
          <t>2026-03-27</t>
        </is>
      </c>
      <c r="G126" t="inlineStr">
        <is>
          <t xml:space="preserve"> - Family Finca</t>
        </is>
      </c>
      <c r="H126">
        <f>HYPERLINK("https://booking.roadsurfer.com/es/rally/pick?pickup_date=2026-03-20&amp;return_date=2026-03-27&amp;currency=EUR&amp;startStation=29&amp;endStation=2",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Friburgo-Basilea (Alemania)</t>
        </is>
      </c>
      <c r="E127" t="inlineStr">
        <is>
          <t>2026-03-11</t>
        </is>
      </c>
      <c r="F127" t="inlineStr">
        <is>
          <t>2026-03-21</t>
        </is>
      </c>
      <c r="G127" t="inlineStr">
        <is>
          <t xml:space="preserve"> - Surfer Suite</t>
        </is>
      </c>
      <c r="H127">
        <f>HYPERLINK("https://booking.roadsurfer.com/es/rally/pick?pickup_date=2026-03-11&amp;return_date=2026-03-21&amp;currency=EUR&amp;startStation=29&amp;endStation=9",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Bremen</t>
        </is>
      </c>
      <c r="E128" t="inlineStr">
        <is>
          <t>2026-03-09</t>
        </is>
      </c>
      <c r="F128" t="inlineStr">
        <is>
          <t>2026-03-16</t>
        </is>
      </c>
      <c r="G128" t="inlineStr">
        <is>
          <t xml:space="preserve"> - Surfer Suite</t>
        </is>
      </c>
      <c r="H128">
        <f>HYPERLINK("https://booking.roadsurfer.com/es/rally/pick?pickup_date=2026-03-09&amp;return_date=2026-03-16&amp;currency=EUR&amp;startStation=77&amp;endStation=55",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2026-03-05</t>
        </is>
      </c>
      <c r="F129" t="inlineStr">
        <is>
          <t>2026-03-12</t>
        </is>
      </c>
      <c r="G129" t="inlineStr">
        <is>
          <t xml:space="preserve"> - Road House</t>
        </is>
      </c>
      <c r="H129">
        <f>HYPERLINK("https://booking.roadsurfer.com/es/rally/pick?pickup_date=2026-03-05&amp;return_date=2026-03-12&amp;currency=EUR&amp;startStation=77&amp;endStation=55",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Berlín-Schönefeld</t>
        </is>
      </c>
      <c r="E130" t="inlineStr">
        <is>
          <t>2026-04-14</t>
        </is>
      </c>
      <c r="F130" t="inlineStr">
        <is>
          <t>2026-04-21</t>
        </is>
      </c>
      <c r="G130" t="inlineStr">
        <is>
          <t xml:space="preserve"> - Road House</t>
        </is>
      </c>
      <c r="H130">
        <f>HYPERLINK("https://booking.roadsurfer.com/es/rally/pick?pickup_date=2026-04-14&amp;return_date=2026-04-21&amp;currency=EUR&amp;startStation=77&amp;endStation=51",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2026-04-14</t>
        </is>
      </c>
      <c r="F131" t="inlineStr">
        <is>
          <t>2026-04-21</t>
        </is>
      </c>
      <c r="G131" t="inlineStr">
        <is>
          <t xml:space="preserve"> - Road House</t>
        </is>
      </c>
      <c r="H131">
        <f>HYPERLINK("https://booking.roadsurfer.com/es/rally/pick?pickup_date=2026-04-14&amp;return_date=2026-04-21&amp;currency=EUR&amp;startStation=77&amp;endStation=90",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2026-03-06</t>
        </is>
      </c>
      <c r="F132" t="inlineStr">
        <is>
          <t>2026-03-13</t>
        </is>
      </c>
      <c r="G132" t="inlineStr">
        <is>
          <t xml:space="preserve"> - Road House</t>
        </is>
      </c>
      <c r="H132">
        <f>HYPERLINK("https://booking.roadsurfer.com/es/rally/pick?pickup_date=2026-03-06&amp;return_date=2026-03-13&amp;currency=EUR&amp;startStation=77&amp;endStation=90",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Karlsruhe</t>
        </is>
      </c>
      <c r="E133" t="inlineStr">
        <is>
          <t>2026-04-15</t>
        </is>
      </c>
      <c r="F133" t="inlineStr">
        <is>
          <t>2026-04-22</t>
        </is>
      </c>
      <c r="G133" t="inlineStr">
        <is>
          <t xml:space="preserve"> - Camper Castle</t>
        </is>
      </c>
      <c r="H133">
        <f>HYPERLINK("https://booking.roadsurfer.com/es/rally/pick?pickup_date=2026-04-15&amp;return_date=2026-04-22&amp;currency=EUR&amp;startStation=77&amp;endStation=110",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Maguncia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Camper Castle</t>
        </is>
      </c>
      <c r="H134">
        <f>HYPERLINK("https://booking.roadsurfer.com/es/rally/pick?pickup_date=2026-04-14&amp;return_date=2026-04-21&amp;currency=EUR&amp;startStation=77&amp;endStation=54",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2026-03-05</t>
        </is>
      </c>
      <c r="F135" t="inlineStr">
        <is>
          <t>2026-03-12</t>
        </is>
      </c>
      <c r="G135" t="inlineStr">
        <is>
          <t xml:space="preserve"> - Couple Cottage</t>
        </is>
      </c>
      <c r="H135">
        <f>HYPERLINK("https://booking.roadsurfer.com/es/rally/pick?pickup_date=2026-03-05&amp;return_date=2026-03-12&amp;currency=EUR&amp;startStation=77&amp;endStation=22",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Heidelberg</t>
        </is>
      </c>
      <c r="E136" t="inlineStr">
        <is>
          <t>2026-03-09</t>
        </is>
      </c>
      <c r="F136" t="inlineStr">
        <is>
          <t>2026-03-16</t>
        </is>
      </c>
      <c r="G136" t="inlineStr">
        <is>
          <t xml:space="preserve"> - Surfer Suite</t>
        </is>
      </c>
      <c r="H136">
        <f>HYPERLINK("https://booking.roadsurfer.com/es/rally/pick?pickup_date=2026-03-09&amp;return_date=2026-03-16&amp;currency=EUR&amp;startStation=77&amp;endStation=79", "Clic para verlo en la web de RoadSurfer")</f>
        <v/>
      </c>
    </row>
    <row r="137">
      <c r="A137" t="inlineStr">
        <is>
          <t>Austria</t>
        </is>
      </c>
      <c r="B137" t="inlineStr">
        <is>
          <t>Graz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2026-03-05</t>
        </is>
      </c>
      <c r="F137" t="inlineStr">
        <is>
          <t>2026-03-12</t>
        </is>
      </c>
      <c r="G137" t="inlineStr">
        <is>
          <t xml:space="preserve"> - Camper Castle</t>
        </is>
      </c>
      <c r="H137">
        <f>HYPERLINK("https://booking.roadsurfer.com/es/rally/pick?pickup_date=2026-03-05&amp;return_date=2026-03-12&amp;currency=EUR&amp;startStation=37&amp;endStation=56", "Clic para verlo en la web de RoadSurfer")</f>
        <v/>
      </c>
    </row>
    <row r="138">
      <c r="A138" t="inlineStr">
        <is>
          <t>Austria</t>
        </is>
      </c>
      <c r="B138" t="inlineStr">
        <is>
          <t>Graz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Road House</t>
        </is>
      </c>
      <c r="H138">
        <f>HYPERLINK("https://booking.roadsurfer.com/es/rally/pick?pickup_date=2026-04-14&amp;return_date=2026-04-21&amp;currency=EUR&amp;startStation=37&amp;endStation=56", "Clic para verlo en la web de RoadSurfer")</f>
        <v/>
      </c>
    </row>
    <row r="139">
      <c r="A139" t="inlineStr">
        <is>
          <t>Austria</t>
        </is>
      </c>
      <c r="B139" t="inlineStr">
        <is>
          <t>Graz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2026-04-15</t>
        </is>
      </c>
      <c r="F139" t="inlineStr">
        <is>
          <t>2026-04-22</t>
        </is>
      </c>
      <c r="G139" t="inlineStr">
        <is>
          <t xml:space="preserve"> - Family Finca</t>
        </is>
      </c>
      <c r="H139">
        <f>HYPERLINK("https://booking.roadsurfer.com/es/rally/pick?pickup_date=2026-04-15&amp;return_date=2026-04-22&amp;currency=EUR&amp;startStation=37&amp;endStation=56",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Road House</t>
        </is>
      </c>
      <c r="H140">
        <f>HYPERLINK("https://booking.roadsurfer.com/es/rally/pick?pickup_date=2026-04-13&amp;return_date=2026-04-20&amp;currency=EUR&amp;startStation=37&amp;endStation=56",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2026-03-05</t>
        </is>
      </c>
      <c r="F141" t="inlineStr">
        <is>
          <t>2026-03-12</t>
        </is>
      </c>
      <c r="G141" t="inlineStr">
        <is>
          <t xml:space="preserve"> - No hay coche</t>
        </is>
      </c>
      <c r="H141">
        <f>HYPERLINK("https://booking.roadsurfer.com/es/rally/pick?pickup_date=2026-03-05&amp;return_date=2026-03-12&amp;currency=EUR&amp;startStation=37&amp;endStation=90",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Surfer Suite</t>
        </is>
      </c>
      <c r="H142">
        <f>HYPERLINK("https://booking.roadsurfer.com/es/rally/pick?pickup_date=2026-03-09&amp;return_date=2026-03-16&amp;currency=EUR&amp;startStation=37&amp;endStation=90",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FAMILY FINCA</t>
        </is>
      </c>
      <c r="H143">
        <f>HYPERLINK("https://booking.roadsurfer.com/es/rally/pick?pickup_date=2026-03-09&amp;return_date=2026-03-16&amp;currency=EUR&amp;startStation=37&amp;endStation=8",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Road House</t>
        </is>
      </c>
      <c r="H144">
        <f>HYPERLINK("https://booking.roadsurfer.com/es/rally/pick?pickup_date=2026-03-09&amp;return_date=2026-03-16&amp;currency=EUR&amp;startStation=37&amp;endStation=52", "Clic para verlo en la web de RoadSurfer")</f>
        <v/>
      </c>
    </row>
    <row r="145">
      <c r="A145" t="inlineStr">
        <is>
          <t>Alemania</t>
        </is>
      </c>
      <c r="B145" t="inlineStr">
        <is>
          <t>Hamburgo</t>
        </is>
      </c>
      <c r="C145" t="inlineStr">
        <is>
          <t>Países Bajos</t>
        </is>
      </c>
      <c r="D145" t="inlineStr">
        <is>
          <t>Ámsterdam</t>
        </is>
      </c>
      <c r="E145" t="inlineStr">
        <is>
          <t>2026-03-06</t>
        </is>
      </c>
      <c r="F145" t="inlineStr">
        <is>
          <t>2026-03-13</t>
        </is>
      </c>
      <c r="G145" t="inlineStr">
        <is>
          <t xml:space="preserve"> - Camper Cabin Deluxe</t>
        </is>
      </c>
      <c r="H145">
        <f>HYPERLINK("https://booking.roadsurfer.com/es/rally/pick?pickup_date=2026-03-06&amp;return_date=2026-03-13&amp;currency=EUR&amp;startStation=3&amp;endStation=32", "Clic para verlo en la web de RoadSurfer")</f>
        <v/>
      </c>
    </row>
    <row r="146">
      <c r="A146" t="inlineStr">
        <is>
          <t>Alemania</t>
        </is>
      </c>
      <c r="B146" t="inlineStr">
        <is>
          <t>Hamburgo</t>
        </is>
      </c>
      <c r="C146" t="inlineStr">
        <is>
          <t>España</t>
        </is>
      </c>
      <c r="D146" t="inlineStr">
        <is>
          <t>Valencia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Camper Castle</t>
        </is>
      </c>
      <c r="H146">
        <f>HYPERLINK("https://booking.roadsurfer.com/es/rally/pick?pickup_date=2026-03-09&amp;return_date=2026-03-16&amp;currency=EUR&amp;startStation=3&amp;endStation=38", "Clic para verlo en la web de RoadSurfer")</f>
        <v/>
      </c>
    </row>
    <row r="147">
      <c r="A147" t="inlineStr">
        <is>
          <t>Alemania</t>
        </is>
      </c>
      <c r="B147" t="inlineStr">
        <is>
          <t>Hamburgo</t>
        </is>
      </c>
      <c r="C147" t="inlineStr">
        <is>
          <t>Suecia</t>
        </is>
      </c>
      <c r="D147" t="inlineStr">
        <is>
          <t>Gotemburgo</t>
        </is>
      </c>
      <c r="E147" t="inlineStr">
        <is>
          <t>2026-04-02</t>
        </is>
      </c>
      <c r="F147" t="inlineStr">
        <is>
          <t>2026-04-09</t>
        </is>
      </c>
      <c r="G147" t="inlineStr">
        <is>
          <t xml:space="preserve"> - Beach Hostel</t>
        </is>
      </c>
      <c r="H147">
        <f>HYPERLINK("https://booking.roadsurfer.com/es/rally/pick?pickup_date=2026-04-02&amp;return_date=2026-04-09&amp;currency=EUR&amp;startStation=3&amp;endStation=77",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Austria</t>
        </is>
      </c>
      <c r="D148" t="inlineStr">
        <is>
          <t>Graz</t>
        </is>
      </c>
      <c r="E148" t="inlineStr">
        <is>
          <t>2026-03-06</t>
        </is>
      </c>
      <c r="F148" t="inlineStr">
        <is>
          <t>2026-03-13</t>
        </is>
      </c>
      <c r="G148" t="inlineStr">
        <is>
          <t xml:space="preserve"> - ROAD HOUSE</t>
        </is>
      </c>
      <c r="H148">
        <f>HYPERLINK("https://booking.roadsurfer.com/es/rally/pick?pickup_date=2026-03-06&amp;return_date=2026-03-13&amp;currency=EUR&amp;startStation=3&amp;endStation=37",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Francia</t>
        </is>
      </c>
      <c r="D149" t="inlineStr">
        <is>
          <t>París Aeropuerto CDG</t>
        </is>
      </c>
      <c r="E149" t="inlineStr">
        <is>
          <t>2026-04-11</t>
        </is>
      </c>
      <c r="F149" t="inlineStr">
        <is>
          <t>2026-04-17</t>
        </is>
      </c>
      <c r="G149" t="inlineStr">
        <is>
          <t xml:space="preserve"> - FAMILY FINCA</t>
        </is>
      </c>
      <c r="H149">
        <f>HYPERLINK("https://booking.roadsurfer.com/es/rally/pick?pickup_date=2026-04-11&amp;return_date=2026-04-17&amp;currency=EUR&amp;startStation=3&amp;endStation=48", "Clic para verlo en la web de RoadSurfer")</f>
        <v/>
      </c>
    </row>
    <row r="150">
      <c r="A150" t="inlineStr">
        <is>
          <t>Alemania</t>
        </is>
      </c>
      <c r="B150" t="inlineStr">
        <is>
          <t>Hamburgo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2026-04-02</t>
        </is>
      </c>
      <c r="F150" t="inlineStr">
        <is>
          <t>2026-04-08</t>
        </is>
      </c>
      <c r="G150" t="inlineStr">
        <is>
          <t xml:space="preserve"> - Beach Hostel</t>
        </is>
      </c>
      <c r="H150">
        <f>HYPERLINK("https://booking.roadsurfer.com/es/rally/pick?pickup_date=2026-04-02&amp;return_date=2026-04-08&amp;currency=EUR&amp;startStation=3&amp;endStation=59", "Clic para verlo en la web de RoadSurfer")</f>
        <v/>
      </c>
    </row>
    <row r="151">
      <c r="A151" t="inlineStr">
        <is>
          <t>Alemania</t>
        </is>
      </c>
      <c r="B151" t="inlineStr">
        <is>
          <t>Hannover</t>
        </is>
      </c>
      <c r="C151" t="inlineStr">
        <is>
          <t>Países Bajos</t>
        </is>
      </c>
      <c r="D151" t="inlineStr">
        <is>
          <t>Róterdam</t>
        </is>
      </c>
      <c r="E151" t="inlineStr">
        <is>
          <t>2026-03-05</t>
        </is>
      </c>
      <c r="F151" t="inlineStr">
        <is>
          <t>2026-03-12</t>
        </is>
      </c>
      <c r="G151" t="inlineStr">
        <is>
          <t xml:space="preserve"> - Surfer Suite</t>
        </is>
      </c>
      <c r="H151">
        <f>HYPERLINK("https://booking.roadsurfer.com/es/rally/pick?pickup_date=2026-03-05&amp;return_date=2026-03-12&amp;currency=EUR&amp;startStation=7&amp;endStation=33", "Clic para verlo en la web de RoadSurfer")</f>
        <v/>
      </c>
    </row>
    <row r="152">
      <c r="A152" t="inlineStr">
        <is>
          <t>Alemania</t>
        </is>
      </c>
      <c r="B152" t="inlineStr">
        <is>
          <t>Hannover</t>
        </is>
      </c>
      <c r="C152" t="inlineStr">
        <is>
          <t>Alemania</t>
        </is>
      </c>
      <c r="D152" t="inlineStr">
        <is>
          <t>Braunschweig</t>
        </is>
      </c>
      <c r="E152" t="inlineStr">
        <is>
          <t>2026-04-20</t>
        </is>
      </c>
      <c r="F152" t="inlineStr">
        <is>
          <t>2026-04-27</t>
        </is>
      </c>
      <c r="G152" t="inlineStr">
        <is>
          <t xml:space="preserve"> - No hay coche</t>
        </is>
      </c>
      <c r="H152">
        <f>HYPERLINK("https://booking.roadsurfer.com/es/rally/pick?pickup_date=2026-04-20&amp;return_date=2026-04-27&amp;currency=EUR&amp;startStation=7&amp;endStation=128", "Clic para verlo en la web de RoadSurfer")</f>
        <v/>
      </c>
    </row>
    <row r="153">
      <c r="A153" t="inlineStr">
        <is>
          <t>Alemania</t>
        </is>
      </c>
      <c r="B153" t="inlineStr">
        <is>
          <t>Hannover</t>
        </is>
      </c>
      <c r="C153" t="inlineStr">
        <is>
          <t>España</t>
        </is>
      </c>
      <c r="D153" t="inlineStr">
        <is>
          <t>Madrid</t>
        </is>
      </c>
      <c r="E153" t="inlineStr">
        <is>
          <t>2026-03-07</t>
        </is>
      </c>
      <c r="F153" t="inlineStr">
        <is>
          <t>2026-03-14</t>
        </is>
      </c>
      <c r="G153" t="inlineStr">
        <is>
          <t xml:space="preserve"> - Road House</t>
        </is>
      </c>
      <c r="H153">
        <f>HYPERLINK("https://booking.roadsurfer.com/es/rally/pick?pickup_date=2026-03-07&amp;return_date=2026-03-14&amp;currency=EUR&amp;startStation=7&amp;endStation=20", "Clic para verlo en la web de RoadSurfer")</f>
        <v/>
      </c>
    </row>
    <row r="154">
      <c r="A154" t="inlineStr">
        <is>
          <t>Alemania</t>
        </is>
      </c>
      <c r="B154" t="inlineStr">
        <is>
          <t>Heidelberg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2026-03-09</t>
        </is>
      </c>
      <c r="F154" t="inlineStr">
        <is>
          <t>2026-03-16</t>
        </is>
      </c>
      <c r="G154" t="inlineStr">
        <is>
          <t xml:space="preserve"> - ROAD HOUSE</t>
        </is>
      </c>
      <c r="H154">
        <f>HYPERLINK("https://booking.roadsurfer.com/es/rally/pick?pickup_date=2026-03-09&amp;return_date=2026-03-16&amp;currency=EUR&amp;startStation=79&amp;endStation=13", "Clic para verlo en la web de RoadSurfer")</f>
        <v/>
      </c>
    </row>
    <row r="155">
      <c r="A155" t="inlineStr">
        <is>
          <t>Alemania</t>
        </is>
      </c>
      <c r="B155" t="inlineStr">
        <is>
          <t>Heidelberg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Family Finca</t>
        </is>
      </c>
      <c r="H155">
        <f>HYPERLINK("https://booking.roadsurfer.com/es/rally/pick?pickup_date=2026-03-09&amp;return_date=2026-03-16&amp;currency=EUR&amp;startStation=79&amp;endStation=15", "Clic para verlo en la web de RoadSurfer")</f>
        <v/>
      </c>
    </row>
    <row r="156">
      <c r="A156" t="inlineStr">
        <is>
          <t>Alemania</t>
        </is>
      </c>
      <c r="B156" t="inlineStr">
        <is>
          <t>Heidelberg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2026-03-04</t>
        </is>
      </c>
      <c r="F156" t="inlineStr">
        <is>
          <t>2026-03-11</t>
        </is>
      </c>
      <c r="G156" t="inlineStr">
        <is>
          <t xml:space="preserve"> - Camper Castle</t>
        </is>
      </c>
      <c r="H156">
        <f>HYPERLINK("https://booking.roadsurfer.com/es/rally/pick?pickup_date=2026-03-04&amp;return_date=2026-03-11&amp;currency=EUR&amp;startStation=79&amp;endStation=36", "Clic para verlo en la web de RoadSurfer")</f>
        <v/>
      </c>
    </row>
    <row r="157">
      <c r="A157" t="inlineStr">
        <is>
          <t>Austria</t>
        </is>
      </c>
      <c r="B157" t="inlineStr">
        <is>
          <t>Innsbruck-Wiesing</t>
        </is>
      </c>
      <c r="C157" t="inlineStr">
        <is>
          <t>Austria</t>
        </is>
      </c>
      <c r="D157" t="inlineStr">
        <is>
          <t>Viena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BEACH HOSTEL</t>
        </is>
      </c>
      <c r="H157">
        <f>HYPERLINK("https://booking.roadsurfer.com/es/rally/pick?pickup_date=2026-03-09&amp;return_date=2026-03-16&amp;currency=EUR&amp;startStation=46&amp;endStation=36", "Clic para verlo en la web de RoadSurfer")</f>
        <v/>
      </c>
    </row>
    <row r="158">
      <c r="A158" t="inlineStr">
        <is>
          <t>Austria</t>
        </is>
      </c>
      <c r="B158" t="inlineStr">
        <is>
          <t>Innsbruck-Wiesing</t>
        </is>
      </c>
      <c r="C158" t="inlineStr">
        <is>
          <t>Alemania</t>
        </is>
      </c>
      <c r="D158" t="inlineStr">
        <is>
          <t>Aquisgrán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Camper Cabin</t>
        </is>
      </c>
      <c r="H158">
        <f>HYPERLINK("https://booking.roadsurfer.com/es/rally/pick?pickup_date=2026-03-09&amp;return_date=2026-03-16&amp;currency=EUR&amp;startStation=46&amp;endStation=114", "Clic para verlo en la web de RoadSurfer")</f>
        <v/>
      </c>
    </row>
    <row r="159">
      <c r="A159" t="inlineStr">
        <is>
          <t>Alemania</t>
        </is>
      </c>
      <c r="B159" t="inlineStr">
        <is>
          <t>Karlsruhe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2026-03-07</t>
        </is>
      </c>
      <c r="F159" t="inlineStr">
        <is>
          <t>2026-03-14</t>
        </is>
      </c>
      <c r="G159" t="inlineStr">
        <is>
          <t xml:space="preserve"> - Surfer Suite</t>
        </is>
      </c>
      <c r="H159">
        <f>HYPERLINK("https://booking.roadsurfer.com/es/rally/pick?pickup_date=2026-03-07&amp;return_date=2026-03-14&amp;currency=EUR&amp;startStation=110&amp;endStation=15", "Clic para verlo en la web de RoadSurfer")</f>
        <v/>
      </c>
    </row>
    <row r="160">
      <c r="A160" t="inlineStr">
        <is>
          <t>Alemania</t>
        </is>
      </c>
      <c r="B160" t="inlineStr">
        <is>
          <t>Karlsruhe</t>
        </is>
      </c>
      <c r="C160" t="inlineStr">
        <is>
          <t>Francia</t>
        </is>
      </c>
      <c r="D160" t="inlineStr">
        <is>
          <t>Toulouse</t>
        </is>
      </c>
      <c r="E160" t="inlineStr">
        <is>
          <t>2026-03-06</t>
        </is>
      </c>
      <c r="F160" t="inlineStr">
        <is>
          <t>2026-03-13</t>
        </is>
      </c>
      <c r="G160" t="inlineStr">
        <is>
          <t xml:space="preserve"> - Road House</t>
        </is>
      </c>
      <c r="H160">
        <f>HYPERLINK("https://booking.roadsurfer.com/es/rally/pick?pickup_date=2026-03-06&amp;return_date=2026-03-13&amp;currency=EUR&amp;startStation=110&amp;endStation=30", "Clic para verlo en la web de RoadSurfer")</f>
        <v/>
      </c>
    </row>
    <row r="161">
      <c r="A161" t="inlineStr">
        <is>
          <t>Alemania</t>
        </is>
      </c>
      <c r="B161" t="inlineStr">
        <is>
          <t>Kassel</t>
        </is>
      </c>
      <c r="C161" t="inlineStr">
        <is>
          <t>Alemania</t>
        </is>
      </c>
      <c r="D161" t="inlineStr">
        <is>
          <t>Heidelberg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Surfer Suite</t>
        </is>
      </c>
      <c r="H161">
        <f>HYPERLINK("https://booking.roadsurfer.com/es/rally/pick?pickup_date=2026-03-09&amp;return_date=2026-03-16&amp;currency=EUR&amp;startStation=92&amp;endStation=79", "Clic para verlo en la web de RoadSurfer")</f>
        <v/>
      </c>
    </row>
    <row r="162">
      <c r="A162" t="inlineStr">
        <is>
          <t>EE.UU.</t>
        </is>
      </c>
      <c r="B162" t="inlineStr">
        <is>
          <t>Las Vegas</t>
        </is>
      </c>
      <c r="C162" t="inlineStr">
        <is>
          <t>EE.UU.</t>
        </is>
      </c>
      <c r="D162" t="inlineStr">
        <is>
          <t>Seattle</t>
        </is>
      </c>
      <c r="E162" t="inlineStr">
        <is>
          <t>2026-03-20</t>
        </is>
      </c>
      <c r="F162" t="inlineStr">
        <is>
          <t>2026-03-27</t>
        </is>
      </c>
      <c r="G162" t="inlineStr">
        <is>
          <t xml:space="preserve"> - Family Freedom</t>
        </is>
      </c>
      <c r="H162">
        <f>HYPERLINK("https://booking.roadsurfer.com/es/rally/pick?pickup_date=2026-03-20&amp;return_date=2026-03-27&amp;currency=EUR&amp;startStation=76&amp;endStation=107", "Clic para verlo en la web de RoadSurfer")</f>
        <v/>
      </c>
    </row>
    <row r="163">
      <c r="A163" t="inlineStr">
        <is>
          <t>EE.UU.</t>
        </is>
      </c>
      <c r="B163" t="inlineStr">
        <is>
          <t>Las Vegas</t>
        </is>
      </c>
      <c r="C163" t="inlineStr">
        <is>
          <t>EE.UU.</t>
        </is>
      </c>
      <c r="D163" t="inlineStr">
        <is>
          <t>Seattle</t>
        </is>
      </c>
      <c r="E163" t="inlineStr">
        <is>
          <t>2026-03-27</t>
        </is>
      </c>
      <c r="F163" t="inlineStr">
        <is>
          <t>2026-04-03</t>
        </is>
      </c>
      <c r="G163" t="inlineStr">
        <is>
          <t xml:space="preserve"> - Family Freedom</t>
        </is>
      </c>
      <c r="H163">
        <f>HYPERLINK("https://booking.roadsurfer.com/es/rally/pick?pickup_date=2026-03-27&amp;return_date=2026-04-03&amp;currency=EUR&amp;startStation=76&amp;endStation=107", "Clic para verlo en la web de RoadSurfer")</f>
        <v/>
      </c>
    </row>
    <row r="164">
      <c r="A164" t="inlineStr">
        <is>
          <t>EE.UU.</t>
        </is>
      </c>
      <c r="B164" t="inlineStr">
        <is>
          <t>Las Vegas</t>
        </is>
      </c>
      <c r="C164" t="inlineStr">
        <is>
          <t>EE.UU.</t>
        </is>
      </c>
      <c r="D164" t="inlineStr">
        <is>
          <t>Seattle</t>
        </is>
      </c>
      <c r="E164" t="inlineStr">
        <is>
          <t>2026-03-25</t>
        </is>
      </c>
      <c r="F164" t="inlineStr">
        <is>
          <t>2026-04-01</t>
        </is>
      </c>
      <c r="G164" t="inlineStr">
        <is>
          <t xml:space="preserve"> - Liberty Lodge</t>
        </is>
      </c>
      <c r="H164">
        <f>HYPERLINK("https://booking.roadsurfer.com/es/rally/pick?pickup_date=2026-03-25&amp;return_date=2026-04-01&amp;currency=EUR&amp;startStation=76&amp;endStation=107", "Clic para verlo en la web de RoadSurfer")</f>
        <v/>
      </c>
    </row>
    <row r="165">
      <c r="A165" t="inlineStr">
        <is>
          <t>Alemania</t>
        </is>
      </c>
      <c r="B165" t="inlineStr">
        <is>
          <t>Leipzig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2026-03-07</t>
        </is>
      </c>
      <c r="F165" t="inlineStr">
        <is>
          <t>2026-03-14</t>
        </is>
      </c>
      <c r="G165" t="inlineStr">
        <is>
          <t xml:space="preserve"> - No hay coche</t>
        </is>
      </c>
      <c r="H165">
        <f>HYPERLINK("https://booking.roadsurfer.com/es/rally/pick?pickup_date=2026-03-07&amp;return_date=2026-03-14&amp;currency=EUR&amp;startStation=8&amp;endStation=32",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2026-03-03</t>
        </is>
      </c>
      <c r="F166" t="inlineStr">
        <is>
          <t>2026-03-10</t>
        </is>
      </c>
      <c r="G166" t="inlineStr">
        <is>
          <t xml:space="preserve"> - Road House</t>
        </is>
      </c>
      <c r="H166">
        <f>HYPERLINK("https://booking.roadsurfer.com/es/rally/pick?pickup_date=2026-03-03&amp;return_date=2026-03-10&amp;currency=EUR&amp;startStation=8&amp;endStation=33",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Países Bajos</t>
        </is>
      </c>
      <c r="D167" t="inlineStr">
        <is>
          <t>Róterdam</t>
        </is>
      </c>
      <c r="E167" t="inlineStr">
        <is>
          <t>2026-03-05</t>
        </is>
      </c>
      <c r="F167" t="inlineStr">
        <is>
          <t>2026-03-12</t>
        </is>
      </c>
      <c r="G167" t="inlineStr">
        <is>
          <t xml:space="preserve"> - Road House</t>
        </is>
      </c>
      <c r="H167">
        <f>HYPERLINK("https://booking.roadsurfer.com/es/rally/pick?pickup_date=2026-03-05&amp;return_date=2026-03-12&amp;currency=EUR&amp;startStation=8&amp;endStation=33",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2026-03-06</t>
        </is>
      </c>
      <c r="F168" t="inlineStr">
        <is>
          <t>2026-03-13</t>
        </is>
      </c>
      <c r="G168" t="inlineStr">
        <is>
          <t xml:space="preserve"> - Road House</t>
        </is>
      </c>
      <c r="H168">
        <f>HYPERLINK("https://booking.roadsurfer.com/es/rally/pick?pickup_date=2026-03-06&amp;return_date=2026-03-13&amp;currency=EUR&amp;startStation=8&amp;endStation=33",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Alemania</t>
        </is>
      </c>
      <c r="D169" t="inlineStr">
        <is>
          <t>Braunschweig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No hay coche</t>
        </is>
      </c>
      <c r="H169">
        <f>HYPERLINK("https://booking.roadsurfer.com/es/rally/pick?pickup_date=2026-04-20&amp;return_date=2026-04-27&amp;currency=EUR&amp;startStation=8&amp;endStation=128",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2026-04-13</t>
        </is>
      </c>
      <c r="F170" t="inlineStr">
        <is>
          <t>2026-04-20</t>
        </is>
      </c>
      <c r="G170" t="inlineStr">
        <is>
          <t xml:space="preserve"> - Family Finca</t>
        </is>
      </c>
      <c r="H170">
        <f>HYPERLINK("https://booking.roadsurfer.com/es/rally/pick?pickup_date=2026-04-13&amp;return_date=2026-04-20&amp;currency=EUR&amp;startStation=8&amp;endStation=42",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Road House</t>
        </is>
      </c>
      <c r="H171">
        <f>HYPERLINK("https://booking.roadsurfer.com/es/rally/pick?pickup_date=2026-03-09&amp;return_date=2026-03-16&amp;currency=EUR&amp;startStation=8&amp;endStation=45",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Italia</t>
        </is>
      </c>
      <c r="D172" t="inlineStr">
        <is>
          <t>Roma Aeropuerto Fiumicino</t>
        </is>
      </c>
      <c r="E172" t="inlineStr">
        <is>
          <t>2026-03-09</t>
        </is>
      </c>
      <c r="F172" t="inlineStr">
        <is>
          <t>2026-03-16</t>
        </is>
      </c>
      <c r="G172" t="inlineStr">
        <is>
          <t xml:space="preserve"> - Road House</t>
        </is>
      </c>
      <c r="H172">
        <f>HYPERLINK("https://booking.roadsurfer.com/es/rally/pick?pickup_date=2026-03-09&amp;return_date=2026-03-16&amp;currency=EUR&amp;startStation=8&amp;endStation=35", "Clic para verlo en la web de RoadSurfer")</f>
        <v/>
      </c>
    </row>
    <row r="173">
      <c r="A173" t="inlineStr">
        <is>
          <t>Francia</t>
        </is>
      </c>
      <c r="B173" t="inlineStr">
        <is>
          <t>Lille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2026-03-04</t>
        </is>
      </c>
      <c r="F173" t="inlineStr">
        <is>
          <t>2026-03-11</t>
        </is>
      </c>
      <c r="G173" t="inlineStr">
        <is>
          <t xml:space="preserve"> - Surfer Suite</t>
        </is>
      </c>
      <c r="H173">
        <f>HYPERLINK("https://booking.roadsurfer.com/es/rally/pick?pickup_date=2026-03-04&amp;return_date=2026-03-11&amp;currency=EUR&amp;startStation=87&amp;endStation=56", "Clic para verlo en la web de RoadSurfer")</f>
        <v/>
      </c>
    </row>
    <row r="174">
      <c r="A174" t="inlineStr">
        <is>
          <t>Francia</t>
        </is>
      </c>
      <c r="B174" t="inlineStr">
        <is>
          <t>Lille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Family Finca</t>
        </is>
      </c>
      <c r="H174">
        <f>HYPERLINK("https://booking.roadsurfer.com/es/rally/pick?pickup_date=2026-05-04&amp;return_date=2026-05-11&amp;currency=EUR&amp;startStation=87&amp;endStation=91", "Clic para verlo en la web de RoadSurfer")</f>
        <v/>
      </c>
    </row>
    <row r="175">
      <c r="A175" t="inlineStr">
        <is>
          <t>Francia</t>
        </is>
      </c>
      <c r="B175" t="inlineStr">
        <is>
          <t>Lille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2026-03-09</t>
        </is>
      </c>
      <c r="F175" t="inlineStr">
        <is>
          <t>2026-03-16</t>
        </is>
      </c>
      <c r="G175" t="inlineStr">
        <is>
          <t xml:space="preserve"> - Family Finca</t>
        </is>
      </c>
      <c r="H175">
        <f>HYPERLINK("https://booking.roadsurfer.com/es/rally/pick?pickup_date=2026-03-09&amp;return_date=2026-03-16&amp;currency=EUR&amp;startStation=87&amp;endStation=90", "Clic para verlo en la web de RoadSurfer")</f>
        <v/>
      </c>
    </row>
    <row r="176">
      <c r="A176" t="inlineStr">
        <is>
          <t>Alemania</t>
        </is>
      </c>
      <c r="B176" t="inlineStr">
        <is>
          <t>Lindau-Wangen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Road House</t>
        </is>
      </c>
      <c r="H176">
        <f>HYPERLINK("https://booking.roadsurfer.com/es/rally/pick?pickup_date=2026-03-09&amp;return_date=2026-03-16&amp;currency=EUR&amp;startStation=117&amp;endStation=13", "Clic para verlo en la web de RoadSurfer")</f>
        <v/>
      </c>
    </row>
    <row r="177">
      <c r="A177" t="inlineStr">
        <is>
          <t>Alemania</t>
        </is>
      </c>
      <c r="B177" t="inlineStr">
        <is>
          <t>Lindau-Wangen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2026-03-21</t>
        </is>
      </c>
      <c r="F177" t="inlineStr">
        <is>
          <t>2026-03-28</t>
        </is>
      </c>
      <c r="G177" t="inlineStr">
        <is>
          <t xml:space="preserve"> - Family Finca</t>
        </is>
      </c>
      <c r="H177">
        <f>HYPERLINK("https://booking.roadsurfer.com/es/rally/pick?pickup_date=2026-03-21&amp;return_date=2026-03-28&amp;currency=EUR&amp;startStation=117&amp;endStation=15", "Clic para verlo en la web de RoadSurfer")</f>
        <v/>
      </c>
    </row>
    <row r="178">
      <c r="A178" t="inlineStr">
        <is>
          <t>EE.UU.</t>
        </is>
      </c>
      <c r="B178" t="inlineStr">
        <is>
          <t>Los Ángeles</t>
        </is>
      </c>
      <c r="C178" t="inlineStr">
        <is>
          <t>EE.UU.</t>
        </is>
      </c>
      <c r="D178" t="inlineStr">
        <is>
          <t>Seattle</t>
        </is>
      </c>
      <c r="E178" t="inlineStr">
        <is>
          <t>2026-03-02</t>
        </is>
      </c>
      <c r="F178" t="inlineStr">
        <is>
          <t>2026-03-09</t>
        </is>
      </c>
      <c r="G178" t="inlineStr">
        <is>
          <t xml:space="preserve"> - Liberty Lodge</t>
        </is>
      </c>
      <c r="H178">
        <f>HYPERLINK("https://booking.roadsurfer.com/es/rally/pick?pickup_date=2026-03-02&amp;return_date=2026-03-09&amp;currency=EUR&amp;startStation=72&amp;endStation=107", "Clic para verlo en la web de RoadSurfer")</f>
        <v/>
      </c>
    </row>
    <row r="179">
      <c r="A179" t="inlineStr">
        <is>
          <t>Alemania</t>
        </is>
      </c>
      <c r="B179" t="inlineStr">
        <is>
          <t>Lübeck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Road House</t>
        </is>
      </c>
      <c r="H179">
        <f>HYPERLINK("https://booking.roadsurfer.com/es/rally/pick?pickup_date=2026-03-09&amp;return_date=2026-03-16&amp;currency=EUR&amp;startStation=109&amp;endStation=15", "Clic para verlo en la web de RoadSurfer")</f>
        <v/>
      </c>
    </row>
    <row r="180">
      <c r="A180" t="inlineStr">
        <is>
          <t>Alemania</t>
        </is>
      </c>
      <c r="B180" t="inlineStr">
        <is>
          <t>Lübeck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Road House</t>
        </is>
      </c>
      <c r="H180">
        <f>HYPERLINK("https://booking.roadsurfer.com/es/rally/pick?pickup_date=2026-03-09&amp;return_date=2026-03-16&amp;currency=EUR&amp;startStation=109&amp;endStation=20",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Karlsruhe</t>
        </is>
      </c>
      <c r="E181" t="inlineStr">
        <is>
          <t>2026-03-06</t>
        </is>
      </c>
      <c r="F181" t="inlineStr">
        <is>
          <t>2026-03-13</t>
        </is>
      </c>
      <c r="G181" t="inlineStr">
        <is>
          <t xml:space="preserve"> - SURFER SUITE</t>
        </is>
      </c>
      <c r="H181">
        <f>HYPERLINK("https://booking.roadsurfer.com/es/rally/pick?pickup_date=2026-03-06&amp;return_date=2026-03-13&amp;currency=EUR&amp;startStation=15&amp;endStation=110",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Constanza (Aach)</t>
        </is>
      </c>
      <c r="E182" t="inlineStr">
        <is>
          <t>2026-03-05</t>
        </is>
      </c>
      <c r="F182" t="inlineStr">
        <is>
          <t>2026-03-12</t>
        </is>
      </c>
      <c r="G182" t="inlineStr">
        <is>
          <t xml:space="preserve"> - Road House</t>
        </is>
      </c>
      <c r="H182">
        <f>HYPERLINK("https://booking.roadsurfer.com/es/rally/pick?pickup_date=2026-03-05&amp;return_date=2026-03-12&amp;currency=EUR&amp;startStation=15&amp;endStation=10",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Beach Hostel</t>
        </is>
      </c>
      <c r="H183">
        <f>HYPERLINK("https://booking.roadsurfer.com/es/rally/pick?pickup_date=2026-03-09&amp;return_date=2026-03-16&amp;currency=EUR&amp;startStation=15&amp;endStation=2",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Lindau-Wangen</t>
        </is>
      </c>
      <c r="E184" t="inlineStr">
        <is>
          <t>2026-03-05</t>
        </is>
      </c>
      <c r="F184" t="inlineStr">
        <is>
          <t>2026-03-12</t>
        </is>
      </c>
      <c r="G184" t="inlineStr">
        <is>
          <t xml:space="preserve"> - No hay coche</t>
        </is>
      </c>
      <c r="H184">
        <f>HYPERLINK("https://booking.roadsurfer.com/es/rally/pick?pickup_date=2026-03-05&amp;return_date=2026-03-12&amp;currency=EUR&amp;startStation=15&amp;endStation=117",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Friburgo-Basilea (Alemania)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Couple Cottage</t>
        </is>
      </c>
      <c r="H185">
        <f>HYPERLINK("https://booking.roadsurfer.com/es/rally/pick?pickup_date=2026-04-15&amp;return_date=2026-04-22&amp;currency=EUR&amp;startStation=20&amp;endStation=9",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Fráncfort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Surfer Suite</t>
        </is>
      </c>
      <c r="H186">
        <f>HYPERLINK("https://booking.roadsurfer.com/es/rally/pick?pickup_date=2026-03-09&amp;return_date=2026-03-16&amp;currency=EUR&amp;startStation=20&amp;endStation=2",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Fráncfort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Camper Castle</t>
        </is>
      </c>
      <c r="H187">
        <f>HYPERLINK("https://booking.roadsurfer.com/es/rally/pick?pickup_date=2026-04-14&amp;return_date=2026-04-21&amp;currency=EUR&amp;startStation=20&amp;endStation=2",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Family Finca</t>
        </is>
      </c>
      <c r="H188">
        <f>HYPERLINK("https://booking.roadsurfer.com/es/rally/pick?pickup_date=2026-03-09&amp;return_date=2026-03-16&amp;currency=EUR&amp;startStation=20&amp;endStation=22",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Múnich</t>
        </is>
      </c>
      <c r="E189" t="inlineStr">
        <is>
          <t>2026-03-13</t>
        </is>
      </c>
      <c r="F189" t="inlineStr">
        <is>
          <t>2026-03-20</t>
        </is>
      </c>
      <c r="G189" t="inlineStr">
        <is>
          <t xml:space="preserve"> - Road House</t>
        </is>
      </c>
      <c r="H189">
        <f>HYPERLINK("https://booking.roadsurfer.com/es/rally/pick?pickup_date=2026-03-13&amp;return_date=2026-03-20&amp;currency=EUR&amp;startStation=20&amp;endStation=1", "Clic para verlo en la web de RoadSurfer")</f>
        <v/>
      </c>
    </row>
    <row r="190">
      <c r="A190" t="inlineStr">
        <is>
          <t>Alemania</t>
        </is>
      </c>
      <c r="B190" t="inlineStr">
        <is>
          <t>Maguncia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Couple Cottage</t>
        </is>
      </c>
      <c r="H190">
        <f>HYPERLINK("https://booking.roadsurfer.com/es/rally/pick?pickup_date=2026-03-09&amp;return_date=2026-03-16&amp;currency=EUR&amp;startStation=54&amp;endStation=13", "Clic para verlo en la web de RoadSurfer")</f>
        <v/>
      </c>
    </row>
    <row r="191">
      <c r="A191" t="inlineStr">
        <is>
          <t>Alemania</t>
        </is>
      </c>
      <c r="B191" t="inlineStr">
        <is>
          <t>Maguncia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2026-03-07</t>
        </is>
      </c>
      <c r="F191" t="inlineStr">
        <is>
          <t>2026-03-14</t>
        </is>
      </c>
      <c r="G191" t="inlineStr">
        <is>
          <t xml:space="preserve"> - Road House</t>
        </is>
      </c>
      <c r="H191">
        <f>HYPERLINK("https://booking.roadsurfer.com/es/rally/pick?pickup_date=2026-03-07&amp;return_date=2026-03-14&amp;currency=EUR&amp;startStation=54&amp;endStation=42", "Clic para verlo en la web de RoadSurfer")</f>
        <v/>
      </c>
    </row>
    <row r="192">
      <c r="A192" t="inlineStr">
        <is>
          <t>Alemania</t>
        </is>
      </c>
      <c r="B192" t="inlineStr">
        <is>
          <t>Maguncia</t>
        </is>
      </c>
      <c r="C192" t="inlineStr">
        <is>
          <t>Francia</t>
        </is>
      </c>
      <c r="D192" t="inlineStr">
        <is>
          <t>París Sur (Orly)</t>
        </is>
      </c>
      <c r="E192" t="inlineStr">
        <is>
          <t>2026-03-05</t>
        </is>
      </c>
      <c r="F192" t="inlineStr">
        <is>
          <t>2026-03-12</t>
        </is>
      </c>
      <c r="G192" t="inlineStr">
        <is>
          <t xml:space="preserve"> - Camper Cabin</t>
        </is>
      </c>
      <c r="H192">
        <f>HYPERLINK("https://booking.roadsurfer.com/es/rally/pick?pickup_date=2026-03-05&amp;return_date=2026-03-12&amp;currency=EUR&amp;startStation=54&amp;endStation=12", "Clic para verlo en la web de RoadSurfer")</f>
        <v/>
      </c>
    </row>
    <row r="193">
      <c r="A193" t="inlineStr">
        <is>
          <t>Alemania</t>
        </is>
      </c>
      <c r="B193" t="inlineStr">
        <is>
          <t>Maguncia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2026-03-09</t>
        </is>
      </c>
      <c r="F193" t="inlineStr">
        <is>
          <t>2026-03-16</t>
        </is>
      </c>
      <c r="G193" t="inlineStr">
        <is>
          <t xml:space="preserve"> - Family Finca</t>
        </is>
      </c>
      <c r="H193">
        <f>HYPERLINK("https://booking.roadsurfer.com/es/rally/pick?pickup_date=2026-03-09&amp;return_date=2026-03-16&amp;currency=EUR&amp;startStation=54&amp;endStation=15", "Clic para verlo en la web de RoadSurfer")</f>
        <v/>
      </c>
    </row>
    <row r="194">
      <c r="A194" t="inlineStr">
        <is>
          <t>Alemania</t>
        </is>
      </c>
      <c r="B194" t="inlineStr">
        <is>
          <t>Maguncia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2026-03-03</t>
        </is>
      </c>
      <c r="F194" t="inlineStr">
        <is>
          <t>2026-03-10</t>
        </is>
      </c>
      <c r="G194" t="inlineStr">
        <is>
          <t xml:space="preserve"> - Surfer Suite</t>
        </is>
      </c>
      <c r="H194">
        <f>HYPERLINK("https://booking.roadsurfer.com/es/rally/pick?pickup_date=2026-03-03&amp;return_date=2026-03-10&amp;currency=EUR&amp;startStation=54&amp;endStation=29", "Clic para verlo en la web de RoadSurfer")</f>
        <v/>
      </c>
    </row>
    <row r="195">
      <c r="A195" t="inlineStr">
        <is>
          <t>España</t>
        </is>
      </c>
      <c r="B195" t="inlineStr">
        <is>
          <t>Málaga</t>
        </is>
      </c>
      <c r="C195" t="inlineStr">
        <is>
          <t>Alemania</t>
        </is>
      </c>
      <c r="D195" t="inlineStr">
        <is>
          <t>Friburgo-Basilea (Alemania)</t>
        </is>
      </c>
      <c r="E195" t="inlineStr">
        <is>
          <t>2026-03-04</t>
        </is>
      </c>
      <c r="F195" t="inlineStr">
        <is>
          <t>2026-03-11</t>
        </is>
      </c>
      <c r="G195" t="inlineStr">
        <is>
          <t xml:space="preserve"> - Surfer Suite</t>
        </is>
      </c>
      <c r="H195">
        <f>HYPERLINK("https://booking.roadsurfer.com/es/rally/pick?pickup_date=2026-03-04&amp;return_date=2026-03-11&amp;currency=EUR&amp;startStation=21&amp;endStation=9",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Camper Castle</t>
        </is>
      </c>
      <c r="H196">
        <f>HYPERLINK("https://booking.roadsurfer.com/es/rally/pick?pickup_date=2026-04-20&amp;return_date=2026-04-27&amp;currency=EUR&amp;startStation=60&amp;endStation=5",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2026-03-07</t>
        </is>
      </c>
      <c r="F197" t="inlineStr">
        <is>
          <t>2026-03-14</t>
        </is>
      </c>
      <c r="G197" t="inlineStr">
        <is>
          <t xml:space="preserve"> - Road House</t>
        </is>
      </c>
      <c r="H197">
        <f>HYPERLINK("https://booking.roadsurfer.com/es/rally/pick?pickup_date=2026-03-07&amp;return_date=2026-03-14&amp;currency=EUR&amp;startStation=60&amp;endStation=55", "Clic para verlo en la web de RoadSurfer")</f>
        <v/>
      </c>
    </row>
    <row r="198">
      <c r="A198" t="inlineStr">
        <is>
          <t>Suecia</t>
        </is>
      </c>
      <c r="B198" t="inlineStr">
        <is>
          <t>Malmö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2026-03-05</t>
        </is>
      </c>
      <c r="F198" t="inlineStr">
        <is>
          <t>2026-03-12</t>
        </is>
      </c>
      <c r="G198" t="inlineStr">
        <is>
          <t xml:space="preserve"> - Road House</t>
        </is>
      </c>
      <c r="H198">
        <f>HYPERLINK("https://booking.roadsurfer.com/es/rally/pick?pickup_date=2026-03-05&amp;return_date=2026-03-12&amp;currency=EUR&amp;startStation=60&amp;endStation=55",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2026-03-03</t>
        </is>
      </c>
      <c r="F199" t="inlineStr">
        <is>
          <t>2026-03-10</t>
        </is>
      </c>
      <c r="G199" t="inlineStr">
        <is>
          <t xml:space="preserve"> - Surfer Suite</t>
        </is>
      </c>
      <c r="H199">
        <f>HYPERLINK("https://booking.roadsurfer.com/es/rally/pick?pickup_date=2026-03-03&amp;return_date=2026-03-10&amp;currency=EUR&amp;startStation=60&amp;endStation=55",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Hamburgo</t>
        </is>
      </c>
      <c r="E200" t="inlineStr">
        <is>
          <t>2026-03-07</t>
        </is>
      </c>
      <c r="F200" t="inlineStr">
        <is>
          <t>2026-03-14</t>
        </is>
      </c>
      <c r="G200" t="inlineStr">
        <is>
          <t xml:space="preserve"> - Surfer Suite</t>
        </is>
      </c>
      <c r="H200">
        <f>HYPERLINK("https://booking.roadsurfer.com/es/rally/pick?pickup_date=2026-03-07&amp;return_date=2026-03-14&amp;currency=EUR&amp;startStation=60&amp;endStation=3",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Hamburgo</t>
        </is>
      </c>
      <c r="E201" t="inlineStr">
        <is>
          <t>2026-03-05</t>
        </is>
      </c>
      <c r="F201" t="inlineStr">
        <is>
          <t>2026-03-12</t>
        </is>
      </c>
      <c r="G201" t="inlineStr">
        <is>
          <t xml:space="preserve"> - Road House</t>
        </is>
      </c>
      <c r="H201">
        <f>HYPERLINK("https://booking.roadsurfer.com/es/rally/pick?pickup_date=2026-03-05&amp;return_date=2026-03-12&amp;currency=EUR&amp;startStation=60&amp;endStation=3",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Berlín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Family Finca</t>
        </is>
      </c>
      <c r="H202">
        <f>HYPERLINK("https://booking.roadsurfer.com/es/rally/pick?pickup_date=2026-04-14&amp;return_date=2026-04-21&amp;currency=EUR&amp;startStation=60&amp;endStation=6",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Alemania</t>
        </is>
      </c>
      <c r="D203" t="inlineStr">
        <is>
          <t>Berlín-Schönefeld</t>
        </is>
      </c>
      <c r="E203" t="inlineStr">
        <is>
          <t>2026-04-15</t>
        </is>
      </c>
      <c r="F203" t="inlineStr">
        <is>
          <t>2026-04-22</t>
        </is>
      </c>
      <c r="G203" t="inlineStr">
        <is>
          <t xml:space="preserve"> - Family Finca</t>
        </is>
      </c>
      <c r="H203">
        <f>HYPERLINK("https://booking.roadsurfer.com/es/rally/pick?pickup_date=2026-04-15&amp;return_date=2026-04-22&amp;currency=EUR&amp;startStation=60&amp;endStation=51",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2026-04-14</t>
        </is>
      </c>
      <c r="F204" t="inlineStr">
        <is>
          <t>2026-04-21</t>
        </is>
      </c>
      <c r="G204" t="inlineStr">
        <is>
          <t xml:space="preserve"> - Family Finca</t>
        </is>
      </c>
      <c r="H204">
        <f>HYPERLINK("https://booking.roadsurfer.com/es/rally/pick?pickup_date=2026-04-14&amp;return_date=2026-04-21&amp;currency=EUR&amp;startStation=60&amp;endStation=91",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2026-03-09</t>
        </is>
      </c>
      <c r="F205" t="inlineStr">
        <is>
          <t>2026-03-16</t>
        </is>
      </c>
      <c r="G205" t="inlineStr">
        <is>
          <t xml:space="preserve"> - Road House</t>
        </is>
      </c>
      <c r="H205">
        <f>HYPERLINK("https://booking.roadsurfer.com/es/rally/pick?pickup_date=2026-03-09&amp;return_date=2026-03-16&amp;currency=EUR&amp;startStation=60&amp;endStation=77",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2026-03-09</t>
        </is>
      </c>
      <c r="F206" t="inlineStr">
        <is>
          <t>2026-03-16</t>
        </is>
      </c>
      <c r="G206" t="inlineStr">
        <is>
          <t xml:space="preserve"> - Beach Hostel</t>
        </is>
      </c>
      <c r="H206">
        <f>HYPERLINK("https://booking.roadsurfer.com/es/rally/pick?pickup_date=2026-03-09&amp;return_date=2026-03-16&amp;currency=EUR&amp;startStation=60&amp;endStation=22",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2026-05-11</t>
        </is>
      </c>
      <c r="F207" t="inlineStr">
        <is>
          <t>2026-05-18</t>
        </is>
      </c>
      <c r="G207" t="inlineStr">
        <is>
          <t xml:space="preserve"> - ROAD HOUSE</t>
        </is>
      </c>
      <c r="H207">
        <f>HYPERLINK("https://booking.roadsurfer.com/es/rally/pick?pickup_date=2026-05-11&amp;return_date=2026-05-18&amp;currency=EUR&amp;startStation=60&amp;endStation=59",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2026-03-05</t>
        </is>
      </c>
      <c r="F208" t="inlineStr">
        <is>
          <t>2026-03-12</t>
        </is>
      </c>
      <c r="G208" t="inlineStr">
        <is>
          <t xml:space="preserve"> - Couple Cottage</t>
        </is>
      </c>
      <c r="H208">
        <f>HYPERLINK("https://booking.roadsurfer.com/es/rally/pick?pickup_date=2026-03-05&amp;return_date=2026-03-12&amp;currency=EUR&amp;startStation=60&amp;endStation=59",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2026-03-04</t>
        </is>
      </c>
      <c r="F209" t="inlineStr">
        <is>
          <t>2026-03-11</t>
        </is>
      </c>
      <c r="G209" t="inlineStr">
        <is>
          <t xml:space="preserve"> - Surfer Suite</t>
        </is>
      </c>
      <c r="H209">
        <f>HYPERLINK("https://booking.roadsurfer.com/es/rally/pick?pickup_date=2026-03-04&amp;return_date=2026-03-11&amp;currency=EUR&amp;startStation=60&amp;endStation=59",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Hannover</t>
        </is>
      </c>
      <c r="E210" t="inlineStr">
        <is>
          <t>2026-03-09</t>
        </is>
      </c>
      <c r="F210" t="inlineStr">
        <is>
          <t>2026-03-16</t>
        </is>
      </c>
      <c r="G210" t="inlineStr">
        <is>
          <t xml:space="preserve"> - Surfer Suite</t>
        </is>
      </c>
      <c r="H210">
        <f>HYPERLINK("https://booking.roadsurfer.com/es/rally/pick?pickup_date=2026-03-09&amp;return_date=2026-03-16&amp;currency=EUR&amp;startStation=60&amp;endStation=7",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2026-03-04</t>
        </is>
      </c>
      <c r="F211" t="inlineStr">
        <is>
          <t>2026-03-11</t>
        </is>
      </c>
      <c r="G211" t="inlineStr">
        <is>
          <t xml:space="preserve"> - Surfer Suite</t>
        </is>
      </c>
      <c r="H211">
        <f>HYPERLINK("https://booking.roadsurfer.com/es/rally/pick?pickup_date=2026-03-04&amp;return_date=2026-03-11&amp;currency=EUR&amp;startStation=22&amp;endStation=12",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París Sur (Orly)</t>
        </is>
      </c>
      <c r="E212" t="inlineStr">
        <is>
          <t>2026-03-31</t>
        </is>
      </c>
      <c r="F212" t="inlineStr">
        <is>
          <t>2026-04-07</t>
        </is>
      </c>
      <c r="G212" t="inlineStr">
        <is>
          <t xml:space="preserve"> - Surfer Suite</t>
        </is>
      </c>
      <c r="H212">
        <f>HYPERLINK("https://booking.roadsurfer.com/es/rally/pick?pickup_date=2026-03-31&amp;return_date=2026-04-07&amp;currency=EUR&amp;startStation=22&amp;endStation=12",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Aix-Marsella</t>
        </is>
      </c>
      <c r="E213" t="inlineStr">
        <is>
          <t>2026-03-06</t>
        </is>
      </c>
      <c r="F213" t="inlineStr">
        <is>
          <t>2026-03-13</t>
        </is>
      </c>
      <c r="G213" t="inlineStr">
        <is>
          <t xml:space="preserve"> - Surfer Suite</t>
        </is>
      </c>
      <c r="H213">
        <f>HYPERLINK("https://booking.roadsurfer.com/es/rally/pick?pickup_date=2026-03-06&amp;return_date=2026-03-13&amp;currency=EUR&amp;startStation=22&amp;endStation=16",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Italia</t>
        </is>
      </c>
      <c r="D214" t="inlineStr">
        <is>
          <t>Bérgamo</t>
        </is>
      </c>
      <c r="E214" t="inlineStr">
        <is>
          <t>2026-03-06</t>
        </is>
      </c>
      <c r="F214" t="inlineStr">
        <is>
          <t>2026-03-13</t>
        </is>
      </c>
      <c r="G214" t="inlineStr">
        <is>
          <t xml:space="preserve"> - Surfer Suite</t>
        </is>
      </c>
      <c r="H214">
        <f>HYPERLINK("https://booking.roadsurfer.com/es/rally/pick?pickup_date=2026-03-06&amp;return_date=2026-03-13&amp;currency=EUR&amp;startStation=22&amp;endStation=94",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2026-03-03</t>
        </is>
      </c>
      <c r="F215" t="inlineStr">
        <is>
          <t>2026-03-13</t>
        </is>
      </c>
      <c r="G215" t="inlineStr">
        <is>
          <t xml:space="preserve"> - Surfer Suite</t>
        </is>
      </c>
      <c r="H215">
        <f>HYPERLINK("https://booking.roadsurfer.com/es/rally/pick?pickup_date=2026-03-03&amp;return_date=2026-03-13&amp;currency=EUR&amp;startStation=22&amp;endStation=48",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2026-03-05</t>
        </is>
      </c>
      <c r="F216" t="inlineStr">
        <is>
          <t>2026-03-12</t>
        </is>
      </c>
      <c r="G216" t="inlineStr">
        <is>
          <t xml:space="preserve"> - Surfer Suite</t>
        </is>
      </c>
      <c r="H216">
        <f>HYPERLINK("https://booking.roadsurfer.com/es/rally/pick?pickup_date=2026-03-05&amp;return_date=2026-03-12&amp;currency=EUR&amp;startStation=22&amp;endStation=29",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Ginebra-Pays de Gex (Francia)</t>
        </is>
      </c>
      <c r="E217" t="inlineStr">
        <is>
          <t>2026-03-19</t>
        </is>
      </c>
      <c r="F217" t="inlineStr">
        <is>
          <t>2026-03-26</t>
        </is>
      </c>
      <c r="G217" t="inlineStr">
        <is>
          <t xml:space="preserve"> - Family Finca</t>
        </is>
      </c>
      <c r="H217">
        <f>HYPERLINK("https://booking.roadsurfer.com/es/rally/pick?pickup_date=2026-03-19&amp;return_date=2026-03-26&amp;currency=EUR&amp;startStation=22&amp;endStation=29",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2026-03-25</t>
        </is>
      </c>
      <c r="F218" t="inlineStr">
        <is>
          <t>2026-04-01</t>
        </is>
      </c>
      <c r="G218" t="inlineStr">
        <is>
          <t xml:space="preserve"> - Surfer Suite</t>
        </is>
      </c>
      <c r="H218">
        <f>HYPERLINK("https://booking.roadsurfer.com/es/rally/pick?pickup_date=2026-03-25&amp;return_date=2026-04-01&amp;currency=EUR&amp;startStation=22&amp;endStation=31",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2026-04-06</t>
        </is>
      </c>
      <c r="F219" t="inlineStr">
        <is>
          <t>2026-04-13</t>
        </is>
      </c>
      <c r="G219" t="inlineStr">
        <is>
          <t xml:space="preserve"> - Surfer Suite</t>
        </is>
      </c>
      <c r="H219">
        <f>HYPERLINK("https://booking.roadsurfer.com/es/rally/pick?pickup_date=2026-04-06&amp;return_date=2026-04-13&amp;currency=EUR&amp;startStation=22&amp;endStation=13",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Italia</t>
        </is>
      </c>
      <c r="D220" t="inlineStr">
        <is>
          <t>Roma Aeropuerto Fiumicino</t>
        </is>
      </c>
      <c r="E220" t="inlineStr">
        <is>
          <t>2026-03-05</t>
        </is>
      </c>
      <c r="F220" t="inlineStr">
        <is>
          <t>2026-03-12</t>
        </is>
      </c>
      <c r="G220" t="inlineStr">
        <is>
          <t xml:space="preserve"> - Beach Hostel</t>
        </is>
      </c>
      <c r="H220">
        <f>HYPERLINK("https://booking.roadsurfer.com/es/rally/pick?pickup_date=2026-03-05&amp;return_date=2026-03-12&amp;currency=EUR&amp;startStation=22&amp;endStation=35",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España</t>
        </is>
      </c>
      <c r="D221" t="inlineStr">
        <is>
          <t>Sevilla</t>
        </is>
      </c>
      <c r="E221" t="inlineStr">
        <is>
          <t>2026-03-09</t>
        </is>
      </c>
      <c r="F221" t="inlineStr">
        <is>
          <t>2026-03-16</t>
        </is>
      </c>
      <c r="G221" t="inlineStr">
        <is>
          <t xml:space="preserve"> - Beach Hostel</t>
        </is>
      </c>
      <c r="H221">
        <f>HYPERLINK("https://booking.roadsurfer.com/es/rally/pick?pickup_date=2026-03-09&amp;return_date=2026-03-16&amp;currency=EUR&amp;startStation=22&amp;endStation=39",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2026-04-04</t>
        </is>
      </c>
      <c r="F222" t="inlineStr">
        <is>
          <t>2026-04-11</t>
        </is>
      </c>
      <c r="G222" t="inlineStr">
        <is>
          <t xml:space="preserve"> - No hay coche</t>
        </is>
      </c>
      <c r="H222">
        <f>HYPERLINK("https://booking.roadsurfer.com/es/rally/pick?pickup_date=2026-04-04&amp;return_date=2026-04-11&amp;currency=EUR&amp;startStation=22&amp;endStation=77",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2026-04-02</t>
        </is>
      </c>
      <c r="F223" t="inlineStr">
        <is>
          <t>2026-04-09</t>
        </is>
      </c>
      <c r="G223" t="inlineStr">
        <is>
          <t xml:space="preserve"> - Couple Cottage</t>
        </is>
      </c>
      <c r="H223">
        <f>HYPERLINK("https://booking.roadsurfer.com/es/rally/pick?pickup_date=2026-04-02&amp;return_date=2026-04-09&amp;currency=EUR&amp;startStation=22&amp;endStation=77",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Italia</t>
        </is>
      </c>
      <c r="D224" t="inlineStr">
        <is>
          <t>Turín</t>
        </is>
      </c>
      <c r="E224" t="inlineStr">
        <is>
          <t>2026-03-06</t>
        </is>
      </c>
      <c r="F224" t="inlineStr">
        <is>
          <t>2026-03-13</t>
        </is>
      </c>
      <c r="G224" t="inlineStr">
        <is>
          <t xml:space="preserve"> - Family Finca</t>
        </is>
      </c>
      <c r="H224">
        <f>HYPERLINK("https://booking.roadsurfer.com/es/rally/pick?pickup_date=2026-03-06&amp;return_date=2026-03-13&amp;currency=EUR&amp;startStation=22&amp;endStation=58",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2026-04-02</t>
        </is>
      </c>
      <c r="F225" t="inlineStr">
        <is>
          <t>2026-04-09</t>
        </is>
      </c>
      <c r="G225" t="inlineStr">
        <is>
          <t xml:space="preserve"> - Family Finca</t>
        </is>
      </c>
      <c r="H225">
        <f>HYPERLINK("https://booking.roadsurfer.com/es/rally/pick?pickup_date=2026-04-02&amp;return_date=2026-04-09&amp;currency=EUR&amp;startStation=22&amp;endStation=59",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Colonia-Bonn</t>
        </is>
      </c>
      <c r="E226" t="inlineStr">
        <is>
          <t>2026-03-09</t>
        </is>
      </c>
      <c r="F226" t="inlineStr">
        <is>
          <t>2026-03-16</t>
        </is>
      </c>
      <c r="G226" t="inlineStr">
        <is>
          <t xml:space="preserve"> - Surfer Suite</t>
        </is>
      </c>
      <c r="H226">
        <f>HYPERLINK("https://booking.roadsurfer.com/es/rally/pick?pickup_date=2026-03-09&amp;return_date=2026-03-16&amp;currency=EUR&amp;startStation=34&amp;endStation=52", "Clic para verlo en la web de RoadSurfer")</f>
        <v/>
      </c>
    </row>
    <row r="227">
      <c r="A227" t="inlineStr">
        <is>
          <t>Italia</t>
        </is>
      </c>
      <c r="B227" t="inlineStr">
        <is>
          <t>Milán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2026-04-14</t>
        </is>
      </c>
      <c r="F227" t="inlineStr">
        <is>
          <t>2026-04-21</t>
        </is>
      </c>
      <c r="G227" t="inlineStr">
        <is>
          <t xml:space="preserve"> - Family Finca</t>
        </is>
      </c>
      <c r="H227">
        <f>HYPERLINK("https://booking.roadsurfer.com/es/rally/pick?pickup_date=2026-04-14&amp;return_date=2026-04-21&amp;currency=EUR&amp;startStation=34&amp;endStation=22", "Clic para verlo en la web de RoadSurfer")</f>
        <v/>
      </c>
    </row>
    <row r="228">
      <c r="A228" t="inlineStr">
        <is>
          <t>Italia</t>
        </is>
      </c>
      <c r="B228" t="inlineStr">
        <is>
          <t>Milán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Beach Hostel</t>
        </is>
      </c>
      <c r="H228">
        <f>HYPERLINK("https://booking.roadsurfer.com/es/rally/pick?pickup_date=2026-03-09&amp;return_date=2026-03-16&amp;currency=EUR&amp;startStation=34&amp;endStation=22",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Karlsruhe</t>
        </is>
      </c>
      <c r="E229" t="inlineStr">
        <is>
          <t>2026-03-06</t>
        </is>
      </c>
      <c r="F229" t="inlineStr">
        <is>
          <t>2026-03-13</t>
        </is>
      </c>
      <c r="G229" t="inlineStr">
        <is>
          <t xml:space="preserve"> - Couple Cottage</t>
        </is>
      </c>
      <c r="H229">
        <f>HYPERLINK("https://booking.roadsurfer.com/es/rally/pick?pickup_date=2026-03-06&amp;return_date=2026-03-13&amp;currency=EUR&amp;startStation=34&amp;endStation=110",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Italia</t>
        </is>
      </c>
      <c r="D230" t="inlineStr">
        <is>
          <t>Bolonia</t>
        </is>
      </c>
      <c r="E230" t="inlineStr">
        <is>
          <t>2026-03-03</t>
        </is>
      </c>
      <c r="F230" t="inlineStr">
        <is>
          <t>2026-03-10</t>
        </is>
      </c>
      <c r="G230" t="inlineStr">
        <is>
          <t xml:space="preserve"> - Surfer Suite</t>
        </is>
      </c>
      <c r="H230">
        <f>HYPERLINK("https://booking.roadsurfer.com/es/rally/pick?pickup_date=2026-03-03&amp;return_date=2026-03-10&amp;currency=EUR&amp;startStation=1&amp;endStation=57",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Italia</t>
        </is>
      </c>
      <c r="D231" t="inlineStr">
        <is>
          <t>Bolonia</t>
        </is>
      </c>
      <c r="E231" t="inlineStr">
        <is>
          <t>2026-03-06</t>
        </is>
      </c>
      <c r="F231" t="inlineStr">
        <is>
          <t>2026-03-13</t>
        </is>
      </c>
      <c r="G231" t="inlineStr">
        <is>
          <t xml:space="preserve"> - Beach Hostel</t>
        </is>
      </c>
      <c r="H231">
        <f>HYPERLINK("https://booking.roadsurfer.com/es/rally/pick?pickup_date=2026-03-06&amp;return_date=2026-03-13&amp;currency=EUR&amp;startStation=1&amp;endStation=57",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2026-03-06</t>
        </is>
      </c>
      <c r="F232" t="inlineStr">
        <is>
          <t>2026-03-13</t>
        </is>
      </c>
      <c r="G232" t="inlineStr">
        <is>
          <t xml:space="preserve"> - Surfer Suite</t>
        </is>
      </c>
      <c r="H232">
        <f>HYPERLINK("https://booking.roadsurfer.com/es/rally/pick?pickup_date=2026-03-06&amp;return_date=2026-03-13&amp;currency=EUR&amp;startStation=1&amp;endStation=33",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2026-03-04</t>
        </is>
      </c>
      <c r="F233" t="inlineStr">
        <is>
          <t>2026-03-11</t>
        </is>
      </c>
      <c r="G233" t="inlineStr">
        <is>
          <t xml:space="preserve"> - Surfer Suite</t>
        </is>
      </c>
      <c r="H233">
        <f>HYPERLINK("https://booking.roadsurfer.com/es/rally/pick?pickup_date=2026-03-04&amp;return_date=2026-03-11&amp;currency=EUR&amp;startStation=1&amp;endStation=16",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2026-04-04</t>
        </is>
      </c>
      <c r="F234" t="inlineStr">
        <is>
          <t>2026-04-11</t>
        </is>
      </c>
      <c r="G234" t="inlineStr">
        <is>
          <t xml:space="preserve"> - Road House</t>
        </is>
      </c>
      <c r="H234">
        <f>HYPERLINK("https://booking.roadsurfer.com/es/rally/pick?pickup_date=2026-04-04&amp;return_date=2026-04-11&amp;currency=EUR&amp;startStation=1&amp;endStation=16",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Austria</t>
        </is>
      </c>
      <c r="D235" t="inlineStr">
        <is>
          <t>Viena</t>
        </is>
      </c>
      <c r="E235" t="inlineStr">
        <is>
          <t>2026-03-07</t>
        </is>
      </c>
      <c r="F235" t="inlineStr">
        <is>
          <t>2026-03-14</t>
        </is>
      </c>
      <c r="G235" t="inlineStr">
        <is>
          <t xml:space="preserve"> - Surfer Suite</t>
        </is>
      </c>
      <c r="H235">
        <f>HYPERLINK("https://booking.roadsurfer.com/es/rally/pick?pickup_date=2026-03-07&amp;return_date=2026-03-14&amp;currency=EUR&amp;startStation=1&amp;endStation=36",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Austria</t>
        </is>
      </c>
      <c r="D236" t="inlineStr">
        <is>
          <t>Viena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Surfer Suite</t>
        </is>
      </c>
      <c r="H236">
        <f>HYPERLINK("https://booking.roadsurfer.com/es/rally/pick?pickup_date=2026-03-09&amp;return_date=2026-03-16&amp;currency=EUR&amp;startStation=1&amp;endStation=36",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España</t>
        </is>
      </c>
      <c r="D237" t="inlineStr">
        <is>
          <t>Sevilla</t>
        </is>
      </c>
      <c r="E237" t="inlineStr">
        <is>
          <t>2026-03-05</t>
        </is>
      </c>
      <c r="F237" t="inlineStr">
        <is>
          <t>2026-03-12</t>
        </is>
      </c>
      <c r="G237" t="inlineStr">
        <is>
          <t xml:space="preserve"> - Surfer Suite</t>
        </is>
      </c>
      <c r="H237">
        <f>HYPERLINK("https://booking.roadsurfer.com/es/rally/pick?pickup_date=2026-03-05&amp;return_date=2026-03-12&amp;currency=EUR&amp;startStation=1&amp;endStation=39",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Austria</t>
        </is>
      </c>
      <c r="D238" t="inlineStr">
        <is>
          <t>Viena Sur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HYPERLINK("https://booking.roadsurfer.com/es/rally/pick?pickup_date=2026-03-09&amp;return_date=2026-03-16&amp;currency=EUR&amp;startStation=1&amp;endStation=45",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Italia</t>
        </is>
      </c>
      <c r="D239" t="inlineStr">
        <is>
          <t>Bérgamo</t>
        </is>
      </c>
      <c r="E239" t="inlineStr">
        <is>
          <t>2026-03-09</t>
        </is>
      </c>
      <c r="F239" t="inlineStr">
        <is>
          <t>2026-03-16</t>
        </is>
      </c>
      <c r="G239" t="inlineStr">
        <is>
          <t xml:space="preserve"> - Beach Hostel</t>
        </is>
      </c>
      <c r="H239">
        <f>HYPERLINK("https://booking.roadsurfer.com/es/rally/pick?pickup_date=2026-03-09&amp;return_date=2026-03-16&amp;currency=EUR&amp;startStation=1&amp;endStation=94",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2026-03-05</t>
        </is>
      </c>
      <c r="F240" t="inlineStr">
        <is>
          <t>2026-03-12</t>
        </is>
      </c>
      <c r="G240" t="inlineStr">
        <is>
          <t xml:space="preserve"> - Camper Cabin</t>
        </is>
      </c>
      <c r="H240">
        <f>HYPERLINK("https://booking.roadsurfer.com/es/rally/pick?pickup_date=2026-03-05&amp;return_date=2026-03-12&amp;currency=EUR&amp;startStation=1&amp;endStation=40",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2026-03-06</t>
        </is>
      </c>
      <c r="F241" t="inlineStr">
        <is>
          <t>2026-03-13</t>
        </is>
      </c>
      <c r="G241" t="inlineStr">
        <is>
          <t xml:space="preserve"> - Family Finca</t>
        </is>
      </c>
      <c r="H241">
        <f>HYPERLINK("https://booking.roadsurfer.com/es/rally/pick?pickup_date=2026-03-06&amp;return_date=2026-03-13&amp;currency=EUR&amp;startStation=1&amp;endStation=55",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Italia</t>
        </is>
      </c>
      <c r="D242" t="inlineStr">
        <is>
          <t>Venecia</t>
        </is>
      </c>
      <c r="E242" t="inlineStr">
        <is>
          <t>2026-03-07</t>
        </is>
      </c>
      <c r="F242" t="inlineStr">
        <is>
          <t>2026-03-14</t>
        </is>
      </c>
      <c r="G242" t="inlineStr">
        <is>
          <t xml:space="preserve"> - Couple Cottage</t>
        </is>
      </c>
      <c r="H242">
        <f>HYPERLINK("https://booking.roadsurfer.com/es/rally/pick?pickup_date=2026-03-07&amp;return_date=2026-03-14&amp;currency=EUR&amp;startStation=1&amp;endStation=78",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Alemania</t>
        </is>
      </c>
      <c r="D243" t="inlineStr">
        <is>
          <t>Braunschweig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No hay coche</t>
        </is>
      </c>
      <c r="H243">
        <f>HYPERLINK("https://booking.roadsurfer.com/es/rally/pick?pickup_date=2026-04-20&amp;return_date=2026-04-27&amp;currency=EUR&amp;startStation=1&amp;endStation=128",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2026-03-06</t>
        </is>
      </c>
      <c r="F244" t="inlineStr">
        <is>
          <t>2026-03-13</t>
        </is>
      </c>
      <c r="G244" t="inlineStr">
        <is>
          <t xml:space="preserve"> - Sunrise Suite</t>
        </is>
      </c>
      <c r="H244">
        <f>HYPERLINK("https://booking.roadsurfer.com/es/rally/pick?pickup_date=2026-03-06&amp;return_date=2026-03-13&amp;currency=EUR&amp;startStation=1&amp;endStation=13",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Alemania</t>
        </is>
      </c>
      <c r="D245" t="inlineStr">
        <is>
          <t>Kassel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Camper Cabin</t>
        </is>
      </c>
      <c r="H245">
        <f>HYPERLINK("https://booking.roadsurfer.com/es/rally/pick?pickup_date=2026-03-09&amp;return_date=2026-03-16&amp;currency=EUR&amp;startStation=31&amp;endStation=92",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Colonia-Düsseldorf</t>
        </is>
      </c>
      <c r="E246" t="inlineStr">
        <is>
          <t>2026-03-06</t>
        </is>
      </c>
      <c r="F246" t="inlineStr">
        <is>
          <t>2026-03-13</t>
        </is>
      </c>
      <c r="G246" t="inlineStr">
        <is>
          <t xml:space="preserve"> - Surfer Suite</t>
        </is>
      </c>
      <c r="H246">
        <f>HYPERLINK("https://booking.roadsurfer.com/es/rally/pick?pickup_date=2026-03-06&amp;return_date=2026-03-13&amp;currency=EUR&amp;startStation=31&amp;endStation=4",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Dresde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Camper Castle</t>
        </is>
      </c>
      <c r="H247">
        <f>HYPERLINK("https://booking.roadsurfer.com/es/rally/pick?pickup_date=2026-03-09&amp;return_date=2026-03-16&amp;currency=EUR&amp;startStation=31&amp;endStation=56",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2026-03-05</t>
        </is>
      </c>
      <c r="F248" t="inlineStr">
        <is>
          <t>2026-03-12</t>
        </is>
      </c>
      <c r="G248" t="inlineStr">
        <is>
          <t xml:space="preserve"> - No hay coche</t>
        </is>
      </c>
      <c r="H248">
        <f>HYPERLINK("https://booking.roadsurfer.com/es/rally/pick?pickup_date=2026-03-05&amp;return_date=2026-03-12&amp;currency=EUR&amp;startStation=31&amp;endStation=22",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2026-03-09</t>
        </is>
      </c>
      <c r="F249" t="inlineStr">
        <is>
          <t>2026-03-16</t>
        </is>
      </c>
      <c r="G249" t="inlineStr">
        <is>
          <t xml:space="preserve"> - Surfer Suite</t>
        </is>
      </c>
      <c r="H249">
        <f>HYPERLINK("https://booking.roadsurfer.com/es/rally/pick?pickup_date=2026-03-09&amp;return_date=2026-03-16&amp;currency=EUR&amp;startStation=31&amp;endStation=22",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Núremberg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Camper Cabin</t>
        </is>
      </c>
      <c r="H250">
        <f>HYPERLINK("https://booking.roadsurfer.com/es/rally/pick?pickup_date=2026-03-09&amp;return_date=2026-03-16&amp;currency=EUR&amp;startStation=31&amp;endStation=11",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Kiel</t>
        </is>
      </c>
      <c r="E251" t="inlineStr">
        <is>
          <t>2026-03-09</t>
        </is>
      </c>
      <c r="F251" t="inlineStr">
        <is>
          <t>2026-03-16</t>
        </is>
      </c>
      <c r="G251" t="inlineStr">
        <is>
          <t xml:space="preserve"> - Camper Cabin</t>
        </is>
      </c>
      <c r="H251">
        <f>HYPERLINK("https://booking.roadsurfer.com/es/rally/pick?pickup_date=2026-03-09&amp;return_date=2026-03-16&amp;currency=EUR&amp;startStation=31&amp;endStation=111",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2026-03-06</t>
        </is>
      </c>
      <c r="F252" t="inlineStr">
        <is>
          <t>2026-03-13</t>
        </is>
      </c>
      <c r="G252" t="inlineStr">
        <is>
          <t xml:space="preserve"> - Family Finca</t>
        </is>
      </c>
      <c r="H252">
        <f>HYPERLINK("https://booking.roadsurfer.com/es/rally/pick?pickup_date=2026-03-06&amp;return_date=2026-03-13&amp;currency=EUR&amp;startStation=31&amp;endStation=5",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Colonia-Bonn</t>
        </is>
      </c>
      <c r="E253" t="inlineStr">
        <is>
          <t>2026-04-07</t>
        </is>
      </c>
      <c r="F253" t="inlineStr">
        <is>
          <t>2026-04-14</t>
        </is>
      </c>
      <c r="G253" t="inlineStr">
        <is>
          <t xml:space="preserve"> - Family Finca</t>
        </is>
      </c>
      <c r="H253">
        <f>HYPERLINK("https://booking.roadsurfer.com/es/rally/pick?pickup_date=2026-04-07&amp;return_date=2026-04-14&amp;currency=EUR&amp;startStation=31&amp;endStation=52", "Clic para verlo en la web de RoadSurfer")</f>
        <v/>
      </c>
    </row>
    <row r="254">
      <c r="A254" t="inlineStr">
        <is>
          <t>Alemania</t>
        </is>
      </c>
      <c r="B254" t="inlineStr">
        <is>
          <t>Núremberg</t>
        </is>
      </c>
      <c r="C254" t="inlineStr">
        <is>
          <t>Austria</t>
        </is>
      </c>
      <c r="D254" t="inlineStr">
        <is>
          <t>Viena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Couple Cottage</t>
        </is>
      </c>
      <c r="H254">
        <f>HYPERLINK("https://booking.roadsurfer.com/es/rally/pick?pickup_date=2026-04-16&amp;return_date=2026-04-23&amp;currency=EUR&amp;startStation=11&amp;endStation=36", "Clic para verlo en la web de RoadSurfer")</f>
        <v/>
      </c>
    </row>
    <row r="255">
      <c r="A255" t="inlineStr">
        <is>
          <t>Alemania</t>
        </is>
      </c>
      <c r="B255" t="inlineStr">
        <is>
          <t>Núremberg</t>
        </is>
      </c>
      <c r="C255" t="inlineStr">
        <is>
          <t>Francia</t>
        </is>
      </c>
      <c r="D255" t="inlineStr">
        <is>
          <t>Toulouse</t>
        </is>
      </c>
      <c r="E255" t="inlineStr">
        <is>
          <t>2026-03-09</t>
        </is>
      </c>
      <c r="F255" t="inlineStr">
        <is>
          <t>2026-03-16</t>
        </is>
      </c>
      <c r="G255" t="inlineStr">
        <is>
          <t xml:space="preserve"> - Camper Castle</t>
        </is>
      </c>
      <c r="H255">
        <f>HYPERLINK("https://booking.roadsurfer.com/es/rally/pick?pickup_date=2026-03-09&amp;return_date=2026-03-16&amp;currency=EUR&amp;startStation=11&amp;endStation=30", "Clic para verlo en la web de RoadSurfer")</f>
        <v/>
      </c>
    </row>
    <row r="256">
      <c r="A256" t="inlineStr">
        <is>
          <t>Alemania</t>
        </is>
      </c>
      <c r="B256" t="inlineStr">
        <is>
          <t>Núremberg</t>
        </is>
      </c>
      <c r="C256" t="inlineStr">
        <is>
          <t>España</t>
        </is>
      </c>
      <c r="D256" t="inlineStr">
        <is>
          <t>Sevilla</t>
        </is>
      </c>
      <c r="E256" t="inlineStr">
        <is>
          <t>2026-03-05</t>
        </is>
      </c>
      <c r="F256" t="inlineStr">
        <is>
          <t>2026-03-12</t>
        </is>
      </c>
      <c r="G256" t="inlineStr">
        <is>
          <t xml:space="preserve"> - Cozy Cottage</t>
        </is>
      </c>
      <c r="H256">
        <f>HYPERLINK("https://booking.roadsurfer.com/es/rally/pick?pickup_date=2026-03-05&amp;return_date=2026-03-12&amp;currency=EUR&amp;startStation=11&amp;endStation=39",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Surfer Suite</t>
        </is>
      </c>
      <c r="H257">
        <f>HYPERLINK("https://booking.roadsurfer.com/es/rally/pick?pickup_date=2026-03-09&amp;return_date=2026-03-16&amp;currency=EUR&amp;startStation=12&amp;endStation=48",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Alemania</t>
        </is>
      </c>
      <c r="D258" t="inlineStr">
        <is>
          <t>Colonia-Düsseldorf</t>
        </is>
      </c>
      <c r="E258" t="inlineStr">
        <is>
          <t>2026-03-05</t>
        </is>
      </c>
      <c r="F258" t="inlineStr">
        <is>
          <t>2026-03-12</t>
        </is>
      </c>
      <c r="G258" t="inlineStr">
        <is>
          <t xml:space="preserve"> - Beach Hostel</t>
        </is>
      </c>
      <c r="H258">
        <f>HYPERLINK("https://booking.roadsurfer.com/es/rally/pick?pickup_date=2026-03-05&amp;return_date=2026-03-12&amp;currency=EUR&amp;startStation=12&amp;endStation=4",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Heidelberg</t>
        </is>
      </c>
      <c r="E259" t="inlineStr">
        <is>
          <t>2026-03-05</t>
        </is>
      </c>
      <c r="F259" t="inlineStr">
        <is>
          <t>2026-03-12</t>
        </is>
      </c>
      <c r="G259" t="inlineStr">
        <is>
          <t xml:space="preserve"> - Road House</t>
        </is>
      </c>
      <c r="H259">
        <f>HYPERLINK("https://booking.roadsurfer.com/es/rally/pick?pickup_date=2026-03-05&amp;return_date=2026-03-12&amp;currency=EUR&amp;startStation=12&amp;endStation=79", "Clic para verlo en la web de RoadSurfer")</f>
        <v/>
      </c>
    </row>
    <row r="260">
      <c r="A260" t="inlineStr">
        <is>
          <t>Francia</t>
        </is>
      </c>
      <c r="B260" t="inlineStr">
        <is>
          <t>París Sur (Orly)</t>
        </is>
      </c>
      <c r="C260" t="inlineStr">
        <is>
          <t>Alemania</t>
        </is>
      </c>
      <c r="D260" t="inlineStr">
        <is>
          <t>Friburgo-Basilea (Alemania)</t>
        </is>
      </c>
      <c r="E260" t="inlineStr">
        <is>
          <t>2026-03-09</t>
        </is>
      </c>
      <c r="F260" t="inlineStr">
        <is>
          <t>2026-03-16</t>
        </is>
      </c>
      <c r="G260" t="inlineStr">
        <is>
          <t xml:space="preserve"> - Road House</t>
        </is>
      </c>
      <c r="H260">
        <f>HYPERLINK("https://booking.roadsurfer.com/es/rally/pick?pickup_date=2026-03-09&amp;return_date=2026-03-16&amp;currency=EUR&amp;startStation=12&amp;endStation=9",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2026-03-03</t>
        </is>
      </c>
      <c r="F261" t="inlineStr">
        <is>
          <t>2026-03-10</t>
        </is>
      </c>
      <c r="G261" t="inlineStr">
        <is>
          <t xml:space="preserve"> - SURFER SUITE</t>
        </is>
      </c>
      <c r="H261">
        <f>HYPERLINK("https://booking.roadsurfer.com/es/rally/pick?pickup_date=2026-03-03&amp;return_date=2026-03-10&amp;currency=EUR&amp;startStation=48&amp;endStation=90", "Clic para verlo en la web de RoadSurfer")</f>
        <v/>
      </c>
    </row>
    <row r="262">
      <c r="A262" t="inlineStr">
        <is>
          <t>Francia</t>
        </is>
      </c>
      <c r="B262" t="inlineStr">
        <is>
          <t>París Aeropuerto CDG</t>
        </is>
      </c>
      <c r="C262" t="inlineStr">
        <is>
          <t>Francia</t>
        </is>
      </c>
      <c r="D262" t="inlineStr">
        <is>
          <t>Aix-Marsella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Couple Cottage</t>
        </is>
      </c>
      <c r="H262">
        <f>HYPERLINK("https://booking.roadsurfer.com/es/rally/pick?pickup_date=2026-04-20&amp;return_date=2026-04-27&amp;currency=EUR&amp;startStation=48&amp;endStation=16", "Clic para verlo en la web de RoadSurfer")</f>
        <v/>
      </c>
    </row>
    <row r="263">
      <c r="A263" t="inlineStr">
        <is>
          <t>Francia</t>
        </is>
      </c>
      <c r="B263" t="inlineStr">
        <is>
          <t>París Aeropuerto CDG</t>
        </is>
      </c>
      <c r="C263" t="inlineStr">
        <is>
          <t>Alemania</t>
        </is>
      </c>
      <c r="D263" t="inlineStr">
        <is>
          <t>Hamburgo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Travel Home</t>
        </is>
      </c>
      <c r="H263">
        <f>HYPERLINK("https://booking.roadsurfer.com/es/rally/pick?pickup_date=2026-03-06&amp;return_date=2026-03-13&amp;currency=EUR&amp;startStation=48&amp;endStation=3", "Clic para verlo en la web de RoadSurfer")</f>
        <v/>
      </c>
    </row>
    <row r="264">
      <c r="A264" t="inlineStr">
        <is>
          <t>Francia</t>
        </is>
      </c>
      <c r="B264" t="inlineStr">
        <is>
          <t>París Aeropuerto CDG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2026-03-06</t>
        </is>
      </c>
      <c r="F264" t="inlineStr">
        <is>
          <t>2026-03-13</t>
        </is>
      </c>
      <c r="G264" t="inlineStr">
        <is>
          <t xml:space="preserve"> - SURFER SUITE</t>
        </is>
      </c>
      <c r="H264">
        <f>HYPERLINK("https://booking.roadsurfer.com/es/rally/pick?pickup_date=2026-03-06&amp;return_date=2026-03-13&amp;currency=EUR&amp;startStation=48&amp;endStation=52", "Clic para verlo en la web de RoadSurfer")</f>
        <v/>
      </c>
    </row>
    <row r="265">
      <c r="A265" t="inlineStr">
        <is>
          <t>EE.UU.</t>
        </is>
      </c>
      <c r="B265" t="inlineStr">
        <is>
          <t>Phoenix</t>
        </is>
      </c>
      <c r="C265" t="inlineStr">
        <is>
          <t>EE.UU.</t>
        </is>
      </c>
      <c r="D265" t="inlineStr">
        <is>
          <t>Dallas</t>
        </is>
      </c>
      <c r="E265" t="inlineStr">
        <is>
          <t>2026-03-19</t>
        </is>
      </c>
      <c r="F265" t="inlineStr">
        <is>
          <t>2026-03-26</t>
        </is>
      </c>
      <c r="G265" t="inlineStr">
        <is>
          <t xml:space="preserve"> - Couple Condo</t>
        </is>
      </c>
      <c r="H265">
        <f>HYPERLINK("https://booking.roadsurfer.com/es/rally/pick?pickup_date=2026-03-19&amp;return_date=2026-03-26&amp;currency=EUR&amp;startStation=105&amp;endStation=125", "Clic para verlo en la web de RoadSurfer")</f>
        <v/>
      </c>
    </row>
    <row r="266">
      <c r="A266" t="inlineStr">
        <is>
          <t>Alemania</t>
        </is>
      </c>
      <c r="B266" t="inlineStr">
        <is>
          <t>Ratisbona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2026-03-09</t>
        </is>
      </c>
      <c r="F266" t="inlineStr">
        <is>
          <t>2026-03-16</t>
        </is>
      </c>
      <c r="G266" t="inlineStr">
        <is>
          <t xml:space="preserve"> - Travel Home - TRAVEL HOME</t>
        </is>
      </c>
      <c r="H266">
        <f>HYPERLINK("https://booking.roadsurfer.com/es/rally/pick?pickup_date=2026-03-09&amp;return_date=2026-03-16&amp;currency=EUR&amp;startStation=89&amp;endStation=55", "Clic para verlo en la web de RoadSurfer")</f>
        <v/>
      </c>
    </row>
    <row r="267">
      <c r="A267" t="inlineStr">
        <is>
          <t>Italia</t>
        </is>
      </c>
      <c r="B267" t="inlineStr">
        <is>
          <t>Roma Aeropuerto Fiumicino</t>
        </is>
      </c>
      <c r="C267" t="inlineStr">
        <is>
          <t>Alemania</t>
        </is>
      </c>
      <c r="D267" t="inlineStr">
        <is>
          <t>Múnich</t>
        </is>
      </c>
      <c r="E267" t="inlineStr">
        <is>
          <t>2026-03-09</t>
        </is>
      </c>
      <c r="F267" t="inlineStr">
        <is>
          <t>2026-03-16</t>
        </is>
      </c>
      <c r="G267" t="inlineStr">
        <is>
          <t xml:space="preserve"> - Beach Hostel</t>
        </is>
      </c>
      <c r="H267">
        <f>HYPERLINK("https://booking.roadsurfer.com/es/rally/pick?pickup_date=2026-03-09&amp;return_date=2026-03-16&amp;currency=EUR&amp;startStation=35&amp;endStation=1",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Dresde</t>
        </is>
      </c>
      <c r="E268" t="inlineStr">
        <is>
          <t>2026-03-05</t>
        </is>
      </c>
      <c r="F268" t="inlineStr">
        <is>
          <t>2026-03-12</t>
        </is>
      </c>
      <c r="G268" t="inlineStr">
        <is>
          <t xml:space="preserve"> - Camper Castle</t>
        </is>
      </c>
      <c r="H268">
        <f>HYPERLINK("https://booking.roadsurfer.com/es/rally/pick?pickup_date=2026-03-05&amp;return_date=2026-03-12&amp;currency=EUR&amp;startStation=33&amp;endStation=56",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2026-03-07</t>
        </is>
      </c>
      <c r="F269" t="inlineStr">
        <is>
          <t>2026-03-14</t>
        </is>
      </c>
      <c r="G269" t="inlineStr">
        <is>
          <t xml:space="preserve"> - No hay coche</t>
        </is>
      </c>
      <c r="H269">
        <f>HYPERLINK("https://booking.roadsurfer.com/es/rally/pick?pickup_date=2026-03-07&amp;return_date=2026-03-14&amp;currency=EUR&amp;startStation=33&amp;endStation=22", "Clic para verlo en la web de RoadSurfer")</f>
        <v/>
      </c>
    </row>
    <row r="270">
      <c r="A270" t="inlineStr">
        <is>
          <t>Austria</t>
        </is>
      </c>
      <c r="B270" t="inlineStr">
        <is>
          <t>Salzburgo</t>
        </is>
      </c>
      <c r="C270" t="inlineStr">
        <is>
          <t>Alemania</t>
        </is>
      </c>
      <c r="D270" t="inlineStr">
        <is>
          <t>Colonia-Bonn</t>
        </is>
      </c>
      <c r="E270" t="inlineStr">
        <is>
          <t>2026-03-04</t>
        </is>
      </c>
      <c r="F270" t="inlineStr">
        <is>
          <t>2026-03-11</t>
        </is>
      </c>
      <c r="G270" t="inlineStr">
        <is>
          <t xml:space="preserve"> - Road House</t>
        </is>
      </c>
      <c r="H270">
        <f>HYPERLINK("https://booking.roadsurfer.com/es/rally/pick?pickup_date=2026-03-04&amp;return_date=2026-03-11&amp;currency=EUR&amp;startStation=85&amp;endStation=52", "Clic para verlo en la web de RoadSurfer")</f>
        <v/>
      </c>
    </row>
    <row r="271">
      <c r="A271" t="inlineStr">
        <is>
          <t>Austria</t>
        </is>
      </c>
      <c r="B271" t="inlineStr">
        <is>
          <t>Salzburgo</t>
        </is>
      </c>
      <c r="C271" t="inlineStr">
        <is>
          <t>Alemania</t>
        </is>
      </c>
      <c r="D271" t="inlineStr">
        <is>
          <t>Bielefeld</t>
        </is>
      </c>
      <c r="E271" t="inlineStr">
        <is>
          <t>2026-03-03</t>
        </is>
      </c>
      <c r="F271" t="inlineStr">
        <is>
          <t>2026-03-10</t>
        </is>
      </c>
      <c r="G271" t="inlineStr">
        <is>
          <t xml:space="preserve"> - Family Finca</t>
        </is>
      </c>
      <c r="H271">
        <f>HYPERLINK("https://booking.roadsurfer.com/es/rally/pick?pickup_date=2026-03-03&amp;return_date=2026-03-10&amp;currency=EUR&amp;startStation=85&amp;endStation=91", "Clic para verlo en la web de RoadSurfer")</f>
        <v/>
      </c>
    </row>
    <row r="272">
      <c r="A272" t="inlineStr">
        <is>
          <t>España</t>
        </is>
      </c>
      <c r="B272" t="inlineStr">
        <is>
          <t>Sevilla</t>
        </is>
      </c>
      <c r="C272" t="inlineStr">
        <is>
          <t>Alemania</t>
        </is>
      </c>
      <c r="D272" t="inlineStr">
        <is>
          <t>Duisburgo</t>
        </is>
      </c>
      <c r="E272" t="inlineStr">
        <is>
          <t>2026-03-10</t>
        </is>
      </c>
      <c r="F272" t="inlineStr">
        <is>
          <t>2026-03-17</t>
        </is>
      </c>
      <c r="G272" t="inlineStr">
        <is>
          <t xml:space="preserve"> - Surfer Suite</t>
        </is>
      </c>
      <c r="H272">
        <f>HYPERLINK("https://booking.roadsurfer.com/es/rally/pick?pickup_date=2026-03-10&amp;return_date=2026-03-17&amp;currency=EUR&amp;startStation=39&amp;endStation=113",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2026-03-03</t>
        </is>
      </c>
      <c r="F273" t="inlineStr">
        <is>
          <t>2026-03-10</t>
        </is>
      </c>
      <c r="G273" t="inlineStr">
        <is>
          <t xml:space="preserve"> - Surfer Suite</t>
        </is>
      </c>
      <c r="H273">
        <f>HYPERLINK("https://booking.roadsurfer.com/es/rally/pick?pickup_date=2026-03-03&amp;return_date=2026-03-10&amp;currency=EUR&amp;startStation=59&amp;endStation=22",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2026-03-09</t>
        </is>
      </c>
      <c r="F274" t="inlineStr">
        <is>
          <t>2026-03-16</t>
        </is>
      </c>
      <c r="G274" t="inlineStr">
        <is>
          <t xml:space="preserve"> - Surfer Suite</t>
        </is>
      </c>
      <c r="H274">
        <f>HYPERLINK("https://booking.roadsurfer.com/es/rally/pick?pickup_date=2026-03-09&amp;return_date=2026-03-16&amp;currency=EUR&amp;startStation=59&amp;endStation=22",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2026-03-05</t>
        </is>
      </c>
      <c r="F275" t="inlineStr">
        <is>
          <t>2026-03-12</t>
        </is>
      </c>
      <c r="G275" t="inlineStr">
        <is>
          <t xml:space="preserve"> - Surfer Suite - Camper Castle - Family Finca</t>
        </is>
      </c>
      <c r="H275">
        <f>HYPERLINK("https://booking.roadsurfer.com/es/rally/pick?pickup_date=2026-03-05&amp;return_date=2026-03-12&amp;currency=EUR&amp;startStation=59&amp;endStation=22",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Bremen</t>
        </is>
      </c>
      <c r="E276" t="inlineStr">
        <is>
          <t>2026-03-07</t>
        </is>
      </c>
      <c r="F276" t="inlineStr">
        <is>
          <t>2026-03-14</t>
        </is>
      </c>
      <c r="G276" t="inlineStr">
        <is>
          <t xml:space="preserve"> - COUPLE COTTAGE</t>
        </is>
      </c>
      <c r="H276">
        <f>HYPERLINK("https://booking.roadsurfer.com/es/rally/pick?pickup_date=2026-03-07&amp;return_date=2026-03-14&amp;currency=EUR&amp;startStation=59&amp;endStation=55",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2026-03-05</t>
        </is>
      </c>
      <c r="F277" t="inlineStr">
        <is>
          <t>2026-03-12</t>
        </is>
      </c>
      <c r="G277" t="inlineStr">
        <is>
          <t xml:space="preserve"> - Surfer Suite</t>
        </is>
      </c>
      <c r="H277">
        <f>HYPERLINK("https://booking.roadsurfer.com/es/rally/pick?pickup_date=2026-03-05&amp;return_date=2026-03-12&amp;currency=EUR&amp;startStation=59&amp;endStation=55",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Hamburgo</t>
        </is>
      </c>
      <c r="E278" t="inlineStr">
        <is>
          <t>2026-03-07</t>
        </is>
      </c>
      <c r="F278" t="inlineStr">
        <is>
          <t>2026-03-14</t>
        </is>
      </c>
      <c r="G278" t="inlineStr">
        <is>
          <t xml:space="preserve"> - Family Finca</t>
        </is>
      </c>
      <c r="H278">
        <f>HYPERLINK("https://booking.roadsurfer.com/es/rally/pick?pickup_date=2026-03-07&amp;return_date=2026-03-14&amp;currency=EUR&amp;startStation=59&amp;endStation=3",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Hamburgo</t>
        </is>
      </c>
      <c r="E279" t="inlineStr">
        <is>
          <t>2026-03-05</t>
        </is>
      </c>
      <c r="F279" t="inlineStr">
        <is>
          <t>2026-03-12</t>
        </is>
      </c>
      <c r="G279" t="inlineStr">
        <is>
          <t xml:space="preserve"> - Beach Hostel</t>
        </is>
      </c>
      <c r="H279">
        <f>HYPERLINK("https://booking.roadsurfer.com/es/rally/pick?pickup_date=2026-03-05&amp;return_date=2026-03-12&amp;currency=EUR&amp;startStation=59&amp;endStation=3",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Hamburgo</t>
        </is>
      </c>
      <c r="E280" t="inlineStr">
        <is>
          <t>2026-03-03</t>
        </is>
      </c>
      <c r="F280" t="inlineStr">
        <is>
          <t>2026-03-10</t>
        </is>
      </c>
      <c r="G280" t="inlineStr">
        <is>
          <t xml:space="preserve"> - Surfer Suite</t>
        </is>
      </c>
      <c r="H280">
        <f>HYPERLINK("https://booking.roadsurfer.com/es/rally/pick?pickup_date=2026-03-03&amp;return_date=2026-03-10&amp;currency=EUR&amp;startStation=59&amp;endStation=3",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Dresde</t>
        </is>
      </c>
      <c r="E281" t="inlineStr">
        <is>
          <t>2026-03-05</t>
        </is>
      </c>
      <c r="F281" t="inlineStr">
        <is>
          <t>2026-03-12</t>
        </is>
      </c>
      <c r="G281" t="inlineStr">
        <is>
          <t xml:space="preserve"> - Road House</t>
        </is>
      </c>
      <c r="H281">
        <f>HYPERLINK("https://booking.roadsurfer.com/es/rally/pick?pickup_date=2026-03-05&amp;return_date=2026-03-12&amp;currency=EUR&amp;startStation=59&amp;endStation=56",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2026-03-04</t>
        </is>
      </c>
      <c r="F282" t="inlineStr">
        <is>
          <t>2026-03-11</t>
        </is>
      </c>
      <c r="G282" t="inlineStr">
        <is>
          <t xml:space="preserve"> - Family Finca</t>
        </is>
      </c>
      <c r="H282">
        <f>HYPERLINK("https://booking.roadsurfer.com/es/rally/pick?pickup_date=2026-03-04&amp;return_date=2026-03-11&amp;currency=EUR&amp;startStation=59&amp;endStation=56",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2026-04-13</t>
        </is>
      </c>
      <c r="F283" t="inlineStr">
        <is>
          <t>2026-04-20</t>
        </is>
      </c>
      <c r="G283" t="inlineStr">
        <is>
          <t xml:space="preserve"> - Road House</t>
        </is>
      </c>
      <c r="H283">
        <f>HYPERLINK("https://booking.roadsurfer.com/es/rally/pick?pickup_date=2026-04-13&amp;return_date=2026-04-20&amp;currency=EUR&amp;startStation=59&amp;endStation=91",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2026-04-14</t>
        </is>
      </c>
      <c r="F284" t="inlineStr">
        <is>
          <t>2026-04-21</t>
        </is>
      </c>
      <c r="G284" t="inlineStr">
        <is>
          <t xml:space="preserve"> - Road House</t>
        </is>
      </c>
      <c r="H284">
        <f>HYPERLINK("https://booking.roadsurfer.com/es/rally/pick?pickup_date=2026-04-14&amp;return_date=2026-04-21&amp;currency=EUR&amp;startStation=59&amp;endStation=91",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Erfurt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Couple Cottage</t>
        </is>
      </c>
      <c r="H285">
        <f>HYPERLINK("https://booking.roadsurfer.com/es/rally/pick?pickup_date=2026-04-14&amp;return_date=2026-04-21&amp;currency=EUR&amp;startStation=59&amp;endStation=90",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Erfurt</t>
        </is>
      </c>
      <c r="E286" t="inlineStr">
        <is>
          <t>2026-04-16</t>
        </is>
      </c>
      <c r="F286" t="inlineStr">
        <is>
          <t>2026-04-23</t>
        </is>
      </c>
      <c r="G286" t="inlineStr">
        <is>
          <t xml:space="preserve"> - Road House</t>
        </is>
      </c>
      <c r="H286">
        <f>HYPERLINK("https://booking.roadsurfer.com/es/rally/pick?pickup_date=2026-04-16&amp;return_date=2026-04-23&amp;currency=EUR&amp;startStation=59&amp;endStation=90",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Ratisbona</t>
        </is>
      </c>
      <c r="E287" t="inlineStr">
        <is>
          <t>2026-03-06</t>
        </is>
      </c>
      <c r="F287" t="inlineStr">
        <is>
          <t>2026-03-13</t>
        </is>
      </c>
      <c r="G287" t="inlineStr">
        <is>
          <t xml:space="preserve"> - Camper Castle</t>
        </is>
      </c>
      <c r="H287">
        <f>HYPERLINK("https://booking.roadsurfer.com/es/rally/pick?pickup_date=2026-03-06&amp;return_date=2026-03-13&amp;currency=EUR&amp;startStation=59&amp;endStation=89",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Augsburgo</t>
        </is>
      </c>
      <c r="E288" t="inlineStr">
        <is>
          <t>2026-04-15</t>
        </is>
      </c>
      <c r="F288" t="inlineStr">
        <is>
          <t>2026-04-22</t>
        </is>
      </c>
      <c r="G288" t="inlineStr">
        <is>
          <t xml:space="preserve"> - Camper Castle</t>
        </is>
      </c>
      <c r="H288">
        <f>HYPERLINK("https://booking.roadsurfer.com/es/rally/pick?pickup_date=2026-04-15&amp;return_date=2026-04-22&amp;currency=EUR&amp;startStation=59&amp;endStation=108",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Karlsruhe</t>
        </is>
      </c>
      <c r="E289" t="inlineStr">
        <is>
          <t>2026-04-14</t>
        </is>
      </c>
      <c r="F289" t="inlineStr">
        <is>
          <t>2026-04-21</t>
        </is>
      </c>
      <c r="G289" t="inlineStr">
        <is>
          <t xml:space="preserve"> - Camper Castle</t>
        </is>
      </c>
      <c r="H289">
        <f>HYPERLINK("https://booking.roadsurfer.com/es/rally/pick?pickup_date=2026-04-14&amp;return_date=2026-04-21&amp;currency=EUR&amp;startStation=59&amp;endStation=110",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Lindau-Wangen</t>
        </is>
      </c>
      <c r="E290" t="inlineStr">
        <is>
          <t>2026-04-15</t>
        </is>
      </c>
      <c r="F290" t="inlineStr">
        <is>
          <t>2026-04-22</t>
        </is>
      </c>
      <c r="G290" t="inlineStr">
        <is>
          <t xml:space="preserve"> - Camper Castle</t>
        </is>
      </c>
      <c r="H290">
        <f>HYPERLINK("https://booking.roadsurfer.com/es/rally/pick?pickup_date=2026-04-15&amp;return_date=2026-04-22&amp;currency=EUR&amp;startStation=59&amp;endStation=117",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Duisburgo</t>
        </is>
      </c>
      <c r="E291" t="inlineStr">
        <is>
          <t>2026-04-20</t>
        </is>
      </c>
      <c r="F291" t="inlineStr">
        <is>
          <t>2026-04-27</t>
        </is>
      </c>
      <c r="G291" t="inlineStr">
        <is>
          <t xml:space="preserve"> - Camper Castle</t>
        </is>
      </c>
      <c r="H291">
        <f>HYPERLINK("https://booking.roadsurfer.com/es/rally/pick?pickup_date=2026-04-20&amp;return_date=2026-04-27&amp;currency=EUR&amp;startStation=59&amp;endStation=113",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Berlín-Schönefeld</t>
        </is>
      </c>
      <c r="E292" t="inlineStr">
        <is>
          <t>2026-04-14</t>
        </is>
      </c>
      <c r="F292" t="inlineStr">
        <is>
          <t>2026-04-21</t>
        </is>
      </c>
      <c r="G292" t="inlineStr">
        <is>
          <t xml:space="preserve"> - Family Finca</t>
        </is>
      </c>
      <c r="H292">
        <f>HYPERLINK("https://booking.roadsurfer.com/es/rally/pick?pickup_date=2026-04-14&amp;return_date=2026-04-21&amp;currency=EUR&amp;startStation=59&amp;endStation=51",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Fráncfort</t>
        </is>
      </c>
      <c r="E293" t="inlineStr">
        <is>
          <t>2026-03-09</t>
        </is>
      </c>
      <c r="F293" t="inlineStr">
        <is>
          <t>2026-03-16</t>
        </is>
      </c>
      <c r="G293" t="inlineStr">
        <is>
          <t xml:space="preserve"> - Sunrise Suite</t>
        </is>
      </c>
      <c r="H293">
        <f>HYPERLINK("https://booking.roadsurfer.com/es/rally/pick?pickup_date=2026-03-09&amp;return_date=2026-03-16&amp;currency=EUR&amp;startStation=59&amp;endStation=2", "Clic para verlo en la web de RoadSurfer")</f>
        <v/>
      </c>
    </row>
    <row r="294">
      <c r="A294" t="inlineStr">
        <is>
          <t>Francia</t>
        </is>
      </c>
      <c r="B294" t="inlineStr">
        <is>
          <t>Estrasburgo</t>
        </is>
      </c>
      <c r="C294" t="inlineStr">
        <is>
          <t>Alemania</t>
        </is>
      </c>
      <c r="D294" t="inlineStr">
        <is>
          <t>Fráncfort</t>
        </is>
      </c>
      <c r="E294" t="inlineStr">
        <is>
          <t>2026-03-09</t>
        </is>
      </c>
      <c r="F294" t="inlineStr">
        <is>
          <t>2026-03-16</t>
        </is>
      </c>
      <c r="G294" t="inlineStr">
        <is>
          <t xml:space="preserve"> - Beach Hostel</t>
        </is>
      </c>
      <c r="H294">
        <f>HYPERLINK("https://booking.roadsurfer.com/es/rally/pick?pickup_date=2026-03-09&amp;return_date=2026-03-16&amp;currency=EUR&amp;startStation=49&amp;endStation=2",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2026-03-03</t>
        </is>
      </c>
      <c r="F295" t="inlineStr">
        <is>
          <t>2026-03-10</t>
        </is>
      </c>
      <c r="G295" t="inlineStr">
        <is>
          <t xml:space="preserve"> - SURFER SUITE</t>
        </is>
      </c>
      <c r="H295">
        <f>HYPERLINK("https://booking.roadsurfer.com/es/rally/pick?pickup_date=2026-03-03&amp;return_date=2026-03-10&amp;currency=EUR&amp;startStation=5&amp;endStation=32",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2026-03-06</t>
        </is>
      </c>
      <c r="F296" t="inlineStr">
        <is>
          <t>2026-03-13</t>
        </is>
      </c>
      <c r="G296" t="inlineStr">
        <is>
          <t xml:space="preserve"> - Travel Home</t>
        </is>
      </c>
      <c r="H296">
        <f>HYPERLINK("https://booking.roadsurfer.com/es/rally/pick?pickup_date=2026-03-06&amp;return_date=2026-03-13&amp;currency=EUR&amp;startStation=5&amp;endStation=30",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España</t>
        </is>
      </c>
      <c r="D297" t="inlineStr">
        <is>
          <t>Sevilla</t>
        </is>
      </c>
      <c r="E297" t="inlineStr">
        <is>
          <t>2026-03-03</t>
        </is>
      </c>
      <c r="F297" t="inlineStr">
        <is>
          <t>2026-03-10</t>
        </is>
      </c>
      <c r="G297" t="inlineStr">
        <is>
          <t xml:space="preserve"> - BEACH HOSTEL</t>
        </is>
      </c>
      <c r="H297">
        <f>HYPERLINK("https://booking.roadsurfer.com/es/rally/pick?pickup_date=2026-03-03&amp;return_date=2026-03-10&amp;currency=EUR&amp;startStation=5&amp;endStation=39",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España</t>
        </is>
      </c>
      <c r="D298" t="inlineStr">
        <is>
          <t>Sevilla</t>
        </is>
      </c>
      <c r="E298" t="inlineStr">
        <is>
          <t>2026-03-05</t>
        </is>
      </c>
      <c r="F298" t="inlineStr">
        <is>
          <t>2026-03-12</t>
        </is>
      </c>
      <c r="G298" t="inlineStr">
        <is>
          <t xml:space="preserve"> - Couple Cottage</t>
        </is>
      </c>
      <c r="H298">
        <f>HYPERLINK("https://booking.roadsurfer.com/es/rally/pick?pickup_date=2026-03-05&amp;return_date=2026-03-12&amp;currency=EUR&amp;startStation=5&amp;endStation=39",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2026-03-04</t>
        </is>
      </c>
      <c r="F299" t="inlineStr">
        <is>
          <t>2026-03-11</t>
        </is>
      </c>
      <c r="G299" t="inlineStr">
        <is>
          <t xml:space="preserve"> - Camper Castle</t>
        </is>
      </c>
      <c r="H299">
        <f>HYPERLINK("https://booking.roadsurfer.com/es/rally/pick?pickup_date=2026-03-04&amp;return_date=2026-03-11&amp;currency=EUR&amp;startStation=5&amp;endStation=33",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2026-03-03</t>
        </is>
      </c>
      <c r="F300" t="inlineStr">
        <is>
          <t>2026-03-10</t>
        </is>
      </c>
      <c r="G300" t="inlineStr">
        <is>
          <t xml:space="preserve"> - Surfer Suite</t>
        </is>
      </c>
      <c r="H300">
        <f>HYPERLINK("https://booking.roadsurfer.com/es/rally/pick?pickup_date=2026-03-03&amp;return_date=2026-03-10&amp;currency=EUR&amp;startStation=5&amp;endStation=58",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2026-03-05</t>
        </is>
      </c>
      <c r="F301" t="inlineStr">
        <is>
          <t>2026-03-12</t>
        </is>
      </c>
      <c r="G301" t="inlineStr">
        <is>
          <t xml:space="preserve"> - Road House</t>
        </is>
      </c>
      <c r="H301">
        <f>HYPERLINK("https://booking.roadsurfer.com/es/rally/pick?pickup_date=2026-03-05&amp;return_date=2026-03-12&amp;currency=EUR&amp;startStation=5&amp;endStation=58",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2026-03-05</t>
        </is>
      </c>
      <c r="F302" t="inlineStr">
        <is>
          <t>2026-03-12</t>
        </is>
      </c>
      <c r="G302" t="inlineStr">
        <is>
          <t xml:space="preserve"> - Camper Cabin</t>
        </is>
      </c>
      <c r="H302">
        <f>HYPERLINK("https://booking.roadsurfer.com/es/rally/pick?pickup_date=2026-03-05&amp;return_date=2026-03-12&amp;currency=EUR&amp;startStation=5&amp;endStation=29",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2026-03-04</t>
        </is>
      </c>
      <c r="F303" t="inlineStr">
        <is>
          <t>2026-03-11</t>
        </is>
      </c>
      <c r="G303" t="inlineStr">
        <is>
          <t xml:space="preserve"> - Surfer Suite</t>
        </is>
      </c>
      <c r="H303">
        <f>HYPERLINK("https://booking.roadsurfer.com/es/rally/pick?pickup_date=2026-03-04&amp;return_date=2026-03-11&amp;currency=EUR&amp;startStation=5&amp;endStation=45",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Family Finca</t>
        </is>
      </c>
      <c r="H304">
        <f>HYPERLINK("https://booking.roadsurfer.com/es/rally/pick?pickup_date=2026-03-06&amp;return_date=2026-03-13&amp;currency=EUR&amp;startStation=5&amp;endStation=13", "Clic para verlo en la web de RoadSurfer")</f>
        <v/>
      </c>
    </row>
    <row r="305">
      <c r="A305" t="inlineStr">
        <is>
          <t>Francia</t>
        </is>
      </c>
      <c r="B305" t="inlineStr">
        <is>
          <t>Toulouse</t>
        </is>
      </c>
      <c r="C305" t="inlineStr">
        <is>
          <t>Alemania</t>
        </is>
      </c>
      <c r="D305" t="inlineStr">
        <is>
          <t>Friburgo-Basilea (Alemania)</t>
        </is>
      </c>
      <c r="E305" t="inlineStr">
        <is>
          <t>2026-05-05</t>
        </is>
      </c>
      <c r="F305" t="inlineStr">
        <is>
          <t>2026-05-12</t>
        </is>
      </c>
      <c r="G305" t="inlineStr">
        <is>
          <t xml:space="preserve"> - Family Finca</t>
        </is>
      </c>
      <c r="H305">
        <f>HYPERLINK("https://booking.roadsurfer.com/es/rally/pick?pickup_date=2026-05-05&amp;return_date=2026-05-12&amp;currency=EUR&amp;startStation=30&amp;endStation=9",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Friburgo-Basilea (Alemania)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Family Finca</t>
        </is>
      </c>
      <c r="H306">
        <f>HYPERLINK("https://booking.roadsurfer.com/es/rally/pick?pickup_date=2026-04-13&amp;return_date=2026-04-20&amp;currency=EUR&amp;startStation=30&amp;endStation=9", "Clic para verlo en la web de RoadSurfer")</f>
        <v/>
      </c>
    </row>
    <row r="307">
      <c r="A307" t="inlineStr">
        <is>
          <t>Francia</t>
        </is>
      </c>
      <c r="B307" t="inlineStr">
        <is>
          <t>Toulouse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Camper Castle</t>
        </is>
      </c>
      <c r="H307">
        <f>HYPERLINK("https://booking.roadsurfer.com/es/rally/pick?pickup_date=2026-04-13&amp;return_date=2026-04-20&amp;currency=EUR&amp;startStation=30&amp;endStation=90", "Clic para verlo en la web de RoadSurfer")</f>
        <v/>
      </c>
    </row>
    <row r="308">
      <c r="A308" t="inlineStr">
        <is>
          <t>Francia</t>
        </is>
      </c>
      <c r="B308" t="inlineStr">
        <is>
          <t>Toulouse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Road House</t>
        </is>
      </c>
      <c r="H308">
        <f>HYPERLINK("https://booking.roadsurfer.com/es/rally/pick?pickup_date=2026-04-14&amp;return_date=2026-04-21&amp;currency=EUR&amp;startStation=30&amp;endStation=90", "Clic para verlo en la web de RoadSurfer")</f>
        <v/>
      </c>
    </row>
    <row r="309">
      <c r="A309" t="inlineStr">
        <is>
          <t>Alemania</t>
        </is>
      </c>
      <c r="B309" t="inlineStr">
        <is>
          <t>Tréveris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2026-03-03</t>
        </is>
      </c>
      <c r="F309" t="inlineStr">
        <is>
          <t>2026-03-10</t>
        </is>
      </c>
      <c r="G309" t="inlineStr">
        <is>
          <t xml:space="preserve"> - Road House</t>
        </is>
      </c>
      <c r="H309">
        <f>HYPERLINK("https://booking.roadsurfer.com/es/rally/pick?pickup_date=2026-03-03&amp;return_date=2026-03-10&amp;currency=EUR&amp;startStation=28&amp;endStation=33", "Clic para verlo en la web de RoadSurfer")</f>
        <v/>
      </c>
    </row>
    <row r="310">
      <c r="A310" t="inlineStr">
        <is>
          <t>Alemania</t>
        </is>
      </c>
      <c r="B310" t="inlineStr">
        <is>
          <t>Tréveris</t>
        </is>
      </c>
      <c r="C310" t="inlineStr">
        <is>
          <t>Alemania</t>
        </is>
      </c>
      <c r="D310" t="inlineStr">
        <is>
          <t>Hamburgo Aeropuerto</t>
        </is>
      </c>
      <c r="E310" t="inlineStr">
        <is>
          <t>2026-03-06</t>
        </is>
      </c>
      <c r="F310" t="inlineStr">
        <is>
          <t>2026-03-13</t>
        </is>
      </c>
      <c r="G310" t="inlineStr">
        <is>
          <t xml:space="preserve"> - Family Finca</t>
        </is>
      </c>
      <c r="H310">
        <f>HYPERLINK("https://booking.roadsurfer.com/es/rally/pick?pickup_date=2026-03-06&amp;return_date=2026-03-13&amp;currency=EUR&amp;startStation=28&amp;endStation=65",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Alemania</t>
        </is>
      </c>
      <c r="D311" t="inlineStr">
        <is>
          <t>Núremberg</t>
        </is>
      </c>
      <c r="E311" t="inlineStr">
        <is>
          <t>2026-04-16</t>
        </is>
      </c>
      <c r="F311" t="inlineStr">
        <is>
          <t>2026-04-23</t>
        </is>
      </c>
      <c r="G311" t="inlineStr">
        <is>
          <t xml:space="preserve"> - Road House</t>
        </is>
      </c>
      <c r="H311">
        <f>HYPERLINK("https://booking.roadsurfer.com/es/rally/pick?pickup_date=2026-04-16&amp;return_date=2026-04-23&amp;currency=EUR&amp;startStation=58&amp;endStation=11",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Family Finca</t>
        </is>
      </c>
      <c r="H312">
        <f>HYPERLINK("https://booking.roadsurfer.com/es/rally/pick?pickup_date=2026-04-20&amp;return_date=2026-04-27&amp;currency=EUR&amp;startStation=58&amp;endStation=56", "Clic para verlo en la web de RoadSurfer")</f>
        <v/>
      </c>
    </row>
    <row r="313">
      <c r="A313" t="inlineStr">
        <is>
          <t>Alemania</t>
        </is>
      </c>
      <c r="B313" t="inlineStr">
        <is>
          <t>Ulm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Road House</t>
        </is>
      </c>
      <c r="H313">
        <f>HYPERLINK("https://booking.roadsurfer.com/es/rally/pick?pickup_date=2026-03-05&amp;return_date=2026-03-12&amp;currency=EUR&amp;startStation=112&amp;endStation=39",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Maguncia</t>
        </is>
      </c>
      <c r="E314" t="inlineStr">
        <is>
          <t>2026-03-09</t>
        </is>
      </c>
      <c r="F314" t="inlineStr">
        <is>
          <t>2026-03-16</t>
        </is>
      </c>
      <c r="G314" t="inlineStr">
        <is>
          <t xml:space="preserve"> - TRAVEL HOME</t>
        </is>
      </c>
      <c r="H314">
        <f>HYPERLINK("https://booking.roadsurfer.com/es/rally/pick?pickup_date=2026-03-09&amp;return_date=2026-03-16&amp;currency=EUR&amp;startStation=38&amp;endStation=54",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Family Finca</t>
        </is>
      </c>
      <c r="H315">
        <f>HYPERLINK("https://booking.roadsurfer.com/es/rally/pick?pickup_date=2026-04-15&amp;return_date=2026-04-22&amp;currency=EUR&amp;startStation=38&amp;endStation=8",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Couple Cottage</t>
        </is>
      </c>
      <c r="H316">
        <f>HYPERLINK("https://booking.roadsurfer.com/es/rally/pick?pickup_date=2026-03-23&amp;return_date=2026-03-30&amp;currency=EUR&amp;startStation=38&amp;endStation=110",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Núremberg</t>
        </is>
      </c>
      <c r="E317" t="inlineStr">
        <is>
          <t>2026-03-09</t>
        </is>
      </c>
      <c r="F317" t="inlineStr">
        <is>
          <t>2026-03-16</t>
        </is>
      </c>
      <c r="G317" t="inlineStr">
        <is>
          <t xml:space="preserve"> - Road House</t>
        </is>
      </c>
      <c r="H317">
        <f>HYPERLINK("https://booking.roadsurfer.com/es/rally/pick?pickup_date=2026-03-09&amp;return_date=2026-03-16&amp;currency=EUR&amp;startStation=38&amp;endStation=11",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2026-03-09</t>
        </is>
      </c>
      <c r="F318" t="inlineStr">
        <is>
          <t>2026-03-16</t>
        </is>
      </c>
      <c r="G318" t="inlineStr">
        <is>
          <t xml:space="preserve"> - Family Finca</t>
        </is>
      </c>
      <c r="H318">
        <f>HYPERLINK("https://booking.roadsurfer.com/es/rally/pick?pickup_date=2026-03-09&amp;return_date=2026-03-16&amp;currency=EUR&amp;startStation=78&amp;endStation=1",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Leipzig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Family Finca</t>
        </is>
      </c>
      <c r="H319">
        <f>HYPERLINK("https://booking.roadsurfer.com/es/rally/pick?pickup_date=2026-04-14&amp;return_date=2026-04-21&amp;currency=EUR&amp;startStation=78&amp;endStation=8",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Leipzig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Family Finca</t>
        </is>
      </c>
      <c r="H320">
        <f>HYPERLINK("https://booking.roadsurfer.com/es/rally/pick?pickup_date=2026-04-15&amp;return_date=2026-04-22&amp;currency=EUR&amp;startStation=78&amp;endStation=8",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Austria</t>
        </is>
      </c>
      <c r="D321" t="inlineStr">
        <is>
          <t>Linz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BEACH HOSTEL</t>
        </is>
      </c>
      <c r="H321">
        <f>HYPERLINK("https://booking.roadsurfer.com/es/rally/pick?pickup_date=2026-03-09&amp;return_date=2026-03-16&amp;currency=EUR&amp;startStation=78&amp;endStation=116", "Clic para verlo en la web de RoadSurfer")</f>
        <v/>
      </c>
    </row>
    <row r="322">
      <c r="A322" t="inlineStr">
        <is>
          <t>Italia</t>
        </is>
      </c>
      <c r="B322" t="inlineStr">
        <is>
          <t>Venecia</t>
        </is>
      </c>
      <c r="C322" t="inlineStr">
        <is>
          <t>Alemania</t>
        </is>
      </c>
      <c r="D322" t="inlineStr">
        <is>
          <t>Stuttgart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Road House</t>
        </is>
      </c>
      <c r="H322">
        <f>HYPERLINK("https://booking.roadsurfer.com/es/rally/pick?pickup_date=2026-05-11&amp;return_date=2026-05-18&amp;currency=EUR&amp;startStation=78&amp;endStation=5", "Clic para verlo en la web de RoadSurfer")</f>
        <v/>
      </c>
    </row>
    <row r="323">
      <c r="A323" t="inlineStr">
        <is>
          <t>Italia</t>
        </is>
      </c>
      <c r="B323" t="inlineStr">
        <is>
          <t>Venecia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Road House</t>
        </is>
      </c>
      <c r="H323">
        <f>HYPERLINK("https://booking.roadsurfer.com/es/rally/pick?pickup_date=2026-04-14&amp;return_date=2026-04-21&amp;currency=EUR&amp;startStation=78&amp;endStation=5",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Duisburgo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Surfer Suite</t>
        </is>
      </c>
      <c r="H324">
        <f>HYPERLINK("https://booking.roadsurfer.com/es/rally/pick?pickup_date=2026-04-13&amp;return_date=2026-04-20&amp;currency=EUR&amp;startStation=78&amp;endStation=113",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2026-03-03</t>
        </is>
      </c>
      <c r="F325" t="inlineStr">
        <is>
          <t>2026-03-10</t>
        </is>
      </c>
      <c r="G325" t="inlineStr">
        <is>
          <t xml:space="preserve"> - FAMILY FINCA</t>
        </is>
      </c>
      <c r="H325">
        <f>HYPERLINK("https://booking.roadsurfer.com/es/rally/pick?pickup_date=2026-03-03&amp;return_date=2026-03-10&amp;currency=EUR&amp;startStation=78&amp;endStation=22",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Friburgo-Basilea (Alemania)</t>
        </is>
      </c>
      <c r="E326" t="inlineStr">
        <is>
          <t>2026-03-07</t>
        </is>
      </c>
      <c r="F326" t="inlineStr">
        <is>
          <t>2026-03-14</t>
        </is>
      </c>
      <c r="G326" t="inlineStr">
        <is>
          <t xml:space="preserve"> - Camper Castle</t>
        </is>
      </c>
      <c r="H326">
        <f>HYPERLINK("https://booking.roadsurfer.com/es/rally/pick?pickup_date=2026-03-07&amp;return_date=2026-03-14&amp;currency=EUR&amp;startStation=78&amp;endStation=9", "Clic para verlo en la web de RoadSurfer")</f>
        <v/>
      </c>
    </row>
    <row r="327">
      <c r="A327" t="inlineStr">
        <is>
          <t>Austria</t>
        </is>
      </c>
      <c r="B327" t="inlineStr">
        <is>
          <t>Viena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2026-03-05</t>
        </is>
      </c>
      <c r="F327" t="inlineStr">
        <is>
          <t>2026-03-12</t>
        </is>
      </c>
      <c r="G327" t="inlineStr">
        <is>
          <t xml:space="preserve"> - Surfer Suite</t>
        </is>
      </c>
      <c r="H327">
        <f>HYPERLINK("https://booking.roadsurfer.com/es/rally/pick?pickup_date=2026-03-05&amp;return_date=2026-03-12&amp;currency=EUR&amp;startStation=36&amp;endStation=22", "Clic para verlo en la web de RoadSurfer")</f>
        <v/>
      </c>
    </row>
    <row r="328">
      <c r="A328" t="inlineStr">
        <is>
          <t>Austria</t>
        </is>
      </c>
      <c r="B328" t="inlineStr">
        <is>
          <t>Viena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Cozy Cottage</t>
        </is>
      </c>
      <c r="H328">
        <f>HYPERLINK("https://booking.roadsurfer.com/es/rally/pick?pickup_date=2026-04-14&amp;return_date=2026-04-21&amp;currency=EUR&amp;startStation=36&amp;endStation=8", "Clic para verlo en la web de RoadSurfer")</f>
        <v/>
      </c>
    </row>
    <row r="329">
      <c r="A329" t="inlineStr">
        <is>
          <t>Austria</t>
        </is>
      </c>
      <c r="B329" t="inlineStr">
        <is>
          <t>Viena</t>
        </is>
      </c>
      <c r="C329" t="inlineStr">
        <is>
          <t>Alemania</t>
        </is>
      </c>
      <c r="D329" t="inlineStr">
        <is>
          <t>Berlín</t>
        </is>
      </c>
      <c r="E329" t="inlineStr">
        <is>
          <t>2026-03-07</t>
        </is>
      </c>
      <c r="F329" t="inlineStr">
        <is>
          <t>2026-03-14</t>
        </is>
      </c>
      <c r="G329" t="inlineStr">
        <is>
          <t xml:space="preserve"> - Couple Cottage</t>
        </is>
      </c>
      <c r="H329">
        <f>HYPERLINK("https://booking.roadsurfer.com/es/rally/pick?pickup_date=2026-03-07&amp;return_date=2026-03-14&amp;currency=EUR&amp;startStation=36&amp;endStation=6", "Clic para verlo en la web de RoadSurfer")</f>
        <v/>
      </c>
    </row>
    <row r="330">
      <c r="A330" t="inlineStr">
        <is>
          <t>Austria</t>
        </is>
      </c>
      <c r="B330" t="inlineStr">
        <is>
          <t>Viena Sur</t>
        </is>
      </c>
      <c r="C330" t="inlineStr">
        <is>
          <t>Alemania</t>
        </is>
      </c>
      <c r="D330" t="inlineStr">
        <is>
          <t>Leipzig</t>
        </is>
      </c>
      <c r="E330" t="inlineStr">
        <is>
          <t>2026-03-09</t>
        </is>
      </c>
      <c r="F330" t="inlineStr">
        <is>
          <t>2026-03-16</t>
        </is>
      </c>
      <c r="G330" t="inlineStr">
        <is>
          <t xml:space="preserve"> - Travel Home</t>
        </is>
      </c>
      <c r="H330">
        <f>HYPERLINK("https://booking.roadsurfer.com/es/rally/pick?pickup_date=2026-03-09&amp;return_date=2026-03-16&amp;currency=EUR&amp;startStation=45&amp;endStation=8",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Family Finca</t>
        </is>
      </c>
      <c r="H331">
        <f>HYPERLINK("https://booking.roadsurfer.com/es/rally/pick?pickup_date=2026-04-13&amp;return_date=2026-04-20&amp;currency=EUR&amp;startStation=45&amp;endStation=8", "Clic para verlo en la web de RoadSurfer")</f>
        <v/>
      </c>
    </row>
    <row r="332">
      <c r="A332" t="inlineStr">
        <is>
          <t>Austria</t>
        </is>
      </c>
      <c r="B332" t="inlineStr">
        <is>
          <t>Viena Sur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Family Finca</t>
        </is>
      </c>
      <c r="H332">
        <f>HYPERLINK("https://booking.roadsurfer.com/es/rally/pick?pickup_date=2026-04-14&amp;return_date=2026-04-21&amp;currency=EUR&amp;startStation=45&amp;endStation=8", "Clic para verlo en la web de RoadSurfer")</f>
        <v/>
      </c>
    </row>
    <row r="333">
      <c r="A333" t="inlineStr">
        <is>
          <t>Austria</t>
        </is>
      </c>
      <c r="B333" t="inlineStr">
        <is>
          <t>Viena Sur</t>
        </is>
      </c>
      <c r="C333" t="inlineStr">
        <is>
          <t>Alemania</t>
        </is>
      </c>
      <c r="D333" t="inlineStr">
        <is>
          <t>Constanza (Aach)</t>
        </is>
      </c>
      <c r="E333" t="inlineStr">
        <is>
          <t>2026-03-09</t>
        </is>
      </c>
      <c r="F333" t="inlineStr">
        <is>
          <t>2026-03-16</t>
        </is>
      </c>
      <c r="G333" t="inlineStr">
        <is>
          <t xml:space="preserve"> - Travel Home</t>
        </is>
      </c>
      <c r="H333">
        <f>HYPERLINK("https://booking.roadsurfer.com/es/rally/pick?pickup_date=2026-03-09&amp;return_date=2026-03-16&amp;currency=EUR&amp;startStation=45&amp;endStation=10", "Clic para verlo en la web de RoadSurfer")</f>
        <v/>
      </c>
    </row>
    <row r="334">
      <c r="A334" t="inlineStr">
        <is>
          <t>Austria</t>
        </is>
      </c>
      <c r="B334" t="inlineStr">
        <is>
          <t>Viena Sur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2026-03-05</t>
        </is>
      </c>
      <c r="F334" t="inlineStr">
        <is>
          <t>2026-03-12</t>
        </is>
      </c>
      <c r="G334" t="inlineStr">
        <is>
          <t xml:space="preserve"> - Surfer Suite - Road House</t>
        </is>
      </c>
      <c r="H334">
        <f>HYPERLINK("https://booking.roadsurfer.com/es/rally/pick?pickup_date=2026-03-05&amp;return_date=2026-03-12&amp;currency=EUR&amp;startStation=45&amp;endStation=22", "Clic para verlo en la web de RoadSurfer")</f>
        <v/>
      </c>
    </row>
    <row r="335">
      <c r="A335" t="inlineStr">
        <is>
          <t>Austria</t>
        </is>
      </c>
      <c r="B335" t="inlineStr">
        <is>
          <t>Viena Sur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Family Finca</t>
        </is>
      </c>
      <c r="H335">
        <f>HYPERLINK("https://booking.roadsurfer.com/es/rally/pick?pickup_date=2026-04-14&amp;return_date=2026-04-21&amp;currency=EUR&amp;startStation=45&amp;endStation=56", "Clic para verlo en la web de RoadSurfer")</f>
        <v/>
      </c>
    </row>
    <row r="336">
      <c r="A336" t="inlineStr">
        <is>
          <t>Austria</t>
        </is>
      </c>
      <c r="B336" t="inlineStr">
        <is>
          <t>Viena Sur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Family Finca</t>
        </is>
      </c>
      <c r="H336">
        <f>HYPERLINK("https://booking.roadsurfer.com/es/rally/pick?pickup_date=2026-04-13&amp;return_date=2026-04-20&amp;currency=EUR&amp;startStation=45&amp;endStation=90", "Clic para verlo en la web de RoadSurfer")</f>
        <v/>
      </c>
    </row>
    <row r="337">
      <c r="A337" t="inlineStr">
        <is>
          <t>Austria</t>
        </is>
      </c>
      <c r="B337" t="inlineStr">
        <is>
          <t>Viena Sur</t>
        </is>
      </c>
      <c r="C337" t="inlineStr">
        <is>
          <t>Alemania</t>
        </is>
      </c>
      <c r="D337" t="inlineStr">
        <is>
          <t>Núremberg</t>
        </is>
      </c>
      <c r="E337" t="inlineStr">
        <is>
          <t>2026-03-09</t>
        </is>
      </c>
      <c r="F337" t="inlineStr">
        <is>
          <t>2026-03-16</t>
        </is>
      </c>
      <c r="G337" t="inlineStr">
        <is>
          <t xml:space="preserve"> - Couple Cottage</t>
        </is>
      </c>
      <c r="H337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2026-02-28T14:26:55Z</dcterms:created>
  <dcterms:modified xsi:type="dcterms:W3CDTF">2026-02-28T14:26:56Z</dcterms:modified>
</cp:coreProperties>
</file>