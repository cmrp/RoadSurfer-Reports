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Road House</t>
        </is>
      </c>
      <c r="H6">
        <f>HYPERLINK("https://booking.roadsurfer.com/es/rally/pick?pickup_date=2026-04-20&amp;return_date=2026-04-27&amp;currency=EUR&amp;startStation=16&amp;endStation=79",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Núremberg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ROAD HOUSE</t>
        </is>
      </c>
      <c r="H7">
        <f>HYPERLINK("https://booking.roadsurfer.com/es/rally/pick?pickup_date=2026-04-15&amp;return_date=2026-04-22&amp;currency=EUR&amp;startStation=16&amp;endStation=11",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Surfer Suite</t>
        </is>
      </c>
      <c r="H8">
        <f>HYPERLINK("https://booking.roadsurfer.com/es/rally/pick?pickup_date=2026-03-06&amp;return_date=2026-03-13&amp;currency=EUR&amp;startStation=32&amp;endStation=22",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2026-03-07</t>
        </is>
      </c>
      <c r="F9" t="inlineStr">
        <is>
          <t>2026-03-14</t>
        </is>
      </c>
      <c r="G9" t="inlineStr">
        <is>
          <t xml:space="preserve"> - Surfer Suite</t>
        </is>
      </c>
      <c r="H9">
        <f>HYPERLINK("https://booking.roadsurfer.com/es/rally/pick?pickup_date=2026-03-07&amp;return_date=2026-03-14&amp;currency=EUR&amp;startStation=47&amp;endStation=56",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Beach Hostel</t>
        </is>
      </c>
      <c r="H10">
        <f>HYPERLINK("https://booking.roadsurfer.com/es/rally/pick?pickup_date=2026-03-06&amp;return_date=2026-03-13&amp;currency=EUR&amp;startStation=47&amp;endStation=56",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Francia</t>
        </is>
      </c>
      <c r="D12" t="inlineStr">
        <is>
          <t>Aix-Marsella</t>
        </is>
      </c>
      <c r="E12" t="inlineStr">
        <is>
          <t>2026-03-09</t>
        </is>
      </c>
      <c r="F12" t="inlineStr">
        <is>
          <t>2026-03-16</t>
        </is>
      </c>
      <c r="G12" t="inlineStr">
        <is>
          <t xml:space="preserve"> - Travel Home</t>
        </is>
      </c>
      <c r="H12">
        <f>HYPERLINK("https://booking.roadsurfer.com/es/rally/pick?pickup_date=2026-03-09&amp;return_date=2026-03-16&amp;currency=EUR&amp;startStation=47&amp;endStation=16",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Francia</t>
        </is>
      </c>
      <c r="D13" t="inlineStr">
        <is>
          <t>Ginebra-Pays de Gex (Francia)</t>
        </is>
      </c>
      <c r="E13" t="inlineStr">
        <is>
          <t>2026-03-09</t>
        </is>
      </c>
      <c r="F13" t="inlineStr">
        <is>
          <t>2026-03-16</t>
        </is>
      </c>
      <c r="G13" t="inlineStr">
        <is>
          <t xml:space="preserve"> - Travel Home</t>
        </is>
      </c>
      <c r="H13">
        <f>HYPERLINK("https://booking.roadsurfer.com/es/rally/pick?pickup_date=2026-03-09&amp;return_date=2026-03-16&amp;currency=EUR&amp;startStation=47&amp;endStation=29",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Italia</t>
        </is>
      </c>
      <c r="D14" t="inlineStr">
        <is>
          <t>Milán</t>
        </is>
      </c>
      <c r="E14" t="inlineStr">
        <is>
          <t>2026-03-09</t>
        </is>
      </c>
      <c r="F14" t="inlineStr">
        <is>
          <t>2026-03-16</t>
        </is>
      </c>
      <c r="G14" t="inlineStr">
        <is>
          <t xml:space="preserve"> - Family Finca</t>
        </is>
      </c>
      <c r="H14">
        <f>HYPERLINK("https://booking.roadsurfer.com/es/rally/pick?pickup_date=2026-03-09&amp;return_date=2026-03-16&amp;currency=EUR&amp;startStation=47&amp;endStation=34",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Aix-Marsella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Beach Hostel</t>
        </is>
      </c>
      <c r="H15">
        <f>HYPERLINK("https://booking.roadsurfer.com/es/rally/pick?pickup_date=2026-03-09&amp;return_date=2026-03-16&amp;currency=EUR&amp;startStation=108&amp;endStation=16",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No hay coche</t>
        </is>
      </c>
      <c r="H16">
        <f>HYPERLINK("https://booking.roadsurfer.com/es/rally/pick?pickup_date=2026-04-10&amp;return_date=2026-04-17&amp;currency=EUR&amp;startStation=108&amp;endStation=32",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Road House</t>
        </is>
      </c>
      <c r="H17">
        <f>HYPERLINK("https://booking.roadsurfer.com/es/rally/pick?pickup_date=2026-04-14&amp;return_date=2026-04-21&amp;currency=EUR&amp;startStation=17&amp;endStation=9",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Surfer Suite</t>
        </is>
      </c>
      <c r="H18">
        <f>HYPERLINK("https://booking.roadsurfer.com/es/rally/pick?pickup_date=2026-03-09&amp;return_date=2026-03-16&amp;currency=EUR&amp;startStation=17&amp;endStation=22",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Italia</t>
        </is>
      </c>
      <c r="D19" t="inlineStr">
        <is>
          <t>Milán</t>
        </is>
      </c>
      <c r="E19" t="inlineStr">
        <is>
          <t>2026-03-09</t>
        </is>
      </c>
      <c r="F19" t="inlineStr">
        <is>
          <t>2026-03-19</t>
        </is>
      </c>
      <c r="G19" t="inlineStr">
        <is>
          <t xml:space="preserve"> - Surfer Suite</t>
        </is>
      </c>
      <c r="H19">
        <f>HYPERLINK("https://booking.roadsurfer.com/es/rally/pick?pickup_date=2026-03-09&amp;return_date=2026-03-19&amp;currency=EUR&amp;startStation=6&amp;endStation=34",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Países Bajos</t>
        </is>
      </c>
      <c r="D20" t="inlineStr">
        <is>
          <t>Róterdam</t>
        </is>
      </c>
      <c r="E20" t="inlineStr">
        <is>
          <t>2026-03-06</t>
        </is>
      </c>
      <c r="F20" t="inlineStr">
        <is>
          <t>2026-03-13</t>
        </is>
      </c>
      <c r="G20" t="inlineStr">
        <is>
          <t xml:space="preserve"> - Surfer Suite</t>
        </is>
      </c>
      <c r="H20">
        <f>HYPERLINK("https://booking.roadsurfer.com/es/rally/pick?pickup_date=2026-03-06&amp;return_date=2026-03-13&amp;currency=EUR&amp;startStation=6&amp;endStation=33",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Lille</t>
        </is>
      </c>
      <c r="E21" t="inlineStr">
        <is>
          <t>2026-04-03</t>
        </is>
      </c>
      <c r="F21" t="inlineStr">
        <is>
          <t>2026-04-10</t>
        </is>
      </c>
      <c r="G21" t="inlineStr">
        <is>
          <t xml:space="preserve"> - No hay coche</t>
        </is>
      </c>
      <c r="H21">
        <f>HYPERLINK("https://booking.roadsurfer.com/es/rally/pick?pickup_date=2026-04-03&amp;return_date=2026-04-10&amp;currency=EUR&amp;startStation=6&amp;endStation=87",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Alemania</t>
        </is>
      </c>
      <c r="D22" t="inlineStr">
        <is>
          <t>Lübeck</t>
        </is>
      </c>
      <c r="E22" t="inlineStr">
        <is>
          <t>2026-03-13</t>
        </is>
      </c>
      <c r="F22" t="inlineStr">
        <is>
          <t>2026-03-20</t>
        </is>
      </c>
      <c r="G22" t="inlineStr">
        <is>
          <t xml:space="preserve"> - Camper Cabin</t>
        </is>
      </c>
      <c r="H22">
        <f>HYPERLINK("https://booking.roadsurfer.com/es/rally/pick?pickup_date=2026-03-13&amp;return_date=2026-03-20&amp;currency=EUR&amp;startStation=6&amp;endStation=109",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Alemania</t>
        </is>
      </c>
      <c r="D23" t="inlineStr">
        <is>
          <t>Hamburgo Aeropuerto</t>
        </is>
      </c>
      <c r="E23" t="inlineStr">
        <is>
          <t>2026-03-06</t>
        </is>
      </c>
      <c r="F23" t="inlineStr">
        <is>
          <t>2026-03-13</t>
        </is>
      </c>
      <c r="G23" t="inlineStr">
        <is>
          <t xml:space="preserve"> - BEACH HOSTEL</t>
        </is>
      </c>
      <c r="H23">
        <f>HYPERLINK("https://booking.roadsurfer.com/es/rally/pick?pickup_date=2026-03-06&amp;return_date=2026-03-13&amp;currency=EUR&amp;startStation=6&amp;endStation=65",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2026-03-09</t>
        </is>
      </c>
      <c r="F24" t="inlineStr">
        <is>
          <t>2026-03-16</t>
        </is>
      </c>
      <c r="G24" t="inlineStr">
        <is>
          <t xml:space="preserve"> - Road House</t>
        </is>
      </c>
      <c r="H24">
        <f>HYPERLINK("https://booking.roadsurfer.com/es/rally/pick?pickup_date=2026-03-09&amp;return_date=2026-03-16&amp;currency=EUR&amp;startStation=6&amp;endStation=57",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Italia</t>
        </is>
      </c>
      <c r="D25" t="inlineStr">
        <is>
          <t>Florencia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Family Finca</t>
        </is>
      </c>
      <c r="H25">
        <f>HYPERLINK("https://booking.roadsurfer.com/es/rally/pick?pickup_date=2026-03-09&amp;return_date=2026-03-16&amp;currency=EUR&amp;startStation=51&amp;endStation=80",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Nantes</t>
        </is>
      </c>
      <c r="E26" t="inlineStr">
        <is>
          <t>2026-04-04</t>
        </is>
      </c>
      <c r="F26" t="inlineStr">
        <is>
          <t>2026-04-11</t>
        </is>
      </c>
      <c r="G26" t="inlineStr">
        <is>
          <t xml:space="preserve"> - BEACH HOSTEL</t>
        </is>
      </c>
      <c r="H26">
        <f>HYPERLINK("https://booking.roadsurfer.com/es/rally/pick?pickup_date=2026-04-04&amp;return_date=2026-04-11&amp;currency=EUR&amp;startStation=91&amp;endStation=31",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Países Bajos</t>
        </is>
      </c>
      <c r="D27" t="inlineStr">
        <is>
          <t>Róterdam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Camper Cabin</t>
        </is>
      </c>
      <c r="H27">
        <f>HYPERLINK("https://booking.roadsurfer.com/es/rally/pick?pickup_date=2026-03-09&amp;return_date=2026-03-16&amp;currency=EUR&amp;startStation=91&amp;endStation=33",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2026-03-09</t>
        </is>
      </c>
      <c r="F28" t="inlineStr">
        <is>
          <t>2026-03-16</t>
        </is>
      </c>
      <c r="G28" t="inlineStr">
        <is>
          <t xml:space="preserve"> - Surfer Suite</t>
        </is>
      </c>
      <c r="H28">
        <f>HYPERLINK("https://booking.roadsurfer.com/es/rally/pick?pickup_date=2026-03-09&amp;return_date=2026-03-16&amp;currency=EUR&amp;startStation=91&amp;endStation=40", "Clic para verlo en la web de RoadSurfer")</f>
        <v/>
      </c>
    </row>
    <row r="29">
      <c r="A29" t="inlineStr">
        <is>
          <t>España</t>
        </is>
      </c>
      <c r="B29" t="inlineStr">
        <is>
          <t>Bilbao</t>
        </is>
      </c>
      <c r="C29" t="inlineStr">
        <is>
          <t>Alemania</t>
        </is>
      </c>
      <c r="D29" t="inlineStr">
        <is>
          <t>Kassel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HYPERLINK("https://booking.roadsurfer.com/es/rally/pick?pickup_date=2026-03-09&amp;return_date=2026-03-16&amp;currency=EUR&amp;startStation=40&amp;endStation=92",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2026-03-06</t>
        </is>
      </c>
      <c r="F30" t="inlineStr">
        <is>
          <t>2026-03-13</t>
        </is>
      </c>
      <c r="G30" t="inlineStr">
        <is>
          <t xml:space="preserve"> - Surfer Suite</t>
        </is>
      </c>
      <c r="H30">
        <f>HYPERLINK("https://booking.roadsurfer.com/es/rally/pick?pickup_date=2026-03-06&amp;return_date=2026-03-13&amp;currency=EUR&amp;startStation=40&amp;endStation=22",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Constanza (Aach)</t>
        </is>
      </c>
      <c r="E31" t="inlineStr">
        <is>
          <t>2026-03-07</t>
        </is>
      </c>
      <c r="F31" t="inlineStr">
        <is>
          <t>2026-03-14</t>
        </is>
      </c>
      <c r="G31" t="inlineStr">
        <is>
          <t xml:space="preserve"> - Road House</t>
        </is>
      </c>
      <c r="H31">
        <f>HYPERLINK("https://booking.roadsurfer.com/es/rally/pick?pickup_date=2026-03-07&amp;return_date=2026-03-14&amp;currency=EUR&amp;startStation=40&amp;endStation=10",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2026-04-13</t>
        </is>
      </c>
      <c r="F32" t="inlineStr">
        <is>
          <t>2026-04-20</t>
        </is>
      </c>
      <c r="G32" t="inlineStr">
        <is>
          <t xml:space="preserve"> - Road House</t>
        </is>
      </c>
      <c r="H32">
        <f>HYPERLINK("https://booking.roadsurfer.com/es/rally/pick?pickup_date=2026-04-13&amp;return_date=2026-04-20&amp;currency=EUR&amp;startStation=40&amp;endStation=5",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Family Finca</t>
        </is>
      </c>
      <c r="H33">
        <f>HYPERLINK("https://booking.roadsurfer.com/es/rally/pick?pickup_date=2026-04-18&amp;return_date=2026-04-25&amp;currency=EUR&amp;startStation=40&amp;endStation=1",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Aquisgrán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Couple Cottage</t>
        </is>
      </c>
      <c r="H34">
        <f>HYPERLINK("https://booking.roadsurfer.com/es/rally/pick?pickup_date=2026-03-09&amp;return_date=2026-03-16&amp;currency=EUR&amp;startStation=40&amp;endStation=114",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Friburgo-Basilea (Alemania)</t>
        </is>
      </c>
      <c r="E35" t="inlineStr">
        <is>
          <t>2026-03-24</t>
        </is>
      </c>
      <c r="F35" t="inlineStr">
        <is>
          <t>2026-03-31</t>
        </is>
      </c>
      <c r="G35" t="inlineStr">
        <is>
          <t xml:space="preserve"> - Surfer Suite</t>
        </is>
      </c>
      <c r="H35">
        <f>HYPERLINK("https://booking.roadsurfer.com/es/rally/pick?pickup_date=2026-03-24&amp;return_date=2026-03-31&amp;currency=EUR&amp;startStation=40&amp;endStation=9", "Clic para verlo en la web de RoadSurfer")</f>
        <v/>
      </c>
    </row>
    <row r="36">
      <c r="A36" t="inlineStr">
        <is>
          <t>Italia</t>
        </is>
      </c>
      <c r="B36" t="inlineStr">
        <is>
          <t>Bolonia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Family Finca</t>
        </is>
      </c>
      <c r="H36">
        <f>HYPERLINK("https://booking.roadsurfer.com/es/rally/pick?pickup_date=2026-04-14&amp;return_date=2026-04-21&amp;currency=EUR&amp;startStation=57&amp;endStation=1",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Austria</t>
        </is>
      </c>
      <c r="D37" t="inlineStr">
        <is>
          <t>Salzburgo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Family Finca</t>
        </is>
      </c>
      <c r="H37">
        <f>HYPERLINK("https://booking.roadsurfer.com/es/rally/pick?pickup_date=2026-05-06&amp;return_date=2026-05-13&amp;currency=EUR&amp;startStation=13&amp;endStation=85",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2026-03-09</t>
        </is>
      </c>
      <c r="F38" t="inlineStr">
        <is>
          <t>2026-03-16</t>
        </is>
      </c>
      <c r="G38" t="inlineStr">
        <is>
          <t xml:space="preserve"> - Road House</t>
        </is>
      </c>
      <c r="H38">
        <f>HYPERLINK("https://booking.roadsurfer.com/es/rally/pick?pickup_date=2026-03-09&amp;return_date=2026-03-16&amp;currency=EUR&amp;startStation=13&amp;endStation=4",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Colonia-Düsseldorf</t>
        </is>
      </c>
      <c r="E39" t="inlineStr">
        <is>
          <t>2026-04-15</t>
        </is>
      </c>
      <c r="F39" t="inlineStr">
        <is>
          <t>2026-04-22</t>
        </is>
      </c>
      <c r="G39" t="inlineStr">
        <is>
          <t xml:space="preserve"> - Family Finca</t>
        </is>
      </c>
      <c r="H39">
        <f>HYPERLINK("https://booking.roadsurfer.com/es/rally/pick?pickup_date=2026-04-15&amp;return_date=2026-04-22&amp;currency=EUR&amp;startStation=13&amp;endStation=4",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Sunrise Suite</t>
        </is>
      </c>
      <c r="H40">
        <f>HYPERLINK("https://booking.roadsurfer.com/es/rally/pick?pickup_date=2026-03-09&amp;return_date=2026-03-16&amp;currency=EUR&amp;startStation=13&amp;endStation=6",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Travel Home</t>
        </is>
      </c>
      <c r="H41">
        <f>HYPERLINK("https://booking.roadsurfer.com/es/rally/pick?pickup_date=2026-03-09&amp;return_date=2026-03-16&amp;currency=EUR&amp;startStation=13&amp;endStation=22",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2026-04-27</t>
        </is>
      </c>
      <c r="F42" t="inlineStr">
        <is>
          <t>2026-05-04</t>
        </is>
      </c>
      <c r="G42" t="inlineStr">
        <is>
          <t xml:space="preserve"> - Couple Cottage</t>
        </is>
      </c>
      <c r="H42">
        <f>HYPERLINK("https://booking.roadsurfer.com/es/rally/pick?pickup_date=2026-04-27&amp;return_date=2026-05-04&amp;currency=EUR&amp;startStation=13&amp;endStation=15",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Sunrise Suite</t>
        </is>
      </c>
      <c r="H43">
        <f>HYPERLINK("https://booking.roadsurfer.com/es/rally/pick?pickup_date=2026-03-09&amp;return_date=2026-03-16&amp;currency=EUR&amp;startStation=13&amp;endStation=1",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2026-03-24</t>
        </is>
      </c>
      <c r="F44" t="inlineStr">
        <is>
          <t>2026-03-31</t>
        </is>
      </c>
      <c r="G44" t="inlineStr">
        <is>
          <t xml:space="preserve"> - Family Finca</t>
        </is>
      </c>
      <c r="H44">
        <f>HYPERLINK("https://booking.roadsurfer.com/es/rally/pick?pickup_date=2026-03-24&amp;return_date=2026-03-31&amp;currency=EUR&amp;startStation=55&amp;endStation=77",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2026-04-03</t>
        </is>
      </c>
      <c r="F45" t="inlineStr">
        <is>
          <t>2026-04-10</t>
        </is>
      </c>
      <c r="G45" t="inlineStr">
        <is>
          <t xml:space="preserve"> - No hay coche</t>
        </is>
      </c>
      <c r="H45">
        <f>HYPERLINK("https://booking.roadsurfer.com/es/rally/pick?pickup_date=2026-04-03&amp;return_date=2026-04-10&amp;currency=EUR&amp;startStation=55&amp;endStation=77",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2026-04-09</t>
        </is>
      </c>
      <c r="F46" t="inlineStr">
        <is>
          <t>2026-04-16</t>
        </is>
      </c>
      <c r="G46" t="inlineStr">
        <is>
          <t xml:space="preserve"> - Road House</t>
        </is>
      </c>
      <c r="H46">
        <f>HYPERLINK("https://booking.roadsurfer.com/es/rally/pick?pickup_date=2026-04-09&amp;return_date=2026-04-16&amp;currency=EUR&amp;startStation=55&amp;endStation=77",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2026-03-07</t>
        </is>
      </c>
      <c r="F47" t="inlineStr">
        <is>
          <t>2026-03-14</t>
        </is>
      </c>
      <c r="G47" t="inlineStr">
        <is>
          <t xml:space="preserve"> - Surfer Suite</t>
        </is>
      </c>
      <c r="H47">
        <f>HYPERLINK("https://booking.roadsurfer.com/es/rally/pick?pickup_date=2026-03-07&amp;return_date=2026-03-14&amp;currency=EUR&amp;startStation=55&amp;endStation=32",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2026-04-06</t>
        </is>
      </c>
      <c r="F48" t="inlineStr">
        <is>
          <t>2026-04-13</t>
        </is>
      </c>
      <c r="G48" t="inlineStr">
        <is>
          <t xml:space="preserve"> - No hay coche</t>
        </is>
      </c>
      <c r="H48">
        <f>HYPERLINK("https://booking.roadsurfer.com/es/rally/pick?pickup_date=2026-04-06&amp;return_date=2026-04-13&amp;currency=EUR&amp;startStation=55&amp;endStation=59",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2026-04-09</t>
        </is>
      </c>
      <c r="F49" t="inlineStr">
        <is>
          <t>2026-04-16</t>
        </is>
      </c>
      <c r="G49" t="inlineStr">
        <is>
          <t xml:space="preserve"> - Surfer Suite</t>
        </is>
      </c>
      <c r="H49">
        <f>HYPERLINK("https://booking.roadsurfer.com/es/rally/pick?pickup_date=2026-04-09&amp;return_date=2026-04-16&amp;currency=EUR&amp;startStation=55&amp;endStation=59",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2026-04-08</t>
        </is>
      </c>
      <c r="F50" t="inlineStr">
        <is>
          <t>2026-04-15</t>
        </is>
      </c>
      <c r="G50" t="inlineStr">
        <is>
          <t xml:space="preserve"> - BEACH HOSTEL</t>
        </is>
      </c>
      <c r="H50">
        <f>HYPERLINK("https://booking.roadsurfer.com/es/rally/pick?pickup_date=2026-04-08&amp;return_date=2026-04-15&amp;currency=EUR&amp;startStation=55&amp;endStation=59",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2026-04-09</t>
        </is>
      </c>
      <c r="F51" t="inlineStr">
        <is>
          <t>2026-04-16</t>
        </is>
      </c>
      <c r="G51" t="inlineStr">
        <is>
          <t xml:space="preserve"> - Road House</t>
        </is>
      </c>
      <c r="H51">
        <f>HYPERLINK("https://booking.roadsurfer.com/es/rally/pick?pickup_date=2026-04-09&amp;return_date=2026-04-16&amp;currency=EUR&amp;startStation=55&amp;endStation=60", "Clic para verlo en la web de RoadSurfer")</f>
        <v/>
      </c>
    </row>
    <row r="52">
      <c r="A52" t="inlineStr">
        <is>
          <t>Bélgica</t>
        </is>
      </c>
      <c r="B52" t="inlineStr">
        <is>
          <t>Bruselas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2026-03-07</t>
        </is>
      </c>
      <c r="F52" t="inlineStr">
        <is>
          <t>2026-03-14</t>
        </is>
      </c>
      <c r="G52" t="inlineStr">
        <is>
          <t xml:space="preserve"> - Camper Cabin Deluxe</t>
        </is>
      </c>
      <c r="H52">
        <f>HYPERLINK("https://booking.roadsurfer.com/es/rally/pick?pickup_date=2026-03-07&amp;return_date=2026-03-14&amp;currency=EUR&amp;startStation=42&amp;endStation=55", "Clic para verlo en la web de RoadSurfer")</f>
        <v/>
      </c>
    </row>
    <row r="53">
      <c r="A53" t="inlineStr">
        <is>
          <t>Bélgica</t>
        </is>
      </c>
      <c r="B53" t="inlineStr">
        <is>
          <t>Bruselas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2026-03-09</t>
        </is>
      </c>
      <c r="F53" t="inlineStr">
        <is>
          <t>2026-03-16</t>
        </is>
      </c>
      <c r="G53" t="inlineStr">
        <is>
          <t xml:space="preserve"> - Camper Cabin</t>
        </is>
      </c>
      <c r="H53">
        <f>HYPERLINK("https://booking.roadsurfer.com/es/rally/pick?pickup_date=2026-03-09&amp;return_date=2026-03-16&amp;currency=EUR&amp;startStation=42&amp;endStation=91", "Clic para verlo en la web de RoadSurfer")</f>
        <v/>
      </c>
    </row>
    <row r="54">
      <c r="A54" t="inlineStr">
        <is>
          <t>Alemania</t>
        </is>
      </c>
      <c r="B54" t="inlineStr">
        <is>
          <t>Colonia-Bonn</t>
        </is>
      </c>
      <c r="C54" t="inlineStr">
        <is>
          <t>Francia</t>
        </is>
      </c>
      <c r="D54" t="inlineStr">
        <is>
          <t>París Aeropuerto CDG</t>
        </is>
      </c>
      <c r="E54" t="inlineStr">
        <is>
          <t>2026-04-03</t>
        </is>
      </c>
      <c r="F54" t="inlineStr">
        <is>
          <t>2026-04-10</t>
        </is>
      </c>
      <c r="G54" t="inlineStr">
        <is>
          <t xml:space="preserve"> - No hay coche</t>
        </is>
      </c>
      <c r="H54">
        <f>HYPERLINK("https://booking.roadsurfer.com/es/rally/pick?pickup_date=2026-04-03&amp;return_date=2026-04-10&amp;currency=EUR&amp;startStation=52&amp;endStation=48", "Clic para verlo en la web de RoadSurfer")</f>
        <v/>
      </c>
    </row>
    <row r="55">
      <c r="A55" t="inlineStr">
        <is>
          <t>Alemania</t>
        </is>
      </c>
      <c r="B55" t="inlineStr">
        <is>
          <t>Colonia-Bonn</t>
        </is>
      </c>
      <c r="C55" t="inlineStr">
        <is>
          <t>Francia</t>
        </is>
      </c>
      <c r="D55" t="inlineStr">
        <is>
          <t>París Aeropuerto CDG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Camper Cabin Deluxe</t>
        </is>
      </c>
      <c r="H55">
        <f>HYPERLINK("https://booking.roadsurfer.com/es/rally/pick?pickup_date=2026-04-16&amp;return_date=2026-04-23&amp;currency=EUR&amp;startStation=52&amp;endStation=48", "Clic para verlo en la web de RoadSurfer")</f>
        <v/>
      </c>
    </row>
    <row r="56">
      <c r="A56" t="inlineStr">
        <is>
          <t>Alemania</t>
        </is>
      </c>
      <c r="B56" t="inlineStr">
        <is>
          <t>Colonia-Bonn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2026-05-02</t>
        </is>
      </c>
      <c r="F56" t="inlineStr">
        <is>
          <t>2026-05-09</t>
        </is>
      </c>
      <c r="G56" t="inlineStr">
        <is>
          <t xml:space="preserve"> - Family Finca</t>
        </is>
      </c>
      <c r="H56">
        <f>HYPERLINK("https://booking.roadsurfer.com/es/rally/pick?pickup_date=2026-05-02&amp;return_date=2026-05-09&amp;currency=EUR&amp;startStation=52&amp;endStation=31", "Clic para verlo en la web de RoadSurfer")</f>
        <v/>
      </c>
    </row>
    <row r="57">
      <c r="A57" t="inlineStr">
        <is>
          <t>Alemania</t>
        </is>
      </c>
      <c r="B57" t="inlineStr">
        <is>
          <t>Colonia-Bonn</t>
        </is>
      </c>
      <c r="C57" t="inlineStr">
        <is>
          <t>Francia</t>
        </is>
      </c>
      <c r="D57" t="inlineStr">
        <is>
          <t>Nantes</t>
        </is>
      </c>
      <c r="E57" t="inlineStr">
        <is>
          <t>2026-04-03</t>
        </is>
      </c>
      <c r="F57" t="inlineStr">
        <is>
          <t>2026-04-10</t>
        </is>
      </c>
      <c r="G57" t="inlineStr">
        <is>
          <t xml:space="preserve"> - No hay coche</t>
        </is>
      </c>
      <c r="H57">
        <f>HYPERLINK("https://booking.roadsurfer.com/es/rally/pick?pickup_date=2026-04-03&amp;return_date=2026-04-10&amp;currency=EUR&amp;startStation=52&amp;endStation=31", "Clic para verlo en la web de RoadSurfer")</f>
        <v/>
      </c>
    </row>
    <row r="58">
      <c r="A58" t="inlineStr">
        <is>
          <t>Alemania</t>
        </is>
      </c>
      <c r="B58" t="inlineStr">
        <is>
          <t>Colonia-Bonn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2026-04-10</t>
        </is>
      </c>
      <c r="F58" t="inlineStr">
        <is>
          <t>2026-04-17</t>
        </is>
      </c>
      <c r="G58" t="inlineStr">
        <is>
          <t xml:space="preserve"> - Surfer Suite</t>
        </is>
      </c>
      <c r="H58">
        <f>HYPERLINK("https://booking.roadsurfer.com/es/rally/pick?pickup_date=2026-04-10&amp;return_date=2026-04-17&amp;currency=EUR&amp;startStation=52&amp;endStation=42", "Clic para verlo en la web de RoadSurfer")</f>
        <v/>
      </c>
    </row>
    <row r="59">
      <c r="A59" t="inlineStr">
        <is>
          <t>Alemania</t>
        </is>
      </c>
      <c r="B59" t="inlineStr">
        <is>
          <t>Colonia-Bonn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2026-03-07</t>
        </is>
      </c>
      <c r="F59" t="inlineStr">
        <is>
          <t>2026-03-14</t>
        </is>
      </c>
      <c r="G59" t="inlineStr">
        <is>
          <t xml:space="preserve"> - Road House</t>
        </is>
      </c>
      <c r="H59">
        <f>HYPERLINK("https://booking.roadsurfer.com/es/rally/pick?pickup_date=2026-03-07&amp;return_date=2026-03-14&amp;currency=EUR&amp;startStation=52&amp;endStation=34",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Países Bajos</t>
        </is>
      </c>
      <c r="D60" t="inlineStr">
        <is>
          <t>Ámsterdam</t>
        </is>
      </c>
      <c r="E60" t="inlineStr">
        <is>
          <t>2026-03-09</t>
        </is>
      </c>
      <c r="F60" t="inlineStr">
        <is>
          <t>2026-03-16</t>
        </is>
      </c>
      <c r="G60" t="inlineStr">
        <is>
          <t xml:space="preserve"> - Surfer Suite</t>
        </is>
      </c>
      <c r="H60">
        <f>HYPERLINK("https://booking.roadsurfer.com/es/rally/pick?pickup_date=2026-03-09&amp;return_date=2026-03-16&amp;currency=EUR&amp;startStation=4&amp;endStation=32",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2026-04-09</t>
        </is>
      </c>
      <c r="F61" t="inlineStr">
        <is>
          <t>2026-04-16</t>
        </is>
      </c>
      <c r="G61" t="inlineStr">
        <is>
          <t xml:space="preserve"> - Surfer Suite</t>
        </is>
      </c>
      <c r="H61">
        <f>HYPERLINK("https://booking.roadsurfer.com/es/rally/pick?pickup_date=2026-04-09&amp;return_date=2026-04-16&amp;currency=EUR&amp;startStation=4&amp;endStation=31",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2026-04-09</t>
        </is>
      </c>
      <c r="F62" t="inlineStr">
        <is>
          <t>2026-04-16</t>
        </is>
      </c>
      <c r="G62" t="inlineStr">
        <is>
          <t xml:space="preserve"> - Road House</t>
        </is>
      </c>
      <c r="H62">
        <f>HYPERLINK("https://booking.roadsurfer.com/es/rally/pick?pickup_date=2026-04-09&amp;return_date=2026-04-16&amp;currency=EUR&amp;startStation=56&amp;endStation=59",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2026-04-07</t>
        </is>
      </c>
      <c r="F63" t="inlineStr">
        <is>
          <t>2026-04-14</t>
        </is>
      </c>
      <c r="G63" t="inlineStr">
        <is>
          <t xml:space="preserve"> - Road House</t>
        </is>
      </c>
      <c r="H63">
        <f>HYPERLINK("https://booking.roadsurfer.com/es/rally/pick?pickup_date=2026-04-07&amp;return_date=2026-04-14&amp;currency=EUR&amp;startStation=56&amp;endStation=59",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Austria</t>
        </is>
      </c>
      <c r="D64" t="inlineStr">
        <is>
          <t>Graz</t>
        </is>
      </c>
      <c r="E64" t="inlineStr">
        <is>
          <t>2026-03-06</t>
        </is>
      </c>
      <c r="F64" t="inlineStr">
        <is>
          <t>2026-03-13</t>
        </is>
      </c>
      <c r="G64" t="inlineStr">
        <is>
          <t xml:space="preserve"> - Camper Cabin</t>
        </is>
      </c>
      <c r="H64">
        <f>HYPERLINK("https://booking.roadsurfer.com/es/rally/pick?pickup_date=2026-03-06&amp;return_date=2026-03-13&amp;currency=EUR&amp;startStation=56&amp;endStation=37",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Alemania</t>
        </is>
      </c>
      <c r="D65" t="inlineStr">
        <is>
          <t>Braunschweig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No hay coche</t>
        </is>
      </c>
      <c r="H65">
        <f>HYPERLINK("https://booking.roadsurfer.com/es/rally/pick?pickup_date=2026-04-20&amp;return_date=2026-04-27&amp;currency=EUR&amp;startStation=56&amp;endStation=128",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2026-03-09</t>
        </is>
      </c>
      <c r="F66" t="inlineStr">
        <is>
          <t>2026-03-16</t>
        </is>
      </c>
      <c r="G66" t="inlineStr">
        <is>
          <t xml:space="preserve"> - Beach Hostel</t>
        </is>
      </c>
      <c r="H66">
        <f>HYPERLINK("https://booking.roadsurfer.com/es/rally/pick?pickup_date=2026-03-09&amp;return_date=2026-03-16&amp;currency=EUR&amp;startStation=56&amp;endStation=11",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Italia</t>
        </is>
      </c>
      <c r="D67" t="inlineStr">
        <is>
          <t>Turín</t>
        </is>
      </c>
      <c r="E67" t="inlineStr">
        <is>
          <t>2026-04-09</t>
        </is>
      </c>
      <c r="F67" t="inlineStr">
        <is>
          <t>2026-04-16</t>
        </is>
      </c>
      <c r="G67" t="inlineStr">
        <is>
          <t xml:space="preserve"> - Surfer Suite</t>
        </is>
      </c>
      <c r="H67">
        <f>HYPERLINK("https://booking.roadsurfer.com/es/rally/pick?pickup_date=2026-04-09&amp;return_date=2026-04-16&amp;currency=EUR&amp;startStation=56&amp;endStation=58",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2026-04-10</t>
        </is>
      </c>
      <c r="F68" t="inlineStr">
        <is>
          <t>2026-04-16</t>
        </is>
      </c>
      <c r="G68" t="inlineStr">
        <is>
          <t xml:space="preserve"> - Road House</t>
        </is>
      </c>
      <c r="H68">
        <f>HYPERLINK("https://booking.roadsurfer.com/es/rally/pick?pickup_date=2026-04-10&amp;return_date=2026-04-16&amp;currency=EUR&amp;startStation=56&amp;endStation=42",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Italia</t>
        </is>
      </c>
      <c r="D69" t="inlineStr">
        <is>
          <t>Venecia</t>
        </is>
      </c>
      <c r="E69" t="inlineStr">
        <is>
          <t>2026-04-08</t>
        </is>
      </c>
      <c r="F69" t="inlineStr">
        <is>
          <t>2026-04-15</t>
        </is>
      </c>
      <c r="G69" t="inlineStr">
        <is>
          <t xml:space="preserve"> - Sunrise Suite</t>
        </is>
      </c>
      <c r="H69">
        <f>HYPERLINK("https://booking.roadsurfer.com/es/rally/pick?pickup_date=2026-04-08&amp;return_date=2026-04-15&amp;currency=EUR&amp;startStation=56&amp;endStation=78", "Clic para verlo en la web de RoadSurfer")</f>
        <v/>
      </c>
    </row>
    <row r="70">
      <c r="A70" t="inlineStr">
        <is>
          <t>Alemania</t>
        </is>
      </c>
      <c r="B70" t="inlineStr">
        <is>
          <t>Duisburgo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2026-03-06</t>
        </is>
      </c>
      <c r="F70" t="inlineStr">
        <is>
          <t>2026-03-13</t>
        </is>
      </c>
      <c r="G70" t="inlineStr">
        <is>
          <t xml:space="preserve"> - Surfer Suite</t>
        </is>
      </c>
      <c r="H70">
        <f>HYPERLINK("https://booking.roadsurfer.com/es/rally/pick?pickup_date=2026-03-06&amp;return_date=2026-03-13&amp;currency=EUR&amp;startStation=113&amp;endStation=32", "Clic para verlo en la web de RoadSurfer")</f>
        <v/>
      </c>
    </row>
    <row r="71">
      <c r="A71" t="inlineStr">
        <is>
          <t>Alemania</t>
        </is>
      </c>
      <c r="B71" t="inlineStr">
        <is>
          <t>Duisburgo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2026-03-09</t>
        </is>
      </c>
      <c r="F71" t="inlineStr">
        <is>
          <t>2026-03-16</t>
        </is>
      </c>
      <c r="G71" t="inlineStr">
        <is>
          <t xml:space="preserve"> - Surfer Suite</t>
        </is>
      </c>
      <c r="H71">
        <f>HYPERLINK("https://booking.roadsurfer.com/es/rally/pick?pickup_date=2026-03-09&amp;return_date=2026-03-16&amp;currency=EUR&amp;startStation=113&amp;endStation=32", "Clic para verlo en la web de RoadSurfer")</f>
        <v/>
      </c>
    </row>
    <row r="72">
      <c r="A72" t="inlineStr">
        <is>
          <t>Alemania</t>
        </is>
      </c>
      <c r="B72" t="inlineStr">
        <is>
          <t>Duisburgo</t>
        </is>
      </c>
      <c r="C72" t="inlineStr">
        <is>
          <t>España</t>
        </is>
      </c>
      <c r="D72" t="inlineStr">
        <is>
          <t>Málaga</t>
        </is>
      </c>
      <c r="E72" t="inlineStr">
        <is>
          <t>2026-03-06</t>
        </is>
      </c>
      <c r="F72" t="inlineStr">
        <is>
          <t>2026-03-13</t>
        </is>
      </c>
      <c r="G72" t="inlineStr">
        <is>
          <t xml:space="preserve"> - Road House</t>
        </is>
      </c>
      <c r="H72">
        <f>HYPERLINK("https://booking.roadsurfer.com/es/rally/pick?pickup_date=2026-03-06&amp;return_date=2026-03-13&amp;currency=EUR&amp;startStation=113&amp;endStation=21",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2026-04-07</t>
        </is>
      </c>
      <c r="F73" t="inlineStr">
        <is>
          <t>2026-04-14</t>
        </is>
      </c>
      <c r="G73" t="inlineStr">
        <is>
          <t xml:space="preserve"> - SURFER SUITE</t>
        </is>
      </c>
      <c r="H73">
        <f>HYPERLINK("https://booking.roadsurfer.com/es/rally/pick?pickup_date=2026-04-07&amp;return_date=2026-04-14&amp;currency=EUR&amp;startStation=90&amp;endStation=48",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2026-04-09</t>
        </is>
      </c>
      <c r="F74" t="inlineStr">
        <is>
          <t>2026-04-16</t>
        </is>
      </c>
      <c r="G74" t="inlineStr">
        <is>
          <t xml:space="preserve"> - Surfer Suite</t>
        </is>
      </c>
      <c r="H74">
        <f>HYPERLINK("https://booking.roadsurfer.com/es/rally/pick?pickup_date=2026-04-09&amp;return_date=2026-04-16&amp;currency=EUR&amp;startStation=90&amp;endStation=37",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Austria</t>
        </is>
      </c>
      <c r="D75" t="inlineStr">
        <is>
          <t>Viena Sur</t>
        </is>
      </c>
      <c r="E75" t="inlineStr">
        <is>
          <t>2026-03-06</t>
        </is>
      </c>
      <c r="F75" t="inlineStr">
        <is>
          <t>2026-03-13</t>
        </is>
      </c>
      <c r="G75" t="inlineStr">
        <is>
          <t xml:space="preserve"> - Camper Cabin</t>
        </is>
      </c>
      <c r="H75">
        <f>HYPERLINK("https://booking.roadsurfer.com/es/rally/pick?pickup_date=2026-03-06&amp;return_date=2026-03-13&amp;currency=EUR&amp;startStation=90&amp;endStation=45",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Road House</t>
        </is>
      </c>
      <c r="H76">
        <f>HYPERLINK("https://booking.roadsurfer.com/es/rally/pick?pickup_date=2026-04-14&amp;return_date=2026-04-21&amp;currency=EUR&amp;startStation=90&amp;endStation=77",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Francia</t>
        </is>
      </c>
      <c r="D77" t="inlineStr">
        <is>
          <t>Estrasburgo</t>
        </is>
      </c>
      <c r="E77" t="inlineStr">
        <is>
          <t>2026-04-10</t>
        </is>
      </c>
      <c r="F77" t="inlineStr">
        <is>
          <t>2026-04-17</t>
        </is>
      </c>
      <c r="G77" t="inlineStr">
        <is>
          <t xml:space="preserve"> - Beach Hostel</t>
        </is>
      </c>
      <c r="H77">
        <f>HYPERLINK("https://booking.roadsurfer.com/es/rally/pick?pickup_date=2026-04-10&amp;return_date=2026-04-17&amp;currency=EUR&amp;startStation=90&amp;endStation=49",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Francia</t>
        </is>
      </c>
      <c r="D78" t="inlineStr">
        <is>
          <t>Aix-Marsella</t>
        </is>
      </c>
      <c r="E78" t="inlineStr">
        <is>
          <t>2026-04-07</t>
        </is>
      </c>
      <c r="F78" t="inlineStr">
        <is>
          <t>2026-04-14</t>
        </is>
      </c>
      <c r="G78" t="inlineStr">
        <is>
          <t xml:space="preserve"> - Family Finca</t>
        </is>
      </c>
      <c r="H78">
        <f>HYPERLINK("https://booking.roadsurfer.com/es/rally/pick?pickup_date=2026-04-07&amp;return_date=2026-04-14&amp;currency=EUR&amp;startStation=90&amp;endStation=16",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Beach Hostel</t>
        </is>
      </c>
      <c r="H79">
        <f>HYPERLINK("https://booking.roadsurfer.com/es/rally/pick?pickup_date=2026-04-14&amp;return_date=2026-04-21&amp;currency=EUR&amp;startStation=90&amp;endStation=42", "Clic para verlo en la web de RoadSurfer")</f>
        <v/>
      </c>
    </row>
    <row r="80">
      <c r="A80" t="inlineStr">
        <is>
          <t>Alemania</t>
        </is>
      </c>
      <c r="B80" t="inlineStr">
        <is>
          <t>Fráncfort</t>
        </is>
      </c>
      <c r="C80" t="inlineStr">
        <is>
          <t>Alemania</t>
        </is>
      </c>
      <c r="D80" t="inlineStr">
        <is>
          <t>Braunschweig</t>
        </is>
      </c>
      <c r="E80" t="inlineStr">
        <is>
          <t>2026-04-20</t>
        </is>
      </c>
      <c r="F80" t="inlineStr">
        <is>
          <t>2026-04-27</t>
        </is>
      </c>
      <c r="G80" t="inlineStr">
        <is>
          <t xml:space="preserve"> - No hay coche</t>
        </is>
      </c>
      <c r="H80">
        <f>HYPERLINK("https://booking.roadsurfer.com/es/rally/pick?pickup_date=2026-04-20&amp;return_date=2026-04-27&amp;currency=EUR&amp;startStation=2&amp;endStation=128", "Clic para verlo en la web de RoadSurfer")</f>
        <v/>
      </c>
    </row>
    <row r="81">
      <c r="A81" t="inlineStr">
        <is>
          <t>Alemania</t>
        </is>
      </c>
      <c r="B81" t="inlineStr">
        <is>
          <t>Fráncfort</t>
        </is>
      </c>
      <c r="C81" t="inlineStr">
        <is>
          <t>Países Bajos</t>
        </is>
      </c>
      <c r="D81" t="inlineStr">
        <is>
          <t>Róterdam</t>
        </is>
      </c>
      <c r="E81" t="inlineStr">
        <is>
          <t>2026-03-09</t>
        </is>
      </c>
      <c r="F81" t="inlineStr">
        <is>
          <t>2026-03-16</t>
        </is>
      </c>
      <c r="G81" t="inlineStr">
        <is>
          <t xml:space="preserve"> - Camper Cabin Deluxe</t>
        </is>
      </c>
      <c r="H81">
        <f>HYPERLINK("https://booking.roadsurfer.com/es/rally/pick?pickup_date=2026-03-09&amp;return_date=2026-03-16&amp;currency=EUR&amp;startStation=2&amp;endStation=33", "Clic para verlo en la web de RoadSurfer")</f>
        <v/>
      </c>
    </row>
    <row r="82">
      <c r="A82" t="inlineStr">
        <is>
          <t>Alemania</t>
        </is>
      </c>
      <c r="B82" t="inlineStr">
        <is>
          <t>Friburgo-Basilea (Alemania)</t>
        </is>
      </c>
      <c r="C82" t="inlineStr">
        <is>
          <t>España</t>
        </is>
      </c>
      <c r="D82" t="inlineStr">
        <is>
          <t>Málaga</t>
        </is>
      </c>
      <c r="E82" t="inlineStr">
        <is>
          <t>2026-04-03</t>
        </is>
      </c>
      <c r="F82" t="inlineStr">
        <is>
          <t>2026-04-10</t>
        </is>
      </c>
      <c r="G82" t="inlineStr">
        <is>
          <t xml:space="preserve"> - No hay coche</t>
        </is>
      </c>
      <c r="H82">
        <f>HYPERLINK("https://booking.roadsurfer.com/es/rally/pick?pickup_date=2026-04-03&amp;return_date=2026-04-10&amp;currency=EUR&amp;startStation=9&amp;endStation=21", "Clic para verlo en la web de RoadSurfer")</f>
        <v/>
      </c>
    </row>
    <row r="83">
      <c r="A83" t="inlineStr">
        <is>
          <t>Alemania</t>
        </is>
      </c>
      <c r="B83" t="inlineStr">
        <is>
          <t>Friburgo-Basilea (Alemania)</t>
        </is>
      </c>
      <c r="C83" t="inlineStr">
        <is>
          <t>Francia</t>
        </is>
      </c>
      <c r="D83" t="inlineStr">
        <is>
          <t>Lyon</t>
        </is>
      </c>
      <c r="E83" t="inlineStr">
        <is>
          <t>2026-03-23</t>
        </is>
      </c>
      <c r="F83" t="inlineStr">
        <is>
          <t>2026-03-30</t>
        </is>
      </c>
      <c r="G83" t="inlineStr">
        <is>
          <t xml:space="preserve"> - Surfer Suite</t>
        </is>
      </c>
      <c r="H83">
        <f>HYPERLINK("https://booking.roadsurfer.com/es/rally/pick?pickup_date=2026-03-23&amp;return_date=2026-03-30&amp;currency=EUR&amp;startStation=9&amp;endStation=15", "Clic para verlo en la web de RoadSurfer")</f>
        <v/>
      </c>
    </row>
    <row r="84">
      <c r="A84" t="inlineStr">
        <is>
          <t>Alemania</t>
        </is>
      </c>
      <c r="B84" t="inlineStr">
        <is>
          <t>Friburgo-Basilea (Alemania)</t>
        </is>
      </c>
      <c r="C84" t="inlineStr">
        <is>
          <t>España</t>
        </is>
      </c>
      <c r="D84" t="inlineStr">
        <is>
          <t>Madrid</t>
        </is>
      </c>
      <c r="E84" t="inlineStr">
        <is>
          <t>2026-04-07</t>
        </is>
      </c>
      <c r="F84" t="inlineStr">
        <is>
          <t>2026-04-14</t>
        </is>
      </c>
      <c r="G84" t="inlineStr">
        <is>
          <t xml:space="preserve"> - Road House</t>
        </is>
      </c>
      <c r="H84">
        <f>HYPERLINK("https://booking.roadsurfer.com/es/rally/pick?pickup_date=2026-04-07&amp;return_date=2026-04-14&amp;currency=EUR&amp;startStation=9&amp;endStation=20",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Fráncfort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Family Finca</t>
        </is>
      </c>
      <c r="H85">
        <f>HYPERLINK("https://booking.roadsurfer.com/es/rally/pick?pickup_date=2026-03-20&amp;return_date=2026-03-27&amp;currency=EUR&amp;startStation=29&amp;endStation=2", "Clic para verlo en la web de RoadSurfer")</f>
        <v/>
      </c>
    </row>
    <row r="86">
      <c r="A86" t="inlineStr">
        <is>
          <t>Francia</t>
        </is>
      </c>
      <c r="B86" t="inlineStr">
        <is>
          <t>Ginebra-Pays de Gex (Francia)</t>
        </is>
      </c>
      <c r="C86" t="inlineStr">
        <is>
          <t>Alemania</t>
        </is>
      </c>
      <c r="D86" t="inlineStr">
        <is>
          <t>Friburgo-Basilea (Alemania)</t>
        </is>
      </c>
      <c r="E86" t="inlineStr">
        <is>
          <t>2026-03-11</t>
        </is>
      </c>
      <c r="F86" t="inlineStr">
        <is>
          <t>2026-03-21</t>
        </is>
      </c>
      <c r="G86" t="inlineStr">
        <is>
          <t xml:space="preserve"> - Surfer Suite</t>
        </is>
      </c>
      <c r="H86">
        <f>HYPERLINK("https://booking.roadsurfer.com/es/rally/pick?pickup_date=2026-03-11&amp;return_date=2026-03-21&amp;currency=EUR&amp;startStation=29&amp;endStation=9", "Clic para verlo en la web de RoadSurfer")</f>
        <v/>
      </c>
    </row>
    <row r="87">
      <c r="A87" t="inlineStr">
        <is>
          <t>Suecia</t>
        </is>
      </c>
      <c r="B87" t="inlineStr">
        <is>
          <t>Gotemburgo</t>
        </is>
      </c>
      <c r="C87" t="inlineStr">
        <is>
          <t>Alemania</t>
        </is>
      </c>
      <c r="D87" t="inlineStr">
        <is>
          <t>Bremen</t>
        </is>
      </c>
      <c r="E87" t="inlineStr">
        <is>
          <t>2026-03-09</t>
        </is>
      </c>
      <c r="F87" t="inlineStr">
        <is>
          <t>2026-03-16</t>
        </is>
      </c>
      <c r="G87" t="inlineStr">
        <is>
          <t xml:space="preserve"> - Surfer Suite</t>
        </is>
      </c>
      <c r="H87">
        <f>HYPERLINK("https://booking.roadsurfer.com/es/rally/pick?pickup_date=2026-03-09&amp;return_date=2026-03-16&amp;currency=EUR&amp;startStation=77&amp;endStation=55", "Clic para verlo en la web de RoadSurfer")</f>
        <v/>
      </c>
    </row>
    <row r="88">
      <c r="A88" t="inlineStr">
        <is>
          <t>Suecia</t>
        </is>
      </c>
      <c r="B88" t="inlineStr">
        <is>
          <t>Gotemburgo</t>
        </is>
      </c>
      <c r="C88" t="inlineStr">
        <is>
          <t>Alemania</t>
        </is>
      </c>
      <c r="D88" t="inlineStr">
        <is>
          <t>Bremen</t>
        </is>
      </c>
      <c r="E88" t="inlineStr">
        <is>
          <t>2026-03-12</t>
        </is>
      </c>
      <c r="F88" t="inlineStr">
        <is>
          <t>2026-03-19</t>
        </is>
      </c>
      <c r="G88" t="inlineStr">
        <is>
          <t xml:space="preserve"> - Road House</t>
        </is>
      </c>
      <c r="H88">
        <f>HYPERLINK("https://booking.roadsurfer.com/es/rally/pick?pickup_date=2026-03-12&amp;return_date=2026-03-19&amp;currency=EUR&amp;startStation=77&amp;endStation=55", "Clic para verlo en la web de RoadSurfer")</f>
        <v/>
      </c>
    </row>
    <row r="89">
      <c r="A89" t="inlineStr">
        <is>
          <t>Suecia</t>
        </is>
      </c>
      <c r="B89" t="inlineStr">
        <is>
          <t>Gotemburgo</t>
        </is>
      </c>
      <c r="C89" t="inlineStr">
        <is>
          <t>Alemania</t>
        </is>
      </c>
      <c r="D89" t="inlineStr">
        <is>
          <t>Berlín-Schönefeld</t>
        </is>
      </c>
      <c r="E89" t="inlineStr">
        <is>
          <t>2026-04-14</t>
        </is>
      </c>
      <c r="F89" t="inlineStr">
        <is>
          <t>2026-04-21</t>
        </is>
      </c>
      <c r="G89" t="inlineStr">
        <is>
          <t xml:space="preserve"> - Road House</t>
        </is>
      </c>
      <c r="H89">
        <f>HYPERLINK("https://booking.roadsurfer.com/es/rally/pick?pickup_date=2026-04-14&amp;return_date=2026-04-21&amp;currency=EUR&amp;startStation=77&amp;endStation=51", "Clic para verlo en la web de RoadSurfer")</f>
        <v/>
      </c>
    </row>
    <row r="90">
      <c r="A90" t="inlineStr">
        <is>
          <t>Suecia</t>
        </is>
      </c>
      <c r="B90" t="inlineStr">
        <is>
          <t>Gotemburgo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2026-04-14</t>
        </is>
      </c>
      <c r="F90" t="inlineStr">
        <is>
          <t>2026-04-21</t>
        </is>
      </c>
      <c r="G90" t="inlineStr">
        <is>
          <t xml:space="preserve"> - Road House</t>
        </is>
      </c>
      <c r="H90">
        <f>HYPERLINK("https://booking.roadsurfer.com/es/rally/pick?pickup_date=2026-04-14&amp;return_date=2026-04-21&amp;currency=EUR&amp;startStation=77&amp;endStation=90", "Clic para verlo en la web de RoadSurfer")</f>
        <v/>
      </c>
    </row>
    <row r="91">
      <c r="A91" t="inlineStr">
        <is>
          <t>Suecia</t>
        </is>
      </c>
      <c r="B91" t="inlineStr">
        <is>
          <t>Gotemburgo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2026-03-06</t>
        </is>
      </c>
      <c r="F91" t="inlineStr">
        <is>
          <t>2026-03-13</t>
        </is>
      </c>
      <c r="G91" t="inlineStr">
        <is>
          <t xml:space="preserve"> - Road House</t>
        </is>
      </c>
      <c r="H91">
        <f>HYPERLINK("https://booking.roadsurfer.com/es/rally/pick?pickup_date=2026-03-06&amp;return_date=2026-03-13&amp;currency=EUR&amp;startStation=77&amp;endStation=90", "Clic para verlo en la web de RoadSurfer")</f>
        <v/>
      </c>
    </row>
    <row r="92">
      <c r="A92" t="inlineStr">
        <is>
          <t>Suecia</t>
        </is>
      </c>
      <c r="B92" t="inlineStr">
        <is>
          <t>Gotemburgo</t>
        </is>
      </c>
      <c r="C92" t="inlineStr">
        <is>
          <t>Alemania</t>
        </is>
      </c>
      <c r="D92" t="inlineStr">
        <is>
          <t>Karlsruhe</t>
        </is>
      </c>
      <c r="E92" t="inlineStr">
        <is>
          <t>2026-04-15</t>
        </is>
      </c>
      <c r="F92" t="inlineStr">
        <is>
          <t>2026-04-22</t>
        </is>
      </c>
      <c r="G92" t="inlineStr">
        <is>
          <t xml:space="preserve"> - Camper Castle</t>
        </is>
      </c>
      <c r="H92">
        <f>HYPERLINK("https://booking.roadsurfer.com/es/rally/pick?pickup_date=2026-04-15&amp;return_date=2026-04-22&amp;currency=EUR&amp;startStation=77&amp;endStation=110", "Clic para verlo en la web de RoadSurfer")</f>
        <v/>
      </c>
    </row>
    <row r="93">
      <c r="A93" t="inlineStr">
        <is>
          <t>Suecia</t>
        </is>
      </c>
      <c r="B93" t="inlineStr">
        <is>
          <t>Gotemburgo</t>
        </is>
      </c>
      <c r="C93" t="inlineStr">
        <is>
          <t>Alemania</t>
        </is>
      </c>
      <c r="D93" t="inlineStr">
        <is>
          <t>Maguncia</t>
        </is>
      </c>
      <c r="E93" t="inlineStr">
        <is>
          <t>2026-04-14</t>
        </is>
      </c>
      <c r="F93" t="inlineStr">
        <is>
          <t>2026-04-21</t>
        </is>
      </c>
      <c r="G93" t="inlineStr">
        <is>
          <t xml:space="preserve"> - Camper Castle</t>
        </is>
      </c>
      <c r="H93">
        <f>HYPERLINK("https://booking.roadsurfer.com/es/rally/pick?pickup_date=2026-04-14&amp;return_date=2026-04-21&amp;currency=EUR&amp;startStation=77&amp;endStation=54", "Clic para verlo en la web de RoadSurfer")</f>
        <v/>
      </c>
    </row>
    <row r="94">
      <c r="A94" t="inlineStr">
        <is>
          <t>Suecia</t>
        </is>
      </c>
      <c r="B94" t="inlineStr">
        <is>
          <t>Gotemburgo</t>
        </is>
      </c>
      <c r="C94" t="inlineStr">
        <is>
          <t>Alemania</t>
        </is>
      </c>
      <c r="D94" t="inlineStr">
        <is>
          <t>Heidelberg</t>
        </is>
      </c>
      <c r="E94" t="inlineStr">
        <is>
          <t>2026-03-09</t>
        </is>
      </c>
      <c r="F94" t="inlineStr">
        <is>
          <t>2026-03-16</t>
        </is>
      </c>
      <c r="G94" t="inlineStr">
        <is>
          <t xml:space="preserve"> - Surfer Suite</t>
        </is>
      </c>
      <c r="H94">
        <f>HYPERLINK("https://booking.roadsurfer.com/es/rally/pick?pickup_date=2026-03-09&amp;return_date=2026-03-16&amp;currency=EUR&amp;startStation=77&amp;endStation=79", "Clic para verlo en la web de RoadSurfer")</f>
        <v/>
      </c>
    </row>
    <row r="95">
      <c r="A95" t="inlineStr">
        <is>
          <t>Austria</t>
        </is>
      </c>
      <c r="B95" t="inlineStr">
        <is>
          <t>Graz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2026-04-14</t>
        </is>
      </c>
      <c r="F95" t="inlineStr">
        <is>
          <t>2026-04-21</t>
        </is>
      </c>
      <c r="G95" t="inlineStr">
        <is>
          <t xml:space="preserve"> - Road House</t>
        </is>
      </c>
      <c r="H95">
        <f>HYPERLINK("https://booking.roadsurfer.com/es/rally/pick?pickup_date=2026-04-14&amp;return_date=2026-04-21&amp;currency=EUR&amp;startStation=37&amp;endStation=56", "Clic para verlo en la web de RoadSurfer")</f>
        <v/>
      </c>
    </row>
    <row r="96">
      <c r="A96" t="inlineStr">
        <is>
          <t>Austria</t>
        </is>
      </c>
      <c r="B96" t="inlineStr">
        <is>
          <t>Graz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2026-04-15</t>
        </is>
      </c>
      <c r="F96" t="inlineStr">
        <is>
          <t>2026-04-22</t>
        </is>
      </c>
      <c r="G96" t="inlineStr">
        <is>
          <t xml:space="preserve"> - Family Finca</t>
        </is>
      </c>
      <c r="H96">
        <f>HYPERLINK("https://booking.roadsurfer.com/es/rally/pick?pickup_date=2026-04-15&amp;return_date=2026-04-22&amp;currency=EUR&amp;startStation=37&amp;endStation=56", "Clic para verlo en la web de RoadSurfer")</f>
        <v/>
      </c>
    </row>
    <row r="97">
      <c r="A97" t="inlineStr">
        <is>
          <t>Austria</t>
        </is>
      </c>
      <c r="B97" t="inlineStr">
        <is>
          <t>Graz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Road House</t>
        </is>
      </c>
      <c r="H97">
        <f>HYPERLINK("https://booking.roadsurfer.com/es/rally/pick?pickup_date=2026-04-13&amp;return_date=2026-04-20&amp;currency=EUR&amp;startStation=37&amp;endStation=56", "Clic para verlo en la web de RoadSurfer")</f>
        <v/>
      </c>
    </row>
    <row r="98">
      <c r="A98" t="inlineStr">
        <is>
          <t>Austria</t>
        </is>
      </c>
      <c r="B98" t="inlineStr">
        <is>
          <t>Graz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2026-03-09</t>
        </is>
      </c>
      <c r="F98" t="inlineStr">
        <is>
          <t>2026-03-16</t>
        </is>
      </c>
      <c r="G98" t="inlineStr">
        <is>
          <t xml:space="preserve"> - Surfer Suite</t>
        </is>
      </c>
      <c r="H98">
        <f>HYPERLINK("https://booking.roadsurfer.com/es/rally/pick?pickup_date=2026-03-09&amp;return_date=2026-03-16&amp;currency=EUR&amp;startStation=37&amp;endStation=90", "Clic para verlo en la web de RoadSurfer")</f>
        <v/>
      </c>
    </row>
    <row r="99">
      <c r="A99" t="inlineStr">
        <is>
          <t>Austria</t>
        </is>
      </c>
      <c r="B99" t="inlineStr">
        <is>
          <t>Graz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2026-03-09</t>
        </is>
      </c>
      <c r="F99" t="inlineStr">
        <is>
          <t>2026-03-16</t>
        </is>
      </c>
      <c r="G99" t="inlineStr">
        <is>
          <t xml:space="preserve"> - FAMILY FINCA</t>
        </is>
      </c>
      <c r="H99">
        <f>HYPERLINK("https://booking.roadsurfer.com/es/rally/pick?pickup_date=2026-03-09&amp;return_date=2026-03-16&amp;currency=EUR&amp;startStation=37&amp;endStation=8", "Clic para verlo en la web de RoadSurfer")</f>
        <v/>
      </c>
    </row>
    <row r="100">
      <c r="A100" t="inlineStr">
        <is>
          <t>Austria</t>
        </is>
      </c>
      <c r="B100" t="inlineStr">
        <is>
          <t>Graz</t>
        </is>
      </c>
      <c r="C100" t="inlineStr">
        <is>
          <t>Alemania</t>
        </is>
      </c>
      <c r="D100" t="inlineStr">
        <is>
          <t>Colonia-Bonn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Road House</t>
        </is>
      </c>
      <c r="H100">
        <f>HYPERLINK("https://booking.roadsurfer.com/es/rally/pick?pickup_date=2026-03-09&amp;return_date=2026-03-16&amp;currency=EUR&amp;startStation=37&amp;endStation=52", "Clic para verlo en la web de RoadSurfer")</f>
        <v/>
      </c>
    </row>
    <row r="101">
      <c r="A101" t="inlineStr">
        <is>
          <t>Alemania</t>
        </is>
      </c>
      <c r="B101" t="inlineStr">
        <is>
          <t>Hamburgo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2026-03-06</t>
        </is>
      </c>
      <c r="F101" t="inlineStr">
        <is>
          <t>2026-03-13</t>
        </is>
      </c>
      <c r="G101" t="inlineStr">
        <is>
          <t xml:space="preserve"> - Camper Cabin Deluxe</t>
        </is>
      </c>
      <c r="H101">
        <f>HYPERLINK("https://booking.roadsurfer.com/es/rally/pick?pickup_date=2026-03-06&amp;return_date=2026-03-13&amp;currency=EUR&amp;startStation=3&amp;endStation=32", "Clic para verlo en la web de RoadSurfer")</f>
        <v/>
      </c>
    </row>
    <row r="102">
      <c r="A102" t="inlineStr">
        <is>
          <t>Alemania</t>
        </is>
      </c>
      <c r="B102" t="inlineStr">
        <is>
          <t>Hamburgo</t>
        </is>
      </c>
      <c r="C102" t="inlineStr">
        <is>
          <t>Suecia</t>
        </is>
      </c>
      <c r="D102" t="inlineStr">
        <is>
          <t>Gotemburgo</t>
        </is>
      </c>
      <c r="E102" t="inlineStr">
        <is>
          <t>2026-04-02</t>
        </is>
      </c>
      <c r="F102" t="inlineStr">
        <is>
          <t>2026-04-09</t>
        </is>
      </c>
      <c r="G102" t="inlineStr">
        <is>
          <t xml:space="preserve"> - Beach Hostel</t>
        </is>
      </c>
      <c r="H102">
        <f>HYPERLINK("https://booking.roadsurfer.com/es/rally/pick?pickup_date=2026-04-02&amp;return_date=2026-04-09&amp;currency=EUR&amp;startStation=3&amp;endStation=77", "Clic para verlo en la web de RoadSurfer")</f>
        <v/>
      </c>
    </row>
    <row r="103">
      <c r="A103" t="inlineStr">
        <is>
          <t>Alemania</t>
        </is>
      </c>
      <c r="B103" t="inlineStr">
        <is>
          <t>Hamburgo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2026-03-06</t>
        </is>
      </c>
      <c r="F103" t="inlineStr">
        <is>
          <t>2026-03-13</t>
        </is>
      </c>
      <c r="G103" t="inlineStr">
        <is>
          <t xml:space="preserve"> - ROAD HOUSE</t>
        </is>
      </c>
      <c r="H103">
        <f>HYPERLINK("https://booking.roadsurfer.com/es/rally/pick?pickup_date=2026-03-06&amp;return_date=2026-03-13&amp;currency=EUR&amp;startStation=3&amp;endStation=37", "Clic para verlo en la web de RoadSurfer")</f>
        <v/>
      </c>
    </row>
    <row r="104">
      <c r="A104" t="inlineStr">
        <is>
          <t>Alemania</t>
        </is>
      </c>
      <c r="B104" t="inlineStr">
        <is>
          <t>Hamburgo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2026-04-11</t>
        </is>
      </c>
      <c r="F104" t="inlineStr">
        <is>
          <t>2026-04-17</t>
        </is>
      </c>
      <c r="G104" t="inlineStr">
        <is>
          <t xml:space="preserve"> - FAMILY FINCA</t>
        </is>
      </c>
      <c r="H104">
        <f>HYPERLINK("https://booking.roadsurfer.com/es/rally/pick?pickup_date=2026-04-11&amp;return_date=2026-04-17&amp;currency=EUR&amp;startStation=3&amp;endStation=48", "Clic para verlo en la web de RoadSurfer")</f>
        <v/>
      </c>
    </row>
    <row r="105">
      <c r="A105" t="inlineStr">
        <is>
          <t>Alemania</t>
        </is>
      </c>
      <c r="B105" t="inlineStr">
        <is>
          <t>Hamburgo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2026-04-09</t>
        </is>
      </c>
      <c r="F105" t="inlineStr">
        <is>
          <t>2026-04-15</t>
        </is>
      </c>
      <c r="G105" t="inlineStr">
        <is>
          <t xml:space="preserve"> - Beach Hostel</t>
        </is>
      </c>
      <c r="H105">
        <f>HYPERLINK("https://booking.roadsurfer.com/es/rally/pick?pickup_date=2026-04-09&amp;return_date=2026-04-15&amp;currency=EUR&amp;startStation=3&amp;endStation=59",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Alemania</t>
        </is>
      </c>
      <c r="D106" t="inlineStr">
        <is>
          <t>Braunschweig</t>
        </is>
      </c>
      <c r="E106" t="inlineStr">
        <is>
          <t>2026-04-20</t>
        </is>
      </c>
      <c r="F106" t="inlineStr">
        <is>
          <t>2026-04-27</t>
        </is>
      </c>
      <c r="G106" t="inlineStr">
        <is>
          <t xml:space="preserve"> - No hay coche</t>
        </is>
      </c>
      <c r="H106">
        <f>HYPERLINK("https://booking.roadsurfer.com/es/rally/pick?pickup_date=2026-04-20&amp;return_date=2026-04-27&amp;currency=EUR&amp;startStation=7&amp;endStation=128", "Clic para verlo en la web de RoadSurfer")</f>
        <v/>
      </c>
    </row>
    <row r="107">
      <c r="A107" t="inlineStr">
        <is>
          <t>Alemania</t>
        </is>
      </c>
      <c r="B107" t="inlineStr">
        <is>
          <t>Hannover</t>
        </is>
      </c>
      <c r="C107" t="inlineStr">
        <is>
          <t>España</t>
        </is>
      </c>
      <c r="D107" t="inlineStr">
        <is>
          <t>Madrid</t>
        </is>
      </c>
      <c r="E107" t="inlineStr">
        <is>
          <t>2026-03-07</t>
        </is>
      </c>
      <c r="F107" t="inlineStr">
        <is>
          <t>2026-03-14</t>
        </is>
      </c>
      <c r="G107" t="inlineStr">
        <is>
          <t xml:space="preserve"> - Road House</t>
        </is>
      </c>
      <c r="H107">
        <f>HYPERLINK("https://booking.roadsurfer.com/es/rally/pick?pickup_date=2026-03-07&amp;return_date=2026-03-14&amp;currency=EUR&amp;startStation=7&amp;endStation=20", "Clic para verlo en la web de RoadSurfer")</f>
        <v/>
      </c>
    </row>
    <row r="108">
      <c r="A108" t="inlineStr">
        <is>
          <t>Alemania</t>
        </is>
      </c>
      <c r="B108" t="inlineStr">
        <is>
          <t>Heidelberg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2026-03-09</t>
        </is>
      </c>
      <c r="F108" t="inlineStr">
        <is>
          <t>2026-03-16</t>
        </is>
      </c>
      <c r="G108" t="inlineStr">
        <is>
          <t xml:space="preserve"> - ROAD HOUSE</t>
        </is>
      </c>
      <c r="H108">
        <f>HYPERLINK("https://booking.roadsurfer.com/es/rally/pick?pickup_date=2026-03-09&amp;return_date=2026-03-16&amp;currency=EUR&amp;startStation=79&amp;endStation=13", "Clic para verlo en la web de RoadSurfer")</f>
        <v/>
      </c>
    </row>
    <row r="109">
      <c r="A109" t="inlineStr">
        <is>
          <t>Alemania</t>
        </is>
      </c>
      <c r="B109" t="inlineStr">
        <is>
          <t>Heidelberg</t>
        </is>
      </c>
      <c r="C109" t="inlineStr">
        <is>
          <t>Francia</t>
        </is>
      </c>
      <c r="D109" t="inlineStr">
        <is>
          <t>Lyon</t>
        </is>
      </c>
      <c r="E109" t="inlineStr">
        <is>
          <t>2026-03-09</t>
        </is>
      </c>
      <c r="F109" t="inlineStr">
        <is>
          <t>2026-03-16</t>
        </is>
      </c>
      <c r="G109" t="inlineStr">
        <is>
          <t xml:space="preserve"> - Family Finca</t>
        </is>
      </c>
      <c r="H109">
        <f>HYPERLINK("https://booking.roadsurfer.com/es/rally/pick?pickup_date=2026-03-09&amp;return_date=2026-03-16&amp;currency=EUR&amp;startStation=79&amp;endStation=15", "Clic para verlo en la web de RoadSurfer")</f>
        <v/>
      </c>
    </row>
    <row r="110">
      <c r="A110" t="inlineStr">
        <is>
          <t>Austria</t>
        </is>
      </c>
      <c r="B110" t="inlineStr">
        <is>
          <t>Innsbruck-Wiesing</t>
        </is>
      </c>
      <c r="C110" t="inlineStr">
        <is>
          <t>Austria</t>
        </is>
      </c>
      <c r="D110" t="inlineStr">
        <is>
          <t>Viena</t>
        </is>
      </c>
      <c r="E110" t="inlineStr">
        <is>
          <t>2026-03-09</t>
        </is>
      </c>
      <c r="F110" t="inlineStr">
        <is>
          <t>2026-03-16</t>
        </is>
      </c>
      <c r="G110" t="inlineStr">
        <is>
          <t xml:space="preserve"> - BEACH HOSTEL</t>
        </is>
      </c>
      <c r="H110">
        <f>HYPERLINK("https://booking.roadsurfer.com/es/rally/pick?pickup_date=2026-03-09&amp;return_date=2026-03-16&amp;currency=EUR&amp;startStation=46&amp;endStation=36", "Clic para verlo en la web de RoadSurfer")</f>
        <v/>
      </c>
    </row>
    <row r="111">
      <c r="A111" t="inlineStr">
        <is>
          <t>Austria</t>
        </is>
      </c>
      <c r="B111" t="inlineStr">
        <is>
          <t>Innsbruck-Wiesing</t>
        </is>
      </c>
      <c r="C111" t="inlineStr">
        <is>
          <t>Alemania</t>
        </is>
      </c>
      <c r="D111" t="inlineStr">
        <is>
          <t>Aquisgrán</t>
        </is>
      </c>
      <c r="E111" t="inlineStr">
        <is>
          <t>2026-03-09</t>
        </is>
      </c>
      <c r="F111" t="inlineStr">
        <is>
          <t>2026-03-16</t>
        </is>
      </c>
      <c r="G111" t="inlineStr">
        <is>
          <t xml:space="preserve"> - Camper Cabin</t>
        </is>
      </c>
      <c r="H111">
        <f>HYPERLINK("https://booking.roadsurfer.com/es/rally/pick?pickup_date=2026-03-09&amp;return_date=2026-03-16&amp;currency=EUR&amp;startStation=46&amp;endStation=114", "Clic para verlo en la web de RoadSurfer")</f>
        <v/>
      </c>
    </row>
    <row r="112">
      <c r="A112" t="inlineStr">
        <is>
          <t>Alemania</t>
        </is>
      </c>
      <c r="B112" t="inlineStr">
        <is>
          <t>Karlsruhe</t>
        </is>
      </c>
      <c r="C112" t="inlineStr">
        <is>
          <t>Francia</t>
        </is>
      </c>
      <c r="D112" t="inlineStr">
        <is>
          <t>Lyon</t>
        </is>
      </c>
      <c r="E112" t="inlineStr">
        <is>
          <t>2026-03-07</t>
        </is>
      </c>
      <c r="F112" t="inlineStr">
        <is>
          <t>2026-03-14</t>
        </is>
      </c>
      <c r="G112" t="inlineStr">
        <is>
          <t xml:space="preserve"> - Surfer Suite</t>
        </is>
      </c>
      <c r="H112">
        <f>HYPERLINK("https://booking.roadsurfer.com/es/rally/pick?pickup_date=2026-03-07&amp;return_date=2026-03-14&amp;currency=EUR&amp;startStation=110&amp;endStation=15", "Clic para verlo en la web de RoadSurfer")</f>
        <v/>
      </c>
    </row>
    <row r="113">
      <c r="A113" t="inlineStr">
        <is>
          <t>Alemania</t>
        </is>
      </c>
      <c r="B113" t="inlineStr">
        <is>
          <t>Kassel</t>
        </is>
      </c>
      <c r="C113" t="inlineStr">
        <is>
          <t>Alemania</t>
        </is>
      </c>
      <c r="D113" t="inlineStr">
        <is>
          <t>Heidelberg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Surfer Suite</t>
        </is>
      </c>
      <c r="H113">
        <f>HYPERLINK("https://booking.roadsurfer.com/es/rally/pick?pickup_date=2026-03-09&amp;return_date=2026-03-16&amp;currency=EUR&amp;startStation=92&amp;endStation=79", "Clic para verlo en la web de RoadSurfer")</f>
        <v/>
      </c>
    </row>
    <row r="114">
      <c r="A114" t="inlineStr">
        <is>
          <t>EE.UU.</t>
        </is>
      </c>
      <c r="B114" t="inlineStr">
        <is>
          <t>Las Vegas</t>
        </is>
      </c>
      <c r="C114" t="inlineStr">
        <is>
          <t>EE.UU.</t>
        </is>
      </c>
      <c r="D114" t="inlineStr">
        <is>
          <t>Seattle</t>
        </is>
      </c>
      <c r="E114" t="inlineStr">
        <is>
          <t>2026-03-20</t>
        </is>
      </c>
      <c r="F114" t="inlineStr">
        <is>
          <t>2026-03-27</t>
        </is>
      </c>
      <c r="G114" t="inlineStr">
        <is>
          <t xml:space="preserve"> - Family Freedom</t>
        </is>
      </c>
      <c r="H114">
        <f>HYPERLINK("https://booking.roadsurfer.com/es/rally/pick?pickup_date=2026-03-20&amp;return_date=2026-03-27&amp;currency=EUR&amp;startStation=76&amp;endStation=107", "Clic para verlo en la web de RoadSurfer")</f>
        <v/>
      </c>
    </row>
    <row r="115">
      <c r="A115" t="inlineStr">
        <is>
          <t>EE.UU.</t>
        </is>
      </c>
      <c r="B115" t="inlineStr">
        <is>
          <t>Las Vegas</t>
        </is>
      </c>
      <c r="C115" t="inlineStr">
        <is>
          <t>EE.UU.</t>
        </is>
      </c>
      <c r="D115" t="inlineStr">
        <is>
          <t>Seattle</t>
        </is>
      </c>
      <c r="E115" t="inlineStr">
        <is>
          <t>2026-03-27</t>
        </is>
      </c>
      <c r="F115" t="inlineStr">
        <is>
          <t>2026-04-03</t>
        </is>
      </c>
      <c r="G115" t="inlineStr">
        <is>
          <t xml:space="preserve"> - Family Freedom</t>
        </is>
      </c>
      <c r="H115">
        <f>HYPERLINK("https://booking.roadsurfer.com/es/rally/pick?pickup_date=2026-03-27&amp;return_date=2026-04-03&amp;currency=EUR&amp;startStation=76&amp;endStation=107", "Clic para verlo en la web de RoadSurfer")</f>
        <v/>
      </c>
    </row>
    <row r="116">
      <c r="A116" t="inlineStr">
        <is>
          <t>EE.UU.</t>
        </is>
      </c>
      <c r="B116" t="inlineStr">
        <is>
          <t>Las Vegas</t>
        </is>
      </c>
      <c r="C116" t="inlineStr">
        <is>
          <t>EE.UU.</t>
        </is>
      </c>
      <c r="D116" t="inlineStr">
        <is>
          <t>Seattle</t>
        </is>
      </c>
      <c r="E116" t="inlineStr">
        <is>
          <t>2026-03-25</t>
        </is>
      </c>
      <c r="F116" t="inlineStr">
        <is>
          <t>2026-04-01</t>
        </is>
      </c>
      <c r="G116" t="inlineStr">
        <is>
          <t xml:space="preserve"> - Liberty Lodge</t>
        </is>
      </c>
      <c r="H116">
        <f>HYPERLINK("https://booking.roadsurfer.com/es/rally/pick?pickup_date=2026-03-25&amp;return_date=2026-04-01&amp;currency=EUR&amp;startStation=76&amp;endStation=107", "Clic para verlo en la web de RoadSurfer")</f>
        <v/>
      </c>
    </row>
    <row r="117">
      <c r="A117" t="inlineStr">
        <is>
          <t>Alemania</t>
        </is>
      </c>
      <c r="B117" t="inlineStr">
        <is>
          <t>Leipzig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2026-03-07</t>
        </is>
      </c>
      <c r="F117" t="inlineStr">
        <is>
          <t>2026-03-14</t>
        </is>
      </c>
      <c r="G117" t="inlineStr">
        <is>
          <t xml:space="preserve"> - No hay coche</t>
        </is>
      </c>
      <c r="H117">
        <f>HYPERLINK("https://booking.roadsurfer.com/es/rally/pick?pickup_date=2026-03-07&amp;return_date=2026-03-14&amp;currency=EUR&amp;startStation=8&amp;endStation=32", "Clic para verlo en la web de RoadSurfer")</f>
        <v/>
      </c>
    </row>
    <row r="118">
      <c r="A118" t="inlineStr">
        <is>
          <t>Alemania</t>
        </is>
      </c>
      <c r="B118" t="inlineStr">
        <is>
          <t>Leipzig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2026-03-06</t>
        </is>
      </c>
      <c r="F118" t="inlineStr">
        <is>
          <t>2026-03-13</t>
        </is>
      </c>
      <c r="G118" t="inlineStr">
        <is>
          <t xml:space="preserve"> - Road House</t>
        </is>
      </c>
      <c r="H118">
        <f>HYPERLINK("https://booking.roadsurfer.com/es/rally/pick?pickup_date=2026-03-06&amp;return_date=2026-03-13&amp;currency=EUR&amp;startStation=8&amp;endStation=33", "Clic para verlo en la web de RoadSurfer")</f>
        <v/>
      </c>
    </row>
    <row r="119">
      <c r="A119" t="inlineStr">
        <is>
          <t>Alemania</t>
        </is>
      </c>
      <c r="B119" t="inlineStr">
        <is>
          <t>Leipzig</t>
        </is>
      </c>
      <c r="C119" t="inlineStr">
        <is>
          <t>Alemania</t>
        </is>
      </c>
      <c r="D119" t="inlineStr">
        <is>
          <t>Braunschweig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No hay coche</t>
        </is>
      </c>
      <c r="H119">
        <f>HYPERLINK("https://booking.roadsurfer.com/es/rally/pick?pickup_date=2026-04-20&amp;return_date=2026-04-27&amp;currency=EUR&amp;startStation=8&amp;endStation=128",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2026-04-13</t>
        </is>
      </c>
      <c r="F120" t="inlineStr">
        <is>
          <t>2026-04-20</t>
        </is>
      </c>
      <c r="G120" t="inlineStr">
        <is>
          <t xml:space="preserve"> - Family Finca</t>
        </is>
      </c>
      <c r="H120">
        <f>HYPERLINK("https://booking.roadsurfer.com/es/rally/pick?pickup_date=2026-04-13&amp;return_date=2026-04-20&amp;currency=EUR&amp;startStation=8&amp;endStation=42",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Austria</t>
        </is>
      </c>
      <c r="D121" t="inlineStr">
        <is>
          <t>Viena Sur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Road House</t>
        </is>
      </c>
      <c r="H121">
        <f>HYPERLINK("https://booking.roadsurfer.com/es/rally/pick?pickup_date=2026-03-09&amp;return_date=2026-03-16&amp;currency=EUR&amp;startStation=8&amp;endStation=45",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Italia</t>
        </is>
      </c>
      <c r="D122" t="inlineStr">
        <is>
          <t>Roma Aeropuerto Fiumicino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Road House</t>
        </is>
      </c>
      <c r="H122">
        <f>HYPERLINK("https://booking.roadsurfer.com/es/rally/pick?pickup_date=2026-03-09&amp;return_date=2026-03-16&amp;currency=EUR&amp;startStation=8&amp;endStation=35", "Clic para verlo en la web de RoadSurfer")</f>
        <v/>
      </c>
    </row>
    <row r="123">
      <c r="A123" t="inlineStr">
        <is>
          <t>Francia</t>
        </is>
      </c>
      <c r="B123" t="inlineStr">
        <is>
          <t>Lille</t>
        </is>
      </c>
      <c r="C123" t="inlineStr">
        <is>
          <t>Alemania</t>
        </is>
      </c>
      <c r="D123" t="inlineStr">
        <is>
          <t>Bielefeld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Family Finca</t>
        </is>
      </c>
      <c r="H123">
        <f>HYPERLINK("https://booking.roadsurfer.com/es/rally/pick?pickup_date=2026-05-04&amp;return_date=2026-05-11&amp;currency=EUR&amp;startStation=87&amp;endStation=91", "Clic para verlo en la web de RoadSurfer")</f>
        <v/>
      </c>
    </row>
    <row r="124">
      <c r="A124" t="inlineStr">
        <is>
          <t>Francia</t>
        </is>
      </c>
      <c r="B124" t="inlineStr">
        <is>
          <t>Lille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Family Finca</t>
        </is>
      </c>
      <c r="H124">
        <f>HYPERLINK("https://booking.roadsurfer.com/es/rally/pick?pickup_date=2026-03-09&amp;return_date=2026-03-16&amp;currency=EUR&amp;startStation=87&amp;endStation=90", "Clic para verlo en la web de RoadSurfer")</f>
        <v/>
      </c>
    </row>
    <row r="125">
      <c r="A125" t="inlineStr">
        <is>
          <t>Alemania</t>
        </is>
      </c>
      <c r="B125" t="inlineStr">
        <is>
          <t>Lindau-Wangen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2026-03-09</t>
        </is>
      </c>
      <c r="F125" t="inlineStr">
        <is>
          <t>2026-03-16</t>
        </is>
      </c>
      <c r="G125" t="inlineStr">
        <is>
          <t xml:space="preserve"> - Road House</t>
        </is>
      </c>
      <c r="H125">
        <f>HYPERLINK("https://booking.roadsurfer.com/es/rally/pick?pickup_date=2026-03-09&amp;return_date=2026-03-16&amp;currency=EUR&amp;startStation=117&amp;endStation=13", "Clic para verlo en la web de RoadSurfer")</f>
        <v/>
      </c>
    </row>
    <row r="126">
      <c r="A126" t="inlineStr">
        <is>
          <t>Alemania</t>
        </is>
      </c>
      <c r="B126" t="inlineStr">
        <is>
          <t>Lindau-Wangen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2026-04-04</t>
        </is>
      </c>
      <c r="F126" t="inlineStr">
        <is>
          <t>2026-04-11</t>
        </is>
      </c>
      <c r="G126" t="inlineStr">
        <is>
          <t xml:space="preserve"> - Family Finca</t>
        </is>
      </c>
      <c r="H126">
        <f>HYPERLINK("https://booking.roadsurfer.com/es/rally/pick?pickup_date=2026-04-04&amp;return_date=2026-04-11&amp;currency=EUR&amp;startStation=117&amp;endStation=15", "Clic para verlo en la web de RoadSurfer")</f>
        <v/>
      </c>
    </row>
    <row r="127">
      <c r="A127" t="inlineStr">
        <is>
          <t>Alemania</t>
        </is>
      </c>
      <c r="B127" t="inlineStr">
        <is>
          <t>Lübeck</t>
        </is>
      </c>
      <c r="C127" t="inlineStr">
        <is>
          <t>Francia</t>
        </is>
      </c>
      <c r="D127" t="inlineStr">
        <is>
          <t>Lyon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Road House</t>
        </is>
      </c>
      <c r="H127">
        <f>HYPERLINK("https://booking.roadsurfer.com/es/rally/pick?pickup_date=2026-03-09&amp;return_date=2026-03-16&amp;currency=EUR&amp;startStation=109&amp;endStation=15", "Clic para verlo en la web de RoadSurfer")</f>
        <v/>
      </c>
    </row>
    <row r="128">
      <c r="A128" t="inlineStr">
        <is>
          <t>Alemania</t>
        </is>
      </c>
      <c r="B128" t="inlineStr">
        <is>
          <t>Lübeck</t>
        </is>
      </c>
      <c r="C128" t="inlineStr">
        <is>
          <t>España</t>
        </is>
      </c>
      <c r="D128" t="inlineStr">
        <is>
          <t>Madrid</t>
        </is>
      </c>
      <c r="E128" t="inlineStr">
        <is>
          <t>2026-03-09</t>
        </is>
      </c>
      <c r="F128" t="inlineStr">
        <is>
          <t>2026-03-16</t>
        </is>
      </c>
      <c r="G128" t="inlineStr">
        <is>
          <t xml:space="preserve"> - Road House</t>
        </is>
      </c>
      <c r="H128">
        <f>HYPERLINK("https://booking.roadsurfer.com/es/rally/pick?pickup_date=2026-03-09&amp;return_date=2026-03-16&amp;currency=EUR&amp;startStation=109&amp;endStation=20",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Karlsruhe</t>
        </is>
      </c>
      <c r="E129" t="inlineStr">
        <is>
          <t>2026-03-06</t>
        </is>
      </c>
      <c r="F129" t="inlineStr">
        <is>
          <t>2026-03-13</t>
        </is>
      </c>
      <c r="G129" t="inlineStr">
        <is>
          <t xml:space="preserve"> - SURFER SUITE</t>
        </is>
      </c>
      <c r="H129">
        <f>HYPERLINK("https://booking.roadsurfer.com/es/rally/pick?pickup_date=2026-03-06&amp;return_date=2026-03-13&amp;currency=EUR&amp;startStation=15&amp;endStation=110",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Fráncfort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Beach Hostel</t>
        </is>
      </c>
      <c r="H130">
        <f>HYPERLINK("https://booking.roadsurfer.com/es/rally/pick?pickup_date=2026-03-09&amp;return_date=2026-03-16&amp;currency=EUR&amp;startStation=15&amp;endStation=2",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Friburgo-Basilea (Alemania)</t>
        </is>
      </c>
      <c r="E131" t="inlineStr">
        <is>
          <t>2026-04-15</t>
        </is>
      </c>
      <c r="F131" t="inlineStr">
        <is>
          <t>2026-04-22</t>
        </is>
      </c>
      <c r="G131" t="inlineStr">
        <is>
          <t xml:space="preserve"> - Couple Cottage</t>
        </is>
      </c>
      <c r="H131">
        <f>HYPERLINK("https://booking.roadsurfer.com/es/rally/pick?pickup_date=2026-04-15&amp;return_date=2026-04-22&amp;currency=EUR&amp;startStation=20&amp;endStation=9",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Surfer Suite</t>
        </is>
      </c>
      <c r="H132">
        <f>HYPERLINK("https://booking.roadsurfer.com/es/rally/pick?pickup_date=2026-03-09&amp;return_date=2026-03-16&amp;currency=EUR&amp;startStation=20&amp;endStation=2",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Camper Castle</t>
        </is>
      </c>
      <c r="H133">
        <f>HYPERLINK("https://booking.roadsurfer.com/es/rally/pick?pickup_date=2026-04-14&amp;return_date=2026-04-21&amp;currency=EUR&amp;startStation=20&amp;endStation=2",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2026-03-09</t>
        </is>
      </c>
      <c r="F134" t="inlineStr">
        <is>
          <t>2026-03-16</t>
        </is>
      </c>
      <c r="G134" t="inlineStr">
        <is>
          <t xml:space="preserve"> - Family Finca</t>
        </is>
      </c>
      <c r="H134">
        <f>HYPERLINK("https://booking.roadsurfer.com/es/rally/pick?pickup_date=2026-03-09&amp;return_date=2026-03-16&amp;currency=EUR&amp;startStation=20&amp;endStation=22", "Clic para verlo en la web de RoadSurfer")</f>
        <v/>
      </c>
    </row>
    <row r="135">
      <c r="A135" t="inlineStr">
        <is>
          <t>Alemania</t>
        </is>
      </c>
      <c r="B135" t="inlineStr">
        <is>
          <t>Maguncia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2026-03-09</t>
        </is>
      </c>
      <c r="F135" t="inlineStr">
        <is>
          <t>2026-03-16</t>
        </is>
      </c>
      <c r="G135" t="inlineStr">
        <is>
          <t xml:space="preserve"> - Couple Cottage</t>
        </is>
      </c>
      <c r="H135">
        <f>HYPERLINK("https://booking.roadsurfer.com/es/rally/pick?pickup_date=2026-03-09&amp;return_date=2026-03-16&amp;currency=EUR&amp;startStation=54&amp;endStation=13", "Clic para verlo en la web de RoadSurfer")</f>
        <v/>
      </c>
    </row>
    <row r="136">
      <c r="A136" t="inlineStr">
        <is>
          <t>Alemania</t>
        </is>
      </c>
      <c r="B136" t="inlineStr">
        <is>
          <t>Maguncia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2026-03-09</t>
        </is>
      </c>
      <c r="F136" t="inlineStr">
        <is>
          <t>2026-03-16</t>
        </is>
      </c>
      <c r="G136" t="inlineStr">
        <is>
          <t xml:space="preserve"> - Family Finca</t>
        </is>
      </c>
      <c r="H136">
        <f>HYPERLINK("https://booking.roadsurfer.com/es/rally/pick?pickup_date=2026-03-09&amp;return_date=2026-03-16&amp;currency=EUR&amp;startStation=54&amp;endStation=15", "Clic para verlo en la web de RoadSurfer")</f>
        <v/>
      </c>
    </row>
    <row r="137">
      <c r="A137" t="inlineStr">
        <is>
          <t>Suecia</t>
        </is>
      </c>
      <c r="B137" t="inlineStr">
        <is>
          <t>Malmö</t>
        </is>
      </c>
      <c r="C137" t="inlineStr">
        <is>
          <t>Alemania</t>
        </is>
      </c>
      <c r="D137" t="inlineStr">
        <is>
          <t>Stuttgart</t>
        </is>
      </c>
      <c r="E137" t="inlineStr">
        <is>
          <t>2026-04-20</t>
        </is>
      </c>
      <c r="F137" t="inlineStr">
        <is>
          <t>2026-04-27</t>
        </is>
      </c>
      <c r="G137" t="inlineStr">
        <is>
          <t xml:space="preserve"> - Camper Castle</t>
        </is>
      </c>
      <c r="H137">
        <f>HYPERLINK("https://booking.roadsurfer.com/es/rally/pick?pickup_date=2026-04-20&amp;return_date=2026-04-27&amp;currency=EUR&amp;startStation=60&amp;endStation=5", "Clic para verlo en la web de RoadSurfer")</f>
        <v/>
      </c>
    </row>
    <row r="138">
      <c r="A138" t="inlineStr">
        <is>
          <t>Suecia</t>
        </is>
      </c>
      <c r="B138" t="inlineStr">
        <is>
          <t>Malmö</t>
        </is>
      </c>
      <c r="C138" t="inlineStr">
        <is>
          <t>Alemania</t>
        </is>
      </c>
      <c r="D138" t="inlineStr">
        <is>
          <t>Bremen</t>
        </is>
      </c>
      <c r="E138" t="inlineStr">
        <is>
          <t>2026-03-07</t>
        </is>
      </c>
      <c r="F138" t="inlineStr">
        <is>
          <t>2026-03-14</t>
        </is>
      </c>
      <c r="G138" t="inlineStr">
        <is>
          <t xml:space="preserve"> - Road House</t>
        </is>
      </c>
      <c r="H138">
        <f>HYPERLINK("https://booking.roadsurfer.com/es/rally/pick?pickup_date=2026-03-07&amp;return_date=2026-03-14&amp;currency=EUR&amp;startStation=60&amp;endStation=55", "Clic para verlo en la web de RoadSurfer")</f>
        <v/>
      </c>
    </row>
    <row r="139">
      <c r="A139" t="inlineStr">
        <is>
          <t>Suecia</t>
        </is>
      </c>
      <c r="B139" t="inlineStr">
        <is>
          <t>Malmö</t>
        </is>
      </c>
      <c r="C139" t="inlineStr">
        <is>
          <t>Alemania</t>
        </is>
      </c>
      <c r="D139" t="inlineStr">
        <is>
          <t>Hamburgo</t>
        </is>
      </c>
      <c r="E139" t="inlineStr">
        <is>
          <t>2026-03-07</t>
        </is>
      </c>
      <c r="F139" t="inlineStr">
        <is>
          <t>2026-03-14</t>
        </is>
      </c>
      <c r="G139" t="inlineStr">
        <is>
          <t xml:space="preserve"> - Surfer Suite</t>
        </is>
      </c>
      <c r="H139">
        <f>HYPERLINK("https://booking.roadsurfer.com/es/rally/pick?pickup_date=2026-03-07&amp;return_date=2026-03-14&amp;currency=EUR&amp;startStation=60&amp;endStation=3", "Clic para verlo en la web de RoadSurfer")</f>
        <v/>
      </c>
    </row>
    <row r="140">
      <c r="A140" t="inlineStr">
        <is>
          <t>Suecia</t>
        </is>
      </c>
      <c r="B140" t="inlineStr">
        <is>
          <t>Malmö</t>
        </is>
      </c>
      <c r="C140" t="inlineStr">
        <is>
          <t>Alemania</t>
        </is>
      </c>
      <c r="D140" t="inlineStr">
        <is>
          <t>Berlín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Family Finca</t>
        </is>
      </c>
      <c r="H140">
        <f>HYPERLINK("https://booking.roadsurfer.com/es/rally/pick?pickup_date=2026-04-14&amp;return_date=2026-04-21&amp;currency=EUR&amp;startStation=60&amp;endStation=6", "Clic para verlo en la web de RoadSurfer")</f>
        <v/>
      </c>
    </row>
    <row r="141">
      <c r="A141" t="inlineStr">
        <is>
          <t>Suecia</t>
        </is>
      </c>
      <c r="B141" t="inlineStr">
        <is>
          <t>Malmö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2026-04-15</t>
        </is>
      </c>
      <c r="F141" t="inlineStr">
        <is>
          <t>2026-04-22</t>
        </is>
      </c>
      <c r="G141" t="inlineStr">
        <is>
          <t xml:space="preserve"> - Family Finca</t>
        </is>
      </c>
      <c r="H141">
        <f>HYPERLINK("https://booking.roadsurfer.com/es/rally/pick?pickup_date=2026-04-15&amp;return_date=2026-04-22&amp;currency=EUR&amp;startStation=60&amp;endStation=51", "Clic para verlo en la web de RoadSurfer")</f>
        <v/>
      </c>
    </row>
    <row r="142">
      <c r="A142" t="inlineStr">
        <is>
          <t>Suecia</t>
        </is>
      </c>
      <c r="B142" t="inlineStr">
        <is>
          <t>Malmö</t>
        </is>
      </c>
      <c r="C142" t="inlineStr">
        <is>
          <t>Alemania</t>
        </is>
      </c>
      <c r="D142" t="inlineStr">
        <is>
          <t>Bielefeld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Family Finca</t>
        </is>
      </c>
      <c r="H142">
        <f>HYPERLINK("https://booking.roadsurfer.com/es/rally/pick?pickup_date=2026-04-14&amp;return_date=2026-04-21&amp;currency=EUR&amp;startStation=60&amp;endStation=91", "Clic para verlo en la web de RoadSurfer")</f>
        <v/>
      </c>
    </row>
    <row r="143">
      <c r="A143" t="inlineStr">
        <is>
          <t>Suecia</t>
        </is>
      </c>
      <c r="B143" t="inlineStr">
        <is>
          <t>Malmö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HYPERLINK("https://booking.roadsurfer.com/es/rally/pick?pickup_date=2026-03-09&amp;return_date=2026-03-16&amp;currency=EUR&amp;startStation=60&amp;endStation=77", "Clic para verlo en la web de RoadSurfer")</f>
        <v/>
      </c>
    </row>
    <row r="144">
      <c r="A144" t="inlineStr">
        <is>
          <t>Suecia</t>
        </is>
      </c>
      <c r="B144" t="inlineStr">
        <is>
          <t>Malmö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Beach Hostel</t>
        </is>
      </c>
      <c r="H144">
        <f>HYPERLINK("https://booking.roadsurfer.com/es/rally/pick?pickup_date=2026-03-09&amp;return_date=2026-03-16&amp;currency=EUR&amp;startStation=60&amp;endStation=22", "Clic para verlo en la web de RoadSurfer")</f>
        <v/>
      </c>
    </row>
    <row r="145">
      <c r="A145" t="inlineStr">
        <is>
          <t>Suecia</t>
        </is>
      </c>
      <c r="B145" t="inlineStr">
        <is>
          <t>Malmö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2026-05-11</t>
        </is>
      </c>
      <c r="F145" t="inlineStr">
        <is>
          <t>2026-05-18</t>
        </is>
      </c>
      <c r="G145" t="inlineStr">
        <is>
          <t xml:space="preserve"> - ROAD HOUSE</t>
        </is>
      </c>
      <c r="H145">
        <f>HYPERLINK("https://booking.roadsurfer.com/es/rally/pick?pickup_date=2026-05-11&amp;return_date=2026-05-18&amp;currency=EUR&amp;startStation=60&amp;endStation=59", "Clic para verlo en la web de RoadSurfer")</f>
        <v/>
      </c>
    </row>
    <row r="146">
      <c r="A146" t="inlineStr">
        <is>
          <t>Suecia</t>
        </is>
      </c>
      <c r="B146" t="inlineStr">
        <is>
          <t>Malmö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Couple Cottage</t>
        </is>
      </c>
      <c r="H146">
        <f>HYPERLINK("https://booking.roadsurfer.com/es/rally/pick?pickup_date=2026-03-12&amp;return_date=2026-03-19&amp;currency=EUR&amp;startStation=60&amp;endStation=59", "Clic para verlo en la web de RoadSurfer")</f>
        <v/>
      </c>
    </row>
    <row r="147">
      <c r="A147" t="inlineStr">
        <is>
          <t>Suecia</t>
        </is>
      </c>
      <c r="B147" t="inlineStr">
        <is>
          <t>Malmö</t>
        </is>
      </c>
      <c r="C147" t="inlineStr">
        <is>
          <t>Alemania</t>
        </is>
      </c>
      <c r="D147" t="inlineStr">
        <is>
          <t>Hannover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Surfer Suite</t>
        </is>
      </c>
      <c r="H147">
        <f>HYPERLINK("https://booking.roadsurfer.com/es/rally/pick?pickup_date=2026-03-09&amp;return_date=2026-03-16&amp;currency=EUR&amp;startStation=60&amp;endStation=7",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Aix-Marsella</t>
        </is>
      </c>
      <c r="E148" t="inlineStr">
        <is>
          <t>2026-03-06</t>
        </is>
      </c>
      <c r="F148" t="inlineStr">
        <is>
          <t>2026-03-13</t>
        </is>
      </c>
      <c r="G148" t="inlineStr">
        <is>
          <t xml:space="preserve"> - Surfer Suite</t>
        </is>
      </c>
      <c r="H148">
        <f>HYPERLINK("https://booking.roadsurfer.com/es/rally/pick?pickup_date=2026-03-06&amp;return_date=2026-03-13&amp;currency=EUR&amp;startStation=22&amp;endStation=16",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Italia</t>
        </is>
      </c>
      <c r="D149" t="inlineStr">
        <is>
          <t>Bérgamo</t>
        </is>
      </c>
      <c r="E149" t="inlineStr">
        <is>
          <t>2026-03-06</t>
        </is>
      </c>
      <c r="F149" t="inlineStr">
        <is>
          <t>2026-03-13</t>
        </is>
      </c>
      <c r="G149" t="inlineStr">
        <is>
          <t xml:space="preserve"> - Surfer Suite</t>
        </is>
      </c>
      <c r="H149">
        <f>HYPERLINK("https://booking.roadsurfer.com/es/rally/pick?pickup_date=2026-03-06&amp;return_date=2026-03-13&amp;currency=EUR&amp;startStation=22&amp;endStation=94",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París Sur (Orly)</t>
        </is>
      </c>
      <c r="E150" t="inlineStr">
        <is>
          <t>2026-04-07</t>
        </is>
      </c>
      <c r="F150" t="inlineStr">
        <is>
          <t>2026-04-14</t>
        </is>
      </c>
      <c r="G150" t="inlineStr">
        <is>
          <t xml:space="preserve"> - Surfer Suite</t>
        </is>
      </c>
      <c r="H150">
        <f>HYPERLINK("https://booking.roadsurfer.com/es/rally/pick?pickup_date=2026-04-07&amp;return_date=2026-04-14&amp;currency=EUR&amp;startStation=22&amp;endStation=12",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2026-03-25</t>
        </is>
      </c>
      <c r="F151" t="inlineStr">
        <is>
          <t>2026-04-01</t>
        </is>
      </c>
      <c r="G151" t="inlineStr">
        <is>
          <t xml:space="preserve"> - Surfer Suite</t>
        </is>
      </c>
      <c r="H151">
        <f>HYPERLINK("https://booking.roadsurfer.com/es/rally/pick?pickup_date=2026-03-25&amp;return_date=2026-04-01&amp;currency=EUR&amp;startStation=22&amp;endStation=31",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2026-04-06</t>
        </is>
      </c>
      <c r="F152" t="inlineStr">
        <is>
          <t>2026-04-13</t>
        </is>
      </c>
      <c r="G152" t="inlineStr">
        <is>
          <t xml:space="preserve"> - Surfer Suite</t>
        </is>
      </c>
      <c r="H152">
        <f>HYPERLINK("https://booking.roadsurfer.com/es/rally/pick?pickup_date=2026-04-06&amp;return_date=2026-04-13&amp;currency=EUR&amp;startStation=22&amp;endStation=13",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España</t>
        </is>
      </c>
      <c r="D153" t="inlineStr">
        <is>
          <t>Sevilla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Beach Hostel</t>
        </is>
      </c>
      <c r="H153">
        <f>HYPERLINK("https://booking.roadsurfer.com/es/rally/pick?pickup_date=2026-03-09&amp;return_date=2026-03-16&amp;currency=EUR&amp;startStation=22&amp;endStation=39",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2026-04-04</t>
        </is>
      </c>
      <c r="F154" t="inlineStr">
        <is>
          <t>2026-04-11</t>
        </is>
      </c>
      <c r="G154" t="inlineStr">
        <is>
          <t xml:space="preserve"> - No hay coche</t>
        </is>
      </c>
      <c r="H154">
        <f>HYPERLINK("https://booking.roadsurfer.com/es/rally/pick?pickup_date=2026-04-04&amp;return_date=2026-04-11&amp;currency=EUR&amp;startStation=22&amp;endStation=77",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2026-04-09</t>
        </is>
      </c>
      <c r="F155" t="inlineStr">
        <is>
          <t>2026-04-16</t>
        </is>
      </c>
      <c r="G155" t="inlineStr">
        <is>
          <t xml:space="preserve"> - Couple Cottage</t>
        </is>
      </c>
      <c r="H155">
        <f>HYPERLINK("https://booking.roadsurfer.com/es/rally/pick?pickup_date=2026-04-09&amp;return_date=2026-04-16&amp;currency=EUR&amp;startStation=22&amp;endStation=77",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Italia</t>
        </is>
      </c>
      <c r="D156" t="inlineStr">
        <is>
          <t>Turín</t>
        </is>
      </c>
      <c r="E156" t="inlineStr">
        <is>
          <t>2026-03-06</t>
        </is>
      </c>
      <c r="F156" t="inlineStr">
        <is>
          <t>2026-03-13</t>
        </is>
      </c>
      <c r="G156" t="inlineStr">
        <is>
          <t xml:space="preserve"> - Family Finca</t>
        </is>
      </c>
      <c r="H156">
        <f>HYPERLINK("https://booking.roadsurfer.com/es/rally/pick?pickup_date=2026-03-06&amp;return_date=2026-03-13&amp;currency=EUR&amp;startStation=22&amp;endStation=58",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Family Finca</t>
        </is>
      </c>
      <c r="H157">
        <f>HYPERLINK("https://booking.roadsurfer.com/es/rally/pick?pickup_date=2026-03-19&amp;return_date=2026-03-26&amp;currency=EUR&amp;startStation=22&amp;endStation=29", "Clic para verlo en la web de RoadSurfer")</f>
        <v/>
      </c>
    </row>
    <row r="158">
      <c r="A158" t="inlineStr">
        <is>
          <t>Italia</t>
        </is>
      </c>
      <c r="B158" t="inlineStr">
        <is>
          <t>Milán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Surfer Suite</t>
        </is>
      </c>
      <c r="H158">
        <f>HYPERLINK("https://booking.roadsurfer.com/es/rally/pick?pickup_date=2026-03-09&amp;return_date=2026-03-16&amp;currency=EUR&amp;startStation=34&amp;endStation=52", "Clic para verlo en la web de RoadSurfer")</f>
        <v/>
      </c>
    </row>
    <row r="159">
      <c r="A159" t="inlineStr">
        <is>
          <t>Italia</t>
        </is>
      </c>
      <c r="B159" t="inlineStr">
        <is>
          <t>Milán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2026-04-14</t>
        </is>
      </c>
      <c r="F159" t="inlineStr">
        <is>
          <t>2026-04-21</t>
        </is>
      </c>
      <c r="G159" t="inlineStr">
        <is>
          <t xml:space="preserve"> - Family Finca</t>
        </is>
      </c>
      <c r="H159">
        <f>HYPERLINK("https://booking.roadsurfer.com/es/rally/pick?pickup_date=2026-04-14&amp;return_date=2026-04-21&amp;currency=EUR&amp;startStation=34&amp;endStation=22", "Clic para verlo en la web de RoadSurfer")</f>
        <v/>
      </c>
    </row>
    <row r="160">
      <c r="A160" t="inlineStr">
        <is>
          <t>Italia</t>
        </is>
      </c>
      <c r="B160" t="inlineStr">
        <is>
          <t>Milán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Beach Hostel</t>
        </is>
      </c>
      <c r="H160">
        <f>HYPERLINK("https://booking.roadsurfer.com/es/rally/pick?pickup_date=2026-03-09&amp;return_date=2026-03-16&amp;currency=EUR&amp;startStation=34&amp;endStation=22", "Clic para verlo en la web de RoadSurfer")</f>
        <v/>
      </c>
    </row>
    <row r="161">
      <c r="A161" t="inlineStr">
        <is>
          <t>Alemania</t>
        </is>
      </c>
      <c r="B161" t="inlineStr">
        <is>
          <t>Múnich</t>
        </is>
      </c>
      <c r="C161" t="inlineStr">
        <is>
          <t>Países Bajos</t>
        </is>
      </c>
      <c r="D161" t="inlineStr">
        <is>
          <t>Róterdam</t>
        </is>
      </c>
      <c r="E161" t="inlineStr">
        <is>
          <t>2026-03-06</t>
        </is>
      </c>
      <c r="F161" t="inlineStr">
        <is>
          <t>2026-03-13</t>
        </is>
      </c>
      <c r="G161" t="inlineStr">
        <is>
          <t xml:space="preserve"> - Surfer Suite</t>
        </is>
      </c>
      <c r="H161">
        <f>HYPERLINK("https://booking.roadsurfer.com/es/rally/pick?pickup_date=2026-03-06&amp;return_date=2026-03-13&amp;currency=EUR&amp;startStation=1&amp;endStation=33", "Clic para verlo en la web de RoadSurfer")</f>
        <v/>
      </c>
    </row>
    <row r="162">
      <c r="A162" t="inlineStr">
        <is>
          <t>Alemania</t>
        </is>
      </c>
      <c r="B162" t="inlineStr">
        <is>
          <t>Múnich</t>
        </is>
      </c>
      <c r="C162" t="inlineStr">
        <is>
          <t>Austria</t>
        </is>
      </c>
      <c r="D162" t="inlineStr">
        <is>
          <t>Viena Sur</t>
        </is>
      </c>
      <c r="E162" t="inlineStr">
        <is>
          <t>2026-03-04</t>
        </is>
      </c>
      <c r="F162" t="inlineStr">
        <is>
          <t>2026-03-11</t>
        </is>
      </c>
      <c r="G162" t="inlineStr">
        <is>
          <t xml:space="preserve"> - Camper Cabin Deluxe</t>
        </is>
      </c>
      <c r="H162">
        <f>HYPERLINK("https://booking.roadsurfer.com/es/rally/pick?pickup_date=2026-03-04&amp;return_date=2026-03-11&amp;currency=EUR&amp;startStation=1&amp;endStation=45", "Clic para verlo en la web de RoadSurfer")</f>
        <v/>
      </c>
    </row>
    <row r="163">
      <c r="A163" t="inlineStr">
        <is>
          <t>Alemania</t>
        </is>
      </c>
      <c r="B163" t="inlineStr">
        <is>
          <t>Múnich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Surfer Suite</t>
        </is>
      </c>
      <c r="H163">
        <f>HYPERLINK("https://booking.roadsurfer.com/es/rally/pick?pickup_date=2026-03-09&amp;return_date=2026-03-16&amp;currency=EUR&amp;startStation=1&amp;endStation=45", "Clic para verlo en la web de RoadSurfer")</f>
        <v/>
      </c>
    </row>
    <row r="164">
      <c r="A164" t="inlineStr">
        <is>
          <t>Alemania</t>
        </is>
      </c>
      <c r="B164" t="inlineStr">
        <is>
          <t>Múnich</t>
        </is>
      </c>
      <c r="C164" t="inlineStr">
        <is>
          <t>Italia</t>
        </is>
      </c>
      <c r="D164" t="inlineStr">
        <is>
          <t>Bolonia</t>
        </is>
      </c>
      <c r="E164" t="inlineStr">
        <is>
          <t>2026-03-06</t>
        </is>
      </c>
      <c r="F164" t="inlineStr">
        <is>
          <t>2026-03-13</t>
        </is>
      </c>
      <c r="G164" t="inlineStr">
        <is>
          <t xml:space="preserve"> - Beach Hostel</t>
        </is>
      </c>
      <c r="H164">
        <f>HYPERLINK("https://booking.roadsurfer.com/es/rally/pick?pickup_date=2026-03-06&amp;return_date=2026-03-13&amp;currency=EUR&amp;startStation=1&amp;endStation=57", "Clic para verlo en la web de RoadSurfer")</f>
        <v/>
      </c>
    </row>
    <row r="165">
      <c r="A165" t="inlineStr">
        <is>
          <t>Alemania</t>
        </is>
      </c>
      <c r="B165" t="inlineStr">
        <is>
          <t>Múnich</t>
        </is>
      </c>
      <c r="C165" t="inlineStr">
        <is>
          <t>Italia</t>
        </is>
      </c>
      <c r="D165" t="inlineStr">
        <is>
          <t>Bérgamo</t>
        </is>
      </c>
      <c r="E165" t="inlineStr">
        <is>
          <t>2026-03-09</t>
        </is>
      </c>
      <c r="F165" t="inlineStr">
        <is>
          <t>2026-03-16</t>
        </is>
      </c>
      <c r="G165" t="inlineStr">
        <is>
          <t xml:space="preserve"> - Beach Hostel</t>
        </is>
      </c>
      <c r="H165">
        <f>HYPERLINK("https://booking.roadsurfer.com/es/rally/pick?pickup_date=2026-03-09&amp;return_date=2026-03-16&amp;currency=EUR&amp;startStation=1&amp;endStation=94", "Clic para verlo en la web de RoadSurfer")</f>
        <v/>
      </c>
    </row>
    <row r="166">
      <c r="A166" t="inlineStr">
        <is>
          <t>Alemania</t>
        </is>
      </c>
      <c r="B166" t="inlineStr">
        <is>
          <t>Múnich</t>
        </is>
      </c>
      <c r="C166" t="inlineStr">
        <is>
          <t>Francia</t>
        </is>
      </c>
      <c r="D166" t="inlineStr">
        <is>
          <t>Aix-Marsella</t>
        </is>
      </c>
      <c r="E166" t="inlineStr">
        <is>
          <t>2026-04-04</t>
        </is>
      </c>
      <c r="F166" t="inlineStr">
        <is>
          <t>2026-04-11</t>
        </is>
      </c>
      <c r="G166" t="inlineStr">
        <is>
          <t xml:space="preserve"> - Road House</t>
        </is>
      </c>
      <c r="H166">
        <f>HYPERLINK("https://booking.roadsurfer.com/es/rally/pick?pickup_date=2026-04-04&amp;return_date=2026-04-11&amp;currency=EUR&amp;startStation=1&amp;endStation=16", "Clic para verlo en la web de RoadSurfer")</f>
        <v/>
      </c>
    </row>
    <row r="167">
      <c r="A167" t="inlineStr">
        <is>
          <t>Alemania</t>
        </is>
      </c>
      <c r="B167" t="inlineStr">
        <is>
          <t>Múnich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2026-03-06</t>
        </is>
      </c>
      <c r="F167" t="inlineStr">
        <is>
          <t>2026-03-13</t>
        </is>
      </c>
      <c r="G167" t="inlineStr">
        <is>
          <t xml:space="preserve"> - Family Finca</t>
        </is>
      </c>
      <c r="H167">
        <f>HYPERLINK("https://booking.roadsurfer.com/es/rally/pick?pickup_date=2026-03-06&amp;return_date=2026-03-13&amp;currency=EUR&amp;startStation=1&amp;endStation=55", "Clic para verlo en la web de RoadSurfer")</f>
        <v/>
      </c>
    </row>
    <row r="168">
      <c r="A168" t="inlineStr">
        <is>
          <t>Alemania</t>
        </is>
      </c>
      <c r="B168" t="inlineStr">
        <is>
          <t>Múnich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2026-03-07</t>
        </is>
      </c>
      <c r="F168" t="inlineStr">
        <is>
          <t>2026-03-14</t>
        </is>
      </c>
      <c r="G168" t="inlineStr">
        <is>
          <t xml:space="preserve"> - Couple Cottage</t>
        </is>
      </c>
      <c r="H168">
        <f>HYPERLINK("https://booking.roadsurfer.com/es/rally/pick?pickup_date=2026-03-07&amp;return_date=2026-03-14&amp;currency=EUR&amp;startStation=1&amp;endStation=78", "Clic para verlo en la web de RoadSurfer")</f>
        <v/>
      </c>
    </row>
    <row r="169">
      <c r="A169" t="inlineStr">
        <is>
          <t>Alemania</t>
        </is>
      </c>
      <c r="B169" t="inlineStr">
        <is>
          <t>Múnich</t>
        </is>
      </c>
      <c r="C169" t="inlineStr">
        <is>
          <t>Alemania</t>
        </is>
      </c>
      <c r="D169" t="inlineStr">
        <is>
          <t>Braunschweig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No hay coche</t>
        </is>
      </c>
      <c r="H169">
        <f>HYPERLINK("https://booking.roadsurfer.com/es/rally/pick?pickup_date=2026-04-20&amp;return_date=2026-04-27&amp;currency=EUR&amp;startStation=1&amp;endStation=128", "Clic para verlo en la web de RoadSurfer")</f>
        <v/>
      </c>
    </row>
    <row r="170">
      <c r="A170" t="inlineStr">
        <is>
          <t>Alemania</t>
        </is>
      </c>
      <c r="B170" t="inlineStr">
        <is>
          <t>Múnich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2026-03-06</t>
        </is>
      </c>
      <c r="F170" t="inlineStr">
        <is>
          <t>2026-03-13</t>
        </is>
      </c>
      <c r="G170" t="inlineStr">
        <is>
          <t xml:space="preserve"> - Sunrise Suite</t>
        </is>
      </c>
      <c r="H170">
        <f>HYPERLINK("https://booking.roadsurfer.com/es/rally/pick?pickup_date=2026-03-06&amp;return_date=2026-03-13&amp;currency=EUR&amp;startStation=1&amp;endStation=13",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Kassel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Camper Cabin</t>
        </is>
      </c>
      <c r="H171">
        <f>HYPERLINK("https://booking.roadsurfer.com/es/rally/pick?pickup_date=2026-03-09&amp;return_date=2026-03-16&amp;currency=EUR&amp;startStation=31&amp;endStation=92",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Colonia-Düsseldorf</t>
        </is>
      </c>
      <c r="E172" t="inlineStr">
        <is>
          <t>2026-03-06</t>
        </is>
      </c>
      <c r="F172" t="inlineStr">
        <is>
          <t>2026-03-13</t>
        </is>
      </c>
      <c r="G172" t="inlineStr">
        <is>
          <t xml:space="preserve"> - Surfer Suite</t>
        </is>
      </c>
      <c r="H172">
        <f>HYPERLINK("https://booking.roadsurfer.com/es/rally/pick?pickup_date=2026-03-06&amp;return_date=2026-03-13&amp;currency=EUR&amp;startStation=31&amp;endStation=4",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Camper Castle</t>
        </is>
      </c>
      <c r="H173">
        <f>HYPERLINK("https://booking.roadsurfer.com/es/rally/pick?pickup_date=2026-03-09&amp;return_date=2026-03-16&amp;currency=EUR&amp;startStation=31&amp;endStation=56", "Clic para verlo en la web de RoadSurfer")</f>
        <v/>
      </c>
    </row>
    <row r="174">
      <c r="A174" t="inlineStr">
        <is>
          <t>Francia</t>
        </is>
      </c>
      <c r="B174" t="inlineStr">
        <is>
          <t>Nantes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Surfer Suite</t>
        </is>
      </c>
      <c r="H174">
        <f>HYPERLINK("https://booking.roadsurfer.com/es/rally/pick?pickup_date=2026-03-09&amp;return_date=2026-03-16&amp;currency=EUR&amp;startStation=31&amp;endStation=22", "Clic para verlo en la web de RoadSurfer")</f>
        <v/>
      </c>
    </row>
    <row r="175">
      <c r="A175" t="inlineStr">
        <is>
          <t>Francia</t>
        </is>
      </c>
      <c r="B175" t="inlineStr">
        <is>
          <t>Nantes</t>
        </is>
      </c>
      <c r="C175" t="inlineStr">
        <is>
          <t>Alemania</t>
        </is>
      </c>
      <c r="D175" t="inlineStr">
        <is>
          <t>Núremberg</t>
        </is>
      </c>
      <c r="E175" t="inlineStr">
        <is>
          <t>2026-03-09</t>
        </is>
      </c>
      <c r="F175" t="inlineStr">
        <is>
          <t>2026-03-16</t>
        </is>
      </c>
      <c r="G175" t="inlineStr">
        <is>
          <t xml:space="preserve"> - Camper Cabin</t>
        </is>
      </c>
      <c r="H175">
        <f>HYPERLINK("https://booking.roadsurfer.com/es/rally/pick?pickup_date=2026-03-09&amp;return_date=2026-03-16&amp;currency=EUR&amp;startStation=31&amp;endStation=11", "Clic para verlo en la web de RoadSurfer")</f>
        <v/>
      </c>
    </row>
    <row r="176">
      <c r="A176" t="inlineStr">
        <is>
          <t>Francia</t>
        </is>
      </c>
      <c r="B176" t="inlineStr">
        <is>
          <t>Nantes</t>
        </is>
      </c>
      <c r="C176" t="inlineStr">
        <is>
          <t>Alemania</t>
        </is>
      </c>
      <c r="D176" t="inlineStr">
        <is>
          <t>Kiel</t>
        </is>
      </c>
      <c r="E176" t="inlineStr">
        <is>
          <t>2026-03-09</t>
        </is>
      </c>
      <c r="F176" t="inlineStr">
        <is>
          <t>2026-03-16</t>
        </is>
      </c>
      <c r="G176" t="inlineStr">
        <is>
          <t xml:space="preserve"> - Camper Cabin</t>
        </is>
      </c>
      <c r="H176">
        <f>HYPERLINK("https://booking.roadsurfer.com/es/rally/pick?pickup_date=2026-03-09&amp;return_date=2026-03-16&amp;currency=EUR&amp;startStation=31&amp;endStation=111", "Clic para verlo en la web de RoadSurfer")</f>
        <v/>
      </c>
    </row>
    <row r="177">
      <c r="A177" t="inlineStr">
        <is>
          <t>Francia</t>
        </is>
      </c>
      <c r="B177" t="inlineStr">
        <is>
          <t>Nantes</t>
        </is>
      </c>
      <c r="C177" t="inlineStr">
        <is>
          <t>Alemania</t>
        </is>
      </c>
      <c r="D177" t="inlineStr">
        <is>
          <t>Stuttgart</t>
        </is>
      </c>
      <c r="E177" t="inlineStr">
        <is>
          <t>2026-03-06</t>
        </is>
      </c>
      <c r="F177" t="inlineStr">
        <is>
          <t>2026-03-13</t>
        </is>
      </c>
      <c r="G177" t="inlineStr">
        <is>
          <t xml:space="preserve"> - Family Finca</t>
        </is>
      </c>
      <c r="H177">
        <f>HYPERLINK("https://booking.roadsurfer.com/es/rally/pick?pickup_date=2026-03-06&amp;return_date=2026-03-13&amp;currency=EUR&amp;startStation=31&amp;endStation=5", "Clic para verlo en la web de RoadSurfer")</f>
        <v/>
      </c>
    </row>
    <row r="178">
      <c r="A178" t="inlineStr">
        <is>
          <t>Francia</t>
        </is>
      </c>
      <c r="B178" t="inlineStr">
        <is>
          <t>Nantes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2026-04-07</t>
        </is>
      </c>
      <c r="F178" t="inlineStr">
        <is>
          <t>2026-04-14</t>
        </is>
      </c>
      <c r="G178" t="inlineStr">
        <is>
          <t xml:space="preserve"> - Family Finca</t>
        </is>
      </c>
      <c r="H178">
        <f>HYPERLINK("https://booking.roadsurfer.com/es/rally/pick?pickup_date=2026-04-07&amp;return_date=2026-04-14&amp;currency=EUR&amp;startStation=31&amp;endStation=52", "Clic para verlo en la web de RoadSurfer")</f>
        <v/>
      </c>
    </row>
    <row r="179">
      <c r="A179" t="inlineStr">
        <is>
          <t>Alemania</t>
        </is>
      </c>
      <c r="B179" t="inlineStr">
        <is>
          <t>Núremberg</t>
        </is>
      </c>
      <c r="C179" t="inlineStr">
        <is>
          <t>Austria</t>
        </is>
      </c>
      <c r="D179" t="inlineStr">
        <is>
          <t>Viena</t>
        </is>
      </c>
      <c r="E179" t="inlineStr">
        <is>
          <t>2026-04-16</t>
        </is>
      </c>
      <c r="F179" t="inlineStr">
        <is>
          <t>2026-04-23</t>
        </is>
      </c>
      <c r="G179" t="inlineStr">
        <is>
          <t xml:space="preserve"> - Couple Cottage</t>
        </is>
      </c>
      <c r="H179">
        <f>HYPERLINK("https://booking.roadsurfer.com/es/rally/pick?pickup_date=2026-04-16&amp;return_date=2026-04-23&amp;currency=EUR&amp;startStation=11&amp;endStation=36", "Clic para verlo en la web de RoadSurfer")</f>
        <v/>
      </c>
    </row>
    <row r="180">
      <c r="A180" t="inlineStr">
        <is>
          <t>Alemania</t>
        </is>
      </c>
      <c r="B180" t="inlineStr">
        <is>
          <t>Núremberg</t>
        </is>
      </c>
      <c r="C180" t="inlineStr">
        <is>
          <t>Francia</t>
        </is>
      </c>
      <c r="D180" t="inlineStr">
        <is>
          <t>Toulouse</t>
        </is>
      </c>
      <c r="E180" t="inlineStr">
        <is>
          <t>2026-03-09</t>
        </is>
      </c>
      <c r="F180" t="inlineStr">
        <is>
          <t>2026-03-16</t>
        </is>
      </c>
      <c r="G180" t="inlineStr">
        <is>
          <t xml:space="preserve"> - Camper Castle</t>
        </is>
      </c>
      <c r="H180">
        <f>HYPERLINK("https://booking.roadsurfer.com/es/rally/pick?pickup_date=2026-03-09&amp;return_date=2026-03-16&amp;currency=EUR&amp;startStation=11&amp;endStation=30",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Francia</t>
        </is>
      </c>
      <c r="D181" t="inlineStr">
        <is>
          <t>París Aeropuerto CDG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Surfer Suite</t>
        </is>
      </c>
      <c r="H181">
        <f>HYPERLINK("https://booking.roadsurfer.com/es/rally/pick?pickup_date=2026-03-09&amp;return_date=2026-03-16&amp;currency=EUR&amp;startStation=12&amp;endStation=48",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Friburgo-Basilea (Alemania)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Road House</t>
        </is>
      </c>
      <c r="H182">
        <f>HYPERLINK("https://booking.roadsurfer.com/es/rally/pick?pickup_date=2026-03-09&amp;return_date=2026-03-16&amp;currency=EUR&amp;startStation=12&amp;endStation=9", "Clic para verlo en la web de RoadSurfer")</f>
        <v/>
      </c>
    </row>
    <row r="183">
      <c r="A183" t="inlineStr">
        <is>
          <t>Francia</t>
        </is>
      </c>
      <c r="B183" t="inlineStr">
        <is>
          <t>París Aeropuerto CDG</t>
        </is>
      </c>
      <c r="C183" t="inlineStr">
        <is>
          <t>Francia</t>
        </is>
      </c>
      <c r="D183" t="inlineStr">
        <is>
          <t>Aix-Marsella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Couple Cottage</t>
        </is>
      </c>
      <c r="H183">
        <f>HYPERLINK("https://booking.roadsurfer.com/es/rally/pick?pickup_date=2026-04-20&amp;return_date=2026-04-27&amp;currency=EUR&amp;startStation=48&amp;endStation=16", "Clic para verlo en la web de RoadSurfer")</f>
        <v/>
      </c>
    </row>
    <row r="184">
      <c r="A184" t="inlineStr">
        <is>
          <t>Francia</t>
        </is>
      </c>
      <c r="B184" t="inlineStr">
        <is>
          <t>París Aeropuerto CDG</t>
        </is>
      </c>
      <c r="C184" t="inlineStr">
        <is>
          <t>Alemania</t>
        </is>
      </c>
      <c r="D184" t="inlineStr">
        <is>
          <t>Hamburgo</t>
        </is>
      </c>
      <c r="E184" t="inlineStr">
        <is>
          <t>2026-03-06</t>
        </is>
      </c>
      <c r="F184" t="inlineStr">
        <is>
          <t>2026-03-13</t>
        </is>
      </c>
      <c r="G184" t="inlineStr">
        <is>
          <t xml:space="preserve"> - Travel Home</t>
        </is>
      </c>
      <c r="H184">
        <f>HYPERLINK("https://booking.roadsurfer.com/es/rally/pick?pickup_date=2026-03-06&amp;return_date=2026-03-13&amp;currency=EUR&amp;startStation=48&amp;endStation=3", "Clic para verlo en la web de RoadSurfer")</f>
        <v/>
      </c>
    </row>
    <row r="185">
      <c r="A185" t="inlineStr">
        <is>
          <t>Francia</t>
        </is>
      </c>
      <c r="B185" t="inlineStr">
        <is>
          <t>París Aeropuerto CDG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2026-03-06</t>
        </is>
      </c>
      <c r="F185" t="inlineStr">
        <is>
          <t>2026-03-13</t>
        </is>
      </c>
      <c r="G185" t="inlineStr">
        <is>
          <t xml:space="preserve"> - SURFER SUITE</t>
        </is>
      </c>
      <c r="H185">
        <f>HYPERLINK("https://booking.roadsurfer.com/es/rally/pick?pickup_date=2026-03-06&amp;return_date=2026-03-13&amp;currency=EUR&amp;startStation=48&amp;endStation=52", "Clic para verlo en la web de RoadSurfer")</f>
        <v/>
      </c>
    </row>
    <row r="186">
      <c r="A186" t="inlineStr">
        <is>
          <t>EE.UU.</t>
        </is>
      </c>
      <c r="B186" t="inlineStr">
        <is>
          <t>Phoenix</t>
        </is>
      </c>
      <c r="C186" t="inlineStr">
        <is>
          <t>EE.UU.</t>
        </is>
      </c>
      <c r="D186" t="inlineStr">
        <is>
          <t>Dallas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Couple Condo</t>
        </is>
      </c>
      <c r="H186">
        <f>HYPERLINK("https://booking.roadsurfer.com/es/rally/pick?pickup_date=2026-03-19&amp;return_date=2026-03-26&amp;currency=EUR&amp;startStation=105&amp;endStation=125", "Clic para verlo en la web de RoadSurfer")</f>
        <v/>
      </c>
    </row>
    <row r="187">
      <c r="A187" t="inlineStr">
        <is>
          <t>Alemania</t>
        </is>
      </c>
      <c r="B187" t="inlineStr">
        <is>
          <t>Ratisbona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2026-03-09</t>
        </is>
      </c>
      <c r="F187" t="inlineStr">
        <is>
          <t>2026-03-16</t>
        </is>
      </c>
      <c r="G187" t="inlineStr">
        <is>
          <t xml:space="preserve"> - Travel Home - TRAVEL HOME</t>
        </is>
      </c>
      <c r="H187">
        <f>HYPERLINK("https://booking.roadsurfer.com/es/rally/pick?pickup_date=2026-03-09&amp;return_date=2026-03-16&amp;currency=EUR&amp;startStation=89&amp;endStation=55", "Clic para verlo en la web de RoadSurfer")</f>
        <v/>
      </c>
    </row>
    <row r="188">
      <c r="A188" t="inlineStr">
        <is>
          <t>Italia</t>
        </is>
      </c>
      <c r="B188" t="inlineStr">
        <is>
          <t>Roma Aeropuerto Fiumicino</t>
        </is>
      </c>
      <c r="C188" t="inlineStr">
        <is>
          <t>Alemania</t>
        </is>
      </c>
      <c r="D188" t="inlineStr">
        <is>
          <t>Múnich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Beach Hostel</t>
        </is>
      </c>
      <c r="H188">
        <f>HYPERLINK("https://booking.roadsurfer.com/es/rally/pick?pickup_date=2026-03-09&amp;return_date=2026-03-16&amp;currency=EUR&amp;startStation=35&amp;endStation=1", "Clic para verlo en la web de RoadSurfer")</f>
        <v/>
      </c>
    </row>
    <row r="189">
      <c r="A189" t="inlineStr">
        <is>
          <t>Países Bajos</t>
        </is>
      </c>
      <c r="B189" t="inlineStr">
        <is>
          <t>Róterdam</t>
        </is>
      </c>
      <c r="C189" t="inlineStr">
        <is>
          <t>Alemania</t>
        </is>
      </c>
      <c r="D189" t="inlineStr">
        <is>
          <t>Dresde</t>
        </is>
      </c>
      <c r="E189" t="inlineStr">
        <is>
          <t>2026-03-12</t>
        </is>
      </c>
      <c r="F189" t="inlineStr">
        <is>
          <t>2026-03-19</t>
        </is>
      </c>
      <c r="G189" t="inlineStr">
        <is>
          <t xml:space="preserve"> - Camper Castle</t>
        </is>
      </c>
      <c r="H189">
        <f>HYPERLINK("https://booking.roadsurfer.com/es/rally/pick?pickup_date=2026-03-12&amp;return_date=2026-03-19&amp;currency=EUR&amp;startStation=33&amp;endStation=56", "Clic para verlo en la web de RoadSurfer")</f>
        <v/>
      </c>
    </row>
    <row r="190">
      <c r="A190" t="inlineStr">
        <is>
          <t>Países Bajos</t>
        </is>
      </c>
      <c r="B190" t="inlineStr">
        <is>
          <t>Róterdam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2026-03-07</t>
        </is>
      </c>
      <c r="F190" t="inlineStr">
        <is>
          <t>2026-03-14</t>
        </is>
      </c>
      <c r="G190" t="inlineStr">
        <is>
          <t xml:space="preserve"> - No hay coche</t>
        </is>
      </c>
      <c r="H190">
        <f>HYPERLINK("https://booking.roadsurfer.com/es/rally/pick?pickup_date=2026-03-07&amp;return_date=2026-03-14&amp;currency=EUR&amp;startStation=33&amp;endStation=22", "Clic para verlo en la web de RoadSurfer")</f>
        <v/>
      </c>
    </row>
    <row r="191">
      <c r="A191" t="inlineStr">
        <is>
          <t>Suecia</t>
        </is>
      </c>
      <c r="B191" t="inlineStr">
        <is>
          <t>Estocolmo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Surfer Suite</t>
        </is>
      </c>
      <c r="H191">
        <f>HYPERLINK("https://booking.roadsurfer.com/es/rally/pick?pickup_date=2026-03-09&amp;return_date=2026-03-16&amp;currency=EUR&amp;startStation=59&amp;endStation=22", "Clic para verlo en la web de RoadSurfer")</f>
        <v/>
      </c>
    </row>
    <row r="192">
      <c r="A192" t="inlineStr">
        <is>
          <t>Suecia</t>
        </is>
      </c>
      <c r="B192" t="inlineStr">
        <is>
          <t>Estocolmo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2026-03-12</t>
        </is>
      </c>
      <c r="F192" t="inlineStr">
        <is>
          <t>2026-03-19</t>
        </is>
      </c>
      <c r="G192" t="inlineStr">
        <is>
          <t xml:space="preserve"> - Camper Castle</t>
        </is>
      </c>
      <c r="H192">
        <f>HYPERLINK("https://booking.roadsurfer.com/es/rally/pick?pickup_date=2026-03-12&amp;return_date=2026-03-19&amp;currency=EUR&amp;startStation=59&amp;endStation=22", "Clic para verlo en la web de RoadSurfer")</f>
        <v/>
      </c>
    </row>
    <row r="193">
      <c r="A193" t="inlineStr">
        <is>
          <t>Suecia</t>
        </is>
      </c>
      <c r="B193" t="inlineStr">
        <is>
          <t>Estocolmo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2026-04-13</t>
        </is>
      </c>
      <c r="F193" t="inlineStr">
        <is>
          <t>2026-04-20</t>
        </is>
      </c>
      <c r="G193" t="inlineStr">
        <is>
          <t xml:space="preserve"> - Road House</t>
        </is>
      </c>
      <c r="H193">
        <f>HYPERLINK("https://booking.roadsurfer.com/es/rally/pick?pickup_date=2026-04-13&amp;return_date=2026-04-20&amp;currency=EUR&amp;startStation=59&amp;endStation=91", "Clic para verlo en la web de RoadSurfer")</f>
        <v/>
      </c>
    </row>
    <row r="194">
      <c r="A194" t="inlineStr">
        <is>
          <t>Suecia</t>
        </is>
      </c>
      <c r="B194" t="inlineStr">
        <is>
          <t>Estocolmo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2026-04-14</t>
        </is>
      </c>
      <c r="F194" t="inlineStr">
        <is>
          <t>2026-04-21</t>
        </is>
      </c>
      <c r="G194" t="inlineStr">
        <is>
          <t xml:space="preserve"> - Road House</t>
        </is>
      </c>
      <c r="H194">
        <f>HYPERLINK("https://booking.roadsurfer.com/es/rally/pick?pickup_date=2026-04-14&amp;return_date=2026-04-21&amp;currency=EUR&amp;startStation=59&amp;endStation=91", "Clic para verlo en la web de RoadSurfer")</f>
        <v/>
      </c>
    </row>
    <row r="195">
      <c r="A195" t="inlineStr">
        <is>
          <t>Suecia</t>
        </is>
      </c>
      <c r="B195" t="inlineStr">
        <is>
          <t>Estocolmo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2026-04-14</t>
        </is>
      </c>
      <c r="F195" t="inlineStr">
        <is>
          <t>2026-04-21</t>
        </is>
      </c>
      <c r="G195" t="inlineStr">
        <is>
          <t xml:space="preserve"> - Couple Cottage</t>
        </is>
      </c>
      <c r="H195">
        <f>HYPERLINK("https://booking.roadsurfer.com/es/rally/pick?pickup_date=2026-04-14&amp;return_date=2026-04-21&amp;currency=EUR&amp;startStation=59&amp;endStation=90", "Clic para verlo en la web de RoadSurfer")</f>
        <v/>
      </c>
    </row>
    <row r="196">
      <c r="A196" t="inlineStr">
        <is>
          <t>Suecia</t>
        </is>
      </c>
      <c r="B196" t="inlineStr">
        <is>
          <t>Estocolmo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Road House</t>
        </is>
      </c>
      <c r="H196">
        <f>HYPERLINK("https://booking.roadsurfer.com/es/rally/pick?pickup_date=2026-04-16&amp;return_date=2026-04-23&amp;currency=EUR&amp;startStation=59&amp;endStation=90", "Clic para verlo en la web de RoadSurfer")</f>
        <v/>
      </c>
    </row>
    <row r="197">
      <c r="A197" t="inlineStr">
        <is>
          <t>Suecia</t>
        </is>
      </c>
      <c r="B197" t="inlineStr">
        <is>
          <t>Estocolmo</t>
        </is>
      </c>
      <c r="C197" t="inlineStr">
        <is>
          <t>Alemania</t>
        </is>
      </c>
      <c r="D197" t="inlineStr">
        <is>
          <t>Ratisbona</t>
        </is>
      </c>
      <c r="E197" t="inlineStr">
        <is>
          <t>2026-03-06</t>
        </is>
      </c>
      <c r="F197" t="inlineStr">
        <is>
          <t>2026-03-13</t>
        </is>
      </c>
      <c r="G197" t="inlineStr">
        <is>
          <t xml:space="preserve"> - Camper Castle</t>
        </is>
      </c>
      <c r="H197">
        <f>HYPERLINK("https://booking.roadsurfer.com/es/rally/pick?pickup_date=2026-03-06&amp;return_date=2026-03-13&amp;currency=EUR&amp;startStation=59&amp;endStation=89", "Clic para verlo en la web de RoadSurfer")</f>
        <v/>
      </c>
    </row>
    <row r="198">
      <c r="A198" t="inlineStr">
        <is>
          <t>Suecia</t>
        </is>
      </c>
      <c r="B198" t="inlineStr">
        <is>
          <t>Estocolmo</t>
        </is>
      </c>
      <c r="C198" t="inlineStr">
        <is>
          <t>Alemania</t>
        </is>
      </c>
      <c r="D198" t="inlineStr">
        <is>
          <t>Augsburgo</t>
        </is>
      </c>
      <c r="E198" t="inlineStr">
        <is>
          <t>2026-04-15</t>
        </is>
      </c>
      <c r="F198" t="inlineStr">
        <is>
          <t>2026-04-22</t>
        </is>
      </c>
      <c r="G198" t="inlineStr">
        <is>
          <t xml:space="preserve"> - Camper Castle</t>
        </is>
      </c>
      <c r="H198">
        <f>HYPERLINK("https://booking.roadsurfer.com/es/rally/pick?pickup_date=2026-04-15&amp;return_date=2026-04-22&amp;currency=EUR&amp;startStation=59&amp;endStation=108", "Clic para verlo en la web de RoadSurfer")</f>
        <v/>
      </c>
    </row>
    <row r="199">
      <c r="A199" t="inlineStr">
        <is>
          <t>Suecia</t>
        </is>
      </c>
      <c r="B199" t="inlineStr">
        <is>
          <t>Estocolmo</t>
        </is>
      </c>
      <c r="C199" t="inlineStr">
        <is>
          <t>Alemania</t>
        </is>
      </c>
      <c r="D199" t="inlineStr">
        <is>
          <t>Karlsruhe</t>
        </is>
      </c>
      <c r="E199" t="inlineStr">
        <is>
          <t>2026-04-14</t>
        </is>
      </c>
      <c r="F199" t="inlineStr">
        <is>
          <t>2026-04-21</t>
        </is>
      </c>
      <c r="G199" t="inlineStr">
        <is>
          <t xml:space="preserve"> - Camper Castle</t>
        </is>
      </c>
      <c r="H199">
        <f>HYPERLINK("https://booking.roadsurfer.com/es/rally/pick?pickup_date=2026-04-14&amp;return_date=2026-04-21&amp;currency=EUR&amp;startStation=59&amp;endStation=110", "Clic para verlo en la web de RoadSurfer")</f>
        <v/>
      </c>
    </row>
    <row r="200">
      <c r="A200" t="inlineStr">
        <is>
          <t>Suecia</t>
        </is>
      </c>
      <c r="B200" t="inlineStr">
        <is>
          <t>Estocolmo</t>
        </is>
      </c>
      <c r="C200" t="inlineStr">
        <is>
          <t>Alemania</t>
        </is>
      </c>
      <c r="D200" t="inlineStr">
        <is>
          <t>Lindau-Wangen</t>
        </is>
      </c>
      <c r="E200" t="inlineStr">
        <is>
          <t>2026-04-15</t>
        </is>
      </c>
      <c r="F200" t="inlineStr">
        <is>
          <t>2026-04-22</t>
        </is>
      </c>
      <c r="G200" t="inlineStr">
        <is>
          <t xml:space="preserve"> - Camper Castle</t>
        </is>
      </c>
      <c r="H200">
        <f>HYPERLINK("https://booking.roadsurfer.com/es/rally/pick?pickup_date=2026-04-15&amp;return_date=2026-04-22&amp;currency=EUR&amp;startStation=59&amp;endStation=117", "Clic para verlo en la web de RoadSurfer")</f>
        <v/>
      </c>
    </row>
    <row r="201">
      <c r="A201" t="inlineStr">
        <is>
          <t>Suecia</t>
        </is>
      </c>
      <c r="B201" t="inlineStr">
        <is>
          <t>Estocolmo</t>
        </is>
      </c>
      <c r="C201" t="inlineStr">
        <is>
          <t>Alemania</t>
        </is>
      </c>
      <c r="D201" t="inlineStr">
        <is>
          <t>Hamburgo</t>
        </is>
      </c>
      <c r="E201" t="inlineStr">
        <is>
          <t>2026-03-07</t>
        </is>
      </c>
      <c r="F201" t="inlineStr">
        <is>
          <t>2026-03-14</t>
        </is>
      </c>
      <c r="G201" t="inlineStr">
        <is>
          <t xml:space="preserve"> - Family Finca</t>
        </is>
      </c>
      <c r="H201">
        <f>HYPERLINK("https://booking.roadsurfer.com/es/rally/pick?pickup_date=2026-03-07&amp;return_date=2026-03-14&amp;currency=EUR&amp;startStation=59&amp;endStation=3", "Clic para verlo en la web de RoadSurfer")</f>
        <v/>
      </c>
    </row>
    <row r="202">
      <c r="A202" t="inlineStr">
        <is>
          <t>Suecia</t>
        </is>
      </c>
      <c r="B202" t="inlineStr">
        <is>
          <t>Estocolmo</t>
        </is>
      </c>
      <c r="C202" t="inlineStr">
        <is>
          <t>Alemania</t>
        </is>
      </c>
      <c r="D202" t="inlineStr">
        <is>
          <t>Berlín-Schönefeld</t>
        </is>
      </c>
      <c r="E202" t="inlineStr">
        <is>
          <t>2026-04-14</t>
        </is>
      </c>
      <c r="F202" t="inlineStr">
        <is>
          <t>2026-04-21</t>
        </is>
      </c>
      <c r="G202" t="inlineStr">
        <is>
          <t xml:space="preserve"> - Family Finca</t>
        </is>
      </c>
      <c r="H202">
        <f>HYPERLINK("https://booking.roadsurfer.com/es/rally/pick?pickup_date=2026-04-14&amp;return_date=2026-04-21&amp;currency=EUR&amp;startStation=59&amp;endStation=51", "Clic para verlo en la web de RoadSurfer")</f>
        <v/>
      </c>
    </row>
    <row r="203">
      <c r="A203" t="inlineStr">
        <is>
          <t>Suecia</t>
        </is>
      </c>
      <c r="B203" t="inlineStr">
        <is>
          <t>Estocolmo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2026-03-07</t>
        </is>
      </c>
      <c r="F203" t="inlineStr">
        <is>
          <t>2026-03-14</t>
        </is>
      </c>
      <c r="G203" t="inlineStr">
        <is>
          <t xml:space="preserve"> - COUPLE COTTAGE</t>
        </is>
      </c>
      <c r="H203">
        <f>HYPERLINK("https://booking.roadsurfer.com/es/rally/pick?pickup_date=2026-03-07&amp;return_date=2026-03-14&amp;currency=EUR&amp;startStation=59&amp;endStation=55", "Clic para verlo en la web de RoadSurfer")</f>
        <v/>
      </c>
    </row>
    <row r="204">
      <c r="A204" t="inlineStr">
        <is>
          <t>Suecia</t>
        </is>
      </c>
      <c r="B204" t="inlineStr">
        <is>
          <t>Estocolmo</t>
        </is>
      </c>
      <c r="C204" t="inlineStr">
        <is>
          <t>Alemania</t>
        </is>
      </c>
      <c r="D204" t="inlineStr">
        <is>
          <t>Fráncfort</t>
        </is>
      </c>
      <c r="E204" t="inlineStr">
        <is>
          <t>2026-03-09</t>
        </is>
      </c>
      <c r="F204" t="inlineStr">
        <is>
          <t>2026-03-16</t>
        </is>
      </c>
      <c r="G204" t="inlineStr">
        <is>
          <t xml:space="preserve"> - Sunrise Suite</t>
        </is>
      </c>
      <c r="H204">
        <f>HYPERLINK("https://booking.roadsurfer.com/es/rally/pick?pickup_date=2026-03-09&amp;return_date=2026-03-16&amp;currency=EUR&amp;startStation=59&amp;endStation=2", "Clic para verlo en la web de RoadSurfer")</f>
        <v/>
      </c>
    </row>
    <row r="205">
      <c r="A205" t="inlineStr">
        <is>
          <t>Francia</t>
        </is>
      </c>
      <c r="B205" t="inlineStr">
        <is>
          <t>Estrasburgo</t>
        </is>
      </c>
      <c r="C205" t="inlineStr">
        <is>
          <t>Alemania</t>
        </is>
      </c>
      <c r="D205" t="inlineStr">
        <is>
          <t>Fráncfort</t>
        </is>
      </c>
      <c r="E205" t="inlineStr">
        <is>
          <t>2026-03-09</t>
        </is>
      </c>
      <c r="F205" t="inlineStr">
        <is>
          <t>2026-03-16</t>
        </is>
      </c>
      <c r="G205" t="inlineStr">
        <is>
          <t xml:space="preserve"> - Beach Hostel</t>
        </is>
      </c>
      <c r="H205">
        <f>HYPERLINK("https://booking.roadsurfer.com/es/rally/pick?pickup_date=2026-03-09&amp;return_date=2026-03-16&amp;currency=EUR&amp;startStation=49&amp;endStation=2", "Clic para verlo en la web de RoadSurfer")</f>
        <v/>
      </c>
    </row>
    <row r="206">
      <c r="A206" t="inlineStr">
        <is>
          <t>Alemania</t>
        </is>
      </c>
      <c r="B206" t="inlineStr">
        <is>
          <t>Stuttgart</t>
        </is>
      </c>
      <c r="C206" t="inlineStr">
        <is>
          <t>Francia</t>
        </is>
      </c>
      <c r="D206" t="inlineStr">
        <is>
          <t>Toulouse</t>
        </is>
      </c>
      <c r="E206" t="inlineStr">
        <is>
          <t>2026-03-06</t>
        </is>
      </c>
      <c r="F206" t="inlineStr">
        <is>
          <t>2026-03-13</t>
        </is>
      </c>
      <c r="G206" t="inlineStr">
        <is>
          <t xml:space="preserve"> - Travel Home</t>
        </is>
      </c>
      <c r="H206">
        <f>HYPERLINK("https://booking.roadsurfer.com/es/rally/pick?pickup_date=2026-03-06&amp;return_date=2026-03-13&amp;currency=EUR&amp;startStation=5&amp;endStation=30", "Clic para verlo en la web de RoadSurfer")</f>
        <v/>
      </c>
    </row>
    <row r="207">
      <c r="A207" t="inlineStr">
        <is>
          <t>Alemania</t>
        </is>
      </c>
      <c r="B207" t="inlineStr">
        <is>
          <t>Stuttgart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2026-03-06</t>
        </is>
      </c>
      <c r="F207" t="inlineStr">
        <is>
          <t>2026-03-13</t>
        </is>
      </c>
      <c r="G207" t="inlineStr">
        <is>
          <t xml:space="preserve"> - Family Finca</t>
        </is>
      </c>
      <c r="H207">
        <f>HYPERLINK("https://booking.roadsurfer.com/es/rally/pick?pickup_date=2026-03-06&amp;return_date=2026-03-13&amp;currency=EUR&amp;startStation=5&amp;endStation=13", "Clic para verlo en la web de RoadSurfer")</f>
        <v/>
      </c>
    </row>
    <row r="208">
      <c r="A208" t="inlineStr">
        <is>
          <t>Francia</t>
        </is>
      </c>
      <c r="B208" t="inlineStr">
        <is>
          <t>Toulouse</t>
        </is>
      </c>
      <c r="C208" t="inlineStr">
        <is>
          <t>Alemania</t>
        </is>
      </c>
      <c r="D208" t="inlineStr">
        <is>
          <t>Friburgo-Basilea (Alemania)</t>
        </is>
      </c>
      <c r="E208" t="inlineStr">
        <is>
          <t>2026-05-05</t>
        </is>
      </c>
      <c r="F208" t="inlineStr">
        <is>
          <t>2026-05-12</t>
        </is>
      </c>
      <c r="G208" t="inlineStr">
        <is>
          <t xml:space="preserve"> - Family Finca</t>
        </is>
      </c>
      <c r="H208">
        <f>HYPERLINK("https://booking.roadsurfer.com/es/rally/pick?pickup_date=2026-05-05&amp;return_date=2026-05-12&amp;currency=EUR&amp;startStation=30&amp;endStation=9", "Clic para verlo en la web de RoadSurfer")</f>
        <v/>
      </c>
    </row>
    <row r="209">
      <c r="A209" t="inlineStr">
        <is>
          <t>Francia</t>
        </is>
      </c>
      <c r="B209" t="inlineStr">
        <is>
          <t>Toulouse</t>
        </is>
      </c>
      <c r="C209" t="inlineStr">
        <is>
          <t>Alemania</t>
        </is>
      </c>
      <c r="D209" t="inlineStr">
        <is>
          <t>Friburgo-Basilea (Alemania)</t>
        </is>
      </c>
      <c r="E209" t="inlineStr">
        <is>
          <t>2026-04-13</t>
        </is>
      </c>
      <c r="F209" t="inlineStr">
        <is>
          <t>2026-04-20</t>
        </is>
      </c>
      <c r="G209" t="inlineStr">
        <is>
          <t xml:space="preserve"> - Family Finca</t>
        </is>
      </c>
      <c r="H209">
        <f>HYPERLINK("https://booking.roadsurfer.com/es/rally/pick?pickup_date=2026-04-13&amp;return_date=2026-04-20&amp;currency=EUR&amp;startStation=30&amp;endStation=9", "Clic para verlo en la web de RoadSurfer")</f>
        <v/>
      </c>
    </row>
    <row r="210">
      <c r="A210" t="inlineStr">
        <is>
          <t>Francia</t>
        </is>
      </c>
      <c r="B210" t="inlineStr">
        <is>
          <t>Toulouse</t>
        </is>
      </c>
      <c r="C210" t="inlineStr">
        <is>
          <t>Alemania</t>
        </is>
      </c>
      <c r="D210" t="inlineStr">
        <is>
          <t>Erfurt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Camper Castle</t>
        </is>
      </c>
      <c r="H210">
        <f>HYPERLINK("https://booking.roadsurfer.com/es/rally/pick?pickup_date=2026-04-13&amp;return_date=2026-04-20&amp;currency=EUR&amp;startStation=30&amp;endStation=90", "Clic para verlo en la web de RoadSurfer")</f>
        <v/>
      </c>
    </row>
    <row r="211">
      <c r="A211" t="inlineStr">
        <is>
          <t>Francia</t>
        </is>
      </c>
      <c r="B211" t="inlineStr">
        <is>
          <t>Toulouse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2026-04-14</t>
        </is>
      </c>
      <c r="F211" t="inlineStr">
        <is>
          <t>2026-04-21</t>
        </is>
      </c>
      <c r="G211" t="inlineStr">
        <is>
          <t xml:space="preserve"> - Road House</t>
        </is>
      </c>
      <c r="H211">
        <f>HYPERLINK("https://booking.roadsurfer.com/es/rally/pick?pickup_date=2026-04-14&amp;return_date=2026-04-21&amp;currency=EUR&amp;startStation=30&amp;endStation=90", "Clic para verlo en la web de RoadSurfer")</f>
        <v/>
      </c>
    </row>
    <row r="212">
      <c r="A212" t="inlineStr">
        <is>
          <t>Alemania</t>
        </is>
      </c>
      <c r="B212" t="inlineStr">
        <is>
          <t>Tréveris</t>
        </is>
      </c>
      <c r="C212" t="inlineStr">
        <is>
          <t>Alemania</t>
        </is>
      </c>
      <c r="D212" t="inlineStr">
        <is>
          <t>Hamburgo Aeropuerto</t>
        </is>
      </c>
      <c r="E212" t="inlineStr">
        <is>
          <t>2026-03-06</t>
        </is>
      </c>
      <c r="F212" t="inlineStr">
        <is>
          <t>2026-03-13</t>
        </is>
      </c>
      <c r="G212" t="inlineStr">
        <is>
          <t xml:space="preserve"> - Family Finca</t>
        </is>
      </c>
      <c r="H212">
        <f>HYPERLINK("https://booking.roadsurfer.com/es/rally/pick?pickup_date=2026-03-06&amp;return_date=2026-03-13&amp;currency=EUR&amp;startStation=28&amp;endStation=65",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Núremberg</t>
        </is>
      </c>
      <c r="E213" t="inlineStr">
        <is>
          <t>2026-04-16</t>
        </is>
      </c>
      <c r="F213" t="inlineStr">
        <is>
          <t>2026-04-23</t>
        </is>
      </c>
      <c r="G213" t="inlineStr">
        <is>
          <t xml:space="preserve"> - Road House</t>
        </is>
      </c>
      <c r="H213">
        <f>HYPERLINK("https://booking.roadsurfer.com/es/rally/pick?pickup_date=2026-04-16&amp;return_date=2026-04-23&amp;currency=EUR&amp;startStation=58&amp;endStation=11", "Clic para verlo en la web de RoadSurfer")</f>
        <v/>
      </c>
    </row>
    <row r="214">
      <c r="A214" t="inlineStr">
        <is>
          <t>Italia</t>
        </is>
      </c>
      <c r="B214" t="inlineStr">
        <is>
          <t>Turín</t>
        </is>
      </c>
      <c r="C214" t="inlineStr">
        <is>
          <t>Alemania</t>
        </is>
      </c>
      <c r="D214" t="inlineStr">
        <is>
          <t>Dresde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Family Finca</t>
        </is>
      </c>
      <c r="H214">
        <f>HYPERLINK("https://booking.roadsurfer.com/es/rally/pick?pickup_date=2026-04-20&amp;return_date=2026-04-27&amp;currency=EUR&amp;startStation=58&amp;endStation=56", "Clic para verlo en la web de RoadSurfer")</f>
        <v/>
      </c>
    </row>
    <row r="215">
      <c r="A215" t="inlineStr">
        <is>
          <t>España</t>
        </is>
      </c>
      <c r="B215" t="inlineStr">
        <is>
          <t>Valencia</t>
        </is>
      </c>
      <c r="C215" t="inlineStr">
        <is>
          <t>Alemania</t>
        </is>
      </c>
      <c r="D215" t="inlineStr">
        <is>
          <t>Maguncia</t>
        </is>
      </c>
      <c r="E215" t="inlineStr">
        <is>
          <t>2026-03-09</t>
        </is>
      </c>
      <c r="F215" t="inlineStr">
        <is>
          <t>2026-03-16</t>
        </is>
      </c>
      <c r="G215" t="inlineStr">
        <is>
          <t xml:space="preserve"> - TRAVEL HOME</t>
        </is>
      </c>
      <c r="H215">
        <f>HYPERLINK("https://booking.roadsurfer.com/es/rally/pick?pickup_date=2026-03-09&amp;return_date=2026-03-16&amp;currency=EUR&amp;startStation=38&amp;endStation=54", "Clic para verlo en la web de RoadSurfer")</f>
        <v/>
      </c>
    </row>
    <row r="216">
      <c r="A216" t="inlineStr">
        <is>
          <t>España</t>
        </is>
      </c>
      <c r="B216" t="inlineStr">
        <is>
          <t>Valencia</t>
        </is>
      </c>
      <c r="C216" t="inlineStr">
        <is>
          <t>Alemania</t>
        </is>
      </c>
      <c r="D216" t="inlineStr">
        <is>
          <t>Leipzig</t>
        </is>
      </c>
      <c r="E216" t="inlineStr">
        <is>
          <t>2026-04-15</t>
        </is>
      </c>
      <c r="F216" t="inlineStr">
        <is>
          <t>2026-04-22</t>
        </is>
      </c>
      <c r="G216" t="inlineStr">
        <is>
          <t xml:space="preserve"> - Family Finca</t>
        </is>
      </c>
      <c r="H216">
        <f>HYPERLINK("https://booking.roadsurfer.com/es/rally/pick?pickup_date=2026-04-15&amp;return_date=2026-04-22&amp;currency=EUR&amp;startStation=38&amp;endStation=8", "Clic para verlo en la web de RoadSurfer")</f>
        <v/>
      </c>
    </row>
    <row r="217">
      <c r="A217" t="inlineStr">
        <is>
          <t>España</t>
        </is>
      </c>
      <c r="B217" t="inlineStr">
        <is>
          <t>Valencia</t>
        </is>
      </c>
      <c r="C217" t="inlineStr">
        <is>
          <t>Alemania</t>
        </is>
      </c>
      <c r="D217" t="inlineStr">
        <is>
          <t>Karlsruhe</t>
        </is>
      </c>
      <c r="E217" t="inlineStr">
        <is>
          <t>2026-03-23</t>
        </is>
      </c>
      <c r="F217" t="inlineStr">
        <is>
          <t>2026-03-30</t>
        </is>
      </c>
      <c r="G217" t="inlineStr">
        <is>
          <t xml:space="preserve"> - Couple Cottage</t>
        </is>
      </c>
      <c r="H217">
        <f>HYPERLINK("https://booking.roadsurfer.com/es/rally/pick?pickup_date=2026-03-23&amp;return_date=2026-03-30&amp;currency=EUR&amp;startStation=38&amp;endStation=110", "Clic para verlo en la web de RoadSurfer")</f>
        <v/>
      </c>
    </row>
    <row r="218">
      <c r="A218" t="inlineStr">
        <is>
          <t>España</t>
        </is>
      </c>
      <c r="B218" t="inlineStr">
        <is>
          <t>Valencia</t>
        </is>
      </c>
      <c r="C218" t="inlineStr">
        <is>
          <t>Alemania</t>
        </is>
      </c>
      <c r="D218" t="inlineStr">
        <is>
          <t>Núremberg</t>
        </is>
      </c>
      <c r="E218" t="inlineStr">
        <is>
          <t>2026-03-09</t>
        </is>
      </c>
      <c r="F218" t="inlineStr">
        <is>
          <t>2026-03-16</t>
        </is>
      </c>
      <c r="G218" t="inlineStr">
        <is>
          <t xml:space="preserve"> - Road House</t>
        </is>
      </c>
      <c r="H218">
        <f>HYPERLINK("https://booking.roadsurfer.com/es/rally/pick?pickup_date=2026-03-09&amp;return_date=2026-03-16&amp;currency=EUR&amp;startStation=38&amp;endStation=11", "Clic para verlo en la web de RoadSurfer")</f>
        <v/>
      </c>
    </row>
    <row r="219">
      <c r="A219" t="inlineStr">
        <is>
          <t>Italia</t>
        </is>
      </c>
      <c r="B219" t="inlineStr">
        <is>
          <t>Venecia</t>
        </is>
      </c>
      <c r="C219" t="inlineStr">
        <is>
          <t>Alemania</t>
        </is>
      </c>
      <c r="D219" t="inlineStr">
        <is>
          <t>Múnich</t>
        </is>
      </c>
      <c r="E219" t="inlineStr">
        <is>
          <t>2026-03-09</t>
        </is>
      </c>
      <c r="F219" t="inlineStr">
        <is>
          <t>2026-03-16</t>
        </is>
      </c>
      <c r="G219" t="inlineStr">
        <is>
          <t xml:space="preserve"> - Family Finca</t>
        </is>
      </c>
      <c r="H219">
        <f>HYPERLINK("https://booking.roadsurfer.com/es/rally/pick?pickup_date=2026-03-09&amp;return_date=2026-03-16&amp;currency=EUR&amp;startStation=78&amp;endStation=1", "Clic para verlo en la web de RoadSurfer")</f>
        <v/>
      </c>
    </row>
    <row r="220">
      <c r="A220" t="inlineStr">
        <is>
          <t>Italia</t>
        </is>
      </c>
      <c r="B220" t="inlineStr">
        <is>
          <t>Venecia</t>
        </is>
      </c>
      <c r="C220" t="inlineStr">
        <is>
          <t>Alemania</t>
        </is>
      </c>
      <c r="D220" t="inlineStr">
        <is>
          <t>Leipzig</t>
        </is>
      </c>
      <c r="E220" t="inlineStr">
        <is>
          <t>2026-04-14</t>
        </is>
      </c>
      <c r="F220" t="inlineStr">
        <is>
          <t>2026-04-21</t>
        </is>
      </c>
      <c r="G220" t="inlineStr">
        <is>
          <t xml:space="preserve"> - Family Finca</t>
        </is>
      </c>
      <c r="H220">
        <f>HYPERLINK("https://booking.roadsurfer.com/es/rally/pick?pickup_date=2026-04-14&amp;return_date=2026-04-21&amp;currency=EUR&amp;startStation=78&amp;endStation=8", "Clic para verlo en la web de RoadSurfer")</f>
        <v/>
      </c>
    </row>
    <row r="221">
      <c r="A221" t="inlineStr">
        <is>
          <t>Italia</t>
        </is>
      </c>
      <c r="B221" t="inlineStr">
        <is>
          <t>Venecia</t>
        </is>
      </c>
      <c r="C221" t="inlineStr">
        <is>
          <t>Alemania</t>
        </is>
      </c>
      <c r="D221" t="inlineStr">
        <is>
          <t>Leipzig</t>
        </is>
      </c>
      <c r="E221" t="inlineStr">
        <is>
          <t>2026-04-15</t>
        </is>
      </c>
      <c r="F221" t="inlineStr">
        <is>
          <t>2026-04-22</t>
        </is>
      </c>
      <c r="G221" t="inlineStr">
        <is>
          <t xml:space="preserve"> - Family Finca</t>
        </is>
      </c>
      <c r="H221">
        <f>HYPERLINK("https://booking.roadsurfer.com/es/rally/pick?pickup_date=2026-04-15&amp;return_date=2026-04-22&amp;currency=EUR&amp;startStation=78&amp;endStation=8", "Clic para verlo en la web de RoadSurfer")</f>
        <v/>
      </c>
    </row>
    <row r="222">
      <c r="A222" t="inlineStr">
        <is>
          <t>Italia</t>
        </is>
      </c>
      <c r="B222" t="inlineStr">
        <is>
          <t>Venecia</t>
        </is>
      </c>
      <c r="C222" t="inlineStr">
        <is>
          <t>Austria</t>
        </is>
      </c>
      <c r="D222" t="inlineStr">
        <is>
          <t>Linz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BEACH HOSTEL</t>
        </is>
      </c>
      <c r="H222">
        <f>HYPERLINK("https://booking.roadsurfer.com/es/rally/pick?pickup_date=2026-03-09&amp;return_date=2026-03-16&amp;currency=EUR&amp;startStation=78&amp;endStation=116", "Clic para verlo en la web de RoadSurfer")</f>
        <v/>
      </c>
    </row>
    <row r="223">
      <c r="A223" t="inlineStr">
        <is>
          <t>Italia</t>
        </is>
      </c>
      <c r="B223" t="inlineStr">
        <is>
          <t>Venecia</t>
        </is>
      </c>
      <c r="C223" t="inlineStr">
        <is>
          <t>Alemania</t>
        </is>
      </c>
      <c r="D223" t="inlineStr">
        <is>
          <t>Stuttgart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Road House</t>
        </is>
      </c>
      <c r="H223">
        <f>HYPERLINK("https://booking.roadsurfer.com/es/rally/pick?pickup_date=2026-05-11&amp;return_date=2026-05-18&amp;currency=EUR&amp;startStation=78&amp;endStation=5", "Clic para verlo en la web de RoadSurfer")</f>
        <v/>
      </c>
    </row>
    <row r="224">
      <c r="A224" t="inlineStr">
        <is>
          <t>Italia</t>
        </is>
      </c>
      <c r="B224" t="inlineStr">
        <is>
          <t>Venecia</t>
        </is>
      </c>
      <c r="C224" t="inlineStr">
        <is>
          <t>Alemania</t>
        </is>
      </c>
      <c r="D224" t="inlineStr">
        <is>
          <t>Stuttgart</t>
        </is>
      </c>
      <c r="E224" t="inlineStr">
        <is>
          <t>2026-04-14</t>
        </is>
      </c>
      <c r="F224" t="inlineStr">
        <is>
          <t>2026-04-21</t>
        </is>
      </c>
      <c r="G224" t="inlineStr">
        <is>
          <t xml:space="preserve"> - Road House</t>
        </is>
      </c>
      <c r="H224">
        <f>HYPERLINK("https://booking.roadsurfer.com/es/rally/pick?pickup_date=2026-04-14&amp;return_date=2026-04-21&amp;currency=EUR&amp;startStation=78&amp;endStation=5", "Clic para verlo en la web de RoadSurfer")</f>
        <v/>
      </c>
    </row>
    <row r="225">
      <c r="A225" t="inlineStr">
        <is>
          <t>Italia</t>
        </is>
      </c>
      <c r="B225" t="inlineStr">
        <is>
          <t>Venecia</t>
        </is>
      </c>
      <c r="C225" t="inlineStr">
        <is>
          <t>Alemania</t>
        </is>
      </c>
      <c r="D225" t="inlineStr">
        <is>
          <t>Duisburgo</t>
        </is>
      </c>
      <c r="E225" t="inlineStr">
        <is>
          <t>2026-04-13</t>
        </is>
      </c>
      <c r="F225" t="inlineStr">
        <is>
          <t>2026-04-20</t>
        </is>
      </c>
      <c r="G225" t="inlineStr">
        <is>
          <t xml:space="preserve"> - Surfer Suite</t>
        </is>
      </c>
      <c r="H225">
        <f>HYPERLINK("https://booking.roadsurfer.com/es/rally/pick?pickup_date=2026-04-13&amp;return_date=2026-04-20&amp;currency=EUR&amp;startStation=78&amp;endStation=113", "Clic para verlo en la web de RoadSurfer")</f>
        <v/>
      </c>
    </row>
    <row r="226">
      <c r="A226" t="inlineStr">
        <is>
          <t>Italia</t>
        </is>
      </c>
      <c r="B226" t="inlineStr">
        <is>
          <t>Venecia</t>
        </is>
      </c>
      <c r="C226" t="inlineStr">
        <is>
          <t>Alemania</t>
        </is>
      </c>
      <c r="D226" t="inlineStr">
        <is>
          <t>Friburgo-Basilea (Alemania)</t>
        </is>
      </c>
      <c r="E226" t="inlineStr">
        <is>
          <t>2026-03-07</t>
        </is>
      </c>
      <c r="F226" t="inlineStr">
        <is>
          <t>2026-03-14</t>
        </is>
      </c>
      <c r="G226" t="inlineStr">
        <is>
          <t xml:space="preserve"> - Camper Castle</t>
        </is>
      </c>
      <c r="H226">
        <f>HYPERLINK("https://booking.roadsurfer.com/es/rally/pick?pickup_date=2026-03-07&amp;return_date=2026-03-14&amp;currency=EUR&amp;startStation=78&amp;endStation=9", "Clic para verlo en la web de RoadSurfer")</f>
        <v/>
      </c>
    </row>
    <row r="227">
      <c r="A227" t="inlineStr">
        <is>
          <t>Austria</t>
        </is>
      </c>
      <c r="B227" t="inlineStr">
        <is>
          <t>Viena</t>
        </is>
      </c>
      <c r="C227" t="inlineStr">
        <is>
          <t>Alemania</t>
        </is>
      </c>
      <c r="D227" t="inlineStr">
        <is>
          <t>Leipzig</t>
        </is>
      </c>
      <c r="E227" t="inlineStr">
        <is>
          <t>2026-04-14</t>
        </is>
      </c>
      <c r="F227" t="inlineStr">
        <is>
          <t>2026-04-21</t>
        </is>
      </c>
      <c r="G227" t="inlineStr">
        <is>
          <t xml:space="preserve"> - Cozy Cottage</t>
        </is>
      </c>
      <c r="H227">
        <f>HYPERLINK("https://booking.roadsurfer.com/es/rally/pick?pickup_date=2026-04-14&amp;return_date=2026-04-21&amp;currency=EUR&amp;startStation=36&amp;endStation=8", "Clic para verlo en la web de RoadSurfer")</f>
        <v/>
      </c>
    </row>
    <row r="228">
      <c r="A228" t="inlineStr">
        <is>
          <t>Austria</t>
        </is>
      </c>
      <c r="B228" t="inlineStr">
        <is>
          <t>Viena</t>
        </is>
      </c>
      <c r="C228" t="inlineStr">
        <is>
          <t>Alemania</t>
        </is>
      </c>
      <c r="D228" t="inlineStr">
        <is>
          <t>Berlín</t>
        </is>
      </c>
      <c r="E228" t="inlineStr">
        <is>
          <t>2026-03-07</t>
        </is>
      </c>
      <c r="F228" t="inlineStr">
        <is>
          <t>2026-03-14</t>
        </is>
      </c>
      <c r="G228" t="inlineStr">
        <is>
          <t xml:space="preserve"> - Couple Cottage</t>
        </is>
      </c>
      <c r="H228">
        <f>HYPERLINK("https://booking.roadsurfer.com/es/rally/pick?pickup_date=2026-03-07&amp;return_date=2026-03-14&amp;currency=EUR&amp;startStation=36&amp;endStation=6", "Clic para verlo en la web de RoadSurfer")</f>
        <v/>
      </c>
    </row>
    <row r="229">
      <c r="A229" t="inlineStr">
        <is>
          <t>Austria</t>
        </is>
      </c>
      <c r="B229" t="inlineStr">
        <is>
          <t>Viena Sur</t>
        </is>
      </c>
      <c r="C229" t="inlineStr">
        <is>
          <t>Alemania</t>
        </is>
      </c>
      <c r="D229" t="inlineStr">
        <is>
          <t>Leipzig</t>
        </is>
      </c>
      <c r="E229" t="inlineStr">
        <is>
          <t>2026-03-09</t>
        </is>
      </c>
      <c r="F229" t="inlineStr">
        <is>
          <t>2026-03-16</t>
        </is>
      </c>
      <c r="G229" t="inlineStr">
        <is>
          <t xml:space="preserve"> - Travel Home</t>
        </is>
      </c>
      <c r="H229">
        <f>HYPERLINK("https://booking.roadsurfer.com/es/rally/pick?pickup_date=2026-03-09&amp;return_date=2026-03-16&amp;currency=EUR&amp;startStation=45&amp;endStation=8", "Clic para verlo en la web de RoadSurfer")</f>
        <v/>
      </c>
    </row>
    <row r="230">
      <c r="A230" t="inlineStr">
        <is>
          <t>Austria</t>
        </is>
      </c>
      <c r="B230" t="inlineStr">
        <is>
          <t>Viena Sur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2026-04-13</t>
        </is>
      </c>
      <c r="F230" t="inlineStr">
        <is>
          <t>2026-04-20</t>
        </is>
      </c>
      <c r="G230" t="inlineStr">
        <is>
          <t xml:space="preserve"> - Family Finca</t>
        </is>
      </c>
      <c r="H230">
        <f>HYPERLINK("https://booking.roadsurfer.com/es/rally/pick?pickup_date=2026-04-13&amp;return_date=2026-04-20&amp;currency=EUR&amp;startStation=45&amp;endStation=8", "Clic para verlo en la web de RoadSurfer")</f>
        <v/>
      </c>
    </row>
    <row r="231">
      <c r="A231" t="inlineStr">
        <is>
          <t>Austria</t>
        </is>
      </c>
      <c r="B231" t="inlineStr">
        <is>
          <t>Viena Sur</t>
        </is>
      </c>
      <c r="C231" t="inlineStr">
        <is>
          <t>Alemania</t>
        </is>
      </c>
      <c r="D231" t="inlineStr">
        <is>
          <t>Leipzig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Family Finca</t>
        </is>
      </c>
      <c r="H231">
        <f>HYPERLINK("https://booking.roadsurfer.com/es/rally/pick?pickup_date=2026-04-14&amp;return_date=2026-04-21&amp;currency=EUR&amp;startStation=45&amp;endStation=8", "Clic para verlo en la web de RoadSurfer")</f>
        <v/>
      </c>
    </row>
    <row r="232">
      <c r="A232" t="inlineStr">
        <is>
          <t>Austria</t>
        </is>
      </c>
      <c r="B232" t="inlineStr">
        <is>
          <t>Viena Sur</t>
        </is>
      </c>
      <c r="C232" t="inlineStr">
        <is>
          <t>Alemania</t>
        </is>
      </c>
      <c r="D232" t="inlineStr">
        <is>
          <t>Constanza (Aach)</t>
        </is>
      </c>
      <c r="E232" t="inlineStr">
        <is>
          <t>2026-03-09</t>
        </is>
      </c>
      <c r="F232" t="inlineStr">
        <is>
          <t>2026-03-16</t>
        </is>
      </c>
      <c r="G232" t="inlineStr">
        <is>
          <t xml:space="preserve"> - Travel Home</t>
        </is>
      </c>
      <c r="H232">
        <f>HYPERLINK("https://booking.roadsurfer.com/es/rally/pick?pickup_date=2026-03-09&amp;return_date=2026-03-16&amp;currency=EUR&amp;startStation=45&amp;endStation=10", "Clic para verlo en la web de RoadSurfer")</f>
        <v/>
      </c>
    </row>
    <row r="233">
      <c r="A233" t="inlineStr">
        <is>
          <t>Austria</t>
        </is>
      </c>
      <c r="B233" t="inlineStr">
        <is>
          <t>Viena Sur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2026-04-13</t>
        </is>
      </c>
      <c r="F233" t="inlineStr">
        <is>
          <t>2026-04-20</t>
        </is>
      </c>
      <c r="G233" t="inlineStr">
        <is>
          <t xml:space="preserve"> - Family Finca</t>
        </is>
      </c>
      <c r="H233">
        <f>HYPERLINK("https://booking.roadsurfer.com/es/rally/pick?pickup_date=2026-04-13&amp;return_date=2026-04-20&amp;currency=EUR&amp;startStation=45&amp;endStation=90", "Clic para verlo en la web de RoadSurfer")</f>
        <v/>
      </c>
    </row>
    <row r="234">
      <c r="A234" t="inlineStr">
        <is>
          <t>Austria</t>
        </is>
      </c>
      <c r="B234" t="inlineStr">
        <is>
          <t>Viena Sur</t>
        </is>
      </c>
      <c r="C234" t="inlineStr">
        <is>
          <t>Alemania</t>
        </is>
      </c>
      <c r="D234" t="inlineStr">
        <is>
          <t>Núremberg</t>
        </is>
      </c>
      <c r="E234" t="inlineStr">
        <is>
          <t>2026-03-09</t>
        </is>
      </c>
      <c r="F234" t="inlineStr">
        <is>
          <t>2026-03-16</t>
        </is>
      </c>
      <c r="G234" t="inlineStr">
        <is>
          <t xml:space="preserve"> - Couple Cottage</t>
        </is>
      </c>
      <c r="H234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2026-03-02T20:37:45Z</dcterms:created>
  <dcterms:modified xsi:type="dcterms:W3CDTF">2026-03-02T20:37:45Z</dcterms:modified>
</cp:coreProperties>
</file>