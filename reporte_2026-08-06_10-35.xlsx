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Travel Home</t>
        </is>
      </c>
      <c r="H12">
        <f>HYPERLINK("https://booking.roadsurfer.com/es/rally/pick?pickup_date=2026-08-31&amp;return_date=2026-09-07&amp;currency=EUR&amp;startStation=47&amp;endStation=3",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España</t>
        </is>
      </c>
      <c r="D13" t="inlineStr">
        <is>
          <t>Valencia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HYPERLINK("https://booking.roadsurfer.com/es/rally/pick?pickup_date=2026-09-22&amp;return_date=2026-09-29&amp;currency=EUR&amp;startStation=47&amp;endStation=38",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HYPERLINK("https://booking.roadsurfer.com/es/rally/pick?pickup_date=2026-09-25&amp;return_date=2026-10-02&amp;currency=EUR&amp;startStation=47&amp;endStation=1",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Road House</t>
        </is>
      </c>
      <c r="H15">
        <f>HYPERLINK("https://booking.roadsurfer.com/es/rally/pick?pickup_date=2026-09-16&amp;return_date=2026-09-23&amp;currency=EUR&amp;startStation=17&amp;endStation=91",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Berlín-Schönefeld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Surfer Suite</t>
        </is>
      </c>
      <c r="H17">
        <f>HYPERLINK("https://booking.roadsurfer.com/es/rally/pick?pickup_date=2026-10-23&amp;return_date=2026-10-30&amp;currency=EUR&amp;startStation=17&amp;endStation=51",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HYPERLINK("https://booking.roadsurfer.com/es/rally/pick?pickup_date=2026-09-26&amp;return_date=2026-10-03&amp;currency=EUR&amp;startStation=17&amp;endStation=22",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HYPERLINK("https://booking.roadsurfer.com/es/rally/pick?pickup_date=2026-09-07&amp;return_date=2026-09-14&amp;currency=EUR&amp;startStation=94&amp;endStation=22",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Camper Castle - COUPLE COTTAGE</t>
        </is>
      </c>
      <c r="H20">
        <f>HYPERLINK("https://booking.roadsurfer.com/es/rally/pick?pickup_date=2026-09-25&amp;return_date=2026-10-02&amp;currency=EUR&amp;startStation=40&amp;endStation=22",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Surfer Suite</t>
        </is>
      </c>
      <c r="H22">
        <f>HYPERLINK("https://booking.roadsurfer.com/es/rally/pick?pickup_date=2026-09-15&amp;return_date=2026-09-22&amp;currency=EUR&amp;startStation=13&amp;endStation=3",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2026-09-07</t>
        </is>
      </c>
      <c r="F23" t="inlineStr">
        <is>
          <t>2026-09-14</t>
        </is>
      </c>
      <c r="G23" t="inlineStr">
        <is>
          <t xml:space="preserve"> - Sunrise Suite</t>
        </is>
      </c>
      <c r="H23">
        <f>HYPERLINK("https://booking.roadsurfer.com/es/rally/pick?pickup_date=2026-09-07&amp;return_date=2026-09-14&amp;currency=EUR&amp;startStation=13&amp;endStation=3",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Road House</t>
        </is>
      </c>
      <c r="H24">
        <f>HYPERLINK("https://booking.roadsurfer.com/es/rally/pick?pickup_date=2026-10-07&amp;return_date=2026-10-14&amp;currency=EUR&amp;startStation=13&amp;endStation=22",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2026-10-25</t>
        </is>
      </c>
      <c r="F25" t="inlineStr">
        <is>
          <t>2026-11-02</t>
        </is>
      </c>
      <c r="G25" t="inlineStr">
        <is>
          <t xml:space="preserve"> - No hay coche</t>
        </is>
      </c>
      <c r="H25">
        <f>HYPERLINK("https://booking.roadsurfer.com/es/rally/pick?pickup_date=2026-10-25&amp;return_date=2026-11-02&amp;currency=EUR&amp;startStation=13&amp;endStation=22",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2026-09-24</t>
        </is>
      </c>
      <c r="F26" t="inlineStr">
        <is>
          <t>2026-10-01</t>
        </is>
      </c>
      <c r="G26" t="inlineStr">
        <is>
          <t xml:space="preserve"> - Road House</t>
        </is>
      </c>
      <c r="H26">
        <f>HYPERLINK("https://booking.roadsurfer.com/es/rally/pick?pickup_date=2026-09-24&amp;return_date=2026-10-01&amp;currency=EUR&amp;startStation=13&amp;endStation=22",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SURFER SUITE</t>
        </is>
      </c>
      <c r="H28">
        <f>HYPERLINK("https://booking.roadsurfer.com/es/rally/pick?pickup_date=2026-09-16&amp;return_date=2026-09-23&amp;currency=EUR&amp;startStation=13&amp;endStation=22",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2026-09-22</t>
        </is>
      </c>
      <c r="F29" t="inlineStr">
        <is>
          <t>2026-09-29</t>
        </is>
      </c>
      <c r="G29" t="inlineStr">
        <is>
          <t xml:space="preserve"> - Road House</t>
        </is>
      </c>
      <c r="H29">
        <f>HYPERLINK("https://booking.roadsurfer.com/es/rally/pick?pickup_date=2026-09-22&amp;return_date=2026-09-29&amp;currency=EUR&amp;startStation=13&amp;endStation=22",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2026-09-15</t>
        </is>
      </c>
      <c r="F30" t="inlineStr">
        <is>
          <t>2026-09-22</t>
        </is>
      </c>
      <c r="G30" t="inlineStr">
        <is>
          <t xml:space="preserve"> - ROAD HOUSE</t>
        </is>
      </c>
      <c r="H30">
        <f>HYPERLINK("https://booking.roadsurfer.com/es/rally/pick?pickup_date=2026-09-15&amp;return_date=2026-09-22&amp;currency=EUR&amp;startStation=13&amp;endStation=22",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2026-09-14</t>
        </is>
      </c>
      <c r="F31" t="inlineStr">
        <is>
          <t>2026-09-21</t>
        </is>
      </c>
      <c r="G31" t="inlineStr">
        <is>
          <t xml:space="preserve"> - Surfer Suite</t>
        </is>
      </c>
      <c r="H31">
        <f>HYPERLINK("https://booking.roadsurfer.com/es/rally/pick?pickup_date=2026-09-14&amp;return_date=2026-09-21&amp;currency=EUR&amp;startStation=13&amp;endStation=22",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Surfer Suite</t>
        </is>
      </c>
      <c r="H32">
        <f>HYPERLINK("https://booking.roadsurfer.com/es/rally/pick?pickup_date=2026-09-11&amp;return_date=2026-09-18&amp;currency=EUR&amp;startStation=13&amp;endStation=22",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2026-09-07</t>
        </is>
      </c>
      <c r="F33" t="inlineStr">
        <is>
          <t>2026-09-14</t>
        </is>
      </c>
      <c r="G33" t="inlineStr">
        <is>
          <t xml:space="preserve"> - Surfer Suite</t>
        </is>
      </c>
      <c r="H33">
        <f>HYPERLINK("https://booking.roadsurfer.com/es/rally/pick?pickup_date=2026-09-07&amp;return_date=2026-09-14&amp;currency=EUR&amp;startStation=13&amp;endStation=22",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Road House</t>
        </is>
      </c>
      <c r="H34">
        <f>HYPERLINK("https://booking.roadsurfer.com/es/rally/pick?pickup_date=2026-09-25&amp;return_date=2026-10-02&amp;currency=EUR&amp;startStation=13&amp;endStation=22",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Friburgo-Basilea (Alemania)</t>
        </is>
      </c>
      <c r="E35" t="inlineStr">
        <is>
          <t>2026-10-08</t>
        </is>
      </c>
      <c r="F35" t="inlineStr">
        <is>
          <t>2026-10-15</t>
        </is>
      </c>
      <c r="G35" t="inlineStr">
        <is>
          <t xml:space="preserve"> - Beach Hostel</t>
        </is>
      </c>
      <c r="H35">
        <f>HYPERLINK("https://booking.roadsurfer.com/es/rally/pick?pickup_date=2026-10-08&amp;return_date=2026-10-15&amp;currency=EUR&amp;startStation=13&amp;endStation=9",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2026-10-01</t>
        </is>
      </c>
      <c r="F36" t="inlineStr">
        <is>
          <t>2026-10-08</t>
        </is>
      </c>
      <c r="G36" t="inlineStr">
        <is>
          <t xml:space="preserve"> - Surfer Suite</t>
        </is>
      </c>
      <c r="H36">
        <f>HYPERLINK("https://booking.roadsurfer.com/es/rally/pick?pickup_date=2026-10-01&amp;return_date=2026-10-08&amp;currency=EUR&amp;startStation=13&amp;endStation=2",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Lübeck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</t>
        </is>
      </c>
      <c r="H37">
        <f>HYPERLINK("https://booking.roadsurfer.com/es/rally/pick?pickup_date=2026-09-15&amp;return_date=2026-09-22&amp;currency=EUR&amp;startStation=13&amp;endStation=109",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2026-10-02</t>
        </is>
      </c>
      <c r="F38" t="inlineStr">
        <is>
          <t>2026-10-09</t>
        </is>
      </c>
      <c r="G38" t="inlineStr">
        <is>
          <t xml:space="preserve"> - Beach Hostel</t>
        </is>
      </c>
      <c r="H38">
        <f>HYPERLINK("https://booking.roadsurfer.com/es/rally/pick?pickup_date=2026-10-02&amp;return_date=2026-10-09&amp;currency=EUR&amp;startStation=13&amp;endStation=10",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Alemania</t>
        </is>
      </c>
      <c r="D39" t="inlineStr">
        <is>
          <t>Berlín</t>
        </is>
      </c>
      <c r="E39" t="inlineStr">
        <is>
          <t>2026-09-18</t>
        </is>
      </c>
      <c r="F39" t="inlineStr">
        <is>
          <t>2026-09-25</t>
        </is>
      </c>
      <c r="G39" t="inlineStr">
        <is>
          <t xml:space="preserve"> - Surfer Suite</t>
        </is>
      </c>
      <c r="H39">
        <f>HYPERLINK("https://booking.roadsurfer.com/es/rally/pick?pickup_date=2026-09-18&amp;return_date=2026-09-25&amp;currency=EUR&amp;startStation=42&amp;endStation=6",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2026-09-03</t>
        </is>
      </c>
      <c r="F40" t="inlineStr">
        <is>
          <t>2026-09-10</t>
        </is>
      </c>
      <c r="G40" t="inlineStr">
        <is>
          <t xml:space="preserve"> - Surfer Suite</t>
        </is>
      </c>
      <c r="H40">
        <f>HYPERLINK("https://booking.roadsurfer.com/es/rally/pick?pickup_date=2026-09-03&amp;return_date=2026-09-10&amp;currency=EUR&amp;startStation=42&amp;endStation=8",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No hay coche</t>
        </is>
      </c>
      <c r="H41">
        <f>HYPERLINK("https://booking.roadsurfer.com/es/rally/pick?pickup_date=2026-09-25&amp;return_date=2026-10-02&amp;currency=EUR&amp;startStation=42&amp;endStation=115",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Road House</t>
        </is>
      </c>
      <c r="H42">
        <f>HYPERLINK("https://booking.roadsurfer.com/es/rally/pick?pickup_date=2026-09-25&amp;return_date=2026-10-02&amp;currency=EUR&amp;startStation=42&amp;endStation=38", "Clic para verlo en la web de RoadSurfer")</f>
        <v/>
      </c>
    </row>
    <row r="43">
      <c r="A43" t="inlineStr">
        <is>
          <t>Italia</t>
        </is>
      </c>
      <c r="B43" t="inlineStr">
        <is>
          <t>Florencia</t>
        </is>
      </c>
      <c r="C43" t="inlineStr">
        <is>
          <t>Alemania</t>
        </is>
      </c>
      <c r="D43" t="inlineStr">
        <is>
          <t>Duisburgo</t>
        </is>
      </c>
      <c r="E43" t="inlineStr">
        <is>
          <t>2026-10-02</t>
        </is>
      </c>
      <c r="F43" t="inlineStr">
        <is>
          <t>2026-10-09</t>
        </is>
      </c>
      <c r="G43" t="inlineStr">
        <is>
          <t xml:space="preserve"> - Surfer Suite</t>
        </is>
      </c>
      <c r="H43">
        <f>HYPERLINK("https://booking.roadsurfer.com/es/rally/pick?pickup_date=2026-10-02&amp;return_date=2026-10-09&amp;currency=EUR&amp;startStation=80&amp;endStation=113",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2026-10-03</t>
        </is>
      </c>
      <c r="F44" t="inlineStr">
        <is>
          <t>2026-10-10</t>
        </is>
      </c>
      <c r="G44" t="inlineStr">
        <is>
          <t xml:space="preserve"> - Travel Home</t>
        </is>
      </c>
      <c r="H44">
        <f>HYPERLINK("https://booking.roadsurfer.com/es/rally/pick?pickup_date=2026-10-03&amp;return_date=2026-10-10&amp;currency=EUR&amp;startStation=29&amp;endStation=8",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2026-09-23</t>
        </is>
      </c>
      <c r="F45" t="inlineStr">
        <is>
          <t>2026-09-30</t>
        </is>
      </c>
      <c r="G45" t="inlineStr">
        <is>
          <t xml:space="preserve"> - Road House</t>
        </is>
      </c>
      <c r="H45">
        <f>HYPERLINK("https://booking.roadsurfer.com/es/rally/pick?pickup_date=2026-09-23&amp;return_date=2026-09-30&amp;currency=EUR&amp;startStation=29&amp;endStation=90",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Surfer Suite</t>
        </is>
      </c>
      <c r="H46">
        <f>HYPERLINK("https://booking.roadsurfer.com/es/rally/pick?pickup_date=2026-09-11&amp;return_date=2026-09-18&amp;currency=EUR&amp;startStation=29&amp;endStation=6",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Family Finca</t>
        </is>
      </c>
      <c r="H47">
        <f>HYPERLINK("https://booking.roadsurfer.com/es/rally/pick?pickup_date=2026-10-10&amp;return_date=2026-10-17&amp;currency=EUR&amp;startStation=29&amp;endStation=3",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HYPERLINK("https://booking.roadsurfer.com/es/rally/pick?pickup_date=2026-09-26&amp;return_date=2026-10-03&amp;currency=EUR&amp;startStation=29&amp;endStation=22",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Road House</t>
        </is>
      </c>
      <c r="H49">
        <f>HYPERLINK("https://booking.roadsurfer.com/es/rally/pick?pickup_date=2026-09-14&amp;return_date=2026-09-21&amp;currency=EUR&amp;startStation=29&amp;endStation=22", "Clic para verlo en la web de RoadSurfer")</f>
        <v/>
      </c>
    </row>
    <row r="50">
      <c r="A50" t="inlineStr">
        <is>
          <t>Austria</t>
        </is>
      </c>
      <c r="B50" t="inlineStr">
        <is>
          <t>Graz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No hay coche</t>
        </is>
      </c>
      <c r="H50">
        <f>HYPERLINK("https://booking.roadsurfer.com/es/rally/pick?pickup_date=2026-09-10&amp;return_date=2026-09-17&amp;currency=EUR&amp;startStation=37&amp;endStation=22", "Clic para verlo en la web de RoadSurfer")</f>
        <v/>
      </c>
    </row>
    <row r="51">
      <c r="A51" t="inlineStr">
        <is>
          <t>Austria</t>
        </is>
      </c>
      <c r="B51" t="inlineStr">
        <is>
          <t>Innsbruck-Wiesing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2026-09-19</t>
        </is>
      </c>
      <c r="F51" t="inlineStr">
        <is>
          <t>2026-09-19</t>
        </is>
      </c>
      <c r="G51" t="inlineStr"/>
      <c r="H51">
        <f>HYPERLINK("https://booking.roadsurfer.com/es/rally/pick?pickup_date=2026-09-19&amp;return_date=2026-09-19&amp;currency=EUR&amp;startStation=46&amp;endStation=17", "Clic para verlo en la web de RoadSurfer")</f>
        <v/>
      </c>
    </row>
    <row r="52">
      <c r="A52" t="inlineStr">
        <is>
          <t>Austria</t>
        </is>
      </c>
      <c r="B52" t="inlineStr">
        <is>
          <t>Innsbruck-Wiesing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2026-09-01</t>
        </is>
      </c>
      <c r="F52" t="inlineStr">
        <is>
          <t>2026-09-08</t>
        </is>
      </c>
      <c r="G52" t="inlineStr">
        <is>
          <t xml:space="preserve"> - No hay coche</t>
        </is>
      </c>
      <c r="H52">
        <f>HYPERLINK("https://booking.roadsurfer.com/es/rally/pick?pickup_date=2026-09-01&amp;return_date=2026-09-08&amp;currency=EUR&amp;startStation=46&amp;endStation=17",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2026-10-10</t>
        </is>
      </c>
      <c r="F53" t="inlineStr">
        <is>
          <t>2026-10-17</t>
        </is>
      </c>
      <c r="G53" t="inlineStr">
        <is>
          <t xml:space="preserve"> - No hay coche</t>
        </is>
      </c>
      <c r="H53">
        <f>HYPERLINK("https://booking.roadsurfer.com/es/rally/pick?pickup_date=2026-10-10&amp;return_date=2026-10-17&amp;currency=EUR&amp;startStation=87&amp;endStation=22",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Road House</t>
        </is>
      </c>
      <c r="H54">
        <f>HYPERLINK("https://booking.roadsurfer.com/es/rally/pick?pickup_date=2026-09-15&amp;return_date=2026-09-22&amp;currency=EUR&amp;startStation=87&amp;endStation=22",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Cozy Cottage</t>
        </is>
      </c>
      <c r="H55">
        <f>HYPERLINK("https://booking.roadsurfer.com/es/rally/pick?pickup_date=2026-09-16&amp;return_date=2026-09-23&amp;currency=EUR&amp;startStation=87&amp;endStation=22",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2026-10-18</t>
        </is>
      </c>
      <c r="F56" t="inlineStr">
        <is>
          <t>2026-10-25</t>
        </is>
      </c>
      <c r="G56" t="inlineStr">
        <is>
          <t xml:space="preserve"> - No hay coche</t>
        </is>
      </c>
      <c r="H56">
        <f>HYPERLINK("https://booking.roadsurfer.com/es/rally/pick?pickup_date=2026-10-18&amp;return_date=2026-10-25&amp;currency=EUR&amp;startStation=87&amp;endStation=7",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2026-09-04</t>
        </is>
      </c>
      <c r="F58" t="inlineStr">
        <is>
          <t>2026-09-11</t>
        </is>
      </c>
      <c r="G58" t="inlineStr">
        <is>
          <t xml:space="preserve"> - Road House</t>
        </is>
      </c>
      <c r="H58">
        <f>HYPERLINK("https://booking.roadsurfer.com/es/rally/pick?pickup_date=2026-09-04&amp;return_date=2026-09-11&amp;currency=EUR&amp;startStation=87&amp;endStation=7",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HYPERLINK("https://booking.roadsurfer.com/es/rally/pick?pickup_date=2026-09-14&amp;return_date=2026-09-21&amp;currency=EUR&amp;startStation=87&amp;endStation=8",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2026-09-02</t>
        </is>
      </c>
      <c r="F60" t="inlineStr">
        <is>
          <t>2026-09-09</t>
        </is>
      </c>
      <c r="G60" t="inlineStr">
        <is>
          <t xml:space="preserve"> - FAMILY FINCA</t>
        </is>
      </c>
      <c r="H60">
        <f>HYPERLINK("https://booking.roadsurfer.com/es/rally/pick?pickup_date=2026-09-02&amp;return_date=2026-09-09&amp;currency=EUR&amp;startStation=87&amp;endStation=6",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2026-09-17</t>
        </is>
      </c>
      <c r="F61" t="inlineStr">
        <is>
          <t>2026-09-24</t>
        </is>
      </c>
      <c r="G61" t="inlineStr">
        <is>
          <t xml:space="preserve"> - Travel Home</t>
        </is>
      </c>
      <c r="H61">
        <f>HYPERLINK("https://booking.roadsurfer.com/es/rally/pick?pickup_date=2026-09-17&amp;return_date=2026-09-24&amp;currency=EUR&amp;startStation=15&amp;endStation=55",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Camper Cabin Deluxe</t>
        </is>
      </c>
      <c r="H62">
        <f>HYPERLINK("https://booking.roadsurfer.com/es/rally/pick?pickup_date=2026-09-30&amp;return_date=2026-10-07&amp;currency=EUR&amp;startStation=15&amp;endStation=6",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Couple Cottage</t>
        </is>
      </c>
      <c r="H63">
        <f>HYPERLINK("https://booking.roadsurfer.com/es/rally/pick?pickup_date=2026-10-12&amp;return_date=2026-10-19&amp;currency=EUR&amp;startStation=15&amp;endStation=22",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2026-09-10</t>
        </is>
      </c>
      <c r="F64" t="inlineStr">
        <is>
          <t>2026-09-17</t>
        </is>
      </c>
      <c r="G64" t="inlineStr">
        <is>
          <t xml:space="preserve"> - Surfer Suite</t>
        </is>
      </c>
      <c r="H64">
        <f>HYPERLINK("https://booking.roadsurfer.com/es/rally/pick?pickup_date=2026-09-10&amp;return_date=2026-09-17&amp;currency=EUR&amp;startStation=15&amp;endStation=22",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HYPERLINK("https://booking.roadsurfer.com/es/rally/pick?pickup_date=2026-09-14&amp;return_date=2026-09-21&amp;currency=EUR&amp;startStation=15&amp;endStation=22",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2026-09-17</t>
        </is>
      </c>
      <c r="F66" t="inlineStr">
        <is>
          <t>2026-09-24</t>
        </is>
      </c>
      <c r="G66" t="inlineStr">
        <is>
          <t xml:space="preserve"> - Surfer Suite</t>
        </is>
      </c>
      <c r="H66">
        <f>HYPERLINK("https://booking.roadsurfer.com/es/rally/pick?pickup_date=2026-09-17&amp;return_date=2026-09-24&amp;currency=EUR&amp;startStation=15&amp;endStation=90",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2026-09-18</t>
        </is>
      </c>
      <c r="F67" t="inlineStr">
        <is>
          <t>2026-09-25</t>
        </is>
      </c>
      <c r="G67" t="inlineStr">
        <is>
          <t xml:space="preserve"> - Surfer Suite</t>
        </is>
      </c>
      <c r="H67">
        <f>HYPERLINK("https://booking.roadsurfer.com/es/rally/pick?pickup_date=2026-09-18&amp;return_date=2026-09-25&amp;currency=EUR&amp;startStation=15&amp;endStation=1",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Road House</t>
        </is>
      </c>
      <c r="H68">
        <f>HYPERLINK("https://booking.roadsurfer.com/es/rally/pick?pickup_date=2026-10-05&amp;return_date=2026-10-12&amp;currency=EUR&amp;startStation=20&amp;endStation=22",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BEACH HOSTEL</t>
        </is>
      </c>
      <c r="H69">
        <f>HYPERLINK("https://booking.roadsurfer.com/es/rally/pick?pickup_date=2026-09-08&amp;return_date=2026-09-15&amp;currency=EUR&amp;startStation=20&amp;endStation=22",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Surfer Suite</t>
        </is>
      </c>
      <c r="H70">
        <f>HYPERLINK("https://booking.roadsurfer.com/es/rally/pick?pickup_date=2026-09-28&amp;return_date=2026-10-05&amp;currency=EUR&amp;startStation=20&amp;endStation=22",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2026-10-03</t>
        </is>
      </c>
      <c r="F71" t="inlineStr">
        <is>
          <t>2026-10-10</t>
        </is>
      </c>
      <c r="G71" t="inlineStr">
        <is>
          <t xml:space="preserve"> - No hay coche</t>
        </is>
      </c>
      <c r="H71">
        <f>HYPERLINK("https://booking.roadsurfer.com/es/rally/pick?pickup_date=2026-10-03&amp;return_date=2026-10-10&amp;currency=EUR&amp;startStation=20&amp;endStation=22",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Surfer Suite - Couple Cottage - COUPLE COTTAGE - Cozy Cottage</t>
        </is>
      </c>
      <c r="H72">
        <f>HYPERLINK("https://booking.roadsurfer.com/es/rally/pick?pickup_date=2026-09-25&amp;return_date=2026-10-02&amp;currency=EUR&amp;startStation=20&amp;endStation=22",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2026-10-02</t>
        </is>
      </c>
      <c r="F73" t="inlineStr">
        <is>
          <t>2026-10-09</t>
        </is>
      </c>
      <c r="G73" t="inlineStr">
        <is>
          <t xml:space="preserve"> - Camper Castle</t>
        </is>
      </c>
      <c r="H73">
        <f>HYPERLINK("https://booking.roadsurfer.com/es/rally/pick?pickup_date=2026-10-02&amp;return_date=2026-10-09&amp;currency=EUR&amp;startStation=20&amp;endStation=22",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Beach Hostel</t>
        </is>
      </c>
      <c r="H74">
        <f>HYPERLINK("https://booking.roadsurfer.com/es/rally/pick?pickup_date=2026-09-28&amp;return_date=2026-10-05&amp;currency=EUR&amp;startStation=20&amp;endStation=55",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2026-10-20</t>
        </is>
      </c>
      <c r="F75" t="inlineStr">
        <is>
          <t>2026-10-27</t>
        </is>
      </c>
      <c r="G75" t="inlineStr">
        <is>
          <t xml:space="preserve"> - Surfer Suite</t>
        </is>
      </c>
      <c r="H75">
        <f>HYPERLINK("https://booking.roadsurfer.com/es/rally/pick?pickup_date=2026-10-20&amp;return_date=2026-10-27&amp;currency=EUR&amp;startStation=20&amp;endStation=8",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2026-10-03</t>
        </is>
      </c>
      <c r="F76" t="inlineStr">
        <is>
          <t>2026-10-10</t>
        </is>
      </c>
      <c r="G76" t="inlineStr">
        <is>
          <t xml:space="preserve"> - Road House</t>
        </is>
      </c>
      <c r="H76">
        <f>HYPERLINK("https://booking.roadsurfer.com/es/rally/pick?pickup_date=2026-10-03&amp;return_date=2026-10-10&amp;currency=EUR&amp;startStation=20&amp;endStation=8",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2026-10-22</t>
        </is>
      </c>
      <c r="F77" t="inlineStr">
        <is>
          <t>2026-10-29</t>
        </is>
      </c>
      <c r="G77" t="inlineStr">
        <is>
          <t xml:space="preserve"> - Road House</t>
        </is>
      </c>
      <c r="H77">
        <f>HYPERLINK("https://booking.roadsurfer.com/es/rally/pick?pickup_date=2026-10-22&amp;return_date=2026-10-29&amp;currency=EUR&amp;startStation=20&amp;endStation=5", "Clic para verlo en la web de RoadSurfer")</f>
        <v/>
      </c>
    </row>
    <row r="78">
      <c r="A78" t="inlineStr">
        <is>
          <t>España</t>
        </is>
      </c>
      <c r="B78" t="inlineStr">
        <is>
          <t>Málaga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Couple Cottage</t>
        </is>
      </c>
      <c r="H78">
        <f>HYPERLINK("https://booking.roadsurfer.com/es/rally/pick?pickup_date=2026-09-25&amp;return_date=2026-10-02&amp;currency=EUR&amp;startStation=21&amp;endStation=22", "Clic para verlo en la web de RoadSurfer")</f>
        <v/>
      </c>
    </row>
    <row r="79">
      <c r="A79" t="inlineStr">
        <is>
          <t>España</t>
        </is>
      </c>
      <c r="B79" t="inlineStr">
        <is>
          <t>Málaga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2026-10-14</t>
        </is>
      </c>
      <c r="F79" t="inlineStr">
        <is>
          <t>2026-10-21</t>
        </is>
      </c>
      <c r="G79" t="inlineStr">
        <is>
          <t xml:space="preserve"> - Beach Hostel</t>
        </is>
      </c>
      <c r="H79">
        <f>HYPERLINK("https://booking.roadsurfer.com/es/rally/pick?pickup_date=2026-10-14&amp;return_date=2026-10-21&amp;currency=EUR&amp;startStation=21&amp;endStation=9", "Clic para verlo en la web de RoadSurfer")</f>
        <v/>
      </c>
    </row>
    <row r="80">
      <c r="A80" t="inlineStr">
        <is>
          <t>Italia</t>
        </is>
      </c>
      <c r="B80" t="inlineStr">
        <is>
          <t>Milán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No hay coche</t>
        </is>
      </c>
      <c r="H80">
        <f>HYPERLINK("https://booking.roadsurfer.com/es/rally/pick?pickup_date=2026-09-09&amp;return_date=2026-09-16&amp;currency=EUR&amp;startStation=34&amp;endStation=22",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No hay coche</t>
        </is>
      </c>
      <c r="H81">
        <f>HYPERLINK("https://booking.roadsurfer.com/es/rally/pick?pickup_date=2026-09-02&amp;return_date=2026-09-09&amp;currency=EUR&amp;startStation=31&amp;endStation=22", "Clic para verlo en la web de RoadSurfer")</f>
        <v/>
      </c>
    </row>
    <row r="82">
      <c r="A82" t="inlineStr">
        <is>
          <t>Francia</t>
        </is>
      </c>
      <c r="B82" t="inlineStr">
        <is>
          <t>Nantes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Surfer Suite</t>
        </is>
      </c>
      <c r="H82">
        <f>HYPERLINK("https://booking.roadsurfer.com/es/rally/pick?pickup_date=2026-09-03&amp;return_date=2026-09-10&amp;currency=EUR&amp;startStation=31&amp;endStation=22", "Clic para verlo en la web de RoadSurfer")</f>
        <v/>
      </c>
    </row>
    <row r="83">
      <c r="A83" t="inlineStr">
        <is>
          <t>Francia</t>
        </is>
      </c>
      <c r="B83" t="inlineStr">
        <is>
          <t>Nantes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FAMILY FINCA</t>
        </is>
      </c>
      <c r="H83">
        <f>HYPERLINK("https://booking.roadsurfer.com/es/rally/pick?pickup_date=2026-09-09&amp;return_date=2026-09-16&amp;currency=EUR&amp;startStation=31&amp;endStation=22", "Clic para verlo en la web de RoadSurfer")</f>
        <v/>
      </c>
    </row>
    <row r="84">
      <c r="A84" t="inlineStr">
        <is>
          <t>Francia</t>
        </is>
      </c>
      <c r="B84" t="inlineStr">
        <is>
          <t>Nantes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2026-09-17</t>
        </is>
      </c>
      <c r="F84" t="inlineStr">
        <is>
          <t>2026-09-24</t>
        </is>
      </c>
      <c r="G84" t="inlineStr">
        <is>
          <t xml:space="preserve"> - Camper Castle</t>
        </is>
      </c>
      <c r="H84">
        <f>HYPERLINK("https://booking.roadsurfer.com/es/rally/pick?pickup_date=2026-09-17&amp;return_date=2026-09-24&amp;currency=EUR&amp;startStation=31&amp;endStation=22", "Clic para verlo en la web de RoadSurfer")</f>
        <v/>
      </c>
    </row>
    <row r="85">
      <c r="A85" t="inlineStr">
        <is>
          <t>Francia</t>
        </is>
      </c>
      <c r="B85" t="inlineStr">
        <is>
          <t>Nantes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Road House</t>
        </is>
      </c>
      <c r="H85">
        <f>HYPERLINK("https://booking.roadsurfer.com/es/rally/pick?pickup_date=2026-09-08&amp;return_date=2026-09-15&amp;currency=EUR&amp;startStation=31&amp;endStation=22", "Clic para verlo en la web de RoadSurfer")</f>
        <v/>
      </c>
    </row>
    <row r="86">
      <c r="A86" t="inlineStr">
        <is>
          <t>Francia</t>
        </is>
      </c>
      <c r="B86" t="inlineStr">
        <is>
          <t>Nantes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2026-09-17</t>
        </is>
      </c>
      <c r="F86" t="inlineStr">
        <is>
          <t>2026-09-24</t>
        </is>
      </c>
      <c r="G86" t="inlineStr">
        <is>
          <t xml:space="preserve"> - ROAD HOUSE</t>
        </is>
      </c>
      <c r="H86">
        <f>HYPERLINK("https://booking.roadsurfer.com/es/rally/pick?pickup_date=2026-09-17&amp;return_date=2026-09-24&amp;currency=EUR&amp;startStation=31&amp;endStation=1",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2026-09-30</t>
        </is>
      </c>
      <c r="F87" t="inlineStr">
        <is>
          <t>2026-10-07</t>
        </is>
      </c>
      <c r="G87" t="inlineStr">
        <is>
          <t xml:space="preserve"> - Surfer Suite</t>
        </is>
      </c>
      <c r="H87">
        <f>HYPERLINK("https://booking.roadsurfer.com/es/rally/pick?pickup_date=2026-09-30&amp;return_date=2026-10-07&amp;currency=EUR&amp;startStation=31&amp;endStation=3",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Beach Hostel</t>
        </is>
      </c>
      <c r="H88">
        <f>HYPERLINK("https://booking.roadsurfer.com/es/rally/pick?pickup_date=2026-09-25&amp;return_date=2026-10-02&amp;currency=EUR&amp;startStation=31&amp;endStation=109", "Clic para verlo en la web de RoadSurfer")</f>
        <v/>
      </c>
    </row>
    <row r="89">
      <c r="A89" t="inlineStr">
        <is>
          <t>Francia</t>
        </is>
      </c>
      <c r="B89" t="inlineStr">
        <is>
          <t>Niza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2026-09-10</t>
        </is>
      </c>
      <c r="F89" t="inlineStr">
        <is>
          <t>2026-09-17</t>
        </is>
      </c>
      <c r="G89" t="inlineStr">
        <is>
          <t xml:space="preserve"> - COZY COTTAGE</t>
        </is>
      </c>
      <c r="H89">
        <f>HYPERLINK("https://booking.roadsurfer.com/es/rally/pick?pickup_date=2026-09-10&amp;return_date=2026-09-17&amp;currency=EUR&amp;startStation=88&amp;endStation=22", "Clic para verlo en la web de RoadSurfer")</f>
        <v/>
      </c>
    </row>
    <row r="90">
      <c r="A90" t="inlineStr">
        <is>
          <t>Francia</t>
        </is>
      </c>
      <c r="B90" t="inlineStr">
        <is>
          <t>Niza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Surfer Suite</t>
        </is>
      </c>
      <c r="H90">
        <f>HYPERLINK("https://booking.roadsurfer.com/es/rally/pick?pickup_date=2026-09-15&amp;return_date=2026-09-22&amp;currency=EUR&amp;startStation=88&amp;endStation=22", "Clic para verlo en la web de RoadSurfer")</f>
        <v/>
      </c>
    </row>
    <row r="91">
      <c r="A91" t="inlineStr">
        <is>
          <t>Francia</t>
        </is>
      </c>
      <c r="B91" t="inlineStr">
        <is>
          <t>Niza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Couple Cottage</t>
        </is>
      </c>
      <c r="H91">
        <f>HYPERLINK("https://booking.roadsurfer.com/es/rally/pick?pickup_date=2026-09-16&amp;return_date=2026-09-23&amp;currency=EUR&amp;startStation=88&amp;endStation=22",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2026-09-16</t>
        </is>
      </c>
      <c r="F92" t="inlineStr">
        <is>
          <t>2026-09-23</t>
        </is>
      </c>
      <c r="G92" t="inlineStr">
        <is>
          <t xml:space="preserve"> - Camper Cabin</t>
        </is>
      </c>
      <c r="H92">
        <f>HYPERLINK("https://booking.roadsurfer.com/es/rally/pick?pickup_date=2026-09-16&amp;return_date=2026-09-23&amp;currency=EUR&amp;startStation=12&amp;endStation=22",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Camper Cabin</t>
        </is>
      </c>
      <c r="H93">
        <f>HYPERLINK("https://booking.roadsurfer.com/es/rally/pick?pickup_date=2026-09-15&amp;return_date=2026-09-22&amp;currency=EUR&amp;startStation=12&amp;endStation=22",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Travel Home</t>
        </is>
      </c>
      <c r="H94">
        <f>HYPERLINK("https://booking.roadsurfer.com/es/rally/pick?pickup_date=2026-09-08&amp;return_date=2026-09-15&amp;currency=EUR&amp;startStation=12&amp;endStation=22",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Surfer Suite</t>
        </is>
      </c>
      <c r="H95">
        <f>HYPERLINK("https://booking.roadsurfer.com/es/rally/pick?pickup_date=2026-09-11&amp;return_date=2026-09-18&amp;currency=EUR&amp;startStation=12&amp;endStation=22",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Surfer Suite</t>
        </is>
      </c>
      <c r="H96">
        <f>HYPERLINK("https://booking.roadsurfer.com/es/rally/pick?pickup_date=2026-09-09&amp;return_date=2026-09-16&amp;currency=EUR&amp;startStation=12&amp;endStation=22",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2026-09-26</t>
        </is>
      </c>
      <c r="F97" t="inlineStr">
        <is>
          <t>2026-10-03</t>
        </is>
      </c>
      <c r="G97" t="inlineStr">
        <is>
          <t xml:space="preserve"> - No hay coche</t>
        </is>
      </c>
      <c r="H97">
        <f>HYPERLINK("https://booking.roadsurfer.com/es/rally/pick?pickup_date=2026-09-26&amp;return_date=2026-10-03&amp;currency=EUR&amp;startStation=12&amp;endStation=22",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2026-09-01</t>
        </is>
      </c>
      <c r="F98" t="inlineStr">
        <is>
          <t>2026-09-08</t>
        </is>
      </c>
      <c r="G98" t="inlineStr">
        <is>
          <t xml:space="preserve"> - COUPLE COTTAGE</t>
        </is>
      </c>
      <c r="H98">
        <f>HYPERLINK("https://booking.roadsurfer.com/es/rally/pick?pickup_date=2026-09-01&amp;return_date=2026-09-08&amp;currency=EUR&amp;startStation=12&amp;endStation=22",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2026-09-12</t>
        </is>
      </c>
      <c r="F99" t="inlineStr">
        <is>
          <t>2026-09-19</t>
        </is>
      </c>
      <c r="G99" t="inlineStr">
        <is>
          <t xml:space="preserve"> - Camper Cabin</t>
        </is>
      </c>
      <c r="H99">
        <f>HYPERLINK("https://booking.roadsurfer.com/es/rally/pick?pickup_date=2026-09-12&amp;return_date=2026-09-19&amp;currency=EUR&amp;startStation=12&amp;endStation=7",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2026-09-23</t>
        </is>
      </c>
      <c r="F100" t="inlineStr">
        <is>
          <t>2026-09-30</t>
        </is>
      </c>
      <c r="G100" t="inlineStr">
        <is>
          <t xml:space="preserve"> - Surfer Suite</t>
        </is>
      </c>
      <c r="H100">
        <f>HYPERLINK("https://booking.roadsurfer.com/es/rally/pick?pickup_date=2026-09-23&amp;return_date=2026-09-30&amp;currency=EUR&amp;startStation=12&amp;endStation=7",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HYPERLINK("https://booking.roadsurfer.com/es/rally/pick?pickup_date=2026-09-14&amp;return_date=2026-09-21&amp;currency=EUR&amp;startStation=12&amp;endStation=7",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Friburgo-Basilea (Alemania)</t>
        </is>
      </c>
      <c r="E102" t="inlineStr">
        <is>
          <t>2026-09-19</t>
        </is>
      </c>
      <c r="F102" t="inlineStr">
        <is>
          <t>2026-09-26</t>
        </is>
      </c>
      <c r="G102" t="inlineStr">
        <is>
          <t xml:space="preserve"> - Surfer Suite</t>
        </is>
      </c>
      <c r="H102">
        <f>HYPERLINK("https://booking.roadsurfer.com/es/rally/pick?pickup_date=2026-09-19&amp;return_date=2026-09-26&amp;currency=EUR&amp;startStation=12&amp;endStation=9",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Duisburgo</t>
        </is>
      </c>
      <c r="E103" t="inlineStr">
        <is>
          <t>2026-09-26</t>
        </is>
      </c>
      <c r="F103" t="inlineStr">
        <is>
          <t>2026-10-03</t>
        </is>
      </c>
      <c r="G103" t="inlineStr">
        <is>
          <t xml:space="preserve"> - No hay coche</t>
        </is>
      </c>
      <c r="H103">
        <f>HYPERLINK("https://booking.roadsurfer.com/es/rally/pick?pickup_date=2026-09-26&amp;return_date=2026-10-03&amp;currency=EUR&amp;startStation=12&amp;endStation=113",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Karlsruhe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Beach Hostel</t>
        </is>
      </c>
      <c r="H104">
        <f>HYPERLINK("https://booking.roadsurfer.com/es/rally/pick?pickup_date=2026-09-11&amp;return_date=2026-09-18&amp;currency=EUR&amp;startStation=12&amp;endStation=110",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2026-09-21</t>
        </is>
      </c>
      <c r="F105" t="inlineStr">
        <is>
          <t>2026-09-28</t>
        </is>
      </c>
      <c r="G105" t="inlineStr">
        <is>
          <t xml:space="preserve"> - Beach Hostel</t>
        </is>
      </c>
      <c r="H105">
        <f>HYPERLINK("https://booking.roadsurfer.com/es/rally/pick?pickup_date=2026-09-21&amp;return_date=2026-09-28&amp;currency=EUR&amp;startStation=12&amp;endStation=1",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2026-09-01</t>
        </is>
      </c>
      <c r="F106" t="inlineStr">
        <is>
          <t>2026-09-08</t>
        </is>
      </c>
      <c r="G106" t="inlineStr">
        <is>
          <t xml:space="preserve"> - Surfer Suite</t>
        </is>
      </c>
      <c r="H106">
        <f>HYPERLINK("https://booking.roadsurfer.com/es/rally/pick?pickup_date=2026-09-01&amp;return_date=2026-09-08&amp;currency=EUR&amp;startStation=12&amp;endStation=6",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2026-09-28</t>
        </is>
      </c>
      <c r="F107" t="inlineStr">
        <is>
          <t>2026-10-05</t>
        </is>
      </c>
      <c r="G107" t="inlineStr">
        <is>
          <t xml:space="preserve"> - No hay coche</t>
        </is>
      </c>
      <c r="H107">
        <f>HYPERLINK("https://booking.roadsurfer.com/es/rally/pick?pickup_date=2026-09-28&amp;return_date=2026-10-05&amp;currency=EUR&amp;startStation=12&amp;endStation=8", "Clic para verlo en la web de RoadSurfer")</f>
        <v/>
      </c>
    </row>
    <row r="108">
      <c r="A108" t="inlineStr">
        <is>
          <t>Francia</t>
        </is>
      </c>
      <c r="B108" t="inlineStr">
        <is>
          <t>París Aeropuerto CDG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2026-09-11</t>
        </is>
      </c>
      <c r="F108" t="inlineStr">
        <is>
          <t>2026-09-18</t>
        </is>
      </c>
      <c r="G108" t="inlineStr">
        <is>
          <t xml:space="preserve"> - Surfer Suite</t>
        </is>
      </c>
      <c r="H108">
        <f>HYPERLINK("https://booking.roadsurfer.com/es/rally/pick?pickup_date=2026-09-11&amp;return_date=2026-09-18&amp;currency=EUR&amp;startStation=48&amp;endStation=10", "Clic para verlo en la web de RoadSurfer")</f>
        <v/>
      </c>
    </row>
    <row r="109">
      <c r="A109" t="inlineStr">
        <is>
          <t>Francia</t>
        </is>
      </c>
      <c r="B109" t="inlineStr">
        <is>
          <t>París Aeropuerto CDG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Surfer Suite</t>
        </is>
      </c>
      <c r="H109">
        <f>HYPERLINK("https://booking.roadsurfer.com/es/rally/pick?pickup_date=2026-09-08&amp;return_date=2026-09-15&amp;currency=EUR&amp;startStation=48&amp;endStation=22", "Clic para verlo en la web de RoadSurfer")</f>
        <v/>
      </c>
    </row>
    <row r="110">
      <c r="A110" t="inlineStr">
        <is>
          <t>Francia</t>
        </is>
      </c>
      <c r="B110" t="inlineStr">
        <is>
          <t>París Aeropuerto CDG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2026-09-09</t>
        </is>
      </c>
      <c r="F110" t="inlineStr">
        <is>
          <t>2026-09-16</t>
        </is>
      </c>
      <c r="G110" t="inlineStr">
        <is>
          <t xml:space="preserve"> - Camper Castle</t>
        </is>
      </c>
      <c r="H110">
        <f>HYPERLINK("https://booking.roadsurfer.com/es/rally/pick?pickup_date=2026-09-09&amp;return_date=2026-09-16&amp;currency=EUR&amp;startStation=48&amp;endStation=22", "Clic para verlo en la web de RoadSurfer")</f>
        <v/>
      </c>
    </row>
    <row r="111">
      <c r="A111" t="inlineStr">
        <is>
          <t>Francia</t>
        </is>
      </c>
      <c r="B111" t="inlineStr">
        <is>
          <t>París Aeropuerto CDG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Couple Cottage</t>
        </is>
      </c>
      <c r="H111">
        <f>HYPERLINK("https://booking.roadsurfer.com/es/rally/pick?pickup_date=2026-09-14&amp;return_date=2026-09-21&amp;currency=EUR&amp;startStation=48&amp;endStation=22", "Clic para verlo en la web de RoadSurfer")</f>
        <v/>
      </c>
    </row>
    <row r="112">
      <c r="A112" t="inlineStr">
        <is>
          <t>Francia</t>
        </is>
      </c>
      <c r="B112" t="inlineStr">
        <is>
          <t>París Aeropuerto CDG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2026-10-10</t>
        </is>
      </c>
      <c r="F112" t="inlineStr">
        <is>
          <t>2026-10-17</t>
        </is>
      </c>
      <c r="G112" t="inlineStr">
        <is>
          <t xml:space="preserve"> - Family Finca</t>
        </is>
      </c>
      <c r="H112">
        <f>HYPERLINK("https://booking.roadsurfer.com/es/rally/pick?pickup_date=2026-10-10&amp;return_date=2026-10-17&amp;currency=EUR&amp;startStation=48&amp;endStation=7",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2026-09-09</t>
        </is>
      </c>
      <c r="F113" t="inlineStr">
        <is>
          <t>2026-09-16</t>
        </is>
      </c>
      <c r="G113" t="inlineStr">
        <is>
          <t xml:space="preserve"> - Couple Cottage</t>
        </is>
      </c>
      <c r="H113">
        <f>HYPERLINK("https://booking.roadsurfer.com/es/rally/pick?pickup_date=2026-09-09&amp;return_date=2026-09-16&amp;currency=EUR&amp;startStation=48&amp;endStation=90",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2026-09-19</t>
        </is>
      </c>
      <c r="F114" t="inlineStr">
        <is>
          <t>2026-09-26</t>
        </is>
      </c>
      <c r="G114" t="inlineStr">
        <is>
          <t xml:space="preserve"> - Camper Castle</t>
        </is>
      </c>
      <c r="H114">
        <f>HYPERLINK("https://booking.roadsurfer.com/es/rally/pick?pickup_date=2026-09-19&amp;return_date=2026-09-26&amp;currency=EUR&amp;startStation=48&amp;endStation=90", "Clic para verlo en la web de RoadSurfer")</f>
        <v/>
      </c>
    </row>
    <row r="115">
      <c r="A115" t="inlineStr">
        <is>
          <t>Italia</t>
        </is>
      </c>
      <c r="B115" t="inlineStr">
        <is>
          <t>Roma Aeropuerto Fiumicino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2026-09-25</t>
        </is>
      </c>
      <c r="F115" t="inlineStr">
        <is>
          <t>2026-10-02</t>
        </is>
      </c>
      <c r="G115" t="inlineStr">
        <is>
          <t xml:space="preserve"> - Road House - Couple Cottage</t>
        </is>
      </c>
      <c r="H115">
        <f>HYPERLINK("https://booking.roadsurfer.com/es/rally/pick?pickup_date=2026-09-25&amp;return_date=2026-10-02&amp;currency=EUR&amp;startStation=35&amp;endStation=22", "Clic para verlo en la web de RoadSurfer")</f>
        <v/>
      </c>
    </row>
    <row r="116">
      <c r="A116" t="inlineStr">
        <is>
          <t>Países Bajos</t>
        </is>
      </c>
      <c r="B116" t="inlineStr">
        <is>
          <t>Róterdam</t>
        </is>
      </c>
      <c r="C116" t="inlineStr">
        <is>
          <t>Alemania</t>
        </is>
      </c>
      <c r="D116" t="inlineStr">
        <is>
          <t>Bremen</t>
        </is>
      </c>
      <c r="E116" t="inlineStr">
        <is>
          <t>2026-09-26</t>
        </is>
      </c>
      <c r="F116" t="inlineStr">
        <is>
          <t>2026-10-03</t>
        </is>
      </c>
      <c r="G116" t="inlineStr">
        <is>
          <t xml:space="preserve"> - No hay coche</t>
        </is>
      </c>
      <c r="H116">
        <f>HYPERLINK("https://booking.roadsurfer.com/es/rally/pick?pickup_date=2026-09-26&amp;return_date=2026-10-03&amp;currency=EUR&amp;startStation=33&amp;endStation=55", "Clic para verlo en la web de RoadSurfer")</f>
        <v/>
      </c>
    </row>
    <row r="117">
      <c r="A117" t="inlineStr">
        <is>
          <t>Países Bajos</t>
        </is>
      </c>
      <c r="B117" t="inlineStr">
        <is>
          <t>Róterdam</t>
        </is>
      </c>
      <c r="C117" t="inlineStr">
        <is>
          <t>Alemania</t>
        </is>
      </c>
      <c r="D117" t="inlineStr">
        <is>
          <t>Duisburgo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Surfer Suite</t>
        </is>
      </c>
      <c r="H117">
        <f>HYPERLINK("https://booking.roadsurfer.com/es/rally/pick?pickup_date=2026-09-23&amp;return_date=2026-09-30&amp;currency=EUR&amp;startStation=33&amp;endStation=113", "Clic para verlo en la web de RoadSurfer")</f>
        <v/>
      </c>
    </row>
    <row r="118">
      <c r="A118" t="inlineStr">
        <is>
          <t>EE.UU.</t>
        </is>
      </c>
      <c r="B118" t="inlineStr">
        <is>
          <t>Salt Lake City</t>
        </is>
      </c>
      <c r="C118" t="inlineStr">
        <is>
          <t>EE.UU.</t>
        </is>
      </c>
      <c r="D118" t="inlineStr">
        <is>
          <t>Las Vegas</t>
        </is>
      </c>
      <c r="E118" t="inlineStr">
        <is>
          <t>2026-08-20</t>
        </is>
      </c>
      <c r="F118" t="inlineStr">
        <is>
          <t>2026-08-26</t>
        </is>
      </c>
      <c r="G118" t="inlineStr">
        <is>
          <t xml:space="preserve"> - No hay coche</t>
        </is>
      </c>
      <c r="H118">
        <f>HYPERLINK("https://booking.roadsurfer.com/es/rally/pick?pickup_date=2026-08-20&amp;return_date=2026-08-26&amp;currency=EUR&amp;startStation=106&amp;endStation=76", "Clic para verlo en la web de RoadSurfer")</f>
        <v/>
      </c>
    </row>
    <row r="119">
      <c r="A119" t="inlineStr">
        <is>
          <t>EE.UU.</t>
        </is>
      </c>
      <c r="B119" t="inlineStr">
        <is>
          <t>San Francisco</t>
        </is>
      </c>
      <c r="C119" t="inlineStr">
        <is>
          <t>EE.UU.</t>
        </is>
      </c>
      <c r="D119" t="inlineStr">
        <is>
          <t>Dallas</t>
        </is>
      </c>
      <c r="E119" t="inlineStr">
        <is>
          <t>2026-09-14</t>
        </is>
      </c>
      <c r="F119" t="inlineStr">
        <is>
          <t>2026-09-21</t>
        </is>
      </c>
      <c r="G119" t="inlineStr">
        <is>
          <t xml:space="preserve"> - Family Freedom</t>
        </is>
      </c>
      <c r="H119">
        <f>HYPERLINK("https://booking.roadsurfer.com/es/rally/pick?pickup_date=2026-09-14&amp;return_date=2026-09-21&amp;currency=EUR&amp;startStation=75&amp;endStation=125", "Clic para verlo en la web de RoadSurfer")</f>
        <v/>
      </c>
    </row>
    <row r="120">
      <c r="A120" t="inlineStr">
        <is>
          <t>EE.UU.</t>
        </is>
      </c>
      <c r="B120" t="inlineStr">
        <is>
          <t>Seattle</t>
        </is>
      </c>
      <c r="C120" t="inlineStr">
        <is>
          <t>EE.UU.</t>
        </is>
      </c>
      <c r="D120" t="inlineStr">
        <is>
          <t>Dallas</t>
        </is>
      </c>
      <c r="E120" t="inlineStr">
        <is>
          <t>2026-08-18</t>
        </is>
      </c>
      <c r="F120" t="inlineStr">
        <is>
          <t>2026-08-28</t>
        </is>
      </c>
      <c r="G120" t="inlineStr">
        <is>
          <t xml:space="preserve"> - No hay coche</t>
        </is>
      </c>
      <c r="H120">
        <f>HYPERLINK("https://booking.roadsurfer.com/es/rally/pick?pickup_date=2026-08-18&amp;return_date=2026-08-28&amp;currency=EUR&amp;startStation=107&amp;endStation=125", "Clic para verlo en la web de RoadSurfer")</f>
        <v/>
      </c>
    </row>
    <row r="121">
      <c r="A121" t="inlineStr">
        <is>
          <t>España</t>
        </is>
      </c>
      <c r="B121" t="inlineStr">
        <is>
          <t>Sevilla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2026-10-24</t>
        </is>
      </c>
      <c r="F121" t="inlineStr">
        <is>
          <t>2026-10-31</t>
        </is>
      </c>
      <c r="G121" t="inlineStr">
        <is>
          <t xml:space="preserve"> - No hay coche</t>
        </is>
      </c>
      <c r="H121">
        <f>HYPERLINK("https://booking.roadsurfer.com/es/rally/pick?pickup_date=2026-10-24&amp;return_date=2026-10-31&amp;currency=EUR&amp;startStation=39&amp;endStation=51", "Clic para verlo en la web de RoadSurfer")</f>
        <v/>
      </c>
    </row>
    <row r="122">
      <c r="A122" t="inlineStr">
        <is>
          <t>España</t>
        </is>
      </c>
      <c r="B122" t="inlineStr">
        <is>
          <t>Sevilla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2026-09-29</t>
        </is>
      </c>
      <c r="F122" t="inlineStr">
        <is>
          <t>2026-10-06</t>
        </is>
      </c>
      <c r="G122" t="inlineStr">
        <is>
          <t xml:space="preserve"> - Surfer Suite</t>
        </is>
      </c>
      <c r="H122">
        <f>HYPERLINK("https://booking.roadsurfer.com/es/rally/pick?pickup_date=2026-09-29&amp;return_date=2026-10-06&amp;currency=EUR&amp;startStation=39&amp;endStation=5", "Clic para verlo en la web de RoadSurfer")</f>
        <v/>
      </c>
    </row>
    <row r="123">
      <c r="A123" t="inlineStr">
        <is>
          <t>Francia</t>
        </is>
      </c>
      <c r="B123" t="inlineStr">
        <is>
          <t>Toulouse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2026-09-07</t>
        </is>
      </c>
      <c r="F123" t="inlineStr">
        <is>
          <t>2026-09-14</t>
        </is>
      </c>
      <c r="G123" t="inlineStr">
        <is>
          <t xml:space="preserve"> - Travel Home</t>
        </is>
      </c>
      <c r="H123">
        <f>HYPERLINK("https://booking.roadsurfer.com/es/rally/pick?pickup_date=2026-09-07&amp;return_date=2026-09-14&amp;currency=EUR&amp;startStation=30&amp;endStation=22", "Clic para verlo en la web de RoadSurfer")</f>
        <v/>
      </c>
    </row>
    <row r="124">
      <c r="A124" t="inlineStr">
        <is>
          <t>Francia</t>
        </is>
      </c>
      <c r="B124" t="inlineStr">
        <is>
          <t>Toulouse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Road House</t>
        </is>
      </c>
      <c r="H124">
        <f>HYPERLINK("https://booking.roadsurfer.com/es/rally/pick?pickup_date=2026-09-07&amp;return_date=2026-09-14&amp;currency=EUR&amp;startStation=30&amp;endStation=113", "Clic para verlo en la web de RoadSurfer")</f>
        <v/>
      </c>
    </row>
    <row r="125">
      <c r="A125" t="inlineStr">
        <is>
          <t>Francia</t>
        </is>
      </c>
      <c r="B125" t="inlineStr">
        <is>
          <t>Toulouse</t>
        </is>
      </c>
      <c r="C125" t="inlineStr">
        <is>
          <t>Alemania</t>
        </is>
      </c>
      <c r="D125" t="inlineStr">
        <is>
          <t>Lübeck</t>
        </is>
      </c>
      <c r="E125" t="inlineStr">
        <is>
          <t>2026-09-02</t>
        </is>
      </c>
      <c r="F125" t="inlineStr">
        <is>
          <t>2026-09-09</t>
        </is>
      </c>
      <c r="G125" t="inlineStr">
        <is>
          <t xml:space="preserve"> - ROAD HOUSE</t>
        </is>
      </c>
      <c r="H125">
        <f>HYPERLINK("https://booking.roadsurfer.com/es/rally/pick?pickup_date=2026-09-02&amp;return_date=2026-09-09&amp;currency=EUR&amp;startStation=30&amp;endStation=109", "Clic para verlo en la web de RoadSurfer")</f>
        <v/>
      </c>
    </row>
    <row r="126">
      <c r="A126" t="inlineStr">
        <is>
          <t>Francia</t>
        </is>
      </c>
      <c r="B126" t="inlineStr">
        <is>
          <t>Toulouse</t>
        </is>
      </c>
      <c r="C126" t="inlineStr">
        <is>
          <t>Alemania</t>
        </is>
      </c>
      <c r="D126" t="inlineStr">
        <is>
          <t>Hamburgo</t>
        </is>
      </c>
      <c r="E126" t="inlineStr">
        <is>
          <t>2026-08-31</t>
        </is>
      </c>
      <c r="F126" t="inlineStr">
        <is>
          <t>2026-09-07</t>
        </is>
      </c>
      <c r="G126" t="inlineStr">
        <is>
          <t xml:space="preserve"> - Surfer Suite</t>
        </is>
      </c>
      <c r="H126">
        <f>HYPERLINK("https://booking.roadsurfer.com/es/rally/pick?pickup_date=2026-08-31&amp;return_date=2026-09-07&amp;currency=EUR&amp;startStation=30&amp;endStation=3", "Clic para verlo en la web de RoadSurfer")</f>
        <v/>
      </c>
    </row>
    <row r="127">
      <c r="A127" t="inlineStr">
        <is>
          <t>Francia</t>
        </is>
      </c>
      <c r="B127" t="inlineStr">
        <is>
          <t>Toulouse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2026-09-16</t>
        </is>
      </c>
      <c r="F127" t="inlineStr">
        <is>
          <t>2026-09-23</t>
        </is>
      </c>
      <c r="G127" t="inlineStr">
        <is>
          <t xml:space="preserve"> - Surfer Suite</t>
        </is>
      </c>
      <c r="H127">
        <f>HYPERLINK("https://booking.roadsurfer.com/es/rally/pick?pickup_date=2026-09-16&amp;return_date=2026-09-23&amp;currency=EUR&amp;startStation=30&amp;endStation=8", "Clic para verlo en la web de RoadSurfer")</f>
        <v/>
      </c>
    </row>
    <row r="128">
      <c r="A128" t="inlineStr">
        <is>
          <t>Italia</t>
        </is>
      </c>
      <c r="B128" t="inlineStr">
        <is>
          <t>Turín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2026-10-02</t>
        </is>
      </c>
      <c r="F128" t="inlineStr">
        <is>
          <t>2026-10-09</t>
        </is>
      </c>
      <c r="G128" t="inlineStr">
        <is>
          <t xml:space="preserve"> - Family Finca</t>
        </is>
      </c>
      <c r="H128">
        <f>HYPERLINK("https://booking.roadsurfer.com/es/rally/pick?pickup_date=2026-10-02&amp;return_date=2026-10-09&amp;currency=EUR&amp;startStation=58&amp;endStation=22", "Clic para verlo en la web de RoadSurfer")</f>
        <v/>
      </c>
    </row>
    <row r="129">
      <c r="A129" t="inlineStr">
        <is>
          <t>Italia</t>
        </is>
      </c>
      <c r="B129" t="inlineStr">
        <is>
          <t>Turín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2026-09-25</t>
        </is>
      </c>
      <c r="F129" t="inlineStr">
        <is>
          <t>2026-10-02</t>
        </is>
      </c>
      <c r="G129" t="inlineStr">
        <is>
          <t xml:space="preserve"> - ROAD HOUSE - Road House - COZY COTTAGE</t>
        </is>
      </c>
      <c r="H129">
        <f>HYPERLINK("https://booking.roadsurfer.com/es/rally/pick?pickup_date=2026-09-25&amp;return_date=2026-10-02&amp;currency=EUR&amp;startStation=58&amp;endStation=22", "Clic para verlo en la web de RoadSurfer")</f>
        <v/>
      </c>
    </row>
    <row r="130">
      <c r="A130" t="inlineStr">
        <is>
          <t>Italia</t>
        </is>
      </c>
      <c r="B130" t="inlineStr">
        <is>
          <t>Turín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2026-09-15</t>
        </is>
      </c>
      <c r="F130" t="inlineStr">
        <is>
          <t>2026-09-22</t>
        </is>
      </c>
      <c r="G130" t="inlineStr">
        <is>
          <t xml:space="preserve"> - Surfer Suite</t>
        </is>
      </c>
      <c r="H130">
        <f>HYPERLINK("https://booking.roadsurfer.com/es/rally/pick?pickup_date=2026-09-15&amp;return_date=2026-09-22&amp;currency=EUR&amp;startStation=58&amp;endStation=22", "Clic para verlo en la web de RoadSurfer")</f>
        <v/>
      </c>
    </row>
    <row r="131">
      <c r="A131" t="inlineStr">
        <is>
          <t>Italia</t>
        </is>
      </c>
      <c r="B131" t="inlineStr">
        <is>
          <t>Turín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2026-09-21</t>
        </is>
      </c>
      <c r="F131" t="inlineStr">
        <is>
          <t>2026-09-28</t>
        </is>
      </c>
      <c r="G131" t="inlineStr">
        <is>
          <t xml:space="preserve"> - Road House</t>
        </is>
      </c>
      <c r="H131">
        <f>HYPERLINK("https://booking.roadsurfer.com/es/rally/pick?pickup_date=2026-09-21&amp;return_date=2026-09-28&amp;currency=EUR&amp;startStation=58&amp;endStation=55", "Clic para verlo en la web de RoadSurfer")</f>
        <v/>
      </c>
    </row>
    <row r="132">
      <c r="A132" t="inlineStr">
        <is>
          <t>Italia</t>
        </is>
      </c>
      <c r="B132" t="inlineStr">
        <is>
          <t>Turín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2026-09-29</t>
        </is>
      </c>
      <c r="F132" t="inlineStr">
        <is>
          <t>2026-10-06</t>
        </is>
      </c>
      <c r="G132" t="inlineStr">
        <is>
          <t xml:space="preserve"> - Family Finca</t>
        </is>
      </c>
      <c r="H132">
        <f>HYPERLINK("https://booking.roadsurfer.com/es/rally/pick?pickup_date=2026-09-29&amp;return_date=2026-10-06&amp;currency=EUR&amp;startStation=58&amp;endStation=55", "Clic para verlo en la web de RoadSurfer")</f>
        <v/>
      </c>
    </row>
    <row r="133">
      <c r="A133" t="inlineStr">
        <is>
          <t>Italia</t>
        </is>
      </c>
      <c r="B133" t="inlineStr">
        <is>
          <t>Turín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Surfer Suite</t>
        </is>
      </c>
      <c r="H133">
        <f>HYPERLINK("https://booking.roadsurfer.com/es/rally/pick?pickup_date=2026-09-07&amp;return_date=2026-09-14&amp;currency=EUR&amp;startStation=58&amp;endStation=7", "Clic para verlo en la web de RoadSurfer")</f>
        <v/>
      </c>
    </row>
    <row r="134">
      <c r="A134" t="inlineStr">
        <is>
          <t>España</t>
        </is>
      </c>
      <c r="B134" t="inlineStr">
        <is>
          <t>Valencia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2026-10-21</t>
        </is>
      </c>
      <c r="F134" t="inlineStr">
        <is>
          <t>2026-10-28</t>
        </is>
      </c>
      <c r="G134" t="inlineStr">
        <is>
          <t xml:space="preserve"> - Surfer Suite</t>
        </is>
      </c>
      <c r="H134">
        <f>HYPERLINK("https://booking.roadsurfer.com/es/rally/pick?pickup_date=2026-10-21&amp;return_date=2026-10-28&amp;currency=EUR&amp;startStation=38&amp;endStation=55", "Clic para verlo en la web de RoadSurfer")</f>
        <v/>
      </c>
    </row>
    <row r="135">
      <c r="A135" t="inlineStr">
        <is>
          <t>España</t>
        </is>
      </c>
      <c r="B135" t="inlineStr">
        <is>
          <t>Valencia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2026-10-26</t>
        </is>
      </c>
      <c r="F135" t="inlineStr">
        <is>
          <t>2026-11-02</t>
        </is>
      </c>
      <c r="G135" t="inlineStr">
        <is>
          <t xml:space="preserve"> - Surfer Suite</t>
        </is>
      </c>
      <c r="H135">
        <f>HYPERLINK("https://booking.roadsurfer.com/es/rally/pick?pickup_date=2026-10-26&amp;return_date=2026-11-02&amp;currency=EUR&amp;startStation=38&amp;endStation=1", "Clic para verlo en la web de RoadSurfer")</f>
        <v/>
      </c>
    </row>
    <row r="136">
      <c r="A136" t="inlineStr">
        <is>
          <t>España</t>
        </is>
      </c>
      <c r="B136" t="inlineStr">
        <is>
          <t>Valencia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2026-09-25</t>
        </is>
      </c>
      <c r="F136" t="inlineStr">
        <is>
          <t>2026-10-02</t>
        </is>
      </c>
      <c r="G136" t="inlineStr">
        <is>
          <t xml:space="preserve"> - Couple Cottage</t>
        </is>
      </c>
      <c r="H136">
        <f>HYPERLINK("https://booking.roadsurfer.com/es/rally/pick?pickup_date=2026-09-25&amp;return_date=2026-10-02&amp;currency=EUR&amp;startStation=38&amp;endStation=22", "Clic para verlo en la web de RoadSurfer")</f>
        <v/>
      </c>
    </row>
    <row r="137">
      <c r="A137" t="inlineStr">
        <is>
          <t>España</t>
        </is>
      </c>
      <c r="B137" t="inlineStr">
        <is>
          <t>Valencia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2026-10-07</t>
        </is>
      </c>
      <c r="F137" t="inlineStr">
        <is>
          <t>2026-10-14</t>
        </is>
      </c>
      <c r="G137" t="inlineStr">
        <is>
          <t xml:space="preserve"> - No hay coche</t>
        </is>
      </c>
      <c r="H137">
        <f>HYPERLINK("https://booking.roadsurfer.com/es/rally/pick?pickup_date=2026-10-07&amp;return_date=2026-10-14&amp;currency=EUR&amp;startStation=38&amp;endStation=22", "Clic para verlo en la web de RoadSurfer")</f>
        <v/>
      </c>
    </row>
    <row r="138">
      <c r="A138" t="inlineStr">
        <is>
          <t>Italia</t>
        </is>
      </c>
      <c r="B138" t="inlineStr">
        <is>
          <t>Venecia</t>
        </is>
      </c>
      <c r="C138" t="inlineStr">
        <is>
          <t>Italia</t>
        </is>
      </c>
      <c r="D138" t="inlineStr">
        <is>
          <t>Bolonia</t>
        </is>
      </c>
      <c r="E138" t="inlineStr">
        <is>
          <t>2026-09-07</t>
        </is>
      </c>
      <c r="F138" t="inlineStr">
        <is>
          <t>2026-09-14</t>
        </is>
      </c>
      <c r="G138" t="inlineStr">
        <is>
          <t xml:space="preserve"> - SURFER SUITE</t>
        </is>
      </c>
      <c r="H138">
        <f>HYPERLINK("https://booking.roadsurfer.com/es/rally/pick?pickup_date=2026-09-07&amp;return_date=2026-09-14&amp;currency=EUR&amp;startStation=78&amp;endStation=57", "Clic para verlo en la web de RoadSurfer")</f>
        <v/>
      </c>
    </row>
    <row r="139">
      <c r="A139" t="inlineStr">
        <is>
          <t>Italia</t>
        </is>
      </c>
      <c r="B139" t="inlineStr">
        <is>
          <t>Venecia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No hay coche</t>
        </is>
      </c>
      <c r="H139">
        <f>HYPERLINK("https://booking.roadsurfer.com/es/rally/pick?pickup_date=2026-09-12&amp;return_date=2026-09-19&amp;currency=EUR&amp;startStation=78&amp;endStation=51", "Clic para verlo en la web de RoadSurfer")</f>
        <v/>
      </c>
    </row>
    <row r="140">
      <c r="A140" t="inlineStr">
        <is>
          <t>Italia</t>
        </is>
      </c>
      <c r="B140" t="inlineStr">
        <is>
          <t>Venecia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Surfer Suite</t>
        </is>
      </c>
      <c r="H140">
        <f>HYPERLINK("https://booking.roadsurfer.com/es/rally/pick?pickup_date=2026-09-14&amp;return_date=2026-09-21&amp;currency=EUR&amp;startStation=78&amp;endStation=22", "Clic para verlo en la web de RoadSurfer")</f>
        <v/>
      </c>
    </row>
    <row r="141">
      <c r="A141" t="inlineStr">
        <is>
          <t>Italia</t>
        </is>
      </c>
      <c r="B141" t="inlineStr">
        <is>
          <t>Venecia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2026-09-26</t>
        </is>
      </c>
      <c r="F141" t="inlineStr">
        <is>
          <t>2026-10-03</t>
        </is>
      </c>
      <c r="G141" t="inlineStr">
        <is>
          <t xml:space="preserve"> - No hay coche</t>
        </is>
      </c>
      <c r="H141">
        <f>HYPERLINK("https://booking.roadsurfer.com/es/rally/pick?pickup_date=2026-09-26&amp;return_date=2026-10-03&amp;currency=EUR&amp;startStation=78&amp;endStation=22", "Clic para verlo en la web de RoadSurfer")</f>
        <v/>
      </c>
    </row>
    <row r="142">
      <c r="A142" t="inlineStr">
        <is>
          <t>Italia</t>
        </is>
      </c>
      <c r="B142" t="inlineStr">
        <is>
          <t>Venecia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2026-09-23</t>
        </is>
      </c>
      <c r="F142" t="inlineStr">
        <is>
          <t>2026-09-30</t>
        </is>
      </c>
      <c r="G142" t="inlineStr">
        <is>
          <t xml:space="preserve"> - Road House</t>
        </is>
      </c>
      <c r="H142">
        <f>HYPERLINK("https://booking.roadsurfer.com/es/rally/pick?pickup_date=2026-09-23&amp;return_date=2026-09-30&amp;currency=EUR&amp;startStation=78&amp;endStation=22", "Clic para verlo en la web de RoadSurfer")</f>
        <v/>
      </c>
    </row>
    <row r="143">
      <c r="A143" t="inlineStr">
        <is>
          <t>Austria</t>
        </is>
      </c>
      <c r="B143" t="inlineStr">
        <is>
          <t>Viena</t>
        </is>
      </c>
      <c r="C143" t="inlineStr">
        <is>
          <t>España</t>
        </is>
      </c>
      <c r="D143" t="inlineStr">
        <is>
          <t>Málaga</t>
        </is>
      </c>
      <c r="E143" t="inlineStr">
        <is>
          <t>2026-08-24</t>
        </is>
      </c>
      <c r="F143" t="inlineStr">
        <is>
          <t>2026-08-31</t>
        </is>
      </c>
      <c r="G143" t="inlineStr">
        <is>
          <t xml:space="preserve"> - Surfer Suite</t>
        </is>
      </c>
      <c r="H143">
        <f>HYPERLINK("https://booking.roadsurfer.com/es/rally/pick?pickup_date=2026-08-24&amp;return_date=2026-08-31&amp;currency=EUR&amp;startStation=36&amp;endStation=21", "Clic para verlo en la web de RoadSurfer")</f>
        <v/>
      </c>
    </row>
    <row r="144">
      <c r="A144" t="inlineStr">
        <is>
          <t>Austria</t>
        </is>
      </c>
      <c r="B144" t="inlineStr">
        <is>
          <t>Viena</t>
        </is>
      </c>
      <c r="C144" t="inlineStr">
        <is>
          <t>España</t>
        </is>
      </c>
      <c r="D144" t="inlineStr">
        <is>
          <t>Málaga</t>
        </is>
      </c>
      <c r="E144" t="inlineStr">
        <is>
          <t>2026-08-28</t>
        </is>
      </c>
      <c r="F144" t="inlineStr">
        <is>
          <t>2026-09-04</t>
        </is>
      </c>
      <c r="G144" t="inlineStr">
        <is>
          <t xml:space="preserve"> - No hay coche</t>
        </is>
      </c>
      <c r="H144">
        <f>HYPERLINK("https://booking.roadsurfer.com/es/rally/pick?pickup_date=2026-08-28&amp;return_date=2026-09-04&amp;currency=EUR&amp;startStation=36&amp;endStation=21", "Clic para verlo en la web de RoadSurfer")</f>
        <v/>
      </c>
    </row>
    <row r="145">
      <c r="A145" t="inlineStr">
        <is>
          <t>Austria</t>
        </is>
      </c>
      <c r="B145" t="inlineStr">
        <is>
          <t>Viena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2026-09-29</t>
        </is>
      </c>
      <c r="F145" t="inlineStr">
        <is>
          <t>2026-10-06</t>
        </is>
      </c>
      <c r="G145" t="inlineStr">
        <is>
          <t xml:space="preserve"> - No hay coche</t>
        </is>
      </c>
      <c r="H145">
        <f>HYPERLINK("https://booking.roadsurfer.com/es/rally/pick?pickup_date=2026-09-29&amp;return_date=2026-10-06&amp;currency=EUR&amp;startStation=36&amp;endStation=7", "Clic para verlo en la web de RoadSurfer")</f>
        <v/>
      </c>
    </row>
    <row r="146">
      <c r="A146" t="inlineStr">
        <is>
          <t>Austria</t>
        </is>
      </c>
      <c r="B146" t="inlineStr">
        <is>
          <t>Viena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2026-09-05</t>
        </is>
      </c>
      <c r="F146" t="inlineStr">
        <is>
          <t>2026-09-12</t>
        </is>
      </c>
      <c r="G146" t="inlineStr">
        <is>
          <t xml:space="preserve"> - Road House</t>
        </is>
      </c>
      <c r="H146">
        <f>HYPERLINK("https://booking.roadsurfer.com/es/rally/pick?pickup_date=2026-09-05&amp;return_date=2026-09-12&amp;currency=EUR&amp;startStation=36&amp;endStation=90", "Clic para verlo en la web de RoadSurfer")</f>
        <v/>
      </c>
    </row>
    <row r="147">
      <c r="A147" t="inlineStr">
        <is>
          <t>Austria</t>
        </is>
      </c>
      <c r="B147" t="inlineStr">
        <is>
          <t>Viena Sur</t>
        </is>
      </c>
      <c r="C147" t="inlineStr">
        <is>
          <t>Alemania</t>
        </is>
      </c>
      <c r="D147" t="inlineStr">
        <is>
          <t>Karlsruhe</t>
        </is>
      </c>
      <c r="E147" t="inlineStr">
        <is>
          <t>2026-10-05</t>
        </is>
      </c>
      <c r="F147" t="inlineStr">
        <is>
          <t>2026-10-12</t>
        </is>
      </c>
      <c r="G147" t="inlineStr">
        <is>
          <t xml:space="preserve"> - Camper Cabin Deluxe</t>
        </is>
      </c>
      <c r="H147">
        <f>HYPERLINK("https://booking.roadsurfer.com/es/rally/pick?pickup_date=2026-10-05&amp;return_date=2026-10-12&amp;currency=EUR&amp;startStation=45&amp;endStation=110", "Clic para verlo en la web de RoadSurfer")</f>
        <v/>
      </c>
    </row>
    <row r="148">
      <c r="A148" t="inlineStr">
        <is>
          <t>Austria</t>
        </is>
      </c>
      <c r="B148" t="inlineStr">
        <is>
          <t>Viena Sur</t>
        </is>
      </c>
      <c r="C148" t="inlineStr">
        <is>
          <t>España</t>
        </is>
      </c>
      <c r="D148" t="inlineStr">
        <is>
          <t>Valencia</t>
        </is>
      </c>
      <c r="E148" t="inlineStr">
        <is>
          <t>2026-08-31</t>
        </is>
      </c>
      <c r="F148" t="inlineStr">
        <is>
          <t>2026-09-07</t>
        </is>
      </c>
      <c r="G148" t="inlineStr">
        <is>
          <t xml:space="preserve"> - No hay coche</t>
        </is>
      </c>
      <c r="H148">
        <f>HYPERLINK("https://booking.roadsurfer.com/es/rally/pick?pickup_date=2026-08-31&amp;return_date=2026-09-07&amp;currency=EUR&amp;startStation=45&amp;endStation=38", "Clic para verlo en la web de RoadSurfer")</f>
        <v/>
      </c>
    </row>
    <row r="149">
      <c r="A149" t="inlineStr">
        <is>
          <t>Austria</t>
        </is>
      </c>
      <c r="B149" t="inlineStr">
        <is>
          <t>Viena Sur</t>
        </is>
      </c>
      <c r="C149" t="inlineStr">
        <is>
          <t>España</t>
        </is>
      </c>
      <c r="D149" t="inlineStr">
        <is>
          <t>Valencia</t>
        </is>
      </c>
      <c r="E149" t="inlineStr">
        <is>
          <t>2026-09-04</t>
        </is>
      </c>
      <c r="F149" t="inlineStr">
        <is>
          <t>2026-09-11</t>
        </is>
      </c>
      <c r="G149" t="inlineStr">
        <is>
          <t xml:space="preserve"> - No hay coche</t>
        </is>
      </c>
      <c r="H149">
        <f>HYPERLINK("https://booking.roadsurfer.com/es/rally/pick?pickup_date=2026-09-04&amp;return_date=2026-09-11&amp;currency=EUR&amp;startStation=45&amp;endStation=38", "Clic para verlo en la web de RoadSurfer")</f>
        <v/>
      </c>
    </row>
    <row r="150">
      <c r="A150" t="inlineStr">
        <is>
          <t>Austria</t>
        </is>
      </c>
      <c r="B150" t="inlineStr">
        <is>
          <t>Viena Sur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Couple Cottage</t>
        </is>
      </c>
      <c r="H150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2026-08-06T10:35:25Z</dcterms:created>
  <dcterms:modified xsi:type="dcterms:W3CDTF">2026-08-06T10:35:25Z</dcterms:modified>
</cp:coreProperties>
</file>