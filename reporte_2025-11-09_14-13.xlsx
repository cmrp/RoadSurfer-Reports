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2025-11-12</t>
        </is>
      </c>
      <c r="F2" t="inlineStr">
        <is>
          <t>2025-11-19</t>
        </is>
      </c>
      <c r="G2" t="inlineStr">
        <is>
          <t xml:space="preserve"> - Beach Hostel</t>
        </is>
      </c>
      <c r="H2">
        <f>HYPERLINK("https://booking.roadsurfer.com/es/rally/pick?pickup_date=2025-11-12&amp;return_date=2025-11-19&amp;currency=EUR&amp;startStation=114&amp;endStation=48",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2025-11-14</t>
        </is>
      </c>
      <c r="F3" t="inlineStr">
        <is>
          <t>2025-11-21</t>
        </is>
      </c>
      <c r="G3" t="inlineStr">
        <is>
          <t xml:space="preserve"> - Surfer Suite</t>
        </is>
      </c>
      <c r="H3">
        <f>HYPERLINK("https://booking.roadsurfer.com/es/rally/pick?pickup_date=2025-11-14&amp;return_date=2025-11-21&amp;currency=EUR&amp;startStation=16&amp;endStation=1",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Erfurt</t>
        </is>
      </c>
      <c r="E4" t="inlineStr">
        <is>
          <t>2025-12-01</t>
        </is>
      </c>
      <c r="F4" t="inlineStr">
        <is>
          <t>2025-12-08</t>
        </is>
      </c>
      <c r="G4" t="inlineStr">
        <is>
          <t xml:space="preserve"> - Family Finca</t>
        </is>
      </c>
      <c r="H4">
        <f>HYPERLINK("https://booking.roadsurfer.com/es/rally/pick?pickup_date=2025-12-01&amp;return_date=2025-12-08&amp;currency=EUR&amp;startStation=32&amp;endStation=90", "Clic para verlo en la web de RoadSurfer")</f>
        <v/>
      </c>
    </row>
    <row r="5">
      <c r="A5" t="inlineStr">
        <is>
          <t>Bélgica</t>
        </is>
      </c>
      <c r="B5" t="inlineStr">
        <is>
          <t>Amberes</t>
        </is>
      </c>
      <c r="C5" t="inlineStr">
        <is>
          <t>Francia</t>
        </is>
      </c>
      <c r="D5" t="inlineStr">
        <is>
          <t>Nantes</t>
        </is>
      </c>
      <c r="E5" t="inlineStr">
        <is>
          <t>2025-11-17</t>
        </is>
      </c>
      <c r="F5" t="inlineStr">
        <is>
          <t>2025-11-24</t>
        </is>
      </c>
      <c r="G5" t="inlineStr">
        <is>
          <t xml:space="preserve"> - Camper Cabin</t>
        </is>
      </c>
      <c r="H5">
        <f>HYPERLINK("https://booking.roadsurfer.com/es/rally/pick?pickup_date=2025-11-17&amp;return_date=2025-11-24&amp;currency=EUR&amp;startStation=47&amp;endStation=31", "Clic para verlo en la web de RoadSurfer")</f>
        <v/>
      </c>
    </row>
    <row r="6">
      <c r="A6" t="inlineStr">
        <is>
          <t>España</t>
        </is>
      </c>
      <c r="B6" t="inlineStr">
        <is>
          <t>Barcelona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2026-01-15</t>
        </is>
      </c>
      <c r="F6" t="inlineStr">
        <is>
          <t>2026-01-22</t>
        </is>
      </c>
      <c r="G6" t="inlineStr">
        <is>
          <t xml:space="preserve"> - Sunrise Suite</t>
        </is>
      </c>
      <c r="H6">
        <f>HYPERLINK("https://booking.roadsurfer.com/es/rally/pick?pickup_date=2026-01-15&amp;return_date=2026-01-22&amp;currency=EUR&amp;startStation=17&amp;endStation=2",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2025-11-11</t>
        </is>
      </c>
      <c r="F7" t="inlineStr">
        <is>
          <t>2025-11-18</t>
        </is>
      </c>
      <c r="G7" t="inlineStr">
        <is>
          <t xml:space="preserve"> - Surfer Suite</t>
        </is>
      </c>
      <c r="H7">
        <f>HYPERLINK("https://booking.roadsurfer.com/es/rally/pick?pickup_date=2025-11-11&amp;return_date=2025-11-18&amp;currency=EUR&amp;startStation=6&amp;endStation=59",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2025-11-20</t>
        </is>
      </c>
      <c r="F8" t="inlineStr">
        <is>
          <t>2025-11-27</t>
        </is>
      </c>
      <c r="G8" t="inlineStr">
        <is>
          <t xml:space="preserve"> - Road House</t>
        </is>
      </c>
      <c r="H8">
        <f>HYPERLINK("https://booking.roadsurfer.com/es/rally/pick?pickup_date=2025-11-20&amp;return_date=2025-11-27&amp;currency=EUR&amp;startStation=55&amp;endStation=60",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2025-11-15</t>
        </is>
      </c>
      <c r="F9" t="inlineStr">
        <is>
          <t>2025-11-22</t>
        </is>
      </c>
      <c r="G9" t="inlineStr">
        <is>
          <t xml:space="preserve"> - BEACH HOSTEL</t>
        </is>
      </c>
      <c r="H9">
        <f>HYPERLINK("https://booking.roadsurfer.com/es/rally/pick?pickup_date=2025-11-15&amp;return_date=2025-11-22&amp;currency=EUR&amp;startStation=42&amp;endStation=1",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2025-11-21</t>
        </is>
      </c>
      <c r="F10" t="inlineStr">
        <is>
          <t>2025-11-28</t>
        </is>
      </c>
      <c r="G10" t="inlineStr">
        <is>
          <t xml:space="preserve"> - Surfer Suite</t>
        </is>
      </c>
      <c r="H10">
        <f>HYPERLINK("https://booking.roadsurfer.com/es/rally/pick?pickup_date=2025-11-21&amp;return_date=2025-11-28&amp;currency=EUR&amp;startStation=4&amp;endStation=80",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Malmö</t>
        </is>
      </c>
      <c r="E11" t="inlineStr">
        <is>
          <t>2025-11-19</t>
        </is>
      </c>
      <c r="F11" t="inlineStr">
        <is>
          <t>2025-11-26</t>
        </is>
      </c>
      <c r="G11" t="inlineStr">
        <is>
          <t xml:space="preserve"> - Family Finca</t>
        </is>
      </c>
      <c r="H11">
        <f>HYPERLINK("https://booking.roadsurfer.com/es/rally/pick?pickup_date=2025-11-19&amp;return_date=2025-11-26&amp;currency=EUR&amp;startStation=56&amp;endStation=60",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2025-11-17</t>
        </is>
      </c>
      <c r="F12" t="inlineStr">
        <is>
          <t>2025-11-24</t>
        </is>
      </c>
      <c r="G12" t="inlineStr">
        <is>
          <t xml:space="preserve"> - Surfer Suite</t>
        </is>
      </c>
      <c r="H12">
        <f>HYPERLINK("https://booking.roadsurfer.com/es/rally/pick?pickup_date=2025-11-17&amp;return_date=2025-11-24&amp;currency=EUR&amp;startStation=56&amp;endStation=60",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2025-11-25</t>
        </is>
      </c>
      <c r="F13" t="inlineStr">
        <is>
          <t>2025-12-02</t>
        </is>
      </c>
      <c r="G13" t="inlineStr">
        <is>
          <t xml:space="preserve"> - Surfer Suite</t>
        </is>
      </c>
      <c r="H13">
        <f>HYPERLINK("https://booking.roadsurfer.com/es/rally/pick?pickup_date=2025-11-25&amp;return_date=2025-12-02&amp;currency=EUR&amp;startStation=56&amp;endStation=60",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2025-12-04</t>
        </is>
      </c>
      <c r="F14" t="inlineStr">
        <is>
          <t>2025-12-11</t>
        </is>
      </c>
      <c r="G14" t="inlineStr">
        <is>
          <t xml:space="preserve"> - Road House</t>
        </is>
      </c>
      <c r="H14">
        <f>HYPERLINK("https://booking.roadsurfer.com/es/rally/pick?pickup_date=2025-12-04&amp;return_date=2025-12-11&amp;currency=EUR&amp;startStation=56&amp;endStation=60",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2025-11-24</t>
        </is>
      </c>
      <c r="F15" t="inlineStr">
        <is>
          <t>2025-12-01</t>
        </is>
      </c>
      <c r="G15" t="inlineStr">
        <is>
          <t xml:space="preserve"> - Camper Cabin</t>
        </is>
      </c>
      <c r="H15">
        <f>HYPERLINK("https://booking.roadsurfer.com/es/rally/pick?pickup_date=2025-11-24&amp;return_date=2025-12-01&amp;currency=EUR&amp;startStation=56&amp;endStation=46",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2025-11-15</t>
        </is>
      </c>
      <c r="F16" t="inlineStr">
        <is>
          <t>2025-11-22</t>
        </is>
      </c>
      <c r="G16" t="inlineStr">
        <is>
          <t xml:space="preserve"> - Surfer Suite</t>
        </is>
      </c>
      <c r="H16">
        <f>HYPERLINK("https://booking.roadsurfer.com/es/rally/pick?pickup_date=2025-11-15&amp;return_date=2025-11-22&amp;currency=EUR&amp;startStation=90&amp;endStation=46",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2025-11-28</t>
        </is>
      </c>
      <c r="F17" t="inlineStr">
        <is>
          <t>2025-12-05</t>
        </is>
      </c>
      <c r="G17" t="inlineStr">
        <is>
          <t xml:space="preserve"> - Road House</t>
        </is>
      </c>
      <c r="H17">
        <f>HYPERLINK("https://booking.roadsurfer.com/es/rally/pick?pickup_date=2025-11-28&amp;return_date=2025-12-05&amp;currency=EUR&amp;startStation=90&amp;endStation=60",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2025-11-29</t>
        </is>
      </c>
      <c r="F18" t="inlineStr">
        <is>
          <t>2025-12-06</t>
        </is>
      </c>
      <c r="G18" t="inlineStr">
        <is>
          <t xml:space="preserve"> - Road House</t>
        </is>
      </c>
      <c r="H18">
        <f>HYPERLINK("https://booking.roadsurfer.com/es/rally/pick?pickup_date=2025-11-29&amp;return_date=2025-12-06&amp;currency=EUR&amp;startStation=2&amp;endStation=17",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2025-11-12</t>
        </is>
      </c>
      <c r="F19" t="inlineStr">
        <is>
          <t>2025-11-18</t>
        </is>
      </c>
      <c r="G19" t="inlineStr">
        <is>
          <t xml:space="preserve"> - Surfer Suite</t>
        </is>
      </c>
      <c r="H19">
        <f>HYPERLINK("https://booking.roadsurfer.com/es/rally/pick?pickup_date=2025-11-12&amp;return_date=2025-11-18&amp;currency=EUR&amp;startStation=2&amp;endStation=17",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España</t>
        </is>
      </c>
      <c r="D20" t="inlineStr">
        <is>
          <t>Barcelona</t>
        </is>
      </c>
      <c r="E20" t="inlineStr">
        <is>
          <t>2026-02-02</t>
        </is>
      </c>
      <c r="F20" t="inlineStr">
        <is>
          <t>2026-02-09</t>
        </is>
      </c>
      <c r="G20" t="inlineStr">
        <is>
          <t xml:space="preserve"> - Sunrise Suite</t>
        </is>
      </c>
      <c r="H20">
        <f>HYPERLINK("https://booking.roadsurfer.com/es/rally/pick?pickup_date=2026-02-02&amp;return_date=2026-02-09&amp;currency=EUR&amp;startStation=2&amp;endStation=17",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2025-12-01</t>
        </is>
      </c>
      <c r="F21" t="inlineStr">
        <is>
          <t>2025-12-08</t>
        </is>
      </c>
      <c r="G21" t="inlineStr">
        <is>
          <t xml:space="preserve"> - ROAD HOUSE - Road House</t>
        </is>
      </c>
      <c r="H21">
        <f>HYPERLINK("https://booking.roadsurfer.com/es/rally/pick?pickup_date=2025-12-01&amp;return_date=2025-12-08&amp;currency=EUR&amp;startStation=2&amp;endStation=60", "Clic para verlo en la web de RoadSurfer")</f>
        <v/>
      </c>
    </row>
    <row r="22">
      <c r="A22" t="inlineStr">
        <is>
          <t>Alemania</t>
        </is>
      </c>
      <c r="B22" t="inlineStr">
        <is>
          <t>Fráncfort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2025-11-14</t>
        </is>
      </c>
      <c r="F22" t="inlineStr">
        <is>
          <t>2025-11-21</t>
        </is>
      </c>
      <c r="G22" t="inlineStr">
        <is>
          <t xml:space="preserve"> - Road House</t>
        </is>
      </c>
      <c r="H22">
        <f>HYPERLINK("https://booking.roadsurfer.com/es/rally/pick?pickup_date=2025-11-14&amp;return_date=2025-11-21&amp;currency=EUR&amp;startStation=2&amp;endStation=1", "Clic para verlo en la web de RoadSurfer")</f>
        <v/>
      </c>
    </row>
    <row r="23">
      <c r="A23" t="inlineStr">
        <is>
          <t>Alemania</t>
        </is>
      </c>
      <c r="B23" t="inlineStr">
        <is>
          <t>Fráncfort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2025-12-04</t>
        </is>
      </c>
      <c r="F23" t="inlineStr">
        <is>
          <t>2025-12-11</t>
        </is>
      </c>
      <c r="G23" t="inlineStr">
        <is>
          <t xml:space="preserve"> - Family Finca</t>
        </is>
      </c>
      <c r="H23">
        <f>HYPERLINK("https://booking.roadsurfer.com/es/rally/pick?pickup_date=2025-12-04&amp;return_date=2025-12-11&amp;currency=EUR&amp;startStation=2&amp;endStation=13", "Clic para verlo en la web de RoadSurfer")</f>
        <v/>
      </c>
    </row>
    <row r="24">
      <c r="A24" t="inlineStr">
        <is>
          <t>Alemania</t>
        </is>
      </c>
      <c r="B24" t="inlineStr">
        <is>
          <t>Hamburgo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2025-12-02</t>
        </is>
      </c>
      <c r="F24" t="inlineStr">
        <is>
          <t>2025-12-09</t>
        </is>
      </c>
      <c r="G24" t="inlineStr">
        <is>
          <t xml:space="preserve"> - ROAD HOUSE</t>
        </is>
      </c>
      <c r="H24">
        <f>HYPERLINK("https://booking.roadsurfer.com/es/rally/pick?pickup_date=2025-12-02&amp;return_date=2025-12-09&amp;currency=EUR&amp;startStation=3&amp;endStation=60", "Clic para verlo en la web de RoadSurfer")</f>
        <v/>
      </c>
    </row>
    <row r="25">
      <c r="A25" t="inlineStr">
        <is>
          <t>Alemania</t>
        </is>
      </c>
      <c r="B25" t="inlineStr">
        <is>
          <t>Kassel</t>
        </is>
      </c>
      <c r="C25" t="inlineStr">
        <is>
          <t>Suecia</t>
        </is>
      </c>
      <c r="D25" t="inlineStr">
        <is>
          <t>Malmö</t>
        </is>
      </c>
      <c r="E25" t="inlineStr">
        <is>
          <t>2025-11-28</t>
        </is>
      </c>
      <c r="F25" t="inlineStr">
        <is>
          <t>2025-12-05</t>
        </is>
      </c>
      <c r="G25" t="inlineStr">
        <is>
          <t xml:space="preserve"> - Beach Hostel</t>
        </is>
      </c>
      <c r="H25">
        <f>HYPERLINK("https://booking.roadsurfer.com/es/rally/pick?pickup_date=2025-11-28&amp;return_date=2025-12-05&amp;currency=EUR&amp;startStation=92&amp;endStation=60",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Italia</t>
        </is>
      </c>
      <c r="D26" t="inlineStr">
        <is>
          <t>Bolonia</t>
        </is>
      </c>
      <c r="E26" t="inlineStr">
        <is>
          <t>2025-11-26</t>
        </is>
      </c>
      <c r="F26" t="inlineStr">
        <is>
          <t>2025-12-03</t>
        </is>
      </c>
      <c r="G26" t="inlineStr">
        <is>
          <t xml:space="preserve"> - SURFER SUITE</t>
        </is>
      </c>
      <c r="H26">
        <f>HYPERLINK("https://booking.roadsurfer.com/es/rally/pick?pickup_date=2025-11-26&amp;return_date=2025-12-03&amp;currency=EUR&amp;startStation=8&amp;endStation=57", "Clic para verlo en la web de RoadSurfer")</f>
        <v/>
      </c>
    </row>
    <row r="27">
      <c r="A27" t="inlineStr">
        <is>
          <t>Alemania</t>
        </is>
      </c>
      <c r="B27" t="inlineStr">
        <is>
          <t>Leipzig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Camper Cabin</t>
        </is>
      </c>
      <c r="H27">
        <f>HYPERLINK("https://booking.roadsurfer.com/es/rally/pick?pickup_date=2025-11-24&amp;return_date=2025-12-01&amp;currency=EUR&amp;startStation=8&amp;endStation=13", "Clic para verlo en la web de RoadSurfer")</f>
        <v/>
      </c>
    </row>
    <row r="28">
      <c r="A28" t="inlineStr">
        <is>
          <t>Francia</t>
        </is>
      </c>
      <c r="B28" t="inlineStr">
        <is>
          <t>Lille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2025-11-14</t>
        </is>
      </c>
      <c r="F28" t="inlineStr">
        <is>
          <t>2025-11-21</t>
        </is>
      </c>
      <c r="G28" t="inlineStr">
        <is>
          <t xml:space="preserve"> - Road House</t>
        </is>
      </c>
      <c r="H28">
        <f>HYPERLINK("https://booking.roadsurfer.com/es/rally/pick?pickup_date=2025-11-14&amp;return_date=2025-11-21&amp;currency=EUR&amp;startStation=87&amp;endStation=1", "Clic para verlo en la web de RoadSurfer")</f>
        <v/>
      </c>
    </row>
    <row r="29">
      <c r="A29" t="inlineStr">
        <is>
          <t>EE.UU.</t>
        </is>
      </c>
      <c r="B29" t="inlineStr">
        <is>
          <t>Los Ángeles</t>
        </is>
      </c>
      <c r="C29" t="inlineStr">
        <is>
          <t>EE.UU.</t>
        </is>
      </c>
      <c r="D29" t="inlineStr">
        <is>
          <t>Las Vegas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Family Freedom</t>
        </is>
      </c>
      <c r="H29">
        <f>HYPERLINK("https://booking.roadsurfer.com/es/rally/pick?pickup_date=2025-12-01&amp;return_date=2025-12-08&amp;currency=EUR&amp;startStation=72&amp;endStation=76", "Clic para verlo en la web de RoadSurfer")</f>
        <v/>
      </c>
    </row>
    <row r="30">
      <c r="A30" t="inlineStr">
        <is>
          <t>España</t>
        </is>
      </c>
      <c r="B30" t="inlineStr">
        <is>
          <t>Madrid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2025-11-11</t>
        </is>
      </c>
      <c r="F30" t="inlineStr">
        <is>
          <t>2025-11-18</t>
        </is>
      </c>
      <c r="G30" t="inlineStr">
        <is>
          <t xml:space="preserve"> - FAMILY FINCA</t>
        </is>
      </c>
      <c r="H30">
        <f>HYPERLINK("https://booking.roadsurfer.com/es/rally/pick?pickup_date=2025-11-11&amp;return_date=2025-11-18&amp;currency=EUR&amp;startStation=20&amp;endStation=1", "Clic para verlo en la web de RoadSurfer")</f>
        <v/>
      </c>
    </row>
    <row r="31">
      <c r="A31" t="inlineStr">
        <is>
          <t>Alemania</t>
        </is>
      </c>
      <c r="B31" t="inlineStr">
        <is>
          <t>Maguncia</t>
        </is>
      </c>
      <c r="C31" t="inlineStr">
        <is>
          <t>Suecia</t>
        </is>
      </c>
      <c r="D31" t="inlineStr">
        <is>
          <t>Malmö</t>
        </is>
      </c>
      <c r="E31" t="inlineStr">
        <is>
          <t>2025-11-14</t>
        </is>
      </c>
      <c r="F31" t="inlineStr">
        <is>
          <t>2025-11-21</t>
        </is>
      </c>
      <c r="G31" t="inlineStr">
        <is>
          <t xml:space="preserve"> - Surfer Suite</t>
        </is>
      </c>
      <c r="H31">
        <f>HYPERLINK("https://booking.roadsurfer.com/es/rally/pick?pickup_date=2025-11-14&amp;return_date=2025-11-21&amp;currency=EUR&amp;startStation=54&amp;endStation=60",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2025-11-17</t>
        </is>
      </c>
      <c r="F32" t="inlineStr">
        <is>
          <t>2025-11-24</t>
        </is>
      </c>
      <c r="G32" t="inlineStr">
        <is>
          <t xml:space="preserve"> - Surfer Suite - Camper Cabin</t>
        </is>
      </c>
      <c r="H32">
        <f>HYPERLINK("https://booking.roadsurfer.com/es/rally/pick?pickup_date=2025-11-17&amp;return_date=2025-11-24&amp;currency=EUR&amp;startStation=22&amp;endStation=13",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2025-11-14</t>
        </is>
      </c>
      <c r="F33" t="inlineStr">
        <is>
          <t>2025-11-21</t>
        </is>
      </c>
      <c r="G33" t="inlineStr">
        <is>
          <t xml:space="preserve"> - FAMILY FINCA</t>
        </is>
      </c>
      <c r="H33">
        <f>HYPERLINK("https://booking.roadsurfer.com/es/rally/pick?pickup_date=2025-11-14&amp;return_date=2025-11-21&amp;currency=EUR&amp;startStation=22&amp;endStation=13",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Múnich</t>
        </is>
      </c>
      <c r="C34" t="inlineStr">
        <is>
          <t>Italia</t>
        </is>
      </c>
      <c r="D34" t="inlineStr">
        <is>
          <t>Turín</t>
        </is>
      </c>
      <c r="E34" t="inlineStr">
        <is>
          <t>2025-12-01</t>
        </is>
      </c>
      <c r="F34" t="inlineStr">
        <is>
          <t>2025-12-08</t>
        </is>
      </c>
      <c r="G34" t="inlineStr">
        <is>
          <t xml:space="preserve"> - Surfer Suite</t>
        </is>
      </c>
      <c r="H34">
        <f>HYPERLINK("https://booking.roadsurfer.com/es/rally/pick?pickup_date=2025-12-01&amp;return_date=2025-12-08&amp;currency=EUR&amp;startStation=1&amp;endStation=58", "Clic para verlo en la web de RoadSurfer")</f>
        <v/>
      </c>
    </row>
    <row r="35">
      <c r="A35" t="inlineStr">
        <is>
          <t>Alemania</t>
        </is>
      </c>
      <c r="B35" t="inlineStr">
        <is>
          <t>Múnich</t>
        </is>
      </c>
      <c r="C35" t="inlineStr">
        <is>
          <t>Italia</t>
        </is>
      </c>
      <c r="D35" t="inlineStr">
        <is>
          <t>Turín</t>
        </is>
      </c>
      <c r="E35" t="inlineStr">
        <is>
          <t>2025-11-29</t>
        </is>
      </c>
      <c r="F35" t="inlineStr">
        <is>
          <t>2025-12-06</t>
        </is>
      </c>
      <c r="G35" t="inlineStr">
        <is>
          <t xml:space="preserve"> - BEACH HOSTEL</t>
        </is>
      </c>
      <c r="H35">
        <f>HYPERLINK("https://booking.roadsurfer.com/es/rally/pick?pickup_date=2025-11-29&amp;return_date=2025-12-06&amp;currency=EUR&amp;startStation=1&amp;endStation=58", "Clic para verlo en la web de RoadSurfer")</f>
        <v/>
      </c>
    </row>
    <row r="36">
      <c r="A36" t="inlineStr">
        <is>
          <t>Alemania</t>
        </is>
      </c>
      <c r="B36" t="inlineStr">
        <is>
          <t>Múnich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2025-11-14</t>
        </is>
      </c>
      <c r="F36" t="inlineStr">
        <is>
          <t>2025-11-21</t>
        </is>
      </c>
      <c r="G36" t="inlineStr">
        <is>
          <t xml:space="preserve"> - Surfer Suite</t>
        </is>
      </c>
      <c r="H36">
        <f>HYPERLINK("https://booking.roadsurfer.com/es/rally/pick?pickup_date=2025-11-14&amp;return_date=2025-11-21&amp;currency=EUR&amp;startStation=1&amp;endStation=17", "Clic para verlo en la web de RoadSurfer")</f>
        <v/>
      </c>
    </row>
    <row r="37">
      <c r="A37" t="inlineStr">
        <is>
          <t>Alemania</t>
        </is>
      </c>
      <c r="B37" t="inlineStr">
        <is>
          <t>Múnich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2025-11-26</t>
        </is>
      </c>
      <c r="F37" t="inlineStr">
        <is>
          <t>2025-12-03</t>
        </is>
      </c>
      <c r="G37" t="inlineStr">
        <is>
          <t xml:space="preserve"> - SURFER SUITE</t>
        </is>
      </c>
      <c r="H37">
        <f>HYPERLINK("https://booking.roadsurfer.com/es/rally/pick?pickup_date=2025-11-26&amp;return_date=2025-12-03&amp;currency=EUR&amp;startStation=1&amp;endStation=78", "Clic para verlo en la web de RoadSurfer")</f>
        <v/>
      </c>
    </row>
    <row r="38">
      <c r="A38" t="inlineStr">
        <is>
          <t>Alemania</t>
        </is>
      </c>
      <c r="B38" t="inlineStr">
        <is>
          <t>Múnich</t>
        </is>
      </c>
      <c r="C38" t="inlineStr">
        <is>
          <t>Austria</t>
        </is>
      </c>
      <c r="D38" t="inlineStr">
        <is>
          <t>Linz</t>
        </is>
      </c>
      <c r="E38" t="inlineStr">
        <is>
          <t>2025-11-17</t>
        </is>
      </c>
      <c r="F38" t="inlineStr">
        <is>
          <t>2025-11-24</t>
        </is>
      </c>
      <c r="G38" t="inlineStr">
        <is>
          <t xml:space="preserve"> - SURFER SUITE</t>
        </is>
      </c>
      <c r="H38">
        <f>HYPERLINK("https://booking.roadsurfer.com/es/rally/pick?pickup_date=2025-11-17&amp;return_date=2025-11-24&amp;currency=EUR&amp;startStation=1&amp;endStation=116", "Clic para verlo en la web de RoadSurfer")</f>
        <v/>
      </c>
    </row>
    <row r="39">
      <c r="A39" t="inlineStr">
        <is>
          <t>Alemania</t>
        </is>
      </c>
      <c r="B39" t="inlineStr">
        <is>
          <t>Múnich</t>
        </is>
      </c>
      <c r="C39" t="inlineStr">
        <is>
          <t>Francia</t>
        </is>
      </c>
      <c r="D39" t="inlineStr">
        <is>
          <t>Toulouse</t>
        </is>
      </c>
      <c r="E39" t="inlineStr">
        <is>
          <t>2025-11-18</t>
        </is>
      </c>
      <c r="F39" t="inlineStr">
        <is>
          <t>2025-11-25</t>
        </is>
      </c>
      <c r="G39" t="inlineStr">
        <is>
          <t xml:space="preserve"> - Beach Hostel</t>
        </is>
      </c>
      <c r="H39">
        <f>HYPERLINK("https://booking.roadsurfer.com/es/rally/pick?pickup_date=2025-11-18&amp;return_date=2025-11-25&amp;currency=EUR&amp;startStation=1&amp;endStation=30", "Clic para verlo en la web de RoadSurfer")</f>
        <v/>
      </c>
    </row>
    <row r="40">
      <c r="A40" t="inlineStr">
        <is>
          <t>Alemania</t>
        </is>
      </c>
      <c r="B40" t="inlineStr">
        <is>
          <t>Múnich</t>
        </is>
      </c>
      <c r="C40" t="inlineStr">
        <is>
          <t>España</t>
        </is>
      </c>
      <c r="D40" t="inlineStr">
        <is>
          <t>Madrid</t>
        </is>
      </c>
      <c r="E40" t="inlineStr">
        <is>
          <t>2025-11-18</t>
        </is>
      </c>
      <c r="F40" t="inlineStr">
        <is>
          <t>2025-11-25</t>
        </is>
      </c>
      <c r="G40" t="inlineStr">
        <is>
          <t xml:space="preserve"> - BEACH HOSTEL</t>
        </is>
      </c>
      <c r="H40">
        <f>HYPERLINK("https://booking.roadsurfer.com/es/rally/pick?pickup_date=2025-11-18&amp;return_date=2025-11-25&amp;currency=EUR&amp;startStation=1&amp;endStation=20", "Clic para verlo en la web de RoadSurfer")</f>
        <v/>
      </c>
    </row>
    <row r="41">
      <c r="A41" t="inlineStr">
        <is>
          <t>Alemania</t>
        </is>
      </c>
      <c r="B41" t="inlineStr">
        <is>
          <t>Múnich</t>
        </is>
      </c>
      <c r="C41" t="inlineStr">
        <is>
          <t>España</t>
        </is>
      </c>
      <c r="D41" t="inlineStr">
        <is>
          <t>Valencia</t>
        </is>
      </c>
      <c r="E41" t="inlineStr">
        <is>
          <t>2025-11-13</t>
        </is>
      </c>
      <c r="F41" t="inlineStr">
        <is>
          <t>2025-11-20</t>
        </is>
      </c>
      <c r="G41" t="inlineStr">
        <is>
          <t xml:space="preserve"> - ROAD HOUSE</t>
        </is>
      </c>
      <c r="H41">
        <f>HYPERLINK("https://booking.roadsurfer.com/es/rally/pick?pickup_date=2025-11-13&amp;return_date=2025-11-20&amp;currency=EUR&amp;startStation=1&amp;endStation=38", "Clic para verlo en la web de RoadSurfer")</f>
        <v/>
      </c>
    </row>
    <row r="42">
      <c r="A42" t="inlineStr">
        <is>
          <t>Austria</t>
        </is>
      </c>
      <c r="B42" t="inlineStr">
        <is>
          <t>Salzburgo</t>
        </is>
      </c>
      <c r="C42" t="inlineStr">
        <is>
          <t>Alemania</t>
        </is>
      </c>
      <c r="D42" t="inlineStr">
        <is>
          <t>Hamburgo</t>
        </is>
      </c>
      <c r="E42" t="inlineStr">
        <is>
          <t>2025-11-12</t>
        </is>
      </c>
      <c r="F42" t="inlineStr">
        <is>
          <t>2025-11-19</t>
        </is>
      </c>
      <c r="G42" t="inlineStr">
        <is>
          <t xml:space="preserve"> - Camper Castle</t>
        </is>
      </c>
      <c r="H42">
        <f>HYPERLINK("https://booking.roadsurfer.com/es/rally/pick?pickup_date=2025-11-12&amp;return_date=2025-11-19&amp;currency=EUR&amp;startStation=85&amp;endStation=3", "Clic para verlo en la web de RoadSurfer")</f>
        <v/>
      </c>
    </row>
    <row r="43">
      <c r="A43" t="inlineStr">
        <is>
          <t>Alemania</t>
        </is>
      </c>
      <c r="B43" t="inlineStr">
        <is>
          <t>Stuttgart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2025-11-14</t>
        </is>
      </c>
      <c r="F43" t="inlineStr">
        <is>
          <t>2025-11-21</t>
        </is>
      </c>
      <c r="G43" t="inlineStr">
        <is>
          <t xml:space="preserve"> - No hay coche</t>
        </is>
      </c>
      <c r="H43">
        <f>HYPERLINK("https://booking.roadsurfer.com/es/rally/pick?pickup_date=2025-11-14&amp;return_date=2025-11-21&amp;currency=EUR&amp;startStation=5&amp;endStation=17", "Clic para verlo en la web de RoadSurfer")</f>
        <v/>
      </c>
    </row>
    <row r="44">
      <c r="A44" t="inlineStr">
        <is>
          <t>Alemania</t>
        </is>
      </c>
      <c r="B44" t="inlineStr">
        <is>
          <t>Stuttgart</t>
        </is>
      </c>
      <c r="C44" t="inlineStr">
        <is>
          <t>España</t>
        </is>
      </c>
      <c r="D44" t="inlineStr">
        <is>
          <t>Barcelona</t>
        </is>
      </c>
      <c r="E44" t="inlineStr">
        <is>
          <t>2025-11-12</t>
        </is>
      </c>
      <c r="F44" t="inlineStr">
        <is>
          <t>2025-11-19</t>
        </is>
      </c>
      <c r="G44" t="inlineStr">
        <is>
          <t xml:space="preserve"> - Surfer Suite</t>
        </is>
      </c>
      <c r="H44">
        <f>HYPERLINK("https://booking.roadsurfer.com/es/rally/pick?pickup_date=2025-11-12&amp;return_date=2025-11-19&amp;currency=EUR&amp;startStation=5&amp;endStation=17", "Clic para verlo en la web de RoadSurfer")</f>
        <v/>
      </c>
    </row>
    <row r="45">
      <c r="A45" t="inlineStr">
        <is>
          <t>Alemania</t>
        </is>
      </c>
      <c r="B45" t="inlineStr">
        <is>
          <t>Stuttgart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2025-11-24</t>
        </is>
      </c>
      <c r="F45" t="inlineStr">
        <is>
          <t>2025-12-01</t>
        </is>
      </c>
      <c r="G45" t="inlineStr">
        <is>
          <t xml:space="preserve"> - Surfer Suite</t>
        </is>
      </c>
      <c r="H45">
        <f>HYPERLINK("https://booking.roadsurfer.com/es/rally/pick?pickup_date=2025-11-24&amp;return_date=2025-12-01&amp;currency=EUR&amp;startStation=5&amp;endStation=38", "Clic para verlo en la web de RoadSurfer")</f>
        <v/>
      </c>
    </row>
    <row r="46">
      <c r="A46" t="inlineStr">
        <is>
          <t>Alemania</t>
        </is>
      </c>
      <c r="B46" t="inlineStr">
        <is>
          <t>Stuttgart</t>
        </is>
      </c>
      <c r="C46" t="inlineStr">
        <is>
          <t>Francia</t>
        </is>
      </c>
      <c r="D46" t="inlineStr">
        <is>
          <t>Nantes</t>
        </is>
      </c>
      <c r="E46" t="inlineStr">
        <is>
          <t>2025-11-24</t>
        </is>
      </c>
      <c r="F46" t="inlineStr">
        <is>
          <t>2025-12-01</t>
        </is>
      </c>
      <c r="G46" t="inlineStr">
        <is>
          <t xml:space="preserve"> - Beach Hostel</t>
        </is>
      </c>
      <c r="H46">
        <f>HYPERLINK("https://booking.roadsurfer.com/es/rally/pick?pickup_date=2025-11-24&amp;return_date=2025-12-01&amp;currency=EUR&amp;startStation=5&amp;endStation=31", "Clic para verlo en la web de RoadSurfer")</f>
        <v/>
      </c>
    </row>
    <row r="47">
      <c r="A47" t="inlineStr">
        <is>
          <t>Alemania</t>
        </is>
      </c>
      <c r="B47" t="inlineStr">
        <is>
          <t>Stuttgart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2025-11-21</t>
        </is>
      </c>
      <c r="F47" t="inlineStr">
        <is>
          <t>2025-11-28</t>
        </is>
      </c>
      <c r="G47" t="inlineStr">
        <is>
          <t xml:space="preserve"> - Camper Cabin</t>
        </is>
      </c>
      <c r="H47">
        <f>HYPERLINK("https://booking.roadsurfer.com/es/rally/pick?pickup_date=2025-11-21&amp;return_date=2025-11-28&amp;currency=EUR&amp;startStation=5&amp;endStation=13", "Clic para verlo en la web de RoadSurfer")</f>
        <v/>
      </c>
    </row>
    <row r="48">
      <c r="A48" t="inlineStr">
        <is>
          <t>Alemania</t>
        </is>
      </c>
      <c r="B48" t="inlineStr">
        <is>
          <t>Tréveris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2025-11-12</t>
        </is>
      </c>
      <c r="F48" t="inlineStr">
        <is>
          <t>2025-11-19</t>
        </is>
      </c>
      <c r="G48" t="inlineStr">
        <is>
          <t xml:space="preserve"> - Road House</t>
        </is>
      </c>
      <c r="H48">
        <f>HYPERLINK("https://booking.roadsurfer.com/es/rally/pick?pickup_date=2025-11-12&amp;return_date=2025-11-19&amp;currency=EUR&amp;startStation=28&amp;endStation=38", "Clic para verlo en la web de RoadSurfer")</f>
        <v/>
      </c>
    </row>
    <row r="49">
      <c r="A49" t="inlineStr">
        <is>
          <t>Alemania</t>
        </is>
      </c>
      <c r="B49" t="inlineStr">
        <is>
          <t>Tréveris</t>
        </is>
      </c>
      <c r="C49" t="inlineStr">
        <is>
          <t>España</t>
        </is>
      </c>
      <c r="D49" t="inlineStr">
        <is>
          <t>Valencia</t>
        </is>
      </c>
      <c r="E49" t="inlineStr">
        <is>
          <t>2025-11-11</t>
        </is>
      </c>
      <c r="F49" t="inlineStr">
        <is>
          <t>2025-11-18</t>
        </is>
      </c>
      <c r="G49" t="inlineStr">
        <is>
          <t xml:space="preserve"> - ROAD HOUSE</t>
        </is>
      </c>
      <c r="H49">
        <f>HYPERLINK("https://booking.roadsurfer.com/es/rally/pick?pickup_date=2025-11-11&amp;return_date=2025-11-18&amp;currency=EUR&amp;startStation=28&amp;endStation=38", "Clic para verlo en la web de RoadSurfer")</f>
        <v/>
      </c>
    </row>
    <row r="50">
      <c r="A50" t="inlineStr">
        <is>
          <t>Alemania</t>
        </is>
      </c>
      <c r="B50" t="inlineStr">
        <is>
          <t>Tréveris</t>
        </is>
      </c>
      <c r="C50" t="inlineStr">
        <is>
          <t>España</t>
        </is>
      </c>
      <c r="D50" t="inlineStr">
        <is>
          <t>Sevilla</t>
        </is>
      </c>
      <c r="E50" t="inlineStr">
        <is>
          <t>2025-11-12</t>
        </is>
      </c>
      <c r="F50" t="inlineStr">
        <is>
          <t>2025-11-19</t>
        </is>
      </c>
      <c r="G50" t="inlineStr">
        <is>
          <t xml:space="preserve"> - Family Finca</t>
        </is>
      </c>
      <c r="H50">
        <f>HYPERLINK("https://booking.roadsurfer.com/es/rally/pick?pickup_date=2025-11-12&amp;return_date=2025-11-19&amp;currency=EUR&amp;startStation=28&amp;endStation=39", "Clic para verlo en la web de RoadSurfer")</f>
        <v/>
      </c>
    </row>
    <row r="51">
      <c r="A51" t="inlineStr">
        <is>
          <t>Alemania</t>
        </is>
      </c>
      <c r="B51" t="inlineStr">
        <is>
          <t>Tréveris</t>
        </is>
      </c>
      <c r="C51" t="inlineStr">
        <is>
          <t>Suecia</t>
        </is>
      </c>
      <c r="D51" t="inlineStr">
        <is>
          <t>Malmö</t>
        </is>
      </c>
      <c r="E51" t="inlineStr">
        <is>
          <t>2025-11-21</t>
        </is>
      </c>
      <c r="F51" t="inlineStr">
        <is>
          <t>2025-11-28</t>
        </is>
      </c>
      <c r="G51" t="inlineStr">
        <is>
          <t xml:space="preserve"> - Road House</t>
        </is>
      </c>
      <c r="H51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2025-11-09T14:13:28Z</dcterms:created>
  <dcterms:modified xsi:type="dcterms:W3CDTF">2025-11-09T14:13:28Z</dcterms:modified>
</cp:coreProperties>
</file>