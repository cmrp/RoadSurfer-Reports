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Family Finca</t>
        </is>
      </c>
      <c r="H2">
        <f>HYPERLINK("https://booking.roadsurfer.com/es/rally/pick?pickup_date=2026-03-09&amp;return_date=2026-03-16&amp;currency=EUR&amp;startStation=114&amp;endStation=42",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Heidelberg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Road House</t>
        </is>
      </c>
      <c r="H4">
        <f>HYPERLINK("https://booking.roadsurfer.com/es/rally/pick?pickup_date=2026-04-20&amp;return_date=2026-04-27&amp;currency=EUR&amp;startStation=16&amp;endStation=79",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HYPERLINK("https://booking.roadsurfer.com/es/rally/pick?pickup_date=2026-04-15&amp;return_date=2026-04-22&amp;currency=EUR&amp;startStation=16&amp;endStation=11",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No hay coche</t>
        </is>
      </c>
      <c r="H6">
        <f>HYPERLINK("https://booking.roadsurfer.com/es/rally/pick?pickup_date=2026-04-10&amp;return_date=2026-04-17&amp;currency=EUR&amp;startStation=108&amp;endStation=32",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2026-04-10</t>
        </is>
      </c>
      <c r="F7" t="inlineStr">
        <is>
          <t>2026-04-17</t>
        </is>
      </c>
      <c r="G7" t="inlineStr">
        <is>
          <t xml:space="preserve"> - Surfer Suite</t>
        </is>
      </c>
      <c r="H7">
        <f>HYPERLINK("https://booking.roadsurfer.com/es/rally/pick?pickup_date=2026-04-10&amp;return_date=2026-04-17&amp;currency=EUR&amp;startStation=6&amp;endStation=87",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Colonia-Düsseldorf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Family Finca</t>
        </is>
      </c>
      <c r="H11">
        <f>HYPERLINK("https://booking.roadsurfer.com/es/rally/pick?pickup_date=2026-04-15&amp;return_date=2026-04-22&amp;currency=EUR&amp;startStation=13&amp;endStation=4",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Couple Cottage</t>
        </is>
      </c>
      <c r="H12">
        <f>HYPERLINK("https://booking.roadsurfer.com/es/rally/pick?pickup_date=2026-04-27&amp;return_date=2026-05-04&amp;currency=EUR&amp;startStation=13&amp;endStation=15",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2026-04-09</t>
        </is>
      </c>
      <c r="F13" t="inlineStr">
        <is>
          <t>2026-04-16</t>
        </is>
      </c>
      <c r="G13" t="inlineStr">
        <is>
          <t xml:space="preserve"> - Surfer Suite</t>
        </is>
      </c>
      <c r="H13">
        <f>HYPERLINK("https://booking.roadsurfer.com/es/rally/pick?pickup_date=2026-04-09&amp;return_date=2026-04-16&amp;currency=EUR&amp;startStation=55&amp;endStation=59",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2026-04-08</t>
        </is>
      </c>
      <c r="F14" t="inlineStr">
        <is>
          <t>2026-04-15</t>
        </is>
      </c>
      <c r="G14" t="inlineStr">
        <is>
          <t xml:space="preserve"> - BEACH HOSTEL</t>
        </is>
      </c>
      <c r="H14">
        <f>HYPERLINK("https://booking.roadsurfer.com/es/rally/pick?pickup_date=2026-04-08&amp;return_date=2026-04-15&amp;currency=EUR&amp;startStation=55&amp;endStation=59",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HYPERLINK("https://booking.roadsurfer.com/es/rally/pick?pickup_date=2026-04-10&amp;return_date=2026-04-17&amp;currency=EUR&amp;startStation=55&amp;endStation=77",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2026-04-09</t>
        </is>
      </c>
      <c r="F16" t="inlineStr">
        <is>
          <t>2026-04-16</t>
        </is>
      </c>
      <c r="G16" t="inlineStr">
        <is>
          <t xml:space="preserve"> - Road House</t>
        </is>
      </c>
      <c r="H16">
        <f>HYPERLINK("https://booking.roadsurfer.com/es/rally/pick?pickup_date=2026-04-09&amp;return_date=2026-04-16&amp;currency=EUR&amp;startStation=55&amp;endStation=77",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Malmö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HYPERLINK("https://booking.roadsurfer.com/es/rally/pick?pickup_date=2026-04-09&amp;return_date=2026-04-16&amp;currency=EUR&amp;startStation=55&amp;endStation=60", "Clic para verlo en la web de RoadSurfer")</f>
        <v/>
      </c>
    </row>
    <row r="18">
      <c r="A18" t="inlineStr">
        <is>
          <t>Bélgica</t>
        </is>
      </c>
      <c r="B18" t="inlineStr">
        <is>
          <t>Bruselas</t>
        </is>
      </c>
      <c r="C18" t="inlineStr">
        <is>
          <t>Países Bajos</t>
        </is>
      </c>
      <c r="D18" t="inlineStr">
        <is>
          <t>Ámsterdam</t>
        </is>
      </c>
      <c r="E18" t="inlineStr">
        <is>
          <t>2026-03-10</t>
        </is>
      </c>
      <c r="F18" t="inlineStr">
        <is>
          <t>2026-03-17</t>
        </is>
      </c>
      <c r="G18" t="inlineStr">
        <is>
          <t xml:space="preserve"> - Surfer Suite</t>
        </is>
      </c>
      <c r="H18">
        <f>HYPERLINK("https://booking.roadsurfer.com/es/rally/pick?pickup_date=2026-03-10&amp;return_date=2026-03-17&amp;currency=EUR&amp;startStation=42&amp;endStation=32", "Clic para verlo en la web de RoadSurfer")</f>
        <v/>
      </c>
    </row>
    <row r="19">
      <c r="A19" t="inlineStr">
        <is>
          <t>Alemania</t>
        </is>
      </c>
      <c r="B19" t="inlineStr">
        <is>
          <t>Colonia-Bonn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2026-04-10</t>
        </is>
      </c>
      <c r="F19" t="inlineStr">
        <is>
          <t>2026-04-17</t>
        </is>
      </c>
      <c r="G19" t="inlineStr">
        <is>
          <t xml:space="preserve"> - SURFER SUITE</t>
        </is>
      </c>
      <c r="H19">
        <f>HYPERLINK("https://booking.roadsurfer.com/es/rally/pick?pickup_date=2026-04-10&amp;return_date=2026-04-17&amp;currency=EUR&amp;startStation=52&amp;endStation=48",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2026-05-02</t>
        </is>
      </c>
      <c r="F20" t="inlineStr">
        <is>
          <t>2026-05-09</t>
        </is>
      </c>
      <c r="G20" t="inlineStr">
        <is>
          <t xml:space="preserve"> - Family Finca</t>
        </is>
      </c>
      <c r="H20">
        <f>HYPERLINK("https://booking.roadsurfer.com/es/rally/pick?pickup_date=2026-05-02&amp;return_date=2026-05-09&amp;currency=EUR&amp;startStation=52&amp;endStation=31", "Clic para verlo en la web de RoadSurfer")</f>
        <v/>
      </c>
    </row>
    <row r="21">
      <c r="A21" t="inlineStr">
        <is>
          <t>Alemania</t>
        </is>
      </c>
      <c r="B21" t="inlineStr">
        <is>
          <t>Colonia-Düsseldorf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2026-04-09</t>
        </is>
      </c>
      <c r="F21" t="inlineStr">
        <is>
          <t>2026-04-16</t>
        </is>
      </c>
      <c r="G21" t="inlineStr">
        <is>
          <t xml:space="preserve"> - Surfer Suite</t>
        </is>
      </c>
      <c r="H21">
        <f>HYPERLINK("https://booking.roadsurfer.com/es/rally/pick?pickup_date=2026-04-09&amp;return_date=2026-04-16&amp;currency=EUR&amp;startStation=4&amp;endStation=31", "Clic para verlo en la web de RoadSurfer")</f>
        <v/>
      </c>
    </row>
    <row r="22">
      <c r="A22" t="inlineStr">
        <is>
          <t>Alemania</t>
        </is>
      </c>
      <c r="B22" t="inlineStr">
        <is>
          <t>Dresde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2026-04-09</t>
        </is>
      </c>
      <c r="F22" t="inlineStr">
        <is>
          <t>2026-04-16</t>
        </is>
      </c>
      <c r="G22" t="inlineStr">
        <is>
          <t xml:space="preserve"> - Road House</t>
        </is>
      </c>
      <c r="H22">
        <f>HYPERLINK("https://booking.roadsurfer.com/es/rally/pick?pickup_date=2026-04-09&amp;return_date=2026-04-16&amp;currency=EUR&amp;startStation=56&amp;endStation=59",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2026-04-07</t>
        </is>
      </c>
      <c r="F23" t="inlineStr">
        <is>
          <t>2026-04-14</t>
        </is>
      </c>
      <c r="G23" t="inlineStr">
        <is>
          <t xml:space="preserve"> - Road House</t>
        </is>
      </c>
      <c r="H23">
        <f>HYPERLINK("https://booking.roadsurfer.com/es/rally/pick?pickup_date=2026-04-07&amp;return_date=2026-04-14&amp;currency=EUR&amp;startStation=56&amp;endStation=59",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Alemania</t>
        </is>
      </c>
      <c r="D24" t="inlineStr">
        <is>
          <t>Braunschweig</t>
        </is>
      </c>
      <c r="E24" t="inlineStr">
        <is>
          <t>2026-04-20</t>
        </is>
      </c>
      <c r="F24" t="inlineStr">
        <is>
          <t>2026-04-27</t>
        </is>
      </c>
      <c r="G24" t="inlineStr">
        <is>
          <t xml:space="preserve"> - No hay coche</t>
        </is>
      </c>
      <c r="H24">
        <f>HYPERLINK("https://booking.roadsurfer.com/es/rally/pick?pickup_date=2026-04-20&amp;return_date=2026-04-27&amp;currency=EUR&amp;startStation=56&amp;endStation=128",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Italia</t>
        </is>
      </c>
      <c r="D25" t="inlineStr">
        <is>
          <t>Turín</t>
        </is>
      </c>
      <c r="E25" t="inlineStr">
        <is>
          <t>2026-04-09</t>
        </is>
      </c>
      <c r="F25" t="inlineStr">
        <is>
          <t>2026-04-16</t>
        </is>
      </c>
      <c r="G25" t="inlineStr">
        <is>
          <t xml:space="preserve"> - Surfer Suite</t>
        </is>
      </c>
      <c r="H25">
        <f>HYPERLINK("https://booking.roadsurfer.com/es/rally/pick?pickup_date=2026-04-09&amp;return_date=2026-04-16&amp;currency=EUR&amp;startStation=56&amp;endStation=58",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2026-04-10</t>
        </is>
      </c>
      <c r="F26" t="inlineStr">
        <is>
          <t>2026-04-16</t>
        </is>
      </c>
      <c r="G26" t="inlineStr">
        <is>
          <t xml:space="preserve"> - Road House</t>
        </is>
      </c>
      <c r="H26">
        <f>HYPERLINK("https://booking.roadsurfer.com/es/rally/pick?pickup_date=2026-04-10&amp;return_date=2026-04-16&amp;currency=EUR&amp;startStation=56&amp;endStation=42",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Italia</t>
        </is>
      </c>
      <c r="D27" t="inlineStr">
        <is>
          <t>Venecia</t>
        </is>
      </c>
      <c r="E27" t="inlineStr">
        <is>
          <t>2026-04-08</t>
        </is>
      </c>
      <c r="F27" t="inlineStr">
        <is>
          <t>2026-04-15</t>
        </is>
      </c>
      <c r="G27" t="inlineStr">
        <is>
          <t xml:space="preserve"> - Sunrise Suite</t>
        </is>
      </c>
      <c r="H27">
        <f>HYPERLINK("https://booking.roadsurfer.com/es/rally/pick?pickup_date=2026-04-08&amp;return_date=2026-04-15&amp;currency=EUR&amp;startStation=56&amp;endStation=78", "Clic para verlo en la web de RoadSurfer")</f>
        <v/>
      </c>
    </row>
    <row r="28">
      <c r="A28" t="inlineStr">
        <is>
          <t>Alemania</t>
        </is>
      </c>
      <c r="B28" t="inlineStr">
        <is>
          <t>Erfurt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2026-04-07</t>
        </is>
      </c>
      <c r="F28" t="inlineStr">
        <is>
          <t>2026-04-14</t>
        </is>
      </c>
      <c r="G28" t="inlineStr">
        <is>
          <t xml:space="preserve"> - SURFER SUITE</t>
        </is>
      </c>
      <c r="H28">
        <f>HYPERLINK("https://booking.roadsurfer.com/es/rally/pick?pickup_date=2026-04-07&amp;return_date=2026-04-14&amp;currency=EUR&amp;startStation=90&amp;endStation=48",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Road House</t>
        </is>
      </c>
      <c r="H29">
        <f>HYPERLINK("https://booking.roadsurfer.com/es/rally/pick?pickup_date=2026-04-14&amp;return_date=2026-04-21&amp;currency=EUR&amp;startStation=90&amp;endStation=77",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Francia</t>
        </is>
      </c>
      <c r="D30" t="inlineStr">
        <is>
          <t>Estrasburgo</t>
        </is>
      </c>
      <c r="E30" t="inlineStr">
        <is>
          <t>2026-04-10</t>
        </is>
      </c>
      <c r="F30" t="inlineStr">
        <is>
          <t>2026-04-17</t>
        </is>
      </c>
      <c r="G30" t="inlineStr">
        <is>
          <t xml:space="preserve"> - Beach Hostel</t>
        </is>
      </c>
      <c r="H30">
        <f>HYPERLINK("https://booking.roadsurfer.com/es/rally/pick?pickup_date=2026-04-10&amp;return_date=2026-04-17&amp;currency=EUR&amp;startStation=90&amp;endStation=49",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2026-04-14</t>
        </is>
      </c>
      <c r="F31" t="inlineStr">
        <is>
          <t>2026-04-21</t>
        </is>
      </c>
      <c r="G31" t="inlineStr">
        <is>
          <t xml:space="preserve"> - Beach Hostel</t>
        </is>
      </c>
      <c r="H31">
        <f>HYPERLINK("https://booking.roadsurfer.com/es/rally/pick?pickup_date=2026-04-14&amp;return_date=2026-04-21&amp;currency=EUR&amp;startStation=90&amp;endStation=42", "Clic para verlo en la web de RoadSurfer")</f>
        <v/>
      </c>
    </row>
    <row r="32">
      <c r="A32" t="inlineStr">
        <is>
          <t>Alemania</t>
        </is>
      </c>
      <c r="B32" t="inlineStr">
        <is>
          <t>Fráncfort</t>
        </is>
      </c>
      <c r="C32" t="inlineStr">
        <is>
          <t>Alemania</t>
        </is>
      </c>
      <c r="D32" t="inlineStr">
        <is>
          <t>Braunschweig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No hay coche</t>
        </is>
      </c>
      <c r="H32">
        <f>HYPERLINK("https://booking.roadsurfer.com/es/rally/pick?pickup_date=2026-04-20&amp;return_date=2026-04-27&amp;currency=EUR&amp;startStation=2&amp;endStation=128", "Clic para verlo en la web de RoadSurfer")</f>
        <v/>
      </c>
    </row>
    <row r="33">
      <c r="A33" t="inlineStr">
        <is>
          <t>Suecia</t>
        </is>
      </c>
      <c r="B33" t="inlineStr">
        <is>
          <t>Gotemburgo</t>
        </is>
      </c>
      <c r="C33" t="inlineStr">
        <is>
          <t>Alemania</t>
        </is>
      </c>
      <c r="D33" t="inlineStr">
        <is>
          <t>Berlín-Schönefeld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Road House</t>
        </is>
      </c>
      <c r="H33">
        <f>HYPERLINK("https://booking.roadsurfer.com/es/rally/pick?pickup_date=2026-04-14&amp;return_date=2026-04-21&amp;currency=EUR&amp;startStation=77&amp;endStation=51", "Clic para verlo en la web de RoadSurfer")</f>
        <v/>
      </c>
    </row>
    <row r="34">
      <c r="A34" t="inlineStr">
        <is>
          <t>Suecia</t>
        </is>
      </c>
      <c r="B34" t="inlineStr">
        <is>
          <t>Gotemburgo</t>
        </is>
      </c>
      <c r="C34" t="inlineStr">
        <is>
          <t>Alemania</t>
        </is>
      </c>
      <c r="D34" t="inlineStr">
        <is>
          <t>Erfurt</t>
        </is>
      </c>
      <c r="E34" t="inlineStr">
        <is>
          <t>2026-04-14</t>
        </is>
      </c>
      <c r="F34" t="inlineStr">
        <is>
          <t>2026-04-21</t>
        </is>
      </c>
      <c r="G34" t="inlineStr">
        <is>
          <t xml:space="preserve"> - Road House</t>
        </is>
      </c>
      <c r="H34">
        <f>HYPERLINK("https://booking.roadsurfer.com/es/rally/pick?pickup_date=2026-04-14&amp;return_date=2026-04-21&amp;currency=EUR&amp;startStation=77&amp;endStation=90",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2026-04-15</t>
        </is>
      </c>
      <c r="F35" t="inlineStr">
        <is>
          <t>2026-04-22</t>
        </is>
      </c>
      <c r="G35" t="inlineStr">
        <is>
          <t xml:space="preserve"> - Camper Castle</t>
        </is>
      </c>
      <c r="H35">
        <f>HYPERLINK("https://booking.roadsurfer.com/es/rally/pick?pickup_date=2026-04-15&amp;return_date=2026-04-22&amp;currency=EUR&amp;startStation=77&amp;endStation=110",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Maguncia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Camper Castle</t>
        </is>
      </c>
      <c r="H36">
        <f>HYPERLINK("https://booking.roadsurfer.com/es/rally/pick?pickup_date=2026-04-14&amp;return_date=2026-04-21&amp;currency=EUR&amp;startStation=77&amp;endStation=54", "Clic para verlo en la web de RoadSurfer")</f>
        <v/>
      </c>
    </row>
    <row r="37">
      <c r="A37" t="inlineStr">
        <is>
          <t>Austria</t>
        </is>
      </c>
      <c r="B37" t="inlineStr">
        <is>
          <t>Graz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Road House</t>
        </is>
      </c>
      <c r="H37">
        <f>HYPERLINK("https://booking.roadsurfer.com/es/rally/pick?pickup_date=2026-04-14&amp;return_date=2026-04-21&amp;currency=EUR&amp;startStation=37&amp;endStation=56", "Clic para verlo en la web de RoadSurfer")</f>
        <v/>
      </c>
    </row>
    <row r="38">
      <c r="A38" t="inlineStr">
        <is>
          <t>Austria</t>
        </is>
      </c>
      <c r="B38" t="inlineStr">
        <is>
          <t>Graz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2026-04-15</t>
        </is>
      </c>
      <c r="F38" t="inlineStr">
        <is>
          <t>2026-04-22</t>
        </is>
      </c>
      <c r="G38" t="inlineStr">
        <is>
          <t xml:space="preserve"> - Family Finca</t>
        </is>
      </c>
      <c r="H38">
        <f>HYPERLINK("https://booking.roadsurfer.com/es/rally/pick?pickup_date=2026-04-15&amp;return_date=2026-04-22&amp;currency=EUR&amp;startStation=37&amp;endStation=56", "Clic para verlo en la web de RoadSurfer")</f>
        <v/>
      </c>
    </row>
    <row r="39">
      <c r="A39" t="inlineStr">
        <is>
          <t>Alemania</t>
        </is>
      </c>
      <c r="B39" t="inlineStr">
        <is>
          <t>Hamburgo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2026-04-09</t>
        </is>
      </c>
      <c r="F39" t="inlineStr">
        <is>
          <t>2026-04-15</t>
        </is>
      </c>
      <c r="G39" t="inlineStr">
        <is>
          <t xml:space="preserve"> - Beach Hostel</t>
        </is>
      </c>
      <c r="H39">
        <f>HYPERLINK("https://booking.roadsurfer.com/es/rally/pick?pickup_date=2026-04-09&amp;return_date=2026-04-15&amp;currency=EUR&amp;startStation=3&amp;endStation=59", "Clic para verlo en la web de RoadSurfer")</f>
        <v/>
      </c>
    </row>
    <row r="40">
      <c r="A40" t="inlineStr">
        <is>
          <t>Alemania</t>
        </is>
      </c>
      <c r="B40" t="inlineStr">
        <is>
          <t>Hannover</t>
        </is>
      </c>
      <c r="C40" t="inlineStr">
        <is>
          <t>Alemania</t>
        </is>
      </c>
      <c r="D40" t="inlineStr">
        <is>
          <t>Braunschweig</t>
        </is>
      </c>
      <c r="E40" t="inlineStr">
        <is>
          <t>2026-04-20</t>
        </is>
      </c>
      <c r="F40" t="inlineStr">
        <is>
          <t>2026-04-27</t>
        </is>
      </c>
      <c r="G40" t="inlineStr">
        <is>
          <t xml:space="preserve"> - No hay coche</t>
        </is>
      </c>
      <c r="H40">
        <f>HYPERLINK("https://booking.roadsurfer.com/es/rally/pick?pickup_date=2026-04-20&amp;return_date=2026-04-27&amp;currency=EUR&amp;startStation=7&amp;endStation=128", "Clic para verlo en la web de RoadSurfer")</f>
        <v/>
      </c>
    </row>
    <row r="41">
      <c r="A41" t="inlineStr">
        <is>
          <t>EE.UU.</t>
        </is>
      </c>
      <c r="B41" t="inlineStr">
        <is>
          <t>Las Vegas</t>
        </is>
      </c>
      <c r="C41" t="inlineStr">
        <is>
          <t>EE.UU.</t>
        </is>
      </c>
      <c r="D41" t="inlineStr">
        <is>
          <t>Seattle</t>
        </is>
      </c>
      <c r="E41" t="inlineStr">
        <is>
          <t>2026-03-20</t>
        </is>
      </c>
      <c r="F41" t="inlineStr">
        <is>
          <t>2026-03-27</t>
        </is>
      </c>
      <c r="G41" t="inlineStr">
        <is>
          <t xml:space="preserve"> - Family Freedom</t>
        </is>
      </c>
      <c r="H41">
        <f>HYPERLINK("https://booking.roadsurfer.com/es/rally/pick?pickup_date=2026-03-20&amp;return_date=2026-03-27&amp;currency=EUR&amp;startStation=76&amp;endStation=107", "Clic para verlo en la web de RoadSurfer")</f>
        <v/>
      </c>
    </row>
    <row r="42">
      <c r="A42" t="inlineStr">
        <is>
          <t>EE.UU.</t>
        </is>
      </c>
      <c r="B42" t="inlineStr">
        <is>
          <t>Las Vegas</t>
        </is>
      </c>
      <c r="C42" t="inlineStr">
        <is>
          <t>EE.UU.</t>
        </is>
      </c>
      <c r="D42" t="inlineStr">
        <is>
          <t>Seattle</t>
        </is>
      </c>
      <c r="E42" t="inlineStr">
        <is>
          <t>2026-03-27</t>
        </is>
      </c>
      <c r="F42" t="inlineStr">
        <is>
          <t>2026-04-03</t>
        </is>
      </c>
      <c r="G42" t="inlineStr">
        <is>
          <t xml:space="preserve"> - Family Freedom</t>
        </is>
      </c>
      <c r="H42">
        <f>HYPERLINK("https://booking.roadsurfer.com/es/rally/pick?pickup_date=2026-03-27&amp;return_date=2026-04-03&amp;currency=EUR&amp;startStation=76&amp;endStation=107", "Clic para verlo en la web de RoadSurfer")</f>
        <v/>
      </c>
    </row>
    <row r="43">
      <c r="A43" t="inlineStr">
        <is>
          <t>EE.UU.</t>
        </is>
      </c>
      <c r="B43" t="inlineStr">
        <is>
          <t>Las Vegas</t>
        </is>
      </c>
      <c r="C43" t="inlineStr">
        <is>
          <t>EE.UU.</t>
        </is>
      </c>
      <c r="D43" t="inlineStr">
        <is>
          <t>Seattle</t>
        </is>
      </c>
      <c r="E43" t="inlineStr">
        <is>
          <t>2026-03-25</t>
        </is>
      </c>
      <c r="F43" t="inlineStr">
        <is>
          <t>2026-04-01</t>
        </is>
      </c>
      <c r="G43" t="inlineStr">
        <is>
          <t xml:space="preserve"> - Liberty Lodge</t>
        </is>
      </c>
      <c r="H43">
        <f>HYPERLINK("https://booking.roadsurfer.com/es/rally/pick?pickup_date=2026-03-25&amp;return_date=2026-04-01&amp;currency=EUR&amp;startStation=76&amp;endStation=107",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Denver</t>
        </is>
      </c>
      <c r="E44" t="inlineStr">
        <is>
          <t>2026-04-20</t>
        </is>
      </c>
      <c r="F44" t="inlineStr">
        <is>
          <t>2026-04-27</t>
        </is>
      </c>
      <c r="G44" t="inlineStr">
        <is>
          <t xml:space="preserve"> - Couple Condo</t>
        </is>
      </c>
      <c r="H44">
        <f>HYPERLINK("https://booking.roadsurfer.com/es/rally/pick?pickup_date=2026-04-20&amp;return_date=2026-04-27&amp;currency=EUR&amp;startStation=76&amp;endStation=104", "Clic para verlo en la web de RoadSurfer")</f>
        <v/>
      </c>
    </row>
    <row r="45">
      <c r="A45" t="inlineStr">
        <is>
          <t>Alemania</t>
        </is>
      </c>
      <c r="B45" t="inlineStr">
        <is>
          <t>Leipzig</t>
        </is>
      </c>
      <c r="C45" t="inlineStr">
        <is>
          <t>Alemania</t>
        </is>
      </c>
      <c r="D45" t="inlineStr">
        <is>
          <t>Braunschweig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No hay coche</t>
        </is>
      </c>
      <c r="H45">
        <f>HYPERLINK("https://booking.roadsurfer.com/es/rally/pick?pickup_date=2026-04-20&amp;return_date=2026-04-27&amp;currency=EUR&amp;startStation=8&amp;endStation=128", "Clic para verlo en la web de RoadSurfer")</f>
        <v/>
      </c>
    </row>
    <row r="46">
      <c r="A46" t="inlineStr">
        <is>
          <t>España</t>
        </is>
      </c>
      <c r="B46" t="inlineStr">
        <is>
          <t>Madrid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2026-04-15</t>
        </is>
      </c>
      <c r="F46" t="inlineStr">
        <is>
          <t>2026-04-22</t>
        </is>
      </c>
      <c r="G46" t="inlineStr">
        <is>
          <t xml:space="preserve"> - Couple Cottage</t>
        </is>
      </c>
      <c r="H46">
        <f>HYPERLINK("https://booking.roadsurfer.com/es/rally/pick?pickup_date=2026-04-15&amp;return_date=2026-04-22&amp;currency=EUR&amp;startStation=20&amp;endStation=9", "Clic para verlo en la web de RoadSurfer")</f>
        <v/>
      </c>
    </row>
    <row r="47">
      <c r="A47" t="inlineStr">
        <is>
          <t>Suecia</t>
        </is>
      </c>
      <c r="B47" t="inlineStr">
        <is>
          <t>Malmö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Camper Castle</t>
        </is>
      </c>
      <c r="H47">
        <f>HYPERLINK("https://booking.roadsurfer.com/es/rally/pick?pickup_date=2026-04-20&amp;return_date=2026-04-27&amp;currency=EUR&amp;startStation=60&amp;endStation=5", "Clic para verlo en la web de RoadSurfer")</f>
        <v/>
      </c>
    </row>
    <row r="48">
      <c r="A48" t="inlineStr">
        <is>
          <t>Suecia</t>
        </is>
      </c>
      <c r="B48" t="inlineStr">
        <is>
          <t>Malmö</t>
        </is>
      </c>
      <c r="C48" t="inlineStr">
        <is>
          <t>Alemania</t>
        </is>
      </c>
      <c r="D48" t="inlineStr">
        <is>
          <t>Berlín-Schönefeld</t>
        </is>
      </c>
      <c r="E48" t="inlineStr">
        <is>
          <t>2026-04-15</t>
        </is>
      </c>
      <c r="F48" t="inlineStr">
        <is>
          <t>2026-04-22</t>
        </is>
      </c>
      <c r="G48" t="inlineStr">
        <is>
          <t xml:space="preserve"> - Family Finca</t>
        </is>
      </c>
      <c r="H48">
        <f>HYPERLINK("https://booking.roadsurfer.com/es/rally/pick?pickup_date=2026-04-15&amp;return_date=2026-04-22&amp;currency=EUR&amp;startStation=60&amp;endStation=51", "Clic para verlo en la web de RoadSurfer")</f>
        <v/>
      </c>
    </row>
    <row r="49">
      <c r="A49" t="inlineStr">
        <is>
          <t>Suecia</t>
        </is>
      </c>
      <c r="B49" t="inlineStr">
        <is>
          <t>Malmö</t>
        </is>
      </c>
      <c r="C49" t="inlineStr">
        <is>
          <t>Alemania</t>
        </is>
      </c>
      <c r="D49" t="inlineStr">
        <is>
          <t>Bielefeld</t>
        </is>
      </c>
      <c r="E49" t="inlineStr">
        <is>
          <t>2026-04-14</t>
        </is>
      </c>
      <c r="F49" t="inlineStr">
        <is>
          <t>2026-04-21</t>
        </is>
      </c>
      <c r="G49" t="inlineStr">
        <is>
          <t xml:space="preserve"> - Family Finca</t>
        </is>
      </c>
      <c r="H49">
        <f>HYPERLINK("https://booking.roadsurfer.com/es/rally/pick?pickup_date=2026-04-14&amp;return_date=2026-04-21&amp;currency=EUR&amp;startStation=60&amp;endStation=91",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2026-04-04</t>
        </is>
      </c>
      <c r="F50" t="inlineStr">
        <is>
          <t>2026-04-11</t>
        </is>
      </c>
      <c r="G50" t="inlineStr">
        <is>
          <t xml:space="preserve"> - No hay coche</t>
        </is>
      </c>
      <c r="H50">
        <f>HYPERLINK("https://booking.roadsurfer.com/es/rally/pick?pickup_date=2026-04-04&amp;return_date=2026-04-11&amp;currency=EUR&amp;startStation=22&amp;endStation=77",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2026-04-09</t>
        </is>
      </c>
      <c r="F51" t="inlineStr">
        <is>
          <t>2026-04-16</t>
        </is>
      </c>
      <c r="G51" t="inlineStr">
        <is>
          <t xml:space="preserve"> - Couple Cottage</t>
        </is>
      </c>
      <c r="H51">
        <f>HYPERLINK("https://booking.roadsurfer.com/es/rally/pick?pickup_date=2026-04-09&amp;return_date=2026-04-16&amp;currency=EUR&amp;startStation=22&amp;endStation=77",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2026-04-07</t>
        </is>
      </c>
      <c r="F52" t="inlineStr">
        <is>
          <t>2026-04-14</t>
        </is>
      </c>
      <c r="G52" t="inlineStr">
        <is>
          <t xml:space="preserve"> - Surfer Suite</t>
        </is>
      </c>
      <c r="H52">
        <f>HYPERLINK("https://booking.roadsurfer.com/es/rally/pick?pickup_date=2026-04-07&amp;return_date=2026-04-14&amp;currency=EUR&amp;startStation=22&amp;endStation=12",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2026-04-06</t>
        </is>
      </c>
      <c r="F53" t="inlineStr">
        <is>
          <t>2026-04-13</t>
        </is>
      </c>
      <c r="G53" t="inlineStr">
        <is>
          <t xml:space="preserve"> - Surfer Suite</t>
        </is>
      </c>
      <c r="H53">
        <f>HYPERLINK("https://booking.roadsurfer.com/es/rally/pick?pickup_date=2026-04-06&amp;return_date=2026-04-13&amp;currency=EUR&amp;startStation=22&amp;endStation=13", "Clic para verlo en la web de RoadSurfer")</f>
        <v/>
      </c>
    </row>
    <row r="54">
      <c r="A54" t="inlineStr">
        <is>
          <t>Alemania</t>
        </is>
      </c>
      <c r="B54" t="inlineStr">
        <is>
          <t>Múnich</t>
        </is>
      </c>
      <c r="C54" t="inlineStr">
        <is>
          <t>Francia</t>
        </is>
      </c>
      <c r="D54" t="inlineStr">
        <is>
          <t>Aix-Marsella</t>
        </is>
      </c>
      <c r="E54" t="inlineStr">
        <is>
          <t>2026-04-11</t>
        </is>
      </c>
      <c r="F54" t="inlineStr">
        <is>
          <t>2026-04-18</t>
        </is>
      </c>
      <c r="G54" t="inlineStr">
        <is>
          <t xml:space="preserve"> - Road House</t>
        </is>
      </c>
      <c r="H54">
        <f>HYPERLINK("https://booking.roadsurfer.com/es/rally/pick?pickup_date=2026-04-11&amp;return_date=2026-04-18&amp;currency=EUR&amp;startStation=1&amp;endStation=16", "Clic para verlo en la web de RoadSurfer")</f>
        <v/>
      </c>
    </row>
    <row r="55">
      <c r="A55" t="inlineStr">
        <is>
          <t>Alemania</t>
        </is>
      </c>
      <c r="B55" t="inlineStr">
        <is>
          <t>Múnich</t>
        </is>
      </c>
      <c r="C55" t="inlineStr">
        <is>
          <t>Alemania</t>
        </is>
      </c>
      <c r="D55" t="inlineStr">
        <is>
          <t>Braunschweig</t>
        </is>
      </c>
      <c r="E55" t="inlineStr">
        <is>
          <t>2026-04-20</t>
        </is>
      </c>
      <c r="F55" t="inlineStr">
        <is>
          <t>2026-04-27</t>
        </is>
      </c>
      <c r="G55" t="inlineStr">
        <is>
          <t xml:space="preserve"> - No hay coche</t>
        </is>
      </c>
      <c r="H55">
        <f>HYPERLINK("https://booking.roadsurfer.com/es/rally/pick?pickup_date=2026-04-20&amp;return_date=2026-04-27&amp;currency=EUR&amp;startStation=1&amp;endStation=128", "Clic para verlo en la web de RoadSurfer")</f>
        <v/>
      </c>
    </row>
    <row r="56">
      <c r="A56" t="inlineStr">
        <is>
          <t>Francia</t>
        </is>
      </c>
      <c r="B56" t="inlineStr">
        <is>
          <t>Niza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2026-04-12</t>
        </is>
      </c>
      <c r="F56" t="inlineStr">
        <is>
          <t>2026-04-19</t>
        </is>
      </c>
      <c r="G56" t="inlineStr">
        <is>
          <t xml:space="preserve"> - No hay coche</t>
        </is>
      </c>
      <c r="H56">
        <f>HYPERLINK("https://booking.roadsurfer.com/es/rally/pick?pickup_date=2026-04-12&amp;return_date=2026-04-19&amp;currency=EUR&amp;startStation=88&amp;endStation=1", "Clic para verlo en la web de RoadSurfer")</f>
        <v/>
      </c>
    </row>
    <row r="57">
      <c r="A57" t="inlineStr">
        <is>
          <t>Francia</t>
        </is>
      </c>
      <c r="B57" t="inlineStr">
        <is>
          <t>París Aeropuerto CDG</t>
        </is>
      </c>
      <c r="C57" t="inlineStr">
        <is>
          <t>Francia</t>
        </is>
      </c>
      <c r="D57" t="inlineStr">
        <is>
          <t>Aix-Marsella</t>
        </is>
      </c>
      <c r="E57" t="inlineStr">
        <is>
          <t>2026-04-20</t>
        </is>
      </c>
      <c r="F57" t="inlineStr">
        <is>
          <t>2026-04-27</t>
        </is>
      </c>
      <c r="G57" t="inlineStr">
        <is>
          <t xml:space="preserve"> - Couple Cottage</t>
        </is>
      </c>
      <c r="H57">
        <f>HYPERLINK("https://booking.roadsurfer.com/es/rally/pick?pickup_date=2026-04-20&amp;return_date=2026-04-27&amp;currency=EUR&amp;startStation=48&amp;endStation=16", "Clic para verlo en la web de RoadSurfer")</f>
        <v/>
      </c>
    </row>
    <row r="58">
      <c r="A58" t="inlineStr">
        <is>
          <t>EE.UU.</t>
        </is>
      </c>
      <c r="B58" t="inlineStr">
        <is>
          <t>Phoenix</t>
        </is>
      </c>
      <c r="C58" t="inlineStr">
        <is>
          <t>EE.UU.</t>
        </is>
      </c>
      <c r="D58" t="inlineStr">
        <is>
          <t>Dallas</t>
        </is>
      </c>
      <c r="E58" t="inlineStr">
        <is>
          <t>2026-03-19</t>
        </is>
      </c>
      <c r="F58" t="inlineStr">
        <is>
          <t>2026-03-26</t>
        </is>
      </c>
      <c r="G58" t="inlineStr">
        <is>
          <t xml:space="preserve"> - Couple Condo</t>
        </is>
      </c>
      <c r="H58">
        <f>HYPERLINK("https://booking.roadsurfer.com/es/rally/pick?pickup_date=2026-03-19&amp;return_date=2026-03-26&amp;currency=EUR&amp;startStation=105&amp;endStation=125", "Clic para verlo en la web de RoadSurfer")</f>
        <v/>
      </c>
    </row>
    <row r="59">
      <c r="A59" t="inlineStr">
        <is>
          <t>Suecia</t>
        </is>
      </c>
      <c r="B59" t="inlineStr">
        <is>
          <t>Estocolmo</t>
        </is>
      </c>
      <c r="C59" t="inlineStr">
        <is>
          <t>Alemania</t>
        </is>
      </c>
      <c r="D59" t="inlineStr">
        <is>
          <t>Bielefeld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Road House</t>
        </is>
      </c>
      <c r="H59">
        <f>HYPERLINK("https://booking.roadsurfer.com/es/rally/pick?pickup_date=2026-04-13&amp;return_date=2026-04-20&amp;currency=EUR&amp;startStation=59&amp;endStation=91", "Clic para verlo en la web de RoadSurfer")</f>
        <v/>
      </c>
    </row>
    <row r="60">
      <c r="A60" t="inlineStr">
        <is>
          <t>Suecia</t>
        </is>
      </c>
      <c r="B60" t="inlineStr">
        <is>
          <t>Estocolmo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2026-04-14</t>
        </is>
      </c>
      <c r="F60" t="inlineStr">
        <is>
          <t>2026-04-21</t>
        </is>
      </c>
      <c r="G60" t="inlineStr">
        <is>
          <t xml:space="preserve"> - Road House</t>
        </is>
      </c>
      <c r="H60">
        <f>HYPERLINK("https://booking.roadsurfer.com/es/rally/pick?pickup_date=2026-04-14&amp;return_date=2026-04-21&amp;currency=EUR&amp;startStation=59&amp;endStation=91", "Clic para verlo en la web de RoadSurfer")</f>
        <v/>
      </c>
    </row>
    <row r="61">
      <c r="A61" t="inlineStr">
        <is>
          <t>Suecia</t>
        </is>
      </c>
      <c r="B61" t="inlineStr">
        <is>
          <t>Estocolmo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2026-04-14</t>
        </is>
      </c>
      <c r="F61" t="inlineStr">
        <is>
          <t>2026-04-21</t>
        </is>
      </c>
      <c r="G61" t="inlineStr">
        <is>
          <t xml:space="preserve"> - Couple Cottage</t>
        </is>
      </c>
      <c r="H61">
        <f>HYPERLINK("https://booking.roadsurfer.com/es/rally/pick?pickup_date=2026-04-14&amp;return_date=2026-04-21&amp;currency=EUR&amp;startStation=59&amp;endStation=90",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Road House</t>
        </is>
      </c>
      <c r="H62">
        <f>HYPERLINK("https://booking.roadsurfer.com/es/rally/pick?pickup_date=2026-04-16&amp;return_date=2026-04-23&amp;currency=EUR&amp;startStation=59&amp;endStation=90",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Augsburgo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Camper Castle</t>
        </is>
      </c>
      <c r="H63">
        <f>HYPERLINK("https://booking.roadsurfer.com/es/rally/pick?pickup_date=2026-04-15&amp;return_date=2026-04-22&amp;currency=EUR&amp;startStation=59&amp;endStation=108",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Karlsruhe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Camper Castle</t>
        </is>
      </c>
      <c r="H64">
        <f>HYPERLINK("https://booking.roadsurfer.com/es/rally/pick?pickup_date=2026-04-14&amp;return_date=2026-04-21&amp;currency=EUR&amp;startStation=59&amp;endStation=110",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Lindau-Wangen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Camper Castle</t>
        </is>
      </c>
      <c r="H65">
        <f>HYPERLINK("https://booking.roadsurfer.com/es/rally/pick?pickup_date=2026-04-15&amp;return_date=2026-04-22&amp;currency=EUR&amp;startStation=59&amp;endStation=117",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Family Finca</t>
        </is>
      </c>
      <c r="H66">
        <f>HYPERLINK("https://booking.roadsurfer.com/es/rally/pick?pickup_date=2026-04-14&amp;return_date=2026-04-21&amp;currency=EUR&amp;startStation=59&amp;endStation=51", "Clic para verlo en la web de RoadSurfer")</f>
        <v/>
      </c>
    </row>
    <row r="67">
      <c r="A67" t="inlineStr">
        <is>
          <t>Francia</t>
        </is>
      </c>
      <c r="B67" t="inlineStr">
        <is>
          <t>Toulouse</t>
        </is>
      </c>
      <c r="C67" t="inlineStr">
        <is>
          <t>Alemania</t>
        </is>
      </c>
      <c r="D67" t="inlineStr">
        <is>
          <t>Friburgo-Basilea (Alemania)</t>
        </is>
      </c>
      <c r="E67" t="inlineStr">
        <is>
          <t>2026-05-05</t>
        </is>
      </c>
      <c r="F67" t="inlineStr">
        <is>
          <t>2026-05-12</t>
        </is>
      </c>
      <c r="G67" t="inlineStr">
        <is>
          <t xml:space="preserve"> - Family Finca</t>
        </is>
      </c>
      <c r="H67">
        <f>HYPERLINK("https://booking.roadsurfer.com/es/rally/pick?pickup_date=2026-05-05&amp;return_date=2026-05-12&amp;currency=EUR&amp;startStation=30&amp;endStation=9", "Clic para verlo en la web de RoadSurfer")</f>
        <v/>
      </c>
    </row>
    <row r="68">
      <c r="A68" t="inlineStr">
        <is>
          <t>Francia</t>
        </is>
      </c>
      <c r="B68" t="inlineStr">
        <is>
          <t>Toulouse</t>
        </is>
      </c>
      <c r="C68" t="inlineStr">
        <is>
          <t>Alemania</t>
        </is>
      </c>
      <c r="D68" t="inlineStr">
        <is>
          <t>Friburgo-Basilea (Alemania)</t>
        </is>
      </c>
      <c r="E68" t="inlineStr">
        <is>
          <t>2026-04-13</t>
        </is>
      </c>
      <c r="F68" t="inlineStr">
        <is>
          <t>2026-04-20</t>
        </is>
      </c>
      <c r="G68" t="inlineStr">
        <is>
          <t xml:space="preserve"> - Family Finca</t>
        </is>
      </c>
      <c r="H68">
        <f>HYPERLINK("https://booking.roadsurfer.com/es/rally/pick?pickup_date=2026-04-13&amp;return_date=2026-04-20&amp;currency=EUR&amp;startStation=30&amp;endStation=9", "Clic para verlo en la web de RoadSurfer")</f>
        <v/>
      </c>
    </row>
    <row r="69">
      <c r="A69" t="inlineStr">
        <is>
          <t>Francia</t>
        </is>
      </c>
      <c r="B69" t="inlineStr">
        <is>
          <t>Toulouse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2026-04-13</t>
        </is>
      </c>
      <c r="F69" t="inlineStr">
        <is>
          <t>2026-04-20</t>
        </is>
      </c>
      <c r="G69" t="inlineStr">
        <is>
          <t xml:space="preserve"> - Camper Castle</t>
        </is>
      </c>
      <c r="H69">
        <f>HYPERLINK("https://booking.roadsurfer.com/es/rally/pick?pickup_date=2026-04-13&amp;return_date=2026-04-20&amp;currency=EUR&amp;startStation=30&amp;endStation=90", "Clic para verlo en la web de RoadSurfer")</f>
        <v/>
      </c>
    </row>
    <row r="70">
      <c r="A70" t="inlineStr">
        <is>
          <t>Francia</t>
        </is>
      </c>
      <c r="B70" t="inlineStr">
        <is>
          <t>Toulouse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Road House</t>
        </is>
      </c>
      <c r="H70">
        <f>HYPERLINK("https://booking.roadsurfer.com/es/rally/pick?pickup_date=2026-04-14&amp;return_date=2026-04-21&amp;currency=EUR&amp;startStation=30&amp;endStation=90", "Clic para verlo en la web de RoadSurfer")</f>
        <v/>
      </c>
    </row>
    <row r="71">
      <c r="A71" t="inlineStr">
        <is>
          <t>Italia</t>
        </is>
      </c>
      <c r="B71" t="inlineStr">
        <is>
          <t>Turín</t>
        </is>
      </c>
      <c r="C71" t="inlineStr">
        <is>
          <t>Alemania</t>
        </is>
      </c>
      <c r="D71" t="inlineStr">
        <is>
          <t>Núremberg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Road House</t>
        </is>
      </c>
      <c r="H71">
        <f>HYPERLINK("https://booking.roadsurfer.com/es/rally/pick?pickup_date=2026-04-16&amp;return_date=2026-04-23&amp;currency=EUR&amp;startStation=58&amp;endStation=11", "Clic para verlo en la web de RoadSurfer")</f>
        <v/>
      </c>
    </row>
    <row r="72">
      <c r="A72" t="inlineStr">
        <is>
          <t>Italia</t>
        </is>
      </c>
      <c r="B72" t="inlineStr">
        <is>
          <t>Turín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Family Finca</t>
        </is>
      </c>
      <c r="H72">
        <f>HYPERLINK("https://booking.roadsurfer.com/es/rally/pick?pickup_date=2026-04-20&amp;return_date=2026-04-27&amp;currency=EUR&amp;startStation=58&amp;endStation=56", "Clic para verlo en la web de RoadSurfer")</f>
        <v/>
      </c>
    </row>
    <row r="73">
      <c r="A73" t="inlineStr">
        <is>
          <t>Alemania</t>
        </is>
      </c>
      <c r="B73" t="inlineStr">
        <is>
          <t>Ulm</t>
        </is>
      </c>
      <c r="C73" t="inlineStr">
        <is>
          <t>Italia</t>
        </is>
      </c>
      <c r="D73" t="inlineStr">
        <is>
          <t>Florencia</t>
        </is>
      </c>
      <c r="E73" t="inlineStr">
        <is>
          <t>2026-04-30</t>
        </is>
      </c>
      <c r="F73" t="inlineStr">
        <is>
          <t>2026-05-07</t>
        </is>
      </c>
      <c r="G73" t="inlineStr">
        <is>
          <t xml:space="preserve"> - Camper Castle</t>
        </is>
      </c>
      <c r="H73">
        <f>HYPERLINK("https://booking.roadsurfer.com/es/rally/pick?pickup_date=2026-04-30&amp;return_date=2026-05-07&amp;currency=EUR&amp;startStation=112&amp;endStation=80", "Clic para verlo en la web de RoadSurfer")</f>
        <v/>
      </c>
    </row>
    <row r="74">
      <c r="A74" t="inlineStr">
        <is>
          <t>Italia</t>
        </is>
      </c>
      <c r="B74" t="inlineStr">
        <is>
          <t>Venecia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Family Finca</t>
        </is>
      </c>
      <c r="H74">
        <f>HYPERLINK("https://booking.roadsurfer.com/es/rally/pick?pickup_date=2026-04-14&amp;return_date=2026-04-21&amp;currency=EUR&amp;startStation=78&amp;endStation=8", "Clic para verlo en la web de RoadSurfer")</f>
        <v/>
      </c>
    </row>
    <row r="75">
      <c r="A75" t="inlineStr">
        <is>
          <t>Italia</t>
        </is>
      </c>
      <c r="B75" t="inlineStr">
        <is>
          <t>Venecia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2026-04-15</t>
        </is>
      </c>
      <c r="F75" t="inlineStr">
        <is>
          <t>2026-04-22</t>
        </is>
      </c>
      <c r="G75" t="inlineStr">
        <is>
          <t xml:space="preserve"> - Family Finca</t>
        </is>
      </c>
      <c r="H75">
        <f>HYPERLINK("https://booking.roadsurfer.com/es/rally/pick?pickup_date=2026-04-15&amp;return_date=2026-04-22&amp;currency=EUR&amp;startStation=78&amp;endStation=8", "Clic para verlo en la web de RoadSurfer")</f>
        <v/>
      </c>
    </row>
    <row r="76">
      <c r="A76" t="inlineStr">
        <is>
          <t>Austria</t>
        </is>
      </c>
      <c r="B76" t="inlineStr">
        <is>
          <t>Viena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Cozy Cottage</t>
        </is>
      </c>
      <c r="H76">
        <f>HYPERLINK("https://booking.roadsurfer.com/es/rally/pick?pickup_date=2026-04-14&amp;return_date=2026-04-21&amp;currency=EUR&amp;startStation=36&amp;endStation=8", "Clic para verlo en la web de RoadSurfer")</f>
        <v/>
      </c>
    </row>
    <row r="77">
      <c r="A77" t="inlineStr">
        <is>
          <t>Austria</t>
        </is>
      </c>
      <c r="B77" t="inlineStr">
        <is>
          <t>Viena Sur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Family Finca</t>
        </is>
      </c>
      <c r="H77">
        <f>HYPERLINK("https://booking.roadsurfer.com/es/rally/pick?pickup_date=2026-04-13&amp;return_date=2026-04-20&amp;currency=EUR&amp;startStation=45&amp;endStation=8", "Clic para verlo en la web de RoadSurfer")</f>
        <v/>
      </c>
    </row>
    <row r="78">
      <c r="A78" t="inlineStr">
        <is>
          <t>Austria</t>
        </is>
      </c>
      <c r="B78" t="inlineStr">
        <is>
          <t>Viena Sur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Family Finca</t>
        </is>
      </c>
      <c r="H78">
        <f>HYPERLINK("https://booking.roadsurfer.com/es/rally/pick?pickup_date=2026-04-14&amp;return_date=2026-04-21&amp;currency=EUR&amp;startStation=45&amp;endStation=8", "Clic para verlo en la web de RoadSurfer")</f>
        <v/>
      </c>
    </row>
    <row r="79">
      <c r="A79" t="inlineStr">
        <is>
          <t>EE.UU.</t>
        </is>
      </c>
      <c r="B79" t="inlineStr">
        <is>
          <t>Winnebago Industries</t>
        </is>
      </c>
      <c r="C79" t="inlineStr">
        <is>
          <t>EE.UU.</t>
        </is>
      </c>
      <c r="D79" t="inlineStr">
        <is>
          <t>Denver</t>
        </is>
      </c>
      <c r="E79" t="inlineStr">
        <is>
          <t>2026-03-26</t>
        </is>
      </c>
      <c r="F79" t="inlineStr">
        <is>
          <t>2026-04-09</t>
        </is>
      </c>
      <c r="G79" t="inlineStr">
        <is>
          <t xml:space="preserve"> - Liberty Lodge</t>
        </is>
      </c>
      <c r="H79">
        <f>HYPERLINK("https://booking.roadsurfer.com/es/rally/pick?pickup_date=2026-03-26&amp;return_date=2026-04-09&amp;currency=EUR&amp;startStation=81&amp;endStation=104", "Clic para verlo en la web de RoadSurfer")</f>
        <v/>
      </c>
    </row>
    <row r="80">
      <c r="A80" t="inlineStr">
        <is>
          <t>EE.UU.</t>
        </is>
      </c>
      <c r="B80" t="inlineStr">
        <is>
          <t>Winnebago Industries</t>
        </is>
      </c>
      <c r="C80" t="inlineStr">
        <is>
          <t>EE.UU.</t>
        </is>
      </c>
      <c r="D80" t="inlineStr">
        <is>
          <t>Denver</t>
        </is>
      </c>
      <c r="E80" t="inlineStr">
        <is>
          <t>2026-03-27</t>
        </is>
      </c>
      <c r="F80" t="inlineStr">
        <is>
          <t>2026-04-10</t>
        </is>
      </c>
      <c r="G80" t="inlineStr">
        <is>
          <t xml:space="preserve"> - Liberty Lodge - Couple Condo</t>
        </is>
      </c>
      <c r="H80">
        <f>HYPERLINK("https://booking.roadsurfer.com/es/rally/pick?pickup_date=2026-03-27&amp;return_date=2026-04-10&amp;currency=EUR&amp;startStation=81&amp;endStation=104", "Clic para verlo en la web de RoadSurfer")</f>
        <v/>
      </c>
    </row>
    <row r="81">
      <c r="A81" t="inlineStr">
        <is>
          <t>EE.UU.</t>
        </is>
      </c>
      <c r="B81" t="inlineStr">
        <is>
          <t>Winnebago Industries</t>
        </is>
      </c>
      <c r="C81" t="inlineStr">
        <is>
          <t>EE.UU.</t>
        </is>
      </c>
      <c r="D81" t="inlineStr">
        <is>
          <t>Denver</t>
        </is>
      </c>
      <c r="E81" t="inlineStr">
        <is>
          <t>2026-03-31</t>
        </is>
      </c>
      <c r="F81" t="inlineStr">
        <is>
          <t>2026-04-14</t>
        </is>
      </c>
      <c r="G81" t="inlineStr">
        <is>
          <t xml:space="preserve"> - Liberty Lodge - Couple Condo</t>
        </is>
      </c>
      <c r="H81">
        <f>HYPERLINK("https://booking.roadsurfer.com/es/rally/pick?pickup_date=2026-03-31&amp;return_date=2026-04-14&amp;currency=EUR&amp;startStation=81&amp;endStation=104",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Denver</t>
        </is>
      </c>
      <c r="E82" t="inlineStr">
        <is>
          <t>2026-03-30</t>
        </is>
      </c>
      <c r="F82" t="inlineStr">
        <is>
          <t>2026-04-13</t>
        </is>
      </c>
      <c r="G82" t="inlineStr">
        <is>
          <t xml:space="preserve"> - Liberty Lodge</t>
        </is>
      </c>
      <c r="H82">
        <f>HYPERLINK("https://booking.roadsurfer.com/es/rally/pick?pickup_date=2026-03-30&amp;return_date=2026-04-13&amp;currency=EUR&amp;startStation=81&amp;endStation=104",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San Francisco</t>
        </is>
      </c>
      <c r="E83" t="inlineStr">
        <is>
          <t>2026-03-30</t>
        </is>
      </c>
      <c r="F83" t="inlineStr">
        <is>
          <t>2026-04-13</t>
        </is>
      </c>
      <c r="G83" t="inlineStr">
        <is>
          <t xml:space="preserve"> - Liberty Lodge - Couple Condo</t>
        </is>
      </c>
      <c r="H83">
        <f>HYPERLINK("https://booking.roadsurfer.com/es/rally/pick?pickup_date=2026-03-30&amp;return_date=2026-04-13&amp;currency=EUR&amp;startStation=81&amp;endStation=75",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San Francisco</t>
        </is>
      </c>
      <c r="E84" t="inlineStr">
        <is>
          <t>2026-03-26</t>
        </is>
      </c>
      <c r="F84" t="inlineStr">
        <is>
          <t>2026-04-09</t>
        </is>
      </c>
      <c r="G84" t="inlineStr">
        <is>
          <t xml:space="preserve"> - Liberty Lodge - Couple Condo</t>
        </is>
      </c>
      <c r="H84">
        <f>HYPERLINK("https://booking.roadsurfer.com/es/rally/pick?pickup_date=2026-03-26&amp;return_date=2026-04-09&amp;currency=EUR&amp;startStation=81&amp;endStation=75",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San Francisco</t>
        </is>
      </c>
      <c r="E85" t="inlineStr">
        <is>
          <t>2026-04-01</t>
        </is>
      </c>
      <c r="F85" t="inlineStr">
        <is>
          <t>2026-04-15</t>
        </is>
      </c>
      <c r="G85" t="inlineStr">
        <is>
          <t xml:space="preserve"> - Liberty Lodge - Couple Condo</t>
        </is>
      </c>
      <c r="H85">
        <f>HYPERLINK("https://booking.roadsurfer.com/es/rally/pick?pickup_date=2026-04-01&amp;return_date=2026-04-15&amp;currency=EUR&amp;startStation=81&amp;endStation=75",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San Francisco</t>
        </is>
      </c>
      <c r="E86" t="inlineStr">
        <is>
          <t>2026-03-27</t>
        </is>
      </c>
      <c r="F86" t="inlineStr">
        <is>
          <t>2026-04-10</t>
        </is>
      </c>
      <c r="G86" t="inlineStr">
        <is>
          <t xml:space="preserve"> - Liberty Lodge - Couple Condo</t>
        </is>
      </c>
      <c r="H86">
        <f>HYPERLINK("https://booking.roadsurfer.com/es/rally/pick?pickup_date=2026-03-27&amp;return_date=2026-04-10&amp;currency=EUR&amp;startStation=81&amp;endStation=75",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2026-03-26</t>
        </is>
      </c>
      <c r="F87" t="inlineStr">
        <is>
          <t>2026-04-07</t>
        </is>
      </c>
      <c r="G87" t="inlineStr">
        <is>
          <t xml:space="preserve"> - Liberty Lodge - Couple Condo</t>
        </is>
      </c>
      <c r="H87">
        <f>HYPERLINK("https://booking.roadsurfer.com/es/rally/pick?pickup_date=2026-03-26&amp;return_date=2026-04-07&amp;currency=EUR&amp;startStation=81&amp;endStation=75",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2026-04-02</t>
        </is>
      </c>
      <c r="F88" t="inlineStr">
        <is>
          <t>2026-04-16</t>
        </is>
      </c>
      <c r="G88" t="inlineStr">
        <is>
          <t xml:space="preserve"> - Couple Condo</t>
        </is>
      </c>
      <c r="H88">
        <f>HYPERLINK("https://booking.roadsurfer.com/es/rally/pick?pickup_date=2026-04-02&amp;return_date=2026-04-16&amp;currency=EUR&amp;startStation=81&amp;endStation=75",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Las Vegas</t>
        </is>
      </c>
      <c r="E89" t="inlineStr">
        <is>
          <t>2026-03-27</t>
        </is>
      </c>
      <c r="F89" t="inlineStr">
        <is>
          <t>2026-04-10</t>
        </is>
      </c>
      <c r="G89" t="inlineStr">
        <is>
          <t xml:space="preserve"> - Liberty Lodge</t>
        </is>
      </c>
      <c r="H89">
        <f>HYPERLINK("https://booking.roadsurfer.com/es/rally/pick?pickup_date=2026-03-27&amp;return_date=2026-04-10&amp;currency=EUR&amp;startStation=81&amp;endStation=76",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Las Vegas</t>
        </is>
      </c>
      <c r="E90" t="inlineStr">
        <is>
          <t>2026-03-26</t>
        </is>
      </c>
      <c r="F90" t="inlineStr">
        <is>
          <t>2026-04-09</t>
        </is>
      </c>
      <c r="G90" t="inlineStr">
        <is>
          <t xml:space="preserve"> - Liberty Lodge</t>
        </is>
      </c>
      <c r="H90">
        <f>HYPERLINK("https://booking.roadsurfer.com/es/rally/pick?pickup_date=2026-03-26&amp;return_date=2026-04-09&amp;currency=EUR&amp;startStation=81&amp;endStation=76",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Las Vegas</t>
        </is>
      </c>
      <c r="E91" t="inlineStr">
        <is>
          <t>2026-04-03</t>
        </is>
      </c>
      <c r="F91" t="inlineStr">
        <is>
          <t>2026-04-17</t>
        </is>
      </c>
      <c r="G91" t="inlineStr">
        <is>
          <t xml:space="preserve"> - Liberty Lodge</t>
        </is>
      </c>
      <c r="H91">
        <f>HYPERLINK("https://booking.roadsurfer.com/es/rally/pick?pickup_date=2026-04-03&amp;return_date=2026-04-17&amp;currency=EUR&amp;startStation=81&amp;endStation=76",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Las Vegas</t>
        </is>
      </c>
      <c r="E92" t="inlineStr">
        <is>
          <t>2026-03-30</t>
        </is>
      </c>
      <c r="F92" t="inlineStr">
        <is>
          <t>2026-04-13</t>
        </is>
      </c>
      <c r="G92" t="inlineStr">
        <is>
          <t xml:space="preserve"> - Liberty Lodge</t>
        </is>
      </c>
      <c r="H92">
        <f>HYPERLINK("https://booking.roadsurfer.com/es/rally/pick?pickup_date=2026-03-30&amp;return_date=2026-04-13&amp;currency=EUR&amp;startStation=81&amp;endStation=76",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Los Ángeles</t>
        </is>
      </c>
      <c r="E93" t="inlineStr">
        <is>
          <t>2026-03-27</t>
        </is>
      </c>
      <c r="F93" t="inlineStr">
        <is>
          <t>2026-04-10</t>
        </is>
      </c>
      <c r="G93" t="inlineStr">
        <is>
          <t xml:space="preserve"> - Liberty Lodge</t>
        </is>
      </c>
      <c r="H93">
        <f>HYPERLINK("https://booking.roadsurfer.com/es/rally/pick?pickup_date=2026-03-27&amp;return_date=2026-04-10&amp;currency=EUR&amp;startStation=81&amp;endStation=72",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Los Ángeles</t>
        </is>
      </c>
      <c r="E94" t="inlineStr">
        <is>
          <t>2026-03-30</t>
        </is>
      </c>
      <c r="F94" t="inlineStr">
        <is>
          <t>2026-04-13</t>
        </is>
      </c>
      <c r="G94" t="inlineStr">
        <is>
          <t xml:space="preserve"> - Liberty Lodge</t>
        </is>
      </c>
      <c r="H94">
        <f>HYPERLINK("https://booking.roadsurfer.com/es/rally/pick?pickup_date=2026-03-30&amp;return_date=2026-04-13&amp;currency=EUR&amp;startStation=81&amp;endStation=72",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Los Ángeles</t>
        </is>
      </c>
      <c r="E95" t="inlineStr">
        <is>
          <t>2026-03-26</t>
        </is>
      </c>
      <c r="F95" t="inlineStr">
        <is>
          <t>2026-04-09</t>
        </is>
      </c>
      <c r="G95" t="inlineStr">
        <is>
          <t xml:space="preserve"> - Couple Condo</t>
        </is>
      </c>
      <c r="H95">
        <f>HYPERLINK("https://booking.roadsurfer.com/es/rally/pick?pickup_date=2026-03-26&amp;return_date=2026-04-09&amp;currency=EUR&amp;startStation=81&amp;endStation=72",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Dallas</t>
        </is>
      </c>
      <c r="E96" t="inlineStr">
        <is>
          <t>2026-03-31</t>
        </is>
      </c>
      <c r="F96" t="inlineStr">
        <is>
          <t>2026-04-14</t>
        </is>
      </c>
      <c r="G96" t="inlineStr">
        <is>
          <t xml:space="preserve"> - Liberty Lodge</t>
        </is>
      </c>
      <c r="H96">
        <f>HYPERLINK("https://booking.roadsurfer.com/es/rally/pick?pickup_date=2026-03-31&amp;return_date=2026-04-14&amp;currency=EUR&amp;startStation=81&amp;endStation=125",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Dallas</t>
        </is>
      </c>
      <c r="E97" t="inlineStr">
        <is>
          <t>2026-03-27</t>
        </is>
      </c>
      <c r="F97" t="inlineStr">
        <is>
          <t>2026-04-10</t>
        </is>
      </c>
      <c r="G97" t="inlineStr">
        <is>
          <t xml:space="preserve"> - Liberty Lodge</t>
        </is>
      </c>
      <c r="H97">
        <f>HYPERLINK("https://booking.roadsurfer.com/es/rally/pick?pickup_date=2026-03-27&amp;return_date=2026-04-10&amp;currency=EUR&amp;startStation=81&amp;endStation=125",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Dallas</t>
        </is>
      </c>
      <c r="E98" t="inlineStr">
        <is>
          <t>2026-03-30</t>
        </is>
      </c>
      <c r="F98" t="inlineStr">
        <is>
          <t>2026-04-13</t>
        </is>
      </c>
      <c r="G98" t="inlineStr">
        <is>
          <t xml:space="preserve"> - Couple Condo</t>
        </is>
      </c>
      <c r="H98">
        <f>HYPERLINK("https://booking.roadsurfer.com/es/rally/pick?pickup_date=2026-03-30&amp;return_date=2026-04-13&amp;currency=EUR&amp;startStation=81&amp;endStation=125",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Dallas</t>
        </is>
      </c>
      <c r="E99" t="inlineStr">
        <is>
          <t>2026-03-26</t>
        </is>
      </c>
      <c r="F99" t="inlineStr">
        <is>
          <t>2026-04-09</t>
        </is>
      </c>
      <c r="G99" t="inlineStr">
        <is>
          <t xml:space="preserve"> - Liberty Lodge</t>
        </is>
      </c>
      <c r="H99">
        <f>HYPERLINK("https://booking.roadsurfer.com/es/rally/pick?pickup_date=2026-03-26&amp;return_date=2026-04-09&amp;currency=EUR&amp;startStation=81&amp;endStation=125",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Salt Lake City</t>
        </is>
      </c>
      <c r="E100" t="inlineStr">
        <is>
          <t>2026-03-30</t>
        </is>
      </c>
      <c r="F100" t="inlineStr">
        <is>
          <t>2026-04-13</t>
        </is>
      </c>
      <c r="G100" t="inlineStr">
        <is>
          <t xml:space="preserve"> - Liberty Lodge</t>
        </is>
      </c>
      <c r="H100">
        <f>HYPERLINK("https://booking.roadsurfer.com/es/rally/pick?pickup_date=2026-03-30&amp;return_date=2026-04-13&amp;currency=EUR&amp;startStation=81&amp;endStation=106",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Salt Lake City</t>
        </is>
      </c>
      <c r="E101" t="inlineStr">
        <is>
          <t>2026-03-31</t>
        </is>
      </c>
      <c r="F101" t="inlineStr">
        <is>
          <t>2026-04-14</t>
        </is>
      </c>
      <c r="G101" t="inlineStr">
        <is>
          <t xml:space="preserve"> - Liberty Lodge</t>
        </is>
      </c>
      <c r="H101">
        <f>HYPERLINK("https://booking.roadsurfer.com/es/rally/pick?pickup_date=2026-03-31&amp;return_date=2026-04-14&amp;currency=EUR&amp;startStation=81&amp;endStation=106",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Salt Lake City</t>
        </is>
      </c>
      <c r="E102" t="inlineStr">
        <is>
          <t>2026-04-03</t>
        </is>
      </c>
      <c r="F102" t="inlineStr">
        <is>
          <t>2026-04-17</t>
        </is>
      </c>
      <c r="G102" t="inlineStr">
        <is>
          <t xml:space="preserve"> - Liberty Lodge</t>
        </is>
      </c>
      <c r="H102">
        <f>HYPERLINK("https://booking.roadsurfer.com/es/rally/pick?pickup_date=2026-04-03&amp;return_date=2026-04-17&amp;currency=EUR&amp;startStation=81&amp;endStation=106",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Salt Lake City</t>
        </is>
      </c>
      <c r="E103" t="inlineStr">
        <is>
          <t>2026-03-26</t>
        </is>
      </c>
      <c r="F103" t="inlineStr">
        <is>
          <t>2026-04-09</t>
        </is>
      </c>
      <c r="G103" t="inlineStr">
        <is>
          <t xml:space="preserve"> - Liberty Lodge</t>
        </is>
      </c>
      <c r="H103">
        <f>HYPERLINK("https://booking.roadsurfer.com/es/rally/pick?pickup_date=2026-03-26&amp;return_date=2026-04-09&amp;currency=EUR&amp;startStation=81&amp;endStation=106",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Salt Lake City</t>
        </is>
      </c>
      <c r="E104" t="inlineStr">
        <is>
          <t>2026-04-02</t>
        </is>
      </c>
      <c r="F104" t="inlineStr">
        <is>
          <t>2026-04-16</t>
        </is>
      </c>
      <c r="G104" t="inlineStr">
        <is>
          <t xml:space="preserve"> - Couple Condo</t>
        </is>
      </c>
      <c r="H104">
        <f>HYPERLINK("https://booking.roadsurfer.com/es/rally/pick?pickup_date=2026-04-02&amp;return_date=2026-04-16&amp;currency=EUR&amp;startStation=81&amp;endStation=106",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Seattle</t>
        </is>
      </c>
      <c r="E105" t="inlineStr">
        <is>
          <t>2026-04-01</t>
        </is>
      </c>
      <c r="F105" t="inlineStr">
        <is>
          <t>2026-04-15</t>
        </is>
      </c>
      <c r="G105" t="inlineStr">
        <is>
          <t xml:space="preserve"> - Liberty Lodge</t>
        </is>
      </c>
      <c r="H105">
        <f>HYPERLINK("https://booking.roadsurfer.com/es/rally/pick?pickup_date=2026-04-01&amp;return_date=2026-04-15&amp;currency=EUR&amp;startStation=81&amp;endStation=107",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Seattle</t>
        </is>
      </c>
      <c r="E106" t="inlineStr">
        <is>
          <t>2026-03-26</t>
        </is>
      </c>
      <c r="F106" t="inlineStr">
        <is>
          <t>2026-04-09</t>
        </is>
      </c>
      <c r="G106" t="inlineStr">
        <is>
          <t xml:space="preserve"> - Liberty Lodge</t>
        </is>
      </c>
      <c r="H106">
        <f>HYPERLINK("https://booking.roadsurfer.com/es/rally/pick?pickup_date=2026-03-26&amp;return_date=2026-04-09&amp;currency=EUR&amp;startStation=81&amp;endStation=107",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Seattle</t>
        </is>
      </c>
      <c r="E107" t="inlineStr">
        <is>
          <t>2026-03-27</t>
        </is>
      </c>
      <c r="F107" t="inlineStr">
        <is>
          <t>2026-04-10</t>
        </is>
      </c>
      <c r="G107" t="inlineStr">
        <is>
          <t xml:space="preserve"> - Liberty Lodge - Couple Condo</t>
        </is>
      </c>
      <c r="H107">
        <f>HYPERLINK("https://booking.roadsurfer.com/es/rally/pick?pickup_date=2026-03-27&amp;return_date=2026-04-10&amp;currency=EUR&amp;startStation=81&amp;endStation=107",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Phoenix</t>
        </is>
      </c>
      <c r="E108" t="inlineStr">
        <is>
          <t>2026-04-01</t>
        </is>
      </c>
      <c r="F108" t="inlineStr">
        <is>
          <t>2026-04-15</t>
        </is>
      </c>
      <c r="G108" t="inlineStr">
        <is>
          <t xml:space="preserve"> - Couple Condo</t>
        </is>
      </c>
      <c r="H108">
        <f>HYPERLINK("https://booking.roadsurfer.com/es/rally/pick?pickup_date=2026-04-01&amp;return_date=2026-04-15&amp;currency=EUR&amp;startStation=81&amp;endStation=105",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Phoenix</t>
        </is>
      </c>
      <c r="E109" t="inlineStr">
        <is>
          <t>2026-03-26</t>
        </is>
      </c>
      <c r="F109" t="inlineStr">
        <is>
          <t>2026-04-09</t>
        </is>
      </c>
      <c r="G109" t="inlineStr">
        <is>
          <t xml:space="preserve"> - Liberty Lodge - Couple Condo</t>
        </is>
      </c>
      <c r="H109">
        <f>HYPERLINK("https://booking.roadsurfer.com/es/rally/pick?pickup_date=2026-03-26&amp;return_date=2026-04-09&amp;currency=EUR&amp;startStation=81&amp;endStation=105",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Phoenix</t>
        </is>
      </c>
      <c r="E110" t="inlineStr">
        <is>
          <t>2026-03-31</t>
        </is>
      </c>
      <c r="F110" t="inlineStr">
        <is>
          <t>2026-04-14</t>
        </is>
      </c>
      <c r="G110" t="inlineStr">
        <is>
          <t xml:space="preserve"> - Liberty Lodge</t>
        </is>
      </c>
      <c r="H110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2026-03-08T20:22:45Z</dcterms:created>
  <dcterms:modified xsi:type="dcterms:W3CDTF">2026-03-08T20:22:46Z</dcterms:modified>
</cp:coreProperties>
</file>