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2026-03-03</t>
        </is>
      </c>
      <c r="F11" t="inlineStr">
        <is>
          <t>2026-03-10</t>
        </is>
      </c>
      <c r="G11" t="inlineStr">
        <is>
          <t xml:space="preserve"> - Family Finca</t>
        </is>
      </c>
      <c r="H11">
        <f>HYPERLINK("https://booking.roadsurfer.com/es/rally/pick?pickup_date=2026-03-03&amp;return_date=2026-03-10&amp;currency=EUR&amp;startStation=16&amp;endStation=5",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Camper Castle</t>
        </is>
      </c>
      <c r="H22">
        <f>HYPERLINK("https://booking.roadsurfer.com/es/rally/pick?pickup_date=2026-03-05&amp;return_date=2026-03-12&amp;currency=EUR&amp;startStation=47&amp;endStation=32",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2026-02-28</t>
        </is>
      </c>
      <c r="F23" t="inlineStr">
        <is>
          <t>2026-03-07</t>
        </is>
      </c>
      <c r="G23" t="inlineStr">
        <is>
          <t xml:space="preserve"> - Surfer Suite</t>
        </is>
      </c>
      <c r="H23">
        <f>HYPERLINK("https://booking.roadsurfer.com/es/rally/pick?pickup_date=2026-02-28&amp;return_date=2026-03-07&amp;currency=EUR&amp;startStation=47&amp;endStation=56",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2026-03-06</t>
        </is>
      </c>
      <c r="F24" t="inlineStr">
        <is>
          <t>2026-03-13</t>
        </is>
      </c>
      <c r="G24" t="inlineStr">
        <is>
          <t xml:space="preserve"> - Beach Hostel</t>
        </is>
      </c>
      <c r="H24">
        <f>HYPERLINK("https://booking.roadsurfer.com/es/rally/pick?pickup_date=2026-03-06&amp;return_date=2026-03-13&amp;currency=EUR&amp;startStation=47&amp;endStation=56",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FAMILY FINCA</t>
        </is>
      </c>
      <c r="H27">
        <f>HYPERLINK("https://booking.roadsurfer.com/es/rally/pick?pickup_date=2026-04-15&amp;return_date=2026-04-22&amp;currency=EUR&amp;startStation=47&amp;endStation=56",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HYPERLINK("https://booking.roadsurfer.com/es/rally/pick?pickup_date=2026-03-12&amp;return_date=2026-03-19&amp;currency=EUR&amp;startStation=47&amp;endStation=52",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Italia</t>
        </is>
      </c>
      <c r="D32" t="inlineStr">
        <is>
          <t>Milán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Family Finca</t>
        </is>
      </c>
      <c r="H32">
        <f>HYPERLINK("https://booking.roadsurfer.com/es/rally/pick?pickup_date=2026-03-09&amp;return_date=2026-03-16&amp;currency=EUR&amp;startStation=47&amp;endStation=34",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2026-03-12</t>
        </is>
      </c>
      <c r="F34" t="inlineStr">
        <is>
          <t>2026-03-19</t>
        </is>
      </c>
      <c r="G34" t="inlineStr">
        <is>
          <t xml:space="preserve"> - No hay coche</t>
        </is>
      </c>
      <c r="H34">
        <f>HYPERLINK("https://booking.roadsurfer.com/es/rally/pick?pickup_date=2026-03-12&amp;return_date=2026-03-19&amp;currency=EUR&amp;startStation=108&amp;endStation=80",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2026-04-10</t>
        </is>
      </c>
      <c r="F36" t="inlineStr">
        <is>
          <t>2026-04-17</t>
        </is>
      </c>
      <c r="G36" t="inlineStr">
        <is>
          <t xml:space="preserve"> - No hay coche</t>
        </is>
      </c>
      <c r="H36">
        <f>HYPERLINK("https://booking.roadsurfer.com/es/rally/pick?pickup_date=2026-04-10&amp;return_date=2026-04-17&amp;currency=EUR&amp;startStation=108&amp;endStation=32",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2026-03-26</t>
        </is>
      </c>
      <c r="F37" t="inlineStr">
        <is>
          <t>2026-04-02</t>
        </is>
      </c>
      <c r="G37" t="inlineStr">
        <is>
          <t xml:space="preserve"> - Surfer Suite</t>
        </is>
      </c>
      <c r="H37">
        <f>HYPERLINK("https://booking.roadsurfer.com/es/rally/pick?pickup_date=2026-03-26&amp;return_date=2026-04-02&amp;currency=EUR&amp;startStation=108&amp;endStation=32",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Milán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Surfer Suite</t>
        </is>
      </c>
      <c r="H39">
        <f>HYPERLINK("https://booking.roadsurfer.com/es/rally/pick?pickup_date=2026-03-04&amp;return_date=2026-03-11&amp;currency=EUR&amp;startStation=108&amp;endStation=34",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2026-03-05</t>
        </is>
      </c>
      <c r="F40" t="inlineStr">
        <is>
          <t>2026-03-12</t>
        </is>
      </c>
      <c r="G40" t="inlineStr">
        <is>
          <t xml:space="preserve"> - Road House</t>
        </is>
      </c>
      <c r="H40">
        <f>HYPERLINK("https://booking.roadsurfer.com/es/rally/pick?pickup_date=2026-03-05&amp;return_date=2026-03-12&amp;currency=EUR&amp;startStation=17&amp;endStation=9",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2026-03-04</t>
        </is>
      </c>
      <c r="F41" t="inlineStr">
        <is>
          <t>2026-03-11</t>
        </is>
      </c>
      <c r="G41" t="inlineStr">
        <is>
          <t xml:space="preserve"> - Family Finca</t>
        </is>
      </c>
      <c r="H41">
        <f>HYPERLINK("https://booking.roadsurfer.com/es/rally/pick?pickup_date=2026-03-04&amp;return_date=2026-03-11&amp;currency=EUR&amp;startStation=17&amp;endStation=9",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Road House</t>
        </is>
      </c>
      <c r="H42">
        <f>HYPERLINK("https://booking.roadsurfer.com/es/rally/pick?pickup_date=2026-04-14&amp;return_date=2026-04-21&amp;currency=EUR&amp;startStation=17&amp;endStation=9",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2026-03-18</t>
        </is>
      </c>
      <c r="F46" t="inlineStr">
        <is>
          <t>2026-03-25</t>
        </is>
      </c>
      <c r="G46" t="inlineStr">
        <is>
          <t xml:space="preserve"> - Beach Hostel</t>
        </is>
      </c>
      <c r="H46">
        <f>HYPERLINK("https://booking.roadsurfer.com/es/rally/pick?pickup_date=2026-03-18&amp;return_date=2026-03-25&amp;currency=EUR&amp;startStation=17&amp;endStation=24",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2026-02-28</t>
        </is>
      </c>
      <c r="F47" t="inlineStr">
        <is>
          <t>2026-03-07</t>
        </is>
      </c>
      <c r="G47" t="inlineStr">
        <is>
          <t xml:space="preserve"> - Beach Hostel</t>
        </is>
      </c>
      <c r="H47">
        <f>HYPERLINK("https://booking.roadsurfer.com/es/rally/pick?pickup_date=2026-02-28&amp;return_date=2026-03-07&amp;currency=EUR&amp;startStation=17&amp;endStation=4",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2026-04-10</t>
        </is>
      </c>
      <c r="F49" t="inlineStr">
        <is>
          <t>2026-04-17</t>
        </is>
      </c>
      <c r="G49" t="inlineStr">
        <is>
          <t xml:space="preserve"> - Couple Cottage</t>
        </is>
      </c>
      <c r="H49">
        <f>HYPERLINK("https://booking.roadsurfer.com/es/rally/pick?pickup_date=2026-04-10&amp;return_date=2026-04-17&amp;currency=EUR&amp;startStation=17&amp;endStation=5",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2026-03-05</t>
        </is>
      </c>
      <c r="F50" t="inlineStr">
        <is>
          <t>2026-03-12</t>
        </is>
      </c>
      <c r="G50" t="inlineStr">
        <is>
          <t xml:space="preserve"> - Family Finca</t>
        </is>
      </c>
      <c r="H50">
        <f>HYPERLINK("https://booking.roadsurfer.com/es/rally/pick?pickup_date=2026-03-05&amp;return_date=2026-03-12&amp;currency=EUR&amp;startStation=94&amp;endStation=3",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2026-02-27</t>
        </is>
      </c>
      <c r="F51" t="inlineStr">
        <is>
          <t>2026-03-06</t>
        </is>
      </c>
      <c r="G51" t="inlineStr">
        <is>
          <t xml:space="preserve"> - Road House</t>
        </is>
      </c>
      <c r="H51">
        <f>HYPERLINK("https://booking.roadsurfer.com/es/rally/pick?pickup_date=2026-02-27&amp;return_date=2026-03-06&amp;currency=EUR&amp;startStation=94&amp;endStation=3",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Family Finca</t>
        </is>
      </c>
      <c r="H52">
        <f>HYPERLINK("https://booking.roadsurfer.com/es/rally/pick?pickup_date=2026-03-13&amp;return_date=2026-03-20&amp;currency=EUR&amp;startStation=94&amp;endStation=3",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2026-03-14</t>
        </is>
      </c>
      <c r="F54" t="inlineStr">
        <is>
          <t>2026-03-21</t>
        </is>
      </c>
      <c r="G54" t="inlineStr">
        <is>
          <t xml:space="preserve"> - Family Finca</t>
        </is>
      </c>
      <c r="H54">
        <f>HYPERLINK("https://booking.roadsurfer.com/es/rally/pick?pickup_date=2026-03-14&amp;return_date=2026-03-21&amp;currency=EUR&amp;startStation=94&amp;endStation=3",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2026-03-10</t>
        </is>
      </c>
      <c r="F55" t="inlineStr">
        <is>
          <t>2026-03-17</t>
        </is>
      </c>
      <c r="G55" t="inlineStr">
        <is>
          <t xml:space="preserve"> - Surfer Suite - Family Finca</t>
        </is>
      </c>
      <c r="H55">
        <f>HYPERLINK("https://booking.roadsurfer.com/es/rally/pick?pickup_date=2026-03-10&amp;return_date=2026-03-17&amp;currency=EUR&amp;startStation=94&amp;endStation=2",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Family Finca</t>
        </is>
      </c>
      <c r="H57">
        <f>HYPERLINK("https://booking.roadsurfer.com/es/rally/pick?pickup_date=2026-03-12&amp;return_date=2026-03-19&amp;currency=EUR&amp;startStation=94&amp;endStation=2",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HYPERLINK("https://booking.roadsurfer.com/es/rally/pick?pickup_date=2026-03-12&amp;return_date=2026-03-19&amp;currency=EUR&amp;startStation=94&amp;endStation=56",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Beach Hostel</t>
        </is>
      </c>
      <c r="H61">
        <f>HYPERLINK("https://booking.roadsurfer.com/es/rally/pick?pickup_date=2026-03-13&amp;return_date=2026-03-20&amp;currency=EUR&amp;startStation=94&amp;endStation=90",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2026-02-27</t>
        </is>
      </c>
      <c r="F62" t="inlineStr">
        <is>
          <t>2026-03-06</t>
        </is>
      </c>
      <c r="G62" t="inlineStr">
        <is>
          <t xml:space="preserve"> - Road House</t>
        </is>
      </c>
      <c r="H62">
        <f>HYPERLINK("https://booking.roadsurfer.com/es/rally/pick?pickup_date=2026-02-27&amp;return_date=2026-03-06&amp;currency=EUR&amp;startStation=6&amp;endStation=48",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2026-03-09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HYPERLINK("https://booking.roadsurfer.com/es/rally/pick?pickup_date=2026-03-09&amp;return_date=2026-03-19&amp;currency=EUR&amp;startStation=6&amp;endStation=34",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Beach Hostel</t>
        </is>
      </c>
      <c r="H64">
        <f>HYPERLINK("https://booking.roadsurfer.com/es/rally/pick?pickup_date=2026-03-17&amp;return_date=2026-03-24&amp;currency=EUR&amp;startStation=6&amp;endStation=34",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2026-03-19</t>
        </is>
      </c>
      <c r="F65" t="inlineStr">
        <is>
          <t>2026-03-26</t>
        </is>
      </c>
      <c r="G65" t="inlineStr">
        <is>
          <t xml:space="preserve"> - Beach Hostel</t>
        </is>
      </c>
      <c r="H65">
        <f>HYPERLINK("https://booking.roadsurfer.com/es/rally/pick?pickup_date=2026-03-19&amp;return_date=2026-03-26&amp;currency=EUR&amp;startStation=6&amp;endStation=34",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CAMPER CABIN DELUXE</t>
        </is>
      </c>
      <c r="H66">
        <f>HYPERLINK("https://booking.roadsurfer.com/es/rally/pick?pickup_date=2026-03-13&amp;return_date=2026-03-20&amp;currency=EUR&amp;startStation=6&amp;endStation=32",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 - Family Finca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2026-03-10</t>
        </is>
      </c>
      <c r="F68" t="inlineStr">
        <is>
          <t>2026-03-17</t>
        </is>
      </c>
      <c r="G68" t="inlineStr">
        <is>
          <t xml:space="preserve"> - Couple Cottage</t>
        </is>
      </c>
      <c r="H68">
        <f>HYPERLINK("https://booking.roadsurfer.com/es/rally/pick?pickup_date=2026-03-10&amp;return_date=2026-03-17&amp;currency=EUR&amp;startStation=6&amp;endStation=32",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HYPERLINK("https://booking.roadsurfer.com/es/rally/pick?pickup_date=2026-03-16&amp;return_date=2026-03-23&amp;currency=EUR&amp;startStation=6&amp;endStation=32",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2026-03-11</t>
        </is>
      </c>
      <c r="F70" t="inlineStr">
        <is>
          <t>2026-03-18</t>
        </is>
      </c>
      <c r="G70" t="inlineStr">
        <is>
          <t xml:space="preserve"> - Couple Cottage</t>
        </is>
      </c>
      <c r="H70">
        <f>HYPERLINK("https://booking.roadsurfer.com/es/rally/pick?pickup_date=2026-03-11&amp;return_date=2026-03-18&amp;currency=EUR&amp;startStation=6&amp;endStation=33",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2026-03-06</t>
        </is>
      </c>
      <c r="F71" t="inlineStr">
        <is>
          <t>2026-03-13</t>
        </is>
      </c>
      <c r="G71" t="inlineStr">
        <is>
          <t xml:space="preserve"> - Surfer Suite</t>
        </is>
      </c>
      <c r="H71">
        <f>HYPERLINK("https://booking.roadsurfer.com/es/rally/pick?pickup_date=2026-03-06&amp;return_date=2026-03-13&amp;currency=EUR&amp;startStation=6&amp;endStation=33",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2026-03-28</t>
        </is>
      </c>
      <c r="F72" t="inlineStr">
        <is>
          <t>2026-04-04</t>
        </is>
      </c>
      <c r="G72" t="inlineStr">
        <is>
          <t xml:space="preserve"> - Surfer Suite</t>
        </is>
      </c>
      <c r="H72">
        <f>HYPERLINK("https://booking.roadsurfer.com/es/rally/pick?pickup_date=2026-03-28&amp;return_date=2026-04-04&amp;currency=EUR&amp;startStation=6&amp;endStation=30",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Surfer Suite</t>
        </is>
      </c>
      <c r="H73">
        <f>HYPERLINK("https://booking.roadsurfer.com/es/rally/pick?pickup_date=2026-03-16&amp;return_date=2026-03-23&amp;currency=EUR&amp;startStation=6&amp;endStation=30",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HYPERLINK("https://booking.roadsurfer.com/es/rally/pick?pickup_date=2026-03-13&amp;return_date=2026-03-20&amp;currency=EUR&amp;startStation=6&amp;endStation=60",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2026-03-02</t>
        </is>
      </c>
      <c r="F75" t="inlineStr">
        <is>
          <t>2026-03-09</t>
        </is>
      </c>
      <c r="G75" t="inlineStr">
        <is>
          <t xml:space="preserve"> - Surfer Suite</t>
        </is>
      </c>
      <c r="H75">
        <f>HYPERLINK("https://booking.roadsurfer.com/es/rally/pick?pickup_date=2026-03-02&amp;return_date=2026-03-09&amp;currency=EUR&amp;startStation=6&amp;endStation=60",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2026-03-27</t>
        </is>
      </c>
      <c r="F77" t="inlineStr">
        <is>
          <t>2026-04-03</t>
        </is>
      </c>
      <c r="G77" t="inlineStr">
        <is>
          <t xml:space="preserve"> - No hay coche</t>
        </is>
      </c>
      <c r="H77">
        <f>HYPERLINK("https://booking.roadsurfer.com/es/rally/pick?pickup_date=2026-03-27&amp;return_date=2026-04-03&amp;currency=EUR&amp;startStation=6&amp;endStation=59",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2026-04-03</t>
        </is>
      </c>
      <c r="F81" t="inlineStr">
        <is>
          <t>2026-04-10</t>
        </is>
      </c>
      <c r="G81" t="inlineStr">
        <is>
          <t xml:space="preserve"> - No hay coche</t>
        </is>
      </c>
      <c r="H81">
        <f>HYPERLINK("https://booking.roadsurfer.com/es/rally/pick?pickup_date=2026-04-03&amp;return_date=2026-04-10&amp;currency=EUR&amp;startStation=6&amp;endStation=87",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2026-02-27</t>
        </is>
      </c>
      <c r="F82" t="inlineStr">
        <is>
          <t>2026-03-06</t>
        </is>
      </c>
      <c r="G82" t="inlineStr">
        <is>
          <t xml:space="preserve"> - Family Finca</t>
        </is>
      </c>
      <c r="H82">
        <f>HYPERLINK("https://booking.roadsurfer.com/es/rally/pick?pickup_date=2026-02-27&amp;return_date=2026-03-06&amp;currency=EUR&amp;startStation=6&amp;endStation=87",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 - COUPLE COTTAGE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2026-03-20</t>
        </is>
      </c>
      <c r="F84" t="inlineStr">
        <is>
          <t>2026-03-27</t>
        </is>
      </c>
      <c r="G84" t="inlineStr">
        <is>
          <t xml:space="preserve"> - Sunrise Suite</t>
        </is>
      </c>
      <c r="H84">
        <f>HYPERLINK("https://booking.roadsurfer.com/es/rally/pick?pickup_date=2026-03-20&amp;return_date=2026-03-27&amp;currency=EUR&amp;startStation=6&amp;endStation=8",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2026-03-13</t>
        </is>
      </c>
      <c r="F85" t="inlineStr">
        <is>
          <t>2026-03-20</t>
        </is>
      </c>
      <c r="G85" t="inlineStr">
        <is>
          <t xml:space="preserve"> - Sunrise Suite</t>
        </is>
      </c>
      <c r="H85">
        <f>HYPERLINK("https://booking.roadsurfer.com/es/rally/pick?pickup_date=2026-03-13&amp;return_date=2026-03-20&amp;currency=EUR&amp;startStation=6&amp;endStation=8",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2026-03-05</t>
        </is>
      </c>
      <c r="F86" t="inlineStr">
        <is>
          <t>2026-03-12</t>
        </is>
      </c>
      <c r="G86" t="inlineStr">
        <is>
          <t xml:space="preserve"> - Family Finca</t>
        </is>
      </c>
      <c r="H86">
        <f>HYPERLINK("https://booking.roadsurfer.com/es/rally/pick?pickup_date=2026-03-05&amp;return_date=2026-03-12&amp;currency=EUR&amp;startStation=6&amp;endStation=65",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BEACH HOSTEL</t>
        </is>
      </c>
      <c r="H87">
        <f>HYPERLINK("https://booking.roadsurfer.com/es/rally/pick?pickup_date=2026-03-06&amp;return_date=2026-03-13&amp;currency=EUR&amp;startStation=6&amp;endStation=65",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2026-04-01</t>
        </is>
      </c>
      <c r="F88" t="inlineStr">
        <is>
          <t>2026-04-08</t>
        </is>
      </c>
      <c r="G88" t="inlineStr">
        <is>
          <t xml:space="preserve"> - Camper Cabin</t>
        </is>
      </c>
      <c r="H88">
        <f>HYPERLINK("https://booking.roadsurfer.com/es/rally/pick?pickup_date=2026-04-01&amp;return_date=2026-04-08&amp;currency=EUR&amp;startStation=6&amp;endStation=109",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Sunrise Suite</t>
        </is>
      </c>
      <c r="H89">
        <f>HYPERLINK("https://booking.roadsurfer.com/es/rally/pick?pickup_date=2026-03-16&amp;return_date=2026-03-23&amp;currency=EUR&amp;startStation=6&amp;endStation=10",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Italia</t>
        </is>
      </c>
      <c r="D90" t="inlineStr">
        <is>
          <t>Florencia</t>
        </is>
      </c>
      <c r="E90" t="inlineStr">
        <is>
          <t>2026-03-10</t>
        </is>
      </c>
      <c r="F90" t="inlineStr">
        <is>
          <t>2026-03-17</t>
        </is>
      </c>
      <c r="G90" t="inlineStr">
        <is>
          <t xml:space="preserve"> - Surfer Suite</t>
        </is>
      </c>
      <c r="H90">
        <f>HYPERLINK("https://booking.roadsurfer.com/es/rally/pick?pickup_date=2026-03-10&amp;return_date=2026-03-17&amp;currency=EUR&amp;startStation=6&amp;endStation=80",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2026-02-27</t>
        </is>
      </c>
      <c r="F91" t="inlineStr">
        <is>
          <t>2026-03-06</t>
        </is>
      </c>
      <c r="G91" t="inlineStr">
        <is>
          <t xml:space="preserve"> - Surfer Suite</t>
        </is>
      </c>
      <c r="H91">
        <f>HYPERLINK("https://booking.roadsurfer.com/es/rally/pick?pickup_date=2026-02-27&amp;return_date=2026-03-06&amp;currency=EUR&amp;startStation=51&amp;endStation=37",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2026-03-04</t>
        </is>
      </c>
      <c r="F92" t="inlineStr">
        <is>
          <t>2026-03-11</t>
        </is>
      </c>
      <c r="G92" t="inlineStr">
        <is>
          <t xml:space="preserve"> - Road House - COUPLE COTTAGE</t>
        </is>
      </c>
      <c r="H92">
        <f>HYPERLINK("https://booking.roadsurfer.com/es/rally/pick?pickup_date=2026-03-04&amp;return_date=2026-03-11&amp;currency=EUR&amp;startStation=51&amp;endStation=32",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2026-03-30</t>
        </is>
      </c>
      <c r="F93" t="inlineStr">
        <is>
          <t>2026-04-06</t>
        </is>
      </c>
      <c r="G93" t="inlineStr">
        <is>
          <t xml:space="preserve"> - No hay coche</t>
        </is>
      </c>
      <c r="H93">
        <f>HYPERLINK("https://booking.roadsurfer.com/es/rally/pick?pickup_date=2026-03-30&amp;return_date=2026-04-06&amp;currency=EUR&amp;startStation=51&amp;endStation=32",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2026-03-04</t>
        </is>
      </c>
      <c r="F94" t="inlineStr">
        <is>
          <t>2026-03-11</t>
        </is>
      </c>
      <c r="G94" t="inlineStr">
        <is>
          <t xml:space="preserve"> - ROAD HOUSE</t>
        </is>
      </c>
      <c r="H94">
        <f>HYPERLINK("https://booking.roadsurfer.com/es/rally/pick?pickup_date=2026-03-04&amp;return_date=2026-03-11&amp;currency=EUR&amp;startStation=51&amp;endStation=36",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Camper Castle</t>
        </is>
      </c>
      <c r="H95">
        <f>HYPERLINK("https://booking.roadsurfer.com/es/rally/pick?pickup_date=2026-03-20&amp;return_date=2026-03-27&amp;currency=EUR&amp;startStation=51&amp;endStation=36",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Road House</t>
        </is>
      </c>
      <c r="H96">
        <f>HYPERLINK("https://booking.roadsurfer.com/es/rally/pick?pickup_date=2026-03-19&amp;return_date=2026-03-26&amp;currency=EUR&amp;startStation=51&amp;endStation=58",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Road House</t>
        </is>
      </c>
      <c r="H97">
        <f>HYPERLINK("https://booking.roadsurfer.com/es/rally/pick?pickup_date=2026-03-20&amp;return_date=2026-03-27&amp;currency=EUR&amp;startStation=51&amp;endStation=58",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No hay coche</t>
        </is>
      </c>
      <c r="H98">
        <f>HYPERLINK("https://booking.roadsurfer.com/es/rally/pick?pickup_date=2026-03-21&amp;return_date=2026-03-28&amp;currency=EUR&amp;startStation=51&amp;endStation=58",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Couple Cottage</t>
        </is>
      </c>
      <c r="H100">
        <f>HYPERLINK("https://booking.roadsurfer.com/es/rally/pick?pickup_date=2026-03-23&amp;return_date=2026-03-30&amp;currency=EUR&amp;startStation=51&amp;endStation=45",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2026-03-02</t>
        </is>
      </c>
      <c r="F101" t="inlineStr">
        <is>
          <t>2026-03-09</t>
        </is>
      </c>
      <c r="G101" t="inlineStr">
        <is>
          <t xml:space="preserve"> - Surfer Suite</t>
        </is>
      </c>
      <c r="H101">
        <f>HYPERLINK("https://booking.roadsurfer.com/es/rally/pick?pickup_date=2026-03-02&amp;return_date=2026-03-09&amp;currency=EUR&amp;startStation=51&amp;endStation=29",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Cozy Cottage</t>
        </is>
      </c>
      <c r="H102">
        <f>HYPERLINK("https://booking.roadsurfer.com/es/rally/pick?pickup_date=2026-03-20&amp;return_date=2026-03-27&amp;currency=EUR&amp;startStation=51&amp;endStation=87",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Cozy Cottage</t>
        </is>
      </c>
      <c r="H103">
        <f>HYPERLINK("https://booking.roadsurfer.com/es/rally/pick?pickup_date=2026-03-16&amp;return_date=2026-03-23&amp;currency=EUR&amp;startStation=51&amp;endStation=87",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Surfer Suite</t>
        </is>
      </c>
      <c r="H105">
        <f>HYPERLINK("https://booking.roadsurfer.com/es/rally/pick?pickup_date=2026-03-03&amp;return_date=2026-03-10&amp;currency=EUR&amp;startStation=51&amp;endStation=65",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Madrid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ROAD HOUSE</t>
        </is>
      </c>
      <c r="H106">
        <f>HYPERLINK("https://booking.roadsurfer.com/es/rally/pick?pickup_date=2026-03-03&amp;return_date=2026-03-10&amp;currency=EUR&amp;startStation=51&amp;endStation=20",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Florencia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Family Finca</t>
        </is>
      </c>
      <c r="H107">
        <f>HYPERLINK("https://booking.roadsurfer.com/es/rally/pick?pickup_date=2026-03-09&amp;return_date=2026-03-16&amp;currency=EUR&amp;startStation=51&amp;endStation=80",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Family Finca</t>
        </is>
      </c>
      <c r="H108">
        <f>HYPERLINK("https://booking.roadsurfer.com/es/rally/pick?pickup_date=2026-03-02&amp;return_date=2026-03-09&amp;currency=EUR&amp;startStation=51&amp;endStation=34",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2026-02-27</t>
        </is>
      </c>
      <c r="F109" t="inlineStr">
        <is>
          <t>2026-03-06</t>
        </is>
      </c>
      <c r="G109" t="inlineStr">
        <is>
          <t xml:space="preserve"> - Camper Castle</t>
        </is>
      </c>
      <c r="H109">
        <f>HYPERLINK("https://booking.roadsurfer.com/es/rally/pick?pickup_date=2026-02-27&amp;return_date=2026-03-06&amp;currency=EUR&amp;startStation=51&amp;endStation=33",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2026-03-21</t>
        </is>
      </c>
      <c r="F110" t="inlineStr">
        <is>
          <t>2026-03-28</t>
        </is>
      </c>
      <c r="G110" t="inlineStr">
        <is>
          <t xml:space="preserve"> - Beach Hostel</t>
        </is>
      </c>
      <c r="H110">
        <f>HYPERLINK("https://booking.roadsurfer.com/es/rally/pick?pickup_date=2026-03-21&amp;return_date=2026-03-28&amp;currency=EUR&amp;startStation=91&amp;endStation=47",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2026-03-28</t>
        </is>
      </c>
      <c r="F111" t="inlineStr">
        <is>
          <t>2026-04-04</t>
        </is>
      </c>
      <c r="G111" t="inlineStr">
        <is>
          <t xml:space="preserve"> - Road House</t>
        </is>
      </c>
      <c r="H111">
        <f>HYPERLINK("https://booking.roadsurfer.com/es/rally/pick?pickup_date=2026-03-28&amp;return_date=2026-04-04&amp;currency=EUR&amp;startStation=91&amp;endStation=12",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Road House</t>
        </is>
      </c>
      <c r="H112">
        <f>HYPERLINK("https://booking.roadsurfer.com/es/rally/pick?pickup_date=2026-02-27&amp;return_date=2026-03-06&amp;currency=EUR&amp;startStation=91&amp;endStation=48",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2026-03-25</t>
        </is>
      </c>
      <c r="F113" t="inlineStr">
        <is>
          <t>2026-04-01</t>
        </is>
      </c>
      <c r="G113" t="inlineStr">
        <is>
          <t xml:space="preserve"> - Road House</t>
        </is>
      </c>
      <c r="H113">
        <f>HYPERLINK("https://booking.roadsurfer.com/es/rally/pick?pickup_date=2026-03-25&amp;return_date=2026-04-01&amp;currency=EUR&amp;startStation=91&amp;endStation=31",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2026-04-04</t>
        </is>
      </c>
      <c r="F114" t="inlineStr">
        <is>
          <t>2026-04-11</t>
        </is>
      </c>
      <c r="G114" t="inlineStr">
        <is>
          <t xml:space="preserve"> - BEACH HOSTEL</t>
        </is>
      </c>
      <c r="H114">
        <f>HYPERLINK("https://booking.roadsurfer.com/es/rally/pick?pickup_date=2026-04-04&amp;return_date=2026-04-11&amp;currency=EUR&amp;startStation=91&amp;endStation=31",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Family Finca</t>
        </is>
      </c>
      <c r="H115">
        <f>HYPERLINK("https://booking.roadsurfer.com/es/rally/pick?pickup_date=2026-03-26&amp;return_date=2026-04-02&amp;currency=EUR&amp;startStation=91&amp;endStation=34",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</t>
        </is>
      </c>
      <c r="H116">
        <f>HYPERLINK("https://booking.roadsurfer.com/es/rally/pick?pickup_date=2026-03-09&amp;return_date=2026-03-16&amp;currency=EUR&amp;startStation=91&amp;endStation=33",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Núremberg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Beach Hostel</t>
        </is>
      </c>
      <c r="H117">
        <f>HYPERLINK("https://booking.roadsurfer.com/es/rally/pick?pickup_date=2026-03-16&amp;return_date=2026-03-23&amp;currency=EUR&amp;startStation=91&amp;endStation=11",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Surfer Suite</t>
        </is>
      </c>
      <c r="H118">
        <f>HYPERLINK("https://booking.roadsurfer.com/es/rally/pick?pickup_date=2026-03-09&amp;return_date=2026-03-16&amp;currency=EUR&amp;startStation=91&amp;endStation=40",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Alemania</t>
        </is>
      </c>
      <c r="D119" t="inlineStr">
        <is>
          <t>Aquisgrán</t>
        </is>
      </c>
      <c r="E119" t="inlineStr">
        <is>
          <t>2026-03-13</t>
        </is>
      </c>
      <c r="F119" t="inlineStr">
        <is>
          <t>2026-03-20</t>
        </is>
      </c>
      <c r="G119" t="inlineStr">
        <is>
          <t xml:space="preserve"> - Couple Cottage</t>
        </is>
      </c>
      <c r="H119">
        <f>HYPERLINK("https://booking.roadsurfer.com/es/rally/pick?pickup_date=2026-03-13&amp;return_date=2026-03-20&amp;currency=EUR&amp;startStation=91&amp;endStation=114",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2026-02-28</t>
        </is>
      </c>
      <c r="F120" t="inlineStr">
        <is>
          <t>2026-03-07</t>
        </is>
      </c>
      <c r="G120" t="inlineStr">
        <is>
          <t xml:space="preserve"> - Surfer Suite</t>
        </is>
      </c>
      <c r="H120">
        <f>HYPERLINK("https://booking.roadsurfer.com/es/rally/pick?pickup_date=2026-02-28&amp;return_date=2026-03-07&amp;currency=EUR&amp;startStation=40&amp;endStation=2",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2026-03-06</t>
        </is>
      </c>
      <c r="F124" t="inlineStr">
        <is>
          <t>2026-03-13</t>
        </is>
      </c>
      <c r="G124" t="inlineStr">
        <is>
          <t xml:space="preserve"> - Surfer Suite</t>
        </is>
      </c>
      <c r="H124">
        <f>HYPERLINK("https://booking.roadsurfer.com/es/rally/pick?pickup_date=2026-03-06&amp;return_date=2026-03-13&amp;currency=EUR&amp;startStation=40&amp;endStation=22",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2026-03-14</t>
        </is>
      </c>
      <c r="F125" t="inlineStr">
        <is>
          <t>2026-03-21</t>
        </is>
      </c>
      <c r="G125" t="inlineStr">
        <is>
          <t xml:space="preserve"> - No hay coche</t>
        </is>
      </c>
      <c r="H125">
        <f>HYPERLINK("https://booking.roadsurfer.com/es/rally/pick?pickup_date=2026-03-14&amp;return_date=2026-03-21&amp;currency=EUR&amp;startStation=40&amp;endStation=22",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2026-02-28</t>
        </is>
      </c>
      <c r="F126" t="inlineStr">
        <is>
          <t>2026-03-07</t>
        </is>
      </c>
      <c r="G126" t="inlineStr">
        <is>
          <t xml:space="preserve"> - Road House</t>
        </is>
      </c>
      <c r="H126">
        <f>HYPERLINK("https://booking.roadsurfer.com/es/rally/pick?pickup_date=2026-02-28&amp;return_date=2026-03-07&amp;currency=EUR&amp;startStation=40&amp;endStation=10",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Road House</t>
        </is>
      </c>
      <c r="H128">
        <f>HYPERLINK("https://booking.roadsurfer.com/es/rally/pick?pickup_date=2026-04-13&amp;return_date=2026-04-20&amp;currency=EUR&amp;startStation=40&amp;endStation=5",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2026-04-18</t>
        </is>
      </c>
      <c r="F130" t="inlineStr">
        <is>
          <t>2026-04-25</t>
        </is>
      </c>
      <c r="G130" t="inlineStr">
        <is>
          <t xml:space="preserve"> - Family Finca</t>
        </is>
      </c>
      <c r="H130">
        <f>HYPERLINK("https://booking.roadsurfer.com/es/rally/pick?pickup_date=2026-04-18&amp;return_date=2026-04-25&amp;currency=EUR&amp;startStation=40&amp;endStation=1",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HYPERLINK("https://booking.roadsurfer.com/es/rally/pick?pickup_date=2026-03-23&amp;return_date=2026-03-30&amp;currency=EUR&amp;startStation=40&amp;endStation=113",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HYPERLINK("https://booking.roadsurfer.com/es/rally/pick?pickup_date=2026-03-02&amp;return_date=2026-03-09&amp;currency=EUR&amp;startStation=40&amp;endStation=114",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2026-03-24</t>
        </is>
      </c>
      <c r="F134" t="inlineStr">
        <is>
          <t>2026-03-31</t>
        </is>
      </c>
      <c r="G134" t="inlineStr">
        <is>
          <t xml:space="preserve"> - Surfer Suite</t>
        </is>
      </c>
      <c r="H134">
        <f>HYPERLINK("https://booking.roadsurfer.com/es/rally/pick?pickup_date=2026-03-24&amp;return_date=2026-03-31&amp;currency=EUR&amp;startStation=40&amp;endStation=9",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Alemania</t>
        </is>
      </c>
      <c r="D135" t="inlineStr">
        <is>
          <t>Hamburgo Aeropuerto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Couple Cottage</t>
        </is>
      </c>
      <c r="H135">
        <f>HYPERLINK("https://booking.roadsurfer.com/es/rally/pick?pickup_date=2026-03-02&amp;return_date=2026-03-09&amp;currency=EUR&amp;startStation=24&amp;endStation=65",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Camper Castle</t>
        </is>
      </c>
      <c r="H136">
        <f>HYPERLINK("https://booking.roadsurfer.com/es/rally/pick?pickup_date=2026-03-02&amp;return_date=2026-03-09&amp;currency=EUR&amp;startStation=24&amp;endStation=45",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Family Finca</t>
        </is>
      </c>
      <c r="H137">
        <f>HYPERLINK("https://booking.roadsurfer.com/es/rally/pick?pickup_date=2026-04-14&amp;return_date=2026-04-21&amp;currency=EUR&amp;startStation=57&amp;endStation=1",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2026-02-27</t>
        </is>
      </c>
      <c r="F147" t="inlineStr">
        <is>
          <t>2026-03-06</t>
        </is>
      </c>
      <c r="G147" t="inlineStr">
        <is>
          <t xml:space="preserve"> - Travel Home</t>
        </is>
      </c>
      <c r="H147">
        <f>HYPERLINK("https://booking.roadsurfer.com/es/rally/pick?pickup_date=2026-02-27&amp;return_date=2026-03-06&amp;currency=EUR&amp;startStation=13&amp;endStation=4",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ROAD HOUSE</t>
        </is>
      </c>
      <c r="H150">
        <f>HYPERLINK("https://booking.roadsurfer.com/es/rally/pick?pickup_date=2026-04-15&amp;return_date=2026-04-22&amp;currency=EUR&amp;startStation=13&amp;endStation=11",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2026-03-13</t>
        </is>
      </c>
      <c r="F153" t="inlineStr">
        <is>
          <t>2026-03-20</t>
        </is>
      </c>
      <c r="G153" t="inlineStr">
        <is>
          <t xml:space="preserve"> - Road House - Sunrise Suite</t>
        </is>
      </c>
      <c r="H153">
        <f>HYPERLINK("https://booking.roadsurfer.com/es/rally/pick?pickup_date=2026-03-13&amp;return_date=2026-03-20&amp;currency=EUR&amp;startStation=13&amp;endStation=52",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Sunrise Suite</t>
        </is>
      </c>
      <c r="H154">
        <f>HYPERLINK("https://booking.roadsurfer.com/es/rally/pick?pickup_date=2026-03-14&amp;return_date=2026-03-21&amp;currency=EUR&amp;startStation=13&amp;endStation=52",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2026-02-25</t>
        </is>
      </c>
      <c r="F155" t="inlineStr">
        <is>
          <t>2026-03-04</t>
        </is>
      </c>
      <c r="G155" t="inlineStr">
        <is>
          <t xml:space="preserve"> - Couple Cottage</t>
        </is>
      </c>
      <c r="H155">
        <f>HYPERLINK("https://booking.roadsurfer.com/es/rally/pick?pickup_date=2026-02-25&amp;return_date=2026-03-04&amp;currency=EUR&amp;startStation=13&amp;endStation=52",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Austria</t>
        </is>
      </c>
      <c r="D156" t="inlineStr">
        <is>
          <t>Salzburgo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Family Finca</t>
        </is>
      </c>
      <c r="H156">
        <f>HYPERLINK("https://booking.roadsurfer.com/es/rally/pick?pickup_date=2026-05-06&amp;return_date=2026-05-13&amp;currency=EUR&amp;startStation=13&amp;endStation=85",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2026-03-12</t>
        </is>
      </c>
      <c r="F157" t="inlineStr">
        <is>
          <t>2026-03-19</t>
        </is>
      </c>
      <c r="G157" t="inlineStr">
        <is>
          <t xml:space="preserve"> - Family Finca</t>
        </is>
      </c>
      <c r="H157">
        <f>HYPERLINK("https://booking.roadsurfer.com/es/rally/pick?pickup_date=2026-03-12&amp;return_date=2026-03-19&amp;currency=EUR&amp;startStation=13&amp;endStation=29",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Couple Cottage</t>
        </is>
      </c>
      <c r="H158">
        <f>HYPERLINK("https://booking.roadsurfer.com/es/rally/pick?pickup_date=2026-04-27&amp;return_date=2026-05-04&amp;currency=EUR&amp;startStation=13&amp;endStation=15",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Family Finca</t>
        </is>
      </c>
      <c r="H165">
        <f>HYPERLINK("https://booking.roadsurfer.com/es/rally/pick?pickup_date=2026-03-24&amp;return_date=2026-03-31&amp;currency=EUR&amp;startStation=55&amp;endStation=77",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2026-04-03</t>
        </is>
      </c>
      <c r="F166" t="inlineStr">
        <is>
          <t>2026-04-10</t>
        </is>
      </c>
      <c r="G166" t="inlineStr">
        <is>
          <t xml:space="preserve"> - No hay coche</t>
        </is>
      </c>
      <c r="H166">
        <f>HYPERLINK("https://booking.roadsurfer.com/es/rally/pick?pickup_date=2026-04-03&amp;return_date=2026-04-10&amp;currency=EUR&amp;startStation=55&amp;endStation=77",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2026-03-28</t>
        </is>
      </c>
      <c r="F167" t="inlineStr">
        <is>
          <t>2026-04-04</t>
        </is>
      </c>
      <c r="G167" t="inlineStr">
        <is>
          <t xml:space="preserve"> - Surfer Suite - Family Finca</t>
        </is>
      </c>
      <c r="H167">
        <f>HYPERLINK("https://booking.roadsurfer.com/es/rally/pick?pickup_date=2026-03-28&amp;return_date=2026-04-04&amp;currency=EUR&amp;startStation=55&amp;endStation=77",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2026-03-27</t>
        </is>
      </c>
      <c r="F168" t="inlineStr">
        <is>
          <t>2026-04-04</t>
        </is>
      </c>
      <c r="G168" t="inlineStr">
        <is>
          <t xml:space="preserve"> - Family Finca</t>
        </is>
      </c>
      <c r="H168">
        <f>HYPERLINK("https://booking.roadsurfer.com/es/rally/pick?pickup_date=2026-03-27&amp;return_date=2026-04-04&amp;currency=EUR&amp;startStation=55&amp;endStation=77",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2026-02-27</t>
        </is>
      </c>
      <c r="F169" t="inlineStr">
        <is>
          <t>2026-03-06</t>
        </is>
      </c>
      <c r="G169" t="inlineStr">
        <is>
          <t xml:space="preserve"> - Family Finca</t>
        </is>
      </c>
      <c r="H169">
        <f>HYPERLINK("https://booking.roadsurfer.com/es/rally/pick?pickup_date=2026-02-27&amp;return_date=2026-03-06&amp;currency=EUR&amp;startStation=55&amp;endStation=77",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Road House</t>
        </is>
      </c>
      <c r="H170">
        <f>HYPERLINK("https://booking.roadsurfer.com/es/rally/pick?pickup_date=2026-04-02&amp;return_date=2026-04-09&amp;currency=EUR&amp;startStation=55&amp;endStation=77",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2026-03-30</t>
        </is>
      </c>
      <c r="F171" t="inlineStr">
        <is>
          <t>2026-04-06</t>
        </is>
      </c>
      <c r="G171" t="inlineStr">
        <is>
          <t xml:space="preserve"> - No hay coche</t>
        </is>
      </c>
      <c r="H171">
        <f>HYPERLINK("https://booking.roadsurfer.com/es/rally/pick?pickup_date=2026-03-30&amp;return_date=2026-04-06&amp;currency=EUR&amp;startStation=55&amp;endStation=60",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2026-03-31</t>
        </is>
      </c>
      <c r="F172" t="inlineStr">
        <is>
          <t>2026-04-07</t>
        </is>
      </c>
      <c r="G172" t="inlineStr">
        <is>
          <t xml:space="preserve"> - Surfer Suite - Road House</t>
        </is>
      </c>
      <c r="H172">
        <f>HYPERLINK("https://booking.roadsurfer.com/es/rally/pick?pickup_date=2026-03-31&amp;return_date=2026-04-07&amp;currency=EUR&amp;startStation=55&amp;endStation=60",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Road House</t>
        </is>
      </c>
      <c r="H173">
        <f>HYPERLINK("https://booking.roadsurfer.com/es/rally/pick?pickup_date=2026-04-02&amp;return_date=2026-04-09&amp;currency=EUR&amp;startStation=55&amp;endStation=60",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2026-03-28</t>
        </is>
      </c>
      <c r="F174" t="inlineStr">
        <is>
          <t>2026-04-04</t>
        </is>
      </c>
      <c r="G174" t="inlineStr">
        <is>
          <t xml:space="preserve"> - Road House</t>
        </is>
      </c>
      <c r="H174">
        <f>HYPERLINK("https://booking.roadsurfer.com/es/rally/pick?pickup_date=2026-03-28&amp;return_date=2026-04-04&amp;currency=EUR&amp;startStation=55&amp;endStation=60",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2026-03-07</t>
        </is>
      </c>
      <c r="F175" t="inlineStr">
        <is>
          <t>2026-03-14</t>
        </is>
      </c>
      <c r="G175" t="inlineStr">
        <is>
          <t xml:space="preserve"> - Surfer Suite</t>
        </is>
      </c>
      <c r="H175">
        <f>HYPERLINK("https://booking.roadsurfer.com/es/rally/pick?pickup_date=2026-03-07&amp;return_date=2026-03-14&amp;currency=EUR&amp;startStation=55&amp;endStation=32",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2026-03-12</t>
        </is>
      </c>
      <c r="F176" t="inlineStr">
        <is>
          <t>2026-03-19</t>
        </is>
      </c>
      <c r="G176" t="inlineStr">
        <is>
          <t xml:space="preserve"> - Surfer Suite</t>
        </is>
      </c>
      <c r="H176">
        <f>HYPERLINK("https://booking.roadsurfer.com/es/rally/pick?pickup_date=2026-03-12&amp;return_date=2026-03-19&amp;currency=EUR&amp;startStation=55&amp;endStation=32",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2026-03-04</t>
        </is>
      </c>
      <c r="F177" t="inlineStr">
        <is>
          <t>2026-03-11</t>
        </is>
      </c>
      <c r="G177" t="inlineStr">
        <is>
          <t xml:space="preserve"> - Surfer Suite</t>
        </is>
      </c>
      <c r="H177">
        <f>HYPERLINK("https://booking.roadsurfer.com/es/rally/pick?pickup_date=2026-03-04&amp;return_date=2026-03-11&amp;currency=EUR&amp;startStation=55&amp;endStation=33",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Couple Cottage</t>
        </is>
      </c>
      <c r="H178">
        <f>HYPERLINK("https://booking.roadsurfer.com/es/rally/pick?pickup_date=2026-03-12&amp;return_date=2026-03-19&amp;currency=EUR&amp;startStation=55&amp;endStation=111",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Camper Cabin</t>
        </is>
      </c>
      <c r="H179">
        <f>HYPERLINK("https://booking.roadsurfer.com/es/rally/pick?pickup_date=2026-03-19&amp;return_date=2026-03-26&amp;currency=EUR&amp;startStation=55&amp;endStation=111",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2026-04-03</t>
        </is>
      </c>
      <c r="F180" t="inlineStr">
        <is>
          <t>2026-04-10</t>
        </is>
      </c>
      <c r="G180" t="inlineStr">
        <is>
          <t xml:space="preserve"> - No hay coche</t>
        </is>
      </c>
      <c r="H180">
        <f>HYPERLINK("https://booking.roadsurfer.com/es/rally/pick?pickup_date=2026-04-03&amp;return_date=2026-04-10&amp;currency=EUR&amp;startStation=55&amp;endStation=59",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2026-04-02</t>
        </is>
      </c>
      <c r="F181" t="inlineStr">
        <is>
          <t>2026-04-09</t>
        </is>
      </c>
      <c r="G181" t="inlineStr">
        <is>
          <t xml:space="preserve"> - Surfer Suite</t>
        </is>
      </c>
      <c r="H181">
        <f>HYPERLINK("https://booking.roadsurfer.com/es/rally/pick?pickup_date=2026-04-02&amp;return_date=2026-04-09&amp;currency=EUR&amp;startStation=55&amp;endStation=59",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2026-03-24</t>
        </is>
      </c>
      <c r="F182" t="inlineStr">
        <is>
          <t>2026-03-31</t>
        </is>
      </c>
      <c r="G182" t="inlineStr">
        <is>
          <t xml:space="preserve"> - Family Finca</t>
        </is>
      </c>
      <c r="H182">
        <f>HYPERLINK("https://booking.roadsurfer.com/es/rally/pick?pickup_date=2026-03-24&amp;return_date=2026-03-31&amp;currency=EUR&amp;startStation=55&amp;endStation=59",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2026-03-20</t>
        </is>
      </c>
      <c r="F183" t="inlineStr">
        <is>
          <t>2026-03-27</t>
        </is>
      </c>
      <c r="G183" t="inlineStr">
        <is>
          <t xml:space="preserve"> - Road House</t>
        </is>
      </c>
      <c r="H183">
        <f>HYPERLINK("https://booking.roadsurfer.com/es/rally/pick?pickup_date=2026-03-20&amp;return_date=2026-03-27&amp;currency=EUR&amp;startStation=55&amp;endStation=59",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COUPLE COTTAGE</t>
        </is>
      </c>
      <c r="H184">
        <f>HYPERLINK("https://booking.roadsurfer.com/es/rally/pick?pickup_date=2026-04-14&amp;return_date=2026-04-21&amp;currency=EUR&amp;startStation=55&amp;endStation=59",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2026-04-01</t>
        </is>
      </c>
      <c r="F185" t="inlineStr">
        <is>
          <t>2026-04-08</t>
        </is>
      </c>
      <c r="G185" t="inlineStr">
        <is>
          <t xml:space="preserve"> - BEACH HOSTEL</t>
        </is>
      </c>
      <c r="H185">
        <f>HYPERLINK("https://booking.roadsurfer.com/es/rally/pick?pickup_date=2026-04-01&amp;return_date=2026-04-08&amp;currency=EUR&amp;startStation=55&amp;endStation=59",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2026-03-27</t>
        </is>
      </c>
      <c r="F186" t="inlineStr">
        <is>
          <t>2026-04-03</t>
        </is>
      </c>
      <c r="G186" t="inlineStr">
        <is>
          <t xml:space="preserve"> - No hay coche</t>
        </is>
      </c>
      <c r="H186">
        <f>HYPERLINK("https://booking.roadsurfer.com/es/rally/pick?pickup_date=2026-03-27&amp;return_date=2026-04-03&amp;currency=EUR&amp;startStation=55&amp;endStation=59",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Surfer Suite</t>
        </is>
      </c>
      <c r="H187">
        <f>HYPERLINK("https://booking.roadsurfer.com/es/rally/pick?pickup_date=2026-03-23&amp;return_date=2026-03-30&amp;currency=EUR&amp;startStation=55&amp;endStation=59",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Road House</t>
        </is>
      </c>
      <c r="H188">
        <f>HYPERLINK("https://booking.roadsurfer.com/es/rally/pick?pickup_date=2026-03-21&amp;return_date=2026-03-28&amp;currency=EUR&amp;startStation=55&amp;endStation=20",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Road House</t>
        </is>
      </c>
      <c r="H189">
        <f>HYPERLINK("https://booking.roadsurfer.com/es/rally/pick?pickup_date=2026-03-16&amp;return_date=2026-03-23&amp;currency=EUR&amp;startStation=55&amp;endStation=20",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2026-03-28</t>
        </is>
      </c>
      <c r="F191" t="inlineStr">
        <is>
          <t>2026-04-04</t>
        </is>
      </c>
      <c r="G191" t="inlineStr">
        <is>
          <t xml:space="preserve"> - Camper Cabin Deluxe</t>
        </is>
      </c>
      <c r="H191">
        <f>HYPERLINK("https://booking.roadsurfer.com/es/rally/pick?pickup_date=2026-03-28&amp;return_date=2026-04-04&amp;currency=EUR&amp;startStation=55&amp;endStation=42",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Alemania</t>
        </is>
      </c>
      <c r="D192" t="inlineStr">
        <is>
          <t>Maguncia</t>
        </is>
      </c>
      <c r="E192" t="inlineStr">
        <is>
          <t>2026-03-17</t>
        </is>
      </c>
      <c r="F192" t="inlineStr">
        <is>
          <t>2026-03-24</t>
        </is>
      </c>
      <c r="G192" t="inlineStr">
        <is>
          <t xml:space="preserve"> - Family Finca</t>
        </is>
      </c>
      <c r="H192">
        <f>HYPERLINK("https://booking.roadsurfer.com/es/rally/pick?pickup_date=2026-03-17&amp;return_date=2026-03-24&amp;currency=EUR&amp;startStation=55&amp;endStation=54",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Lübeck</t>
        </is>
      </c>
      <c r="E193" t="inlineStr">
        <is>
          <t>2026-03-14</t>
        </is>
      </c>
      <c r="F193" t="inlineStr">
        <is>
          <t>2026-03-21</t>
        </is>
      </c>
      <c r="G193" t="inlineStr">
        <is>
          <t xml:space="preserve"> - CAMPER CASTLE</t>
        </is>
      </c>
      <c r="H193">
        <f>HYPERLINK("https://booking.roadsurfer.com/es/rally/pick?pickup_date=2026-03-14&amp;return_date=2026-03-21&amp;currency=EUR&amp;startStation=42&amp;endStation=109",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2026-02-28</t>
        </is>
      </c>
      <c r="F194" t="inlineStr">
        <is>
          <t>2026-03-07</t>
        </is>
      </c>
      <c r="G194" t="inlineStr">
        <is>
          <t xml:space="preserve"> - Camper Cabin Deluxe</t>
        </is>
      </c>
      <c r="H194">
        <f>HYPERLINK("https://booking.roadsurfer.com/es/rally/pick?pickup_date=2026-02-28&amp;return_date=2026-03-07&amp;currency=EUR&amp;startStation=42&amp;endStation=55",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Family Finca</t>
        </is>
      </c>
      <c r="H195">
        <f>HYPERLINK("https://booking.roadsurfer.com/es/rally/pick?pickup_date=2026-03-16&amp;return_date=2026-03-23&amp;currency=EUR&amp;startStation=42&amp;endStation=8",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2026-02-24</t>
        </is>
      </c>
      <c r="F196" t="inlineStr">
        <is>
          <t>2026-03-03</t>
        </is>
      </c>
      <c r="G196" t="inlineStr">
        <is>
          <t xml:space="preserve"> - SURFER SUITE</t>
        </is>
      </c>
      <c r="H196">
        <f>HYPERLINK("https://booking.roadsurfer.com/es/rally/pick?pickup_date=2026-02-24&amp;return_date=2026-03-03&amp;currency=EUR&amp;startStation=42&amp;endStation=52",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2026-03-13</t>
        </is>
      </c>
      <c r="F197" t="inlineStr">
        <is>
          <t>2026-03-20</t>
        </is>
      </c>
      <c r="G197" t="inlineStr">
        <is>
          <t xml:space="preserve"> - Surfer Suite</t>
        </is>
      </c>
      <c r="H197">
        <f>HYPERLINK("https://booking.roadsurfer.com/es/rally/pick?pickup_date=2026-03-13&amp;return_date=2026-03-20&amp;currency=EUR&amp;startStation=42&amp;endStation=52",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Couple Cottage</t>
        </is>
      </c>
      <c r="H202">
        <f>HYPERLINK("https://booking.roadsurfer.com/es/rally/pick?pickup_date=2026-03-14&amp;return_date=2026-03-21&amp;currency=EUR&amp;startStation=42&amp;endStation=4",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Ulm</t>
        </is>
      </c>
      <c r="E203" t="inlineStr">
        <is>
          <t>2026-03-18</t>
        </is>
      </c>
      <c r="F203" t="inlineStr">
        <is>
          <t>2026-03-25</t>
        </is>
      </c>
      <c r="G203" t="inlineStr">
        <is>
          <t xml:space="preserve"> - Road House</t>
        </is>
      </c>
      <c r="H203">
        <f>HYPERLINK("https://booking.roadsurfer.com/es/rally/pick?pickup_date=2026-03-18&amp;return_date=2026-03-25&amp;currency=EUR&amp;startStation=42&amp;endStation=112",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2026-03-17</t>
        </is>
      </c>
      <c r="F204" t="inlineStr">
        <is>
          <t>2026-03-24</t>
        </is>
      </c>
      <c r="G204" t="inlineStr">
        <is>
          <t xml:space="preserve"> - Surfer Suite</t>
        </is>
      </c>
      <c r="H204">
        <f>HYPERLINK("https://booking.roadsurfer.com/es/rally/pick?pickup_date=2026-03-17&amp;return_date=2026-03-24&amp;currency=EUR&amp;startStation=42&amp;endStation=22",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Heidelberg</t>
        </is>
      </c>
      <c r="E205" t="inlineStr">
        <is>
          <t>2026-03-16</t>
        </is>
      </c>
      <c r="F205" t="inlineStr">
        <is>
          <t>2026-03-23</t>
        </is>
      </c>
      <c r="G205" t="inlineStr">
        <is>
          <t xml:space="preserve"> - Beach Hostel</t>
        </is>
      </c>
      <c r="H205">
        <f>HYPERLINK("https://booking.roadsurfer.com/es/rally/pick?pickup_date=2026-03-16&amp;return_date=2026-03-23&amp;currency=EUR&amp;startStation=42&amp;endStation=79",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Road House</t>
        </is>
      </c>
      <c r="H206">
        <f>HYPERLINK("https://booking.roadsurfer.com/es/rally/pick?pickup_date=2026-03-13&amp;return_date=2026-03-20&amp;currency=EUR&amp;startStation=42&amp;endStation=56",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Erfurt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Beach Hostel</t>
        </is>
      </c>
      <c r="H207">
        <f>HYPERLINK("https://booking.roadsurfer.com/es/rally/pick?pickup_date=2026-03-17&amp;return_date=2026-03-24&amp;currency=EUR&amp;startStation=42&amp;endStation=90",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2026-04-03</t>
        </is>
      </c>
      <c r="F208" t="inlineStr">
        <is>
          <t>2026-04-10</t>
        </is>
      </c>
      <c r="G208" t="inlineStr">
        <is>
          <t xml:space="preserve"> - No hay coche</t>
        </is>
      </c>
      <c r="H208">
        <f>HYPERLINK("https://booking.roadsurfer.com/es/rally/pick?pickup_date=2026-04-03&amp;return_date=2026-04-10&amp;currency=EUR&amp;startStation=52&amp;endStation=48",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Surfer Suite</t>
        </is>
      </c>
      <c r="H209">
        <f>HYPERLINK("https://booking.roadsurfer.com/es/rally/pick?pickup_date=2026-03-13&amp;return_date=2026-03-20&amp;currency=EUR&amp;startStation=52&amp;endStation=48",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Surfer Suite</t>
        </is>
      </c>
      <c r="H210">
        <f>HYPERLINK("https://booking.roadsurfer.com/es/rally/pick?pickup_date=2026-03-14&amp;return_date=2026-03-21&amp;currency=EUR&amp;startStation=52&amp;endStation=48",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2026-03-15</t>
        </is>
      </c>
      <c r="F211" t="inlineStr">
        <is>
          <t>2026-03-22</t>
        </is>
      </c>
      <c r="G211" t="inlineStr">
        <is>
          <t xml:space="preserve"> - No hay coche</t>
        </is>
      </c>
      <c r="H211">
        <f>HYPERLINK("https://booking.roadsurfer.com/es/rally/pick?pickup_date=2026-03-15&amp;return_date=2026-03-22&amp;currency=EUR&amp;startStation=52&amp;endStation=48",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Beach Hostel</t>
        </is>
      </c>
      <c r="H212">
        <f>HYPERLINK("https://booking.roadsurfer.com/es/rally/pick?pickup_date=2026-03-16&amp;return_date=2026-03-23&amp;currency=EUR&amp;startStation=52&amp;endStation=48",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Camper Cabin Deluxe</t>
        </is>
      </c>
      <c r="H213">
        <f>HYPERLINK("https://booking.roadsurfer.com/es/rally/pick?pickup_date=2026-04-16&amp;return_date=2026-04-23&amp;currency=EUR&amp;startStation=52&amp;endStation=48",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2026-03-02</t>
        </is>
      </c>
      <c r="F214" t="inlineStr">
        <is>
          <t>2026-03-09</t>
        </is>
      </c>
      <c r="G214" t="inlineStr">
        <is>
          <t xml:space="preserve"> - Camper Cabin Deluxe</t>
        </is>
      </c>
      <c r="H214">
        <f>HYPERLINK("https://booking.roadsurfer.com/es/rally/pick?pickup_date=2026-03-02&amp;return_date=2026-03-09&amp;currency=EUR&amp;startStation=52&amp;endStation=48",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2026-03-03</t>
        </is>
      </c>
      <c r="F215" t="inlineStr">
        <is>
          <t>2026-03-10</t>
        </is>
      </c>
      <c r="G215" t="inlineStr">
        <is>
          <t xml:space="preserve"> - Camper Cabin Deluxe</t>
        </is>
      </c>
      <c r="H215">
        <f>HYPERLINK("https://booking.roadsurfer.com/es/rally/pick?pickup_date=2026-03-03&amp;return_date=2026-03-10&amp;currency=EUR&amp;startStation=52&amp;endStation=48",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Surfer Suite</t>
        </is>
      </c>
      <c r="H216">
        <f>HYPERLINK("https://booking.roadsurfer.com/es/rally/pick?pickup_date=2026-03-23&amp;return_date=2026-03-30&amp;currency=EUR&amp;startStation=52&amp;endStation=34",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2026-03-22</t>
        </is>
      </c>
      <c r="F217" t="inlineStr">
        <is>
          <t>2026-03-29</t>
        </is>
      </c>
      <c r="G217" t="inlineStr">
        <is>
          <t xml:space="preserve"> - No hay coche</t>
        </is>
      </c>
      <c r="H217">
        <f>HYPERLINK("https://booking.roadsurfer.com/es/rally/pick?pickup_date=2026-03-22&amp;return_date=2026-03-29&amp;currency=EUR&amp;startStation=52&amp;endStation=34",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2026-03-07</t>
        </is>
      </c>
      <c r="F218" t="inlineStr">
        <is>
          <t>2026-03-14</t>
        </is>
      </c>
      <c r="G218" t="inlineStr">
        <is>
          <t xml:space="preserve"> - No hay coche</t>
        </is>
      </c>
      <c r="H218">
        <f>HYPERLINK("https://booking.roadsurfer.com/es/rally/pick?pickup_date=2026-03-07&amp;return_date=2026-03-14&amp;currency=EUR&amp;startStation=52&amp;endStation=34",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2026-03-13</t>
        </is>
      </c>
      <c r="F219" t="inlineStr">
        <is>
          <t>2026-03-20</t>
        </is>
      </c>
      <c r="G219" t="inlineStr">
        <is>
          <t xml:space="preserve"> - Beach Hostel</t>
        </is>
      </c>
      <c r="H219">
        <f>HYPERLINK("https://booking.roadsurfer.com/es/rally/pick?pickup_date=2026-03-13&amp;return_date=2026-03-20&amp;currency=EUR&amp;startStation=52&amp;endStation=42",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SURFER SUITE</t>
        </is>
      </c>
      <c r="H220">
        <f>HYPERLINK("https://booking.roadsurfer.com/es/rally/pick?pickup_date=2026-03-25&amp;return_date=2026-04-01&amp;currency=EUR&amp;startStation=52&amp;endStation=42",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2026-04-10</t>
        </is>
      </c>
      <c r="F221" t="inlineStr">
        <is>
          <t>2026-04-17</t>
        </is>
      </c>
      <c r="G221" t="inlineStr">
        <is>
          <t xml:space="preserve"> - Surfer Suite</t>
        </is>
      </c>
      <c r="H221">
        <f>HYPERLINK("https://booking.roadsurfer.com/es/rally/pick?pickup_date=2026-04-10&amp;return_date=2026-04-17&amp;currency=EUR&amp;startStation=52&amp;endStation=42",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Camper Cabin</t>
        </is>
      </c>
      <c r="H222">
        <f>HYPERLINK("https://booking.roadsurfer.com/es/rally/pick?pickup_date=2026-03-16&amp;return_date=2026-03-23&amp;currency=EUR&amp;startStation=52&amp;endStation=47",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2026-03-17</t>
        </is>
      </c>
      <c r="F223" t="inlineStr">
        <is>
          <t>2026-03-24</t>
        </is>
      </c>
      <c r="G223" t="inlineStr">
        <is>
          <t xml:space="preserve"> - Beach Hostel</t>
        </is>
      </c>
      <c r="H223">
        <f>HYPERLINK("https://booking.roadsurfer.com/es/rally/pick?pickup_date=2026-03-17&amp;return_date=2026-03-24&amp;currency=EUR&amp;startStation=52&amp;endStation=47",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2026-03-02</t>
        </is>
      </c>
      <c r="F224" t="inlineStr">
        <is>
          <t>2026-03-09</t>
        </is>
      </c>
      <c r="G224" t="inlineStr">
        <is>
          <t xml:space="preserve"> - Beach Hostel</t>
        </is>
      </c>
      <c r="H224">
        <f>HYPERLINK("https://booking.roadsurfer.com/es/rally/pick?pickup_date=2026-03-02&amp;return_date=2026-03-09&amp;currency=EUR&amp;startStation=52&amp;endStation=94",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2026-03-21</t>
        </is>
      </c>
      <c r="F225" t="inlineStr">
        <is>
          <t>2026-03-28</t>
        </is>
      </c>
      <c r="G225" t="inlineStr">
        <is>
          <t xml:space="preserve"> - Road House</t>
        </is>
      </c>
      <c r="H225">
        <f>HYPERLINK("https://booking.roadsurfer.com/es/rally/pick?pickup_date=2026-03-21&amp;return_date=2026-03-28&amp;currency=EUR&amp;startStation=52&amp;endStation=13",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2026-02-27</t>
        </is>
      </c>
      <c r="F226" t="inlineStr">
        <is>
          <t>2026-03-06</t>
        </is>
      </c>
      <c r="G226" t="inlineStr">
        <is>
          <t xml:space="preserve"> - Road House</t>
        </is>
      </c>
      <c r="H226">
        <f>HYPERLINK("https://booking.roadsurfer.com/es/rally/pick?pickup_date=2026-02-27&amp;return_date=2026-03-06&amp;currency=EUR&amp;startStation=52&amp;endStation=13",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Family Finca</t>
        </is>
      </c>
      <c r="H227">
        <f>HYPERLINK("https://booking.roadsurfer.com/es/rally/pick?pickup_date=2026-03-27&amp;return_date=2026-04-03&amp;currency=EUR&amp;startStation=52&amp;endStation=31",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2026-05-02</t>
        </is>
      </c>
      <c r="F228" t="inlineStr">
        <is>
          <t>2026-05-09</t>
        </is>
      </c>
      <c r="G228" t="inlineStr">
        <is>
          <t xml:space="preserve"> - Family Finca</t>
        </is>
      </c>
      <c r="H228">
        <f>HYPERLINK("https://booking.roadsurfer.com/es/rally/pick?pickup_date=2026-05-02&amp;return_date=2026-05-09&amp;currency=EUR&amp;startStation=52&amp;endStation=31",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2026-03-30</t>
        </is>
      </c>
      <c r="F229" t="inlineStr">
        <is>
          <t>2026-04-06</t>
        </is>
      </c>
      <c r="G229" t="inlineStr">
        <is>
          <t xml:space="preserve"> - No hay coche</t>
        </is>
      </c>
      <c r="H229">
        <f>HYPERLINK("https://booking.roadsurfer.com/es/rally/pick?pickup_date=2026-03-30&amp;return_date=2026-04-06&amp;currency=EUR&amp;startStation=52&amp;endStation=31",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2026-04-03</t>
        </is>
      </c>
      <c r="F230" t="inlineStr">
        <is>
          <t>2026-04-10</t>
        </is>
      </c>
      <c r="G230" t="inlineStr">
        <is>
          <t xml:space="preserve"> - No hay coche</t>
        </is>
      </c>
      <c r="H230">
        <f>HYPERLINK("https://booking.roadsurfer.com/es/rally/pick?pickup_date=2026-04-03&amp;return_date=2026-04-10&amp;currency=EUR&amp;startStation=52&amp;endStation=31",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2026-03-02</t>
        </is>
      </c>
      <c r="F231" t="inlineStr">
        <is>
          <t>2026-03-09</t>
        </is>
      </c>
      <c r="G231" t="inlineStr">
        <is>
          <t xml:space="preserve"> - Road House</t>
        </is>
      </c>
      <c r="H231">
        <f>HYPERLINK("https://booking.roadsurfer.com/es/rally/pick?pickup_date=2026-03-02&amp;return_date=2026-03-09&amp;currency=EUR&amp;startStation=52&amp;endStation=29",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2026-03-19</t>
        </is>
      </c>
      <c r="F232" t="inlineStr">
        <is>
          <t>2026-03-26</t>
        </is>
      </c>
      <c r="G232" t="inlineStr">
        <is>
          <t xml:space="preserve"> - Family Finca</t>
        </is>
      </c>
      <c r="H232">
        <f>HYPERLINK("https://booking.roadsurfer.com/es/rally/pick?pickup_date=2026-03-19&amp;return_date=2026-03-26&amp;currency=EUR&amp;startStation=52&amp;endStation=16",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FAMILY FINCA</t>
        </is>
      </c>
      <c r="H233">
        <f>HYPERLINK("https://booking.roadsurfer.com/es/rally/pick?pickup_date=2026-03-16&amp;return_date=2026-03-23&amp;currency=EUR&amp;startStation=52&amp;endStation=20",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Surfer Suite</t>
        </is>
      </c>
      <c r="H234">
        <f>HYPERLINK("https://booking.roadsurfer.com/es/rally/pick?pickup_date=2026-03-09&amp;return_date=2026-03-16&amp;currency=EUR&amp;startStation=4&amp;endStation=32",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2026-03-02</t>
        </is>
      </c>
      <c r="F235" t="inlineStr">
        <is>
          <t>2026-03-09</t>
        </is>
      </c>
      <c r="G235" t="inlineStr">
        <is>
          <t xml:space="preserve"> - No hay coche</t>
        </is>
      </c>
      <c r="H235">
        <f>HYPERLINK("https://booking.roadsurfer.com/es/rally/pick?pickup_date=2026-03-02&amp;return_date=2026-03-09&amp;currency=EUR&amp;startStation=4&amp;endStation=32",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2026-03-13</t>
        </is>
      </c>
      <c r="F236" t="inlineStr">
        <is>
          <t>2026-03-20</t>
        </is>
      </c>
      <c r="G236" t="inlineStr">
        <is>
          <t xml:space="preserve"> - Camper Cabin Deluxe</t>
        </is>
      </c>
      <c r="H236">
        <f>HYPERLINK("https://booking.roadsurfer.com/es/rally/pick?pickup_date=2026-03-13&amp;return_date=2026-03-20&amp;currency=EUR&amp;startStation=4&amp;endStation=33",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2026-03-24</t>
        </is>
      </c>
      <c r="F237" t="inlineStr">
        <is>
          <t>2026-03-31</t>
        </is>
      </c>
      <c r="G237" t="inlineStr">
        <is>
          <t xml:space="preserve"> - SURFER SUITE</t>
        </is>
      </c>
      <c r="H237">
        <f>HYPERLINK("https://booking.roadsurfer.com/es/rally/pick?pickup_date=2026-03-24&amp;return_date=2026-03-31&amp;currency=EUR&amp;startStation=4&amp;endStation=33",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CAMPER CABIN DELUXE</t>
        </is>
      </c>
      <c r="H238">
        <f>HYPERLINK("https://booking.roadsurfer.com/es/rally/pick?pickup_date=2026-03-09&amp;return_date=2026-03-16&amp;currency=EUR&amp;startStation=4&amp;endStation=33",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Alemania</t>
        </is>
      </c>
      <c r="D239" t="inlineStr">
        <is>
          <t>Núremberg</t>
        </is>
      </c>
      <c r="E239" t="inlineStr">
        <is>
          <t>2026-03-16</t>
        </is>
      </c>
      <c r="F239" t="inlineStr">
        <is>
          <t>2026-03-23</t>
        </is>
      </c>
      <c r="G239" t="inlineStr">
        <is>
          <t xml:space="preserve"> - Camper Cabin Deluxe</t>
        </is>
      </c>
      <c r="H239">
        <f>HYPERLINK("https://booking.roadsurfer.com/es/rally/pick?pickup_date=2026-03-16&amp;return_date=2026-03-23&amp;currency=EUR&amp;startStation=4&amp;endStation=11",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2026-03-27</t>
        </is>
      </c>
      <c r="F240" t="inlineStr">
        <is>
          <t>2026-04-03</t>
        </is>
      </c>
      <c r="G240" t="inlineStr">
        <is>
          <t xml:space="preserve"> - Travel Home</t>
        </is>
      </c>
      <c r="H240">
        <f>HYPERLINK("https://booking.roadsurfer.com/es/rally/pick?pickup_date=2026-03-27&amp;return_date=2026-04-03&amp;currency=EUR&amp;startStation=4&amp;endStation=13",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2026-03-14</t>
        </is>
      </c>
      <c r="F241" t="inlineStr">
        <is>
          <t>2026-03-21</t>
        </is>
      </c>
      <c r="G241" t="inlineStr">
        <is>
          <t xml:space="preserve"> - Road House</t>
        </is>
      </c>
      <c r="H241">
        <f>HYPERLINK("https://booking.roadsurfer.com/es/rally/pick?pickup_date=2026-03-14&amp;return_date=2026-03-21&amp;currency=EUR&amp;startStation=4&amp;endStation=13",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2026-03-12</t>
        </is>
      </c>
      <c r="F242" t="inlineStr">
        <is>
          <t>2026-03-19</t>
        </is>
      </c>
      <c r="G242" t="inlineStr">
        <is>
          <t xml:space="preserve"> - Camper Castle</t>
        </is>
      </c>
      <c r="H242">
        <f>HYPERLINK("https://booking.roadsurfer.com/es/rally/pick?pickup_date=2026-03-12&amp;return_date=2026-03-19&amp;currency=EUR&amp;startStation=4&amp;endStation=13",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2026-02-28</t>
        </is>
      </c>
      <c r="F243" t="inlineStr">
        <is>
          <t>2026-03-07</t>
        </is>
      </c>
      <c r="G243" t="inlineStr">
        <is>
          <t xml:space="preserve"> - Family Finca</t>
        </is>
      </c>
      <c r="H243">
        <f>HYPERLINK("https://booking.roadsurfer.com/es/rally/pick?pickup_date=2026-02-28&amp;return_date=2026-03-07&amp;currency=EUR&amp;startStation=4&amp;endStation=13",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2026-03-30</t>
        </is>
      </c>
      <c r="F244" t="inlineStr">
        <is>
          <t>2026-04-06</t>
        </is>
      </c>
      <c r="G244" t="inlineStr">
        <is>
          <t xml:space="preserve"> - No hay coche</t>
        </is>
      </c>
      <c r="H244">
        <f>HYPERLINK("https://booking.roadsurfer.com/es/rally/pick?pickup_date=2026-03-30&amp;return_date=2026-04-06&amp;currency=EUR&amp;startStation=4&amp;endStation=31",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Surfer Suite</t>
        </is>
      </c>
      <c r="H245">
        <f>HYPERLINK("https://booking.roadsurfer.com/es/rally/pick?pickup_date=2026-04-09&amp;return_date=2026-04-16&amp;currency=EUR&amp;startStation=4&amp;endStation=31",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2026-03-20</t>
        </is>
      </c>
      <c r="F246" t="inlineStr">
        <is>
          <t>2026-03-27</t>
        </is>
      </c>
      <c r="G246" t="inlineStr">
        <is>
          <t xml:space="preserve"> - Surfer Suite - Camper Castle</t>
        </is>
      </c>
      <c r="H246">
        <f>HYPERLINK("https://booking.roadsurfer.com/es/rally/pick?pickup_date=2026-03-20&amp;return_date=2026-03-27&amp;currency=EUR&amp;startStation=4&amp;endStation=31",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2026-03-27</t>
        </is>
      </c>
      <c r="F247" t="inlineStr">
        <is>
          <t>2026-04-03</t>
        </is>
      </c>
      <c r="G247" t="inlineStr">
        <is>
          <t xml:space="preserve"> - Surfer Suite</t>
        </is>
      </c>
      <c r="H247">
        <f>HYPERLINK("https://booking.roadsurfer.com/es/rally/pick?pickup_date=2026-03-27&amp;return_date=2026-04-03&amp;currency=EUR&amp;startStation=4&amp;endStation=31",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Road House - Family Finca</t>
        </is>
      </c>
      <c r="H248">
        <f>HYPERLINK("https://booking.roadsurfer.com/es/rally/pick?pickup_date=2026-03-13&amp;return_date=2026-03-20&amp;currency=EUR&amp;startStation=4&amp;endStation=47",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2026-03-14</t>
        </is>
      </c>
      <c r="F249" t="inlineStr">
        <is>
          <t>2026-03-21</t>
        </is>
      </c>
      <c r="G249" t="inlineStr">
        <is>
          <t xml:space="preserve"> - Family Finca</t>
        </is>
      </c>
      <c r="H249">
        <f>HYPERLINK("https://booking.roadsurfer.com/es/rally/pick?pickup_date=2026-03-14&amp;return_date=2026-03-21&amp;currency=EUR&amp;startStation=4&amp;endStation=47",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2026-03-15</t>
        </is>
      </c>
      <c r="F250" t="inlineStr">
        <is>
          <t>2026-03-22</t>
        </is>
      </c>
      <c r="G250" t="inlineStr">
        <is>
          <t xml:space="preserve"> - No hay coche</t>
        </is>
      </c>
      <c r="H250">
        <f>HYPERLINK("https://booking.roadsurfer.com/es/rally/pick?pickup_date=2026-03-15&amp;return_date=2026-03-22&amp;currency=EUR&amp;startStation=4&amp;endStation=47",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Family Finca</t>
        </is>
      </c>
      <c r="H251">
        <f>HYPERLINK("https://booking.roadsurfer.com/es/rally/pick?pickup_date=2026-03-13&amp;return_date=2026-03-20&amp;currency=EUR&amp;startStation=4&amp;endStation=29",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2026-03-16</t>
        </is>
      </c>
      <c r="F252" t="inlineStr">
        <is>
          <t>2026-03-23</t>
        </is>
      </c>
      <c r="G252" t="inlineStr">
        <is>
          <t xml:space="preserve"> - FAMILY FINCA</t>
        </is>
      </c>
      <c r="H252">
        <f>HYPERLINK("https://booking.roadsurfer.com/es/rally/pick?pickup_date=2026-03-16&amp;return_date=2026-03-23&amp;currency=EUR&amp;startStation=4&amp;endStation=29",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2026-03-18</t>
        </is>
      </c>
      <c r="F253" t="inlineStr">
        <is>
          <t>2026-03-25</t>
        </is>
      </c>
      <c r="G253" t="inlineStr">
        <is>
          <t xml:space="preserve"> - COUPLE COTTAGE</t>
        </is>
      </c>
      <c r="H253">
        <f>HYPERLINK("https://booking.roadsurfer.com/es/rally/pick?pickup_date=2026-03-18&amp;return_date=2026-03-25&amp;currency=EUR&amp;startStation=4&amp;endStation=29",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Aix-Marsella</t>
        </is>
      </c>
      <c r="E254" t="inlineStr">
        <is>
          <t>2026-03-20</t>
        </is>
      </c>
      <c r="F254" t="inlineStr">
        <is>
          <t>2026-03-27</t>
        </is>
      </c>
      <c r="G254" t="inlineStr">
        <is>
          <t xml:space="preserve"> - Camper Castle</t>
        </is>
      </c>
      <c r="H254">
        <f>HYPERLINK("https://booking.roadsurfer.com/es/rally/pick?pickup_date=2026-03-20&amp;return_date=2026-03-27&amp;currency=EUR&amp;startStation=4&amp;endStation=16",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París Aeropuerto CDG</t>
        </is>
      </c>
      <c r="E255" t="inlineStr">
        <is>
          <t>2026-03-04</t>
        </is>
      </c>
      <c r="F255" t="inlineStr">
        <is>
          <t>2026-03-11</t>
        </is>
      </c>
      <c r="G255" t="inlineStr">
        <is>
          <t xml:space="preserve"> - Camper Cabin Deluxe</t>
        </is>
      </c>
      <c r="H255">
        <f>HYPERLINK("https://booking.roadsurfer.com/es/rally/pick?pickup_date=2026-03-04&amp;return_date=2026-03-11&amp;currency=EUR&amp;startStation=4&amp;endStation=48",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2026-03-18</t>
        </is>
      </c>
      <c r="F256" t="inlineStr">
        <is>
          <t>2026-03-25</t>
        </is>
      </c>
      <c r="G256" t="inlineStr">
        <is>
          <t xml:space="preserve"> - Family Finca</t>
        </is>
      </c>
      <c r="H256">
        <f>HYPERLINK("https://booking.roadsurfer.com/es/rally/pick?pickup_date=2026-03-18&amp;return_date=2026-03-25&amp;currency=EUR&amp;startStation=4&amp;endStation=12",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España</t>
        </is>
      </c>
      <c r="D257" t="inlineStr">
        <is>
          <t>Sevilla</t>
        </is>
      </c>
      <c r="E257" t="inlineStr">
        <is>
          <t>2026-02-27</t>
        </is>
      </c>
      <c r="F257" t="inlineStr">
        <is>
          <t>2026-03-06</t>
        </is>
      </c>
      <c r="G257" t="inlineStr">
        <is>
          <t xml:space="preserve"> - Beach Hostel</t>
        </is>
      </c>
      <c r="H257">
        <f>HYPERLINK("https://booking.roadsurfer.com/es/rally/pick?pickup_date=2026-02-27&amp;return_date=2026-03-06&amp;currency=EUR&amp;startStation=10&amp;endStation=39",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Italia</t>
        </is>
      </c>
      <c r="D258" t="inlineStr">
        <is>
          <t>Turín</t>
        </is>
      </c>
      <c r="E258" t="inlineStr">
        <is>
          <t>2026-02-28</t>
        </is>
      </c>
      <c r="F258" t="inlineStr">
        <is>
          <t>2026-03-07</t>
        </is>
      </c>
      <c r="G258" t="inlineStr">
        <is>
          <t xml:space="preserve"> - Beach Hostel</t>
        </is>
      </c>
      <c r="H258">
        <f>HYPERLINK("https://booking.roadsurfer.com/es/rally/pick?pickup_date=2026-02-28&amp;return_date=2026-03-07&amp;currency=EUR&amp;startStation=10&amp;endStation=58",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Italia</t>
        </is>
      </c>
      <c r="D259" t="inlineStr">
        <is>
          <t>Turín</t>
        </is>
      </c>
      <c r="E259" t="inlineStr">
        <is>
          <t>2026-03-30</t>
        </is>
      </c>
      <c r="F259" t="inlineStr">
        <is>
          <t>2026-04-06</t>
        </is>
      </c>
      <c r="G259" t="inlineStr">
        <is>
          <t xml:space="preserve"> - No hay coche</t>
        </is>
      </c>
      <c r="H259">
        <f>HYPERLINK("https://booking.roadsurfer.com/es/rally/pick?pickup_date=2026-03-30&amp;return_date=2026-04-06&amp;currency=EUR&amp;startStation=10&amp;endStation=58",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Family Finca</t>
        </is>
      </c>
      <c r="H260">
        <f>HYPERLINK("https://booking.roadsurfer.com/es/rally/pick?pickup_date=2026-03-16&amp;return_date=2026-03-23&amp;currency=EUR&amp;startStation=10&amp;endStation=40",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2026-03-28</t>
        </is>
      </c>
      <c r="F261" t="inlineStr">
        <is>
          <t>2026-04-04</t>
        </is>
      </c>
      <c r="G261" t="inlineStr">
        <is>
          <t xml:space="preserve"> - Road House</t>
        </is>
      </c>
      <c r="H261">
        <f>HYPERLINK("https://booking.roadsurfer.com/es/rally/pick?pickup_date=2026-03-28&amp;return_date=2026-04-04&amp;currency=EUR&amp;startStation=10&amp;endStation=15",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2026-03-02</t>
        </is>
      </c>
      <c r="F262" t="inlineStr">
        <is>
          <t>2026-03-09</t>
        </is>
      </c>
      <c r="G262" t="inlineStr">
        <is>
          <t xml:space="preserve"> - Camper Cabin Deluxe</t>
        </is>
      </c>
      <c r="H262">
        <f>HYPERLINK("https://booking.roadsurfer.com/es/rally/pick?pickup_date=2026-03-02&amp;return_date=2026-03-09&amp;currency=EUR&amp;startStation=10&amp;endStation=45",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2026-03-03</t>
        </is>
      </c>
      <c r="F263" t="inlineStr">
        <is>
          <t>2026-03-10</t>
        </is>
      </c>
      <c r="G263" t="inlineStr">
        <is>
          <t xml:space="preserve"> - Surfer Suite</t>
        </is>
      </c>
      <c r="H263">
        <f>HYPERLINK("https://booking.roadsurfer.com/es/rally/pick?pickup_date=2026-03-03&amp;return_date=2026-03-10&amp;currency=EUR&amp;startStation=10&amp;endStation=45",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2026-03-04</t>
        </is>
      </c>
      <c r="F264" t="inlineStr">
        <is>
          <t>2026-03-11</t>
        </is>
      </c>
      <c r="G264" t="inlineStr">
        <is>
          <t xml:space="preserve"> - SURFER SUITE</t>
        </is>
      </c>
      <c r="H264">
        <f>HYPERLINK("https://booking.roadsurfer.com/es/rally/pick?pickup_date=2026-03-04&amp;return_date=2026-03-11&amp;currency=EUR&amp;startStation=10&amp;endStation=45",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Camper Cabin Deluxe</t>
        </is>
      </c>
      <c r="H265">
        <f>HYPERLINK("https://booking.roadsurfer.com/es/rally/pick?pickup_date=2026-03-20&amp;return_date=2026-03-27&amp;currency=EUR&amp;startStation=10&amp;endStation=29",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Italia</t>
        </is>
      </c>
      <c r="D266" t="inlineStr">
        <is>
          <t>Milán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Surfer Suite</t>
        </is>
      </c>
      <c r="H266">
        <f>HYPERLINK("https://booking.roadsurfer.com/es/rally/pick?pickup_date=2026-03-16&amp;return_date=2026-03-23&amp;currency=EUR&amp;startStation=10&amp;endStation=34",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Linz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COZY COTTAGE</t>
        </is>
      </c>
      <c r="H267">
        <f>HYPERLINK("https://booking.roadsurfer.com/es/rally/pick?pickup_date=2026-03-16&amp;return_date=2026-03-23&amp;currency=EUR&amp;startStation=10&amp;endStation=116",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Family Finca</t>
        </is>
      </c>
      <c r="H268">
        <f>HYPERLINK("https://booking.roadsurfer.com/es/rally/pick?pickup_date=2026-03-20&amp;return_date=2026-03-27&amp;currency=EUR&amp;startStation=56&amp;endStation=77",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2026-03-02</t>
        </is>
      </c>
      <c r="F269" t="inlineStr">
        <is>
          <t>2026-03-09</t>
        </is>
      </c>
      <c r="G269" t="inlineStr">
        <is>
          <t xml:space="preserve"> - Couple Cottage</t>
        </is>
      </c>
      <c r="H269">
        <f>HYPERLINK("https://booking.roadsurfer.com/es/rally/pick?pickup_date=2026-03-02&amp;return_date=2026-03-09&amp;currency=EUR&amp;startStation=56&amp;endStation=77",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2026-04-01</t>
        </is>
      </c>
      <c r="F270" t="inlineStr">
        <is>
          <t>2026-04-08</t>
        </is>
      </c>
      <c r="G270" t="inlineStr">
        <is>
          <t xml:space="preserve"> - Road House</t>
        </is>
      </c>
      <c r="H270">
        <f>HYPERLINK("https://booking.roadsurfer.com/es/rally/pick?pickup_date=2026-04-01&amp;return_date=2026-04-08&amp;currency=EUR&amp;startStation=56&amp;endStation=59",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2026-04-02</t>
        </is>
      </c>
      <c r="F271" t="inlineStr">
        <is>
          <t>2026-04-09</t>
        </is>
      </c>
      <c r="G271" t="inlineStr">
        <is>
          <t xml:space="preserve"> - Road House</t>
        </is>
      </c>
      <c r="H271">
        <f>HYPERLINK("https://booking.roadsurfer.com/es/rally/pick?pickup_date=2026-04-02&amp;return_date=2026-04-09&amp;currency=EUR&amp;startStation=56&amp;endStation=59",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2026-03-31</t>
        </is>
      </c>
      <c r="F272" t="inlineStr">
        <is>
          <t>2026-04-07</t>
        </is>
      </c>
      <c r="G272" t="inlineStr">
        <is>
          <t xml:space="preserve"> - Road House</t>
        </is>
      </c>
      <c r="H272">
        <f>HYPERLINK("https://booking.roadsurfer.com/es/rally/pick?pickup_date=2026-03-31&amp;return_date=2026-04-07&amp;currency=EUR&amp;startStation=56&amp;endStation=59",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2026-03-28</t>
        </is>
      </c>
      <c r="F273" t="inlineStr">
        <is>
          <t>2026-04-04</t>
        </is>
      </c>
      <c r="G273" t="inlineStr">
        <is>
          <t xml:space="preserve"> - Family Finca</t>
        </is>
      </c>
      <c r="H273">
        <f>HYPERLINK("https://booking.roadsurfer.com/es/rally/pick?pickup_date=2026-03-28&amp;return_date=2026-04-04&amp;currency=EUR&amp;startStation=56&amp;endStation=59",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2026-02-25</t>
        </is>
      </c>
      <c r="F274" t="inlineStr">
        <is>
          <t>2026-03-04</t>
        </is>
      </c>
      <c r="G274" t="inlineStr">
        <is>
          <t xml:space="preserve"> - No hay coche</t>
        </is>
      </c>
      <c r="H274">
        <f>HYPERLINK("https://booking.roadsurfer.com/es/rally/pick?pickup_date=2026-02-25&amp;return_date=2026-03-04&amp;currency=EUR&amp;startStation=56&amp;endStation=59",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2026-04-07</t>
        </is>
      </c>
      <c r="F275" t="inlineStr">
        <is>
          <t>2026-04-14</t>
        </is>
      </c>
      <c r="G275" t="inlineStr">
        <is>
          <t xml:space="preserve"> - Road House</t>
        </is>
      </c>
      <c r="H275">
        <f>HYPERLINK("https://booking.roadsurfer.com/es/rally/pick?pickup_date=2026-04-07&amp;return_date=2026-04-14&amp;currency=EUR&amp;startStation=56&amp;endStation=59",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2026-03-06</t>
        </is>
      </c>
      <c r="F276" t="inlineStr">
        <is>
          <t>2026-03-13</t>
        </is>
      </c>
      <c r="G276" t="inlineStr">
        <is>
          <t xml:space="preserve"> - Camper Cabin</t>
        </is>
      </c>
      <c r="H276">
        <f>HYPERLINK("https://booking.roadsurfer.com/es/rally/pick?pickup_date=2026-03-06&amp;return_date=2026-03-13&amp;currency=EUR&amp;startStation=56&amp;endStation=37",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2026-02-28</t>
        </is>
      </c>
      <c r="F277" t="inlineStr">
        <is>
          <t>2026-03-07</t>
        </is>
      </c>
      <c r="G277" t="inlineStr">
        <is>
          <t xml:space="preserve"> - Surfer Suite</t>
        </is>
      </c>
      <c r="H277">
        <f>HYPERLINK("https://booking.roadsurfer.com/es/rally/pick?pickup_date=2026-02-28&amp;return_date=2026-03-07&amp;currency=EUR&amp;startStation=56&amp;endStation=37",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2026-03-31</t>
        </is>
      </c>
      <c r="F278" t="inlineStr">
        <is>
          <t>2026-04-07</t>
        </is>
      </c>
      <c r="G278" t="inlineStr">
        <is>
          <t xml:space="preserve"> - Road House</t>
        </is>
      </c>
      <c r="H278">
        <f>HYPERLINK("https://booking.roadsurfer.com/es/rally/pick?pickup_date=2026-03-31&amp;return_date=2026-04-07&amp;currency=EUR&amp;startStation=56&amp;endStation=37",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Camper Castle</t>
        </is>
      </c>
      <c r="H279">
        <f>HYPERLINK("https://booking.roadsurfer.com/es/rally/pick?pickup_date=2026-03-20&amp;return_date=2026-03-27&amp;currency=EUR&amp;startStation=56&amp;endStation=33",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2026-03-05</t>
        </is>
      </c>
      <c r="F280" t="inlineStr">
        <is>
          <t>2026-03-12</t>
        </is>
      </c>
      <c r="G280" t="inlineStr">
        <is>
          <t xml:space="preserve"> - Surfer Suite</t>
        </is>
      </c>
      <c r="H280">
        <f>HYPERLINK("https://booking.roadsurfer.com/es/rally/pick?pickup_date=2026-03-05&amp;return_date=2026-03-12&amp;currency=EUR&amp;startStation=56&amp;endStation=33",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2026-03-19</t>
        </is>
      </c>
      <c r="F281" t="inlineStr">
        <is>
          <t>2026-03-26</t>
        </is>
      </c>
      <c r="G281" t="inlineStr">
        <is>
          <t xml:space="preserve"> - Road House</t>
        </is>
      </c>
      <c r="H281">
        <f>HYPERLINK("https://booking.roadsurfer.com/es/rally/pick?pickup_date=2026-03-19&amp;return_date=2026-03-26&amp;currency=EUR&amp;startStation=56&amp;endStation=33",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2026-03-17</t>
        </is>
      </c>
      <c r="F282" t="inlineStr">
        <is>
          <t>2026-03-24</t>
        </is>
      </c>
      <c r="G282" t="inlineStr">
        <is>
          <t xml:space="preserve"> - Surfer Suite</t>
        </is>
      </c>
      <c r="H282">
        <f>HYPERLINK("https://booking.roadsurfer.com/es/rally/pick?pickup_date=2026-03-17&amp;return_date=2026-03-24&amp;currency=EUR&amp;startStation=56&amp;endStation=32",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Ámsterdam</t>
        </is>
      </c>
      <c r="E283" t="inlineStr">
        <is>
          <t>2026-03-21</t>
        </is>
      </c>
      <c r="F283" t="inlineStr">
        <is>
          <t>2026-03-28</t>
        </is>
      </c>
      <c r="G283" t="inlineStr">
        <is>
          <t xml:space="preserve"> - Camper Cabin Deluxe</t>
        </is>
      </c>
      <c r="H283">
        <f>HYPERLINK("https://booking.roadsurfer.com/es/rally/pick?pickup_date=2026-03-21&amp;return_date=2026-03-28&amp;currency=EUR&amp;startStation=56&amp;endStation=32",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Braunschweig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No hay coche</t>
        </is>
      </c>
      <c r="H284">
        <f>HYPERLINK("https://booking.roadsurfer.com/es/rally/pick?pickup_date=2026-04-20&amp;return_date=2026-04-27&amp;currency=EUR&amp;startStation=56&amp;endStation=128",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Alemania</t>
        </is>
      </c>
      <c r="D285" t="inlineStr">
        <is>
          <t>Núremberg</t>
        </is>
      </c>
      <c r="E285" t="inlineStr">
        <is>
          <t>2026-03-09</t>
        </is>
      </c>
      <c r="F285" t="inlineStr">
        <is>
          <t>2026-03-16</t>
        </is>
      </c>
      <c r="G285" t="inlineStr">
        <is>
          <t xml:space="preserve"> - Beach Hostel</t>
        </is>
      </c>
      <c r="H285">
        <f>HYPERLINK("https://booking.roadsurfer.com/es/rally/pick?pickup_date=2026-03-09&amp;return_date=2026-03-16&amp;currency=EUR&amp;startStation=56&amp;endStation=11",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Road House</t>
        </is>
      </c>
      <c r="H286">
        <f>HYPERLINK("https://booking.roadsurfer.com/es/rally/pick?pickup_date=2026-03-27&amp;return_date=2026-04-03&amp;currency=EUR&amp;startStation=56&amp;endStation=42",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Bélgica</t>
        </is>
      </c>
      <c r="D287" t="inlineStr">
        <is>
          <t>Bruselas</t>
        </is>
      </c>
      <c r="E287" t="inlineStr">
        <is>
          <t>2026-04-10</t>
        </is>
      </c>
      <c r="F287" t="inlineStr">
        <is>
          <t>2026-04-16</t>
        </is>
      </c>
      <c r="G287" t="inlineStr">
        <is>
          <t xml:space="preserve"> - Road House</t>
        </is>
      </c>
      <c r="H287">
        <f>HYPERLINK("https://booking.roadsurfer.com/es/rally/pick?pickup_date=2026-04-10&amp;return_date=2026-04-16&amp;currency=EUR&amp;startStation=56&amp;endStation=42",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Lille</t>
        </is>
      </c>
      <c r="E288" t="inlineStr">
        <is>
          <t>2026-04-01</t>
        </is>
      </c>
      <c r="F288" t="inlineStr">
        <is>
          <t>2026-04-08</t>
        </is>
      </c>
      <c r="G288" t="inlineStr">
        <is>
          <t xml:space="preserve"> - Surfer Suite</t>
        </is>
      </c>
      <c r="H288">
        <f>HYPERLINK("https://booking.roadsurfer.com/es/rally/pick?pickup_date=2026-04-01&amp;return_date=2026-04-08&amp;currency=EUR&amp;startStation=56&amp;endStation=87",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2026-03-14</t>
        </is>
      </c>
      <c r="F289" t="inlineStr">
        <is>
          <t>2026-03-21</t>
        </is>
      </c>
      <c r="G289" t="inlineStr">
        <is>
          <t xml:space="preserve"> - Travel Home</t>
        </is>
      </c>
      <c r="H289">
        <f>HYPERLINK("https://booking.roadsurfer.com/es/rally/pick?pickup_date=2026-03-14&amp;return_date=2026-03-21&amp;currency=EUR&amp;startStation=56&amp;endStation=12",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2026-03-28</t>
        </is>
      </c>
      <c r="F290" t="inlineStr">
        <is>
          <t>2026-04-04</t>
        </is>
      </c>
      <c r="G290" t="inlineStr">
        <is>
          <t xml:space="preserve"> - Surfer Suite</t>
        </is>
      </c>
      <c r="H290">
        <f>HYPERLINK("https://booking.roadsurfer.com/es/rally/pick?pickup_date=2026-03-28&amp;return_date=2026-04-04&amp;currency=EUR&amp;startStation=56&amp;endStation=47",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2026-03-31</t>
        </is>
      </c>
      <c r="F291" t="inlineStr">
        <is>
          <t>2026-04-07</t>
        </is>
      </c>
      <c r="G291" t="inlineStr">
        <is>
          <t xml:space="preserve"> - Surfer Suite</t>
        </is>
      </c>
      <c r="H291">
        <f>HYPERLINK("https://booking.roadsurfer.com/es/rally/pick?pickup_date=2026-03-31&amp;return_date=2026-04-07&amp;currency=EUR&amp;startStation=56&amp;endStation=47",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2026-03-16</t>
        </is>
      </c>
      <c r="F292" t="inlineStr">
        <is>
          <t>2026-03-23</t>
        </is>
      </c>
      <c r="G292" t="inlineStr">
        <is>
          <t xml:space="preserve"> - Camper Castle</t>
        </is>
      </c>
      <c r="H292">
        <f>HYPERLINK("https://booking.roadsurfer.com/es/rally/pick?pickup_date=2026-03-16&amp;return_date=2026-03-23&amp;currency=EUR&amp;startStation=56&amp;endStation=45",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Italia</t>
        </is>
      </c>
      <c r="D293" t="inlineStr">
        <is>
          <t>Bolonia</t>
        </is>
      </c>
      <c r="E293" t="inlineStr">
        <is>
          <t>2026-03-02</t>
        </is>
      </c>
      <c r="F293" t="inlineStr">
        <is>
          <t>2026-03-09</t>
        </is>
      </c>
      <c r="G293" t="inlineStr">
        <is>
          <t xml:space="preserve"> - Couple Cottage</t>
        </is>
      </c>
      <c r="H293">
        <f>HYPERLINK("https://booking.roadsurfer.com/es/rally/pick?pickup_date=2026-03-02&amp;return_date=2026-03-09&amp;currency=EUR&amp;startStation=56&amp;endStation=57",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Colonia-Bonn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Couple Cottage</t>
        </is>
      </c>
      <c r="H294">
        <f>HYPERLINK("https://booking.roadsurfer.com/es/rally/pick?pickup_date=2026-03-16&amp;return_date=2026-03-23&amp;currency=EUR&amp;startStation=56&amp;endStation=52",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Alemania</t>
        </is>
      </c>
      <c r="D295" t="inlineStr">
        <is>
          <t>Múnich</t>
        </is>
      </c>
      <c r="E295" t="inlineStr">
        <is>
          <t>2026-03-05</t>
        </is>
      </c>
      <c r="F295" t="inlineStr">
        <is>
          <t>2026-03-12</t>
        </is>
      </c>
      <c r="G295" t="inlineStr">
        <is>
          <t xml:space="preserve"> - Sunrise Suite</t>
        </is>
      </c>
      <c r="H295">
        <f>HYPERLINK("https://booking.roadsurfer.com/es/rally/pick?pickup_date=2026-03-05&amp;return_date=2026-03-12&amp;currency=EUR&amp;startStation=56&amp;endStation=1",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Surfer Suite</t>
        </is>
      </c>
      <c r="H296">
        <f>HYPERLINK("https://booking.roadsurfer.com/es/rally/pick?pickup_date=2026-04-09&amp;return_date=2026-04-16&amp;currency=EUR&amp;startStation=56&amp;endStation=58",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Italia</t>
        </is>
      </c>
      <c r="D297" t="inlineStr">
        <is>
          <t>Venecia</t>
        </is>
      </c>
      <c r="E297" t="inlineStr">
        <is>
          <t>2026-04-08</t>
        </is>
      </c>
      <c r="F297" t="inlineStr">
        <is>
          <t>2026-04-15</t>
        </is>
      </c>
      <c r="G297" t="inlineStr">
        <is>
          <t xml:space="preserve"> - Sunrise Suite</t>
        </is>
      </c>
      <c r="H297">
        <f>HYPERLINK("https://booking.roadsurfer.com/es/rally/pick?pickup_date=2026-04-08&amp;return_date=2026-04-15&amp;currency=EUR&amp;startStation=56&amp;endStation=78",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Camper Cabin</t>
        </is>
      </c>
      <c r="H298">
        <f>HYPERLINK("https://booking.roadsurfer.com/es/rally/pick?pickup_date=2026-03-20&amp;return_date=2026-03-27&amp;currency=EUR&amp;startStation=113&amp;endStation=42",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2026-03-11</t>
        </is>
      </c>
      <c r="F299" t="inlineStr">
        <is>
          <t>2026-03-18</t>
        </is>
      </c>
      <c r="G299" t="inlineStr">
        <is>
          <t xml:space="preserve"> - Road House</t>
        </is>
      </c>
      <c r="H299">
        <f>HYPERLINK("https://booking.roadsurfer.com/es/rally/pick?pickup_date=2026-03-11&amp;return_date=2026-03-18&amp;currency=EUR&amp;startStation=113&amp;endStation=42",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2026-02-27</t>
        </is>
      </c>
      <c r="F300" t="inlineStr">
        <is>
          <t>2026-03-06</t>
        </is>
      </c>
      <c r="G300" t="inlineStr">
        <is>
          <t xml:space="preserve"> - Family Finca</t>
        </is>
      </c>
      <c r="H300">
        <f>HYPERLINK("https://booking.roadsurfer.com/es/rally/pick?pickup_date=2026-02-27&amp;return_date=2026-03-06&amp;currency=EUR&amp;startStation=113&amp;endStation=39",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2026-03-31</t>
        </is>
      </c>
      <c r="F301" t="inlineStr">
        <is>
          <t>2026-04-07</t>
        </is>
      </c>
      <c r="G301" t="inlineStr">
        <is>
          <t xml:space="preserve"> - Surfer Suite</t>
        </is>
      </c>
      <c r="H301">
        <f>HYPERLINK("https://booking.roadsurfer.com/es/rally/pick?pickup_date=2026-03-31&amp;return_date=2026-04-07&amp;currency=EUR&amp;startStation=113&amp;endStation=39",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2026-03-03</t>
        </is>
      </c>
      <c r="F302" t="inlineStr">
        <is>
          <t>2026-03-10</t>
        </is>
      </c>
      <c r="G302" t="inlineStr">
        <is>
          <t xml:space="preserve"> - Road House</t>
        </is>
      </c>
      <c r="H302">
        <f>HYPERLINK("https://booking.roadsurfer.com/es/rally/pick?pickup_date=2026-03-03&amp;return_date=2026-03-10&amp;currency=EUR&amp;startStation=113&amp;endStation=33",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Róterdam</t>
        </is>
      </c>
      <c r="E303" t="inlineStr">
        <is>
          <t>2026-03-20</t>
        </is>
      </c>
      <c r="F303" t="inlineStr">
        <is>
          <t>2026-03-27</t>
        </is>
      </c>
      <c r="G303" t="inlineStr">
        <is>
          <t xml:space="preserve"> - Surfer Suite</t>
        </is>
      </c>
      <c r="H303">
        <f>HYPERLINK("https://booking.roadsurfer.com/es/rally/pick?pickup_date=2026-03-20&amp;return_date=2026-03-27&amp;currency=EUR&amp;startStation=113&amp;endStation=33",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2026-03-04</t>
        </is>
      </c>
      <c r="F304" t="inlineStr">
        <is>
          <t>2026-03-11</t>
        </is>
      </c>
      <c r="G304" t="inlineStr">
        <is>
          <t xml:space="preserve"> - Surfer Suite</t>
        </is>
      </c>
      <c r="H304">
        <f>HYPERLINK("https://booking.roadsurfer.com/es/rally/pick?pickup_date=2026-03-04&amp;return_date=2026-03-11&amp;currency=EUR&amp;startStation=113&amp;endStation=32",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2026-03-05</t>
        </is>
      </c>
      <c r="F305" t="inlineStr">
        <is>
          <t>2026-03-12</t>
        </is>
      </c>
      <c r="G305" t="inlineStr">
        <is>
          <t xml:space="preserve"> - No hay coche</t>
        </is>
      </c>
      <c r="H305">
        <f>HYPERLINK("https://booking.roadsurfer.com/es/rally/pick?pickup_date=2026-03-05&amp;return_date=2026-03-12&amp;currency=EUR&amp;startStation=113&amp;endStation=32",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2026-03-06</t>
        </is>
      </c>
      <c r="F306" t="inlineStr">
        <is>
          <t>2026-03-13</t>
        </is>
      </c>
      <c r="G306" t="inlineStr">
        <is>
          <t xml:space="preserve"> - Surfer Suite</t>
        </is>
      </c>
      <c r="H306">
        <f>HYPERLINK("https://booking.roadsurfer.com/es/rally/pick?pickup_date=2026-03-06&amp;return_date=2026-03-13&amp;currency=EUR&amp;startStation=113&amp;endStation=32",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2026-03-07</t>
        </is>
      </c>
      <c r="F307" t="inlineStr">
        <is>
          <t>2026-03-14</t>
        </is>
      </c>
      <c r="G307" t="inlineStr">
        <is>
          <t xml:space="preserve"> - SURFER SUITE</t>
        </is>
      </c>
      <c r="H307">
        <f>HYPERLINK("https://booking.roadsurfer.com/es/rally/pick?pickup_date=2026-03-07&amp;return_date=2026-03-14&amp;currency=EUR&amp;startStation=113&amp;endStation=32",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2026-03-09</t>
        </is>
      </c>
      <c r="F308" t="inlineStr">
        <is>
          <t>2026-03-16</t>
        </is>
      </c>
      <c r="G308" t="inlineStr">
        <is>
          <t xml:space="preserve"> - Surfer Suite</t>
        </is>
      </c>
      <c r="H308">
        <f>HYPERLINK("https://booking.roadsurfer.com/es/rally/pick?pickup_date=2026-03-09&amp;return_date=2026-03-16&amp;currency=EUR&amp;startStation=113&amp;endStation=32",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2026-03-13</t>
        </is>
      </c>
      <c r="F309" t="inlineStr">
        <is>
          <t>2026-03-20</t>
        </is>
      </c>
      <c r="G309" t="inlineStr">
        <is>
          <t xml:space="preserve"> - Camper Castle</t>
        </is>
      </c>
      <c r="H309">
        <f>HYPERLINK("https://booking.roadsurfer.com/es/rally/pick?pickup_date=2026-03-13&amp;return_date=2026-03-20&amp;currency=EUR&amp;startStation=113&amp;endStation=32",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2026-03-16</t>
        </is>
      </c>
      <c r="F310" t="inlineStr">
        <is>
          <t>2026-03-23</t>
        </is>
      </c>
      <c r="G310" t="inlineStr">
        <is>
          <t xml:space="preserve"> - Road House - Family Finca</t>
        </is>
      </c>
      <c r="H310">
        <f>HYPERLINK("https://booking.roadsurfer.com/es/rally/pick?pickup_date=2026-03-16&amp;return_date=2026-03-23&amp;currency=EUR&amp;startStation=113&amp;endStation=32",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2026-03-18</t>
        </is>
      </c>
      <c r="F311" t="inlineStr">
        <is>
          <t>2026-03-25</t>
        </is>
      </c>
      <c r="G311" t="inlineStr">
        <is>
          <t xml:space="preserve"> - Surfer Suite</t>
        </is>
      </c>
      <c r="H311">
        <f>HYPERLINK("https://booking.roadsurfer.com/es/rally/pick?pickup_date=2026-03-18&amp;return_date=2026-03-25&amp;currency=EUR&amp;startStation=113&amp;endStation=32",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2026-03-19</t>
        </is>
      </c>
      <c r="F312" t="inlineStr">
        <is>
          <t>2026-03-26</t>
        </is>
      </c>
      <c r="G312" t="inlineStr">
        <is>
          <t xml:space="preserve"> - Surfer Suite</t>
        </is>
      </c>
      <c r="H312">
        <f>HYPERLINK("https://booking.roadsurfer.com/es/rally/pick?pickup_date=2026-03-19&amp;return_date=2026-03-26&amp;currency=EUR&amp;startStation=113&amp;endStation=32",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SURFER SUITE</t>
        </is>
      </c>
      <c r="H313">
        <f>HYPERLINK("https://booking.roadsurfer.com/es/rally/pick?pickup_date=2026-03-17&amp;return_date=2026-03-24&amp;currency=EUR&amp;startStation=113&amp;endStation=32",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Málaga</t>
        </is>
      </c>
      <c r="E314" t="inlineStr">
        <is>
          <t>2026-02-27</t>
        </is>
      </c>
      <c r="F314" t="inlineStr">
        <is>
          <t>2026-03-06</t>
        </is>
      </c>
      <c r="G314" t="inlineStr">
        <is>
          <t xml:space="preserve"> - Road House</t>
        </is>
      </c>
      <c r="H314">
        <f>HYPERLINK("https://booking.roadsurfer.com/es/rally/pick?pickup_date=2026-02-27&amp;return_date=2026-03-06&amp;currency=EUR&amp;startStation=113&amp;endStation=21",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2026-03-14</t>
        </is>
      </c>
      <c r="F315" t="inlineStr">
        <is>
          <t>2026-03-21</t>
        </is>
      </c>
      <c r="G315" t="inlineStr">
        <is>
          <t xml:space="preserve"> - Family Finca</t>
        </is>
      </c>
      <c r="H315">
        <f>HYPERLINK("https://booking.roadsurfer.com/es/rally/pick?pickup_date=2026-03-14&amp;return_date=2026-03-21&amp;currency=EUR&amp;startStation=113&amp;endStation=77",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2026-03-13</t>
        </is>
      </c>
      <c r="F316" t="inlineStr">
        <is>
          <t>2026-03-20</t>
        </is>
      </c>
      <c r="G316" t="inlineStr">
        <is>
          <t xml:space="preserve"> - Road House</t>
        </is>
      </c>
      <c r="H316">
        <f>HYPERLINK("https://booking.roadsurfer.com/es/rally/pick?pickup_date=2026-03-13&amp;return_date=2026-03-20&amp;currency=EUR&amp;startStation=113&amp;endStation=47",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2026-03-19</t>
        </is>
      </c>
      <c r="F317" t="inlineStr">
        <is>
          <t>2026-03-26</t>
        </is>
      </c>
      <c r="G317" t="inlineStr">
        <is>
          <t xml:space="preserve"> - Family Finca</t>
        </is>
      </c>
      <c r="H317">
        <f>HYPERLINK("https://booking.roadsurfer.com/es/rally/pick?pickup_date=2026-03-19&amp;return_date=2026-03-26&amp;currency=EUR&amp;startStation=90&amp;endStation=32",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2026-02-27</t>
        </is>
      </c>
      <c r="F318" t="inlineStr">
        <is>
          <t>2026-03-06</t>
        </is>
      </c>
      <c r="G318" t="inlineStr">
        <is>
          <t xml:space="preserve"> - Surfer Suite</t>
        </is>
      </c>
      <c r="H318">
        <f>HYPERLINK("https://booking.roadsurfer.com/es/rally/pick?pickup_date=2026-02-27&amp;return_date=2026-03-06&amp;currency=EUR&amp;startStation=90&amp;endStation=42",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2026-03-04</t>
        </is>
      </c>
      <c r="F319" t="inlineStr">
        <is>
          <t>2026-03-11</t>
        </is>
      </c>
      <c r="G319" t="inlineStr">
        <is>
          <t xml:space="preserve"> - Surfer Suite</t>
        </is>
      </c>
      <c r="H319">
        <f>HYPERLINK("https://booking.roadsurfer.com/es/rally/pick?pickup_date=2026-03-04&amp;return_date=2026-03-11&amp;currency=EUR&amp;startStation=90&amp;endStation=42",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Bruselas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Beach Hostel</t>
        </is>
      </c>
      <c r="H320">
        <f>HYPERLINK("https://booking.roadsurfer.com/es/rally/pick?pickup_date=2026-04-14&amp;return_date=2026-04-21&amp;currency=EUR&amp;startStation=90&amp;endStation=42",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Family Finca</t>
        </is>
      </c>
      <c r="H322">
        <f>HYPERLINK("https://booking.roadsurfer.com/es/rally/pick?pickup_date=2026-03-18&amp;return_date=2026-03-25&amp;currency=EUR&amp;startStation=90&amp;endStation=47",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2026-03-04</t>
        </is>
      </c>
      <c r="F323" t="inlineStr">
        <is>
          <t>2026-03-11</t>
        </is>
      </c>
      <c r="G323" t="inlineStr">
        <is>
          <t xml:space="preserve"> - Road House</t>
        </is>
      </c>
      <c r="H323">
        <f>HYPERLINK("https://booking.roadsurfer.com/es/rally/pick?pickup_date=2026-03-04&amp;return_date=2026-03-11&amp;currency=EUR&amp;startStation=90&amp;endStation=29",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Ginebra-Pays de Gex (Francia)</t>
        </is>
      </c>
      <c r="E324" t="inlineStr">
        <is>
          <t>2026-03-12</t>
        </is>
      </c>
      <c r="F324" t="inlineStr">
        <is>
          <t>2026-03-19</t>
        </is>
      </c>
      <c r="G324" t="inlineStr">
        <is>
          <t xml:space="preserve"> - No hay coche</t>
        </is>
      </c>
      <c r="H324">
        <f>HYPERLINK("https://booking.roadsurfer.com/es/rally/pick?pickup_date=2026-03-12&amp;return_date=2026-03-19&amp;currency=EUR&amp;startStation=90&amp;endStation=29",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2026-03-23</t>
        </is>
      </c>
      <c r="F326" t="inlineStr">
        <is>
          <t>2026-03-30</t>
        </is>
      </c>
      <c r="G326" t="inlineStr">
        <is>
          <t xml:space="preserve"> - No hay coche</t>
        </is>
      </c>
      <c r="H326">
        <f>HYPERLINK("https://booking.roadsurfer.com/es/rally/pick?pickup_date=2026-03-23&amp;return_date=2026-03-30&amp;currency=EUR&amp;startStation=90&amp;endStation=12",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París Sur (Orly)</t>
        </is>
      </c>
      <c r="E327" t="inlineStr">
        <is>
          <t>2026-03-03</t>
        </is>
      </c>
      <c r="F327" t="inlineStr">
        <is>
          <t>2026-03-10</t>
        </is>
      </c>
      <c r="G327" t="inlineStr">
        <is>
          <t xml:space="preserve"> - Road House</t>
        </is>
      </c>
      <c r="H327">
        <f>HYPERLINK("https://booking.roadsurfer.com/es/rally/pick?pickup_date=2026-03-03&amp;return_date=2026-03-10&amp;currency=EUR&amp;startStation=90&amp;endStation=12",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Beach Hostel</t>
        </is>
      </c>
      <c r="H328">
        <f>HYPERLINK("https://booking.roadsurfer.com/es/rally/pick?pickup_date=2026-03-16&amp;return_date=2026-03-23&amp;currency=EUR&amp;startStation=90&amp;endStation=36",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Austria</t>
        </is>
      </c>
      <c r="D329" t="inlineStr">
        <is>
          <t>Viena</t>
        </is>
      </c>
      <c r="E329" t="inlineStr">
        <is>
          <t>2026-03-13</t>
        </is>
      </c>
      <c r="F329" t="inlineStr">
        <is>
          <t>2026-03-20</t>
        </is>
      </c>
      <c r="G329" t="inlineStr">
        <is>
          <t xml:space="preserve"> - Surfer Suite</t>
        </is>
      </c>
      <c r="H329">
        <f>HYPERLINK("https://booking.roadsurfer.com/es/rally/pick?pickup_date=2026-03-13&amp;return_date=2026-03-20&amp;currency=EUR&amp;startStation=90&amp;endStation=36",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2026-03-12</t>
        </is>
      </c>
      <c r="F330" t="inlineStr">
        <is>
          <t>2026-03-19</t>
        </is>
      </c>
      <c r="G330" t="inlineStr">
        <is>
          <t xml:space="preserve"> - No hay coche</t>
        </is>
      </c>
      <c r="H330">
        <f>HYPERLINK("https://booking.roadsurfer.com/es/rally/pick?pickup_date=2026-03-12&amp;return_date=2026-03-19&amp;currency=EUR&amp;startStation=90&amp;endStation=34",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Family Finca</t>
        </is>
      </c>
      <c r="H331">
        <f>HYPERLINK("https://booking.roadsurfer.com/es/rally/pick?pickup_date=2026-03-13&amp;return_date=2026-03-20&amp;currency=EUR&amp;startStation=90&amp;endStation=34",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Couple Cottage</t>
        </is>
      </c>
      <c r="H332">
        <f>HYPERLINK("https://booking.roadsurfer.com/es/rally/pick?pickup_date=2026-03-14&amp;return_date=2026-03-21&amp;currency=EUR&amp;startStation=90&amp;endStation=34",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2026-03-14</t>
        </is>
      </c>
      <c r="F333" t="inlineStr">
        <is>
          <t>2026-03-21</t>
        </is>
      </c>
      <c r="G333" t="inlineStr">
        <is>
          <t xml:space="preserve"> - Surfer Suite</t>
        </is>
      </c>
      <c r="H333">
        <f>HYPERLINK("https://booking.roadsurfer.com/es/rally/pick?pickup_date=2026-03-14&amp;return_date=2026-03-21&amp;currency=EUR&amp;startStation=90&amp;endStation=37",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2026-03-20</t>
        </is>
      </c>
      <c r="F334" t="inlineStr">
        <is>
          <t>2026-03-27</t>
        </is>
      </c>
      <c r="G334" t="inlineStr">
        <is>
          <t xml:space="preserve"> - Surfer Suite</t>
        </is>
      </c>
      <c r="H334">
        <f>HYPERLINK("https://booking.roadsurfer.com/es/rally/pick?pickup_date=2026-03-20&amp;return_date=2026-03-27&amp;currency=EUR&amp;startStation=90&amp;endStation=37",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2026-04-02</t>
        </is>
      </c>
      <c r="F335" t="inlineStr">
        <is>
          <t>2026-04-09</t>
        </is>
      </c>
      <c r="G335" t="inlineStr">
        <is>
          <t xml:space="preserve"> - Surfer Suite</t>
        </is>
      </c>
      <c r="H335">
        <f>HYPERLINK("https://booking.roadsurfer.com/es/rally/pick?pickup_date=2026-04-02&amp;return_date=2026-04-09&amp;currency=EUR&amp;startStation=90&amp;endStation=37",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2026-03-16</t>
        </is>
      </c>
      <c r="F336" t="inlineStr">
        <is>
          <t>2026-03-23</t>
        </is>
      </c>
      <c r="G336" t="inlineStr">
        <is>
          <t xml:space="preserve"> - Surfer Suite - Beach Hostel</t>
        </is>
      </c>
      <c r="H336">
        <f>HYPERLINK("https://booking.roadsurfer.com/es/rally/pick?pickup_date=2026-03-16&amp;return_date=2026-03-23&amp;currency=EUR&amp;startStation=90&amp;endStation=48",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Aeropuerto CDG</t>
        </is>
      </c>
      <c r="E337" t="inlineStr">
        <is>
          <t>2026-03-31</t>
        </is>
      </c>
      <c r="F337" t="inlineStr">
        <is>
          <t>2026-04-07</t>
        </is>
      </c>
      <c r="G337" t="inlineStr">
        <is>
          <t xml:space="preserve"> - SURFER SUITE</t>
        </is>
      </c>
      <c r="H337">
        <f>HYPERLINK("https://booking.roadsurfer.com/es/rally/pick?pickup_date=2026-03-31&amp;return_date=2026-04-07&amp;currency=EUR&amp;startStation=90&amp;endStation=48",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2026-03-19</t>
        </is>
      </c>
      <c r="F338" t="inlineStr">
        <is>
          <t>2026-03-26</t>
        </is>
      </c>
      <c r="G338" t="inlineStr">
        <is>
          <t xml:space="preserve"> - Camper Castle</t>
        </is>
      </c>
      <c r="H338">
        <f>HYPERLINK("https://booking.roadsurfer.com/es/rally/pick?pickup_date=2026-03-19&amp;return_date=2026-03-26&amp;currency=EUR&amp;startStation=90&amp;endStation=20",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Viena Sur</t>
        </is>
      </c>
      <c r="E339" t="inlineStr">
        <is>
          <t>2026-02-27</t>
        </is>
      </c>
      <c r="F339" t="inlineStr">
        <is>
          <t>2026-03-06</t>
        </is>
      </c>
      <c r="G339" t="inlineStr">
        <is>
          <t xml:space="preserve"> - Camper Cabin</t>
        </is>
      </c>
      <c r="H339">
        <f>HYPERLINK("https://booking.roadsurfer.com/es/rally/pick?pickup_date=2026-02-27&amp;return_date=2026-03-06&amp;currency=EUR&amp;startStation=90&amp;endStation=45",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2026-04-04</t>
        </is>
      </c>
      <c r="F340" t="inlineStr">
        <is>
          <t>2026-04-11</t>
        </is>
      </c>
      <c r="G340" t="inlineStr">
        <is>
          <t xml:space="preserve"> - Road House</t>
        </is>
      </c>
      <c r="H340">
        <f>HYPERLINK("https://booking.roadsurfer.com/es/rally/pick?pickup_date=2026-04-04&amp;return_date=2026-04-11&amp;currency=EUR&amp;startStation=90&amp;endStation=77",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Estrasburgo</t>
        </is>
      </c>
      <c r="E341" t="inlineStr">
        <is>
          <t>2026-04-10</t>
        </is>
      </c>
      <c r="F341" t="inlineStr">
        <is>
          <t>2026-04-17</t>
        </is>
      </c>
      <c r="G341" t="inlineStr">
        <is>
          <t xml:space="preserve"> - Beach Hostel</t>
        </is>
      </c>
      <c r="H341">
        <f>HYPERLINK("https://booking.roadsurfer.com/es/rally/pick?pickup_date=2026-04-10&amp;return_date=2026-04-17&amp;currency=EUR&amp;startStation=90&amp;endStation=49",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Aix-Marsella</t>
        </is>
      </c>
      <c r="E342" t="inlineStr">
        <is>
          <t>2026-04-07</t>
        </is>
      </c>
      <c r="F342" t="inlineStr">
        <is>
          <t>2026-04-14</t>
        </is>
      </c>
      <c r="G342" t="inlineStr">
        <is>
          <t xml:space="preserve"> - Family Finca</t>
        </is>
      </c>
      <c r="H342">
        <f>HYPERLINK("https://booking.roadsurfer.com/es/rally/pick?pickup_date=2026-04-07&amp;return_date=2026-04-14&amp;currency=EUR&amp;startStation=90&amp;endStation=16",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Colonia-Bonn</t>
        </is>
      </c>
      <c r="E343" t="inlineStr">
        <is>
          <t>2026-03-02</t>
        </is>
      </c>
      <c r="F343" t="inlineStr">
        <is>
          <t>2026-03-09</t>
        </is>
      </c>
      <c r="G343" t="inlineStr">
        <is>
          <t xml:space="preserve"> - Sunrise Suite</t>
        </is>
      </c>
      <c r="H343">
        <f>HYPERLINK("https://booking.roadsurfer.com/es/rally/pick?pickup_date=2026-03-02&amp;return_date=2026-03-09&amp;currency=EUR&amp;startStation=80&amp;endStation=52",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2026-03-17</t>
        </is>
      </c>
      <c r="F344" t="inlineStr">
        <is>
          <t>2026-03-24</t>
        </is>
      </c>
      <c r="G344" t="inlineStr">
        <is>
          <t xml:space="preserve"> - Surfer Suite</t>
        </is>
      </c>
      <c r="H344">
        <f>HYPERLINK("https://booking.roadsurfer.com/es/rally/pick?pickup_date=2026-03-17&amp;return_date=2026-03-24&amp;currency=EUR&amp;startStation=80&amp;endStation=1",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Múnich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Beach Hostel</t>
        </is>
      </c>
      <c r="H345">
        <f>HYPERLINK("https://booking.roadsurfer.com/es/rally/pick?pickup_date=2026-03-16&amp;return_date=2026-03-23&amp;currency=EUR&amp;startStation=80&amp;endStation=1",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Road House</t>
        </is>
      </c>
      <c r="H346">
        <f>HYPERLINK("https://booking.roadsurfer.com/es/rally/pick?pickup_date=2026-03-13&amp;return_date=2026-03-20&amp;currency=EUR&amp;startStation=80&amp;endStation=22",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No hay coche</t>
        </is>
      </c>
      <c r="H347">
        <f>HYPERLINK("https://booking.roadsurfer.com/es/rally/pick?pickup_date=2026-03-14&amp;return_date=2026-03-21&amp;currency=EUR&amp;startStation=80&amp;endStation=22",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Fráncfort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Surfer Suite</t>
        </is>
      </c>
      <c r="H348">
        <f>HYPERLINK("https://booking.roadsurfer.com/es/rally/pick?pickup_date=2026-03-19&amp;return_date=2026-03-26&amp;currency=EUR&amp;startStation=80&amp;endStation=2",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2026-03-19</t>
        </is>
      </c>
      <c r="F349" t="inlineStr">
        <is>
          <t>2026-03-26</t>
        </is>
      </c>
      <c r="G349" t="inlineStr">
        <is>
          <t xml:space="preserve"> - Surfer Suite</t>
        </is>
      </c>
      <c r="H349">
        <f>HYPERLINK("https://booking.roadsurfer.com/es/rally/pick?pickup_date=2026-03-19&amp;return_date=2026-03-26&amp;currency=EUR&amp;startStation=80&amp;endStation=24",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2026-04-20</t>
        </is>
      </c>
      <c r="F350" t="inlineStr">
        <is>
          <t>2026-04-27</t>
        </is>
      </c>
      <c r="G350" t="inlineStr">
        <is>
          <t xml:space="preserve"> - No hay coche</t>
        </is>
      </c>
      <c r="H350">
        <f>HYPERLINK("https://booking.roadsurfer.com/es/rally/pick?pickup_date=2026-04-20&amp;return_date=2026-04-27&amp;currency=EUR&amp;startStation=2&amp;endStation=128",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España</t>
        </is>
      </c>
      <c r="D351" t="inlineStr">
        <is>
          <t>Bilbao</t>
        </is>
      </c>
      <c r="E351" t="inlineStr">
        <is>
          <t>2026-04-01</t>
        </is>
      </c>
      <c r="F351" t="inlineStr">
        <is>
          <t>2026-04-08</t>
        </is>
      </c>
      <c r="G351" t="inlineStr">
        <is>
          <t xml:space="preserve"> - Surfer Suite</t>
        </is>
      </c>
      <c r="H351">
        <f>HYPERLINK("https://booking.roadsurfer.com/es/rally/pick?pickup_date=2026-04-01&amp;return_date=2026-04-08&amp;currency=EUR&amp;startStation=2&amp;endStation=40",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Alemania</t>
        </is>
      </c>
      <c r="D352" t="inlineStr">
        <is>
          <t>Lindau-Wangen</t>
        </is>
      </c>
      <c r="E352" t="inlineStr">
        <is>
          <t>2026-03-20</t>
        </is>
      </c>
      <c r="F352" t="inlineStr">
        <is>
          <t>2026-03-27</t>
        </is>
      </c>
      <c r="G352" t="inlineStr">
        <is>
          <t xml:space="preserve"> - Surfer Suite</t>
        </is>
      </c>
      <c r="H352">
        <f>HYPERLINK("https://booking.roadsurfer.com/es/rally/pick?pickup_date=2026-03-20&amp;return_date=2026-03-27&amp;currency=EUR&amp;startStation=2&amp;endStation=117",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Lindau-Wangen</t>
        </is>
      </c>
      <c r="E353" t="inlineStr">
        <is>
          <t>2026-03-05</t>
        </is>
      </c>
      <c r="F353" t="inlineStr">
        <is>
          <t>2026-03-12</t>
        </is>
      </c>
      <c r="G353" t="inlineStr">
        <is>
          <t xml:space="preserve"> - No hay coche</t>
        </is>
      </c>
      <c r="H353">
        <f>HYPERLINK("https://booking.roadsurfer.com/es/rally/pick?pickup_date=2026-03-05&amp;return_date=2026-03-12&amp;currency=EUR&amp;startStation=2&amp;endStation=117",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2026-03-03</t>
        </is>
      </c>
      <c r="F354" t="inlineStr">
        <is>
          <t>2026-03-10</t>
        </is>
      </c>
      <c r="G354" t="inlineStr">
        <is>
          <t xml:space="preserve"> - Beach Hostel</t>
        </is>
      </c>
      <c r="H354">
        <f>HYPERLINK("https://booking.roadsurfer.com/es/rally/pick?pickup_date=2026-03-03&amp;return_date=2026-03-10&amp;currency=EUR&amp;startStation=2&amp;endStation=15",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Hamburgo Aeropuerto</t>
        </is>
      </c>
      <c r="E355" t="inlineStr">
        <is>
          <t>2026-03-13</t>
        </is>
      </c>
      <c r="F355" t="inlineStr">
        <is>
          <t>2026-03-20</t>
        </is>
      </c>
      <c r="G355" t="inlineStr">
        <is>
          <t xml:space="preserve"> - Road House</t>
        </is>
      </c>
      <c r="H355">
        <f>HYPERLINK("https://booking.roadsurfer.com/es/rally/pick?pickup_date=2026-03-13&amp;return_date=2026-03-20&amp;currency=EUR&amp;startStation=2&amp;endStation=65",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2026-03-09</t>
        </is>
      </c>
      <c r="F356" t="inlineStr">
        <is>
          <t>2026-03-16</t>
        </is>
      </c>
      <c r="G356" t="inlineStr">
        <is>
          <t xml:space="preserve"> - Camper Cabin Deluxe</t>
        </is>
      </c>
      <c r="H356">
        <f>HYPERLINK("https://booking.roadsurfer.com/es/rally/pick?pickup_date=2026-03-09&amp;return_date=2026-03-16&amp;currency=EUR&amp;startStation=2&amp;endStation=33",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2026-03-12</t>
        </is>
      </c>
      <c r="F357" t="inlineStr">
        <is>
          <t>2026-03-19</t>
        </is>
      </c>
      <c r="G357" t="inlineStr">
        <is>
          <t xml:space="preserve"> - Family Finca</t>
        </is>
      </c>
      <c r="H357">
        <f>HYPERLINK("https://booking.roadsurfer.com/es/rally/pick?pickup_date=2026-03-12&amp;return_date=2026-03-19&amp;currency=EUR&amp;startStation=2&amp;endStation=29",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2026-03-17</t>
        </is>
      </c>
      <c r="F358" t="inlineStr">
        <is>
          <t>2026-03-24</t>
        </is>
      </c>
      <c r="G358" t="inlineStr">
        <is>
          <t xml:space="preserve"> - Family Finca</t>
        </is>
      </c>
      <c r="H358">
        <f>HYPERLINK("https://booking.roadsurfer.com/es/rally/pick?pickup_date=2026-03-17&amp;return_date=2026-03-24&amp;currency=EUR&amp;startStation=2&amp;endStation=29",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2026-03-16</t>
        </is>
      </c>
      <c r="F359" t="inlineStr">
        <is>
          <t>2026-03-23</t>
        </is>
      </c>
      <c r="G359" t="inlineStr">
        <is>
          <t xml:space="preserve"> - Family Finca</t>
        </is>
      </c>
      <c r="H359">
        <f>HYPERLINK("https://booking.roadsurfer.com/es/rally/pick?pickup_date=2026-03-16&amp;return_date=2026-03-23&amp;currency=EUR&amp;startStation=2&amp;endStation=29",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2026-03-05</t>
        </is>
      </c>
      <c r="F360" t="inlineStr">
        <is>
          <t>2026-03-12</t>
        </is>
      </c>
      <c r="G360" t="inlineStr">
        <is>
          <t xml:space="preserve"> - Camper Cabin Deluxe</t>
        </is>
      </c>
      <c r="H360">
        <f>HYPERLINK("https://booking.roadsurfer.com/es/rally/pick?pickup_date=2026-03-05&amp;return_date=2026-03-12&amp;currency=EUR&amp;startStation=2&amp;endStation=29",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Toulouse</t>
        </is>
      </c>
      <c r="E361" t="inlineStr">
        <is>
          <t>2026-03-23</t>
        </is>
      </c>
      <c r="F361" t="inlineStr">
        <is>
          <t>2026-03-30</t>
        </is>
      </c>
      <c r="G361" t="inlineStr">
        <is>
          <t xml:space="preserve"> - Family Finca</t>
        </is>
      </c>
      <c r="H361">
        <f>HYPERLINK("https://booking.roadsurfer.com/es/rally/pick?pickup_date=2026-03-23&amp;return_date=2026-03-30&amp;currency=EUR&amp;startStation=2&amp;endStation=30",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París Aeropuerto CDG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Family Finca</t>
        </is>
      </c>
      <c r="H362">
        <f>HYPERLINK("https://booking.roadsurfer.com/es/rally/pick?pickup_date=2026-03-12&amp;return_date=2026-03-19&amp;currency=EUR&amp;startStation=2&amp;endStation=48",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2026-03-05</t>
        </is>
      </c>
      <c r="F363" t="inlineStr">
        <is>
          <t>2026-03-12</t>
        </is>
      </c>
      <c r="G363" t="inlineStr">
        <is>
          <t xml:space="preserve"> - Surfer Suite</t>
        </is>
      </c>
      <c r="H363">
        <f>HYPERLINK("https://booking.roadsurfer.com/es/rally/pick?pickup_date=2026-03-05&amp;return_date=2026-03-12&amp;currency=EUR&amp;startStation=9&amp;endStation=33",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España</t>
        </is>
      </c>
      <c r="D364" t="inlineStr">
        <is>
          <t>Madrid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Surfer Suite</t>
        </is>
      </c>
      <c r="H364">
        <f>HYPERLINK("https://booking.roadsurfer.com/es/rally/pick?pickup_date=2026-03-16&amp;return_date=2026-03-23&amp;currency=EUR&amp;startStation=9&amp;endStation=20",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2026-04-07</t>
        </is>
      </c>
      <c r="F365" t="inlineStr">
        <is>
          <t>2026-04-14</t>
        </is>
      </c>
      <c r="G365" t="inlineStr">
        <is>
          <t xml:space="preserve"> - Road House</t>
        </is>
      </c>
      <c r="H365">
        <f>HYPERLINK("https://booking.roadsurfer.com/es/rally/pick?pickup_date=2026-04-07&amp;return_date=2026-04-14&amp;currency=EUR&amp;startStation=9&amp;endStation=20",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Málaga</t>
        </is>
      </c>
      <c r="E366" t="inlineStr">
        <is>
          <t>2026-04-01</t>
        </is>
      </c>
      <c r="F366" t="inlineStr">
        <is>
          <t>2026-04-08</t>
        </is>
      </c>
      <c r="G366" t="inlineStr">
        <is>
          <t xml:space="preserve"> - Surfer Suite</t>
        </is>
      </c>
      <c r="H366">
        <f>HYPERLINK("https://booking.roadsurfer.com/es/rally/pick?pickup_date=2026-04-01&amp;return_date=2026-04-08&amp;currency=EUR&amp;startStation=9&amp;endStation=21",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Málaga</t>
        </is>
      </c>
      <c r="E367" t="inlineStr">
        <is>
          <t>2026-04-03</t>
        </is>
      </c>
      <c r="F367" t="inlineStr">
        <is>
          <t>2026-04-10</t>
        </is>
      </c>
      <c r="G367" t="inlineStr">
        <is>
          <t xml:space="preserve"> - No hay coche</t>
        </is>
      </c>
      <c r="H367">
        <f>HYPERLINK("https://booking.roadsurfer.com/es/rally/pick?pickup_date=2026-04-03&amp;return_date=2026-04-10&amp;currency=EUR&amp;startStation=9&amp;endStation=21",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Málaga</t>
        </is>
      </c>
      <c r="E368" t="inlineStr">
        <is>
          <t>2026-03-28</t>
        </is>
      </c>
      <c r="F368" t="inlineStr">
        <is>
          <t>2026-04-04</t>
        </is>
      </c>
      <c r="G368" t="inlineStr">
        <is>
          <t xml:space="preserve"> - Surfer Suite</t>
        </is>
      </c>
      <c r="H368">
        <f>HYPERLINK("https://booking.roadsurfer.com/es/rally/pick?pickup_date=2026-03-28&amp;return_date=2026-04-04&amp;currency=EUR&amp;startStation=9&amp;endStation=21",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2026-03-30</t>
        </is>
      </c>
      <c r="F369" t="inlineStr">
        <is>
          <t>2026-04-06</t>
        </is>
      </c>
      <c r="G369" t="inlineStr">
        <is>
          <t xml:space="preserve"> - No hay coche</t>
        </is>
      </c>
      <c r="H369">
        <f>HYPERLINK("https://booking.roadsurfer.com/es/rally/pick?pickup_date=2026-03-30&amp;return_date=2026-04-06&amp;currency=EUR&amp;startStation=9&amp;endStation=40",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Francia</t>
        </is>
      </c>
      <c r="D370" t="inlineStr">
        <is>
          <t>Lyon</t>
        </is>
      </c>
      <c r="E370" t="inlineStr">
        <is>
          <t>2026-03-26</t>
        </is>
      </c>
      <c r="F370" t="inlineStr">
        <is>
          <t>2026-04-02</t>
        </is>
      </c>
      <c r="G370" t="inlineStr">
        <is>
          <t xml:space="preserve"> - Surfer Suite</t>
        </is>
      </c>
      <c r="H370">
        <f>HYPERLINK("https://booking.roadsurfer.com/es/rally/pick?pickup_date=2026-03-26&amp;return_date=2026-04-02&amp;currency=EUR&amp;startStation=9&amp;endStation=15",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2026-03-17</t>
        </is>
      </c>
      <c r="F371" t="inlineStr">
        <is>
          <t>2026-03-24</t>
        </is>
      </c>
      <c r="G371" t="inlineStr">
        <is>
          <t xml:space="preserve"> - Beach Hostel</t>
        </is>
      </c>
      <c r="H371">
        <f>HYPERLINK("https://booking.roadsurfer.com/es/rally/pick?pickup_date=2026-03-17&amp;return_date=2026-03-24&amp;currency=EUR&amp;startStation=9&amp;endStation=15",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Sevilla</t>
        </is>
      </c>
      <c r="E372" t="inlineStr">
        <is>
          <t>2026-03-02</t>
        </is>
      </c>
      <c r="F372" t="inlineStr">
        <is>
          <t>2026-03-09</t>
        </is>
      </c>
      <c r="G372" t="inlineStr">
        <is>
          <t xml:space="preserve"> - Surfer Suite</t>
        </is>
      </c>
      <c r="H372">
        <f>HYPERLINK("https://booking.roadsurfer.com/es/rally/pick?pickup_date=2026-03-02&amp;return_date=2026-03-09&amp;currency=EUR&amp;startStation=9&amp;endStation=39",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Valencia</t>
        </is>
      </c>
      <c r="E373" t="inlineStr">
        <is>
          <t>2026-03-11</t>
        </is>
      </c>
      <c r="F373" t="inlineStr">
        <is>
          <t>2026-03-18</t>
        </is>
      </c>
      <c r="G373" t="inlineStr">
        <is>
          <t xml:space="preserve"> - Surfer Suite</t>
        </is>
      </c>
      <c r="H373">
        <f>HYPERLINK("https://booking.roadsurfer.com/es/rally/pick?pickup_date=2026-03-11&amp;return_date=2026-03-18&amp;currency=EUR&amp;startStation=9&amp;endStation=38",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2026-03-16</t>
        </is>
      </c>
      <c r="F374" t="inlineStr">
        <is>
          <t>2026-03-23</t>
        </is>
      </c>
      <c r="G374" t="inlineStr">
        <is>
          <t xml:space="preserve"> - Camper Cabin Deluxe</t>
        </is>
      </c>
      <c r="H374">
        <f>HYPERLINK("https://booking.roadsurfer.com/es/rally/pick?pickup_date=2026-03-16&amp;return_date=2026-03-23&amp;currency=EUR&amp;startStation=9&amp;endStation=29",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2026-03-14</t>
        </is>
      </c>
      <c r="F375" t="inlineStr">
        <is>
          <t>2026-03-21</t>
        </is>
      </c>
      <c r="G375" t="inlineStr">
        <is>
          <t xml:space="preserve"> - BEACH HOSTEL</t>
        </is>
      </c>
      <c r="H375">
        <f>HYPERLINK("https://booking.roadsurfer.com/es/rally/pick?pickup_date=2026-03-14&amp;return_date=2026-03-21&amp;currency=EUR&amp;startStation=9&amp;endStation=29",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Alemania</t>
        </is>
      </c>
      <c r="D376" t="inlineStr">
        <is>
          <t>Heidelberg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Camper Cabin</t>
        </is>
      </c>
      <c r="H376">
        <f>HYPERLINK("https://booking.roadsurfer.com/es/rally/pick?pickup_date=2026-03-16&amp;return_date=2026-03-23&amp;currency=EUR&amp;startStation=9&amp;endStation=79",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Niza</t>
        </is>
      </c>
      <c r="E377" t="inlineStr">
        <is>
          <t>2026-04-09</t>
        </is>
      </c>
      <c r="F377" t="inlineStr">
        <is>
          <t>2026-04-16</t>
        </is>
      </c>
      <c r="G377" t="inlineStr">
        <is>
          <t xml:space="preserve"> - Road House</t>
        </is>
      </c>
      <c r="H377">
        <f>HYPERLINK("https://booking.roadsurfer.com/es/rally/pick?pickup_date=2026-04-09&amp;return_date=2026-04-16&amp;currency=EUR&amp;startStation=9&amp;endStation=88",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Austria</t>
        </is>
      </c>
      <c r="D378" t="inlineStr">
        <is>
          <t>Linz</t>
        </is>
      </c>
      <c r="E378" t="inlineStr">
        <is>
          <t>2026-03-10</t>
        </is>
      </c>
      <c r="F378" t="inlineStr">
        <is>
          <t>2026-03-17</t>
        </is>
      </c>
      <c r="G378" t="inlineStr">
        <is>
          <t xml:space="preserve"> - Camper Castle</t>
        </is>
      </c>
      <c r="H378">
        <f>HYPERLINK("https://booking.roadsurfer.com/es/rally/pick?pickup_date=2026-03-10&amp;return_date=2026-03-17&amp;currency=EUR&amp;startStation=9&amp;endStation=116",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2026-03-13</t>
        </is>
      </c>
      <c r="F379" t="inlineStr">
        <is>
          <t>2026-03-20</t>
        </is>
      </c>
      <c r="G379" t="inlineStr">
        <is>
          <t xml:space="preserve"> - Camper Castle</t>
        </is>
      </c>
      <c r="H379">
        <f>HYPERLINK("https://booking.roadsurfer.com/es/rally/pick?pickup_date=2026-03-13&amp;return_date=2026-03-20&amp;currency=EUR&amp;startStation=9&amp;endStation=31",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Toulouse</t>
        </is>
      </c>
      <c r="E380" t="inlineStr">
        <is>
          <t>2026-03-20</t>
        </is>
      </c>
      <c r="F380" t="inlineStr">
        <is>
          <t>2026-03-27</t>
        </is>
      </c>
      <c r="G380" t="inlineStr">
        <is>
          <t xml:space="preserve"> - Family Finca</t>
        </is>
      </c>
      <c r="H380">
        <f>HYPERLINK("https://booking.roadsurfer.com/es/rally/pick?pickup_date=2026-03-20&amp;return_date=2026-03-27&amp;currency=EUR&amp;startStation=9&amp;endStation=30",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Barcelona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Family Finca</t>
        </is>
      </c>
      <c r="H381">
        <f>HYPERLINK("https://booking.roadsurfer.com/es/rally/pick?pickup_date=2026-03-23&amp;return_date=2026-03-30&amp;currency=EUR&amp;startStation=9&amp;endStation=17",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Barcelona</t>
        </is>
      </c>
      <c r="E382" t="inlineStr">
        <is>
          <t>2026-03-21</t>
        </is>
      </c>
      <c r="F382" t="inlineStr">
        <is>
          <t>2026-03-28</t>
        </is>
      </c>
      <c r="G382" t="inlineStr">
        <is>
          <t xml:space="preserve"> - Family Finca</t>
        </is>
      </c>
      <c r="H382">
        <f>HYPERLINK("https://booking.roadsurfer.com/es/rally/pick?pickup_date=2026-03-21&amp;return_date=2026-03-28&amp;currency=EUR&amp;startStation=9&amp;endStation=17",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Barcelona</t>
        </is>
      </c>
      <c r="E383" t="inlineStr">
        <is>
          <t>2026-03-26</t>
        </is>
      </c>
      <c r="F383" t="inlineStr">
        <is>
          <t>2026-04-02</t>
        </is>
      </c>
      <c r="G383" t="inlineStr">
        <is>
          <t xml:space="preserve"> - Family Finca</t>
        </is>
      </c>
      <c r="H383">
        <f>HYPERLINK("https://booking.roadsurfer.com/es/rally/pick?pickup_date=2026-03-26&amp;return_date=2026-04-02&amp;currency=EUR&amp;startStation=9&amp;endStation=17",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Italia</t>
        </is>
      </c>
      <c r="D384" t="inlineStr">
        <is>
          <t>Bérgamo</t>
        </is>
      </c>
      <c r="E384" t="inlineStr">
        <is>
          <t>2026-03-05</t>
        </is>
      </c>
      <c r="F384" t="inlineStr">
        <is>
          <t>2026-03-12</t>
        </is>
      </c>
      <c r="G384" t="inlineStr">
        <is>
          <t xml:space="preserve"> - Family Finca</t>
        </is>
      </c>
      <c r="H384">
        <f>HYPERLINK("https://booking.roadsurfer.com/es/rally/pick?pickup_date=2026-03-05&amp;return_date=2026-03-12&amp;currency=EUR&amp;startStation=9&amp;endStation=94",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Italia</t>
        </is>
      </c>
      <c r="D385" t="inlineStr">
        <is>
          <t>Venecia</t>
        </is>
      </c>
      <c r="E385" t="inlineStr">
        <is>
          <t>2026-03-02</t>
        </is>
      </c>
      <c r="F385" t="inlineStr">
        <is>
          <t>2026-03-09</t>
        </is>
      </c>
      <c r="G385" t="inlineStr">
        <is>
          <t xml:space="preserve"> - Family Finca</t>
        </is>
      </c>
      <c r="H385">
        <f>HYPERLINK("https://booking.roadsurfer.com/es/rally/pick?pickup_date=2026-03-02&amp;return_date=2026-03-09&amp;currency=EUR&amp;startStation=9&amp;endStation=78",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Alemania</t>
        </is>
      </c>
      <c r="D386" t="inlineStr">
        <is>
          <t>Colonia-Bonn</t>
        </is>
      </c>
      <c r="E386" t="inlineStr">
        <is>
          <t>2026-03-05</t>
        </is>
      </c>
      <c r="F386" t="inlineStr">
        <is>
          <t>2026-03-12</t>
        </is>
      </c>
      <c r="G386" t="inlineStr">
        <is>
          <t xml:space="preserve"> - Couple Cottage</t>
        </is>
      </c>
      <c r="H386">
        <f>HYPERLINK("https://booking.roadsurfer.com/es/rally/pick?pickup_date=2026-03-05&amp;return_date=2026-03-12&amp;currency=EUR&amp;startStation=9&amp;endStation=52",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Italia</t>
        </is>
      </c>
      <c r="D387" t="inlineStr">
        <is>
          <t>Turín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Cozy Cottage</t>
        </is>
      </c>
      <c r="H387">
        <f>HYPERLINK("https://booking.roadsurfer.com/es/rally/pick?pickup_date=2026-03-16&amp;return_date=2026-03-23&amp;currency=EUR&amp;startStation=9&amp;endStation=58",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2026-02-27</t>
        </is>
      </c>
      <c r="F388" t="inlineStr">
        <is>
          <t>2026-03-06</t>
        </is>
      </c>
      <c r="G388" t="inlineStr">
        <is>
          <t xml:space="preserve"> - Beach Hostel</t>
        </is>
      </c>
      <c r="H388">
        <f>HYPERLINK("https://booking.roadsurfer.com/es/rally/pick?pickup_date=2026-02-27&amp;return_date=2026-03-06&amp;currency=EUR&amp;startStation=29&amp;endStation=22",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2026-03-19</t>
        </is>
      </c>
      <c r="F389" t="inlineStr">
        <is>
          <t>2026-03-26</t>
        </is>
      </c>
      <c r="G389" t="inlineStr">
        <is>
          <t xml:space="preserve"> - Surfer Suite</t>
        </is>
      </c>
      <c r="H389">
        <f>HYPERLINK("https://booking.roadsurfer.com/es/rally/pick?pickup_date=2026-03-19&amp;return_date=2026-03-26&amp;currency=EUR&amp;startStation=29&amp;endStation=22",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2026-03-14</t>
        </is>
      </c>
      <c r="F390" t="inlineStr">
        <is>
          <t>2026-03-21</t>
        </is>
      </c>
      <c r="G390" t="inlineStr">
        <is>
          <t xml:space="preserve"> - No hay coche</t>
        </is>
      </c>
      <c r="H390">
        <f>HYPERLINK("https://booking.roadsurfer.com/es/rally/pick?pickup_date=2026-03-14&amp;return_date=2026-03-21&amp;currency=EUR&amp;startStation=29&amp;endStation=22",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2026-03-04</t>
        </is>
      </c>
      <c r="F391" t="inlineStr">
        <is>
          <t>2026-03-11</t>
        </is>
      </c>
      <c r="G391" t="inlineStr">
        <is>
          <t xml:space="preserve"> - Family Finca</t>
        </is>
      </c>
      <c r="H391">
        <f>HYPERLINK("https://booking.roadsurfer.com/es/rally/pick?pickup_date=2026-03-04&amp;return_date=2026-03-11&amp;currency=EUR&amp;startStation=29&amp;endStation=22",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Colonia-Bonn</t>
        </is>
      </c>
      <c r="E392" t="inlineStr">
        <is>
          <t>2026-03-17</t>
        </is>
      </c>
      <c r="F392" t="inlineStr">
        <is>
          <t>2026-03-24</t>
        </is>
      </c>
      <c r="G392" t="inlineStr">
        <is>
          <t xml:space="preserve"> - Beach Hostel</t>
        </is>
      </c>
      <c r="H392">
        <f>HYPERLINK("https://booking.roadsurfer.com/es/rally/pick?pickup_date=2026-03-17&amp;return_date=2026-03-24&amp;currency=EUR&amp;startStation=29&amp;endStation=52",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Colonia-Bonn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SURFER SUITE</t>
        </is>
      </c>
      <c r="H393">
        <f>HYPERLINK("https://booking.roadsurfer.com/es/rally/pick?pickup_date=2026-03-16&amp;return_date=2026-03-23&amp;currency=EUR&amp;startStation=29&amp;endStation=52",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Colonia-Bonn</t>
        </is>
      </c>
      <c r="E394" t="inlineStr">
        <is>
          <t>2026-03-14</t>
        </is>
      </c>
      <c r="F394" t="inlineStr">
        <is>
          <t>2026-03-21</t>
        </is>
      </c>
      <c r="G394" t="inlineStr">
        <is>
          <t xml:space="preserve"> - Beach Hostel</t>
        </is>
      </c>
      <c r="H394">
        <f>HYPERLINK("https://booking.roadsurfer.com/es/rally/pick?pickup_date=2026-03-14&amp;return_date=2026-03-21&amp;currency=EUR&amp;startStation=29&amp;endStation=52",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Colonia-Bonn</t>
        </is>
      </c>
      <c r="E395" t="inlineStr">
        <is>
          <t>2026-03-18</t>
        </is>
      </c>
      <c r="F395" t="inlineStr">
        <is>
          <t>2026-03-25</t>
        </is>
      </c>
      <c r="G395" t="inlineStr">
        <is>
          <t xml:space="preserve"> - Surfer Suite</t>
        </is>
      </c>
      <c r="H395">
        <f>HYPERLINK("https://booking.roadsurfer.com/es/rally/pick?pickup_date=2026-03-18&amp;return_date=2026-03-25&amp;currency=EUR&amp;startStation=29&amp;endStation=52",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Fráncfort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Surfer Suite</t>
        </is>
      </c>
      <c r="H396">
        <f>HYPERLINK("https://booking.roadsurfer.com/es/rally/pick?pickup_date=2026-03-16&amp;return_date=2026-03-23&amp;currency=EUR&amp;startStation=29&amp;endStation=2",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Fráncfort</t>
        </is>
      </c>
      <c r="E397" t="inlineStr">
        <is>
          <t>2026-03-19</t>
        </is>
      </c>
      <c r="F397" t="inlineStr">
        <is>
          <t>2026-03-26</t>
        </is>
      </c>
      <c r="G397" t="inlineStr">
        <is>
          <t xml:space="preserve"> - Beach Hostel</t>
        </is>
      </c>
      <c r="H397">
        <f>HYPERLINK("https://booking.roadsurfer.com/es/rally/pick?pickup_date=2026-03-19&amp;return_date=2026-03-26&amp;currency=EUR&amp;startStation=29&amp;endStation=2",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Fráncfort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Sunrise Suite</t>
        </is>
      </c>
      <c r="H398">
        <f>HYPERLINK("https://booking.roadsurfer.com/es/rally/pick?pickup_date=2026-03-17&amp;return_date=2026-03-24&amp;currency=EUR&amp;startStation=29&amp;endStation=2",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Colonia-Düsseldorf</t>
        </is>
      </c>
      <c r="E399" t="inlineStr">
        <is>
          <t>2026-03-13</t>
        </is>
      </c>
      <c r="F399" t="inlineStr">
        <is>
          <t>2026-03-20</t>
        </is>
      </c>
      <c r="G399" t="inlineStr">
        <is>
          <t xml:space="preserve"> - Family Finca</t>
        </is>
      </c>
      <c r="H399">
        <f>HYPERLINK("https://booking.roadsurfer.com/es/rally/pick?pickup_date=2026-03-13&amp;return_date=2026-03-20&amp;currency=EUR&amp;startStation=29&amp;endStation=4",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Colonia-Düsseldorf</t>
        </is>
      </c>
      <c r="E400" t="inlineStr">
        <is>
          <t>2026-03-17</t>
        </is>
      </c>
      <c r="F400" t="inlineStr">
        <is>
          <t>2026-03-24</t>
        </is>
      </c>
      <c r="G400" t="inlineStr">
        <is>
          <t xml:space="preserve"> - Surfer Suite</t>
        </is>
      </c>
      <c r="H400">
        <f>HYPERLINK("https://booking.roadsurfer.com/es/rally/pick?pickup_date=2026-03-17&amp;return_date=2026-03-24&amp;currency=EUR&amp;startStation=29&amp;endStation=4",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2026-02-27</t>
        </is>
      </c>
      <c r="F401" t="inlineStr">
        <is>
          <t>2026-03-06</t>
        </is>
      </c>
      <c r="G401" t="inlineStr">
        <is>
          <t xml:space="preserve"> - Family Finca</t>
        </is>
      </c>
      <c r="H401">
        <f>HYPERLINK("https://booking.roadsurfer.com/es/rally/pick?pickup_date=2026-02-27&amp;return_date=2026-03-06&amp;currency=EUR&amp;startStation=77&amp;endStation=56",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Bremen</t>
        </is>
      </c>
      <c r="E402" t="inlineStr">
        <is>
          <t>2026-04-03</t>
        </is>
      </c>
      <c r="F402" t="inlineStr">
        <is>
          <t>2026-04-10</t>
        </is>
      </c>
      <c r="G402" t="inlineStr">
        <is>
          <t xml:space="preserve"> - No hay coche</t>
        </is>
      </c>
      <c r="H402">
        <f>HYPERLINK("https://booking.roadsurfer.com/es/rally/pick?pickup_date=2026-04-03&amp;return_date=2026-04-10&amp;currency=EUR&amp;startStation=77&amp;endStation=55",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Bremen</t>
        </is>
      </c>
      <c r="E403" t="inlineStr">
        <is>
          <t>2026-03-05</t>
        </is>
      </c>
      <c r="F403" t="inlineStr">
        <is>
          <t>2026-03-12</t>
        </is>
      </c>
      <c r="G403" t="inlineStr">
        <is>
          <t xml:space="preserve"> - Road House</t>
        </is>
      </c>
      <c r="H403">
        <f>HYPERLINK("https://booking.roadsurfer.com/es/rally/pick?pickup_date=2026-03-05&amp;return_date=2026-03-12&amp;currency=EUR&amp;startStation=77&amp;endStation=55",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Hamburgo</t>
        </is>
      </c>
      <c r="E404" t="inlineStr">
        <is>
          <t>2026-03-12</t>
        </is>
      </c>
      <c r="F404" t="inlineStr">
        <is>
          <t>2026-03-19</t>
        </is>
      </c>
      <c r="G404" t="inlineStr">
        <is>
          <t xml:space="preserve"> - Family Finca</t>
        </is>
      </c>
      <c r="H404">
        <f>HYPERLINK("https://booking.roadsurfer.com/es/rally/pick?pickup_date=2026-03-12&amp;return_date=2026-03-19&amp;currency=EUR&amp;startStation=77&amp;endStation=3",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Hamburgo</t>
        </is>
      </c>
      <c r="E405" t="inlineStr">
        <is>
          <t>2026-03-14</t>
        </is>
      </c>
      <c r="F405" t="inlineStr">
        <is>
          <t>2026-03-21</t>
        </is>
      </c>
      <c r="G405" t="inlineStr">
        <is>
          <t xml:space="preserve"> - SURFER SUITE</t>
        </is>
      </c>
      <c r="H405">
        <f>HYPERLINK("https://booking.roadsurfer.com/es/rally/pick?pickup_date=2026-03-14&amp;return_date=2026-03-21&amp;currency=EUR&amp;startStation=77&amp;endStation=3",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Family Finca</t>
        </is>
      </c>
      <c r="H406">
        <f>HYPERLINK("https://booking.roadsurfer.com/es/rally/pick?pickup_date=2026-04-13&amp;return_date=2026-04-20&amp;currency=EUR&amp;startStation=77&amp;endStation=3",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2026-03-10</t>
        </is>
      </c>
      <c r="F407" t="inlineStr">
        <is>
          <t>2026-03-17</t>
        </is>
      </c>
      <c r="G407" t="inlineStr">
        <is>
          <t xml:space="preserve"> - BEACH HOSTEL</t>
        </is>
      </c>
      <c r="H407">
        <f>HYPERLINK("https://booking.roadsurfer.com/es/rally/pick?pickup_date=2026-03-10&amp;return_date=2026-03-17&amp;currency=EUR&amp;startStation=77&amp;endStation=6",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2026-03-11</t>
        </is>
      </c>
      <c r="F408" t="inlineStr">
        <is>
          <t>2026-03-18</t>
        </is>
      </c>
      <c r="G408" t="inlineStr">
        <is>
          <t xml:space="preserve"> - Family Finca</t>
        </is>
      </c>
      <c r="H408">
        <f>HYPERLINK("https://booking.roadsurfer.com/es/rally/pick?pickup_date=2026-03-11&amp;return_date=2026-03-18&amp;currency=EUR&amp;startStation=77&amp;endStation=6",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Berlín-Schönefeld</t>
        </is>
      </c>
      <c r="E409" t="inlineStr">
        <is>
          <t>2026-04-14</t>
        </is>
      </c>
      <c r="F409" t="inlineStr">
        <is>
          <t>2026-04-21</t>
        </is>
      </c>
      <c r="G409" t="inlineStr">
        <is>
          <t xml:space="preserve"> - Road House</t>
        </is>
      </c>
      <c r="H409">
        <f>HYPERLINK("https://booking.roadsurfer.com/es/rally/pick?pickup_date=2026-04-14&amp;return_date=2026-04-21&amp;currency=EUR&amp;startStation=77&amp;endStation=51",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2026-03-19</t>
        </is>
      </c>
      <c r="F410" t="inlineStr">
        <is>
          <t>2026-03-26</t>
        </is>
      </c>
      <c r="G410" t="inlineStr">
        <is>
          <t xml:space="preserve"> - Surfer Suite</t>
        </is>
      </c>
      <c r="H410">
        <f>HYPERLINK("https://booking.roadsurfer.com/es/rally/pick?pickup_date=2026-03-19&amp;return_date=2026-03-26&amp;currency=EUR&amp;startStation=77&amp;endStation=51",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Berlín-Schönefeld</t>
        </is>
      </c>
      <c r="E411" t="inlineStr">
        <is>
          <t>2026-03-20</t>
        </is>
      </c>
      <c r="F411" t="inlineStr">
        <is>
          <t>2026-03-27</t>
        </is>
      </c>
      <c r="G411" t="inlineStr">
        <is>
          <t xml:space="preserve"> - Surfer Suite</t>
        </is>
      </c>
      <c r="H411">
        <f>HYPERLINK("https://booking.roadsurfer.com/es/rally/pick?pickup_date=2026-03-20&amp;return_date=2026-03-27&amp;currency=EUR&amp;startStation=77&amp;endStation=51",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2026-04-14</t>
        </is>
      </c>
      <c r="F412" t="inlineStr">
        <is>
          <t>2026-04-21</t>
        </is>
      </c>
      <c r="G412" t="inlineStr">
        <is>
          <t xml:space="preserve"> - Road House</t>
        </is>
      </c>
      <c r="H412">
        <f>HYPERLINK("https://booking.roadsurfer.com/es/rally/pick?pickup_date=2026-04-14&amp;return_date=2026-04-21&amp;currency=EUR&amp;startStation=77&amp;endStation=90",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2026-03-06</t>
        </is>
      </c>
      <c r="F413" t="inlineStr">
        <is>
          <t>2026-03-13</t>
        </is>
      </c>
      <c r="G413" t="inlineStr">
        <is>
          <t xml:space="preserve"> - Road House</t>
        </is>
      </c>
      <c r="H413">
        <f>HYPERLINK("https://booking.roadsurfer.com/es/rally/pick?pickup_date=2026-03-06&amp;return_date=2026-03-13&amp;currency=EUR&amp;startStation=77&amp;endStation=90",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Bielefeld</t>
        </is>
      </c>
      <c r="E414" t="inlineStr">
        <is>
          <t>2026-03-24</t>
        </is>
      </c>
      <c r="F414" t="inlineStr">
        <is>
          <t>2026-03-31</t>
        </is>
      </c>
      <c r="G414" t="inlineStr">
        <is>
          <t xml:space="preserve"> - Beach Hostel</t>
        </is>
      </c>
      <c r="H414">
        <f>HYPERLINK("https://booking.roadsurfer.com/es/rally/pick?pickup_date=2026-03-24&amp;return_date=2026-03-31&amp;currency=EUR&amp;startStation=77&amp;endStation=91",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Beach Hostel</t>
        </is>
      </c>
      <c r="H415">
        <f>HYPERLINK("https://booking.roadsurfer.com/es/rally/pick?pickup_date=2026-03-17&amp;return_date=2026-03-24&amp;currency=EUR&amp;startStation=77&amp;endStation=22",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2026-03-05</t>
        </is>
      </c>
      <c r="F416" t="inlineStr">
        <is>
          <t>2026-03-12</t>
        </is>
      </c>
      <c r="G416" t="inlineStr">
        <is>
          <t xml:space="preserve"> - Couple Cottage</t>
        </is>
      </c>
      <c r="H416">
        <f>HYPERLINK("https://booking.roadsurfer.com/es/rally/pick?pickup_date=2026-03-05&amp;return_date=2026-03-12&amp;currency=EUR&amp;startStation=77&amp;endStation=22",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Karlsruhe</t>
        </is>
      </c>
      <c r="E417" t="inlineStr">
        <is>
          <t>2026-04-15</t>
        </is>
      </c>
      <c r="F417" t="inlineStr">
        <is>
          <t>2026-04-22</t>
        </is>
      </c>
      <c r="G417" t="inlineStr">
        <is>
          <t xml:space="preserve"> - Camper Castle</t>
        </is>
      </c>
      <c r="H417">
        <f>HYPERLINK("https://booking.roadsurfer.com/es/rally/pick?pickup_date=2026-04-15&amp;return_date=2026-04-22&amp;currency=EUR&amp;startStation=77&amp;endStation=110",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2026-04-14</t>
        </is>
      </c>
      <c r="F418" t="inlineStr">
        <is>
          <t>2026-04-21</t>
        </is>
      </c>
      <c r="G418" t="inlineStr">
        <is>
          <t xml:space="preserve"> - Camper Castle</t>
        </is>
      </c>
      <c r="H418">
        <f>HYPERLINK("https://booking.roadsurfer.com/es/rally/pick?pickup_date=2026-04-14&amp;return_date=2026-04-21&amp;currency=EUR&amp;startStation=77&amp;endStation=54",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2026-03-09</t>
        </is>
      </c>
      <c r="F419" t="inlineStr">
        <is>
          <t>2026-03-16</t>
        </is>
      </c>
      <c r="G419" t="inlineStr">
        <is>
          <t xml:space="preserve"> - Surfer Suite</t>
        </is>
      </c>
      <c r="H419">
        <f>HYPERLINK("https://booking.roadsurfer.com/es/rally/pick?pickup_date=2026-03-09&amp;return_date=2026-03-16&amp;currency=EUR&amp;startStation=77&amp;endStation=54",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Heidelberg</t>
        </is>
      </c>
      <c r="E420" t="inlineStr">
        <is>
          <t>2026-03-02</t>
        </is>
      </c>
      <c r="F420" t="inlineStr">
        <is>
          <t>2026-03-09</t>
        </is>
      </c>
      <c r="G420" t="inlineStr">
        <is>
          <t xml:space="preserve"> - Surfer Suite</t>
        </is>
      </c>
      <c r="H420">
        <f>HYPERLINK("https://booking.roadsurfer.com/es/rally/pick?pickup_date=2026-03-02&amp;return_date=2026-03-09&amp;currency=EUR&amp;startStation=77&amp;endStation=79",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Dresde</t>
        </is>
      </c>
      <c r="E421" t="inlineStr">
        <is>
          <t>2026-03-05</t>
        </is>
      </c>
      <c r="F421" t="inlineStr">
        <is>
          <t>2026-03-12</t>
        </is>
      </c>
      <c r="G421" t="inlineStr">
        <is>
          <t xml:space="preserve"> - Camper Castle</t>
        </is>
      </c>
      <c r="H421">
        <f>HYPERLINK("https://booking.roadsurfer.com/es/rally/pick?pickup_date=2026-03-05&amp;return_date=2026-03-12&amp;currency=EUR&amp;startStation=37&amp;endStation=56",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Road House</t>
        </is>
      </c>
      <c r="H422">
        <f>HYPERLINK("https://booking.roadsurfer.com/es/rally/pick?pickup_date=2026-04-14&amp;return_date=2026-04-21&amp;currency=EUR&amp;startStation=37&amp;endStation=56",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2026-04-15</t>
        </is>
      </c>
      <c r="F423" t="inlineStr">
        <is>
          <t>2026-04-22</t>
        </is>
      </c>
      <c r="G423" t="inlineStr">
        <is>
          <t xml:space="preserve"> - Family Finca</t>
        </is>
      </c>
      <c r="H423">
        <f>HYPERLINK("https://booking.roadsurfer.com/es/rally/pick?pickup_date=2026-04-15&amp;return_date=2026-04-22&amp;currency=EUR&amp;startStation=37&amp;endStation=56",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2026-04-13</t>
        </is>
      </c>
      <c r="F424" t="inlineStr">
        <is>
          <t>2026-04-20</t>
        </is>
      </c>
      <c r="G424" t="inlineStr">
        <is>
          <t xml:space="preserve"> - Road House</t>
        </is>
      </c>
      <c r="H424">
        <f>HYPERLINK("https://booking.roadsurfer.com/es/rally/pick?pickup_date=2026-04-13&amp;return_date=2026-04-20&amp;currency=EUR&amp;startStation=37&amp;endStation=56",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2026-03-05</t>
        </is>
      </c>
      <c r="F425" t="inlineStr">
        <is>
          <t>2026-03-12</t>
        </is>
      </c>
      <c r="G425" t="inlineStr">
        <is>
          <t xml:space="preserve"> - No hay coche</t>
        </is>
      </c>
      <c r="H425">
        <f>HYPERLINK("https://booking.roadsurfer.com/es/rally/pick?pickup_date=2026-03-05&amp;return_date=2026-03-12&amp;currency=EUR&amp;startStation=37&amp;endStation=90",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2026-03-09</t>
        </is>
      </c>
      <c r="F426" t="inlineStr">
        <is>
          <t>2026-03-16</t>
        </is>
      </c>
      <c r="G426" t="inlineStr">
        <is>
          <t xml:space="preserve"> - Surfer Suite</t>
        </is>
      </c>
      <c r="H426">
        <f>HYPERLINK("https://booking.roadsurfer.com/es/rally/pick?pickup_date=2026-03-09&amp;return_date=2026-03-16&amp;currency=EUR&amp;startStation=37&amp;endStation=90",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2026-03-11</t>
        </is>
      </c>
      <c r="F427" t="inlineStr">
        <is>
          <t>2026-03-18</t>
        </is>
      </c>
      <c r="G427" t="inlineStr">
        <is>
          <t xml:space="preserve"> - Family Finca</t>
        </is>
      </c>
      <c r="H427">
        <f>HYPERLINK("https://booking.roadsurfer.com/es/rally/pick?pickup_date=2026-03-11&amp;return_date=2026-03-18&amp;currency=EUR&amp;startStation=37&amp;endStation=90",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2026-03-10</t>
        </is>
      </c>
      <c r="F428" t="inlineStr">
        <is>
          <t>2026-03-17</t>
        </is>
      </c>
      <c r="G428" t="inlineStr">
        <is>
          <t xml:space="preserve"> - Family Finca</t>
        </is>
      </c>
      <c r="H428">
        <f>HYPERLINK("https://booking.roadsurfer.com/es/rally/pick?pickup_date=2026-03-10&amp;return_date=2026-03-17&amp;currency=EUR&amp;startStation=37&amp;endStation=90",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2026-03-12</t>
        </is>
      </c>
      <c r="F429" t="inlineStr">
        <is>
          <t>2026-03-19</t>
        </is>
      </c>
      <c r="G429" t="inlineStr">
        <is>
          <t xml:space="preserve"> - SURFER SUITE</t>
        </is>
      </c>
      <c r="H429">
        <f>HYPERLINK("https://booking.roadsurfer.com/es/rally/pick?pickup_date=2026-03-12&amp;return_date=2026-03-19&amp;currency=EUR&amp;startStation=37&amp;endStation=8",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2026-03-09</t>
        </is>
      </c>
      <c r="F430" t="inlineStr">
        <is>
          <t>2026-03-16</t>
        </is>
      </c>
      <c r="G430" t="inlineStr">
        <is>
          <t xml:space="preserve"> - FAMILY FINCA</t>
        </is>
      </c>
      <c r="H430">
        <f>HYPERLINK("https://booking.roadsurfer.com/es/rally/pick?pickup_date=2026-03-09&amp;return_date=2026-03-16&amp;currency=EUR&amp;startStation=37&amp;endStation=8",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2026-03-09</t>
        </is>
      </c>
      <c r="F431" t="inlineStr">
        <is>
          <t>2026-03-16</t>
        </is>
      </c>
      <c r="G431" t="inlineStr">
        <is>
          <t xml:space="preserve"> - Road House</t>
        </is>
      </c>
      <c r="H431">
        <f>HYPERLINK("https://booking.roadsurfer.com/es/rally/pick?pickup_date=2026-03-09&amp;return_date=2026-03-16&amp;currency=EUR&amp;startStation=37&amp;endStation=52",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Austria</t>
        </is>
      </c>
      <c r="D432" t="inlineStr">
        <is>
          <t>Salzburgo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Family Finca</t>
        </is>
      </c>
      <c r="H432">
        <f>HYPERLINK("https://booking.roadsurfer.com/es/rally/pick?pickup_date=2026-04-14&amp;return_date=2026-04-21&amp;currency=EUR&amp;startStation=37&amp;endStation=85",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Austria</t>
        </is>
      </c>
      <c r="D433" t="inlineStr">
        <is>
          <t>Viena Sur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FAMILY FINCA</t>
        </is>
      </c>
      <c r="H433">
        <f>HYPERLINK("https://booking.roadsurfer.com/es/rally/pick?pickup_date=2026-03-12&amp;return_date=2026-03-19&amp;currency=EUR&amp;startStation=37&amp;endStation=45",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Ulm</t>
        </is>
      </c>
      <c r="E434" t="inlineStr">
        <is>
          <t>2026-04-22</t>
        </is>
      </c>
      <c r="F434" t="inlineStr">
        <is>
          <t>2026-04-29</t>
        </is>
      </c>
      <c r="G434" t="inlineStr">
        <is>
          <t xml:space="preserve"> - Couple Cottage</t>
        </is>
      </c>
      <c r="H434">
        <f>HYPERLINK("https://booking.roadsurfer.com/es/rally/pick?pickup_date=2026-04-22&amp;return_date=2026-04-29&amp;currency=EUR&amp;startStation=37&amp;endStation=112",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Países Bajos</t>
        </is>
      </c>
      <c r="D435" t="inlineStr">
        <is>
          <t>Ámsterdam</t>
        </is>
      </c>
      <c r="E435" t="inlineStr">
        <is>
          <t>2026-03-06</t>
        </is>
      </c>
      <c r="F435" t="inlineStr">
        <is>
          <t>2026-03-13</t>
        </is>
      </c>
      <c r="G435" t="inlineStr">
        <is>
          <t xml:space="preserve"> - Camper Cabin Deluxe</t>
        </is>
      </c>
      <c r="H435">
        <f>HYPERLINK("https://booking.roadsurfer.com/es/rally/pick?pickup_date=2026-03-06&amp;return_date=2026-03-13&amp;currency=EUR&amp;startStation=3&amp;endStation=32",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Países Bajos</t>
        </is>
      </c>
      <c r="D436" t="inlineStr">
        <is>
          <t>Róterdam</t>
        </is>
      </c>
      <c r="E436" t="inlineStr">
        <is>
          <t>2026-03-23</t>
        </is>
      </c>
      <c r="F436" t="inlineStr">
        <is>
          <t>2026-03-30</t>
        </is>
      </c>
      <c r="G436" t="inlineStr">
        <is>
          <t xml:space="preserve"> - Surfer Suite - Couple Cottage</t>
        </is>
      </c>
      <c r="H436">
        <f>HYPERLINK("https://booking.roadsurfer.com/es/rally/pick?pickup_date=2026-03-23&amp;return_date=2026-03-30&amp;currency=EUR&amp;startStation=3&amp;endStation=33",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Países Bajos</t>
        </is>
      </c>
      <c r="D437" t="inlineStr">
        <is>
          <t>Róterdam</t>
        </is>
      </c>
      <c r="E437" t="inlineStr">
        <is>
          <t>2026-03-19</t>
        </is>
      </c>
      <c r="F437" t="inlineStr">
        <is>
          <t>2026-03-26</t>
        </is>
      </c>
      <c r="G437" t="inlineStr">
        <is>
          <t xml:space="preserve"> - CAMPER CASTLE</t>
        </is>
      </c>
      <c r="H437">
        <f>HYPERLINK("https://booking.roadsurfer.com/es/rally/pick?pickup_date=2026-03-19&amp;return_date=2026-03-26&amp;currency=EUR&amp;startStation=3&amp;endStation=33",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España</t>
        </is>
      </c>
      <c r="D438" t="inlineStr">
        <is>
          <t>Valencia</t>
        </is>
      </c>
      <c r="E438" t="inlineStr">
        <is>
          <t>2026-03-02</t>
        </is>
      </c>
      <c r="F438" t="inlineStr">
        <is>
          <t>2026-03-09</t>
        </is>
      </c>
      <c r="G438" t="inlineStr">
        <is>
          <t xml:space="preserve"> - Camper Castle</t>
        </is>
      </c>
      <c r="H438">
        <f>HYPERLINK("https://booking.roadsurfer.com/es/rally/pick?pickup_date=2026-03-02&amp;return_date=2026-03-09&amp;currency=EUR&amp;startStation=3&amp;endStation=38",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España</t>
        </is>
      </c>
      <c r="D439" t="inlineStr">
        <is>
          <t>Valencia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Road House</t>
        </is>
      </c>
      <c r="H439">
        <f>HYPERLINK("https://booking.roadsurfer.com/es/rally/pick?pickup_date=2026-03-19&amp;return_date=2026-03-26&amp;currency=EUR&amp;startStation=3&amp;endStation=38",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Suecia</t>
        </is>
      </c>
      <c r="D440" t="inlineStr">
        <is>
          <t>Malmö</t>
        </is>
      </c>
      <c r="E440" t="inlineStr">
        <is>
          <t>2026-04-03</t>
        </is>
      </c>
      <c r="F440" t="inlineStr">
        <is>
          <t>2026-04-10</t>
        </is>
      </c>
      <c r="G440" t="inlineStr">
        <is>
          <t xml:space="preserve"> - No hay coche</t>
        </is>
      </c>
      <c r="H440">
        <f>HYPERLINK("https://booking.roadsurfer.com/es/rally/pick?pickup_date=2026-04-03&amp;return_date=2026-04-10&amp;currency=EUR&amp;startStation=3&amp;endStation=60",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Malmö</t>
        </is>
      </c>
      <c r="E441" t="inlineStr">
        <is>
          <t>2026-04-02</t>
        </is>
      </c>
      <c r="F441" t="inlineStr">
        <is>
          <t>2026-04-09</t>
        </is>
      </c>
      <c r="G441" t="inlineStr">
        <is>
          <t xml:space="preserve"> - Beach Hostel</t>
        </is>
      </c>
      <c r="H441">
        <f>HYPERLINK("https://booking.roadsurfer.com/es/rally/pick?pickup_date=2026-04-02&amp;return_date=2026-04-09&amp;currency=EUR&amp;startStation=3&amp;endStation=60",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Malmö</t>
        </is>
      </c>
      <c r="E442" t="inlineStr">
        <is>
          <t>2026-03-25</t>
        </is>
      </c>
      <c r="F442" t="inlineStr">
        <is>
          <t>2026-04-01</t>
        </is>
      </c>
      <c r="G442" t="inlineStr">
        <is>
          <t xml:space="preserve"> - Family Finca</t>
        </is>
      </c>
      <c r="H442">
        <f>HYPERLINK("https://booking.roadsurfer.com/es/rally/pick?pickup_date=2026-03-25&amp;return_date=2026-04-01&amp;currency=EUR&amp;startStation=3&amp;endStation=60",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Malmö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Beach Hostel</t>
        </is>
      </c>
      <c r="H443">
        <f>HYPERLINK("https://booking.roadsurfer.com/es/rally/pick?pickup_date=2026-03-17&amp;return_date=2026-03-24&amp;currency=EUR&amp;startStation=3&amp;endStation=60",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Malmö</t>
        </is>
      </c>
      <c r="E444" t="inlineStr">
        <is>
          <t>2026-03-30</t>
        </is>
      </c>
      <c r="F444" t="inlineStr">
        <is>
          <t>2026-04-06</t>
        </is>
      </c>
      <c r="G444" t="inlineStr">
        <is>
          <t xml:space="preserve"> - No hay coche</t>
        </is>
      </c>
      <c r="H444">
        <f>HYPERLINK("https://booking.roadsurfer.com/es/rally/pick?pickup_date=2026-03-30&amp;return_date=2026-04-06&amp;currency=EUR&amp;startStation=3&amp;endStation=60",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2026-03-14</t>
        </is>
      </c>
      <c r="F445" t="inlineStr">
        <is>
          <t>2026-03-21</t>
        </is>
      </c>
      <c r="G445" t="inlineStr">
        <is>
          <t xml:space="preserve"> - Surfer Suite</t>
        </is>
      </c>
      <c r="H445">
        <f>HYPERLINK("https://booking.roadsurfer.com/es/rally/pick?pickup_date=2026-03-14&amp;return_date=2026-03-21&amp;currency=EUR&amp;startStation=3&amp;endStation=77",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Gotemburgo</t>
        </is>
      </c>
      <c r="E446" t="inlineStr">
        <is>
          <t>2026-03-27</t>
        </is>
      </c>
      <c r="F446" t="inlineStr">
        <is>
          <t>2026-04-03</t>
        </is>
      </c>
      <c r="G446" t="inlineStr">
        <is>
          <t xml:space="preserve"> - No hay coche</t>
        </is>
      </c>
      <c r="H446">
        <f>HYPERLINK("https://booking.roadsurfer.com/es/rally/pick?pickup_date=2026-03-27&amp;return_date=2026-04-03&amp;currency=EUR&amp;startStation=3&amp;endStation=77",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2026-03-26</t>
        </is>
      </c>
      <c r="F447" t="inlineStr">
        <is>
          <t>2026-04-02</t>
        </is>
      </c>
      <c r="G447" t="inlineStr">
        <is>
          <t xml:space="preserve"> - Beach Hostel</t>
        </is>
      </c>
      <c r="H447">
        <f>HYPERLINK("https://booking.roadsurfer.com/es/rally/pick?pickup_date=2026-03-26&amp;return_date=2026-04-02&amp;currency=EUR&amp;startStation=3&amp;endStation=77",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2026-03-23</t>
        </is>
      </c>
      <c r="F448" t="inlineStr">
        <is>
          <t>2026-03-30</t>
        </is>
      </c>
      <c r="G448" t="inlineStr">
        <is>
          <t xml:space="preserve"> - Surfer Suite</t>
        </is>
      </c>
      <c r="H448">
        <f>HYPERLINK("https://booking.roadsurfer.com/es/rally/pick?pickup_date=2026-03-23&amp;return_date=2026-03-30&amp;currency=EUR&amp;startStation=3&amp;endStation=77",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2026-03-11</t>
        </is>
      </c>
      <c r="F449" t="inlineStr">
        <is>
          <t>2026-03-18</t>
        </is>
      </c>
      <c r="G449" t="inlineStr">
        <is>
          <t xml:space="preserve"> - Surfer Suite</t>
        </is>
      </c>
      <c r="H449">
        <f>HYPERLINK("https://booking.roadsurfer.com/es/rally/pick?pickup_date=2026-03-11&amp;return_date=2026-03-18&amp;currency=EUR&amp;startStation=3&amp;endStation=77",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Italia</t>
        </is>
      </c>
      <c r="D450" t="inlineStr">
        <is>
          <t>Bérgamo</t>
        </is>
      </c>
      <c r="E450" t="inlineStr">
        <is>
          <t>2026-03-30</t>
        </is>
      </c>
      <c r="F450" t="inlineStr">
        <is>
          <t>2026-04-06</t>
        </is>
      </c>
      <c r="G450" t="inlineStr">
        <is>
          <t xml:space="preserve"> - No hay coche</t>
        </is>
      </c>
      <c r="H450">
        <f>HYPERLINK("https://booking.roadsurfer.com/es/rally/pick?pickup_date=2026-03-30&amp;return_date=2026-04-06&amp;currency=EUR&amp;startStation=3&amp;endStation=94",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Italia</t>
        </is>
      </c>
      <c r="D451" t="inlineStr">
        <is>
          <t>Bérgamo</t>
        </is>
      </c>
      <c r="E451" t="inlineStr">
        <is>
          <t>2026-03-18</t>
        </is>
      </c>
      <c r="F451" t="inlineStr">
        <is>
          <t>2026-03-25</t>
        </is>
      </c>
      <c r="G451" t="inlineStr">
        <is>
          <t xml:space="preserve"> - Road House</t>
        </is>
      </c>
      <c r="H451">
        <f>HYPERLINK("https://booking.roadsurfer.com/es/rally/pick?pickup_date=2026-03-18&amp;return_date=2026-03-25&amp;currency=EUR&amp;startStation=3&amp;endStation=94",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Francia</t>
        </is>
      </c>
      <c r="D452" t="inlineStr">
        <is>
          <t>París Sur (Orly)</t>
        </is>
      </c>
      <c r="E452" t="inlineStr">
        <is>
          <t>2026-03-12</t>
        </is>
      </c>
      <c r="F452" t="inlineStr">
        <is>
          <t>2026-03-19</t>
        </is>
      </c>
      <c r="G452" t="inlineStr">
        <is>
          <t xml:space="preserve"> - Family Finca</t>
        </is>
      </c>
      <c r="H452">
        <f>HYPERLINK("https://booking.roadsurfer.com/es/rally/pick?pickup_date=2026-03-12&amp;return_date=2026-03-19&amp;currency=EUR&amp;startStation=3&amp;endStation=12",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2026-03-20</t>
        </is>
      </c>
      <c r="F453" t="inlineStr">
        <is>
          <t>2026-03-27</t>
        </is>
      </c>
      <c r="G453" t="inlineStr">
        <is>
          <t xml:space="preserve"> - Surfer Suite</t>
        </is>
      </c>
      <c r="H453">
        <f>HYPERLINK("https://booking.roadsurfer.com/es/rally/pick?pickup_date=2026-03-20&amp;return_date=2026-03-27&amp;currency=EUR&amp;startStation=3&amp;endStation=59",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2026-03-30</t>
        </is>
      </c>
      <c r="F454" t="inlineStr">
        <is>
          <t>2026-04-06</t>
        </is>
      </c>
      <c r="G454" t="inlineStr">
        <is>
          <t xml:space="preserve"> - No hay coche</t>
        </is>
      </c>
      <c r="H454">
        <f>HYPERLINK("https://booking.roadsurfer.com/es/rally/pick?pickup_date=2026-03-30&amp;return_date=2026-04-06&amp;currency=EUR&amp;startStation=3&amp;endStation=59",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2026-03-19</t>
        </is>
      </c>
      <c r="F455" t="inlineStr">
        <is>
          <t>2026-03-26</t>
        </is>
      </c>
      <c r="G455" t="inlineStr">
        <is>
          <t xml:space="preserve"> - Family Finca</t>
        </is>
      </c>
      <c r="H455">
        <f>HYPERLINK("https://booking.roadsurfer.com/es/rally/pick?pickup_date=2026-03-19&amp;return_date=2026-03-26&amp;currency=EUR&amp;startStation=3&amp;endStation=59",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2026-04-02</t>
        </is>
      </c>
      <c r="F456" t="inlineStr">
        <is>
          <t>2026-04-08</t>
        </is>
      </c>
      <c r="G456" t="inlineStr">
        <is>
          <t xml:space="preserve"> - Beach Hostel</t>
        </is>
      </c>
      <c r="H456">
        <f>HYPERLINK("https://booking.roadsurfer.com/es/rally/pick?pickup_date=2026-04-02&amp;return_date=2026-04-08&amp;currency=EUR&amp;startStation=3&amp;endStation=59",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Bélgica</t>
        </is>
      </c>
      <c r="D457" t="inlineStr">
        <is>
          <t>Bruselas</t>
        </is>
      </c>
      <c r="E457" t="inlineStr">
        <is>
          <t>2026-03-27</t>
        </is>
      </c>
      <c r="F457" t="inlineStr">
        <is>
          <t>2026-04-03</t>
        </is>
      </c>
      <c r="G457" t="inlineStr">
        <is>
          <t xml:space="preserve"> - No hay coche</t>
        </is>
      </c>
      <c r="H457">
        <f>HYPERLINK("https://booking.roadsurfer.com/es/rally/pick?pickup_date=2026-03-27&amp;return_date=2026-04-03&amp;currency=EUR&amp;startStation=3&amp;endStation=42",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Bélgica</t>
        </is>
      </c>
      <c r="D458" t="inlineStr">
        <is>
          <t>Bruselas</t>
        </is>
      </c>
      <c r="E458" t="inlineStr">
        <is>
          <t>2026-03-21</t>
        </is>
      </c>
      <c r="F458" t="inlineStr">
        <is>
          <t>2026-03-28</t>
        </is>
      </c>
      <c r="G458" t="inlineStr">
        <is>
          <t xml:space="preserve"> - Road House</t>
        </is>
      </c>
      <c r="H458">
        <f>HYPERLINK("https://booking.roadsurfer.com/es/rally/pick?pickup_date=2026-03-21&amp;return_date=2026-03-28&amp;currency=EUR&amp;startStation=3&amp;endStation=42",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Austria</t>
        </is>
      </c>
      <c r="D459" t="inlineStr">
        <is>
          <t>Graz</t>
        </is>
      </c>
      <c r="E459" t="inlineStr">
        <is>
          <t>2026-03-06</t>
        </is>
      </c>
      <c r="F459" t="inlineStr">
        <is>
          <t>2026-03-13</t>
        </is>
      </c>
      <c r="G459" t="inlineStr">
        <is>
          <t xml:space="preserve"> - ROAD HOUSE</t>
        </is>
      </c>
      <c r="H459">
        <f>HYPERLINK("https://booking.roadsurfer.com/es/rally/pick?pickup_date=2026-03-06&amp;return_date=2026-03-13&amp;currency=EUR&amp;startStation=3&amp;endStation=37",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Francia</t>
        </is>
      </c>
      <c r="D460" t="inlineStr">
        <is>
          <t>París Aeropuerto CDG</t>
        </is>
      </c>
      <c r="E460" t="inlineStr">
        <is>
          <t>2026-04-11</t>
        </is>
      </c>
      <c r="F460" t="inlineStr">
        <is>
          <t>2026-04-17</t>
        </is>
      </c>
      <c r="G460" t="inlineStr">
        <is>
          <t xml:space="preserve"> - FAMILY FINCA</t>
        </is>
      </c>
      <c r="H460">
        <f>HYPERLINK("https://booking.roadsurfer.com/es/rally/pick?pickup_date=2026-04-11&amp;return_date=2026-04-17&amp;currency=EUR&amp;startStation=3&amp;endStation=48", "Clic para verlo en la web de RoadSurfer")</f>
        <v/>
      </c>
    </row>
    <row r="461">
      <c r="A461" t="inlineStr">
        <is>
          <t>Alemania</t>
        </is>
      </c>
      <c r="B461" t="inlineStr">
        <is>
          <t>Hannover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2026-03-05</t>
        </is>
      </c>
      <c r="F461" t="inlineStr">
        <is>
          <t>2026-03-12</t>
        </is>
      </c>
      <c r="G461" t="inlineStr">
        <is>
          <t xml:space="preserve"> - Surfer Suite</t>
        </is>
      </c>
      <c r="H461">
        <f>HYPERLINK("https://booking.roadsurfer.com/es/rally/pick?pickup_date=2026-03-05&amp;return_date=2026-03-12&amp;currency=EUR&amp;startStation=7&amp;endStation=33", "Clic para verlo en la web de RoadSurfer")</f>
        <v/>
      </c>
    </row>
    <row r="462">
      <c r="A462" t="inlineStr">
        <is>
          <t>Alemania</t>
        </is>
      </c>
      <c r="B462" t="inlineStr">
        <is>
          <t>Hannover</t>
        </is>
      </c>
      <c r="C462" t="inlineStr">
        <is>
          <t>Alemania</t>
        </is>
      </c>
      <c r="D462" t="inlineStr">
        <is>
          <t>Braunschweig</t>
        </is>
      </c>
      <c r="E462" t="inlineStr">
        <is>
          <t>2026-04-20</t>
        </is>
      </c>
      <c r="F462" t="inlineStr">
        <is>
          <t>2026-04-27</t>
        </is>
      </c>
      <c r="G462" t="inlineStr">
        <is>
          <t xml:space="preserve"> - No hay coche</t>
        </is>
      </c>
      <c r="H462">
        <f>HYPERLINK("https://booking.roadsurfer.com/es/rally/pick?pickup_date=2026-04-20&amp;return_date=2026-04-27&amp;currency=EUR&amp;startStation=7&amp;endStation=128", "Clic para verlo en la web de RoadSurfer")</f>
        <v/>
      </c>
    </row>
    <row r="463">
      <c r="A463" t="inlineStr">
        <is>
          <t>Alemania</t>
        </is>
      </c>
      <c r="B463" t="inlineStr">
        <is>
          <t>Hannover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2026-03-13</t>
        </is>
      </c>
      <c r="F463" t="inlineStr">
        <is>
          <t>2026-03-20</t>
        </is>
      </c>
      <c r="G463" t="inlineStr">
        <is>
          <t xml:space="preserve"> - Surfer Suite</t>
        </is>
      </c>
      <c r="H463">
        <f>HYPERLINK("https://booking.roadsurfer.com/es/rally/pick?pickup_date=2026-03-13&amp;return_date=2026-03-20&amp;currency=EUR&amp;startStation=7&amp;endStation=60", "Clic para verlo en la web de RoadSurfer")</f>
        <v/>
      </c>
    </row>
    <row r="464">
      <c r="A464" t="inlineStr">
        <is>
          <t>Alemania</t>
        </is>
      </c>
      <c r="B464" t="inlineStr">
        <is>
          <t>Hannover</t>
        </is>
      </c>
      <c r="C464" t="inlineStr">
        <is>
          <t>España</t>
        </is>
      </c>
      <c r="D464" t="inlineStr">
        <is>
          <t>Madrid</t>
        </is>
      </c>
      <c r="E464" t="inlineStr">
        <is>
          <t>2026-03-07</t>
        </is>
      </c>
      <c r="F464" t="inlineStr">
        <is>
          <t>2026-03-14</t>
        </is>
      </c>
      <c r="G464" t="inlineStr">
        <is>
          <t xml:space="preserve"> - Road House</t>
        </is>
      </c>
      <c r="H464">
        <f>HYPERLINK("https://booking.roadsurfer.com/es/rally/pick?pickup_date=2026-03-07&amp;return_date=2026-03-14&amp;currency=EUR&amp;startStation=7&amp;endStation=20",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España</t>
        </is>
      </c>
      <c r="D465" t="inlineStr">
        <is>
          <t>Málaga</t>
        </is>
      </c>
      <c r="E465" t="inlineStr">
        <is>
          <t>2026-03-18</t>
        </is>
      </c>
      <c r="F465" t="inlineStr">
        <is>
          <t>2026-03-25</t>
        </is>
      </c>
      <c r="G465" t="inlineStr">
        <is>
          <t xml:space="preserve"> - Camper Castle</t>
        </is>
      </c>
      <c r="H465">
        <f>HYPERLINK("https://booking.roadsurfer.com/es/rally/pick?pickup_date=2026-03-18&amp;return_date=2026-03-25&amp;currency=EUR&amp;startStation=7&amp;endStation=21",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Couple Cottage</t>
        </is>
      </c>
      <c r="H466">
        <f>HYPERLINK("https://booking.roadsurfer.com/es/rally/pick?pickup_date=2026-03-20&amp;return_date=2026-03-27&amp;currency=EUR&amp;startStation=7&amp;endStation=59",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Couple Cottage</t>
        </is>
      </c>
      <c r="H467">
        <f>HYPERLINK("https://booking.roadsurfer.com/es/rally/pick?pickup_date=2026-03-16&amp;return_date=2026-03-23&amp;currency=EUR&amp;startStation=7&amp;endStation=59", "Clic para verlo en la web de RoadSurfer")</f>
        <v/>
      </c>
    </row>
    <row r="468">
      <c r="A468" t="inlineStr">
        <is>
          <t>Alemania</t>
        </is>
      </c>
      <c r="B468" t="inlineStr">
        <is>
          <t>Heidelberg</t>
        </is>
      </c>
      <c r="C468" t="inlineStr">
        <is>
          <t>Francia</t>
        </is>
      </c>
      <c r="D468" t="inlineStr">
        <is>
          <t>Burdeos</t>
        </is>
      </c>
      <c r="E468" t="inlineStr">
        <is>
          <t>2026-03-02</t>
        </is>
      </c>
      <c r="F468" t="inlineStr">
        <is>
          <t>2026-03-09</t>
        </is>
      </c>
      <c r="G468" t="inlineStr">
        <is>
          <t xml:space="preserve"> - ROAD HOUSE</t>
        </is>
      </c>
      <c r="H468">
        <f>HYPERLINK("https://booking.roadsurfer.com/es/rally/pick?pickup_date=2026-03-02&amp;return_date=2026-03-09&amp;currency=EUR&amp;startStation=79&amp;endStation=13", "Clic para verlo en la web de RoadSurfer")</f>
        <v/>
      </c>
    </row>
    <row r="469">
      <c r="A469" t="inlineStr">
        <is>
          <t>Alemania</t>
        </is>
      </c>
      <c r="B469" t="inlineStr">
        <is>
          <t>Heidelberg</t>
        </is>
      </c>
      <c r="C469" t="inlineStr">
        <is>
          <t>Francia</t>
        </is>
      </c>
      <c r="D469" t="inlineStr">
        <is>
          <t>Lyon</t>
        </is>
      </c>
      <c r="E469" t="inlineStr">
        <is>
          <t>2026-03-09</t>
        </is>
      </c>
      <c r="F469" t="inlineStr">
        <is>
          <t>2026-03-16</t>
        </is>
      </c>
      <c r="G469" t="inlineStr">
        <is>
          <t xml:space="preserve"> - Family Finca</t>
        </is>
      </c>
      <c r="H469">
        <f>HYPERLINK("https://booking.roadsurfer.com/es/rally/pick?pickup_date=2026-03-09&amp;return_date=2026-03-16&amp;currency=EUR&amp;startStation=79&amp;endStation=15", "Clic para verlo en la web de RoadSurfer")</f>
        <v/>
      </c>
    </row>
    <row r="470">
      <c r="A470" t="inlineStr">
        <is>
          <t>Alemania</t>
        </is>
      </c>
      <c r="B470" t="inlineStr">
        <is>
          <t>Heidelberg</t>
        </is>
      </c>
      <c r="C470" t="inlineStr">
        <is>
          <t>Austria</t>
        </is>
      </c>
      <c r="D470" t="inlineStr">
        <is>
          <t>Viena</t>
        </is>
      </c>
      <c r="E470" t="inlineStr">
        <is>
          <t>2026-03-04</t>
        </is>
      </c>
      <c r="F470" t="inlineStr">
        <is>
          <t>2026-03-11</t>
        </is>
      </c>
      <c r="G470" t="inlineStr">
        <is>
          <t xml:space="preserve"> - Camper Castle</t>
        </is>
      </c>
      <c r="H470">
        <f>HYPERLINK("https://booking.roadsurfer.com/es/rally/pick?pickup_date=2026-03-04&amp;return_date=2026-03-11&amp;currency=EUR&amp;startStation=79&amp;endStation=36", "Clic para verlo en la web de RoadSurfer")</f>
        <v/>
      </c>
    </row>
    <row r="471">
      <c r="A471" t="inlineStr">
        <is>
          <t>Austria</t>
        </is>
      </c>
      <c r="B471" t="inlineStr">
        <is>
          <t>Innsbruck-Wiesing</t>
        </is>
      </c>
      <c r="C471" t="inlineStr">
        <is>
          <t>Austria</t>
        </is>
      </c>
      <c r="D471" t="inlineStr">
        <is>
          <t>Viena</t>
        </is>
      </c>
      <c r="E471" t="inlineStr">
        <is>
          <t>2026-03-02</t>
        </is>
      </c>
      <c r="F471" t="inlineStr">
        <is>
          <t>2026-03-09</t>
        </is>
      </c>
      <c r="G471" t="inlineStr">
        <is>
          <t xml:space="preserve"> - SURFER SUITE - BEACH HOSTEL</t>
        </is>
      </c>
      <c r="H471">
        <f>HYPERLINK("https://booking.roadsurfer.com/es/rally/pick?pickup_date=2026-03-02&amp;return_date=2026-03-09&amp;currency=EUR&amp;startStation=46&amp;endStation=36", "Clic para verlo en la web de RoadSurfer")</f>
        <v/>
      </c>
    </row>
    <row r="472">
      <c r="A472" t="inlineStr">
        <is>
          <t>Austria</t>
        </is>
      </c>
      <c r="B472" t="inlineStr">
        <is>
          <t>Innsbruck-Wiesing</t>
        </is>
      </c>
      <c r="C472" t="inlineStr">
        <is>
          <t>Austria</t>
        </is>
      </c>
      <c r="D472" t="inlineStr">
        <is>
          <t>Viena</t>
        </is>
      </c>
      <c r="E472" t="inlineStr">
        <is>
          <t>2026-03-05</t>
        </is>
      </c>
      <c r="F472" t="inlineStr">
        <is>
          <t>2026-03-12</t>
        </is>
      </c>
      <c r="G472" t="inlineStr">
        <is>
          <t xml:space="preserve"> - Road House</t>
        </is>
      </c>
      <c r="H472">
        <f>HYPERLINK("https://booking.roadsurfer.com/es/rally/pick?pickup_date=2026-03-05&amp;return_date=2026-03-12&amp;currency=EUR&amp;startStation=46&amp;endStation=36", "Clic para verlo en la web de RoadSurfer")</f>
        <v/>
      </c>
    </row>
    <row r="473">
      <c r="A473" t="inlineStr">
        <is>
          <t>Austria</t>
        </is>
      </c>
      <c r="B473" t="inlineStr">
        <is>
          <t>Innsbruck-Wiesing</t>
        </is>
      </c>
      <c r="C473" t="inlineStr">
        <is>
          <t>Austria</t>
        </is>
      </c>
      <c r="D473" t="inlineStr">
        <is>
          <t>Viena Sur</t>
        </is>
      </c>
      <c r="E473" t="inlineStr">
        <is>
          <t>2026-03-07</t>
        </is>
      </c>
      <c r="F473" t="inlineStr">
        <is>
          <t>2026-03-14</t>
        </is>
      </c>
      <c r="G473" t="inlineStr">
        <is>
          <t xml:space="preserve"> - No hay coche</t>
        </is>
      </c>
      <c r="H473">
        <f>HYPERLINK("https://booking.roadsurfer.com/es/rally/pick?pickup_date=2026-03-07&amp;return_date=2026-03-14&amp;currency=EUR&amp;startStation=46&amp;endStation=45", "Clic para verlo en la web de RoadSurfer")</f>
        <v/>
      </c>
    </row>
    <row r="474">
      <c r="A474" t="inlineStr">
        <is>
          <t>Austria</t>
        </is>
      </c>
      <c r="B474" t="inlineStr">
        <is>
          <t>Innsbruck-Wiesing</t>
        </is>
      </c>
      <c r="C474" t="inlineStr">
        <is>
          <t>Austria</t>
        </is>
      </c>
      <c r="D474" t="inlineStr">
        <is>
          <t>Viena Sur</t>
        </is>
      </c>
      <c r="E474" t="inlineStr">
        <is>
          <t>2026-03-05</t>
        </is>
      </c>
      <c r="F474" t="inlineStr">
        <is>
          <t>2026-03-12</t>
        </is>
      </c>
      <c r="G474" t="inlineStr">
        <is>
          <t xml:space="preserve"> - Family Finca</t>
        </is>
      </c>
      <c r="H474">
        <f>HYPERLINK("https://booking.roadsurfer.com/es/rally/pick?pickup_date=2026-03-05&amp;return_date=2026-03-12&amp;currency=EUR&amp;startStation=46&amp;endStation=45", "Clic para verlo en la web de RoadSurfer")</f>
        <v/>
      </c>
    </row>
    <row r="475">
      <c r="A475" t="inlineStr">
        <is>
          <t>Austria</t>
        </is>
      </c>
      <c r="B475" t="inlineStr">
        <is>
          <t>Innsbruck-Wiesing</t>
        </is>
      </c>
      <c r="C475" t="inlineStr">
        <is>
          <t>Alemania</t>
        </is>
      </c>
      <c r="D475" t="inlineStr">
        <is>
          <t>Aquisgrán</t>
        </is>
      </c>
      <c r="E475" t="inlineStr">
        <is>
          <t>2026-03-02</t>
        </is>
      </c>
      <c r="F475" t="inlineStr">
        <is>
          <t>2026-03-09</t>
        </is>
      </c>
      <c r="G475" t="inlineStr">
        <is>
          <t xml:space="preserve"> - Camper Cabin</t>
        </is>
      </c>
      <c r="H475">
        <f>HYPERLINK("https://booking.roadsurfer.com/es/rally/pick?pickup_date=2026-03-02&amp;return_date=2026-03-09&amp;currency=EUR&amp;startStation=46&amp;endStation=114", "Clic para verlo en la web de RoadSurfer")</f>
        <v/>
      </c>
    </row>
    <row r="476">
      <c r="A476" t="inlineStr">
        <is>
          <t>Alemania</t>
        </is>
      </c>
      <c r="B476" t="inlineStr">
        <is>
          <t>Karlsruhe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2026-03-07</t>
        </is>
      </c>
      <c r="F476" t="inlineStr">
        <is>
          <t>2026-03-14</t>
        </is>
      </c>
      <c r="G476" t="inlineStr">
        <is>
          <t xml:space="preserve"> - Surfer Suite</t>
        </is>
      </c>
      <c r="H476">
        <f>HYPERLINK("https://booking.roadsurfer.com/es/rally/pick?pickup_date=2026-03-07&amp;return_date=2026-03-14&amp;currency=EUR&amp;startStation=110&amp;endStation=15", "Clic para verlo en la web de RoadSurfer")</f>
        <v/>
      </c>
    </row>
    <row r="477">
      <c r="A477" t="inlineStr">
        <is>
          <t>Alemania</t>
        </is>
      </c>
      <c r="B477" t="inlineStr">
        <is>
          <t>Karlsruhe</t>
        </is>
      </c>
      <c r="C477" t="inlineStr">
        <is>
          <t>Italia</t>
        </is>
      </c>
      <c r="D477" t="inlineStr">
        <is>
          <t>Venecia</t>
        </is>
      </c>
      <c r="E477" t="inlineStr">
        <is>
          <t>2026-03-20</t>
        </is>
      </c>
      <c r="F477" t="inlineStr">
        <is>
          <t>2026-03-27</t>
        </is>
      </c>
      <c r="G477" t="inlineStr">
        <is>
          <t xml:space="preserve"> - Camper Cabin</t>
        </is>
      </c>
      <c r="H477">
        <f>HYPERLINK("https://booking.roadsurfer.com/es/rally/pick?pickup_date=2026-03-20&amp;return_date=2026-03-27&amp;currency=EUR&amp;startStation=110&amp;endStation=78", "Clic para verlo en la web de RoadSurfer")</f>
        <v/>
      </c>
    </row>
    <row r="478">
      <c r="A478" t="inlineStr">
        <is>
          <t>Alemania</t>
        </is>
      </c>
      <c r="B478" t="inlineStr">
        <is>
          <t>Karlsruhe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2026-03-06</t>
        </is>
      </c>
      <c r="F478" t="inlineStr">
        <is>
          <t>2026-03-13</t>
        </is>
      </c>
      <c r="G478" t="inlineStr">
        <is>
          <t xml:space="preserve"> - Road House</t>
        </is>
      </c>
      <c r="H478">
        <f>HYPERLINK("https://booking.roadsurfer.com/es/rally/pick?pickup_date=2026-03-06&amp;return_date=2026-03-13&amp;currency=EUR&amp;startStation=110&amp;endStation=30", "Clic para verlo en la web de RoadSurfer")</f>
        <v/>
      </c>
    </row>
    <row r="479">
      <c r="A479" t="inlineStr">
        <is>
          <t>Alemania</t>
        </is>
      </c>
      <c r="B479" t="inlineStr">
        <is>
          <t>Kassel</t>
        </is>
      </c>
      <c r="C479" t="inlineStr">
        <is>
          <t>Suecia</t>
        </is>
      </c>
      <c r="D479" t="inlineStr">
        <is>
          <t>Gotemburgo</t>
        </is>
      </c>
      <c r="E479" t="inlineStr">
        <is>
          <t>2026-03-02</t>
        </is>
      </c>
      <c r="F479" t="inlineStr">
        <is>
          <t>2026-03-09</t>
        </is>
      </c>
      <c r="G479" t="inlineStr">
        <is>
          <t xml:space="preserve"> - Surfer Suite</t>
        </is>
      </c>
      <c r="H479">
        <f>HYPERLINK("https://booking.roadsurfer.com/es/rally/pick?pickup_date=2026-03-02&amp;return_date=2026-03-09&amp;currency=EUR&amp;startStation=92&amp;endStation=77", "Clic para verlo en la web de RoadSurfer")</f>
        <v/>
      </c>
    </row>
    <row r="480">
      <c r="A480" t="inlineStr">
        <is>
          <t>Alemania</t>
        </is>
      </c>
      <c r="B480" t="inlineStr">
        <is>
          <t>Kassel</t>
        </is>
      </c>
      <c r="C480" t="inlineStr">
        <is>
          <t>Alemania</t>
        </is>
      </c>
      <c r="D480" t="inlineStr">
        <is>
          <t>Heidelberg</t>
        </is>
      </c>
      <c r="E480" t="inlineStr">
        <is>
          <t>2026-03-09</t>
        </is>
      </c>
      <c r="F480" t="inlineStr">
        <is>
          <t>2026-03-16</t>
        </is>
      </c>
      <c r="G480" t="inlineStr">
        <is>
          <t xml:space="preserve"> - Surfer Suite</t>
        </is>
      </c>
      <c r="H480">
        <f>HYPERLINK("https://booking.roadsurfer.com/es/rally/pick?pickup_date=2026-03-09&amp;return_date=2026-03-16&amp;currency=EUR&amp;startStation=92&amp;endStation=79", "Clic para verlo en la web de RoadSurfer")</f>
        <v/>
      </c>
    </row>
    <row r="481">
      <c r="A481" t="inlineStr">
        <is>
          <t>Alemania</t>
        </is>
      </c>
      <c r="B481" t="inlineStr">
        <is>
          <t>Kassel</t>
        </is>
      </c>
      <c r="C481" t="inlineStr">
        <is>
          <t>Alemania</t>
        </is>
      </c>
      <c r="D481" t="inlineStr">
        <is>
          <t>Heidelberg</t>
        </is>
      </c>
      <c r="E481" t="inlineStr">
        <is>
          <t>2026-03-12</t>
        </is>
      </c>
      <c r="F481" t="inlineStr">
        <is>
          <t>2026-03-19</t>
        </is>
      </c>
      <c r="G481" t="inlineStr">
        <is>
          <t xml:space="preserve"> - Surfer Suite</t>
        </is>
      </c>
      <c r="H481">
        <f>HYPERLINK("https://booking.roadsurfer.com/es/rally/pick?pickup_date=2026-03-12&amp;return_date=2026-03-19&amp;currency=EUR&amp;startStation=92&amp;endStation=79", "Clic para verlo en la web de RoadSurfer")</f>
        <v/>
      </c>
    </row>
    <row r="482">
      <c r="A482" t="inlineStr">
        <is>
          <t>Alemania</t>
        </is>
      </c>
      <c r="B482" t="inlineStr">
        <is>
          <t>Kassel</t>
        </is>
      </c>
      <c r="C482" t="inlineStr">
        <is>
          <t>Alemania</t>
        </is>
      </c>
      <c r="D482" t="inlineStr">
        <is>
          <t>Ulm</t>
        </is>
      </c>
      <c r="E482" t="inlineStr">
        <is>
          <t>2026-03-16</t>
        </is>
      </c>
      <c r="F482" t="inlineStr">
        <is>
          <t>2026-03-23</t>
        </is>
      </c>
      <c r="G482" t="inlineStr">
        <is>
          <t xml:space="preserve"> - Surfer Suite</t>
        </is>
      </c>
      <c r="H482">
        <f>HYPERLINK("https://booking.roadsurfer.com/es/rally/pick?pickup_date=2026-03-16&amp;return_date=2026-03-23&amp;currency=EUR&amp;startStation=92&amp;endStation=112", "Clic para verlo en la web de RoadSurfer")</f>
        <v/>
      </c>
    </row>
    <row r="483">
      <c r="A483" t="inlineStr">
        <is>
          <t>EE.UU.</t>
        </is>
      </c>
      <c r="B483" t="inlineStr">
        <is>
          <t>Las Vegas</t>
        </is>
      </c>
      <c r="C483" t="inlineStr">
        <is>
          <t>EE.UU.</t>
        </is>
      </c>
      <c r="D483" t="inlineStr">
        <is>
          <t>Seattle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Family Freedom</t>
        </is>
      </c>
      <c r="H483">
        <f>HYPERLINK("https://booking.roadsurfer.com/es/rally/pick?pickup_date=2026-03-20&amp;return_date=2026-03-27&amp;currency=EUR&amp;startStation=76&amp;endStation=107", "Clic para verlo en la web de RoadSurfer")</f>
        <v/>
      </c>
    </row>
    <row r="484">
      <c r="A484" t="inlineStr">
        <is>
          <t>EE.UU.</t>
        </is>
      </c>
      <c r="B484" t="inlineStr">
        <is>
          <t>Las Vegas</t>
        </is>
      </c>
      <c r="C484" t="inlineStr">
        <is>
          <t>EE.UU.</t>
        </is>
      </c>
      <c r="D484" t="inlineStr">
        <is>
          <t>Seattle</t>
        </is>
      </c>
      <c r="E484" t="inlineStr">
        <is>
          <t>2026-03-27</t>
        </is>
      </c>
      <c r="F484" t="inlineStr">
        <is>
          <t>2026-04-03</t>
        </is>
      </c>
      <c r="G484" t="inlineStr">
        <is>
          <t xml:space="preserve"> - Family Freedom</t>
        </is>
      </c>
      <c r="H484">
        <f>HYPERLINK("https://booking.roadsurfer.com/es/rally/pick?pickup_date=2026-03-27&amp;return_date=2026-04-03&amp;currency=EUR&amp;startStation=76&amp;endStation=107", "Clic para verlo en la web de RoadSurfer")</f>
        <v/>
      </c>
    </row>
    <row r="485">
      <c r="A485" t="inlineStr">
        <is>
          <t>EE.UU.</t>
        </is>
      </c>
      <c r="B485" t="inlineStr">
        <is>
          <t>Las Vegas</t>
        </is>
      </c>
      <c r="C485" t="inlineStr">
        <is>
          <t>EE.UU.</t>
        </is>
      </c>
      <c r="D485" t="inlineStr">
        <is>
          <t>Seattle</t>
        </is>
      </c>
      <c r="E485" t="inlineStr">
        <is>
          <t>2026-03-25</t>
        </is>
      </c>
      <c r="F485" t="inlineStr">
        <is>
          <t>2026-04-01</t>
        </is>
      </c>
      <c r="G485" t="inlineStr">
        <is>
          <t xml:space="preserve"> - Liberty Lodge</t>
        </is>
      </c>
      <c r="H485">
        <f>HYPERLINK("https://booking.roadsurfer.com/es/rally/pick?pickup_date=2026-03-25&amp;return_date=2026-04-01&amp;currency=EUR&amp;startStation=76&amp;endStation=107",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Países Bajos</t>
        </is>
      </c>
      <c r="D486" t="inlineStr">
        <is>
          <t>Ámsterdam</t>
        </is>
      </c>
      <c r="E486" t="inlineStr">
        <is>
          <t>2026-03-07</t>
        </is>
      </c>
      <c r="F486" t="inlineStr">
        <is>
          <t>2026-03-14</t>
        </is>
      </c>
      <c r="G486" t="inlineStr">
        <is>
          <t xml:space="preserve"> - No hay coche</t>
        </is>
      </c>
      <c r="H486">
        <f>HYPERLINK("https://booking.roadsurfer.com/es/rally/pick?pickup_date=2026-03-07&amp;return_date=2026-03-14&amp;currency=EUR&amp;startStation=8&amp;endStation=32",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Países Bajos</t>
        </is>
      </c>
      <c r="D487" t="inlineStr">
        <is>
          <t>Ámsterdam</t>
        </is>
      </c>
      <c r="E487" t="inlineStr">
        <is>
          <t>2026-03-19</t>
        </is>
      </c>
      <c r="F487" t="inlineStr">
        <is>
          <t>2026-03-26</t>
        </is>
      </c>
      <c r="G487" t="inlineStr">
        <is>
          <t xml:space="preserve"> - Camper Cabin Deluxe</t>
        </is>
      </c>
      <c r="H487">
        <f>HYPERLINK("https://booking.roadsurfer.com/es/rally/pick?pickup_date=2026-03-19&amp;return_date=2026-03-26&amp;currency=EUR&amp;startStation=8&amp;endStation=32",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Países Bajos</t>
        </is>
      </c>
      <c r="D488" t="inlineStr">
        <is>
          <t>Róterdam</t>
        </is>
      </c>
      <c r="E488" t="inlineStr">
        <is>
          <t>2026-03-03</t>
        </is>
      </c>
      <c r="F488" t="inlineStr">
        <is>
          <t>2026-03-10</t>
        </is>
      </c>
      <c r="G488" t="inlineStr">
        <is>
          <t xml:space="preserve"> - Road House</t>
        </is>
      </c>
      <c r="H488">
        <f>HYPERLINK("https://booking.roadsurfer.com/es/rally/pick?pickup_date=2026-03-03&amp;return_date=2026-03-10&amp;currency=EUR&amp;startStation=8&amp;endStation=33",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Países Bajos</t>
        </is>
      </c>
      <c r="D489" t="inlineStr">
        <is>
          <t>Róterdam</t>
        </is>
      </c>
      <c r="E489" t="inlineStr">
        <is>
          <t>2026-03-05</t>
        </is>
      </c>
      <c r="F489" t="inlineStr">
        <is>
          <t>2026-03-12</t>
        </is>
      </c>
      <c r="G489" t="inlineStr">
        <is>
          <t xml:space="preserve"> - Road House</t>
        </is>
      </c>
      <c r="H489">
        <f>HYPERLINK("https://booking.roadsurfer.com/es/rally/pick?pickup_date=2026-03-05&amp;return_date=2026-03-12&amp;currency=EUR&amp;startStation=8&amp;endStation=33",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Países Bajos</t>
        </is>
      </c>
      <c r="D490" t="inlineStr">
        <is>
          <t>Róterdam</t>
        </is>
      </c>
      <c r="E490" t="inlineStr">
        <is>
          <t>2026-03-06</t>
        </is>
      </c>
      <c r="F490" t="inlineStr">
        <is>
          <t>2026-03-13</t>
        </is>
      </c>
      <c r="G490" t="inlineStr">
        <is>
          <t xml:space="preserve"> - Road House</t>
        </is>
      </c>
      <c r="H490">
        <f>HYPERLINK("https://booking.roadsurfer.com/es/rally/pick?pickup_date=2026-03-06&amp;return_date=2026-03-13&amp;currency=EUR&amp;startStation=8&amp;endStation=33", "Clic para verlo en la web de RoadSurfer")</f>
        <v/>
      </c>
    </row>
    <row r="491">
      <c r="A491" t="inlineStr">
        <is>
          <t>Alemania</t>
        </is>
      </c>
      <c r="B491" t="inlineStr">
        <is>
          <t>Leipzig</t>
        </is>
      </c>
      <c r="C491" t="inlineStr">
        <is>
          <t>Alemania</t>
        </is>
      </c>
      <c r="D491" t="inlineStr">
        <is>
          <t>Berlín-Schönefeld</t>
        </is>
      </c>
      <c r="E491" t="inlineStr">
        <is>
          <t>2026-03-16</t>
        </is>
      </c>
      <c r="F491" t="inlineStr">
        <is>
          <t>2026-03-23</t>
        </is>
      </c>
      <c r="G491" t="inlineStr">
        <is>
          <t xml:space="preserve"> - Camper Cabin Deluxe</t>
        </is>
      </c>
      <c r="H491">
        <f>HYPERLINK("https://booking.roadsurfer.com/es/rally/pick?pickup_date=2026-03-16&amp;return_date=2026-03-23&amp;currency=EUR&amp;startStation=8&amp;endStation=51", "Clic para verlo en la web de RoadSurfer")</f>
        <v/>
      </c>
    </row>
    <row r="492">
      <c r="A492" t="inlineStr">
        <is>
          <t>Alemania</t>
        </is>
      </c>
      <c r="B492" t="inlineStr">
        <is>
          <t>Leipzig</t>
        </is>
      </c>
      <c r="C492" t="inlineStr">
        <is>
          <t>Alemania</t>
        </is>
      </c>
      <c r="D492" t="inlineStr">
        <is>
          <t>Braunschweig</t>
        </is>
      </c>
      <c r="E492" t="inlineStr">
        <is>
          <t>2026-04-20</t>
        </is>
      </c>
      <c r="F492" t="inlineStr">
        <is>
          <t>2026-04-27</t>
        </is>
      </c>
      <c r="G492" t="inlineStr">
        <is>
          <t xml:space="preserve"> - No hay coche</t>
        </is>
      </c>
      <c r="H492">
        <f>HYPERLINK("https://booking.roadsurfer.com/es/rally/pick?pickup_date=2026-04-20&amp;return_date=2026-04-27&amp;currency=EUR&amp;startStation=8&amp;endStation=128",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Bélgica</t>
        </is>
      </c>
      <c r="D493" t="inlineStr">
        <is>
          <t>Bruselas</t>
        </is>
      </c>
      <c r="E493" t="inlineStr">
        <is>
          <t>2026-03-18</t>
        </is>
      </c>
      <c r="F493" t="inlineStr">
        <is>
          <t>2026-03-25</t>
        </is>
      </c>
      <c r="G493" t="inlineStr">
        <is>
          <t xml:space="preserve"> - Family Finca</t>
        </is>
      </c>
      <c r="H493">
        <f>HYPERLINK("https://booking.roadsurfer.com/es/rally/pick?pickup_date=2026-03-18&amp;return_date=2026-03-25&amp;currency=EUR&amp;startStation=8&amp;endStation=42",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Bélgica</t>
        </is>
      </c>
      <c r="D494" t="inlineStr">
        <is>
          <t>Bruselas</t>
        </is>
      </c>
      <c r="E494" t="inlineStr">
        <is>
          <t>2026-04-13</t>
        </is>
      </c>
      <c r="F494" t="inlineStr">
        <is>
          <t>2026-04-20</t>
        </is>
      </c>
      <c r="G494" t="inlineStr">
        <is>
          <t xml:space="preserve"> - Family Finca</t>
        </is>
      </c>
      <c r="H494">
        <f>HYPERLINK("https://booking.roadsurfer.com/es/rally/pick?pickup_date=2026-04-13&amp;return_date=2026-04-20&amp;currency=EUR&amp;startStation=8&amp;endStation=42",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Francia</t>
        </is>
      </c>
      <c r="D495" t="inlineStr">
        <is>
          <t>Lille</t>
        </is>
      </c>
      <c r="E495" t="inlineStr">
        <is>
          <t>2026-03-12</t>
        </is>
      </c>
      <c r="F495" t="inlineStr">
        <is>
          <t>2026-03-19</t>
        </is>
      </c>
      <c r="G495" t="inlineStr"/>
      <c r="H495">
        <f>HYPERLINK("https://booking.roadsurfer.com/es/rally/pick?pickup_date=2026-03-12&amp;return_date=2026-03-19&amp;currency=EUR&amp;startStation=8&amp;endStation=87",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Francia</t>
        </is>
      </c>
      <c r="D496" t="inlineStr">
        <is>
          <t>Lille</t>
        </is>
      </c>
      <c r="E496" t="inlineStr">
        <is>
          <t>2026-03-17</t>
        </is>
      </c>
      <c r="F496" t="inlineStr">
        <is>
          <t>2026-03-24</t>
        </is>
      </c>
      <c r="G496" t="inlineStr">
        <is>
          <t xml:space="preserve"> - Road House</t>
        </is>
      </c>
      <c r="H496">
        <f>HYPERLINK("https://booking.roadsurfer.com/es/rally/pick?pickup_date=2026-03-17&amp;return_date=2026-03-24&amp;currency=EUR&amp;startStation=8&amp;endStation=87",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2026-03-11</t>
        </is>
      </c>
      <c r="F497" t="inlineStr">
        <is>
          <t>2026-03-18</t>
        </is>
      </c>
      <c r="G497" t="inlineStr">
        <is>
          <t xml:space="preserve"> - Couple Cottage</t>
        </is>
      </c>
      <c r="H497">
        <f>HYPERLINK("https://booking.roadsurfer.com/es/rally/pick?pickup_date=2026-03-11&amp;return_date=2026-03-18&amp;currency=EUR&amp;startStation=8&amp;endStation=12",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Francia</t>
        </is>
      </c>
      <c r="D498" t="inlineStr">
        <is>
          <t>París Sur (Orly)</t>
        </is>
      </c>
      <c r="E498" t="inlineStr">
        <is>
          <t>2026-03-20</t>
        </is>
      </c>
      <c r="F498" t="inlineStr">
        <is>
          <t>2026-03-27</t>
        </is>
      </c>
      <c r="G498" t="inlineStr">
        <is>
          <t xml:space="preserve"> - ROAD HOUSE</t>
        </is>
      </c>
      <c r="H498">
        <f>HYPERLINK("https://booking.roadsurfer.com/es/rally/pick?pickup_date=2026-03-20&amp;return_date=2026-03-27&amp;currency=EUR&amp;startStation=8&amp;endStation=12",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Francia</t>
        </is>
      </c>
      <c r="D499" t="inlineStr">
        <is>
          <t>París Sur (Orly)</t>
        </is>
      </c>
      <c r="E499" t="inlineStr">
        <is>
          <t>2026-03-10</t>
        </is>
      </c>
      <c r="F499" t="inlineStr">
        <is>
          <t>2026-03-17</t>
        </is>
      </c>
      <c r="G499" t="inlineStr">
        <is>
          <t xml:space="preserve"> - Family Finca</t>
        </is>
      </c>
      <c r="H499">
        <f>HYPERLINK("https://booking.roadsurfer.com/es/rally/pick?pickup_date=2026-03-10&amp;return_date=2026-03-17&amp;currency=EUR&amp;startStation=8&amp;endStation=12",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Austria</t>
        </is>
      </c>
      <c r="D500" t="inlineStr">
        <is>
          <t>Viena Sur</t>
        </is>
      </c>
      <c r="E500" t="inlineStr">
        <is>
          <t>2026-03-12</t>
        </is>
      </c>
      <c r="F500" t="inlineStr">
        <is>
          <t>2026-03-19</t>
        </is>
      </c>
      <c r="G500" t="inlineStr">
        <is>
          <t xml:space="preserve"> - Road House</t>
        </is>
      </c>
      <c r="H500">
        <f>HYPERLINK("https://booking.roadsurfer.com/es/rally/pick?pickup_date=2026-03-12&amp;return_date=2026-03-19&amp;currency=EUR&amp;startStation=8&amp;endStation=45",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Austria</t>
        </is>
      </c>
      <c r="D501" t="inlineStr">
        <is>
          <t>Viena Sur</t>
        </is>
      </c>
      <c r="E501" t="inlineStr">
        <is>
          <t>2026-03-16</t>
        </is>
      </c>
      <c r="F501" t="inlineStr">
        <is>
          <t>2026-03-23</t>
        </is>
      </c>
      <c r="G501" t="inlineStr">
        <is>
          <t xml:space="preserve"> - Road House</t>
        </is>
      </c>
      <c r="H501">
        <f>HYPERLINK("https://booking.roadsurfer.com/es/rally/pick?pickup_date=2026-03-16&amp;return_date=2026-03-23&amp;currency=EUR&amp;startStation=8&amp;endStation=45",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2026-03-09</t>
        </is>
      </c>
      <c r="F502" t="inlineStr">
        <is>
          <t>2026-03-16</t>
        </is>
      </c>
      <c r="G502" t="inlineStr">
        <is>
          <t xml:space="preserve"> - Road House</t>
        </is>
      </c>
      <c r="H502">
        <f>HYPERLINK("https://booking.roadsurfer.com/es/rally/pick?pickup_date=2026-03-09&amp;return_date=2026-03-16&amp;currency=EUR&amp;startStation=8&amp;endStation=45",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Italia</t>
        </is>
      </c>
      <c r="D503" t="inlineStr">
        <is>
          <t>Roma Aeropuerto Fiumicino</t>
        </is>
      </c>
      <c r="E503" t="inlineStr">
        <is>
          <t>2026-03-02</t>
        </is>
      </c>
      <c r="F503" t="inlineStr">
        <is>
          <t>2026-03-09</t>
        </is>
      </c>
      <c r="G503" t="inlineStr">
        <is>
          <t xml:space="preserve"> - Road House</t>
        </is>
      </c>
      <c r="H503">
        <f>HYPERLINK("https://booking.roadsurfer.com/es/rally/pick?pickup_date=2026-03-02&amp;return_date=2026-03-09&amp;currency=EUR&amp;startStation=8&amp;endStation=35", "Clic para verlo en la web de RoadSurfer")</f>
        <v/>
      </c>
    </row>
    <row r="504">
      <c r="A504" t="inlineStr">
        <is>
          <t>Francia</t>
        </is>
      </c>
      <c r="B504" t="inlineStr">
        <is>
          <t>Lille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2026-03-04</t>
        </is>
      </c>
      <c r="F504" t="inlineStr">
        <is>
          <t>2026-03-11</t>
        </is>
      </c>
      <c r="G504" t="inlineStr">
        <is>
          <t xml:space="preserve"> - Surfer Suite</t>
        </is>
      </c>
      <c r="H504">
        <f>HYPERLINK("https://booking.roadsurfer.com/es/rally/pick?pickup_date=2026-03-04&amp;return_date=2026-03-11&amp;currency=EUR&amp;startStation=87&amp;endStation=56", "Clic para verlo en la web de RoadSurfer")</f>
        <v/>
      </c>
    </row>
    <row r="505">
      <c r="A505" t="inlineStr">
        <is>
          <t>Francia</t>
        </is>
      </c>
      <c r="B505" t="inlineStr">
        <is>
          <t>Lille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2026-03-10</t>
        </is>
      </c>
      <c r="F505" t="inlineStr">
        <is>
          <t>2026-03-17</t>
        </is>
      </c>
      <c r="G505" t="inlineStr">
        <is>
          <t xml:space="preserve"> - Road House</t>
        </is>
      </c>
      <c r="H505">
        <f>HYPERLINK("https://booking.roadsurfer.com/es/rally/pick?pickup_date=2026-03-10&amp;return_date=2026-03-17&amp;currency=EUR&amp;startStation=87&amp;endStation=56", "Clic para verlo en la web de RoadSurfer")</f>
        <v/>
      </c>
    </row>
    <row r="506">
      <c r="A506" t="inlineStr">
        <is>
          <t>Francia</t>
        </is>
      </c>
      <c r="B506" t="inlineStr">
        <is>
          <t>Lille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2026-03-13</t>
        </is>
      </c>
      <c r="F506" t="inlineStr">
        <is>
          <t>2026-03-19</t>
        </is>
      </c>
      <c r="G506" t="inlineStr">
        <is>
          <t xml:space="preserve"> - Surfer Suite</t>
        </is>
      </c>
      <c r="H506">
        <f>HYPERLINK("https://booking.roadsurfer.com/es/rally/pick?pickup_date=2026-03-13&amp;return_date=2026-03-19&amp;currency=EUR&amp;startStation=87&amp;endStation=56", "Clic para verlo en la web de RoadSurfer")</f>
        <v/>
      </c>
    </row>
    <row r="507">
      <c r="A507" t="inlineStr">
        <is>
          <t>Francia</t>
        </is>
      </c>
      <c r="B507" t="inlineStr">
        <is>
          <t>Lille</t>
        </is>
      </c>
      <c r="C507" t="inlineStr">
        <is>
          <t>Alemania</t>
        </is>
      </c>
      <c r="D507" t="inlineStr">
        <is>
          <t>Bielefeld</t>
        </is>
      </c>
      <c r="E507" t="inlineStr">
        <is>
          <t>2026-05-04</t>
        </is>
      </c>
      <c r="F507" t="inlineStr">
        <is>
          <t>2026-05-11</t>
        </is>
      </c>
      <c r="G507" t="inlineStr">
        <is>
          <t xml:space="preserve"> - Family Finca</t>
        </is>
      </c>
      <c r="H507">
        <f>HYPERLINK("https://booking.roadsurfer.com/es/rally/pick?pickup_date=2026-05-04&amp;return_date=2026-05-11&amp;currency=EUR&amp;startStation=87&amp;endStation=91", "Clic para verlo en la web de RoadSurfer")</f>
        <v/>
      </c>
    </row>
    <row r="508">
      <c r="A508" t="inlineStr">
        <is>
          <t>Francia</t>
        </is>
      </c>
      <c r="B508" t="inlineStr">
        <is>
          <t>Lille</t>
        </is>
      </c>
      <c r="C508" t="inlineStr">
        <is>
          <t>Alemania</t>
        </is>
      </c>
      <c r="D508" t="inlineStr">
        <is>
          <t>Bielefeld</t>
        </is>
      </c>
      <c r="E508" t="inlineStr">
        <is>
          <t>2026-03-17</t>
        </is>
      </c>
      <c r="F508" t="inlineStr">
        <is>
          <t>2026-03-24</t>
        </is>
      </c>
      <c r="G508" t="inlineStr">
        <is>
          <t xml:space="preserve"> - Surfer Suite</t>
        </is>
      </c>
      <c r="H508">
        <f>HYPERLINK("https://booking.roadsurfer.com/es/rally/pick?pickup_date=2026-03-17&amp;return_date=2026-03-24&amp;currency=EUR&amp;startStation=87&amp;endStation=91", "Clic para verlo en la web de RoadSurfer")</f>
        <v/>
      </c>
    </row>
    <row r="509">
      <c r="A509" t="inlineStr">
        <is>
          <t>Francia</t>
        </is>
      </c>
      <c r="B509" t="inlineStr">
        <is>
          <t>Lille</t>
        </is>
      </c>
      <c r="C509" t="inlineStr">
        <is>
          <t>Alemania</t>
        </is>
      </c>
      <c r="D509" t="inlineStr">
        <is>
          <t>Bielefeld</t>
        </is>
      </c>
      <c r="E509" t="inlineStr">
        <is>
          <t>2026-03-19</t>
        </is>
      </c>
      <c r="F509" t="inlineStr">
        <is>
          <t>2026-03-26</t>
        </is>
      </c>
      <c r="G509" t="inlineStr">
        <is>
          <t xml:space="preserve"> - Surfer Suite</t>
        </is>
      </c>
      <c r="H509">
        <f>HYPERLINK("https://booking.roadsurfer.com/es/rally/pick?pickup_date=2026-03-19&amp;return_date=2026-03-26&amp;currency=EUR&amp;startStation=87&amp;endStation=91", "Clic para verlo en la web de RoadSurfer")</f>
        <v/>
      </c>
    </row>
    <row r="510">
      <c r="A510" t="inlineStr">
        <is>
          <t>Francia</t>
        </is>
      </c>
      <c r="B510" t="inlineStr">
        <is>
          <t>Lille</t>
        </is>
      </c>
      <c r="C510" t="inlineStr">
        <is>
          <t>Alemania</t>
        </is>
      </c>
      <c r="D510" t="inlineStr">
        <is>
          <t>Marburg</t>
        </is>
      </c>
      <c r="E510" t="inlineStr">
        <is>
          <t>2026-02-27</t>
        </is>
      </c>
      <c r="F510" t="inlineStr">
        <is>
          <t>2026-03-06</t>
        </is>
      </c>
      <c r="G510" t="inlineStr">
        <is>
          <t xml:space="preserve"> - Surfer Suite</t>
        </is>
      </c>
      <c r="H510">
        <f>HYPERLINK("https://booking.roadsurfer.com/es/rally/pick?pickup_date=2026-02-27&amp;return_date=2026-03-06&amp;currency=EUR&amp;startStation=87&amp;endStation=22", "Clic para verlo en la web de RoadSurfer")</f>
        <v/>
      </c>
    </row>
    <row r="511">
      <c r="A511" t="inlineStr">
        <is>
          <t>Francia</t>
        </is>
      </c>
      <c r="B511" t="inlineStr">
        <is>
          <t>Lille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2026-03-09</t>
        </is>
      </c>
      <c r="F511" t="inlineStr">
        <is>
          <t>2026-03-16</t>
        </is>
      </c>
      <c r="G511" t="inlineStr">
        <is>
          <t xml:space="preserve"> - Family Finca</t>
        </is>
      </c>
      <c r="H511">
        <f>HYPERLINK("https://booking.roadsurfer.com/es/rally/pick?pickup_date=2026-03-09&amp;return_date=2026-03-16&amp;currency=EUR&amp;startStation=87&amp;endStation=90", "Clic para verlo en la web de RoadSurfer")</f>
        <v/>
      </c>
    </row>
    <row r="512">
      <c r="A512" t="inlineStr">
        <is>
          <t>Francia</t>
        </is>
      </c>
      <c r="B512" t="inlineStr">
        <is>
          <t>Lille</t>
        </is>
      </c>
      <c r="C512" t="inlineStr">
        <is>
          <t>Alemania</t>
        </is>
      </c>
      <c r="D512" t="inlineStr">
        <is>
          <t>Erfurt</t>
        </is>
      </c>
      <c r="E512" t="inlineStr">
        <is>
          <t>2026-03-11</t>
        </is>
      </c>
      <c r="F512" t="inlineStr">
        <is>
          <t>2026-03-18</t>
        </is>
      </c>
      <c r="G512" t="inlineStr">
        <is>
          <t xml:space="preserve"> - Surfer Suite</t>
        </is>
      </c>
      <c r="H512">
        <f>HYPERLINK("https://booking.roadsurfer.com/es/rally/pick?pickup_date=2026-03-11&amp;return_date=2026-03-18&amp;currency=EUR&amp;startStation=87&amp;endStation=90", "Clic para verlo en la web de RoadSurfer")</f>
        <v/>
      </c>
    </row>
    <row r="513">
      <c r="A513" t="inlineStr">
        <is>
          <t>Alemania</t>
        </is>
      </c>
      <c r="B513" t="inlineStr">
        <is>
          <t>Lindau-Wangen</t>
        </is>
      </c>
      <c r="C513" t="inlineStr">
        <is>
          <t>Francia</t>
        </is>
      </c>
      <c r="D513" t="inlineStr">
        <is>
          <t>Burdeos</t>
        </is>
      </c>
      <c r="E513" t="inlineStr">
        <is>
          <t>2026-03-02</t>
        </is>
      </c>
      <c r="F513" t="inlineStr">
        <is>
          <t>2026-03-09</t>
        </is>
      </c>
      <c r="G513" t="inlineStr">
        <is>
          <t xml:space="preserve"> - Road House</t>
        </is>
      </c>
      <c r="H513">
        <f>HYPERLINK("https://booking.roadsurfer.com/es/rally/pick?pickup_date=2026-03-02&amp;return_date=2026-03-09&amp;currency=EUR&amp;startStation=117&amp;endStation=13", "Clic para verlo en la web de RoadSurfer")</f>
        <v/>
      </c>
    </row>
    <row r="514">
      <c r="A514" t="inlineStr">
        <is>
          <t>Alemania</t>
        </is>
      </c>
      <c r="B514" t="inlineStr">
        <is>
          <t>Lindau-Wangen</t>
        </is>
      </c>
      <c r="C514" t="inlineStr">
        <is>
          <t>Italia</t>
        </is>
      </c>
      <c r="D514" t="inlineStr">
        <is>
          <t>Bolonia</t>
        </is>
      </c>
      <c r="E514" t="inlineStr">
        <is>
          <t>2026-03-30</t>
        </is>
      </c>
      <c r="F514" t="inlineStr">
        <is>
          <t>2026-04-06</t>
        </is>
      </c>
      <c r="G514" t="inlineStr">
        <is>
          <t xml:space="preserve"> - No hay coche</t>
        </is>
      </c>
      <c r="H514">
        <f>HYPERLINK("https://booking.roadsurfer.com/es/rally/pick?pickup_date=2026-03-30&amp;return_date=2026-04-06&amp;currency=EUR&amp;startStation=117&amp;endStation=57", "Clic para verlo en la web de RoadSurfer")</f>
        <v/>
      </c>
    </row>
    <row r="515">
      <c r="A515" t="inlineStr">
        <is>
          <t>Austria</t>
        </is>
      </c>
      <c r="B515" t="inlineStr">
        <is>
          <t>Linz</t>
        </is>
      </c>
      <c r="C515" t="inlineStr">
        <is>
          <t>Alemania</t>
        </is>
      </c>
      <c r="D515" t="inlineStr">
        <is>
          <t>Núremberg</t>
        </is>
      </c>
      <c r="E515" t="inlineStr">
        <is>
          <t>2026-04-02</t>
        </is>
      </c>
      <c r="F515" t="inlineStr">
        <is>
          <t>2026-04-09</t>
        </is>
      </c>
      <c r="G515" t="inlineStr">
        <is>
          <t xml:space="preserve"> - Couple Cottage</t>
        </is>
      </c>
      <c r="H515">
        <f>HYPERLINK("https://booking.roadsurfer.com/es/rally/pick?pickup_date=2026-04-02&amp;return_date=2026-04-09&amp;currency=EUR&amp;startStation=116&amp;endStation=11", "Clic para verlo en la web de RoadSurfer")</f>
        <v/>
      </c>
    </row>
    <row r="516">
      <c r="A516" t="inlineStr">
        <is>
          <t>EE.UU.</t>
        </is>
      </c>
      <c r="B516" t="inlineStr">
        <is>
          <t>Los Ángeles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2026-03-02</t>
        </is>
      </c>
      <c r="F516" t="inlineStr">
        <is>
          <t>2026-03-09</t>
        </is>
      </c>
      <c r="G516" t="inlineStr">
        <is>
          <t xml:space="preserve"> - Liberty Lodge</t>
        </is>
      </c>
      <c r="H516">
        <f>HYPERLINK("https://booking.roadsurfer.com/es/rally/pick?pickup_date=2026-03-02&amp;return_date=2026-03-09&amp;currency=EUR&amp;startStation=72&amp;endStation=107", "Clic para verlo en la web de RoadSurfer")</f>
        <v/>
      </c>
    </row>
    <row r="517">
      <c r="A517" t="inlineStr">
        <is>
          <t>Alemania</t>
        </is>
      </c>
      <c r="B517" t="inlineStr">
        <is>
          <t>Lübeck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2026-03-02</t>
        </is>
      </c>
      <c r="F517" t="inlineStr">
        <is>
          <t>2026-03-09</t>
        </is>
      </c>
      <c r="G517" t="inlineStr">
        <is>
          <t xml:space="preserve"> - Road House</t>
        </is>
      </c>
      <c r="H517">
        <f>HYPERLINK("https://booking.roadsurfer.com/es/rally/pick?pickup_date=2026-03-02&amp;return_date=2026-03-09&amp;currency=EUR&amp;startStation=109&amp;endStation=15", "Clic para verlo en la web de RoadSurfer")</f>
        <v/>
      </c>
    </row>
    <row r="518">
      <c r="A518" t="inlineStr">
        <is>
          <t>Alemania</t>
        </is>
      </c>
      <c r="B518" t="inlineStr">
        <is>
          <t>Lübeck</t>
        </is>
      </c>
      <c r="C518" t="inlineStr">
        <is>
          <t>España</t>
        </is>
      </c>
      <c r="D518" t="inlineStr">
        <is>
          <t>Madrid</t>
        </is>
      </c>
      <c r="E518" t="inlineStr">
        <is>
          <t>2026-03-02</t>
        </is>
      </c>
      <c r="F518" t="inlineStr">
        <is>
          <t>2026-03-09</t>
        </is>
      </c>
      <c r="G518" t="inlineStr">
        <is>
          <t xml:space="preserve"> - Road House</t>
        </is>
      </c>
      <c r="H518">
        <f>HYPERLINK("https://booking.roadsurfer.com/es/rally/pick?pickup_date=2026-03-02&amp;return_date=2026-03-09&amp;currency=EUR&amp;startStation=109&amp;endStation=20", "Clic para verlo en la web de RoadSurfer")</f>
        <v/>
      </c>
    </row>
    <row r="519">
      <c r="A519" t="inlineStr">
        <is>
          <t>Alemania</t>
        </is>
      </c>
      <c r="B519" t="inlineStr">
        <is>
          <t>Lübeck</t>
        </is>
      </c>
      <c r="C519" t="inlineStr">
        <is>
          <t>Alemania</t>
        </is>
      </c>
      <c r="D519" t="inlineStr">
        <is>
          <t>Núremberg</t>
        </is>
      </c>
      <c r="E519" t="inlineStr">
        <is>
          <t>2026-03-12</t>
        </is>
      </c>
      <c r="F519" t="inlineStr">
        <is>
          <t>2026-03-19</t>
        </is>
      </c>
      <c r="G519" t="inlineStr">
        <is>
          <t xml:space="preserve"> - Road House</t>
        </is>
      </c>
      <c r="H519">
        <f>HYPERLINK("https://booking.roadsurfer.com/es/rally/pick?pickup_date=2026-03-12&amp;return_date=2026-03-19&amp;currency=EUR&amp;startStation=109&amp;endStation=11", "Clic para verlo en la web de RoadSurfer")</f>
        <v/>
      </c>
    </row>
    <row r="520">
      <c r="A520" t="inlineStr">
        <is>
          <t>Alemania</t>
        </is>
      </c>
      <c r="B520" t="inlineStr">
        <is>
          <t>Lübeck</t>
        </is>
      </c>
      <c r="C520" t="inlineStr">
        <is>
          <t>Suecia</t>
        </is>
      </c>
      <c r="D520" t="inlineStr">
        <is>
          <t>Gotemburgo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Surfer Suite</t>
        </is>
      </c>
      <c r="H520">
        <f>HYPERLINK("https://booking.roadsurfer.com/es/rally/pick?pickup_date=2026-03-09&amp;return_date=2026-03-16&amp;currency=EUR&amp;startStation=109&amp;endStation=77",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Karlsruhe</t>
        </is>
      </c>
      <c r="E521" t="inlineStr">
        <is>
          <t>2026-02-27</t>
        </is>
      </c>
      <c r="F521" t="inlineStr">
        <is>
          <t>2026-03-06</t>
        </is>
      </c>
      <c r="G521" t="inlineStr">
        <is>
          <t xml:space="preserve"> - SURFER SUITE</t>
        </is>
      </c>
      <c r="H521">
        <f>HYPERLINK("https://booking.roadsurfer.com/es/rally/pick?pickup_date=2026-02-27&amp;return_date=2026-03-06&amp;currency=EUR&amp;startStation=15&amp;endStation=110",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Marburg</t>
        </is>
      </c>
      <c r="E522" t="inlineStr">
        <is>
          <t>2026-02-28</t>
        </is>
      </c>
      <c r="F522" t="inlineStr">
        <is>
          <t>2026-03-07</t>
        </is>
      </c>
      <c r="G522" t="inlineStr">
        <is>
          <t xml:space="preserve"> - No hay coche</t>
        </is>
      </c>
      <c r="H522">
        <f>HYPERLINK("https://booking.roadsurfer.com/es/rally/pick?pickup_date=2026-02-28&amp;return_date=2026-03-07&amp;currency=EUR&amp;startStation=15&amp;endStation=22",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Marburg</t>
        </is>
      </c>
      <c r="E523" t="inlineStr">
        <is>
          <t>2026-03-16</t>
        </is>
      </c>
      <c r="F523" t="inlineStr">
        <is>
          <t>2026-03-23</t>
        </is>
      </c>
      <c r="G523" t="inlineStr">
        <is>
          <t xml:space="preserve"> - Beach Hostel</t>
        </is>
      </c>
      <c r="H523">
        <f>HYPERLINK("https://booking.roadsurfer.com/es/rally/pick?pickup_date=2026-03-16&amp;return_date=2026-03-23&amp;currency=EUR&amp;startStation=15&amp;endStation=22",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Constanza (Aach)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Road House</t>
        </is>
      </c>
      <c r="H524">
        <f>HYPERLINK("https://booking.roadsurfer.com/es/rally/pick?pickup_date=2026-03-05&amp;return_date=2026-03-12&amp;currency=EUR&amp;startStation=15&amp;endStation=10",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Constanza (Aach)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SURFER SUITE</t>
        </is>
      </c>
      <c r="H525">
        <f>HYPERLINK("https://booking.roadsurfer.com/es/rally/pick?pickup_date=2026-03-23&amp;return_date=2026-03-30&amp;currency=EUR&amp;startStation=15&amp;endStation=10",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Heidelberg</t>
        </is>
      </c>
      <c r="E526" t="inlineStr">
        <is>
          <t>2026-03-10</t>
        </is>
      </c>
      <c r="F526" t="inlineStr">
        <is>
          <t>2026-03-17</t>
        </is>
      </c>
      <c r="G526" t="inlineStr">
        <is>
          <t xml:space="preserve"> - SURFER SUITE</t>
        </is>
      </c>
      <c r="H526">
        <f>HYPERLINK("https://booking.roadsurfer.com/es/rally/pick?pickup_date=2026-03-10&amp;return_date=2026-03-17&amp;currency=EUR&amp;startStation=15&amp;endStation=79",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Heidelberg</t>
        </is>
      </c>
      <c r="E527" t="inlineStr">
        <is>
          <t>2026-03-11</t>
        </is>
      </c>
      <c r="F527" t="inlineStr">
        <is>
          <t>2026-03-18</t>
        </is>
      </c>
      <c r="G527" t="inlineStr">
        <is>
          <t xml:space="preserve"> - Beach Hostel</t>
        </is>
      </c>
      <c r="H527">
        <f>HYPERLINK("https://booking.roadsurfer.com/es/rally/pick?pickup_date=2026-03-11&amp;return_date=2026-03-18&amp;currency=EUR&amp;startStation=15&amp;endStation=79",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Fráncfort</t>
        </is>
      </c>
      <c r="E528" t="inlineStr">
        <is>
          <t>2026-03-14</t>
        </is>
      </c>
      <c r="F528" t="inlineStr">
        <is>
          <t>2026-03-21</t>
        </is>
      </c>
      <c r="G528" t="inlineStr">
        <is>
          <t xml:space="preserve"> - Road House</t>
        </is>
      </c>
      <c r="H528">
        <f>HYPERLINK("https://booking.roadsurfer.com/es/rally/pick?pickup_date=2026-03-14&amp;return_date=2026-03-21&amp;currency=EUR&amp;startStation=15&amp;endStation=2",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Fráncfort</t>
        </is>
      </c>
      <c r="E529" t="inlineStr">
        <is>
          <t>2026-03-09</t>
        </is>
      </c>
      <c r="F529" t="inlineStr">
        <is>
          <t>2026-03-16</t>
        </is>
      </c>
      <c r="G529" t="inlineStr">
        <is>
          <t xml:space="preserve"> - Beach Hostel</t>
        </is>
      </c>
      <c r="H529">
        <f>HYPERLINK("https://booking.roadsurfer.com/es/rally/pick?pickup_date=2026-03-09&amp;return_date=2026-03-16&amp;currency=EUR&amp;startStation=15&amp;endStation=2",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Fráncfort</t>
        </is>
      </c>
      <c r="E530" t="inlineStr">
        <is>
          <t>2026-03-10</t>
        </is>
      </c>
      <c r="F530" t="inlineStr">
        <is>
          <t>2026-03-17</t>
        </is>
      </c>
      <c r="G530" t="inlineStr">
        <is>
          <t xml:space="preserve"> - Couple Cottage</t>
        </is>
      </c>
      <c r="H530">
        <f>HYPERLINK("https://booking.roadsurfer.com/es/rally/pick?pickup_date=2026-03-10&amp;return_date=2026-03-17&amp;currency=EUR&amp;startStation=15&amp;endStation=2",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Fráncfort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Camper Cabin Deluxe</t>
        </is>
      </c>
      <c r="H531">
        <f>HYPERLINK("https://booking.roadsurfer.com/es/rally/pick?pickup_date=2026-03-11&amp;return_date=2026-03-18&amp;currency=EUR&amp;startStation=15&amp;endStation=2",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Friburgo-Basilea (Alemania)</t>
        </is>
      </c>
      <c r="E532" t="inlineStr">
        <is>
          <t>2026-04-15</t>
        </is>
      </c>
      <c r="F532" t="inlineStr">
        <is>
          <t>2026-04-22</t>
        </is>
      </c>
      <c r="G532" t="inlineStr">
        <is>
          <t xml:space="preserve"> - Couple Cottage</t>
        </is>
      </c>
      <c r="H532">
        <f>HYPERLINK("https://booking.roadsurfer.com/es/rally/pick?pickup_date=2026-04-15&amp;return_date=2026-04-22&amp;currency=EUR&amp;startStation=20&amp;endStation=9",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Fráncfort</t>
        </is>
      </c>
      <c r="E533" t="inlineStr">
        <is>
          <t>2026-03-09</t>
        </is>
      </c>
      <c r="F533" t="inlineStr">
        <is>
          <t>2026-03-16</t>
        </is>
      </c>
      <c r="G533" t="inlineStr">
        <is>
          <t xml:space="preserve"> - Surfer Suite</t>
        </is>
      </c>
      <c r="H533">
        <f>HYPERLINK("https://booking.roadsurfer.com/es/rally/pick?pickup_date=2026-03-09&amp;return_date=2026-03-16&amp;currency=EUR&amp;startStation=20&amp;endStation=2",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Fráncfort</t>
        </is>
      </c>
      <c r="E534" t="inlineStr">
        <is>
          <t>2026-03-10</t>
        </is>
      </c>
      <c r="F534" t="inlineStr">
        <is>
          <t>2026-03-17</t>
        </is>
      </c>
      <c r="G534" t="inlineStr">
        <is>
          <t xml:space="preserve"> - Family Finca</t>
        </is>
      </c>
      <c r="H534">
        <f>HYPERLINK("https://booking.roadsurfer.com/es/rally/pick?pickup_date=2026-03-10&amp;return_date=2026-03-17&amp;currency=EUR&amp;startStation=20&amp;endStation=2",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2026-03-12</t>
        </is>
      </c>
      <c r="F535" t="inlineStr">
        <is>
          <t>2026-03-19</t>
        </is>
      </c>
      <c r="G535" t="inlineStr">
        <is>
          <t xml:space="preserve"> - Family Finca</t>
        </is>
      </c>
      <c r="H535">
        <f>HYPERLINK("https://booking.roadsurfer.com/es/rally/pick?pickup_date=2026-03-12&amp;return_date=2026-03-19&amp;currency=EUR&amp;startStation=20&amp;endStation=2",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Fráncfort</t>
        </is>
      </c>
      <c r="E536" t="inlineStr">
        <is>
          <t>2026-03-19</t>
        </is>
      </c>
      <c r="F536" t="inlineStr">
        <is>
          <t>2026-03-26</t>
        </is>
      </c>
      <c r="G536" t="inlineStr">
        <is>
          <t xml:space="preserve"> - Surfer Suite</t>
        </is>
      </c>
      <c r="H536">
        <f>HYPERLINK("https://booking.roadsurfer.com/es/rally/pick?pickup_date=2026-03-19&amp;return_date=2026-03-26&amp;currency=EUR&amp;startStation=20&amp;endStation=2",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2026-03-16</t>
        </is>
      </c>
      <c r="F537" t="inlineStr">
        <is>
          <t>2026-03-23</t>
        </is>
      </c>
      <c r="G537" t="inlineStr">
        <is>
          <t xml:space="preserve"> - Surfer Suite</t>
        </is>
      </c>
      <c r="H537">
        <f>HYPERLINK("https://booking.roadsurfer.com/es/rally/pick?pickup_date=2026-03-16&amp;return_date=2026-03-23&amp;currency=EUR&amp;startStation=20&amp;endStation=2",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2026-04-14</t>
        </is>
      </c>
      <c r="F538" t="inlineStr">
        <is>
          <t>2026-04-21</t>
        </is>
      </c>
      <c r="G538" t="inlineStr">
        <is>
          <t xml:space="preserve"> - Camper Castle</t>
        </is>
      </c>
      <c r="H538">
        <f>HYPERLINK("https://booking.roadsurfer.com/es/rally/pick?pickup_date=2026-04-14&amp;return_date=2026-04-21&amp;currency=EUR&amp;startStation=20&amp;endStation=2",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2026-03-18</t>
        </is>
      </c>
      <c r="F539" t="inlineStr">
        <is>
          <t>2026-03-25</t>
        </is>
      </c>
      <c r="G539" t="inlineStr">
        <is>
          <t xml:space="preserve"> - CAMPER CASTLE</t>
        </is>
      </c>
      <c r="H539">
        <f>HYPERLINK("https://booking.roadsurfer.com/es/rally/pick?pickup_date=2026-03-18&amp;return_date=2026-03-25&amp;currency=EUR&amp;startStation=20&amp;endStation=22",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Family Finca</t>
        </is>
      </c>
      <c r="H540">
        <f>HYPERLINK("https://booking.roadsurfer.com/es/rally/pick?pickup_date=2026-03-09&amp;return_date=2026-03-16&amp;currency=EUR&amp;startStation=20&amp;endStation=22",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Múnich</t>
        </is>
      </c>
      <c r="E541" t="inlineStr">
        <is>
          <t>2026-03-13</t>
        </is>
      </c>
      <c r="F541" t="inlineStr">
        <is>
          <t>2026-03-20</t>
        </is>
      </c>
      <c r="G541" t="inlineStr">
        <is>
          <t xml:space="preserve"> - Road House</t>
        </is>
      </c>
      <c r="H541">
        <f>HYPERLINK("https://booking.roadsurfer.com/es/rally/pick?pickup_date=2026-03-13&amp;return_date=2026-03-20&amp;currency=EUR&amp;startStation=20&amp;endStation=1", "Clic para verlo en la web de RoadSurfer")</f>
        <v/>
      </c>
    </row>
    <row r="542">
      <c r="A542" t="inlineStr">
        <is>
          <t>Alemania</t>
        </is>
      </c>
      <c r="B542" t="inlineStr">
        <is>
          <t>Maguncia</t>
        </is>
      </c>
      <c r="C542" t="inlineStr">
        <is>
          <t>Francia</t>
        </is>
      </c>
      <c r="D542" t="inlineStr">
        <is>
          <t>Lyon</t>
        </is>
      </c>
      <c r="E542" t="inlineStr">
        <is>
          <t>2026-02-27</t>
        </is>
      </c>
      <c r="F542" t="inlineStr">
        <is>
          <t>2026-03-06</t>
        </is>
      </c>
      <c r="G542" t="inlineStr">
        <is>
          <t xml:space="preserve"> - Camper Cabin Deluxe</t>
        </is>
      </c>
      <c r="H542">
        <f>HYPERLINK("https://booking.roadsurfer.com/es/rally/pick?pickup_date=2026-02-27&amp;return_date=2026-03-06&amp;currency=EUR&amp;startStation=54&amp;endStation=15", "Clic para verlo en la web de RoadSurfer")</f>
        <v/>
      </c>
    </row>
    <row r="543">
      <c r="A543" t="inlineStr">
        <is>
          <t>Alemania</t>
        </is>
      </c>
      <c r="B543" t="inlineStr">
        <is>
          <t>Maguncia</t>
        </is>
      </c>
      <c r="C543" t="inlineStr">
        <is>
          <t>Francia</t>
        </is>
      </c>
      <c r="D543" t="inlineStr">
        <is>
          <t>Lyon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Family Finca</t>
        </is>
      </c>
      <c r="H543">
        <f>HYPERLINK("https://booking.roadsurfer.com/es/rally/pick?pickup_date=2026-03-09&amp;return_date=2026-03-16&amp;currency=EUR&amp;startStation=54&amp;endStation=15", "Clic para verlo en la web de RoadSurfer")</f>
        <v/>
      </c>
    </row>
    <row r="544">
      <c r="A544" t="inlineStr">
        <is>
          <t>Alemania</t>
        </is>
      </c>
      <c r="B544" t="inlineStr">
        <is>
          <t>Maguncia</t>
        </is>
      </c>
      <c r="C544" t="inlineStr">
        <is>
          <t>Francia</t>
        </is>
      </c>
      <c r="D544" t="inlineStr">
        <is>
          <t>Toulouse</t>
        </is>
      </c>
      <c r="E544" t="inlineStr">
        <is>
          <t>2026-03-27</t>
        </is>
      </c>
      <c r="F544" t="inlineStr">
        <is>
          <t>2026-04-03</t>
        </is>
      </c>
      <c r="G544" t="inlineStr">
        <is>
          <t xml:space="preserve"> - SURFER SUITE</t>
        </is>
      </c>
      <c r="H544">
        <f>HYPERLINK("https://booking.roadsurfer.com/es/rally/pick?pickup_date=2026-03-27&amp;return_date=2026-04-03&amp;currency=EUR&amp;startStation=54&amp;endStation=30", "Clic para verlo en la web de RoadSurfer")</f>
        <v/>
      </c>
    </row>
    <row r="545">
      <c r="A545" t="inlineStr">
        <is>
          <t>Alemania</t>
        </is>
      </c>
      <c r="B545" t="inlineStr">
        <is>
          <t>Maguncia</t>
        </is>
      </c>
      <c r="C545" t="inlineStr">
        <is>
          <t>Francia</t>
        </is>
      </c>
      <c r="D545" t="inlineStr">
        <is>
          <t>Burdeos</t>
        </is>
      </c>
      <c r="E545" t="inlineStr">
        <is>
          <t>2026-03-18</t>
        </is>
      </c>
      <c r="F545" t="inlineStr">
        <is>
          <t>2026-03-25</t>
        </is>
      </c>
      <c r="G545" t="inlineStr"/>
      <c r="H545">
        <f>HYPERLINK("https://booking.roadsurfer.com/es/rally/pick?pickup_date=2026-03-18&amp;return_date=2026-03-25&amp;currency=EUR&amp;startStation=54&amp;endStation=13", "Clic para verlo en la web de RoadSurfer")</f>
        <v/>
      </c>
    </row>
    <row r="546">
      <c r="A546" t="inlineStr">
        <is>
          <t>Alemania</t>
        </is>
      </c>
      <c r="B546" t="inlineStr">
        <is>
          <t>Maguncia</t>
        </is>
      </c>
      <c r="C546" t="inlineStr">
        <is>
          <t>Francia</t>
        </is>
      </c>
      <c r="D546" t="inlineStr">
        <is>
          <t>Burdeos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Couple Cottage</t>
        </is>
      </c>
      <c r="H546">
        <f>HYPERLINK("https://booking.roadsurfer.com/es/rally/pick?pickup_date=2026-03-09&amp;return_date=2026-03-16&amp;currency=EUR&amp;startStation=54&amp;endStation=13", "Clic para verlo en la web de RoadSurfer")</f>
        <v/>
      </c>
    </row>
    <row r="547">
      <c r="A547" t="inlineStr">
        <is>
          <t>Alemania</t>
        </is>
      </c>
      <c r="B547" t="inlineStr">
        <is>
          <t>Maguncia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2026-03-28</t>
        </is>
      </c>
      <c r="F547" t="inlineStr">
        <is>
          <t>2026-04-04</t>
        </is>
      </c>
      <c r="G547" t="inlineStr">
        <is>
          <t xml:space="preserve"> - Couple Cottage</t>
        </is>
      </c>
      <c r="H547">
        <f>HYPERLINK("https://booking.roadsurfer.com/es/rally/pick?pickup_date=2026-03-28&amp;return_date=2026-04-04&amp;currency=EUR&amp;startStation=54&amp;endStation=31", "Clic para verlo en la web de RoadSurfer")</f>
        <v/>
      </c>
    </row>
    <row r="548">
      <c r="A548" t="inlineStr">
        <is>
          <t>Alemania</t>
        </is>
      </c>
      <c r="B548" t="inlineStr">
        <is>
          <t>Maguncia</t>
        </is>
      </c>
      <c r="C548" t="inlineStr">
        <is>
          <t>Francia</t>
        </is>
      </c>
      <c r="D548" t="inlineStr">
        <is>
          <t>Ginebra-Pays de Gex (Francia)</t>
        </is>
      </c>
      <c r="E548" t="inlineStr">
        <is>
          <t>2026-03-13</t>
        </is>
      </c>
      <c r="F548" t="inlineStr">
        <is>
          <t>2026-03-20</t>
        </is>
      </c>
      <c r="G548" t="inlineStr">
        <is>
          <t xml:space="preserve"> - Beach Hostel</t>
        </is>
      </c>
      <c r="H548">
        <f>HYPERLINK("https://booking.roadsurfer.com/es/rally/pick?pickup_date=2026-03-13&amp;return_date=2026-03-20&amp;currency=EUR&amp;startStation=54&amp;endStation=29", "Clic para verlo en la web de RoadSurfer")</f>
        <v/>
      </c>
    </row>
    <row r="549">
      <c r="A549" t="inlineStr">
        <is>
          <t>Alemania</t>
        </is>
      </c>
      <c r="B549" t="inlineStr">
        <is>
          <t>Maguncia</t>
        </is>
      </c>
      <c r="C549" t="inlineStr">
        <is>
          <t>Francia</t>
        </is>
      </c>
      <c r="D549" t="inlineStr">
        <is>
          <t>Ginebra-Pays de Gex (Francia)</t>
        </is>
      </c>
      <c r="E549" t="inlineStr">
        <is>
          <t>2026-03-19</t>
        </is>
      </c>
      <c r="F549" t="inlineStr">
        <is>
          <t>2026-03-26</t>
        </is>
      </c>
      <c r="G549" t="inlineStr">
        <is>
          <t xml:space="preserve"> - Surfer Suite</t>
        </is>
      </c>
      <c r="H549">
        <f>HYPERLINK("https://booking.roadsurfer.com/es/rally/pick?pickup_date=2026-03-19&amp;return_date=2026-03-26&amp;currency=EUR&amp;startStation=54&amp;endStation=29", "Clic para verlo en la web de RoadSurfer")</f>
        <v/>
      </c>
    </row>
    <row r="550">
      <c r="A550" t="inlineStr">
        <is>
          <t>Alemania</t>
        </is>
      </c>
      <c r="B550" t="inlineStr">
        <is>
          <t>Maguncia</t>
        </is>
      </c>
      <c r="C550" t="inlineStr">
        <is>
          <t>Francia</t>
        </is>
      </c>
      <c r="D550" t="inlineStr">
        <is>
          <t>Ginebra-Pays de Gex (Francia)</t>
        </is>
      </c>
      <c r="E550" t="inlineStr">
        <is>
          <t>2026-03-03</t>
        </is>
      </c>
      <c r="F550" t="inlineStr">
        <is>
          <t>2026-03-10</t>
        </is>
      </c>
      <c r="G550" t="inlineStr">
        <is>
          <t xml:space="preserve"> - Surfer Suite</t>
        </is>
      </c>
      <c r="H550">
        <f>HYPERLINK("https://booking.roadsurfer.com/es/rally/pick?pickup_date=2026-03-03&amp;return_date=2026-03-10&amp;currency=EUR&amp;startStation=54&amp;endStation=29", "Clic para verlo en la web de RoadSurfer")</f>
        <v/>
      </c>
    </row>
    <row r="551">
      <c r="A551" t="inlineStr">
        <is>
          <t>Alemania</t>
        </is>
      </c>
      <c r="B551" t="inlineStr">
        <is>
          <t>Maguncia</t>
        </is>
      </c>
      <c r="C551" t="inlineStr">
        <is>
          <t>Bélgica</t>
        </is>
      </c>
      <c r="D551" t="inlineStr">
        <is>
          <t>Bruselas</t>
        </is>
      </c>
      <c r="E551" t="inlineStr">
        <is>
          <t>2026-03-07</t>
        </is>
      </c>
      <c r="F551" t="inlineStr">
        <is>
          <t>2026-03-14</t>
        </is>
      </c>
      <c r="G551" t="inlineStr">
        <is>
          <t xml:space="preserve"> - Road House</t>
        </is>
      </c>
      <c r="H551">
        <f>HYPERLINK("https://booking.roadsurfer.com/es/rally/pick?pickup_date=2026-03-07&amp;return_date=2026-03-14&amp;currency=EUR&amp;startStation=54&amp;endStation=42", "Clic para verlo en la web de RoadSurfer")</f>
        <v/>
      </c>
    </row>
    <row r="552">
      <c r="A552" t="inlineStr">
        <is>
          <t>Alemania</t>
        </is>
      </c>
      <c r="B552" t="inlineStr">
        <is>
          <t>Maguncia</t>
        </is>
      </c>
      <c r="C552" t="inlineStr">
        <is>
          <t>Francia</t>
        </is>
      </c>
      <c r="D552" t="inlineStr">
        <is>
          <t>París Sur (Orly)</t>
        </is>
      </c>
      <c r="E552" t="inlineStr">
        <is>
          <t>2026-03-05</t>
        </is>
      </c>
      <c r="F552" t="inlineStr">
        <is>
          <t>2026-03-12</t>
        </is>
      </c>
      <c r="G552" t="inlineStr">
        <is>
          <t xml:space="preserve"> - Camper Cabin</t>
        </is>
      </c>
      <c r="H552">
        <f>HYPERLINK("https://booking.roadsurfer.com/es/rally/pick?pickup_date=2026-03-05&amp;return_date=2026-03-12&amp;currency=EUR&amp;startStation=54&amp;endStation=12", "Clic para verlo en la web de RoadSurfer")</f>
        <v/>
      </c>
    </row>
    <row r="553">
      <c r="A553" t="inlineStr">
        <is>
          <t>España</t>
        </is>
      </c>
      <c r="B553" t="inlineStr">
        <is>
          <t>Málaga</t>
        </is>
      </c>
      <c r="C553" t="inlineStr">
        <is>
          <t>Alemania</t>
        </is>
      </c>
      <c r="D553" t="inlineStr">
        <is>
          <t>Friburgo-Basilea (Alemania)</t>
        </is>
      </c>
      <c r="E553" t="inlineStr">
        <is>
          <t>2026-03-26</t>
        </is>
      </c>
      <c r="F553" t="inlineStr">
        <is>
          <t>2026-04-02</t>
        </is>
      </c>
      <c r="G553" t="inlineStr">
        <is>
          <t xml:space="preserve"> - Family Finca</t>
        </is>
      </c>
      <c r="H553">
        <f>HYPERLINK("https://booking.roadsurfer.com/es/rally/pick?pickup_date=2026-03-26&amp;return_date=2026-04-02&amp;currency=EUR&amp;startStation=21&amp;endStation=9", "Clic para verlo en la web de RoadSurfer")</f>
        <v/>
      </c>
    </row>
    <row r="554">
      <c r="A554" t="inlineStr">
        <is>
          <t>España</t>
        </is>
      </c>
      <c r="B554" t="inlineStr">
        <is>
          <t>Málaga</t>
        </is>
      </c>
      <c r="C554" t="inlineStr">
        <is>
          <t>Alemania</t>
        </is>
      </c>
      <c r="D554" t="inlineStr">
        <is>
          <t>Friburgo-Basilea (Alemania)</t>
        </is>
      </c>
      <c r="E554" t="inlineStr">
        <is>
          <t>2026-03-17</t>
        </is>
      </c>
      <c r="F554" t="inlineStr">
        <is>
          <t>2026-03-24</t>
        </is>
      </c>
      <c r="G554" t="inlineStr">
        <is>
          <t xml:space="preserve"> - Surfer Suite</t>
        </is>
      </c>
      <c r="H554">
        <f>HYPERLINK("https://booking.roadsurfer.com/es/rally/pick?pickup_date=2026-03-17&amp;return_date=2026-03-24&amp;currency=EUR&amp;startStation=21&amp;endStation=9", "Clic para verlo en la web de RoadSurfer")</f>
        <v/>
      </c>
    </row>
    <row r="555">
      <c r="A555" t="inlineStr">
        <is>
          <t>España</t>
        </is>
      </c>
      <c r="B555" t="inlineStr">
        <is>
          <t>Málaga</t>
        </is>
      </c>
      <c r="C555" t="inlineStr">
        <is>
          <t>Alemania</t>
        </is>
      </c>
      <c r="D555" t="inlineStr">
        <is>
          <t>Friburgo-Basilea (Alemania)</t>
        </is>
      </c>
      <c r="E555" t="inlineStr">
        <is>
          <t>2026-03-04</t>
        </is>
      </c>
      <c r="F555" t="inlineStr">
        <is>
          <t>2026-03-11</t>
        </is>
      </c>
      <c r="G555" t="inlineStr">
        <is>
          <t xml:space="preserve"> - Surfer Suite</t>
        </is>
      </c>
      <c r="H555">
        <f>HYPERLINK("https://booking.roadsurfer.com/es/rally/pick?pickup_date=2026-03-04&amp;return_date=2026-03-11&amp;currency=EUR&amp;startStation=21&amp;endStation=9", "Clic para verlo en la web de RoadSurfer")</f>
        <v/>
      </c>
    </row>
    <row r="556">
      <c r="A556" t="inlineStr">
        <is>
          <t>España</t>
        </is>
      </c>
      <c r="B556" t="inlineStr">
        <is>
          <t>Málaga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2026-03-10</t>
        </is>
      </c>
      <c r="F556" t="inlineStr">
        <is>
          <t>2026-03-17</t>
        </is>
      </c>
      <c r="G556" t="inlineStr">
        <is>
          <t xml:space="preserve"> - Beach Hostel</t>
        </is>
      </c>
      <c r="H556">
        <f>HYPERLINK("https://booking.roadsurfer.com/es/rally/pick?pickup_date=2026-03-10&amp;return_date=2026-03-17&amp;currency=EUR&amp;startStation=21&amp;endStation=22", "Clic para verlo en la web de RoadSurfer")</f>
        <v/>
      </c>
    </row>
    <row r="557">
      <c r="A557" t="inlineStr">
        <is>
          <t>España</t>
        </is>
      </c>
      <c r="B557" t="inlineStr">
        <is>
          <t>Málaga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2026-03-11</t>
        </is>
      </c>
      <c r="F557" t="inlineStr">
        <is>
          <t>2026-03-18</t>
        </is>
      </c>
      <c r="G557" t="inlineStr">
        <is>
          <t xml:space="preserve"> - Road House</t>
        </is>
      </c>
      <c r="H557">
        <f>HYPERLINK("https://booking.roadsurfer.com/es/rally/pick?pickup_date=2026-03-11&amp;return_date=2026-03-18&amp;currency=EUR&amp;startStation=21&amp;endStation=22",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Stuttgart</t>
        </is>
      </c>
      <c r="E558" t="inlineStr">
        <is>
          <t>2026-04-20</t>
        </is>
      </c>
      <c r="F558" t="inlineStr">
        <is>
          <t>2026-04-27</t>
        </is>
      </c>
      <c r="G558" t="inlineStr">
        <is>
          <t xml:space="preserve"> - Camper Castle</t>
        </is>
      </c>
      <c r="H558">
        <f>HYPERLINK("https://booking.roadsurfer.com/es/rally/pick?pickup_date=2026-04-20&amp;return_date=2026-04-27&amp;currency=EUR&amp;startStation=60&amp;endStation=5",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Bremen</t>
        </is>
      </c>
      <c r="E559" t="inlineStr">
        <is>
          <t>2026-02-28</t>
        </is>
      </c>
      <c r="F559" t="inlineStr">
        <is>
          <t>2026-03-07</t>
        </is>
      </c>
      <c r="G559" t="inlineStr">
        <is>
          <t xml:space="preserve"> - Road House</t>
        </is>
      </c>
      <c r="H559">
        <f>HYPERLINK("https://booking.roadsurfer.com/es/rally/pick?pickup_date=2026-02-28&amp;return_date=2026-03-07&amp;currency=EUR&amp;startStation=60&amp;endStation=55",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Bremen</t>
        </is>
      </c>
      <c r="E560" t="inlineStr">
        <is>
          <t>2026-03-05</t>
        </is>
      </c>
      <c r="F560" t="inlineStr">
        <is>
          <t>2026-03-12</t>
        </is>
      </c>
      <c r="G560" t="inlineStr">
        <is>
          <t xml:space="preserve"> - Road House</t>
        </is>
      </c>
      <c r="H560">
        <f>HYPERLINK("https://booking.roadsurfer.com/es/rally/pick?pickup_date=2026-03-05&amp;return_date=2026-03-12&amp;currency=EUR&amp;startStation=60&amp;endStation=55",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Bremen</t>
        </is>
      </c>
      <c r="E561" t="inlineStr">
        <is>
          <t>2026-03-03</t>
        </is>
      </c>
      <c r="F561" t="inlineStr">
        <is>
          <t>2026-03-10</t>
        </is>
      </c>
      <c r="G561" t="inlineStr">
        <is>
          <t xml:space="preserve"> - Surfer Suite</t>
        </is>
      </c>
      <c r="H561">
        <f>HYPERLINK("https://booking.roadsurfer.com/es/rally/pick?pickup_date=2026-03-03&amp;return_date=2026-03-10&amp;currency=EUR&amp;startStation=60&amp;endStation=55",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Hamburgo</t>
        </is>
      </c>
      <c r="E562" t="inlineStr">
        <is>
          <t>2026-02-28</t>
        </is>
      </c>
      <c r="F562" t="inlineStr">
        <is>
          <t>2026-03-07</t>
        </is>
      </c>
      <c r="G562" t="inlineStr">
        <is>
          <t xml:space="preserve"> - Surfer Suite</t>
        </is>
      </c>
      <c r="H562">
        <f>HYPERLINK("https://booking.roadsurfer.com/es/rally/pick?pickup_date=2026-02-28&amp;return_date=2026-03-07&amp;currency=EUR&amp;startStation=60&amp;endStation=3",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Hamburgo</t>
        </is>
      </c>
      <c r="E563" t="inlineStr">
        <is>
          <t>2026-03-05</t>
        </is>
      </c>
      <c r="F563" t="inlineStr">
        <is>
          <t>2026-03-12</t>
        </is>
      </c>
      <c r="G563" t="inlineStr">
        <is>
          <t xml:space="preserve"> - Road House</t>
        </is>
      </c>
      <c r="H563">
        <f>HYPERLINK("https://booking.roadsurfer.com/es/rally/pick?pickup_date=2026-03-05&amp;return_date=2026-03-12&amp;currency=EUR&amp;startStation=60&amp;endStation=3",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Berlín-Schönefeld</t>
        </is>
      </c>
      <c r="E564" t="inlineStr">
        <is>
          <t>2026-03-20</t>
        </is>
      </c>
      <c r="F564" t="inlineStr">
        <is>
          <t>2026-03-27</t>
        </is>
      </c>
      <c r="G564" t="inlineStr">
        <is>
          <t xml:space="preserve"> - Beach Hostel</t>
        </is>
      </c>
      <c r="H564">
        <f>HYPERLINK("https://booking.roadsurfer.com/es/rally/pick?pickup_date=2026-03-20&amp;return_date=2026-03-27&amp;currency=EUR&amp;startStation=60&amp;endStation=51",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Berlín-Schönefeld</t>
        </is>
      </c>
      <c r="E565" t="inlineStr">
        <is>
          <t>2026-04-15</t>
        </is>
      </c>
      <c r="F565" t="inlineStr">
        <is>
          <t>2026-04-22</t>
        </is>
      </c>
      <c r="G565" t="inlineStr">
        <is>
          <t xml:space="preserve"> - Family Finca</t>
        </is>
      </c>
      <c r="H565">
        <f>HYPERLINK("https://booking.roadsurfer.com/es/rally/pick?pickup_date=2026-04-15&amp;return_date=2026-04-22&amp;currency=EUR&amp;startStation=60&amp;endStation=51",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Berlín</t>
        </is>
      </c>
      <c r="E566" t="inlineStr">
        <is>
          <t>2026-03-18</t>
        </is>
      </c>
      <c r="F566" t="inlineStr">
        <is>
          <t>2026-03-25</t>
        </is>
      </c>
      <c r="G566" t="inlineStr">
        <is>
          <t xml:space="preserve"> - Beach Hostel</t>
        </is>
      </c>
      <c r="H566">
        <f>HYPERLINK("https://booking.roadsurfer.com/es/rally/pick?pickup_date=2026-03-18&amp;return_date=2026-03-25&amp;currency=EUR&amp;startStation=60&amp;endStation=6",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Berlín</t>
        </is>
      </c>
      <c r="E567" t="inlineStr">
        <is>
          <t>2026-04-14</t>
        </is>
      </c>
      <c r="F567" t="inlineStr">
        <is>
          <t>2026-04-21</t>
        </is>
      </c>
      <c r="G567" t="inlineStr">
        <is>
          <t xml:space="preserve"> - Family Finca</t>
        </is>
      </c>
      <c r="H567">
        <f>HYPERLINK("https://booking.roadsurfer.com/es/rally/pick?pickup_date=2026-04-14&amp;return_date=2026-04-21&amp;currency=EUR&amp;startStation=60&amp;endStation=6",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2026-03-10</t>
        </is>
      </c>
      <c r="F568" t="inlineStr">
        <is>
          <t>2026-03-17</t>
        </is>
      </c>
      <c r="G568" t="inlineStr">
        <is>
          <t xml:space="preserve"> - SURFER SUITE</t>
        </is>
      </c>
      <c r="H568">
        <f>HYPERLINK("https://booking.roadsurfer.com/es/rally/pick?pickup_date=2026-03-10&amp;return_date=2026-03-17&amp;currency=EUR&amp;startStation=60&amp;endStation=22",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2026-03-09</t>
        </is>
      </c>
      <c r="F569" t="inlineStr">
        <is>
          <t>2026-03-16</t>
        </is>
      </c>
      <c r="G569" t="inlineStr">
        <is>
          <t xml:space="preserve"> - Beach Hostel</t>
        </is>
      </c>
      <c r="H569">
        <f>HYPERLINK("https://booking.roadsurfer.com/es/rally/pick?pickup_date=2026-03-09&amp;return_date=2026-03-16&amp;currency=EUR&amp;startStation=60&amp;endStation=22",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2026-02-27</t>
        </is>
      </c>
      <c r="F570" t="inlineStr">
        <is>
          <t>2026-03-06</t>
        </is>
      </c>
      <c r="G570" t="inlineStr">
        <is>
          <t xml:space="preserve"> - Family Finca</t>
        </is>
      </c>
      <c r="H570">
        <f>HYPERLINK("https://booking.roadsurfer.com/es/rally/pick?pickup_date=2026-02-27&amp;return_date=2026-03-06&amp;currency=EUR&amp;startStation=60&amp;endStation=22",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Bielefeld</t>
        </is>
      </c>
      <c r="E571" t="inlineStr">
        <is>
          <t>2026-04-14</t>
        </is>
      </c>
      <c r="F571" t="inlineStr">
        <is>
          <t>2026-04-21</t>
        </is>
      </c>
      <c r="G571" t="inlineStr">
        <is>
          <t xml:space="preserve"> - Family Finca</t>
        </is>
      </c>
      <c r="H571">
        <f>HYPERLINK("https://booking.roadsurfer.com/es/rally/pick?pickup_date=2026-04-14&amp;return_date=2026-04-21&amp;currency=EUR&amp;startStation=60&amp;endStation=91",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2026-03-10</t>
        </is>
      </c>
      <c r="F572" t="inlineStr">
        <is>
          <t>2026-03-17</t>
        </is>
      </c>
      <c r="G572" t="inlineStr">
        <is>
          <t xml:space="preserve"> - Family Finca</t>
        </is>
      </c>
      <c r="H572">
        <f>HYPERLINK("https://booking.roadsurfer.com/es/rally/pick?pickup_date=2026-03-10&amp;return_date=2026-03-17&amp;currency=EUR&amp;startStation=60&amp;endStation=2",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2026-03-11</t>
        </is>
      </c>
      <c r="F573" t="inlineStr">
        <is>
          <t>2026-03-18</t>
        </is>
      </c>
      <c r="G573" t="inlineStr">
        <is>
          <t xml:space="preserve"> - Family Finca</t>
        </is>
      </c>
      <c r="H573">
        <f>HYPERLINK("https://booking.roadsurfer.com/es/rally/pick?pickup_date=2026-03-11&amp;return_date=2026-03-18&amp;currency=EUR&amp;startStation=60&amp;endStation=2",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Augsburgo</t>
        </is>
      </c>
      <c r="E574" t="inlineStr">
        <is>
          <t>2026-03-12</t>
        </is>
      </c>
      <c r="F574" t="inlineStr">
        <is>
          <t>2026-03-19</t>
        </is>
      </c>
      <c r="G574" t="inlineStr">
        <is>
          <t xml:space="preserve"> - Camper Castle</t>
        </is>
      </c>
      <c r="H574">
        <f>HYPERLINK("https://booking.roadsurfer.com/es/rally/pick?pickup_date=2026-03-12&amp;return_date=2026-03-19&amp;currency=EUR&amp;startStation=60&amp;endStation=108",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Suecia</t>
        </is>
      </c>
      <c r="D575" t="inlineStr">
        <is>
          <t>Gotemburgo</t>
        </is>
      </c>
      <c r="E575" t="inlineStr">
        <is>
          <t>2026-03-02</t>
        </is>
      </c>
      <c r="F575" t="inlineStr">
        <is>
          <t>2026-03-09</t>
        </is>
      </c>
      <c r="G575" t="inlineStr">
        <is>
          <t xml:space="preserve"> - Road House</t>
        </is>
      </c>
      <c r="H575">
        <f>HYPERLINK("https://booking.roadsurfer.com/es/rally/pick?pickup_date=2026-03-02&amp;return_date=2026-03-09&amp;currency=EUR&amp;startStation=60&amp;endStation=77",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Suecia</t>
        </is>
      </c>
      <c r="D576" t="inlineStr">
        <is>
          <t>Estocolmo</t>
        </is>
      </c>
      <c r="E576" t="inlineStr">
        <is>
          <t>2026-05-11</t>
        </is>
      </c>
      <c r="F576" t="inlineStr">
        <is>
          <t>2026-05-18</t>
        </is>
      </c>
      <c r="G576" t="inlineStr"/>
      <c r="H576">
        <f>HYPERLINK("https://booking.roadsurfer.com/es/rally/pick?pickup_date=2026-05-11&amp;return_date=2026-05-18&amp;currency=EUR&amp;startStation=60&amp;endStation=59",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Suecia</t>
        </is>
      </c>
      <c r="D577" t="inlineStr">
        <is>
          <t>Estocolmo</t>
        </is>
      </c>
      <c r="E577" t="inlineStr">
        <is>
          <t>2026-03-05</t>
        </is>
      </c>
      <c r="F577" t="inlineStr">
        <is>
          <t>2026-03-12</t>
        </is>
      </c>
      <c r="G577" t="inlineStr"/>
      <c r="H577">
        <f>HYPERLINK("https://booking.roadsurfer.com/es/rally/pick?pickup_date=2026-03-05&amp;return_date=2026-03-12&amp;currency=EUR&amp;startStation=60&amp;endStation=59",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Suecia</t>
        </is>
      </c>
      <c r="D578" t="inlineStr">
        <is>
          <t>Estocolmo</t>
        </is>
      </c>
      <c r="E578" t="inlineStr">
        <is>
          <t>2026-03-04</t>
        </is>
      </c>
      <c r="F578" t="inlineStr">
        <is>
          <t>2026-03-11</t>
        </is>
      </c>
      <c r="G578" t="inlineStr">
        <is>
          <t xml:space="preserve"> - Surfer Suite</t>
        </is>
      </c>
      <c r="H578">
        <f>HYPERLINK("https://booking.roadsurfer.com/es/rally/pick?pickup_date=2026-03-04&amp;return_date=2026-03-11&amp;currency=EUR&amp;startStation=60&amp;endStation=59",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Hannover</t>
        </is>
      </c>
      <c r="E579" t="inlineStr">
        <is>
          <t>2026-03-09</t>
        </is>
      </c>
      <c r="F579" t="inlineStr">
        <is>
          <t>2026-03-16</t>
        </is>
      </c>
      <c r="G579" t="inlineStr">
        <is>
          <t xml:space="preserve"> - Surfer Suite</t>
        </is>
      </c>
      <c r="H579">
        <f>HYPERLINK("https://booking.roadsurfer.com/es/rally/pick?pickup_date=2026-03-09&amp;return_date=2026-03-16&amp;currency=EUR&amp;startStation=60&amp;endStation=7",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Maguncia</t>
        </is>
      </c>
      <c r="E580" t="inlineStr">
        <is>
          <t>2026-03-23</t>
        </is>
      </c>
      <c r="F580" t="inlineStr">
        <is>
          <t>2026-03-30</t>
        </is>
      </c>
      <c r="G580" t="inlineStr">
        <is>
          <t xml:space="preserve"> - Surfer Suite</t>
        </is>
      </c>
      <c r="H580">
        <f>HYPERLINK("https://booking.roadsurfer.com/es/rally/pick?pickup_date=2026-03-23&amp;return_date=2026-03-30&amp;currency=EUR&amp;startStation=60&amp;endStation=54",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Dresde</t>
        </is>
      </c>
      <c r="E581" t="inlineStr">
        <is>
          <t>2026-03-25</t>
        </is>
      </c>
      <c r="F581" t="inlineStr">
        <is>
          <t>2026-04-01</t>
        </is>
      </c>
      <c r="G581" t="inlineStr">
        <is>
          <t xml:space="preserve"> - SURFER SUITE</t>
        </is>
      </c>
      <c r="H581">
        <f>HYPERLINK("https://booking.roadsurfer.com/es/rally/pick?pickup_date=2026-03-25&amp;return_date=2026-04-01&amp;currency=EUR&amp;startStation=60&amp;endStation=56",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Gotemburgo</t>
        </is>
      </c>
      <c r="E582" t="inlineStr">
        <is>
          <t>2026-02-27</t>
        </is>
      </c>
      <c r="F582" t="inlineStr">
        <is>
          <t>2026-03-06</t>
        </is>
      </c>
      <c r="G582" t="inlineStr">
        <is>
          <t xml:space="preserve"> - Surfer Suite</t>
        </is>
      </c>
      <c r="H582">
        <f>HYPERLINK("https://booking.roadsurfer.com/es/rally/pick?pickup_date=2026-02-27&amp;return_date=2026-03-06&amp;currency=EUR&amp;startStation=22&amp;endStation=77",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2026-03-27</t>
        </is>
      </c>
      <c r="F583" t="inlineStr">
        <is>
          <t>2026-04-03</t>
        </is>
      </c>
      <c r="G583" t="inlineStr">
        <is>
          <t xml:space="preserve"> - No hay coche</t>
        </is>
      </c>
      <c r="H583">
        <f>HYPERLINK("https://booking.roadsurfer.com/es/rally/pick?pickup_date=2026-03-27&amp;return_date=2026-04-03&amp;currency=EUR&amp;startStation=22&amp;endStation=77",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Gotemburgo</t>
        </is>
      </c>
      <c r="E584" t="inlineStr">
        <is>
          <t>2026-03-31</t>
        </is>
      </c>
      <c r="F584" t="inlineStr">
        <is>
          <t>2026-04-07</t>
        </is>
      </c>
      <c r="G584" t="inlineStr">
        <is>
          <t xml:space="preserve"> - Surfer Suite</t>
        </is>
      </c>
      <c r="H584">
        <f>HYPERLINK("https://booking.roadsurfer.com/es/rally/pick?pickup_date=2026-03-31&amp;return_date=2026-04-07&amp;currency=EUR&amp;startStation=22&amp;endStation=77",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Gotemburgo</t>
        </is>
      </c>
      <c r="E585" t="inlineStr">
        <is>
          <t>2026-04-02</t>
        </is>
      </c>
      <c r="F585" t="inlineStr">
        <is>
          <t>2026-04-09</t>
        </is>
      </c>
      <c r="G585" t="inlineStr">
        <is>
          <t xml:space="preserve"> - Couple Cottage</t>
        </is>
      </c>
      <c r="H585">
        <f>HYPERLINK("https://booking.roadsurfer.com/es/rally/pick?pickup_date=2026-04-02&amp;return_date=2026-04-09&amp;currency=EUR&amp;startStation=22&amp;endStation=77",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París Sur (Orly)</t>
        </is>
      </c>
      <c r="E586" t="inlineStr">
        <is>
          <t>2026-03-04</t>
        </is>
      </c>
      <c r="F586" t="inlineStr">
        <is>
          <t>2026-03-11</t>
        </is>
      </c>
      <c r="G586" t="inlineStr">
        <is>
          <t xml:space="preserve"> - Surfer Suite</t>
        </is>
      </c>
      <c r="H586">
        <f>HYPERLINK("https://booking.roadsurfer.com/es/rally/pick?pickup_date=2026-03-04&amp;return_date=2026-03-11&amp;currency=EUR&amp;startStation=22&amp;endStation=12",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París Sur (Orly)</t>
        </is>
      </c>
      <c r="E587" t="inlineStr">
        <is>
          <t>2026-03-28</t>
        </is>
      </c>
      <c r="F587" t="inlineStr">
        <is>
          <t>2026-04-04</t>
        </is>
      </c>
      <c r="G587" t="inlineStr">
        <is>
          <t xml:space="preserve"> - No hay coche</t>
        </is>
      </c>
      <c r="H587">
        <f>HYPERLINK("https://booking.roadsurfer.com/es/rally/pick?pickup_date=2026-03-28&amp;return_date=2026-04-04&amp;currency=EUR&amp;startStation=22&amp;endStation=12",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París Sur (Orly)</t>
        </is>
      </c>
      <c r="E588" t="inlineStr">
        <is>
          <t>2026-03-24</t>
        </is>
      </c>
      <c r="F588" t="inlineStr">
        <is>
          <t>2026-03-31</t>
        </is>
      </c>
      <c r="G588" t="inlineStr">
        <is>
          <t xml:space="preserve"> - Surfer Suite</t>
        </is>
      </c>
      <c r="H588">
        <f>HYPERLINK("https://booking.roadsurfer.com/es/rally/pick?pickup_date=2026-03-24&amp;return_date=2026-03-31&amp;currency=EUR&amp;startStation=22&amp;endStation=12",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Bérgamo</t>
        </is>
      </c>
      <c r="E589" t="inlineStr">
        <is>
          <t>2026-03-06</t>
        </is>
      </c>
      <c r="F589" t="inlineStr">
        <is>
          <t>2026-03-13</t>
        </is>
      </c>
      <c r="G589" t="inlineStr"/>
      <c r="H589">
        <f>HYPERLINK("https://booking.roadsurfer.com/es/rally/pick?pickup_date=2026-03-06&amp;return_date=2026-03-13&amp;currency=EUR&amp;startStation=22&amp;endStation=94",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París Aeropuerto CDG</t>
        </is>
      </c>
      <c r="E590" t="inlineStr">
        <is>
          <t>2026-03-03</t>
        </is>
      </c>
      <c r="F590" t="inlineStr">
        <is>
          <t>2026-03-13</t>
        </is>
      </c>
      <c r="G590" t="inlineStr">
        <is>
          <t xml:space="preserve"> - Surfer Suite</t>
        </is>
      </c>
      <c r="H590">
        <f>HYPERLINK("https://booking.roadsurfer.com/es/rally/pick?pickup_date=2026-03-03&amp;return_date=2026-03-13&amp;currency=EUR&amp;startStation=22&amp;endStation=48",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París Aeropuerto CDG</t>
        </is>
      </c>
      <c r="E591" t="inlineStr">
        <is>
          <t>2026-03-02</t>
        </is>
      </c>
      <c r="F591" t="inlineStr">
        <is>
          <t>2026-03-12</t>
        </is>
      </c>
      <c r="G591" t="inlineStr"/>
      <c r="H591">
        <f>HYPERLINK("https://booking.roadsurfer.com/es/rally/pick?pickup_date=2026-03-02&amp;return_date=2026-03-12&amp;currency=EUR&amp;startStation=22&amp;endStation=48",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Ginebra-Pays de Gex (Francia)</t>
        </is>
      </c>
      <c r="E592" t="inlineStr">
        <is>
          <t>2026-03-05</t>
        </is>
      </c>
      <c r="F592" t="inlineStr">
        <is>
          <t>2026-03-12</t>
        </is>
      </c>
      <c r="G592" t="inlineStr">
        <is>
          <t xml:space="preserve"> - Surfer Suite</t>
        </is>
      </c>
      <c r="H592">
        <f>HYPERLINK("https://booking.roadsurfer.com/es/rally/pick?pickup_date=2026-03-05&amp;return_date=2026-03-12&amp;currency=EUR&amp;startStation=22&amp;endStation=29",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Ginebra-Pays de Gex (Francia)</t>
        </is>
      </c>
      <c r="E593" t="inlineStr">
        <is>
          <t>2026-04-07</t>
        </is>
      </c>
      <c r="F593" t="inlineStr">
        <is>
          <t>2026-04-14</t>
        </is>
      </c>
      <c r="G593" t="inlineStr">
        <is>
          <t xml:space="preserve"> - Family Finca</t>
        </is>
      </c>
      <c r="H593">
        <f>HYPERLINK("https://booking.roadsurfer.com/es/rally/pick?pickup_date=2026-04-07&amp;return_date=2026-04-14&amp;currency=EUR&amp;startStation=22&amp;endStation=29",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Ginebra-Pays de Gex (Francia)</t>
        </is>
      </c>
      <c r="E594" t="inlineStr">
        <is>
          <t>2026-02-27</t>
        </is>
      </c>
      <c r="F594" t="inlineStr">
        <is>
          <t>2026-03-06</t>
        </is>
      </c>
      <c r="G594" t="inlineStr"/>
      <c r="H594">
        <f>HYPERLINK("https://booking.roadsurfer.com/es/rally/pick?pickup_date=2026-02-27&amp;return_date=2026-03-06&amp;currency=EUR&amp;startStation=22&amp;endStation=29",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Milán</t>
        </is>
      </c>
      <c r="E595" t="inlineStr">
        <is>
          <t>2026-03-02</t>
        </is>
      </c>
      <c r="F595" t="inlineStr">
        <is>
          <t>2026-03-09</t>
        </is>
      </c>
      <c r="G595" t="inlineStr">
        <is>
          <t xml:space="preserve"> - Beach Hostel</t>
        </is>
      </c>
      <c r="H595">
        <f>HYPERLINK("https://booking.roadsurfer.com/es/rally/pick?pickup_date=2026-03-02&amp;return_date=2026-03-09&amp;currency=EUR&amp;startStation=22&amp;endStation=34",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Milán</t>
        </is>
      </c>
      <c r="E596" t="inlineStr">
        <is>
          <t>2026-03-19</t>
        </is>
      </c>
      <c r="F596" t="inlineStr">
        <is>
          <t>2026-03-26</t>
        </is>
      </c>
      <c r="G596" t="inlineStr">
        <is>
          <t xml:space="preserve"> - Surfer Suite</t>
        </is>
      </c>
      <c r="H596">
        <f>HYPERLINK("https://booking.roadsurfer.com/es/rally/pick?pickup_date=2026-03-19&amp;return_date=2026-03-26&amp;currency=EUR&amp;startStation=22&amp;endStation=34",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España</t>
        </is>
      </c>
      <c r="D597" t="inlineStr">
        <is>
          <t>Madrid</t>
        </is>
      </c>
      <c r="E597" t="inlineStr">
        <is>
          <t>2026-03-02</t>
        </is>
      </c>
      <c r="F597" t="inlineStr">
        <is>
          <t>2026-03-09</t>
        </is>
      </c>
      <c r="G597" t="inlineStr">
        <is>
          <t xml:space="preserve"> - Beach Hostel - Family Finca</t>
        </is>
      </c>
      <c r="H597">
        <f>HYPERLINK("https://booking.roadsurfer.com/es/rally/pick?pickup_date=2026-03-02&amp;return_date=2026-03-09&amp;currency=EUR&amp;startStation=22&amp;endStation=20",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Roma Aeropuerto Fiumicino</t>
        </is>
      </c>
      <c r="E598" t="inlineStr">
        <is>
          <t>2026-03-05</t>
        </is>
      </c>
      <c r="F598" t="inlineStr">
        <is>
          <t>2026-03-12</t>
        </is>
      </c>
      <c r="G598" t="inlineStr">
        <is>
          <t xml:space="preserve"> - Beach Hostel</t>
        </is>
      </c>
      <c r="H598">
        <f>HYPERLINK("https://booking.roadsurfer.com/es/rally/pick?pickup_date=2026-03-05&amp;return_date=2026-03-12&amp;currency=EUR&amp;startStation=22&amp;endStation=35",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España</t>
        </is>
      </c>
      <c r="D599" t="inlineStr">
        <is>
          <t>Sevilla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Beach Hostel</t>
        </is>
      </c>
      <c r="H599">
        <f>HYPERLINK("https://booking.roadsurfer.com/es/rally/pick?pickup_date=2026-03-09&amp;return_date=2026-03-16&amp;currency=EUR&amp;startStation=22&amp;endStation=39",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Países Bajos</t>
        </is>
      </c>
      <c r="D600" t="inlineStr">
        <is>
          <t>Ámsterdam</t>
        </is>
      </c>
      <c r="E600" t="inlineStr">
        <is>
          <t>2026-03-20</t>
        </is>
      </c>
      <c r="F600" t="inlineStr">
        <is>
          <t>2026-03-27</t>
        </is>
      </c>
      <c r="G600" t="inlineStr">
        <is>
          <t xml:space="preserve"> - Road House</t>
        </is>
      </c>
      <c r="H600">
        <f>HYPERLINK("https://booking.roadsurfer.com/es/rally/pick?pickup_date=2026-03-20&amp;return_date=2026-03-27&amp;currency=EUR&amp;startStation=22&amp;endStation=32",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Turín</t>
        </is>
      </c>
      <c r="E601" t="inlineStr">
        <is>
          <t>2026-03-06</t>
        </is>
      </c>
      <c r="F601" t="inlineStr">
        <is>
          <t>2026-03-13</t>
        </is>
      </c>
      <c r="G601" t="inlineStr">
        <is>
          <t xml:space="preserve"> - Family Finca</t>
        </is>
      </c>
      <c r="H601">
        <f>HYPERLINK("https://booking.roadsurfer.com/es/rally/pick?pickup_date=2026-03-06&amp;return_date=2026-03-13&amp;currency=EUR&amp;startStation=22&amp;endStation=58",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Turín</t>
        </is>
      </c>
      <c r="E602" t="inlineStr">
        <is>
          <t>2026-03-16</t>
        </is>
      </c>
      <c r="F602" t="inlineStr">
        <is>
          <t>2026-03-23</t>
        </is>
      </c>
      <c r="G602" t="inlineStr">
        <is>
          <t xml:space="preserve"> - Family Finca</t>
        </is>
      </c>
      <c r="H602">
        <f>HYPERLINK("https://booking.roadsurfer.com/es/rally/pick?pickup_date=2026-03-16&amp;return_date=2026-03-23&amp;currency=EUR&amp;startStation=22&amp;endStation=58",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Lyon</t>
        </is>
      </c>
      <c r="E603" t="inlineStr">
        <is>
          <t>2026-03-16</t>
        </is>
      </c>
      <c r="F603" t="inlineStr">
        <is>
          <t>2026-03-23</t>
        </is>
      </c>
      <c r="G603" t="inlineStr"/>
      <c r="H603">
        <f>HYPERLINK("https://booking.roadsurfer.com/es/rally/pick?pickup_date=2026-03-16&amp;return_date=2026-03-23&amp;currency=EUR&amp;startStation=22&amp;endStation=15",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Suecia</t>
        </is>
      </c>
      <c r="D604" t="inlineStr">
        <is>
          <t>Malmö</t>
        </is>
      </c>
      <c r="E604" t="inlineStr">
        <is>
          <t>2026-03-17</t>
        </is>
      </c>
      <c r="F604" t="inlineStr">
        <is>
          <t>2026-03-24</t>
        </is>
      </c>
      <c r="G604" t="inlineStr">
        <is>
          <t xml:space="preserve"> - Family Finca</t>
        </is>
      </c>
      <c r="H604">
        <f>HYPERLINK("https://booking.roadsurfer.com/es/rally/pick?pickup_date=2026-03-17&amp;return_date=2026-03-24&amp;currency=EUR&amp;startStation=22&amp;endStation=60",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Malmö</t>
        </is>
      </c>
      <c r="E605" t="inlineStr">
        <is>
          <t>2026-03-27</t>
        </is>
      </c>
      <c r="F605" t="inlineStr">
        <is>
          <t>2026-04-03</t>
        </is>
      </c>
      <c r="G605" t="inlineStr"/>
      <c r="H605">
        <f>HYPERLINK("https://booking.roadsurfer.com/es/rally/pick?pickup_date=2026-03-27&amp;return_date=2026-04-03&amp;currency=EUR&amp;startStation=22&amp;endStation=60",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Hamburgo</t>
        </is>
      </c>
      <c r="E606" t="inlineStr">
        <is>
          <t>2026-03-14</t>
        </is>
      </c>
      <c r="F606" t="inlineStr">
        <is>
          <t>2026-03-21</t>
        </is>
      </c>
      <c r="G606" t="inlineStr">
        <is>
          <t xml:space="preserve"> - Road House</t>
        </is>
      </c>
      <c r="H606">
        <f>HYPERLINK("https://booking.roadsurfer.com/es/rally/pick?pickup_date=2026-03-14&amp;return_date=2026-03-21&amp;currency=EUR&amp;startStation=34&amp;endStation=3",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Hamburgo</t>
        </is>
      </c>
      <c r="E607" t="inlineStr">
        <is>
          <t>2026-03-16</t>
        </is>
      </c>
      <c r="F607" t="inlineStr">
        <is>
          <t>2026-03-23</t>
        </is>
      </c>
      <c r="G607" t="inlineStr"/>
      <c r="H607">
        <f>HYPERLINK("https://booking.roadsurfer.com/es/rally/pick?pickup_date=2026-03-16&amp;return_date=2026-03-23&amp;currency=EUR&amp;startStation=34&amp;endStation=3",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2026-03-19</t>
        </is>
      </c>
      <c r="F608" t="inlineStr">
        <is>
          <t>2026-03-26</t>
        </is>
      </c>
      <c r="G608" t="inlineStr"/>
      <c r="H608">
        <f>HYPERLINK("https://booking.roadsurfer.com/es/rally/pick?pickup_date=2026-03-19&amp;return_date=2026-03-26&amp;currency=EUR&amp;startStation=34&amp;endStation=22",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2026-04-14</t>
        </is>
      </c>
      <c r="F609" t="inlineStr">
        <is>
          <t>2026-04-21</t>
        </is>
      </c>
      <c r="G609" t="inlineStr"/>
      <c r="H609">
        <f>HYPERLINK("https://booking.roadsurfer.com/es/rally/pick?pickup_date=2026-04-14&amp;return_date=2026-04-21&amp;currency=EUR&amp;startStation=34&amp;endStation=22",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2026-03-09</t>
        </is>
      </c>
      <c r="F610" t="inlineStr">
        <is>
          <t>2026-03-16</t>
        </is>
      </c>
      <c r="G610" t="inlineStr"/>
      <c r="H610">
        <f>HYPERLINK("https://booking.roadsurfer.com/es/rally/pick?pickup_date=2026-03-09&amp;return_date=2026-03-16&amp;currency=EUR&amp;startStation=34&amp;endStation=22",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2026-03-10</t>
        </is>
      </c>
      <c r="F611" t="inlineStr">
        <is>
          <t>2026-03-17</t>
        </is>
      </c>
      <c r="G611" t="inlineStr">
        <is>
          <t xml:space="preserve"> - Surfer Suite</t>
        </is>
      </c>
      <c r="H611">
        <f>HYPERLINK("https://booking.roadsurfer.com/es/rally/pick?pickup_date=2026-03-10&amp;return_date=2026-03-17&amp;currency=EUR&amp;startStation=34&amp;endStation=22",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2026-03-15</t>
        </is>
      </c>
      <c r="F612" t="inlineStr">
        <is>
          <t>2026-03-22</t>
        </is>
      </c>
      <c r="G612" t="inlineStr"/>
      <c r="H612">
        <f>HYPERLINK("https://booking.roadsurfer.com/es/rally/pick?pickup_date=2026-03-15&amp;return_date=2026-03-22&amp;currency=EUR&amp;startStation=34&amp;endStation=22",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Family Finca</t>
        </is>
      </c>
      <c r="H613">
        <f>HYPERLINK("https://booking.roadsurfer.com/es/rally/pick?pickup_date=2026-03-12&amp;return_date=2026-03-19&amp;currency=EUR&amp;startStation=34&amp;endStation=56",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Erfurt</t>
        </is>
      </c>
      <c r="E614" t="inlineStr">
        <is>
          <t>2026-03-14</t>
        </is>
      </c>
      <c r="F614" t="inlineStr">
        <is>
          <t>2026-03-21</t>
        </is>
      </c>
      <c r="G614" t="inlineStr"/>
      <c r="H614">
        <f>HYPERLINK("https://booking.roadsurfer.com/es/rally/pick?pickup_date=2026-03-14&amp;return_date=2026-03-21&amp;currency=EUR&amp;startStation=34&amp;endStation=90",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Italia</t>
        </is>
      </c>
      <c r="D615" t="inlineStr">
        <is>
          <t>Florencia</t>
        </is>
      </c>
      <c r="E615" t="inlineStr">
        <is>
          <t>2026-03-02</t>
        </is>
      </c>
      <c r="F615" t="inlineStr">
        <is>
          <t>2026-03-09</t>
        </is>
      </c>
      <c r="G615" t="inlineStr">
        <is>
          <t xml:space="preserve"> - Surfer Suite</t>
        </is>
      </c>
      <c r="H615">
        <f>HYPERLINK("https://booking.roadsurfer.com/es/rally/pick?pickup_date=2026-03-02&amp;return_date=2026-03-09&amp;currency=EUR&amp;startStation=1&amp;endStation=80",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Países Bajos</t>
        </is>
      </c>
      <c r="D616" t="inlineStr">
        <is>
          <t>Ámsterdam</t>
        </is>
      </c>
      <c r="E616" t="inlineStr">
        <is>
          <t>2026-03-12</t>
        </is>
      </c>
      <c r="F616" t="inlineStr">
        <is>
          <t>2026-03-19</t>
        </is>
      </c>
      <c r="G616" t="inlineStr">
        <is>
          <t xml:space="preserve"> - Surfer Suite</t>
        </is>
      </c>
      <c r="H616">
        <f>HYPERLINK("https://booking.roadsurfer.com/es/rally/pick?pickup_date=2026-03-12&amp;return_date=2026-03-19&amp;currency=EUR&amp;startStation=1&amp;endStation=32",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Países Bajos</t>
        </is>
      </c>
      <c r="D617" t="inlineStr">
        <is>
          <t>Ámsterdam</t>
        </is>
      </c>
      <c r="E617" t="inlineStr">
        <is>
          <t>2026-03-14</t>
        </is>
      </c>
      <c r="F617" t="inlineStr">
        <is>
          <t>2026-03-21</t>
        </is>
      </c>
      <c r="G617" t="inlineStr">
        <is>
          <t xml:space="preserve"> - Surfer Suite</t>
        </is>
      </c>
      <c r="H617">
        <f>HYPERLINK("https://booking.roadsurfer.com/es/rally/pick?pickup_date=2026-03-14&amp;return_date=2026-03-21&amp;currency=EUR&amp;startStation=1&amp;endStation=32",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Países Bajos</t>
        </is>
      </c>
      <c r="D618" t="inlineStr">
        <is>
          <t>Ámsterdam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Road House</t>
        </is>
      </c>
      <c r="H618">
        <f>HYPERLINK("https://booking.roadsurfer.com/es/rally/pick?pickup_date=2026-03-16&amp;return_date=2026-03-23&amp;currency=EUR&amp;startStation=1&amp;endStation=32",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Países Bajos</t>
        </is>
      </c>
      <c r="D619" t="inlineStr">
        <is>
          <t>Ámsterdam</t>
        </is>
      </c>
      <c r="E619" t="inlineStr">
        <is>
          <t>2026-03-17</t>
        </is>
      </c>
      <c r="F619" t="inlineStr">
        <is>
          <t>2026-03-24</t>
        </is>
      </c>
      <c r="G619" t="inlineStr">
        <is>
          <t xml:space="preserve"> - Camper Cabin</t>
        </is>
      </c>
      <c r="H619">
        <f>HYPERLINK("https://booking.roadsurfer.com/es/rally/pick?pickup_date=2026-03-17&amp;return_date=2026-03-24&amp;currency=EUR&amp;startStation=1&amp;endStation=32",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2026-03-19</t>
        </is>
      </c>
      <c r="F620" t="inlineStr">
        <is>
          <t>2026-03-26</t>
        </is>
      </c>
      <c r="G620" t="inlineStr">
        <is>
          <t xml:space="preserve"> - Camper Castle</t>
        </is>
      </c>
      <c r="H620">
        <f>HYPERLINK("https://booking.roadsurfer.com/es/rally/pick?pickup_date=2026-03-19&amp;return_date=2026-03-26&amp;currency=EUR&amp;startStation=1&amp;endStation=32",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Austria</t>
        </is>
      </c>
      <c r="D621" t="inlineStr">
        <is>
          <t>Viena</t>
        </is>
      </c>
      <c r="E621" t="inlineStr">
        <is>
          <t>2026-03-07</t>
        </is>
      </c>
      <c r="F621" t="inlineStr">
        <is>
          <t>2026-03-14</t>
        </is>
      </c>
      <c r="G621" t="inlineStr"/>
      <c r="H621">
        <f>HYPERLINK("https://booking.roadsurfer.com/es/rally/pick?pickup_date=2026-03-07&amp;return_date=2026-03-14&amp;currency=EUR&amp;startStation=1&amp;endStation=36",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Austria</t>
        </is>
      </c>
      <c r="D622" t="inlineStr">
        <is>
          <t>Viena</t>
        </is>
      </c>
      <c r="E622" t="inlineStr">
        <is>
          <t>2026-03-21</t>
        </is>
      </c>
      <c r="F622" t="inlineStr">
        <is>
          <t>2026-03-28</t>
        </is>
      </c>
      <c r="G622" t="inlineStr">
        <is>
          <t xml:space="preserve"> - Surfer Suite</t>
        </is>
      </c>
      <c r="H622">
        <f>HYPERLINK("https://booking.roadsurfer.com/es/rally/pick?pickup_date=2026-03-21&amp;return_date=2026-03-28&amp;currency=EUR&amp;startStation=1&amp;endStation=36",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Austria</t>
        </is>
      </c>
      <c r="D623" t="inlineStr">
        <is>
          <t>Viena</t>
        </is>
      </c>
      <c r="E623" t="inlineStr">
        <is>
          <t>2026-03-13</t>
        </is>
      </c>
      <c r="F623" t="inlineStr">
        <is>
          <t>2026-03-20</t>
        </is>
      </c>
      <c r="G623" t="inlineStr"/>
      <c r="H623">
        <f>HYPERLINK("https://booking.roadsurfer.com/es/rally/pick?pickup_date=2026-03-13&amp;return_date=2026-03-20&amp;currency=EUR&amp;startStation=1&amp;endStation=36",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Austria</t>
        </is>
      </c>
      <c r="D624" t="inlineStr">
        <is>
          <t>Viena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Surfer Suite</t>
        </is>
      </c>
      <c r="H624">
        <f>HYPERLINK("https://booking.roadsurfer.com/es/rally/pick?pickup_date=2026-03-12&amp;return_date=2026-03-19&amp;currency=EUR&amp;startStation=1&amp;endStation=36",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Austria</t>
        </is>
      </c>
      <c r="D625" t="inlineStr">
        <is>
          <t>Viena</t>
        </is>
      </c>
      <c r="E625" t="inlineStr">
        <is>
          <t>2026-03-16</t>
        </is>
      </c>
      <c r="F625" t="inlineStr">
        <is>
          <t>2026-03-23</t>
        </is>
      </c>
      <c r="G625" t="inlineStr">
        <is>
          <t xml:space="preserve"> - Road House</t>
        </is>
      </c>
      <c r="H625">
        <f>HYPERLINK("https://booking.roadsurfer.com/es/rally/pick?pickup_date=2026-03-16&amp;return_date=2026-03-23&amp;currency=EUR&amp;startStation=1&amp;endStation=36",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Austria</t>
        </is>
      </c>
      <c r="D626" t="inlineStr">
        <is>
          <t>Viena</t>
        </is>
      </c>
      <c r="E626" t="inlineStr">
        <is>
          <t>2026-03-09</t>
        </is>
      </c>
      <c r="F626" t="inlineStr">
        <is>
          <t>2026-03-16</t>
        </is>
      </c>
      <c r="G626" t="inlineStr">
        <is>
          <t xml:space="preserve"> - Surfer Suite</t>
        </is>
      </c>
      <c r="H626">
        <f>HYPERLINK("https://booking.roadsurfer.com/es/rally/pick?pickup_date=2026-03-09&amp;return_date=2026-03-16&amp;currency=EUR&amp;startStation=1&amp;endStation=36",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Austria</t>
        </is>
      </c>
      <c r="D627" t="inlineStr">
        <is>
          <t>Viena</t>
        </is>
      </c>
      <c r="E627" t="inlineStr">
        <is>
          <t>2026-03-11</t>
        </is>
      </c>
      <c r="F627" t="inlineStr">
        <is>
          <t>2026-03-18</t>
        </is>
      </c>
      <c r="G627" t="inlineStr">
        <is>
          <t xml:space="preserve"> - Surfer Suite</t>
        </is>
      </c>
      <c r="H627">
        <f>HYPERLINK("https://booking.roadsurfer.com/es/rally/pick?pickup_date=2026-03-11&amp;return_date=2026-03-18&amp;currency=EUR&amp;startStation=1&amp;endStation=36",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Milán</t>
        </is>
      </c>
      <c r="E628" t="inlineStr">
        <is>
          <t>2026-03-12</t>
        </is>
      </c>
      <c r="F628" t="inlineStr">
        <is>
          <t>2026-03-19</t>
        </is>
      </c>
      <c r="G628" t="inlineStr">
        <is>
          <t xml:space="preserve"> - Surfer Suite</t>
        </is>
      </c>
      <c r="H628">
        <f>HYPERLINK("https://booking.roadsurfer.com/es/rally/pick?pickup_date=2026-03-12&amp;return_date=2026-03-19&amp;currency=EUR&amp;startStation=1&amp;endStation=34",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2026-03-14</t>
        </is>
      </c>
      <c r="F629" t="inlineStr">
        <is>
          <t>2026-03-21</t>
        </is>
      </c>
      <c r="G629" t="inlineStr">
        <is>
          <t xml:space="preserve"> - Surfer Suite</t>
        </is>
      </c>
      <c r="H629">
        <f>HYPERLINK("https://booking.roadsurfer.com/es/rally/pick?pickup_date=2026-03-14&amp;return_date=2026-03-21&amp;currency=EUR&amp;startStation=1&amp;endStation=34",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Milán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BEACH HOSTEL</t>
        </is>
      </c>
      <c r="H630">
        <f>HYPERLINK("https://booking.roadsurfer.com/es/rally/pick?pickup_date=2026-03-16&amp;return_date=2026-03-23&amp;currency=EUR&amp;startStation=1&amp;endStation=34",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Francia</t>
        </is>
      </c>
      <c r="D631" t="inlineStr">
        <is>
          <t>Toulouse</t>
        </is>
      </c>
      <c r="E631" t="inlineStr">
        <is>
          <t>2026-03-20</t>
        </is>
      </c>
      <c r="F631" t="inlineStr">
        <is>
          <t>2026-03-27</t>
        </is>
      </c>
      <c r="G631" t="inlineStr">
        <is>
          <t xml:space="preserve"> - Surfer Suite</t>
        </is>
      </c>
      <c r="H631">
        <f>HYPERLINK("https://booking.roadsurfer.com/es/rally/pick?pickup_date=2026-03-20&amp;return_date=2026-03-27&amp;currency=EUR&amp;startStation=1&amp;endStation=30",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Francia</t>
        </is>
      </c>
      <c r="D632" t="inlineStr">
        <is>
          <t>Toulouse</t>
        </is>
      </c>
      <c r="E632" t="inlineStr">
        <is>
          <t>2026-03-16</t>
        </is>
      </c>
      <c r="F632" t="inlineStr">
        <is>
          <t>2026-03-23</t>
        </is>
      </c>
      <c r="G632" t="inlineStr"/>
      <c r="H632">
        <f>HYPERLINK("https://booking.roadsurfer.com/es/rally/pick?pickup_date=2026-03-16&amp;return_date=2026-03-23&amp;currency=EUR&amp;startStation=1&amp;endStation=30",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Venecia</t>
        </is>
      </c>
      <c r="E633" t="inlineStr">
        <is>
          <t>2026-03-07</t>
        </is>
      </c>
      <c r="F633" t="inlineStr">
        <is>
          <t>2026-03-14</t>
        </is>
      </c>
      <c r="G633" t="inlineStr">
        <is>
          <t xml:space="preserve"> - Couple Cottage</t>
        </is>
      </c>
      <c r="H633">
        <f>HYPERLINK("https://booking.roadsurfer.com/es/rally/pick?pickup_date=2026-03-07&amp;return_date=2026-03-14&amp;currency=EUR&amp;startStation=1&amp;endStation=78",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Venecia</t>
        </is>
      </c>
      <c r="E634" t="inlineStr">
        <is>
          <t>2026-03-14</t>
        </is>
      </c>
      <c r="F634" t="inlineStr">
        <is>
          <t>2026-03-21</t>
        </is>
      </c>
      <c r="G634" t="inlineStr">
        <is>
          <t xml:space="preserve"> - No hay coche</t>
        </is>
      </c>
      <c r="H634">
        <f>HYPERLINK("https://booking.roadsurfer.com/es/rally/pick?pickup_date=2026-03-14&amp;return_date=2026-03-21&amp;currency=EUR&amp;startStation=1&amp;endStation=78",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Venecia</t>
        </is>
      </c>
      <c r="E635" t="inlineStr">
        <is>
          <t>2026-03-12</t>
        </is>
      </c>
      <c r="F635" t="inlineStr">
        <is>
          <t>2026-03-19</t>
        </is>
      </c>
      <c r="G635" t="inlineStr">
        <is>
          <t xml:space="preserve"> - Camper Castle</t>
        </is>
      </c>
      <c r="H635">
        <f>HYPERLINK("https://booking.roadsurfer.com/es/rally/pick?pickup_date=2026-03-12&amp;return_date=2026-03-19&amp;currency=EUR&amp;startStation=1&amp;endStation=78",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2026-03-15</t>
        </is>
      </c>
      <c r="F636" t="inlineStr">
        <is>
          <t>2026-03-22</t>
        </is>
      </c>
      <c r="G636" t="inlineStr">
        <is>
          <t xml:space="preserve"> - No hay coche</t>
        </is>
      </c>
      <c r="H636">
        <f>HYPERLINK("https://booking.roadsurfer.com/es/rally/pick?pickup_date=2026-03-15&amp;return_date=2026-03-22&amp;currency=EUR&amp;startStation=1&amp;endStation=78",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Venecia</t>
        </is>
      </c>
      <c r="E637" t="inlineStr">
        <is>
          <t>2026-03-13</t>
        </is>
      </c>
      <c r="F637" t="inlineStr">
        <is>
          <t>2026-03-20</t>
        </is>
      </c>
      <c r="G637" t="inlineStr">
        <is>
          <t xml:space="preserve"> - Surfer Suite - Camper Castle</t>
        </is>
      </c>
      <c r="H637">
        <f>HYPERLINK("https://booking.roadsurfer.com/es/rally/pick?pickup_date=2026-03-13&amp;return_date=2026-03-20&amp;currency=EUR&amp;startStation=1&amp;endStation=78",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Venecia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FAMILY FINCA</t>
        </is>
      </c>
      <c r="H638">
        <f>HYPERLINK("https://booking.roadsurfer.com/es/rally/pick?pickup_date=2026-03-16&amp;return_date=2026-03-23&amp;currency=EUR&amp;startStation=1&amp;endStation=78",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Venecia</t>
        </is>
      </c>
      <c r="E639" t="inlineStr">
        <is>
          <t>2026-03-17</t>
        </is>
      </c>
      <c r="F639" t="inlineStr">
        <is>
          <t>2026-03-24</t>
        </is>
      </c>
      <c r="G639" t="inlineStr">
        <is>
          <t xml:space="preserve"> - Surfer Suite - Couple Cottage</t>
        </is>
      </c>
      <c r="H639">
        <f>HYPERLINK("https://booking.roadsurfer.com/es/rally/pick?pickup_date=2026-03-17&amp;return_date=2026-03-24&amp;currency=EUR&amp;startStation=1&amp;endStation=78",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2026-03-18</t>
        </is>
      </c>
      <c r="F640" t="inlineStr">
        <is>
          <t>2026-03-25</t>
        </is>
      </c>
      <c r="G640" t="inlineStr">
        <is>
          <t xml:space="preserve"> - Road House</t>
        </is>
      </c>
      <c r="H640">
        <f>HYPERLINK("https://booking.roadsurfer.com/es/rally/pick?pickup_date=2026-03-18&amp;return_date=2026-03-25&amp;currency=EUR&amp;startStation=1&amp;endStation=78",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2026-03-19</t>
        </is>
      </c>
      <c r="F641" t="inlineStr">
        <is>
          <t>2026-03-26</t>
        </is>
      </c>
      <c r="G641" t="inlineStr">
        <is>
          <t xml:space="preserve"> - Road House</t>
        </is>
      </c>
      <c r="H641">
        <f>HYPERLINK("https://booking.roadsurfer.com/es/rally/pick?pickup_date=2026-03-19&amp;return_date=2026-03-26&amp;currency=EUR&amp;startStation=1&amp;endStation=78",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Venecia</t>
        </is>
      </c>
      <c r="E642" t="inlineStr">
        <is>
          <t>2026-03-26</t>
        </is>
      </c>
      <c r="F642" t="inlineStr">
        <is>
          <t>2026-04-02</t>
        </is>
      </c>
      <c r="G642" t="inlineStr">
        <is>
          <t xml:space="preserve"> - Beach Hostel</t>
        </is>
      </c>
      <c r="H642">
        <f>HYPERLINK("https://booking.roadsurfer.com/es/rally/pick?pickup_date=2026-03-26&amp;return_date=2026-04-02&amp;currency=EUR&amp;startStation=1&amp;endStation=78",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España</t>
        </is>
      </c>
      <c r="D643" t="inlineStr">
        <is>
          <t>Sevilla</t>
        </is>
      </c>
      <c r="E643" t="inlineStr">
        <is>
          <t>2026-03-05</t>
        </is>
      </c>
      <c r="F643" t="inlineStr">
        <is>
          <t>2026-03-12</t>
        </is>
      </c>
      <c r="G643" t="inlineStr">
        <is>
          <t xml:space="preserve"> - Surfer Suite</t>
        </is>
      </c>
      <c r="H643">
        <f>HYPERLINK("https://booking.roadsurfer.com/es/rally/pick?pickup_date=2026-03-05&amp;return_date=2026-03-12&amp;currency=EUR&amp;startStation=1&amp;endStation=39",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Viena Sur</t>
        </is>
      </c>
      <c r="E644" t="inlineStr">
        <is>
          <t>2026-03-02</t>
        </is>
      </c>
      <c r="F644" t="inlineStr">
        <is>
          <t>2026-03-09</t>
        </is>
      </c>
      <c r="G644" t="inlineStr"/>
      <c r="H644">
        <f>HYPERLINK("https://booking.roadsurfer.com/es/rally/pick?pickup_date=2026-03-02&amp;return_date=2026-03-09&amp;currency=EUR&amp;startStation=1&amp;endStation=45",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Viena Sur</t>
        </is>
      </c>
      <c r="E645" t="inlineStr">
        <is>
          <t>2026-03-09</t>
        </is>
      </c>
      <c r="F645" t="inlineStr">
        <is>
          <t>2026-03-16</t>
        </is>
      </c>
      <c r="G645" t="inlineStr">
        <is>
          <t xml:space="preserve"> - Surfer Suite</t>
        </is>
      </c>
      <c r="H645">
        <f>HYPERLINK("https://booking.roadsurfer.com/es/rally/pick?pickup_date=2026-03-09&amp;return_date=2026-03-16&amp;currency=EUR&amp;startStation=1&amp;endStation=45",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Bérgamo</t>
        </is>
      </c>
      <c r="E646" t="inlineStr">
        <is>
          <t>2026-03-14</t>
        </is>
      </c>
      <c r="F646" t="inlineStr">
        <is>
          <t>2026-03-21</t>
        </is>
      </c>
      <c r="G646" t="inlineStr"/>
      <c r="H646">
        <f>HYPERLINK("https://booking.roadsurfer.com/es/rally/pick?pickup_date=2026-03-14&amp;return_date=2026-03-21&amp;currency=EUR&amp;startStation=1&amp;endStation=94",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Bérgamo</t>
        </is>
      </c>
      <c r="E647" t="inlineStr">
        <is>
          <t>2026-03-09</t>
        </is>
      </c>
      <c r="F647" t="inlineStr">
        <is>
          <t>2026-03-16</t>
        </is>
      </c>
      <c r="G647" t="inlineStr">
        <is>
          <t xml:space="preserve"> - Beach Hostel</t>
        </is>
      </c>
      <c r="H647">
        <f>HYPERLINK("https://booking.roadsurfer.com/es/rally/pick?pickup_date=2026-03-09&amp;return_date=2026-03-16&amp;currency=EUR&amp;startStation=1&amp;endStation=94",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Valencia</t>
        </is>
      </c>
      <c r="E648" t="inlineStr">
        <is>
          <t>2026-03-20</t>
        </is>
      </c>
      <c r="F648" t="inlineStr">
        <is>
          <t>2026-03-27</t>
        </is>
      </c>
      <c r="G648" t="inlineStr">
        <is>
          <t xml:space="preserve"> - Road House</t>
        </is>
      </c>
      <c r="H648">
        <f>HYPERLINK("https://booking.roadsurfer.com/es/rally/pick?pickup_date=2026-03-20&amp;return_date=2026-03-27&amp;currency=EUR&amp;startStation=1&amp;endStation=38",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España</t>
        </is>
      </c>
      <c r="D649" t="inlineStr">
        <is>
          <t>Valencia</t>
        </is>
      </c>
      <c r="E649" t="inlineStr">
        <is>
          <t>2026-03-02</t>
        </is>
      </c>
      <c r="F649" t="inlineStr">
        <is>
          <t>2026-03-09</t>
        </is>
      </c>
      <c r="G649" t="inlineStr">
        <is>
          <t xml:space="preserve"> - BEACH HOSTEL</t>
        </is>
      </c>
      <c r="H649">
        <f>HYPERLINK("https://booking.roadsurfer.com/es/rally/pick?pickup_date=2026-03-02&amp;return_date=2026-03-09&amp;currency=EUR&amp;startStation=1&amp;endStation=38",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España</t>
        </is>
      </c>
      <c r="D650" t="inlineStr">
        <is>
          <t>Bilbao</t>
        </is>
      </c>
      <c r="E650" t="inlineStr">
        <is>
          <t>2026-03-19</t>
        </is>
      </c>
      <c r="F650" t="inlineStr">
        <is>
          <t>2026-03-26</t>
        </is>
      </c>
      <c r="G650" t="inlineStr"/>
      <c r="H650">
        <f>HYPERLINK("https://booking.roadsurfer.com/es/rally/pick?pickup_date=2026-03-19&amp;return_date=2026-03-26&amp;currency=EUR&amp;startStation=1&amp;endStation=40",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España</t>
        </is>
      </c>
      <c r="D651" t="inlineStr">
        <is>
          <t>Bilbao</t>
        </is>
      </c>
      <c r="E651" t="inlineStr">
        <is>
          <t>2026-03-02</t>
        </is>
      </c>
      <c r="F651" t="inlineStr">
        <is>
          <t>2026-03-09</t>
        </is>
      </c>
      <c r="G651" t="inlineStr">
        <is>
          <t xml:space="preserve"> - Family Finca</t>
        </is>
      </c>
      <c r="H651">
        <f>HYPERLINK("https://booking.roadsurfer.com/es/rally/pick?pickup_date=2026-03-02&amp;return_date=2026-03-09&amp;currency=EUR&amp;startStation=1&amp;endStation=40",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España</t>
        </is>
      </c>
      <c r="D652" t="inlineStr">
        <is>
          <t>Bilbao</t>
        </is>
      </c>
      <c r="E652" t="inlineStr">
        <is>
          <t>2026-03-05</t>
        </is>
      </c>
      <c r="F652" t="inlineStr">
        <is>
          <t>2026-03-12</t>
        </is>
      </c>
      <c r="G652" t="inlineStr"/>
      <c r="H652">
        <f>HYPERLINK("https://booking.roadsurfer.com/es/rally/pick?pickup_date=2026-03-05&amp;return_date=2026-03-12&amp;currency=EUR&amp;startStation=1&amp;endStation=40",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Francia</t>
        </is>
      </c>
      <c r="D653" t="inlineStr">
        <is>
          <t>Niza</t>
        </is>
      </c>
      <c r="E653" t="inlineStr">
        <is>
          <t>2026-03-02</t>
        </is>
      </c>
      <c r="F653" t="inlineStr">
        <is>
          <t>2026-03-09</t>
        </is>
      </c>
      <c r="G653" t="inlineStr"/>
      <c r="H653">
        <f>HYPERLINK("https://booking.roadsurfer.com/es/rally/pick?pickup_date=2026-03-02&amp;return_date=2026-03-09&amp;currency=EUR&amp;startStation=1&amp;endStation=88",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Alemania</t>
        </is>
      </c>
      <c r="D654" t="inlineStr">
        <is>
          <t>Braunschweig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No hay coche</t>
        </is>
      </c>
      <c r="H654">
        <f>HYPERLINK("https://booking.roadsurfer.com/es/rally/pick?pickup_date=2026-04-20&amp;return_date=2026-04-27&amp;currency=EUR&amp;startStation=1&amp;endStation=128",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2026-02-27</t>
        </is>
      </c>
      <c r="F655" t="inlineStr">
        <is>
          <t>2026-03-06</t>
        </is>
      </c>
      <c r="G655" t="inlineStr">
        <is>
          <t xml:space="preserve"> - No hay coche</t>
        </is>
      </c>
      <c r="H655">
        <f>HYPERLINK("https://booking.roadsurfer.com/es/rally/pick?pickup_date=2026-02-27&amp;return_date=2026-03-06&amp;currency=EUR&amp;startStation=31&amp;endStation=22",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2026-03-30</t>
        </is>
      </c>
      <c r="F656" t="inlineStr">
        <is>
          <t>2026-04-06</t>
        </is>
      </c>
      <c r="G656" t="inlineStr"/>
      <c r="H656">
        <f>HYPERLINK("https://booking.roadsurfer.com/es/rally/pick?pickup_date=2026-03-30&amp;return_date=2026-04-06&amp;currency=EUR&amp;startStation=31&amp;endStation=22",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2026-03-05</t>
        </is>
      </c>
      <c r="F657" t="inlineStr">
        <is>
          <t>2026-03-12</t>
        </is>
      </c>
      <c r="G657" t="inlineStr">
        <is>
          <t xml:space="preserve"> - No hay coche</t>
        </is>
      </c>
      <c r="H657">
        <f>HYPERLINK("https://booking.roadsurfer.com/es/rally/pick?pickup_date=2026-03-05&amp;return_date=2026-03-12&amp;currency=EUR&amp;startStation=31&amp;endStation=22",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2026-03-02</t>
        </is>
      </c>
      <c r="F658" t="inlineStr">
        <is>
          <t>2026-03-09</t>
        </is>
      </c>
      <c r="G658" t="inlineStr"/>
      <c r="H658">
        <f>HYPERLINK("https://booking.roadsurfer.com/es/rally/pick?pickup_date=2026-03-02&amp;return_date=2026-03-09&amp;currency=EUR&amp;startStation=31&amp;endStation=22",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2026-03-09</t>
        </is>
      </c>
      <c r="F659" t="inlineStr">
        <is>
          <t>2026-03-16</t>
        </is>
      </c>
      <c r="G659" t="inlineStr"/>
      <c r="H659">
        <f>HYPERLINK("https://booking.roadsurfer.com/es/rally/pick?pickup_date=2026-03-09&amp;return_date=2026-03-16&amp;currency=EUR&amp;startStation=31&amp;endStation=22",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2026-03-10</t>
        </is>
      </c>
      <c r="F660" t="inlineStr">
        <is>
          <t>2026-03-17</t>
        </is>
      </c>
      <c r="G660" t="inlineStr"/>
      <c r="H660">
        <f>HYPERLINK("https://booking.roadsurfer.com/es/rally/pick?pickup_date=2026-03-10&amp;return_date=2026-03-17&amp;currency=EUR&amp;startStation=31&amp;endStation=22",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Kassel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Camper Cabin</t>
        </is>
      </c>
      <c r="H661">
        <f>HYPERLINK("https://booking.roadsurfer.com/es/rally/pick?pickup_date=2026-03-09&amp;return_date=2026-03-16&amp;currency=EUR&amp;startStation=31&amp;endStation=92",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2026-03-10</t>
        </is>
      </c>
      <c r="F662" t="inlineStr">
        <is>
          <t>2026-03-17</t>
        </is>
      </c>
      <c r="G662" t="inlineStr"/>
      <c r="H662">
        <f>HYPERLINK("https://booking.roadsurfer.com/es/rally/pick?pickup_date=2026-03-10&amp;return_date=2026-03-17&amp;currency=EUR&amp;startStation=31&amp;endStation=91",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Núremberg</t>
        </is>
      </c>
      <c r="E663" t="inlineStr">
        <is>
          <t>2026-03-09</t>
        </is>
      </c>
      <c r="F663" t="inlineStr">
        <is>
          <t>2026-03-16</t>
        </is>
      </c>
      <c r="G663" t="inlineStr">
        <is>
          <t xml:space="preserve"> - Camper Cabin</t>
        </is>
      </c>
      <c r="H663">
        <f>HYPERLINK("https://booking.roadsurfer.com/es/rally/pick?pickup_date=2026-03-09&amp;return_date=2026-03-16&amp;currency=EUR&amp;startStation=31&amp;endStation=11", "Clic para verlo en la web de RoadSurfer")</f>
        <v/>
      </c>
    </row>
    <row r="664">
      <c r="A664" t="inlineStr">
        <is>
          <t>Alemania</t>
        </is>
      </c>
      <c r="B664" t="inlineStr">
        <is>
          <t>Núremberg</t>
        </is>
      </c>
      <c r="C664" t="inlineStr">
        <is>
          <t>Austria</t>
        </is>
      </c>
      <c r="D664" t="inlineStr">
        <is>
          <t>Viena Sur</t>
        </is>
      </c>
      <c r="E664" t="inlineStr">
        <is>
          <t>2026-02-27</t>
        </is>
      </c>
      <c r="F664" t="inlineStr">
        <is>
          <t>2026-03-06</t>
        </is>
      </c>
      <c r="G664" t="inlineStr">
        <is>
          <t xml:space="preserve"> - Camper Cabin Deluxe</t>
        </is>
      </c>
      <c r="H664">
        <f>HYPERLINK("https://booking.roadsurfer.com/es/rally/pick?pickup_date=2026-02-27&amp;return_date=2026-03-06&amp;currency=EUR&amp;startStation=11&amp;endStation=45", "Clic para verlo en la web de RoadSurfer")</f>
        <v/>
      </c>
    </row>
    <row r="665">
      <c r="A665" t="inlineStr">
        <is>
          <t>Alemania</t>
        </is>
      </c>
      <c r="B665" t="inlineStr">
        <is>
          <t>Núremberg</t>
        </is>
      </c>
      <c r="C665" t="inlineStr">
        <is>
          <t>Francia</t>
        </is>
      </c>
      <c r="D665" t="inlineStr">
        <is>
          <t>Toulouse</t>
        </is>
      </c>
      <c r="E665" t="inlineStr">
        <is>
          <t>2026-03-09</t>
        </is>
      </c>
      <c r="F665" t="inlineStr">
        <is>
          <t>2026-03-16</t>
        </is>
      </c>
      <c r="G665" t="inlineStr"/>
      <c r="H665">
        <f>HYPERLINK("https://booking.roadsurfer.com/es/rally/pick?pickup_date=2026-03-09&amp;return_date=2026-03-16&amp;currency=EUR&amp;startStation=11&amp;endStation=30", "Clic para verlo en la web de RoadSurfer")</f>
        <v/>
      </c>
    </row>
    <row r="666">
      <c r="A666" t="inlineStr">
        <is>
          <t>Alemania</t>
        </is>
      </c>
      <c r="B666" t="inlineStr">
        <is>
          <t>Núremberg</t>
        </is>
      </c>
      <c r="C666" t="inlineStr">
        <is>
          <t>España</t>
        </is>
      </c>
      <c r="D666" t="inlineStr">
        <is>
          <t>Sevilla</t>
        </is>
      </c>
      <c r="E666" t="inlineStr">
        <is>
          <t>2026-03-20</t>
        </is>
      </c>
      <c r="F666" t="inlineStr">
        <is>
          <t>2026-03-27</t>
        </is>
      </c>
      <c r="G666" t="inlineStr"/>
      <c r="H666">
        <f>HYPERLINK("https://booking.roadsurfer.com/es/rally/pick?pickup_date=2026-03-20&amp;return_date=2026-03-27&amp;currency=EUR&amp;startStation=11&amp;endStation=39",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Francia</t>
        </is>
      </c>
      <c r="D667" t="inlineStr">
        <is>
          <t>París Aeropuerto CDG</t>
        </is>
      </c>
      <c r="E667" t="inlineStr">
        <is>
          <t>2026-03-05</t>
        </is>
      </c>
      <c r="F667" t="inlineStr">
        <is>
          <t>2026-03-12</t>
        </is>
      </c>
      <c r="G667" t="inlineStr">
        <is>
          <t xml:space="preserve"> - Surfer Suite</t>
        </is>
      </c>
      <c r="H667">
        <f>HYPERLINK("https://booking.roadsurfer.com/es/rally/pick?pickup_date=2026-03-05&amp;return_date=2026-03-12&amp;currency=EUR&amp;startStation=12&amp;endStation=48",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Francia</t>
        </is>
      </c>
      <c r="D668" t="inlineStr">
        <is>
          <t>París Aeropuerto CDG</t>
        </is>
      </c>
      <c r="E668" t="inlineStr">
        <is>
          <t>2026-03-09</t>
        </is>
      </c>
      <c r="F668" t="inlineStr">
        <is>
          <t>2026-03-16</t>
        </is>
      </c>
      <c r="G668" t="inlineStr">
        <is>
          <t xml:space="preserve"> - Surfer Suite</t>
        </is>
      </c>
      <c r="H668">
        <f>HYPERLINK("https://booking.roadsurfer.com/es/rally/pick?pickup_date=2026-03-09&amp;return_date=2026-03-16&amp;currency=EUR&amp;startStation=12&amp;endStation=48",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Francia</t>
        </is>
      </c>
      <c r="D669" t="inlineStr">
        <is>
          <t>París Aeropuerto CDG</t>
        </is>
      </c>
      <c r="E669" t="inlineStr">
        <is>
          <t>2026-03-12</t>
        </is>
      </c>
      <c r="F669" t="inlineStr">
        <is>
          <t>2026-03-19</t>
        </is>
      </c>
      <c r="G669" t="inlineStr">
        <is>
          <t xml:space="preserve"> - Surfer Suite</t>
        </is>
      </c>
      <c r="H669">
        <f>HYPERLINK("https://booking.roadsurfer.com/es/rally/pick?pickup_date=2026-03-12&amp;return_date=2026-03-19&amp;currency=EUR&amp;startStation=12&amp;endStation=48",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Colonia-Düsseldorf</t>
        </is>
      </c>
      <c r="E670" t="inlineStr">
        <is>
          <t>2026-03-05</t>
        </is>
      </c>
      <c r="F670" t="inlineStr">
        <is>
          <t>2026-03-12</t>
        </is>
      </c>
      <c r="G670" t="inlineStr">
        <is>
          <t xml:space="preserve"> - Beach Hostel</t>
        </is>
      </c>
      <c r="H670">
        <f>HYPERLINK("https://booking.roadsurfer.com/es/rally/pick?pickup_date=2026-03-05&amp;return_date=2026-03-12&amp;currency=EUR&amp;startStation=12&amp;endStation=4",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Fráncfort</t>
        </is>
      </c>
      <c r="E671" t="inlineStr">
        <is>
          <t>2026-03-21</t>
        </is>
      </c>
      <c r="F671" t="inlineStr">
        <is>
          <t>2026-03-28</t>
        </is>
      </c>
      <c r="G671" t="inlineStr"/>
      <c r="H671">
        <f>HYPERLINK("https://booking.roadsurfer.com/es/rally/pick?pickup_date=2026-03-21&amp;return_date=2026-03-28&amp;currency=EUR&amp;startStation=12&amp;endStation=2",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Heidelberg</t>
        </is>
      </c>
      <c r="E672" t="inlineStr">
        <is>
          <t>2026-03-05</t>
        </is>
      </c>
      <c r="F672" t="inlineStr">
        <is>
          <t>2026-03-12</t>
        </is>
      </c>
      <c r="G672" t="inlineStr">
        <is>
          <t xml:space="preserve"> - Road House</t>
        </is>
      </c>
      <c r="H672">
        <f>HYPERLINK("https://booking.roadsurfer.com/es/rally/pick?pickup_date=2026-03-05&amp;return_date=2026-03-12&amp;currency=EUR&amp;startStation=12&amp;endStation=79",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Heidelberg</t>
        </is>
      </c>
      <c r="E673" t="inlineStr">
        <is>
          <t>2026-03-12</t>
        </is>
      </c>
      <c r="F673" t="inlineStr">
        <is>
          <t>2026-03-19</t>
        </is>
      </c>
      <c r="G673" t="inlineStr"/>
      <c r="H673">
        <f>HYPERLINK("https://booking.roadsurfer.com/es/rally/pick?pickup_date=2026-03-12&amp;return_date=2026-03-19&amp;currency=EUR&amp;startStation=12&amp;endStation=79",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Friburgo-Basilea (Alemania)</t>
        </is>
      </c>
      <c r="E674" t="inlineStr">
        <is>
          <t>2026-03-09</t>
        </is>
      </c>
      <c r="F674" t="inlineStr">
        <is>
          <t>2026-03-16</t>
        </is>
      </c>
      <c r="G674" t="inlineStr">
        <is>
          <t xml:space="preserve"> - Road House</t>
        </is>
      </c>
      <c r="H674">
        <f>HYPERLINK("https://booking.roadsurfer.com/es/rally/pick?pickup_date=2026-03-09&amp;return_date=2026-03-16&amp;currency=EUR&amp;startStation=12&amp;endStation=9", "Clic para verlo en la web de RoadSurfer")</f>
        <v/>
      </c>
    </row>
    <row r="675">
      <c r="A675" t="inlineStr">
        <is>
          <t>Francia</t>
        </is>
      </c>
      <c r="B675" t="inlineStr">
        <is>
          <t>París Aeropuerto CDG</t>
        </is>
      </c>
      <c r="C675" t="inlineStr">
        <is>
          <t>Alemania</t>
        </is>
      </c>
      <c r="D675" t="inlineStr">
        <is>
          <t>Erfurt</t>
        </is>
      </c>
      <c r="E675" t="inlineStr">
        <is>
          <t>2026-03-02</t>
        </is>
      </c>
      <c r="F675" t="inlineStr">
        <is>
          <t>2026-03-09</t>
        </is>
      </c>
      <c r="G675" t="inlineStr">
        <is>
          <t xml:space="preserve"> - SURFER SUITE</t>
        </is>
      </c>
      <c r="H675">
        <f>HYPERLINK("https://booking.roadsurfer.com/es/rally/pick?pickup_date=2026-03-02&amp;return_date=2026-03-09&amp;currency=EUR&amp;startStation=48&amp;endStation=90", "Clic para verlo en la web de RoadSurfer")</f>
        <v/>
      </c>
    </row>
    <row r="676">
      <c r="A676" t="inlineStr">
        <is>
          <t>Francia</t>
        </is>
      </c>
      <c r="B676" t="inlineStr">
        <is>
          <t>París Aeropuerto CDG</t>
        </is>
      </c>
      <c r="C676" t="inlineStr">
        <is>
          <t>Alemania</t>
        </is>
      </c>
      <c r="D676" t="inlineStr">
        <is>
          <t>Fráncfort</t>
        </is>
      </c>
      <c r="E676" t="inlineStr">
        <is>
          <t>2026-03-14</t>
        </is>
      </c>
      <c r="F676" t="inlineStr">
        <is>
          <t>2026-03-21</t>
        </is>
      </c>
      <c r="G676" t="inlineStr"/>
      <c r="H676">
        <f>HYPERLINK("https://booking.roadsurfer.com/es/rally/pick?pickup_date=2026-03-14&amp;return_date=2026-03-21&amp;currency=EUR&amp;startStation=48&amp;endStation=2",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Fráncfort</t>
        </is>
      </c>
      <c r="E677" t="inlineStr">
        <is>
          <t>2026-03-16</t>
        </is>
      </c>
      <c r="F677" t="inlineStr">
        <is>
          <t>2026-03-23</t>
        </is>
      </c>
      <c r="G677" t="inlineStr"/>
      <c r="H677">
        <f>HYPERLINK("https://booking.roadsurfer.com/es/rally/pick?pickup_date=2026-03-16&amp;return_date=2026-03-23&amp;currency=EUR&amp;startStation=48&amp;endStation=2",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Fráncfort</t>
        </is>
      </c>
      <c r="E678" t="inlineStr">
        <is>
          <t>2026-03-17</t>
        </is>
      </c>
      <c r="F678" t="inlineStr">
        <is>
          <t>2026-03-24</t>
        </is>
      </c>
      <c r="G678" t="inlineStr">
        <is>
          <t xml:space="preserve"> - Surfer Suite</t>
        </is>
      </c>
      <c r="H678">
        <f>HYPERLINK("https://booking.roadsurfer.com/es/rally/pick?pickup_date=2026-03-17&amp;return_date=2026-03-24&amp;currency=EUR&amp;startStation=48&amp;endStation=2",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Hamburgo</t>
        </is>
      </c>
      <c r="E679" t="inlineStr">
        <is>
          <t>2026-03-06</t>
        </is>
      </c>
      <c r="F679" t="inlineStr">
        <is>
          <t>2026-03-13</t>
        </is>
      </c>
      <c r="G679" t="inlineStr">
        <is>
          <t xml:space="preserve"> - Travel Home</t>
        </is>
      </c>
      <c r="H679">
        <f>HYPERLINK("https://booking.roadsurfer.com/es/rally/pick?pickup_date=2026-03-06&amp;return_date=2026-03-13&amp;currency=EUR&amp;startStation=48&amp;endStation=3",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Hamburgo</t>
        </is>
      </c>
      <c r="E680" t="inlineStr">
        <is>
          <t>2026-03-18</t>
        </is>
      </c>
      <c r="F680" t="inlineStr">
        <is>
          <t>2026-03-25</t>
        </is>
      </c>
      <c r="G680" t="inlineStr"/>
      <c r="H680">
        <f>HYPERLINK("https://booking.roadsurfer.com/es/rally/pick?pickup_date=2026-03-18&amp;return_date=2026-03-25&amp;currency=EUR&amp;startStation=48&amp;endStation=3", "Clic para verlo en la web de RoadSurfer")</f>
        <v/>
      </c>
    </row>
    <row r="681">
      <c r="A681" t="inlineStr">
        <is>
          <t>Alemania</t>
        </is>
      </c>
      <c r="B681" t="inlineStr">
        <is>
          <t>Ratisbona</t>
        </is>
      </c>
      <c r="C681" t="inlineStr">
        <is>
          <t>Alemania</t>
        </is>
      </c>
      <c r="D681" t="inlineStr">
        <is>
          <t>Bremen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Travel Home - TRAVEL HOME</t>
        </is>
      </c>
      <c r="H681">
        <f>HYPERLINK("https://booking.roadsurfer.com/es/rally/pick?pickup_date=2026-03-09&amp;return_date=2026-03-16&amp;currency=EUR&amp;startStation=89&amp;endStation=55", "Clic para verlo en la web de RoadSurfer")</f>
        <v/>
      </c>
    </row>
    <row r="682">
      <c r="A682" t="inlineStr">
        <is>
          <t>Italia</t>
        </is>
      </c>
      <c r="B682" t="inlineStr">
        <is>
          <t>Roma Aeropuerto Fiumicino</t>
        </is>
      </c>
      <c r="C682" t="inlineStr">
        <is>
          <t>Alemania</t>
        </is>
      </c>
      <c r="D682" t="inlineStr">
        <is>
          <t>Múnich</t>
        </is>
      </c>
      <c r="E682" t="inlineStr">
        <is>
          <t>2026-04-14</t>
        </is>
      </c>
      <c r="F682" t="inlineStr">
        <is>
          <t>2026-04-21</t>
        </is>
      </c>
      <c r="G682" t="inlineStr"/>
      <c r="H682">
        <f>HYPERLINK("https://booking.roadsurfer.com/es/rally/pick?pickup_date=2026-04-14&amp;return_date=2026-04-21&amp;currency=EUR&amp;startStation=35&amp;endStation=1",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Beach Hostel</t>
        </is>
      </c>
      <c r="H683">
        <f>HYPERLINK("https://booking.roadsurfer.com/es/rally/pick?pickup_date=2026-03-09&amp;return_date=2026-03-16&amp;currency=EUR&amp;startStation=35&amp;endStation=1",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2026-03-20</t>
        </is>
      </c>
      <c r="F684" t="inlineStr">
        <is>
          <t>2026-03-27</t>
        </is>
      </c>
      <c r="G684" t="inlineStr"/>
      <c r="H684">
        <f>HYPERLINK("https://booking.roadsurfer.com/es/rally/pick?pickup_date=2026-03-20&amp;return_date=2026-03-27&amp;currency=EUR&amp;startStation=35&amp;endStation=22",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2026-03-23</t>
        </is>
      </c>
      <c r="F685" t="inlineStr">
        <is>
          <t>2026-03-30</t>
        </is>
      </c>
      <c r="G685" t="inlineStr"/>
      <c r="H685">
        <f>HYPERLINK("https://booking.roadsurfer.com/es/rally/pick?pickup_date=2026-03-23&amp;return_date=2026-03-30&amp;currency=EUR&amp;startStation=35&amp;endStation=22",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2026-03-24</t>
        </is>
      </c>
      <c r="F686" t="inlineStr">
        <is>
          <t>2026-03-31</t>
        </is>
      </c>
      <c r="G686" t="inlineStr">
        <is>
          <t xml:space="preserve"> - Beach Hostel</t>
        </is>
      </c>
      <c r="H686">
        <f>HYPERLINK("https://booking.roadsurfer.com/es/rally/pick?pickup_date=2026-03-24&amp;return_date=2026-03-31&amp;currency=EUR&amp;startStation=35&amp;endStation=22", "Clic para verlo en la web de RoadSurfer")</f>
        <v/>
      </c>
    </row>
    <row r="687">
      <c r="A687" t="inlineStr">
        <is>
          <t>Austria</t>
        </is>
      </c>
      <c r="B687" t="inlineStr">
        <is>
          <t>Salzburgo</t>
        </is>
      </c>
      <c r="C687" t="inlineStr">
        <is>
          <t>Francia</t>
        </is>
      </c>
      <c r="D687" t="inlineStr">
        <is>
          <t>Aix-Marsella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Road House</t>
        </is>
      </c>
      <c r="H687">
        <f>HYPERLINK("https://booking.roadsurfer.com/es/rally/pick?pickup_date=2026-03-16&amp;return_date=2026-03-23&amp;currency=EUR&amp;startStation=85&amp;endStation=16", "Clic para verlo en la web de RoadSurfer")</f>
        <v/>
      </c>
    </row>
    <row r="688">
      <c r="A688" t="inlineStr">
        <is>
          <t>Austria</t>
        </is>
      </c>
      <c r="B688" t="inlineStr">
        <is>
          <t>Salzburgo</t>
        </is>
      </c>
      <c r="C688" t="inlineStr">
        <is>
          <t>Alemania</t>
        </is>
      </c>
      <c r="D688" t="inlineStr">
        <is>
          <t>Bielefeld</t>
        </is>
      </c>
      <c r="E688" t="inlineStr">
        <is>
          <t>2026-03-03</t>
        </is>
      </c>
      <c r="F688" t="inlineStr">
        <is>
          <t>2026-03-10</t>
        </is>
      </c>
      <c r="G688" t="inlineStr">
        <is>
          <t xml:space="preserve"> - Family Finca</t>
        </is>
      </c>
      <c r="H688">
        <f>HYPERLINK("https://booking.roadsurfer.com/es/rally/pick?pickup_date=2026-03-03&amp;return_date=2026-03-10&amp;currency=EUR&amp;startStation=85&amp;endStation=91",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Bielefeld</t>
        </is>
      </c>
      <c r="E689" t="inlineStr">
        <is>
          <t>2026-03-12</t>
        </is>
      </c>
      <c r="F689" t="inlineStr">
        <is>
          <t>2026-03-19</t>
        </is>
      </c>
      <c r="G689" t="inlineStr"/>
      <c r="H689">
        <f>HYPERLINK("https://booking.roadsurfer.com/es/rally/pick?pickup_date=2026-03-12&amp;return_date=2026-03-19&amp;currency=EUR&amp;startStation=39&amp;endStation=91",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Duisburgo</t>
        </is>
      </c>
      <c r="E690" t="inlineStr">
        <is>
          <t>2026-03-03</t>
        </is>
      </c>
      <c r="F690" t="inlineStr">
        <is>
          <t>2026-03-10</t>
        </is>
      </c>
      <c r="G690" t="inlineStr"/>
      <c r="H690">
        <f>HYPERLINK("https://booking.roadsurfer.com/es/rally/pick?pickup_date=2026-03-03&amp;return_date=2026-03-10&amp;currency=EUR&amp;startStation=39&amp;endStation=113",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Bremen</t>
        </is>
      </c>
      <c r="E691" t="inlineStr">
        <is>
          <t>2026-03-01</t>
        </is>
      </c>
      <c r="F691" t="inlineStr">
        <is>
          <t>2026-03-08</t>
        </is>
      </c>
      <c r="G691" t="inlineStr">
        <is>
          <t xml:space="preserve"> - No hay coche</t>
        </is>
      </c>
      <c r="H691">
        <f>HYPERLINK("https://booking.roadsurfer.com/es/rally/pick?pickup_date=2026-03-01&amp;return_date=2026-03-08&amp;currency=EUR&amp;startStation=59&amp;endStation=55",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Bremen</t>
        </is>
      </c>
      <c r="E692" t="inlineStr">
        <is>
          <t>2026-02-28</t>
        </is>
      </c>
      <c r="F692" t="inlineStr">
        <is>
          <t>2026-03-07</t>
        </is>
      </c>
      <c r="G692" t="inlineStr"/>
      <c r="H692">
        <f>HYPERLINK("https://booking.roadsurfer.com/es/rally/pick?pickup_date=2026-02-28&amp;return_date=2026-03-07&amp;currency=EUR&amp;startStation=59&amp;endStation=55",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Bremen</t>
        </is>
      </c>
      <c r="E693" t="inlineStr">
        <is>
          <t>2026-03-05</t>
        </is>
      </c>
      <c r="F693" t="inlineStr">
        <is>
          <t>2026-03-12</t>
        </is>
      </c>
      <c r="G693" t="inlineStr">
        <is>
          <t xml:space="preserve"> - Surfer Suite</t>
        </is>
      </c>
      <c r="H693">
        <f>HYPERLINK("https://booking.roadsurfer.com/es/rally/pick?pickup_date=2026-03-05&amp;return_date=2026-03-12&amp;currency=EUR&amp;startStation=59&amp;endStation=55",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Ratisbona</t>
        </is>
      </c>
      <c r="E694" t="inlineStr">
        <is>
          <t>2026-03-12</t>
        </is>
      </c>
      <c r="F694" t="inlineStr">
        <is>
          <t>2026-03-19</t>
        </is>
      </c>
      <c r="G694" t="inlineStr"/>
      <c r="H694">
        <f>HYPERLINK("https://booking.roadsurfer.com/es/rally/pick?pickup_date=2026-03-12&amp;return_date=2026-03-19&amp;currency=EUR&amp;startStation=59&amp;endStation=89",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Ratisbona</t>
        </is>
      </c>
      <c r="E695" t="inlineStr">
        <is>
          <t>2026-03-06</t>
        </is>
      </c>
      <c r="F695" t="inlineStr">
        <is>
          <t>2026-03-13</t>
        </is>
      </c>
      <c r="G695" t="inlineStr"/>
      <c r="H695">
        <f>HYPERLINK("https://booking.roadsurfer.com/es/rally/pick?pickup_date=2026-03-06&amp;return_date=2026-03-13&amp;currency=EUR&amp;startStation=59&amp;endStation=89",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Ratisbona</t>
        </is>
      </c>
      <c r="E696" t="inlineStr">
        <is>
          <t>2026-03-21</t>
        </is>
      </c>
      <c r="F696" t="inlineStr">
        <is>
          <t>2026-03-28</t>
        </is>
      </c>
      <c r="G696" t="inlineStr">
        <is>
          <t xml:space="preserve"> - Surfer Suite</t>
        </is>
      </c>
      <c r="H696">
        <f>HYPERLINK("https://booking.roadsurfer.com/es/rally/pick?pickup_date=2026-03-21&amp;return_date=2026-03-28&amp;currency=EUR&amp;startStation=59&amp;endStation=89",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Bielefeld</t>
        </is>
      </c>
      <c r="E697" t="inlineStr">
        <is>
          <t>2026-04-13</t>
        </is>
      </c>
      <c r="F697" t="inlineStr">
        <is>
          <t>2026-04-20</t>
        </is>
      </c>
      <c r="G697" t="inlineStr">
        <is>
          <t xml:space="preserve"> - Road House</t>
        </is>
      </c>
      <c r="H697">
        <f>HYPERLINK("https://booking.roadsurfer.com/es/rally/pick?pickup_date=2026-04-13&amp;return_date=2026-04-20&amp;currency=EUR&amp;startStation=59&amp;endStation=91",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Bielefeld</t>
        </is>
      </c>
      <c r="E698" t="inlineStr">
        <is>
          <t>2026-04-14</t>
        </is>
      </c>
      <c r="F698" t="inlineStr">
        <is>
          <t>2026-04-21</t>
        </is>
      </c>
      <c r="G698" t="inlineStr"/>
      <c r="H698">
        <f>HYPERLINK("https://booking.roadsurfer.com/es/rally/pick?pickup_date=2026-04-14&amp;return_date=2026-04-21&amp;currency=EUR&amp;startStation=59&amp;endStation=91",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Bielefeld</t>
        </is>
      </c>
      <c r="E699" t="inlineStr">
        <is>
          <t>2026-03-17</t>
        </is>
      </c>
      <c r="F699" t="inlineStr">
        <is>
          <t>2026-03-24</t>
        </is>
      </c>
      <c r="G699" t="inlineStr">
        <is>
          <t xml:space="preserve"> - Beach Hostel</t>
        </is>
      </c>
      <c r="H699">
        <f>HYPERLINK("https://booking.roadsurfer.com/es/rally/pick?pickup_date=2026-03-17&amp;return_date=2026-03-24&amp;currency=EUR&amp;startStation=59&amp;endStation=91",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Augsburgo</t>
        </is>
      </c>
      <c r="E700" t="inlineStr">
        <is>
          <t>2026-03-12</t>
        </is>
      </c>
      <c r="F700" t="inlineStr">
        <is>
          <t>2026-03-19</t>
        </is>
      </c>
      <c r="G700" t="inlineStr">
        <is>
          <t xml:space="preserve"> - Camper Castle</t>
        </is>
      </c>
      <c r="H700">
        <f>HYPERLINK("https://booking.roadsurfer.com/es/rally/pick?pickup_date=2026-03-12&amp;return_date=2026-03-19&amp;currency=EUR&amp;startStation=59&amp;endStation=108",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Augsburgo</t>
        </is>
      </c>
      <c r="E701" t="inlineStr">
        <is>
          <t>2026-04-15</t>
        </is>
      </c>
      <c r="F701" t="inlineStr">
        <is>
          <t>2026-04-22</t>
        </is>
      </c>
      <c r="G701" t="inlineStr"/>
      <c r="H701">
        <f>HYPERLINK("https://booking.roadsurfer.com/es/rally/pick?pickup_date=2026-04-15&amp;return_date=2026-04-22&amp;currency=EUR&amp;startStation=59&amp;endStation=108",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Lindau-Wangen</t>
        </is>
      </c>
      <c r="E702" t="inlineStr">
        <is>
          <t>2026-04-15</t>
        </is>
      </c>
      <c r="F702" t="inlineStr">
        <is>
          <t>2026-04-22</t>
        </is>
      </c>
      <c r="G702" t="inlineStr">
        <is>
          <t xml:space="preserve"> - Camper Castle</t>
        </is>
      </c>
      <c r="H702">
        <f>HYPERLINK("https://booking.roadsurfer.com/es/rally/pick?pickup_date=2026-04-15&amp;return_date=2026-04-22&amp;currency=EUR&amp;startStation=59&amp;endStation=117",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Duisburgo</t>
        </is>
      </c>
      <c r="E703" t="inlineStr">
        <is>
          <t>2026-04-20</t>
        </is>
      </c>
      <c r="F703" t="inlineStr">
        <is>
          <t>2026-04-27</t>
        </is>
      </c>
      <c r="G703" t="inlineStr"/>
      <c r="H703">
        <f>HYPERLINK("https://booking.roadsurfer.com/es/rally/pick?pickup_date=2026-04-20&amp;return_date=2026-04-27&amp;currency=EUR&amp;startStation=59&amp;endStation=113",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Fráncfort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Sunrise Suite</t>
        </is>
      </c>
      <c r="H704">
        <f>HYPERLINK("https://booking.roadsurfer.com/es/rally/pick?pickup_date=2026-03-09&amp;return_date=2026-03-16&amp;currency=EUR&amp;startStation=59&amp;endStation=2",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Fráncfort</t>
        </is>
      </c>
      <c r="E705" t="inlineStr">
        <is>
          <t>2026-03-10</t>
        </is>
      </c>
      <c r="F705" t="inlineStr">
        <is>
          <t>2026-03-17</t>
        </is>
      </c>
      <c r="G705" t="inlineStr">
        <is>
          <t xml:space="preserve"> - Sunrise Suite</t>
        </is>
      </c>
      <c r="H705">
        <f>HYPERLINK("https://booking.roadsurfer.com/es/rally/pick?pickup_date=2026-03-10&amp;return_date=2026-03-17&amp;currency=EUR&amp;startStation=59&amp;endStation=2",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España</t>
        </is>
      </c>
      <c r="D706" t="inlineStr">
        <is>
          <t>Bilbao</t>
        </is>
      </c>
      <c r="E706" t="inlineStr">
        <is>
          <t>2026-03-19</t>
        </is>
      </c>
      <c r="F706" t="inlineStr">
        <is>
          <t>2026-03-26</t>
        </is>
      </c>
      <c r="G706" t="inlineStr"/>
      <c r="H706">
        <f>HYPERLINK("https://booking.roadsurfer.com/es/rally/pick?pickup_date=2026-03-19&amp;return_date=2026-03-26&amp;currency=EUR&amp;startStation=5&amp;endStation=40",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España</t>
        </is>
      </c>
      <c r="D707" t="inlineStr">
        <is>
          <t>Bilbao</t>
        </is>
      </c>
      <c r="E707" t="inlineStr">
        <is>
          <t>2026-03-30</t>
        </is>
      </c>
      <c r="F707" t="inlineStr">
        <is>
          <t>2026-04-06</t>
        </is>
      </c>
      <c r="G707" t="inlineStr"/>
      <c r="H707">
        <f>HYPERLINK("https://booking.roadsurfer.com/es/rally/pick?pickup_date=2026-03-30&amp;return_date=2026-04-06&amp;currency=EUR&amp;startStation=5&amp;endStation=40",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España</t>
        </is>
      </c>
      <c r="D708" t="inlineStr">
        <is>
          <t>Bilbao</t>
        </is>
      </c>
      <c r="E708" t="inlineStr">
        <is>
          <t>2026-03-16</t>
        </is>
      </c>
      <c r="F708" t="inlineStr">
        <is>
          <t>2026-03-23</t>
        </is>
      </c>
      <c r="G708" t="inlineStr">
        <is>
          <t xml:space="preserve"> - Road House</t>
        </is>
      </c>
      <c r="H708">
        <f>HYPERLINK("https://booking.roadsurfer.com/es/rally/pick?pickup_date=2026-03-16&amp;return_date=2026-03-23&amp;currency=EUR&amp;startStation=5&amp;endStation=40",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España</t>
        </is>
      </c>
      <c r="D709" t="inlineStr">
        <is>
          <t>Bilbao</t>
        </is>
      </c>
      <c r="E709" t="inlineStr">
        <is>
          <t>2026-02-28</t>
        </is>
      </c>
      <c r="F709" t="inlineStr">
        <is>
          <t>2026-03-07</t>
        </is>
      </c>
      <c r="G709" t="inlineStr"/>
      <c r="H709">
        <f>HYPERLINK("https://booking.roadsurfer.com/es/rally/pick?pickup_date=2026-02-28&amp;return_date=2026-03-07&amp;currency=EUR&amp;startStation=5&amp;endStation=40",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Italia</t>
        </is>
      </c>
      <c r="D710" t="inlineStr">
        <is>
          <t>Milán</t>
        </is>
      </c>
      <c r="E710" t="inlineStr">
        <is>
          <t>2026-02-27</t>
        </is>
      </c>
      <c r="F710" t="inlineStr">
        <is>
          <t>2026-03-06</t>
        </is>
      </c>
      <c r="G710" t="inlineStr">
        <is>
          <t xml:space="preserve"> - No hay coche</t>
        </is>
      </c>
      <c r="H710">
        <f>HYPERLINK("https://booking.roadsurfer.com/es/rally/pick?pickup_date=2026-02-27&amp;return_date=2026-03-06&amp;currency=EUR&amp;startStation=5&amp;endStation=34", "Clic para verlo en la web de RoadSurfer")</f>
        <v/>
      </c>
    </row>
    <row r="711">
      <c r="A711" t="inlineStr">
        <is>
          <t>Alemania</t>
        </is>
      </c>
      <c r="B711" t="inlineStr">
        <is>
          <t>Stuttgart</t>
        </is>
      </c>
      <c r="C711" t="inlineStr">
        <is>
          <t>Italia</t>
        </is>
      </c>
      <c r="D711" t="inlineStr">
        <is>
          <t>Milán</t>
        </is>
      </c>
      <c r="E711" t="inlineStr">
        <is>
          <t>2026-03-13</t>
        </is>
      </c>
      <c r="F711" t="inlineStr">
        <is>
          <t>2026-03-20</t>
        </is>
      </c>
      <c r="G711" t="inlineStr">
        <is>
          <t xml:space="preserve"> - Surfer Suite</t>
        </is>
      </c>
      <c r="H711">
        <f>HYPERLINK("https://booking.roadsurfer.com/es/rally/pick?pickup_date=2026-03-13&amp;return_date=2026-03-20&amp;currency=EUR&amp;startStation=5&amp;endStation=34", "Clic para verlo en la web de RoadSurfer")</f>
        <v/>
      </c>
    </row>
    <row r="712">
      <c r="A712" t="inlineStr">
        <is>
          <t>Alemania</t>
        </is>
      </c>
      <c r="B712" t="inlineStr">
        <is>
          <t>Stuttgart</t>
        </is>
      </c>
      <c r="C712" t="inlineStr">
        <is>
          <t>Austria</t>
        </is>
      </c>
      <c r="D712" t="inlineStr">
        <is>
          <t>Viena Sur</t>
        </is>
      </c>
      <c r="E712" t="inlineStr">
        <is>
          <t>2026-03-04</t>
        </is>
      </c>
      <c r="F712" t="inlineStr">
        <is>
          <t>2026-03-11</t>
        </is>
      </c>
      <c r="G712" t="inlineStr"/>
      <c r="H712">
        <f>HYPERLINK("https://booking.roadsurfer.com/es/rally/pick?pickup_date=2026-03-04&amp;return_date=2026-03-11&amp;currency=EUR&amp;startStation=5&amp;endStation=45", "Clic para verlo en la web de RoadSurfer")</f>
        <v/>
      </c>
    </row>
    <row r="713">
      <c r="A713" t="inlineStr">
        <is>
          <t>Alemania</t>
        </is>
      </c>
      <c r="B713" t="inlineStr">
        <is>
          <t>Stuttgart</t>
        </is>
      </c>
      <c r="C713" t="inlineStr">
        <is>
          <t>Países Bajos</t>
        </is>
      </c>
      <c r="D713" t="inlineStr">
        <is>
          <t>Ámsterdam</t>
        </is>
      </c>
      <c r="E713" t="inlineStr">
        <is>
          <t>2026-03-03</t>
        </is>
      </c>
      <c r="F713" t="inlineStr">
        <is>
          <t>2026-03-10</t>
        </is>
      </c>
      <c r="G713" t="inlineStr"/>
      <c r="H713">
        <f>HYPERLINK("https://booking.roadsurfer.com/es/rally/pick?pickup_date=2026-03-03&amp;return_date=2026-03-10&amp;currency=EUR&amp;startStation=5&amp;endStation=32", "Clic para verlo en la web de RoadSurfer")</f>
        <v/>
      </c>
    </row>
    <row r="714">
      <c r="A714" t="inlineStr">
        <is>
          <t>Alemania</t>
        </is>
      </c>
      <c r="B714" t="inlineStr">
        <is>
          <t>Stuttgart</t>
        </is>
      </c>
      <c r="C714" t="inlineStr">
        <is>
          <t>España</t>
        </is>
      </c>
      <c r="D714" t="inlineStr">
        <is>
          <t>Sevilla</t>
        </is>
      </c>
      <c r="E714" t="inlineStr">
        <is>
          <t>2026-03-03</t>
        </is>
      </c>
      <c r="F714" t="inlineStr">
        <is>
          <t>2026-03-10</t>
        </is>
      </c>
      <c r="G714" t="inlineStr"/>
      <c r="H714">
        <f>HYPERLINK("https://booking.roadsurfer.com/es/rally/pick?pickup_date=2026-03-03&amp;return_date=2026-03-10&amp;currency=EUR&amp;startStation=5&amp;endStation=39", "Clic para verlo en la web de RoadSurfer")</f>
        <v/>
      </c>
    </row>
    <row r="715">
      <c r="A715" t="inlineStr">
        <is>
          <t>Alemania</t>
        </is>
      </c>
      <c r="B715" t="inlineStr">
        <is>
          <t>Stuttgart</t>
        </is>
      </c>
      <c r="C715" t="inlineStr">
        <is>
          <t>España</t>
        </is>
      </c>
      <c r="D715" t="inlineStr">
        <is>
          <t>Sevilla</t>
        </is>
      </c>
      <c r="E715" t="inlineStr">
        <is>
          <t>2026-03-02</t>
        </is>
      </c>
      <c r="F715" t="inlineStr">
        <is>
          <t>2026-03-09</t>
        </is>
      </c>
      <c r="G715" t="inlineStr"/>
      <c r="H715">
        <f>HYPERLINK("https://booking.roadsurfer.com/es/rally/pick?pickup_date=2026-03-02&amp;return_date=2026-03-09&amp;currency=EUR&amp;startStation=5&amp;endStation=39", "Clic para verlo en la web de RoadSurfer")</f>
        <v/>
      </c>
    </row>
    <row r="716">
      <c r="A716" t="inlineStr">
        <is>
          <t>Alemania</t>
        </is>
      </c>
      <c r="B716" t="inlineStr">
        <is>
          <t>Stuttgart</t>
        </is>
      </c>
      <c r="C716" t="inlineStr">
        <is>
          <t>España</t>
        </is>
      </c>
      <c r="D716" t="inlineStr">
        <is>
          <t>Sevilla</t>
        </is>
      </c>
      <c r="E716" t="inlineStr">
        <is>
          <t>2026-03-05</t>
        </is>
      </c>
      <c r="F716" t="inlineStr">
        <is>
          <t>2026-03-12</t>
        </is>
      </c>
      <c r="G716" t="inlineStr">
        <is>
          <t xml:space="preserve"> - Couple Cottage</t>
        </is>
      </c>
      <c r="H716">
        <f>HYPERLINK("https://booking.roadsurfer.com/es/rally/pick?pickup_date=2026-03-05&amp;return_date=2026-03-12&amp;currency=EUR&amp;startStation=5&amp;endStation=39", "Clic para verlo en la web de RoadSurfer")</f>
        <v/>
      </c>
    </row>
    <row r="717">
      <c r="A717" t="inlineStr">
        <is>
          <t>Alemania</t>
        </is>
      </c>
      <c r="B717" t="inlineStr">
        <is>
          <t>Stuttgart</t>
        </is>
      </c>
      <c r="C717" t="inlineStr">
        <is>
          <t>Francia</t>
        </is>
      </c>
      <c r="D717" t="inlineStr">
        <is>
          <t>Ginebra-Pays de Gex (Francia)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Camper Cabin</t>
        </is>
      </c>
      <c r="H717">
        <f>HYPERLINK("https://booking.roadsurfer.com/es/rally/pick?pickup_date=2026-03-05&amp;return_date=2026-03-12&amp;currency=EUR&amp;startStation=5&amp;endStation=29", "Clic para verlo en la web de RoadSurfer")</f>
        <v/>
      </c>
    </row>
    <row r="718">
      <c r="A718" t="inlineStr">
        <is>
          <t>Alemania</t>
        </is>
      </c>
      <c r="B718" t="inlineStr">
        <is>
          <t>Stuttgart</t>
        </is>
      </c>
      <c r="C718" t="inlineStr">
        <is>
          <t>Francia</t>
        </is>
      </c>
      <c r="D718" t="inlineStr">
        <is>
          <t>Ginebra-Pays de Gex (Francia)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Road House</t>
        </is>
      </c>
      <c r="H718">
        <f>HYPERLINK("https://booking.roadsurfer.com/es/rally/pick?pickup_date=2026-03-02&amp;return_date=2026-03-09&amp;currency=EUR&amp;startStation=5&amp;endStation=29", "Clic para verlo en la web de RoadSurfer")</f>
        <v/>
      </c>
    </row>
    <row r="719">
      <c r="A719" t="inlineStr">
        <is>
          <t>Alemania</t>
        </is>
      </c>
      <c r="B719" t="inlineStr">
        <is>
          <t>Stuttgart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2026-03-15</t>
        </is>
      </c>
      <c r="F719" t="inlineStr">
        <is>
          <t>2026-03-22</t>
        </is>
      </c>
      <c r="G719" t="inlineStr">
        <is>
          <t xml:space="preserve"> - No hay coche</t>
        </is>
      </c>
      <c r="H719">
        <f>HYPERLINK("https://booking.roadsurfer.com/es/rally/pick?pickup_date=2026-03-15&amp;return_date=2026-03-22&amp;currency=EUR&amp;startStation=5&amp;endStation=56", "Clic para verlo en la web de RoadSurfer")</f>
        <v/>
      </c>
    </row>
    <row r="720">
      <c r="A720" t="inlineStr">
        <is>
          <t>Alemania</t>
        </is>
      </c>
      <c r="B720" t="inlineStr">
        <is>
          <t>Stuttgart</t>
        </is>
      </c>
      <c r="C720" t="inlineStr">
        <is>
          <t>Austria</t>
        </is>
      </c>
      <c r="D720" t="inlineStr">
        <is>
          <t>Innsbruck-Wiesing</t>
        </is>
      </c>
      <c r="E720" t="inlineStr">
        <is>
          <t>2026-03-03</t>
        </is>
      </c>
      <c r="F720" t="inlineStr">
        <is>
          <t>2026-03-10</t>
        </is>
      </c>
      <c r="G720" t="inlineStr">
        <is>
          <t xml:space="preserve"> - Camper Castle</t>
        </is>
      </c>
      <c r="H720">
        <f>HYPERLINK("https://booking.roadsurfer.com/es/rally/pick?pickup_date=2026-03-03&amp;return_date=2026-03-10&amp;currency=EUR&amp;startStation=5&amp;endStation=46", "Clic para verlo en la web de RoadSurfer")</f>
        <v/>
      </c>
    </row>
    <row r="721">
      <c r="A721" t="inlineStr">
        <is>
          <t>Alemania</t>
        </is>
      </c>
      <c r="B721" t="inlineStr">
        <is>
          <t>Stuttgart</t>
        </is>
      </c>
      <c r="C721" t="inlineStr">
        <is>
          <t>Italia</t>
        </is>
      </c>
      <c r="D721" t="inlineStr">
        <is>
          <t>Florencia</t>
        </is>
      </c>
      <c r="E721" t="inlineStr">
        <is>
          <t>2026-02-28</t>
        </is>
      </c>
      <c r="F721" t="inlineStr">
        <is>
          <t>2026-03-07</t>
        </is>
      </c>
      <c r="G721" t="inlineStr"/>
      <c r="H721">
        <f>HYPERLINK("https://booking.roadsurfer.com/es/rally/pick?pickup_date=2026-02-28&amp;return_date=2026-03-07&amp;currency=EUR&amp;startStation=5&amp;endStation=80", "Clic para verlo en la web de RoadSurfer")</f>
        <v/>
      </c>
    </row>
    <row r="722">
      <c r="A722" t="inlineStr">
        <is>
          <t>Alemania</t>
        </is>
      </c>
      <c r="B722" t="inlineStr">
        <is>
          <t>Stuttgart</t>
        </is>
      </c>
      <c r="C722" t="inlineStr">
        <is>
          <t>España</t>
        </is>
      </c>
      <c r="D722" t="inlineStr">
        <is>
          <t>Barcelona</t>
        </is>
      </c>
      <c r="E722" t="inlineStr">
        <is>
          <t>2026-03-19</t>
        </is>
      </c>
      <c r="F722" t="inlineStr">
        <is>
          <t>2026-03-26</t>
        </is>
      </c>
      <c r="G722" t="inlineStr">
        <is>
          <t xml:space="preserve"> - Couple Cottage</t>
        </is>
      </c>
      <c r="H722">
        <f>HYPERLINK("https://booking.roadsurfer.com/es/rally/pick?pickup_date=2026-03-19&amp;return_date=2026-03-26&amp;currency=EUR&amp;startStation=5&amp;endStation=17", "Clic para verlo en la web de RoadSurfer")</f>
        <v/>
      </c>
    </row>
    <row r="723">
      <c r="A723" t="inlineStr">
        <is>
          <t>Alemania</t>
        </is>
      </c>
      <c r="B723" t="inlineStr">
        <is>
          <t>Stuttgart</t>
        </is>
      </c>
      <c r="C723" t="inlineStr">
        <is>
          <t>España</t>
        </is>
      </c>
      <c r="D723" t="inlineStr">
        <is>
          <t>Barcelona</t>
        </is>
      </c>
      <c r="E723" t="inlineStr">
        <is>
          <t>2026-03-20</t>
        </is>
      </c>
      <c r="F723" t="inlineStr">
        <is>
          <t>2026-03-27</t>
        </is>
      </c>
      <c r="G723" t="inlineStr"/>
      <c r="H723">
        <f>HYPERLINK("https://booking.roadsurfer.com/es/rally/pick?pickup_date=2026-03-20&amp;return_date=2026-03-27&amp;currency=EUR&amp;startStation=5&amp;endStation=17",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2026-03-23</t>
        </is>
      </c>
      <c r="F724" t="inlineStr">
        <is>
          <t>2026-03-30</t>
        </is>
      </c>
      <c r="G724" t="inlineStr"/>
      <c r="H724">
        <f>HYPERLINK("https://booking.roadsurfer.com/es/rally/pick?pickup_date=2026-03-23&amp;return_date=2026-03-30&amp;currency=EUR&amp;startStation=30&amp;endStation=22", "Clic para verlo en la web de RoadSurfer")</f>
        <v/>
      </c>
    </row>
    <row r="725">
      <c r="A725" t="inlineStr">
        <is>
          <t>Alemania</t>
        </is>
      </c>
      <c r="B725" t="inlineStr">
        <is>
          <t>Tréveris</t>
        </is>
      </c>
      <c r="C725" t="inlineStr">
        <is>
          <t>Países Bajos</t>
        </is>
      </c>
      <c r="D725" t="inlineStr">
        <is>
          <t>Róterdam</t>
        </is>
      </c>
      <c r="E725" t="inlineStr">
        <is>
          <t>2026-03-03</t>
        </is>
      </c>
      <c r="F725" t="inlineStr">
        <is>
          <t>2026-03-10</t>
        </is>
      </c>
      <c r="G725" t="inlineStr"/>
      <c r="H725">
        <f>HYPERLINK("https://booking.roadsurfer.com/es/rally/pick?pickup_date=2026-03-03&amp;return_date=2026-03-10&amp;currency=EUR&amp;startStation=28&amp;endStation=33", "Clic para verlo en la web de RoadSurfer")</f>
        <v/>
      </c>
    </row>
    <row r="726">
      <c r="A726" t="inlineStr">
        <is>
          <t>Alemania</t>
        </is>
      </c>
      <c r="B726" t="inlineStr">
        <is>
          <t>Tréveris</t>
        </is>
      </c>
      <c r="C726" t="inlineStr">
        <is>
          <t>Países Bajos</t>
        </is>
      </c>
      <c r="D726" t="inlineStr">
        <is>
          <t>Ámsterdam</t>
        </is>
      </c>
      <c r="E726" t="inlineStr">
        <is>
          <t>2026-03-02</t>
        </is>
      </c>
      <c r="F726" t="inlineStr">
        <is>
          <t>2026-03-09</t>
        </is>
      </c>
      <c r="G726" t="inlineStr"/>
      <c r="H726">
        <f>HYPERLINK("https://booking.roadsurfer.com/es/rally/pick?pickup_date=2026-03-02&amp;return_date=2026-03-09&amp;currency=EUR&amp;startStation=28&amp;endStation=32", "Clic para verlo en la web de RoadSurfer")</f>
        <v/>
      </c>
    </row>
    <row r="727">
      <c r="A727" t="inlineStr">
        <is>
          <t>Alemania</t>
        </is>
      </c>
      <c r="B727" t="inlineStr">
        <is>
          <t>Tréveris</t>
        </is>
      </c>
      <c r="C727" t="inlineStr">
        <is>
          <t>Alemania</t>
        </is>
      </c>
      <c r="D727" t="inlineStr">
        <is>
          <t>Augsburgo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Camper Cabin</t>
        </is>
      </c>
      <c r="H727">
        <f>HYPERLINK("https://booking.roadsurfer.com/es/rally/pick?pickup_date=2026-03-16&amp;return_date=2026-03-23&amp;currency=EUR&amp;startStation=28&amp;endStation=108", "Clic para verlo en la web de RoadSurfer")</f>
        <v/>
      </c>
    </row>
    <row r="728">
      <c r="A728" t="inlineStr">
        <is>
          <t>Alemania</t>
        </is>
      </c>
      <c r="B728" t="inlineStr">
        <is>
          <t>Tréveris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2026-03-12</t>
        </is>
      </c>
      <c r="F728" t="inlineStr">
        <is>
          <t>2026-03-19</t>
        </is>
      </c>
      <c r="G728" t="inlineStr"/>
      <c r="H728">
        <f>HYPERLINK("https://booking.roadsurfer.com/es/rally/pick?pickup_date=2026-03-12&amp;return_date=2026-03-19&amp;currency=EUR&amp;startStation=28&amp;endStation=1", "Clic para verlo en la web de RoadSurfer")</f>
        <v/>
      </c>
    </row>
    <row r="729">
      <c r="A729" t="inlineStr">
        <is>
          <t>Alemania</t>
        </is>
      </c>
      <c r="B729" t="inlineStr">
        <is>
          <t>Tréveris</t>
        </is>
      </c>
      <c r="C729" t="inlineStr">
        <is>
          <t>Alemania</t>
        </is>
      </c>
      <c r="D729" t="inlineStr">
        <is>
          <t>Hamburgo Aeropuerto</t>
        </is>
      </c>
      <c r="E729" t="inlineStr">
        <is>
          <t>2026-03-06</t>
        </is>
      </c>
      <c r="F729" t="inlineStr">
        <is>
          <t>2026-03-13</t>
        </is>
      </c>
      <c r="G729" t="inlineStr">
        <is>
          <t xml:space="preserve"> - Family Finca</t>
        </is>
      </c>
      <c r="H729">
        <f>HYPERLINK("https://booking.roadsurfer.com/es/rally/pick?pickup_date=2026-03-06&amp;return_date=2026-03-13&amp;currency=EUR&amp;startStation=28&amp;endStation=65", "Clic para verlo en la web de RoadSurfer")</f>
        <v/>
      </c>
    </row>
    <row r="730">
      <c r="A730" t="inlineStr">
        <is>
          <t>Italia</t>
        </is>
      </c>
      <c r="B730" t="inlineStr">
        <is>
          <t>Turín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2026-02-28</t>
        </is>
      </c>
      <c r="F730" t="inlineStr">
        <is>
          <t>2026-03-07</t>
        </is>
      </c>
      <c r="G730" t="inlineStr">
        <is>
          <t xml:space="preserve"> - No hay coche</t>
        </is>
      </c>
      <c r="H730">
        <f>HYPERLINK("https://booking.roadsurfer.com/es/rally/pick?pickup_date=2026-02-28&amp;return_date=2026-03-07&amp;currency=EUR&amp;startStation=58&amp;endStation=22", "Clic para verlo en la web de RoadSurfer")</f>
        <v/>
      </c>
    </row>
    <row r="731">
      <c r="A731" t="inlineStr">
        <is>
          <t>Italia</t>
        </is>
      </c>
      <c r="B731" t="inlineStr">
        <is>
          <t>Turín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2026-03-02</t>
        </is>
      </c>
      <c r="F731" t="inlineStr">
        <is>
          <t>2026-03-09</t>
        </is>
      </c>
      <c r="G731" t="inlineStr"/>
      <c r="H731">
        <f>HYPERLINK("https://booking.roadsurfer.com/es/rally/pick?pickup_date=2026-03-02&amp;return_date=2026-03-09&amp;currency=EUR&amp;startStation=58&amp;endStation=22", "Clic para verlo en la web de RoadSurfer")</f>
        <v/>
      </c>
    </row>
    <row r="732">
      <c r="A732" t="inlineStr">
        <is>
          <t>Italia</t>
        </is>
      </c>
      <c r="B732" t="inlineStr">
        <is>
          <t>Turín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2026-03-13</t>
        </is>
      </c>
      <c r="F732" t="inlineStr">
        <is>
          <t>2026-03-20</t>
        </is>
      </c>
      <c r="G732" t="inlineStr">
        <is>
          <t xml:space="preserve"> - Surfer Suite</t>
        </is>
      </c>
      <c r="H732">
        <f>HYPERLINK("https://booking.roadsurfer.com/es/rally/pick?pickup_date=2026-03-13&amp;return_date=2026-03-20&amp;currency=EUR&amp;startStation=58&amp;endStation=90", "Clic para verlo en la web de RoadSurfer")</f>
        <v/>
      </c>
    </row>
    <row r="733">
      <c r="A733" t="inlineStr">
        <is>
          <t>Alemania</t>
        </is>
      </c>
      <c r="B733" t="inlineStr">
        <is>
          <t>Ulm</t>
        </is>
      </c>
      <c r="C733" t="inlineStr">
        <is>
          <t>Francia</t>
        </is>
      </c>
      <c r="D733" t="inlineStr">
        <is>
          <t>Ginebra-Pays de Gex (Francia)</t>
        </is>
      </c>
      <c r="E733" t="inlineStr">
        <is>
          <t>2026-02-25</t>
        </is>
      </c>
      <c r="F733" t="inlineStr">
        <is>
          <t>2026-03-04</t>
        </is>
      </c>
      <c r="G733" t="inlineStr">
        <is>
          <t xml:space="preserve"> - Family Finca</t>
        </is>
      </c>
      <c r="H733">
        <f>HYPERLINK("https://booking.roadsurfer.com/es/rally/pick?pickup_date=2026-02-25&amp;return_date=2026-03-04&amp;currency=EUR&amp;startStation=112&amp;endStation=29", "Clic para verlo en la web de RoadSurfer")</f>
        <v/>
      </c>
    </row>
    <row r="734">
      <c r="A734" t="inlineStr">
        <is>
          <t>Alemania</t>
        </is>
      </c>
      <c r="B734" t="inlineStr">
        <is>
          <t>Ulm</t>
        </is>
      </c>
      <c r="C734" t="inlineStr">
        <is>
          <t>Francia</t>
        </is>
      </c>
      <c r="D734" t="inlineStr">
        <is>
          <t>Ginebra-Pays de Gex (Francia)</t>
        </is>
      </c>
      <c r="E734" t="inlineStr">
        <is>
          <t>2026-02-27</t>
        </is>
      </c>
      <c r="F734" t="inlineStr">
        <is>
          <t>2026-03-06</t>
        </is>
      </c>
      <c r="G734" t="inlineStr">
        <is>
          <t xml:space="preserve"> - Road House</t>
        </is>
      </c>
      <c r="H734">
        <f>HYPERLINK("https://booking.roadsurfer.com/es/rally/pick?pickup_date=2026-02-27&amp;return_date=2026-03-06&amp;currency=EUR&amp;startStation=112&amp;endStation=29", "Clic para verlo en la web de RoadSurfer")</f>
        <v/>
      </c>
    </row>
    <row r="735">
      <c r="A735" t="inlineStr">
        <is>
          <t>Alemania</t>
        </is>
      </c>
      <c r="B735" t="inlineStr">
        <is>
          <t>Ulm</t>
        </is>
      </c>
      <c r="C735" t="inlineStr">
        <is>
          <t>Países Bajos</t>
        </is>
      </c>
      <c r="D735" t="inlineStr">
        <is>
          <t>Ámsterdam</t>
        </is>
      </c>
      <c r="E735" t="inlineStr">
        <is>
          <t>2026-03-24</t>
        </is>
      </c>
      <c r="F735" t="inlineStr">
        <is>
          <t>2026-03-31</t>
        </is>
      </c>
      <c r="G735" t="inlineStr"/>
      <c r="H735">
        <f>HYPERLINK("https://booking.roadsurfer.com/es/rally/pick?pickup_date=2026-03-24&amp;return_date=2026-03-31&amp;currency=EUR&amp;startStation=112&amp;endStation=32", "Clic para verlo en la web de RoadSurfer")</f>
        <v/>
      </c>
    </row>
    <row r="736">
      <c r="A736" t="inlineStr">
        <is>
          <t>Alemania</t>
        </is>
      </c>
      <c r="B736" t="inlineStr">
        <is>
          <t>Ulm</t>
        </is>
      </c>
      <c r="C736" t="inlineStr">
        <is>
          <t>Países Bajos</t>
        </is>
      </c>
      <c r="D736" t="inlineStr">
        <is>
          <t>Róterdam</t>
        </is>
      </c>
      <c r="E736" t="inlineStr">
        <is>
          <t>2026-03-16</t>
        </is>
      </c>
      <c r="F736" t="inlineStr">
        <is>
          <t>2026-03-23</t>
        </is>
      </c>
      <c r="G736" t="inlineStr"/>
      <c r="H736">
        <f>HYPERLINK("https://booking.roadsurfer.com/es/rally/pick?pickup_date=2026-03-16&amp;return_date=2026-03-23&amp;currency=EUR&amp;startStation=112&amp;endStation=33", "Clic para verlo en la web de RoadSurfer")</f>
        <v/>
      </c>
    </row>
    <row r="737">
      <c r="A737" t="inlineStr">
        <is>
          <t>España</t>
        </is>
      </c>
      <c r="B737" t="inlineStr">
        <is>
          <t>Valencia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2026-04-15</t>
        </is>
      </c>
      <c r="F737" t="inlineStr">
        <is>
          <t>2026-04-22</t>
        </is>
      </c>
      <c r="G737" t="inlineStr"/>
      <c r="H737">
        <f>HYPERLINK("https://booking.roadsurfer.com/es/rally/pick?pickup_date=2026-04-15&amp;return_date=2026-04-22&amp;currency=EUR&amp;startStation=38&amp;endStation=8", "Clic para verlo en la web de RoadSurfer")</f>
        <v/>
      </c>
    </row>
    <row r="738">
      <c r="A738" t="inlineStr">
        <is>
          <t>España</t>
        </is>
      </c>
      <c r="B738" t="inlineStr">
        <is>
          <t>Valencia</t>
        </is>
      </c>
      <c r="C738" t="inlineStr">
        <is>
          <t>Alemania</t>
        </is>
      </c>
      <c r="D738" t="inlineStr">
        <is>
          <t>Karlsruhe</t>
        </is>
      </c>
      <c r="E738" t="inlineStr">
        <is>
          <t>2026-03-02</t>
        </is>
      </c>
      <c r="F738" t="inlineStr">
        <is>
          <t>2026-03-09</t>
        </is>
      </c>
      <c r="G738" t="inlineStr"/>
      <c r="H738">
        <f>HYPERLINK("https://booking.roadsurfer.com/es/rally/pick?pickup_date=2026-03-02&amp;return_date=2026-03-09&amp;currency=EUR&amp;startStation=38&amp;endStation=110", "Clic para verlo en la web de RoadSurfer")</f>
        <v/>
      </c>
    </row>
    <row r="739">
      <c r="A739" t="inlineStr">
        <is>
          <t>España</t>
        </is>
      </c>
      <c r="B739" t="inlineStr">
        <is>
          <t>Valencia</t>
        </is>
      </c>
      <c r="C739" t="inlineStr">
        <is>
          <t>Alemania</t>
        </is>
      </c>
      <c r="D739" t="inlineStr">
        <is>
          <t>Duisburgo</t>
        </is>
      </c>
      <c r="E739" t="inlineStr">
        <is>
          <t>2026-03-16</t>
        </is>
      </c>
      <c r="F739" t="inlineStr">
        <is>
          <t>2026-03-23</t>
        </is>
      </c>
      <c r="G739" t="inlineStr"/>
      <c r="H739">
        <f>HYPERLINK("https://booking.roadsurfer.com/es/rally/pick?pickup_date=2026-03-16&amp;return_date=2026-03-23&amp;currency=EUR&amp;startStation=38&amp;endStation=113", "Clic para verlo en la web de RoadSurfer")</f>
        <v/>
      </c>
    </row>
    <row r="740">
      <c r="A740" t="inlineStr">
        <is>
          <t>España</t>
        </is>
      </c>
      <c r="B740" t="inlineStr">
        <is>
          <t>Valencia</t>
        </is>
      </c>
      <c r="C740" t="inlineStr">
        <is>
          <t>Alemania</t>
        </is>
      </c>
      <c r="D740" t="inlineStr">
        <is>
          <t>Duisburgo</t>
        </is>
      </c>
      <c r="E740" t="inlineStr">
        <is>
          <t>2026-03-23</t>
        </is>
      </c>
      <c r="F740" t="inlineStr">
        <is>
          <t>2026-03-30</t>
        </is>
      </c>
      <c r="G740" t="inlineStr">
        <is>
          <t xml:space="preserve"> - Surfer Suite</t>
        </is>
      </c>
      <c r="H740">
        <f>HYPERLINK("https://booking.roadsurfer.com/es/rally/pick?pickup_date=2026-03-23&amp;return_date=2026-03-30&amp;currency=EUR&amp;startStation=38&amp;endStation=113", "Clic para verlo en la web de RoadSurfer")</f>
        <v/>
      </c>
    </row>
    <row r="741">
      <c r="A741" t="inlineStr">
        <is>
          <t>España</t>
        </is>
      </c>
      <c r="B741" t="inlineStr">
        <is>
          <t>Valencia</t>
        </is>
      </c>
      <c r="C741" t="inlineStr">
        <is>
          <t>Alemania</t>
        </is>
      </c>
      <c r="D741" t="inlineStr">
        <is>
          <t>Núremberg</t>
        </is>
      </c>
      <c r="E741" t="inlineStr">
        <is>
          <t>2026-03-09</t>
        </is>
      </c>
      <c r="F741" t="inlineStr">
        <is>
          <t>2026-03-16</t>
        </is>
      </c>
      <c r="G741" t="inlineStr"/>
      <c r="H741">
        <f>HYPERLINK("https://booking.roadsurfer.com/es/rally/pick?pickup_date=2026-03-09&amp;return_date=2026-03-16&amp;currency=EUR&amp;startStation=38&amp;endStation=11",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2026-03-20</t>
        </is>
      </c>
      <c r="F742" t="inlineStr">
        <is>
          <t>2026-03-27</t>
        </is>
      </c>
      <c r="G742" t="inlineStr"/>
      <c r="H742">
        <f>HYPERLINK("https://booking.roadsurfer.com/es/rally/pick?pickup_date=2026-03-20&amp;return_date=2026-03-27&amp;currency=EUR&amp;startStation=78&amp;endStation=2",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Alemania</t>
        </is>
      </c>
      <c r="D743" t="inlineStr">
        <is>
          <t>Múnich</t>
        </is>
      </c>
      <c r="E743" t="inlineStr">
        <is>
          <t>2026-03-19</t>
        </is>
      </c>
      <c r="F743" t="inlineStr">
        <is>
          <t>2026-03-26</t>
        </is>
      </c>
      <c r="G743" t="inlineStr">
        <is>
          <t xml:space="preserve"> - Surfer Suite</t>
        </is>
      </c>
      <c r="H743">
        <f>HYPERLINK("https://booking.roadsurfer.com/es/rally/pick?pickup_date=2026-03-19&amp;return_date=2026-03-26&amp;currency=EUR&amp;startStation=78&amp;endStation=1",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Múnich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Family Finca</t>
        </is>
      </c>
      <c r="H744">
        <f>HYPERLINK("https://booking.roadsurfer.com/es/rally/pick?pickup_date=2026-03-09&amp;return_date=2026-03-16&amp;currency=EUR&amp;startStation=78&amp;endStation=1", "Clic para verlo en la web de RoadSurfer")</f>
        <v/>
      </c>
    </row>
    <row r="745">
      <c r="A745" t="inlineStr">
        <is>
          <t>Italia</t>
        </is>
      </c>
      <c r="B745" t="inlineStr">
        <is>
          <t>Venecia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2026-03-16</t>
        </is>
      </c>
      <c r="F745" t="inlineStr">
        <is>
          <t>2026-03-23</t>
        </is>
      </c>
      <c r="G745" t="inlineStr">
        <is>
          <t xml:space="preserve"> - Couple Cottage</t>
        </is>
      </c>
      <c r="H745">
        <f>HYPERLINK("https://booking.roadsurfer.com/es/rally/pick?pickup_date=2026-03-16&amp;return_date=2026-03-23&amp;currency=EUR&amp;startStation=78&amp;endStation=1", "Clic para verlo en la web de RoadSurfer")</f>
        <v/>
      </c>
    </row>
    <row r="746">
      <c r="A746" t="inlineStr">
        <is>
          <t>Italia</t>
        </is>
      </c>
      <c r="B746" t="inlineStr">
        <is>
          <t>Venecia</t>
        </is>
      </c>
      <c r="C746" t="inlineStr">
        <is>
          <t>Alemania</t>
        </is>
      </c>
      <c r="D746" t="inlineStr">
        <is>
          <t>Núremberg</t>
        </is>
      </c>
      <c r="E746" t="inlineStr">
        <is>
          <t>2026-03-10</t>
        </is>
      </c>
      <c r="F746" t="inlineStr">
        <is>
          <t>2026-03-17</t>
        </is>
      </c>
      <c r="G746" t="inlineStr"/>
      <c r="H746">
        <f>HYPERLINK("https://booking.roadsurfer.com/es/rally/pick?pickup_date=2026-03-10&amp;return_date=2026-03-17&amp;currency=EUR&amp;startStation=78&amp;endStation=11", "Clic para verlo en la web de RoadSurfer")</f>
        <v/>
      </c>
    </row>
    <row r="747">
      <c r="A747" t="inlineStr">
        <is>
          <t>Italia</t>
        </is>
      </c>
      <c r="B747" t="inlineStr">
        <is>
          <t>Venecia</t>
        </is>
      </c>
      <c r="C747" t="inlineStr">
        <is>
          <t>Alemania</t>
        </is>
      </c>
      <c r="D747" t="inlineStr">
        <is>
          <t>Maguncia</t>
        </is>
      </c>
      <c r="E747" t="inlineStr">
        <is>
          <t>2026-03-12</t>
        </is>
      </c>
      <c r="F747" t="inlineStr">
        <is>
          <t>2026-03-19</t>
        </is>
      </c>
      <c r="G747" t="inlineStr">
        <is>
          <t xml:space="preserve"> - Beach Hostel</t>
        </is>
      </c>
      <c r="H747">
        <f>HYPERLINK("https://booking.roadsurfer.com/es/rally/pick?pickup_date=2026-03-12&amp;return_date=2026-03-19&amp;currency=EUR&amp;startStation=78&amp;endStation=54",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Alemania</t>
        </is>
      </c>
      <c r="D748" t="inlineStr">
        <is>
          <t>Duisburgo</t>
        </is>
      </c>
      <c r="E748" t="inlineStr">
        <is>
          <t>2026-04-13</t>
        </is>
      </c>
      <c r="F748" t="inlineStr">
        <is>
          <t>2026-04-20</t>
        </is>
      </c>
      <c r="G748" t="inlineStr"/>
      <c r="H748">
        <f>HYPERLINK("https://booking.roadsurfer.com/es/rally/pick?pickup_date=2026-04-13&amp;return_date=2026-04-20&amp;currency=EUR&amp;startStation=78&amp;endStation=113",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Sunrise Suite</t>
        </is>
      </c>
      <c r="H749">
        <f>HYPERLINK("https://booking.roadsurfer.com/es/rally/pick?pickup_date=2026-03-12&amp;return_date=2026-03-19&amp;currency=EUR&amp;startStation=78&amp;endStation=90", "Clic para verlo en la web de RoadSurfer")</f>
        <v/>
      </c>
    </row>
    <row r="750">
      <c r="A750" t="inlineStr">
        <is>
          <t>Austria</t>
        </is>
      </c>
      <c r="B750" t="inlineStr">
        <is>
          <t>Viena</t>
        </is>
      </c>
      <c r="C750" t="inlineStr">
        <is>
          <t>Alemania</t>
        </is>
      </c>
      <c r="D750" t="inlineStr">
        <is>
          <t>Berlín</t>
        </is>
      </c>
      <c r="E750" t="inlineStr">
        <is>
          <t>2026-02-27</t>
        </is>
      </c>
      <c r="F750" t="inlineStr">
        <is>
          <t>2026-03-06</t>
        </is>
      </c>
      <c r="G750" t="inlineStr"/>
      <c r="H750">
        <f>HYPERLINK("https://booking.roadsurfer.com/es/rally/pick?pickup_date=2026-02-27&amp;return_date=2026-03-06&amp;currency=EUR&amp;startStation=36&amp;endStation=6", "Clic para verlo en la web de RoadSurfer")</f>
        <v/>
      </c>
    </row>
    <row r="751">
      <c r="A751" t="inlineStr">
        <is>
          <t>Austria</t>
        </is>
      </c>
      <c r="B751" t="inlineStr">
        <is>
          <t>Viena</t>
        </is>
      </c>
      <c r="C751" t="inlineStr">
        <is>
          <t>Alemania</t>
        </is>
      </c>
      <c r="D751" t="inlineStr">
        <is>
          <t>Berlín</t>
        </is>
      </c>
      <c r="E751" t="inlineStr">
        <is>
          <t>2026-03-07</t>
        </is>
      </c>
      <c r="F751" t="inlineStr">
        <is>
          <t>2026-03-14</t>
        </is>
      </c>
      <c r="G751" t="inlineStr">
        <is>
          <t xml:space="preserve"> - Couple Cottage</t>
        </is>
      </c>
      <c r="H751">
        <f>HYPERLINK("https://booking.roadsurfer.com/es/rally/pick?pickup_date=2026-03-07&amp;return_date=2026-03-14&amp;currency=EUR&amp;startStation=36&amp;endStation=6", "Clic para verlo en la web de RoadSurfer")</f>
        <v/>
      </c>
    </row>
    <row r="752">
      <c r="A752" t="inlineStr">
        <is>
          <t>Austria</t>
        </is>
      </c>
      <c r="B752" t="inlineStr">
        <is>
          <t>Viena</t>
        </is>
      </c>
      <c r="C752" t="inlineStr">
        <is>
          <t>Alemania</t>
        </is>
      </c>
      <c r="D752" t="inlineStr">
        <is>
          <t>Berlín-Schönefeld</t>
        </is>
      </c>
      <c r="E752" t="inlineStr">
        <is>
          <t>2026-03-04</t>
        </is>
      </c>
      <c r="F752" t="inlineStr">
        <is>
          <t>2026-03-11</t>
        </is>
      </c>
      <c r="G752" t="inlineStr"/>
      <c r="H752">
        <f>HYPERLINK("https://booking.roadsurfer.com/es/rally/pick?pickup_date=2026-03-04&amp;return_date=2026-03-11&amp;currency=EUR&amp;startStation=36&amp;endStation=51", "Clic para verlo en la web de RoadSurfer")</f>
        <v/>
      </c>
    </row>
    <row r="753">
      <c r="A753" t="inlineStr">
        <is>
          <t>Austria</t>
        </is>
      </c>
      <c r="B753" t="inlineStr">
        <is>
          <t>Viena</t>
        </is>
      </c>
      <c r="C753" t="inlineStr">
        <is>
          <t>Alemania</t>
        </is>
      </c>
      <c r="D753" t="inlineStr">
        <is>
          <t>Leipzig</t>
        </is>
      </c>
      <c r="E753" t="inlineStr">
        <is>
          <t>2026-04-14</t>
        </is>
      </c>
      <c r="F753" t="inlineStr">
        <is>
          <t>2026-04-21</t>
        </is>
      </c>
      <c r="G753" t="inlineStr"/>
      <c r="H753">
        <f>HYPERLINK("https://booking.roadsurfer.com/es/rally/pick?pickup_date=2026-04-14&amp;return_date=2026-04-21&amp;currency=EUR&amp;startStation=36&amp;endStation=8", "Clic para verlo en la web de RoadSurfer")</f>
        <v/>
      </c>
    </row>
    <row r="754">
      <c r="A754" t="inlineStr">
        <is>
          <t>Austria</t>
        </is>
      </c>
      <c r="B754" t="inlineStr">
        <is>
          <t>Viena Sur</t>
        </is>
      </c>
      <c r="C754" t="inlineStr">
        <is>
          <t>Alemania</t>
        </is>
      </c>
      <c r="D754" t="inlineStr">
        <is>
          <t>Leipzig</t>
        </is>
      </c>
      <c r="E754" t="inlineStr">
        <is>
          <t>2026-03-02</t>
        </is>
      </c>
      <c r="F754" t="inlineStr">
        <is>
          <t>2026-03-09</t>
        </is>
      </c>
      <c r="G754" t="inlineStr"/>
      <c r="H754">
        <f>HYPERLINK("https://booking.roadsurfer.com/es/rally/pick?pickup_date=2026-03-02&amp;return_date=2026-03-09&amp;currency=EUR&amp;startStation=45&amp;endStation=8", "Clic para verlo en la web de RoadSurfer")</f>
        <v/>
      </c>
    </row>
    <row r="755">
      <c r="A755" t="inlineStr">
        <is>
          <t>Austria</t>
        </is>
      </c>
      <c r="B755" t="inlineStr">
        <is>
          <t>Viena Sur</t>
        </is>
      </c>
      <c r="C755" t="inlineStr">
        <is>
          <t>Alemania</t>
        </is>
      </c>
      <c r="D755" t="inlineStr">
        <is>
          <t>Leipzig</t>
        </is>
      </c>
      <c r="E755" t="inlineStr">
        <is>
          <t>2026-04-13</t>
        </is>
      </c>
      <c r="F755" t="inlineStr">
        <is>
          <t>2026-04-20</t>
        </is>
      </c>
      <c r="G755" t="inlineStr">
        <is>
          <t xml:space="preserve"> - Family Finca</t>
        </is>
      </c>
      <c r="H755">
        <f>HYPERLINK("https://booking.roadsurfer.com/es/rally/pick?pickup_date=2026-04-13&amp;return_date=2026-04-20&amp;currency=EUR&amp;startStation=45&amp;endStation=8", "Clic para verlo en la web de RoadSurfer")</f>
        <v/>
      </c>
    </row>
    <row r="756">
      <c r="A756" t="inlineStr">
        <is>
          <t>Austria</t>
        </is>
      </c>
      <c r="B756" t="inlineStr">
        <is>
          <t>Viena Sur</t>
        </is>
      </c>
      <c r="C756" t="inlineStr">
        <is>
          <t>Alemania</t>
        </is>
      </c>
      <c r="D756" t="inlineStr">
        <is>
          <t>Leipzig</t>
        </is>
      </c>
      <c r="E756" t="inlineStr">
        <is>
          <t>2026-04-14</t>
        </is>
      </c>
      <c r="F756" t="inlineStr">
        <is>
          <t>2026-04-21</t>
        </is>
      </c>
      <c r="G756" t="inlineStr">
        <is>
          <t xml:space="preserve"> - Family Finca</t>
        </is>
      </c>
      <c r="H756">
        <f>HYPERLINK("https://booking.roadsurfer.com/es/rally/pick?pickup_date=2026-04-14&amp;return_date=2026-04-21&amp;currency=EUR&amp;startStation=45&amp;endStation=8", "Clic para verlo en la web de RoadSurfer")</f>
        <v/>
      </c>
    </row>
    <row r="757">
      <c r="A757" t="inlineStr">
        <is>
          <t>Austria</t>
        </is>
      </c>
      <c r="B757" t="inlineStr">
        <is>
          <t>Viena Sur</t>
        </is>
      </c>
      <c r="C757" t="inlineStr">
        <is>
          <t>Alemania</t>
        </is>
      </c>
      <c r="D757" t="inlineStr">
        <is>
          <t>Constanza (Aach)</t>
        </is>
      </c>
      <c r="E757" t="inlineStr">
        <is>
          <t>2026-03-02</t>
        </is>
      </c>
      <c r="F757" t="inlineStr">
        <is>
          <t>2026-03-09</t>
        </is>
      </c>
      <c r="G757" t="inlineStr"/>
      <c r="H757">
        <f>HYPERLINK("https://booking.roadsurfer.com/es/rally/pick?pickup_date=2026-03-02&amp;return_date=2026-03-09&amp;currency=EUR&amp;startStation=45&amp;endStation=10", "Clic para verlo en la web de RoadSurfer")</f>
        <v/>
      </c>
    </row>
    <row r="758">
      <c r="A758" t="inlineStr">
        <is>
          <t>Austria</t>
        </is>
      </c>
      <c r="B758" t="inlineStr">
        <is>
          <t>Viena Sur</t>
        </is>
      </c>
      <c r="C758" t="inlineStr">
        <is>
          <t>Alemania</t>
        </is>
      </c>
      <c r="D758" t="inlineStr">
        <is>
          <t>Erfurt</t>
        </is>
      </c>
      <c r="E758" t="inlineStr">
        <is>
          <t>2026-03-11</t>
        </is>
      </c>
      <c r="F758" t="inlineStr">
        <is>
          <t>2026-03-18</t>
        </is>
      </c>
      <c r="G758" t="inlineStr"/>
      <c r="H758">
        <f>HYPERLINK("https://booking.roadsurfer.com/es/rally/pick?pickup_date=2026-03-11&amp;return_date=2026-03-18&amp;currency=EUR&amp;startStation=45&amp;endStation=90", "Clic para verlo en la web de RoadSurfer")</f>
        <v/>
      </c>
    </row>
    <row r="759">
      <c r="A759" t="inlineStr">
        <is>
          <t>Austria</t>
        </is>
      </c>
      <c r="B759" t="inlineStr">
        <is>
          <t>Viena Sur</t>
        </is>
      </c>
      <c r="C759" t="inlineStr">
        <is>
          <t>Alemania</t>
        </is>
      </c>
      <c r="D759" t="inlineStr">
        <is>
          <t>Erfurt</t>
        </is>
      </c>
      <c r="E759" t="inlineStr">
        <is>
          <t>2026-04-13</t>
        </is>
      </c>
      <c r="F759" t="inlineStr">
        <is>
          <t>2026-04-20</t>
        </is>
      </c>
      <c r="G759" t="inlineStr"/>
      <c r="H759">
        <f>HYPERLINK("https://booking.roadsurfer.com/es/rally/pick?pickup_date=2026-04-13&amp;return_date=2026-04-20&amp;currency=EUR&amp;startStation=45&amp;endStation=90", "Clic para verlo en la web de RoadSurfer")</f>
        <v/>
      </c>
    </row>
    <row r="760">
      <c r="A760" t="inlineStr">
        <is>
          <t>Austria</t>
        </is>
      </c>
      <c r="B760" t="inlineStr">
        <is>
          <t>Viena Sur</t>
        </is>
      </c>
      <c r="C760" t="inlineStr">
        <is>
          <t>Alemania</t>
        </is>
      </c>
      <c r="D760" t="inlineStr">
        <is>
          <t>Erfurt</t>
        </is>
      </c>
      <c r="E760" t="inlineStr">
        <is>
          <t>2026-03-10</t>
        </is>
      </c>
      <c r="F760" t="inlineStr">
        <is>
          <t>2026-03-17</t>
        </is>
      </c>
      <c r="G760" t="inlineStr">
        <is>
          <t xml:space="preserve"> - Surfer Suite</t>
        </is>
      </c>
      <c r="H760">
        <f>HYPERLINK("https://booking.roadsurfer.com/es/rally/pick?pickup_date=2026-03-10&amp;return_date=2026-03-17&amp;currency=EUR&amp;startStation=45&amp;endStation=90", "Clic para verlo en la web de RoadSurfer")</f>
        <v/>
      </c>
    </row>
    <row r="761">
      <c r="A761" t="inlineStr">
        <is>
          <t>Austria</t>
        </is>
      </c>
      <c r="B761" t="inlineStr">
        <is>
          <t>Viena Sur</t>
        </is>
      </c>
      <c r="C761" t="inlineStr">
        <is>
          <t>Alemania</t>
        </is>
      </c>
      <c r="D761" t="inlineStr">
        <is>
          <t>Núremberg</t>
        </is>
      </c>
      <c r="E761" t="inlineStr">
        <is>
          <t>2026-03-09</t>
        </is>
      </c>
      <c r="F761" t="inlineStr">
        <is>
          <t>2026-03-16</t>
        </is>
      </c>
      <c r="G761" t="inlineStr">
        <is>
          <t xml:space="preserve"> - Couple Cottage</t>
        </is>
      </c>
      <c r="H761">
        <f>HYPERLINK("https://booking.roadsurfer.com/es/rally/pick?pickup_date=2026-03-09&amp;return_date=2026-03-16&amp;currency=EUR&amp;startStation=45&amp;endStation=11", "Clic para verlo en la web de RoadSurfer")</f>
        <v/>
      </c>
    </row>
    <row r="762">
      <c r="A762" t="inlineStr">
        <is>
          <t>Alemania</t>
        </is>
      </c>
      <c r="B762" t="inlineStr">
        <is>
          <t>Wurzburgo</t>
        </is>
      </c>
      <c r="C762" t="inlineStr">
        <is>
          <t>España</t>
        </is>
      </c>
      <c r="D762" t="inlineStr">
        <is>
          <t>Sevilla</t>
        </is>
      </c>
      <c r="E762" t="inlineStr">
        <is>
          <t>2026-03-23</t>
        </is>
      </c>
      <c r="F762" t="inlineStr">
        <is>
          <t>2026-03-30</t>
        </is>
      </c>
      <c r="G762" t="inlineStr"/>
      <c r="H762">
        <f>HYPERLINK("https://booking.roadsurfer.com/es/rally/pick?pickup_date=2026-03-23&amp;return_date=2026-03-30&amp;currency=EUR&amp;startStation=115&amp;endStation=39", "Clic para verlo en la web de RoadSurfer")</f>
        <v/>
      </c>
    </row>
    <row r="763">
      <c r="A763" t="inlineStr">
        <is>
          <t>Alemania</t>
        </is>
      </c>
      <c r="B763" t="inlineStr">
        <is>
          <t>Wurzburgo</t>
        </is>
      </c>
      <c r="C763" t="inlineStr">
        <is>
          <t>España</t>
        </is>
      </c>
      <c r="D763" t="inlineStr">
        <is>
          <t>Barcelona</t>
        </is>
      </c>
      <c r="E763" t="inlineStr">
        <is>
          <t>2026-04-02</t>
        </is>
      </c>
      <c r="F763" t="inlineStr">
        <is>
          <t>2026-04-09</t>
        </is>
      </c>
      <c r="G763" t="inlineStr">
        <is>
          <t xml:space="preserve"> - Beach Hostel</t>
        </is>
      </c>
      <c r="H763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2026-02-25T08:56:12Z</dcterms:created>
  <dcterms:modified xsi:type="dcterms:W3CDTF">2026-02-25T08:56:12Z</dcterms:modified>
</cp:coreProperties>
</file>