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Road House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No hay coche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2026-05-02</t>
        </is>
      </c>
      <c r="F13" t="inlineStr">
        <is>
          <t>2026-05-09</t>
        </is>
      </c>
      <c r="G13" t="inlineStr"/>
      <c r="H13">
        <f>HYPERLINK("https://booking.roadsurfer.com/es/rally/pick?pickup_date=2026-05-02&amp;return_date=2026-05-09&amp;currency=EUR&amp;startStation=32&amp;endStation=52",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2026-05-05</t>
        </is>
      </c>
      <c r="F14" t="inlineStr">
        <is>
          <t>2026-05-08</t>
        </is>
      </c>
      <c r="G14" t="inlineStr">
        <is>
          <t xml:space="preserve"> - Surfer Suite</t>
        </is>
      </c>
      <c r="H14">
        <f>HYPERLINK("https://booking.roadsurfer.com/es/rally/pick?pickup_date=2026-05-05&amp;return_date=2026-05-08&amp;currency=EUR&amp;startStation=47&amp;endStation=128",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Cozy Cottage</t>
        </is>
      </c>
      <c r="H16">
        <f>HYPERLINK("https://booking.roadsurfer.com/es/rally/pick?pickup_date=2026-05-04&amp;return_date=2026-05-11&amp;currency=EUR&amp;startStation=108&amp;endStation=88",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Couple Cottage</t>
        </is>
      </c>
      <c r="H19">
        <f>HYPERLINK("https://booking.roadsurfer.com/es/rally/pick?pickup_date=2026-06-08&amp;return_date=2026-06-15&amp;currency=EUR&amp;startStation=108&amp;endStation=80",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Road House</t>
        </is>
      </c>
      <c r="H20">
        <f>HYPERLINK("https://booking.roadsurfer.com/es/rally/pick?pickup_date=2026-06-12&amp;return_date=2026-06-19&amp;currency=EUR&amp;startStation=108&amp;endStation=35",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Roma Aeropuerto Fiumicino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Road House</t>
        </is>
      </c>
      <c r="H21">
        <f>HYPERLINK("https://booking.roadsurfer.com/es/rally/pick?pickup_date=2026-06-08&amp;return_date=2026-06-15&amp;currency=EUR&amp;startStation=108&amp;endStation=35",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Family Finca</t>
        </is>
      </c>
      <c r="H22">
        <f>HYPERLINK("https://booking.roadsurfer.com/es/rally/pick?pickup_date=2026-06-08&amp;return_date=2026-06-15&amp;currency=EUR&amp;startStation=108&amp;endStation=45",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Camper Cabin</t>
        </is>
      </c>
      <c r="H23">
        <f>HYPERLINK("https://booking.roadsurfer.com/es/rally/pick?pickup_date=2026-05-21&amp;return_date=2026-05-28&amp;currency=EUR&amp;startStation=108&amp;endStation=130",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2026-05-18</t>
        </is>
      </c>
      <c r="F24" t="inlineStr">
        <is>
          <t>2026-05-25</t>
        </is>
      </c>
      <c r="G24" t="inlineStr">
        <is>
          <t xml:space="preserve"> - No hay coche</t>
        </is>
      </c>
      <c r="H24">
        <f>HYPERLINK("https://booking.roadsurfer.com/es/rally/pick?pickup_date=2026-05-18&amp;return_date=2026-05-25&amp;currency=EUR&amp;startStation=108&amp;endStation=130",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Castle</t>
        </is>
      </c>
      <c r="H26">
        <f>HYPERLINK("https://booking.roadsurfer.com/es/rally/pick?pickup_date=2026-05-08&amp;return_date=2026-05-15&amp;currency=EUR&amp;startStation=94&amp;endStation=111",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Road House</t>
        </is>
      </c>
      <c r="H33">
        <f>HYPERLINK("https://booking.roadsurfer.com/es/rally/pick?pickup_date=2026-06-10&amp;return_date=2026-06-17&amp;currency=EUR&amp;startStation=6&amp;endStation=48",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2026-06-05</t>
        </is>
      </c>
      <c r="F35" t="inlineStr">
        <is>
          <t>2026-06-12</t>
        </is>
      </c>
      <c r="G35" t="inlineStr">
        <is>
          <t xml:space="preserve"> - Camper Cabin</t>
        </is>
      </c>
      <c r="H35">
        <f>HYPERLINK("https://booking.roadsurfer.com/es/rally/pick?pickup_date=2026-06-05&amp;return_date=2026-06-12&amp;currency=EUR&amp;startStation=6&amp;endStation=36",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2026-06-20</t>
        </is>
      </c>
      <c r="F42" t="inlineStr">
        <is>
          <t>2026-06-27</t>
        </is>
      </c>
      <c r="G42" t="inlineStr">
        <is>
          <t xml:space="preserve"> - Camper Castle</t>
        </is>
      </c>
      <c r="H42">
        <f>HYPERLINK("https://booking.roadsurfer.com/es/rally/pick?pickup_date=2026-06-20&amp;return_date=2026-06-27&amp;currency=EUR&amp;startStation=6&amp;endStation=60",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Beach Hostel</t>
        </is>
      </c>
      <c r="H43">
        <f>HYPERLINK("https://booking.roadsurfer.com/es/rally/pick?pickup_date=2026-05-21&amp;return_date=2026-05-28&amp;currency=EUR&amp;startStation=51&amp;endStation=10",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No hay coche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Surfer Suite</t>
        </is>
      </c>
      <c r="H49">
        <f>HYPERLINK("https://booking.roadsurfer.com/es/rally/pick?pickup_date=2026-05-05&amp;return_date=2026-05-12&amp;currency=EUR&amp;startStation=91&amp;endStation=48",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2026-05-07</t>
        </is>
      </c>
      <c r="F50" t="inlineStr">
        <is>
          <t>2026-05-14</t>
        </is>
      </c>
      <c r="G50" t="inlineStr">
        <is>
          <t xml:space="preserve"> - No hay coche</t>
        </is>
      </c>
      <c r="H50">
        <f>HYPERLINK("https://booking.roadsurfer.com/es/rally/pick?pickup_date=2026-05-07&amp;return_date=2026-05-14&amp;currency=EUR&amp;startStation=91&amp;endStation=12",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No hay coche</t>
        </is>
      </c>
      <c r="H51">
        <f>HYPERLINK("https://booking.roadsurfer.com/es/rally/pick?pickup_date=2026-06-01&amp;return_date=2026-06-08&amp;currency=EUR&amp;startStation=91&amp;endStation=12",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No hay coche</t>
        </is>
      </c>
      <c r="H54">
        <f>HYPERLINK("https://booking.roadsurfer.com/es/rally/pick?pickup_date=2026-05-06&amp;return_date=2026-05-13&amp;currency=EUR&amp;startStation=91&amp;endStation=31",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Couple Cottage</t>
        </is>
      </c>
      <c r="H59">
        <f>HYPERLINK("https://booking.roadsurfer.com/es/rally/pick?pickup_date=2026-05-28&amp;return_date=2026-06-04&amp;currency=EUR&amp;startStation=91&amp;endStation=47",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2026-05-08</t>
        </is>
      </c>
      <c r="F62" t="inlineStr">
        <is>
          <t>2026-05-15</t>
        </is>
      </c>
      <c r="G62" t="inlineStr">
        <is>
          <t xml:space="preserve"> - Camper Castle</t>
        </is>
      </c>
      <c r="H62">
        <f>HYPERLINK("https://booking.roadsurfer.com/es/rally/pick?pickup_date=2026-05-08&amp;return_date=2026-05-15&amp;currency=EUR&amp;startStation=91&amp;endStation=34",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2026-06-02</t>
        </is>
      </c>
      <c r="F63" t="inlineStr">
        <is>
          <t>2026-06-09</t>
        </is>
      </c>
      <c r="G63" t="inlineStr">
        <is>
          <t xml:space="preserve"> - Family Finca</t>
        </is>
      </c>
      <c r="H63">
        <f>HYPERLINK("https://booking.roadsurfer.com/es/rally/pick?pickup_date=2026-06-02&amp;return_date=2026-06-09&amp;currency=EUR&amp;startStation=91&amp;endStation=60",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Couple Cottage</t>
        </is>
      </c>
      <c r="H64">
        <f>HYPERLINK("https://booking.roadsurfer.com/es/rally/pick?pickup_date=2026-06-05&amp;return_date=2026-06-12&amp;currency=EUR&amp;startStation=91&amp;endStation=77",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2026-06-10</t>
        </is>
      </c>
      <c r="F65" t="inlineStr">
        <is>
          <t>2026-06-17</t>
        </is>
      </c>
      <c r="G65" t="inlineStr">
        <is>
          <t xml:space="preserve"> - Couple Cottage</t>
        </is>
      </c>
      <c r="H65">
        <f>HYPERLINK("https://booking.roadsurfer.com/es/rally/pick?pickup_date=2026-06-10&amp;return_date=2026-06-17&amp;currency=EUR&amp;startStation=91&amp;endStation=77",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2026-06-03</t>
        </is>
      </c>
      <c r="F66" t="inlineStr">
        <is>
          <t>2026-06-10</t>
        </is>
      </c>
      <c r="G66" t="inlineStr">
        <is>
          <t xml:space="preserve"> - Sunrise Suite</t>
        </is>
      </c>
      <c r="H66">
        <f>HYPERLINK("https://booking.roadsurfer.com/es/rally/pick?pickup_date=2026-06-03&amp;return_date=2026-06-10&amp;currency=EUR&amp;startStation=91&amp;endStation=77",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Family Finca</t>
        </is>
      </c>
      <c r="H67">
        <f>HYPERLINK("https://booking.roadsurfer.com/es/rally/pick?pickup_date=2026-05-11&amp;return_date=2026-05-18&amp;currency=EUR&amp;startStation=91&amp;endStation=77",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Málaga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Family Finca</t>
        </is>
      </c>
      <c r="H68">
        <f>HYPERLINK("https://booking.roadsurfer.com/es/rally/pick?pickup_date=2026-05-05&amp;return_date=2026-05-12&amp;currency=EUR&amp;startStation=91&amp;endStation=21",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Lille</t>
        </is>
      </c>
      <c r="E69" t="inlineStr">
        <is>
          <t>2026-06-01</t>
        </is>
      </c>
      <c r="F69" t="inlineStr">
        <is>
          <t>2026-06-08</t>
        </is>
      </c>
      <c r="G69" t="inlineStr"/>
      <c r="H69">
        <f>HYPERLINK("https://booking.roadsurfer.com/es/rally/pick?pickup_date=2026-06-01&amp;return_date=2026-06-08&amp;currency=EUR&amp;startStation=91&amp;endStation=87",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Austria</t>
        </is>
      </c>
      <c r="D70" t="inlineStr">
        <is>
          <t>Viena</t>
        </is>
      </c>
      <c r="E70" t="inlineStr">
        <is>
          <t>2026-06-05</t>
        </is>
      </c>
      <c r="F70" t="inlineStr">
        <is>
          <t>2026-06-12</t>
        </is>
      </c>
      <c r="G70" t="inlineStr">
        <is>
          <t xml:space="preserve"> - Sunrise Suite</t>
        </is>
      </c>
      <c r="H70">
        <f>HYPERLINK("https://booking.roadsurfer.com/es/rally/pick?pickup_date=2026-06-05&amp;return_date=2026-06-12&amp;currency=EUR&amp;startStation=91&amp;endStation=36",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Surfer Suite</t>
        </is>
      </c>
      <c r="H71">
        <f>HYPERLINK("https://booking.roadsurfer.com/es/rally/pick?pickup_date=2026-05-21&amp;return_date=2026-05-28&amp;currency=EUR&amp;startStation=40&amp;endStation=2",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Surfer Suite</t>
        </is>
      </c>
      <c r="H72">
        <f>HYPERLINK("https://booking.roadsurfer.com/es/rally/pick?pickup_date=2026-05-06&amp;return_date=2026-05-13&amp;currency=EUR&amp;startStation=40&amp;endStation=2",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Couple Cottage</t>
        </is>
      </c>
      <c r="H73">
        <f>HYPERLINK("https://booking.roadsurfer.com/es/rally/pick?pickup_date=2026-06-01&amp;return_date=2026-06-08&amp;currency=EUR&amp;startStation=40&amp;endStation=54",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Surfer Suite</t>
        </is>
      </c>
      <c r="H74">
        <f>HYPERLINK("https://booking.roadsurfer.com/es/rally/pick?pickup_date=2026-05-15&amp;return_date=2026-05-22&amp;currency=EUR&amp;startStation=40&amp;endStation=54",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</t>
        </is>
      </c>
      <c r="H75">
        <f>HYPERLINK("https://booking.roadsurfer.com/es/rally/pick?pickup_date=2026-05-11&amp;return_date=2026-05-18&amp;currency=EUR&amp;startStation=40&amp;endStation=22",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Sunrise Suite</t>
        </is>
      </c>
      <c r="H76">
        <f>HYPERLINK("https://booking.roadsurfer.com/es/rally/pick?pickup_date=2026-05-06&amp;return_date=2026-05-13&amp;currency=EUR&amp;startStation=40&amp;endStation=22",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Beach Hostel</t>
        </is>
      </c>
      <c r="H77">
        <f>HYPERLINK("https://booking.roadsurfer.com/es/rally/pick?pickup_date=2026-05-15&amp;return_date=2026-05-22&amp;currency=EUR&amp;startStation=40&amp;endStation=22",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2026-05-19</t>
        </is>
      </c>
      <c r="F78" t="inlineStr">
        <is>
          <t>2026-05-26</t>
        </is>
      </c>
      <c r="G78" t="inlineStr">
        <is>
          <t xml:space="preserve"> - Couple Cottage</t>
        </is>
      </c>
      <c r="H78">
        <f>HYPERLINK("https://booking.roadsurfer.com/es/rally/pick?pickup_date=2026-05-19&amp;return_date=2026-05-26&amp;currency=EUR&amp;startStation=40&amp;endStation=22",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2026-05-09</t>
        </is>
      </c>
      <c r="F79" t="inlineStr">
        <is>
          <t>2026-05-16</t>
        </is>
      </c>
      <c r="G79" t="inlineStr">
        <is>
          <t xml:space="preserve"> - No hay coche</t>
        </is>
      </c>
      <c r="H79">
        <f>HYPERLINK("https://booking.roadsurfer.com/es/rally/pick?pickup_date=2026-05-09&amp;return_date=2026-05-16&amp;currency=EUR&amp;startStation=40&amp;endStation=22",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Couple Cottage</t>
        </is>
      </c>
      <c r="H80">
        <f>HYPERLINK("https://booking.roadsurfer.com/es/rally/pick?pickup_date=2026-05-08&amp;return_date=2026-05-15&amp;currency=EUR&amp;startStation=40&amp;endStation=22",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2026-05-16</t>
        </is>
      </c>
      <c r="F81" t="inlineStr">
        <is>
          <t>2026-05-23</t>
        </is>
      </c>
      <c r="G81" t="inlineStr">
        <is>
          <t xml:space="preserve"> - No hay coche</t>
        </is>
      </c>
      <c r="H81">
        <f>HYPERLINK("https://booking.roadsurfer.com/es/rally/pick?pickup_date=2026-05-16&amp;return_date=2026-05-23&amp;currency=EUR&amp;startStation=40&amp;endStation=22",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Couple Cottage</t>
        </is>
      </c>
      <c r="H82">
        <f>HYPERLINK("https://booking.roadsurfer.com/es/rally/pick?pickup_date=2026-05-18&amp;return_date=2026-05-25&amp;currency=EUR&amp;startStation=40&amp;endStation=22",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2026-05-09</t>
        </is>
      </c>
      <c r="F83" t="inlineStr">
        <is>
          <t>2026-05-16</t>
        </is>
      </c>
      <c r="G83" t="inlineStr">
        <is>
          <t xml:space="preserve"> - Travel Home</t>
        </is>
      </c>
      <c r="H83">
        <f>HYPERLINK("https://booking.roadsurfer.com/es/rally/pick?pickup_date=2026-05-09&amp;return_date=2026-05-16&amp;currency=EUR&amp;startStation=40&amp;endStation=92",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Cabin</t>
        </is>
      </c>
      <c r="H84">
        <f>HYPERLINK("https://booking.roadsurfer.com/es/rally/pick?pickup_date=2026-05-08&amp;return_date=2026-05-15&amp;currency=EUR&amp;startStation=40&amp;endStation=91",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Road House</t>
        </is>
      </c>
      <c r="H85">
        <f>HYPERLINK("https://booking.roadsurfer.com/es/rally/pick?pickup_date=2026-05-11&amp;return_date=2026-05-18&amp;currency=EUR&amp;startStation=40&amp;endStation=91",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2026-05-05</t>
        </is>
      </c>
      <c r="F86" t="inlineStr">
        <is>
          <t>2026-05-12</t>
        </is>
      </c>
      <c r="G86" t="inlineStr">
        <is>
          <t xml:space="preserve"> - Camper Castle</t>
        </is>
      </c>
      <c r="H86">
        <f>HYPERLINK("https://booking.roadsurfer.com/es/rally/pick?pickup_date=2026-05-05&amp;return_date=2026-05-12&amp;currency=EUR&amp;startStation=40&amp;endStation=91",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 - Camper Castle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2026-05-07</t>
        </is>
      </c>
      <c r="F89" t="inlineStr">
        <is>
          <t>2026-05-14</t>
        </is>
      </c>
      <c r="G89" t="inlineStr">
        <is>
          <t xml:space="preserve"> - No hay coche</t>
        </is>
      </c>
      <c r="H89">
        <f>HYPERLINK("https://booking.roadsurfer.com/es/rally/pick?pickup_date=2026-05-07&amp;return_date=2026-05-14&amp;currency=EUR&amp;startStation=40&amp;endStation=90",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2026-05-18</t>
        </is>
      </c>
      <c r="F90" t="inlineStr">
        <is>
          <t>2026-05-25</t>
        </is>
      </c>
      <c r="G90" t="inlineStr">
        <is>
          <t xml:space="preserve"> - No hay coche</t>
        </is>
      </c>
      <c r="H90">
        <f>HYPERLINK("https://booking.roadsurfer.com/es/rally/pick?pickup_date=2026-05-18&amp;return_date=2026-05-25&amp;currency=EUR&amp;startStation=40&amp;endStation=90",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2026-05-05</t>
        </is>
      </c>
      <c r="F92" t="inlineStr">
        <is>
          <t>2026-05-12</t>
        </is>
      </c>
      <c r="G92" t="inlineStr">
        <is>
          <t xml:space="preserve"> - Family Finca</t>
        </is>
      </c>
      <c r="H92">
        <f>HYPERLINK("https://booking.roadsurfer.com/es/rally/pick?pickup_date=2026-05-05&amp;return_date=2026-05-12&amp;currency=EUR&amp;startStation=40&amp;endStation=1",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Surfer Suite</t>
        </is>
      </c>
      <c r="H93">
        <f>HYPERLINK("https://booking.roadsurfer.com/es/rally/pick?pickup_date=2026-06-08&amp;return_date=2026-06-15&amp;currency=EUR&amp;startStation=24&amp;endStation=42",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2026-06-12</t>
        </is>
      </c>
      <c r="F94" t="inlineStr">
        <is>
          <t>2026-06-19</t>
        </is>
      </c>
      <c r="G94" t="inlineStr">
        <is>
          <t xml:space="preserve"> - Camper Cabin</t>
        </is>
      </c>
      <c r="H94">
        <f>HYPERLINK("https://booking.roadsurfer.com/es/rally/pick?pickup_date=2026-06-12&amp;return_date=2026-06-19&amp;currency=EUR&amp;startStation=24&amp;endStation=42",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Beach Hostel</t>
        </is>
      </c>
      <c r="H95">
        <f>HYPERLINK("https://booking.roadsurfer.com/es/rally/pick?pickup_date=2026-06-23&amp;return_date=2026-06-30&amp;currency=EUR&amp;startStation=24&amp;endStation=12",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2026-06-09</t>
        </is>
      </c>
      <c r="F96" t="inlineStr">
        <is>
          <t>2026-06-16</t>
        </is>
      </c>
      <c r="G96" t="inlineStr">
        <is>
          <t xml:space="preserve"> - Couple Cottage</t>
        </is>
      </c>
      <c r="H96">
        <f>HYPERLINK("https://booking.roadsurfer.com/es/rally/pick?pickup_date=2026-06-09&amp;return_date=2026-06-16&amp;currency=EUR&amp;startStation=24&amp;endStation=12",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Cabin Deluxe</t>
        </is>
      </c>
      <c r="H97">
        <f>HYPERLINK("https://booking.roadsurfer.com/es/rally/pick?pickup_date=2026-06-10&amp;return_date=2026-06-17&amp;currency=EUR&amp;startStation=24&amp;endStation=12",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Road House</t>
        </is>
      </c>
      <c r="H98">
        <f>HYPERLINK("https://booking.roadsurfer.com/es/rally/pick?pickup_date=2026-06-08&amp;return_date=2026-06-15&amp;currency=EUR&amp;startStation=24&amp;endStation=48",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2026-06-10</t>
        </is>
      </c>
      <c r="F99" t="inlineStr">
        <is>
          <t>2026-06-17</t>
        </is>
      </c>
      <c r="G99" t="inlineStr">
        <is>
          <t xml:space="preserve"> - Camper Castle</t>
        </is>
      </c>
      <c r="H99">
        <f>HYPERLINK("https://booking.roadsurfer.com/es/rally/pick?pickup_date=2026-06-10&amp;return_date=2026-06-17&amp;currency=EUR&amp;startStation=24&amp;endStation=48",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Surfer Suite</t>
        </is>
      </c>
      <c r="H100">
        <f>HYPERLINK("https://booking.roadsurfer.com/es/rally/pick?pickup_date=2026-05-06&amp;return_date=2026-05-13&amp;currency=EUR&amp;startStation=57&amp;endStation=56",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Kassel</t>
        </is>
      </c>
      <c r="E101" t="inlineStr">
        <is>
          <t>2026-05-07</t>
        </is>
      </c>
      <c r="F101" t="inlineStr">
        <is>
          <t>2026-05-14</t>
        </is>
      </c>
      <c r="G101" t="inlineStr">
        <is>
          <t xml:space="preserve"> - No hay coche</t>
        </is>
      </c>
      <c r="H101">
        <f>HYPERLINK("https://booking.roadsurfer.com/es/rally/pick?pickup_date=2026-05-07&amp;return_date=2026-05-14&amp;currency=EUR&amp;startStation=57&amp;endStation=92",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Ulm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Surfer Suite</t>
        </is>
      </c>
      <c r="H102">
        <f>HYPERLINK("https://booking.roadsurfer.com/es/rally/pick?pickup_date=2026-05-11&amp;return_date=2026-05-18&amp;currency=EUR&amp;startStation=57&amp;endStation=112",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Family Finca</t>
        </is>
      </c>
      <c r="H103">
        <f>HYPERLINK("https://booking.roadsurfer.com/es/rally/pick?pickup_date=2026-05-06&amp;return_date=2026-05-13&amp;currency=EUR&amp;startStation=57&amp;endStation=8",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Road House</t>
        </is>
      </c>
      <c r="H104">
        <f>HYPERLINK("https://booking.roadsurfer.com/es/rally/pick?pickup_date=2026-05-11&amp;return_date=2026-05-18&amp;currency=EUR&amp;startStation=57&amp;endStation=8",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No hay coche</t>
        </is>
      </c>
      <c r="H105">
        <f>HYPERLINK("https://booking.roadsurfer.com/es/rally/pick?pickup_date=2026-06-01&amp;return_date=2026-06-08&amp;currency=EUR&amp;startStation=57&amp;endStation=1",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Camper Cabin - Couple Cottage</t>
        </is>
      </c>
      <c r="H108">
        <f>HYPERLINK("https://booking.roadsurfer.com/es/rally/pick?pickup_date=2026-05-11&amp;return_date=2026-05-18&amp;currency=EUR&amp;startStation=13&amp;endStation=22",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No hay coche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Surfer Suite</t>
        </is>
      </c>
      <c r="H112">
        <f>HYPERLINK("https://booking.roadsurfer.com/es/rally/pick?pickup_date=2026-05-20&amp;return_date=2026-05-27&amp;currency=EUR&amp;startStation=13&amp;endStation=56",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Sunrise Suite</t>
        </is>
      </c>
      <c r="H113">
        <f>HYPERLINK("https://booking.roadsurfer.com/es/rally/pick?pickup_date=2026-05-11&amp;return_date=2026-05-18&amp;currency=EUR&amp;startStation=13&amp;endStation=90",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2026-05-16</t>
        </is>
      </c>
      <c r="F114" t="inlineStr">
        <is>
          <t>2026-05-23</t>
        </is>
      </c>
      <c r="G114" t="inlineStr">
        <is>
          <t xml:space="preserve"> - No hay coche</t>
        </is>
      </c>
      <c r="H114">
        <f>HYPERLINK("https://booking.roadsurfer.com/es/rally/pick?pickup_date=2026-05-16&amp;return_date=2026-05-23&amp;currency=EUR&amp;startStation=13&amp;endStation=90",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Sunrise Suite</t>
        </is>
      </c>
      <c r="H115">
        <f>HYPERLINK("https://booking.roadsurfer.com/es/rally/pick?pickup_date=2026-06-01&amp;return_date=2026-06-08&amp;currency=EUR&amp;startStation=13&amp;endStation=90",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2026-05-28</t>
        </is>
      </c>
      <c r="F116" t="inlineStr">
        <is>
          <t>2026-06-04</t>
        </is>
      </c>
      <c r="G116" t="inlineStr">
        <is>
          <t xml:space="preserve"> - Couple Cottage</t>
        </is>
      </c>
      <c r="H116">
        <f>HYPERLINK("https://booking.roadsurfer.com/es/rally/pick?pickup_date=2026-05-28&amp;return_date=2026-06-04&amp;currency=EUR&amp;startStation=13&amp;endStation=90",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Surfer Suite</t>
        </is>
      </c>
      <c r="H117">
        <f>HYPERLINK("https://booking.roadsurfer.com/es/rally/pick?pickup_date=2026-05-11&amp;return_date=2026-05-18&amp;currency=EUR&amp;startStation=13&amp;endStation=130",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2026-05-05</t>
        </is>
      </c>
      <c r="F119" t="inlineStr">
        <is>
          <t>2026-05-12</t>
        </is>
      </c>
      <c r="G119" t="inlineStr">
        <is>
          <t xml:space="preserve"> - Beach Hostel</t>
        </is>
      </c>
      <c r="H119">
        <f>HYPERLINK("https://booking.roadsurfer.com/es/rally/pick?pickup_date=2026-05-05&amp;return_date=2026-05-12&amp;currency=EUR&amp;startStation=13&amp;endStation=128",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Lübeck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Cabin</t>
        </is>
      </c>
      <c r="H120">
        <f>HYPERLINK("https://booking.roadsurfer.com/es/rally/pick?pickup_date=2026-05-06&amp;return_date=2026-05-13&amp;currency=EUR&amp;startStation=13&amp;endStation=109",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Camper Castle</t>
        </is>
      </c>
      <c r="H121">
        <f>HYPERLINK("https://booking.roadsurfer.com/es/rally/pick?pickup_date=2026-05-06&amp;return_date=2026-05-13&amp;currency=EUR&amp;startStation=13&amp;endStation=8",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Road House</t>
        </is>
      </c>
      <c r="H122">
        <f>HYPERLINK("https://booking.roadsurfer.com/es/rally/pick?pickup_date=2026-05-13&amp;return_date=2026-05-20&amp;currency=EUR&amp;startStation=13&amp;endStation=8",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Ratisbona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Road House</t>
        </is>
      </c>
      <c r="H123">
        <f>HYPERLINK("https://booking.roadsurfer.com/es/rally/pick?pickup_date=2026-05-11&amp;return_date=2026-05-18&amp;currency=EUR&amp;startStation=13&amp;endStation=89",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Ulm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No hay coche</t>
        </is>
      </c>
      <c r="H124">
        <f>HYPERLINK("https://booking.roadsurfer.com/es/rally/pick?pickup_date=2026-05-06&amp;return_date=2026-05-13&amp;currency=EUR&amp;startStation=13&amp;endStation=112",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Family Finca</t>
        </is>
      </c>
      <c r="H125">
        <f>HYPERLINK("https://booking.roadsurfer.com/es/rally/pick?pickup_date=2026-05-06&amp;return_date=2026-05-13&amp;currency=EUR&amp;startStation=13&amp;endStation=4",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Sunrise Suite</t>
        </is>
      </c>
      <c r="H126">
        <f>HYPERLINK("https://booking.roadsurfer.com/es/rally/pick?pickup_date=2026-05-11&amp;return_date=2026-05-18&amp;currency=EUR&amp;startStation=13&amp;endStation=4",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No hay coche</t>
        </is>
      </c>
      <c r="H127">
        <f>HYPERLINK("https://booking.roadsurfer.com/es/rally/pick?pickup_date=2026-05-13&amp;return_date=2026-05-20&amp;currency=EUR&amp;startStation=13&amp;endStation=4",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Alemania</t>
        </is>
      </c>
      <c r="D128" t="inlineStr">
        <is>
          <t>Flensburgo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Surfer Suite</t>
        </is>
      </c>
      <c r="H128">
        <f>HYPERLINK("https://booking.roadsurfer.com/es/rally/pick?pickup_date=2026-05-08&amp;return_date=2026-05-15&amp;currency=EUR&amp;startStation=55&amp;endStation=130",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2026-05-13</t>
        </is>
      </c>
      <c r="F129" t="inlineStr">
        <is>
          <t>2026-05-20</t>
        </is>
      </c>
      <c r="G129" t="inlineStr"/>
      <c r="H129">
        <f>HYPERLINK("https://booking.roadsurfer.com/es/rally/pick?pickup_date=2026-05-13&amp;return_date=2026-05-20&amp;currency=EUR&amp;startStation=55&amp;endStation=59",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Couple Cottage</t>
        </is>
      </c>
      <c r="H130">
        <f>HYPERLINK("https://booking.roadsurfer.com/es/rally/pick?pickup_date=2026-06-16&amp;return_date=2026-06-23&amp;currency=EUR&amp;startStation=55&amp;endStation=59",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Family Finca</t>
        </is>
      </c>
      <c r="H131">
        <f>HYPERLINK("https://booking.roadsurfer.com/es/rally/pick?pickup_date=2026-06-05&amp;return_date=2026-06-12&amp;currency=EUR&amp;startStation=55&amp;endStation=59",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Alemania</t>
        </is>
      </c>
      <c r="D132" t="inlineStr">
        <is>
          <t>Berlín-Schönefeld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Travel Home</t>
        </is>
      </c>
      <c r="H132">
        <f>HYPERLINK("https://booking.roadsurfer.com/es/rally/pick?pickup_date=2026-05-04&amp;return_date=2026-05-11&amp;currency=EUR&amp;startStation=55&amp;endStation=51",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Cozy Cottage</t>
        </is>
      </c>
      <c r="H133">
        <f>HYPERLINK("https://booking.roadsurfer.com/es/rally/pick?pickup_date=2026-06-05&amp;return_date=2026-06-12&amp;currency=EUR&amp;startStation=55&amp;endStation=60",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2026-05-18</t>
        </is>
      </c>
      <c r="F135" t="inlineStr">
        <is>
          <t>2026-05-25</t>
        </is>
      </c>
      <c r="G135" t="inlineStr"/>
      <c r="H135">
        <f>HYPERLINK("https://booking.roadsurfer.com/es/rally/pick?pickup_date=2026-05-18&amp;return_date=2026-05-25&amp;currency=EUR&amp;startStation=55&amp;endStation=60",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2026-06-16</t>
        </is>
      </c>
      <c r="F136" t="inlineStr">
        <is>
          <t>2026-06-23</t>
        </is>
      </c>
      <c r="G136" t="inlineStr">
        <is>
          <t xml:space="preserve"> - No hay coche</t>
        </is>
      </c>
      <c r="H136">
        <f>HYPERLINK("https://booking.roadsurfer.com/es/rally/pick?pickup_date=2026-06-16&amp;return_date=2026-06-23&amp;currency=EUR&amp;startStation=55&amp;endStation=60",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2026-05-12</t>
        </is>
      </c>
      <c r="F138" t="inlineStr">
        <is>
          <t>2026-05-19</t>
        </is>
      </c>
      <c r="G138" t="inlineStr">
        <is>
          <t xml:space="preserve"> - Road House</t>
        </is>
      </c>
      <c r="H138">
        <f>HYPERLINK("https://booking.roadsurfer.com/es/rally/pick?pickup_date=2026-05-12&amp;return_date=2026-05-19&amp;currency=EUR&amp;startStation=55&amp;endStation=60",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Road House</t>
        </is>
      </c>
      <c r="H139">
        <f>HYPERLINK("https://booking.roadsurfer.com/es/rally/pick?pickup_date=2026-05-11&amp;return_date=2026-05-18&amp;currency=EUR&amp;startStation=55&amp;endStation=29",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Italia</t>
        </is>
      </c>
      <c r="D140" t="inlineStr">
        <is>
          <t>Venecia</t>
        </is>
      </c>
      <c r="E140" t="inlineStr">
        <is>
          <t>2026-05-26</t>
        </is>
      </c>
      <c r="F140" t="inlineStr">
        <is>
          <t>2026-06-01</t>
        </is>
      </c>
      <c r="G140" t="inlineStr">
        <is>
          <t xml:space="preserve"> - Camper Cabin Deluxe</t>
        </is>
      </c>
      <c r="H140">
        <f>HYPERLINK("https://booking.roadsurfer.com/es/rally/pick?pickup_date=2026-05-26&amp;return_date=2026-06-01&amp;currency=EUR&amp;startStation=55&amp;endStation=78",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No hay coche</t>
        </is>
      </c>
      <c r="H141">
        <f>HYPERLINK("https://booking.roadsurfer.com/es/rally/pick?pickup_date=2026-06-05&amp;return_date=2026-06-12&amp;currency=EUR&amp;startStation=55&amp;endStation=42",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2026-05-18</t>
        </is>
      </c>
      <c r="F142" t="inlineStr">
        <is>
          <t>2026-05-25</t>
        </is>
      </c>
      <c r="G142" t="inlineStr">
        <is>
          <t xml:space="preserve"> - No hay coche</t>
        </is>
      </c>
      <c r="H142">
        <f>HYPERLINK("https://booking.roadsurfer.com/es/rally/pick?pickup_date=2026-05-18&amp;return_date=2026-05-25&amp;currency=EUR&amp;startStation=55&amp;endStation=42",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2026-06-17</t>
        </is>
      </c>
      <c r="F143" t="inlineStr">
        <is>
          <t>2026-06-24</t>
        </is>
      </c>
      <c r="G143" t="inlineStr">
        <is>
          <t xml:space="preserve"> - Cozy Cottage</t>
        </is>
      </c>
      <c r="H143">
        <f>HYPERLINK("https://booking.roadsurfer.com/es/rally/pick?pickup_date=2026-06-17&amp;return_date=2026-06-24&amp;currency=EUR&amp;startStation=55&amp;endStation=77",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Sunrise Suite</t>
        </is>
      </c>
      <c r="H144">
        <f>HYPERLINK("https://booking.roadsurfer.com/es/rally/pick?pickup_date=2026-06-05&amp;return_date=2026-06-12&amp;currency=EUR&amp;startStation=55&amp;endStation=77",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2026-06-20</t>
        </is>
      </c>
      <c r="F145" t="inlineStr">
        <is>
          <t>2026-06-27</t>
        </is>
      </c>
      <c r="G145" t="inlineStr">
        <is>
          <t xml:space="preserve"> - Couple Cottage</t>
        </is>
      </c>
      <c r="H145">
        <f>HYPERLINK("https://booking.roadsurfer.com/es/rally/pick?pickup_date=2026-06-20&amp;return_date=2026-06-27&amp;currency=EUR&amp;startStation=55&amp;endStation=77",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2026-05-09</t>
        </is>
      </c>
      <c r="F146" t="inlineStr">
        <is>
          <t>2026-05-16</t>
        </is>
      </c>
      <c r="G146" t="inlineStr">
        <is>
          <t xml:space="preserve"> - Cozy Cottage</t>
        </is>
      </c>
      <c r="H146">
        <f>HYPERLINK("https://booking.roadsurfer.com/es/rally/pick?pickup_date=2026-05-09&amp;return_date=2026-05-16&amp;currency=EUR&amp;startStation=55&amp;endStation=77",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Sunrise Suite</t>
        </is>
      </c>
      <c r="H147">
        <f>HYPERLINK("https://booking.roadsurfer.com/es/rally/pick?pickup_date=2026-06-08&amp;return_date=2026-06-15&amp;currency=EUR&amp;startStation=55&amp;endStation=13",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2026-05-08</t>
        </is>
      </c>
      <c r="F148" t="inlineStr">
        <is>
          <t>2026-05-15</t>
        </is>
      </c>
      <c r="G148" t="inlineStr">
        <is>
          <t xml:space="preserve"> - No hay coche</t>
        </is>
      </c>
      <c r="H148">
        <f>HYPERLINK("https://booking.roadsurfer.com/es/rally/pick?pickup_date=2026-05-08&amp;return_date=2026-05-15&amp;currency=EUR&amp;startStation=55&amp;endStation=4",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Couple Cottage</t>
        </is>
      </c>
      <c r="H149">
        <f>HYPERLINK("https://booking.roadsurfer.com/es/rally/pick?pickup_date=2026-05-11&amp;return_date=2026-05-18&amp;currency=EUR&amp;startStation=42&amp;endStation=90",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Beach Hostel</t>
        </is>
      </c>
      <c r="H150">
        <f>HYPERLINK("https://booking.roadsurfer.com/es/rally/pick?pickup_date=2026-05-06&amp;return_date=2026-05-13&amp;currency=EUR&amp;startStation=42&amp;endStation=90",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Camper Cabin</t>
        </is>
      </c>
      <c r="H151">
        <f>HYPERLINK("https://booking.roadsurfer.com/es/rally/pick?pickup_date=2026-05-21&amp;return_date=2026-05-28&amp;currency=EUR&amp;startStation=42&amp;endStation=24",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Bremen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HYPERLINK("https://booking.roadsurfer.com/es/rally/pick?pickup_date=2026-05-06&amp;return_date=2026-05-13&amp;currency=EUR&amp;startStation=42&amp;endStation=55",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2026-05-18</t>
        </is>
      </c>
      <c r="F153" t="inlineStr">
        <is>
          <t>2026-05-25</t>
        </is>
      </c>
      <c r="G153" t="inlineStr">
        <is>
          <t xml:space="preserve"> - No hay coche</t>
        </is>
      </c>
      <c r="H153">
        <f>HYPERLINK("https://booking.roadsurfer.com/es/rally/pick?pickup_date=2026-05-18&amp;return_date=2026-05-25&amp;currency=EUR&amp;startStation=42&amp;endStation=91",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HYPERLINK("https://booking.roadsurfer.com/es/rally/pick?pickup_date=2026-05-07&amp;return_date=2026-05-14&amp;currency=EUR&amp;startStation=52&amp;endStation=29",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Surfer Suite</t>
        </is>
      </c>
      <c r="H155">
        <f>HYPERLINK("https://booking.roadsurfer.com/es/rally/pick?pickup_date=2026-05-06&amp;return_date=2026-05-13&amp;currency=EUR&amp;startStation=52&amp;endStation=29",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Beach Hostel</t>
        </is>
      </c>
      <c r="H156">
        <f>HYPERLINK("https://booking.roadsurfer.com/es/rally/pick?pickup_date=2026-05-06&amp;return_date=2026-05-13&amp;currency=EUR&amp;startStation=52&amp;endStation=130",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HYPERLINK("https://booking.roadsurfer.com/es/rally/pick?pickup_date=2026-05-07&amp;return_date=2026-05-14&amp;currency=EUR&amp;startStation=52&amp;endStation=13",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Italia</t>
        </is>
      </c>
      <c r="D158" t="inlineStr">
        <is>
          <t>Venecia</t>
        </is>
      </c>
      <c r="E158" t="inlineStr">
        <is>
          <t>2026-05-18</t>
        </is>
      </c>
      <c r="F158" t="inlineStr">
        <is>
          <t>2026-05-26</t>
        </is>
      </c>
      <c r="G158" t="inlineStr">
        <is>
          <t xml:space="preserve"> - Camper Cabin</t>
        </is>
      </c>
      <c r="H158">
        <f>HYPERLINK("https://booking.roadsurfer.com/es/rally/pick?pickup_date=2026-05-18&amp;return_date=2026-05-26&amp;currency=EUR&amp;startStation=52&amp;endStation=78",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2026-05-28</t>
        </is>
      </c>
      <c r="F159" t="inlineStr">
        <is>
          <t>2026-06-04</t>
        </is>
      </c>
      <c r="G159" t="inlineStr">
        <is>
          <t xml:space="preserve"> - Couple Cottage</t>
        </is>
      </c>
      <c r="H159">
        <f>HYPERLINK("https://booking.roadsurfer.com/es/rally/pick?pickup_date=2026-05-28&amp;return_date=2026-06-04&amp;currency=EUR&amp;startStation=52&amp;endStation=31",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2026-05-07</t>
        </is>
      </c>
      <c r="F160" t="inlineStr">
        <is>
          <t>2026-05-14</t>
        </is>
      </c>
      <c r="G160" t="inlineStr">
        <is>
          <t xml:space="preserve"> - No hay coche</t>
        </is>
      </c>
      <c r="H160">
        <f>HYPERLINK("https://booking.roadsurfer.com/es/rally/pick?pickup_date=2026-05-07&amp;return_date=2026-05-14&amp;currency=EUR&amp;startStation=52&amp;endStation=31",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2026-05-18</t>
        </is>
      </c>
      <c r="F161" t="inlineStr">
        <is>
          <t>2026-05-25</t>
        </is>
      </c>
      <c r="G161" t="inlineStr">
        <is>
          <t xml:space="preserve"> - No hay coche</t>
        </is>
      </c>
      <c r="H161">
        <f>HYPERLINK("https://booking.roadsurfer.com/es/rally/pick?pickup_date=2026-05-18&amp;return_date=2026-05-25&amp;currency=EUR&amp;startStation=52&amp;endStation=48",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2026-05-07</t>
        </is>
      </c>
      <c r="F162" t="inlineStr">
        <is>
          <t>2026-05-14</t>
        </is>
      </c>
      <c r="G162" t="inlineStr">
        <is>
          <t xml:space="preserve"> - No hay coche</t>
        </is>
      </c>
      <c r="H162">
        <f>HYPERLINK("https://booking.roadsurfer.com/es/rally/pick?pickup_date=2026-05-07&amp;return_date=2026-05-14&amp;currency=EUR&amp;startStation=52&amp;endStation=47",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2026-05-25</t>
        </is>
      </c>
      <c r="F163" t="inlineStr">
        <is>
          <t>2026-06-01</t>
        </is>
      </c>
      <c r="G163" t="inlineStr">
        <is>
          <t xml:space="preserve"> - No hay coche</t>
        </is>
      </c>
      <c r="H163">
        <f>HYPERLINK("https://booking.roadsurfer.com/es/rally/pick?pickup_date=2026-05-25&amp;return_date=2026-06-01&amp;currency=EUR&amp;startStation=4&amp;endStation=40",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Camper Cabin - Road House</t>
        </is>
      </c>
      <c r="H164">
        <f>HYPERLINK("https://booking.roadsurfer.com/es/rally/pick?pickup_date=2026-06-08&amp;return_date=2026-06-15&amp;currency=EUR&amp;startStation=4&amp;endStation=40",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2026-06-01</t>
        </is>
      </c>
      <c r="F165" t="inlineStr">
        <is>
          <t>2026-06-08</t>
        </is>
      </c>
      <c r="G165" t="inlineStr">
        <is>
          <t xml:space="preserve"> - Surfer Suite</t>
        </is>
      </c>
      <c r="H165">
        <f>HYPERLINK("https://booking.roadsurfer.com/es/rally/pick?pickup_date=2026-06-01&amp;return_date=2026-06-08&amp;currency=EUR&amp;startStation=4&amp;endStation=40",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2026-06-09</t>
        </is>
      </c>
      <c r="F166" t="inlineStr">
        <is>
          <t>2026-06-16</t>
        </is>
      </c>
      <c r="G166" t="inlineStr">
        <is>
          <t xml:space="preserve"> - No hay coche</t>
        </is>
      </c>
      <c r="H166">
        <f>HYPERLINK("https://booking.roadsurfer.com/es/rally/pick?pickup_date=2026-06-09&amp;return_date=2026-06-16&amp;currency=EUR&amp;startStation=4&amp;endStation=31",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Couple Cottage</t>
        </is>
      </c>
      <c r="H167">
        <f>HYPERLINK("https://booking.roadsurfer.com/es/rally/pick?pickup_date=2026-05-26&amp;return_date=2026-06-02&amp;currency=EUR&amp;startStation=4&amp;endStation=31",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Camper Castle</t>
        </is>
      </c>
      <c r="H168">
        <f>HYPERLINK("https://booking.roadsurfer.com/es/rally/pick?pickup_date=2026-06-12&amp;return_date=2026-06-19&amp;currency=EUR&amp;startStation=4&amp;endStation=31",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Family Finca</t>
        </is>
      </c>
      <c r="H169">
        <f>HYPERLINK("https://booking.roadsurfer.com/es/rally/pick?pickup_date=2026-06-08&amp;return_date=2026-06-15&amp;currency=EUR&amp;startStation=4&amp;endStation=31",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Surfer Suite</t>
        </is>
      </c>
      <c r="H170">
        <f>HYPERLINK("https://booking.roadsurfer.com/es/rally/pick?pickup_date=2026-05-11&amp;return_date=2026-05-18&amp;currency=EUR&amp;startStation=4&amp;endStation=31",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Beach Hostel</t>
        </is>
      </c>
      <c r="H171">
        <f>HYPERLINK("https://booking.roadsurfer.com/es/rally/pick?pickup_date=2026-06-12&amp;return_date=2026-06-19&amp;currency=EUR&amp;startStation=4&amp;endStation=8",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Camper Cabin</t>
        </is>
      </c>
      <c r="H172">
        <f>HYPERLINK("https://booking.roadsurfer.com/es/rally/pick?pickup_date=2026-06-08&amp;return_date=2026-06-15&amp;currency=EUR&amp;startStation=4&amp;endStation=13",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2026-06-23</t>
        </is>
      </c>
      <c r="F173" t="inlineStr">
        <is>
          <t>2026-06-30</t>
        </is>
      </c>
      <c r="G173" t="inlineStr">
        <is>
          <t xml:space="preserve"> - Sunrise Suite</t>
        </is>
      </c>
      <c r="H173">
        <f>HYPERLINK("https://booking.roadsurfer.com/es/rally/pick?pickup_date=2026-06-23&amp;return_date=2026-06-30&amp;currency=EUR&amp;startStation=4&amp;endStation=13",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2026-06-19</t>
        </is>
      </c>
      <c r="F174" t="inlineStr">
        <is>
          <t>2026-06-26</t>
        </is>
      </c>
      <c r="G174" t="inlineStr"/>
      <c r="H174">
        <f>HYPERLINK("https://booking.roadsurfer.com/es/rally/pick?pickup_date=2026-06-19&amp;return_date=2026-06-26&amp;currency=EUR&amp;startStation=4&amp;endStation=45",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Austria</t>
        </is>
      </c>
      <c r="D175" t="inlineStr">
        <is>
          <t>Viena Sur</t>
        </is>
      </c>
      <c r="E175" t="inlineStr">
        <is>
          <t>2026-05-05</t>
        </is>
      </c>
      <c r="F175" t="inlineStr">
        <is>
          <t>2026-05-12</t>
        </is>
      </c>
      <c r="G175" t="inlineStr">
        <is>
          <t xml:space="preserve"> - Camper Cabin</t>
        </is>
      </c>
      <c r="H175">
        <f>HYPERLINK("https://booking.roadsurfer.com/es/rally/pick?pickup_date=2026-05-05&amp;return_date=2026-05-12&amp;currency=EUR&amp;startStation=4&amp;endStation=45",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No hay coche</t>
        </is>
      </c>
      <c r="H176">
        <f>HYPERLINK("https://booking.roadsurfer.com/es/rally/pick?pickup_date=2026-05-08&amp;return_date=2026-05-15&amp;currency=EUR&amp;startStation=4&amp;endStation=45",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Austria</t>
        </is>
      </c>
      <c r="D177" t="inlineStr">
        <is>
          <t>Viena Sur</t>
        </is>
      </c>
      <c r="E177" t="inlineStr">
        <is>
          <t>2026-06-01</t>
        </is>
      </c>
      <c r="F177" t="inlineStr">
        <is>
          <t>2026-06-08</t>
        </is>
      </c>
      <c r="G177" t="inlineStr">
        <is>
          <t xml:space="preserve"> - Couple Cottage</t>
        </is>
      </c>
      <c r="H177">
        <f>HYPERLINK("https://booking.roadsurfer.com/es/rally/pick?pickup_date=2026-06-01&amp;return_date=2026-06-08&amp;currency=EUR&amp;startStation=4&amp;endStation=45",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2026-05-18</t>
        </is>
      </c>
      <c r="F178" t="inlineStr">
        <is>
          <t>2026-05-26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HYPERLINK("https://booking.roadsurfer.com/es/rally/pick?pickup_date=2026-05-18&amp;return_date=2026-05-26&amp;currency=EUR&amp;startStation=4&amp;endStation=59",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Road House</t>
        </is>
      </c>
      <c r="H179">
        <f>HYPERLINK("https://booking.roadsurfer.com/es/rally/pick?pickup_date=2026-06-01&amp;return_date=2026-06-08&amp;currency=EUR&amp;startStation=4&amp;endStation=15",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Camper Cabin</t>
        </is>
      </c>
      <c r="H180">
        <f>HYPERLINK("https://booking.roadsurfer.com/es/rally/pick?pickup_date=2026-06-08&amp;return_date=2026-06-15&amp;currency=EUR&amp;startStation=4&amp;endStation=15",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2026-05-05</t>
        </is>
      </c>
      <c r="F181" t="inlineStr">
        <is>
          <t>2026-05-12</t>
        </is>
      </c>
      <c r="G181" t="inlineStr">
        <is>
          <t xml:space="preserve"> - No hay coche</t>
        </is>
      </c>
      <c r="H181">
        <f>HYPERLINK("https://booking.roadsurfer.com/es/rally/pick?pickup_date=2026-05-05&amp;return_date=2026-05-12&amp;currency=EUR&amp;startStation=4&amp;endStation=15",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2026-06-05</t>
        </is>
      </c>
      <c r="F182" t="inlineStr">
        <is>
          <t>2026-06-12</t>
        </is>
      </c>
      <c r="G182" t="inlineStr">
        <is>
          <t xml:space="preserve"> - Camper Cabin</t>
        </is>
      </c>
      <c r="H182">
        <f>HYPERLINK("https://booking.roadsurfer.com/es/rally/pick?pickup_date=2026-06-05&amp;return_date=2026-06-12&amp;currency=EUR&amp;startStation=4&amp;endStation=47",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2026-06-19</t>
        </is>
      </c>
      <c r="F183" t="inlineStr">
        <is>
          <t>2026-06-26</t>
        </is>
      </c>
      <c r="G183" t="inlineStr">
        <is>
          <t xml:space="preserve"> - Couple Cottage</t>
        </is>
      </c>
      <c r="H183">
        <f>HYPERLINK("https://booking.roadsurfer.com/es/rally/pick?pickup_date=2026-06-19&amp;return_date=2026-06-26&amp;currency=EUR&amp;startStation=4&amp;endStation=47",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Road House</t>
        </is>
      </c>
      <c r="H184">
        <f>HYPERLINK("https://booking.roadsurfer.com/es/rally/pick?pickup_date=2026-06-05&amp;return_date=2026-06-12&amp;currency=EUR&amp;startStation=4&amp;endStation=48",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Road House</t>
        </is>
      </c>
      <c r="H185">
        <f>HYPERLINK("https://booking.roadsurfer.com/es/rally/pick?pickup_date=2026-06-01&amp;return_date=2026-06-08&amp;currency=EUR&amp;startStation=4&amp;endStation=48",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2026-05-08</t>
        </is>
      </c>
      <c r="F186" t="inlineStr">
        <is>
          <t>2026-05-15</t>
        </is>
      </c>
      <c r="G186" t="inlineStr">
        <is>
          <t xml:space="preserve"> - Couple Cottage</t>
        </is>
      </c>
      <c r="H186">
        <f>HYPERLINK("https://booking.roadsurfer.com/es/rally/pick?pickup_date=2026-05-08&amp;return_date=2026-05-15&amp;currency=EUR&amp;startStation=4&amp;endStation=16",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Niza</t>
        </is>
      </c>
      <c r="E187" t="inlineStr">
        <is>
          <t>2026-05-05</t>
        </is>
      </c>
      <c r="F187" t="inlineStr">
        <is>
          <t>2026-05-12</t>
        </is>
      </c>
      <c r="G187" t="inlineStr">
        <is>
          <t xml:space="preserve"> - Couple Cottage</t>
        </is>
      </c>
      <c r="H187">
        <f>HYPERLINK("https://booking.roadsurfer.com/es/rally/pick?pickup_date=2026-05-05&amp;return_date=2026-05-12&amp;currency=EUR&amp;startStation=4&amp;endStation=88",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2026-06-20</t>
        </is>
      </c>
      <c r="F188" t="inlineStr">
        <is>
          <t>2026-06-27</t>
        </is>
      </c>
      <c r="G188" t="inlineStr">
        <is>
          <t xml:space="preserve"> - No hay coche</t>
        </is>
      </c>
      <c r="H188">
        <f>HYPERLINK("https://booking.roadsurfer.com/es/rally/pick?pickup_date=2026-06-20&amp;return_date=2026-06-27&amp;currency=EUR&amp;startStation=10&amp;endStation=29",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Road House</t>
        </is>
      </c>
      <c r="H189">
        <f>HYPERLINK("https://booking.roadsurfer.com/es/rally/pick?pickup_date=2026-06-08&amp;return_date=2026-06-15&amp;currency=EUR&amp;startStation=10&amp;endStation=29",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Camper Cabin</t>
        </is>
      </c>
      <c r="H190">
        <f>HYPERLINK("https://booking.roadsurfer.com/es/rally/pick?pickup_date=2026-06-12&amp;return_date=2026-06-19&amp;currency=EUR&amp;startStation=10&amp;endStation=29",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2026-06-02</t>
        </is>
      </c>
      <c r="F191" t="inlineStr">
        <is>
          <t>2026-06-09</t>
        </is>
      </c>
      <c r="G191" t="inlineStr"/>
      <c r="H191">
        <f>HYPERLINK("https://booking.roadsurfer.com/es/rally/pick?pickup_date=2026-06-02&amp;return_date=2026-06-09&amp;currency=EUR&amp;startStation=10&amp;endStation=29",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Toulouse</t>
        </is>
      </c>
      <c r="E192" t="inlineStr">
        <is>
          <t>2026-06-10</t>
        </is>
      </c>
      <c r="F192" t="inlineStr">
        <is>
          <t>2026-06-17</t>
        </is>
      </c>
      <c r="G192" t="inlineStr">
        <is>
          <t xml:space="preserve"> - Road House</t>
        </is>
      </c>
      <c r="H192">
        <f>HYPERLINK("https://booking.roadsurfer.com/es/rally/pick?pickup_date=2026-06-10&amp;return_date=2026-06-17&amp;currency=EUR&amp;startStation=10&amp;endStation=30",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Surfer Suite</t>
        </is>
      </c>
      <c r="H193">
        <f>HYPERLINK("https://booking.roadsurfer.com/es/rally/pick?pickup_date=2026-06-29&amp;return_date=2026-07-06&amp;currency=EUR&amp;startStation=10&amp;endStation=30",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2026-05-07</t>
        </is>
      </c>
      <c r="F194" t="inlineStr">
        <is>
          <t>2026-05-14</t>
        </is>
      </c>
      <c r="G194" t="inlineStr">
        <is>
          <t xml:space="preserve"> - No hay coche</t>
        </is>
      </c>
      <c r="H194">
        <f>HYPERLINK("https://booking.roadsurfer.com/es/rally/pick?pickup_date=2026-05-07&amp;return_date=2026-05-14&amp;currency=EUR&amp;startStation=10&amp;endStation=15",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2026-05-06</t>
        </is>
      </c>
      <c r="F195" t="inlineStr">
        <is>
          <t>2026-05-13</t>
        </is>
      </c>
      <c r="G195" t="inlineStr">
        <is>
          <t xml:space="preserve"> - No hay coche</t>
        </is>
      </c>
      <c r="H195">
        <f>HYPERLINK("https://booking.roadsurfer.com/es/rally/pick?pickup_date=2026-05-06&amp;return_date=2026-05-13&amp;currency=EUR&amp;startStation=10&amp;endStation=31",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Family Finca</t>
        </is>
      </c>
      <c r="H196">
        <f>HYPERLINK("https://booking.roadsurfer.com/es/rally/pick?pickup_date=2026-06-01&amp;return_date=2026-06-08&amp;currency=EUR&amp;startStation=10&amp;endStation=31",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Camper Cabin</t>
        </is>
      </c>
      <c r="H197">
        <f>HYPERLINK("https://booking.roadsurfer.com/es/rally/pick?pickup_date=2026-06-05&amp;return_date=2026-06-12&amp;currency=EUR&amp;startStation=10&amp;endStation=31",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2026-05-21</t>
        </is>
      </c>
      <c r="F198" t="inlineStr">
        <is>
          <t>2026-05-28</t>
        </is>
      </c>
      <c r="G198" t="inlineStr">
        <is>
          <t xml:space="preserve"> - Camper Cabin</t>
        </is>
      </c>
      <c r="H198">
        <f>HYPERLINK("https://booking.roadsurfer.com/es/rally/pick?pickup_date=2026-05-21&amp;return_date=2026-05-28&amp;currency=EUR&amp;startStation=10&amp;endStation=56",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2026-06-05</t>
        </is>
      </c>
      <c r="F199" t="inlineStr">
        <is>
          <t>2026-06-12</t>
        </is>
      </c>
      <c r="G199" t="inlineStr">
        <is>
          <t xml:space="preserve"> - Road House</t>
        </is>
      </c>
      <c r="H199">
        <f>HYPERLINK("https://booking.roadsurfer.com/es/rally/pick?pickup_date=2026-06-05&amp;return_date=2026-06-12&amp;currency=EUR&amp;startStation=10&amp;endStation=34",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Camper Cabin Deluxe</t>
        </is>
      </c>
      <c r="H200">
        <f>HYPERLINK("https://booking.roadsurfer.com/es/rally/pick?pickup_date=2026-06-01&amp;return_date=2026-06-08&amp;currency=EUR&amp;startStation=10&amp;endStation=42",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No hay coche</t>
        </is>
      </c>
      <c r="H201">
        <f>HYPERLINK("https://booking.roadsurfer.com/es/rally/pick?pickup_date=2026-05-08&amp;return_date=2026-05-15&amp;currency=EUR&amp;startStation=10&amp;endStation=36",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Francia</t>
        </is>
      </c>
      <c r="D202" t="inlineStr">
        <is>
          <t>Aix-Marsella</t>
        </is>
      </c>
      <c r="E202" t="inlineStr">
        <is>
          <t>2026-06-08</t>
        </is>
      </c>
      <c r="F202" t="inlineStr">
        <is>
          <t>2026-06-15</t>
        </is>
      </c>
      <c r="G202" t="inlineStr">
        <is>
          <t xml:space="preserve"> - Couple Cottage</t>
        </is>
      </c>
      <c r="H202">
        <f>HYPERLINK("https://booking.roadsurfer.com/es/rally/pick?pickup_date=2026-06-08&amp;return_date=2026-06-15&amp;currency=EUR&amp;startStation=10&amp;endStation=16",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2026-05-25</t>
        </is>
      </c>
      <c r="F203" t="inlineStr">
        <is>
          <t>2026-06-01</t>
        </is>
      </c>
      <c r="G203" t="inlineStr">
        <is>
          <t xml:space="preserve"> - No hay coche</t>
        </is>
      </c>
      <c r="H203">
        <f>HYPERLINK("https://booking.roadsurfer.com/es/rally/pick?pickup_date=2026-05-25&amp;return_date=2026-06-01&amp;currency=EUR&amp;startStation=10&amp;endStation=16",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Family Finca</t>
        </is>
      </c>
      <c r="H204">
        <f>HYPERLINK("https://booking.roadsurfer.com/es/rally/pick?pickup_date=2026-06-12&amp;return_date=2026-06-19&amp;currency=EUR&amp;startStation=10&amp;endStation=40",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2026-06-10</t>
        </is>
      </c>
      <c r="F205" t="inlineStr">
        <is>
          <t>2026-06-17</t>
        </is>
      </c>
      <c r="G205" t="inlineStr">
        <is>
          <t xml:space="preserve"> - Couple Cottage</t>
        </is>
      </c>
      <c r="H205">
        <f>HYPERLINK("https://booking.roadsurfer.com/es/rally/pick?pickup_date=2026-06-10&amp;return_date=2026-06-17&amp;currency=EUR&amp;startStation=10&amp;endStation=17",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Alemania</t>
        </is>
      </c>
      <c r="D206" t="inlineStr">
        <is>
          <t>Braunschweig</t>
        </is>
      </c>
      <c r="E206" t="inlineStr">
        <is>
          <t>2026-05-06</t>
        </is>
      </c>
      <c r="F206" t="inlineStr">
        <is>
          <t>2026-05-13</t>
        </is>
      </c>
      <c r="G206" t="inlineStr">
        <is>
          <t xml:space="preserve"> - No hay coche</t>
        </is>
      </c>
      <c r="H206">
        <f>HYPERLINK("https://booking.roadsurfer.com/es/rally/pick?pickup_date=2026-05-06&amp;return_date=2026-05-13&amp;currency=EUR&amp;startStation=56&amp;endStation=128",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Países Bajos</t>
        </is>
      </c>
      <c r="D207" t="inlineStr">
        <is>
          <t>Róterdam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No hay coche</t>
        </is>
      </c>
      <c r="H207">
        <f>HYPERLINK("https://booking.roadsurfer.com/es/rally/pick?pickup_date=2026-05-16&amp;return_date=2026-05-23&amp;currency=EUR&amp;startStation=56&amp;endStation=33",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2026-05-13</t>
        </is>
      </c>
      <c r="F208" t="inlineStr">
        <is>
          <t>2026-05-20</t>
        </is>
      </c>
      <c r="G208" t="inlineStr"/>
      <c r="H208">
        <f>HYPERLINK("https://booking.roadsurfer.com/es/rally/pick?pickup_date=2026-05-13&amp;return_date=2026-05-20&amp;currency=EUR&amp;startStation=56&amp;endStation=47",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Sunrise Suite</t>
        </is>
      </c>
      <c r="H209">
        <f>HYPERLINK("https://booking.roadsurfer.com/es/rally/pick?pickup_date=2026-06-01&amp;return_date=2026-06-08&amp;currency=EUR&amp;startStation=56&amp;endStation=47",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2026-05-07</t>
        </is>
      </c>
      <c r="F210" t="inlineStr">
        <is>
          <t>2026-05-14</t>
        </is>
      </c>
      <c r="G210" t="inlineStr">
        <is>
          <t xml:space="preserve"> - No hay coche</t>
        </is>
      </c>
      <c r="H210">
        <f>HYPERLINK("https://booking.roadsurfer.com/es/rally/pick?pickup_date=2026-05-07&amp;return_date=2026-05-14&amp;currency=EUR&amp;startStation=56&amp;endStation=47",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Italia</t>
        </is>
      </c>
      <c r="D211" t="inlineStr">
        <is>
          <t>Venecia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Camper Cabin - Road House</t>
        </is>
      </c>
      <c r="H211">
        <f>HYPERLINK("https://booking.roadsurfer.com/es/rally/pick?pickup_date=2026-06-08&amp;return_date=2026-06-15&amp;currency=EUR&amp;startStation=56&amp;endStation=78",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Italia</t>
        </is>
      </c>
      <c r="D212" t="inlineStr">
        <is>
          <t>Venecia</t>
        </is>
      </c>
      <c r="E212" t="inlineStr">
        <is>
          <t>2026-06-05</t>
        </is>
      </c>
      <c r="F212" t="inlineStr">
        <is>
          <t>2026-06-12</t>
        </is>
      </c>
      <c r="G212" t="inlineStr">
        <is>
          <t xml:space="preserve"> - Sunrise Suite</t>
        </is>
      </c>
      <c r="H212">
        <f>HYPERLINK("https://booking.roadsurfer.com/es/rally/pick?pickup_date=2026-06-05&amp;return_date=2026-06-12&amp;currency=EUR&amp;startStation=56&amp;endStation=78",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Italia</t>
        </is>
      </c>
      <c r="D213" t="inlineStr">
        <is>
          <t>Venecia</t>
        </is>
      </c>
      <c r="E213" t="inlineStr">
        <is>
          <t>2026-06-27</t>
        </is>
      </c>
      <c r="F213" t="inlineStr">
        <is>
          <t>2026-07-04</t>
        </is>
      </c>
      <c r="G213" t="inlineStr">
        <is>
          <t xml:space="preserve"> - No hay coche</t>
        </is>
      </c>
      <c r="H213">
        <f>HYPERLINK("https://booking.roadsurfer.com/es/rally/pick?pickup_date=2026-06-27&amp;return_date=2026-07-04&amp;currency=EUR&amp;startStation=56&amp;endStation=78",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2026-06-05</t>
        </is>
      </c>
      <c r="F214" t="inlineStr">
        <is>
          <t>2026-06-12</t>
        </is>
      </c>
      <c r="G214" t="inlineStr">
        <is>
          <t xml:space="preserve"> - Camper Cabin</t>
        </is>
      </c>
      <c r="H214">
        <f>HYPERLINK("https://booking.roadsurfer.com/es/rally/pick?pickup_date=2026-06-05&amp;return_date=2026-06-12&amp;currency=EUR&amp;startStation=56&amp;endStation=12",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Camper Cabin</t>
        </is>
      </c>
      <c r="H215">
        <f>HYPERLINK("https://booking.roadsurfer.com/es/rally/pick?pickup_date=2026-06-08&amp;return_date=2026-06-15&amp;currency=EUR&amp;startStation=56&amp;endStation=12",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2026-05-20</t>
        </is>
      </c>
      <c r="F216" t="inlineStr">
        <is>
          <t>2026-05-27</t>
        </is>
      </c>
      <c r="G216" t="inlineStr">
        <is>
          <t xml:space="preserve"> - Road House</t>
        </is>
      </c>
      <c r="H216">
        <f>HYPERLINK("https://booking.roadsurfer.com/es/rally/pick?pickup_date=2026-05-20&amp;return_date=2026-05-27&amp;currency=EUR&amp;startStation=56&amp;endStation=59",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2026-06-04</t>
        </is>
      </c>
      <c r="F217" t="inlineStr">
        <is>
          <t>2026-06-11</t>
        </is>
      </c>
      <c r="G217" t="inlineStr">
        <is>
          <t xml:space="preserve"> - Road House</t>
        </is>
      </c>
      <c r="H217">
        <f>HYPERLINK("https://booking.roadsurfer.com/es/rally/pick?pickup_date=2026-06-04&amp;return_date=2026-06-11&amp;currency=EUR&amp;startStation=56&amp;endStation=59",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Road House - Family Finca</t>
        </is>
      </c>
      <c r="H218">
        <f>HYPERLINK("https://booking.roadsurfer.com/es/rally/pick?pickup_date=2026-05-11&amp;return_date=2026-05-18&amp;currency=EUR&amp;startStation=56&amp;endStation=77",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España</t>
        </is>
      </c>
      <c r="D219" t="inlineStr">
        <is>
          <t>Valencia</t>
        </is>
      </c>
      <c r="E219" t="inlineStr">
        <is>
          <t>2026-06-12</t>
        </is>
      </c>
      <c r="F219" t="inlineStr">
        <is>
          <t>2026-06-19</t>
        </is>
      </c>
      <c r="G219" t="inlineStr">
        <is>
          <t xml:space="preserve"> - Road House</t>
        </is>
      </c>
      <c r="H219">
        <f>HYPERLINK("https://booking.roadsurfer.com/es/rally/pick?pickup_date=2026-06-12&amp;return_date=2026-06-19&amp;currency=EUR&amp;startStation=56&amp;endStation=38",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Road House</t>
        </is>
      </c>
      <c r="H220">
        <f>HYPERLINK("https://booking.roadsurfer.com/es/rally/pick?pickup_date=2026-06-01&amp;return_date=2026-06-08&amp;currency=EUR&amp;startStation=56&amp;endStation=36",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2026-06-08</t>
        </is>
      </c>
      <c r="F221" t="inlineStr">
        <is>
          <t>2026-06-15</t>
        </is>
      </c>
      <c r="G221" t="inlineStr">
        <is>
          <t xml:space="preserve"> - Camper Cabin Deluxe</t>
        </is>
      </c>
      <c r="H221">
        <f>HYPERLINK("https://booking.roadsurfer.com/es/rally/pick?pickup_date=2026-06-08&amp;return_date=2026-06-15&amp;currency=EUR&amp;startStation=56&amp;endStation=36",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Viena</t>
        </is>
      </c>
      <c r="E222" t="inlineStr">
        <is>
          <t>2026-05-25</t>
        </is>
      </c>
      <c r="F222" t="inlineStr">
        <is>
          <t>2026-06-01</t>
        </is>
      </c>
      <c r="G222" t="inlineStr">
        <is>
          <t xml:space="preserve"> - No hay coche</t>
        </is>
      </c>
      <c r="H222">
        <f>HYPERLINK("https://booking.roadsurfer.com/es/rally/pick?pickup_date=2026-05-25&amp;return_date=2026-06-01&amp;currency=EUR&amp;startStation=56&amp;endStation=36",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2026-05-09</t>
        </is>
      </c>
      <c r="F223" t="inlineStr">
        <is>
          <t>2026-05-16</t>
        </is>
      </c>
      <c r="G223" t="inlineStr">
        <is>
          <t xml:space="preserve"> - Road House</t>
        </is>
      </c>
      <c r="H223">
        <f>HYPERLINK("https://booking.roadsurfer.com/es/rally/pick?pickup_date=2026-05-09&amp;return_date=2026-05-16&amp;currency=EUR&amp;startStation=56&amp;endStation=13",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2026-05-06</t>
        </is>
      </c>
      <c r="F224" t="inlineStr">
        <is>
          <t>2026-05-13</t>
        </is>
      </c>
      <c r="G224" t="inlineStr">
        <is>
          <t xml:space="preserve"> - No hay coche</t>
        </is>
      </c>
      <c r="H224">
        <f>HYPERLINK("https://booking.roadsurfer.com/es/rally/pick?pickup_date=2026-05-06&amp;return_date=2026-05-13&amp;currency=EUR&amp;startStation=56&amp;endStation=13",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2026-06-13</t>
        </is>
      </c>
      <c r="F225" t="inlineStr">
        <is>
          <t>2026-06-20</t>
        </is>
      </c>
      <c r="G225" t="inlineStr">
        <is>
          <t xml:space="preserve"> - Family Finca</t>
        </is>
      </c>
      <c r="H225">
        <f>HYPERLINK("https://booking.roadsurfer.com/es/rally/pick?pickup_date=2026-06-13&amp;return_date=2026-06-20&amp;currency=EUR&amp;startStation=56&amp;endStation=37",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2026-05-27</t>
        </is>
      </c>
      <c r="F226" t="inlineStr">
        <is>
          <t>2026-06-03</t>
        </is>
      </c>
      <c r="G226" t="inlineStr">
        <is>
          <t xml:space="preserve"> - Camper Castle</t>
        </is>
      </c>
      <c r="H226">
        <f>HYPERLINK("https://booking.roadsurfer.com/es/rally/pick?pickup_date=2026-05-27&amp;return_date=2026-06-03&amp;currency=EUR&amp;startStation=56&amp;endStation=37",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2026-06-08</t>
        </is>
      </c>
      <c r="F227" t="inlineStr">
        <is>
          <t>2026-06-15</t>
        </is>
      </c>
      <c r="G227" t="inlineStr"/>
      <c r="H227">
        <f>HYPERLINK("https://booking.roadsurfer.com/es/rally/pick?pickup_date=2026-06-08&amp;return_date=2026-06-15&amp;currency=EUR&amp;startStation=56&amp;endStation=37",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2026-05-11</t>
        </is>
      </c>
      <c r="F228" t="inlineStr">
        <is>
          <t>2026-05-18</t>
        </is>
      </c>
      <c r="G228" t="inlineStr">
        <is>
          <t xml:space="preserve"> - Camper Castle</t>
        </is>
      </c>
      <c r="H228">
        <f>HYPERLINK("https://booking.roadsurfer.com/es/rally/pick?pickup_date=2026-05-11&amp;return_date=2026-05-18&amp;currency=EUR&amp;startStation=56&amp;endStation=31",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Camper Castle</t>
        </is>
      </c>
      <c r="H229">
        <f>HYPERLINK("https://booking.roadsurfer.com/es/rally/pick?pickup_date=2026-06-01&amp;return_date=2026-06-08&amp;currency=EUR&amp;startStation=56&amp;endStation=34",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Couple Cottage</t>
        </is>
      </c>
      <c r="H230">
        <f>HYPERLINK("https://booking.roadsurfer.com/es/rally/pick?pickup_date=2026-05-13&amp;return_date=2026-05-20&amp;currency=EUR&amp;startStation=56&amp;endStation=45",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2026-06-23</t>
        </is>
      </c>
      <c r="F231" t="inlineStr">
        <is>
          <t>2026-06-30</t>
        </is>
      </c>
      <c r="G231" t="inlineStr">
        <is>
          <t xml:space="preserve"> - Couple Cottage</t>
        </is>
      </c>
      <c r="H231">
        <f>HYPERLINK("https://booking.roadsurfer.com/es/rally/pick?pickup_date=2026-06-23&amp;return_date=2026-06-30&amp;currency=EUR&amp;startStation=56&amp;endStation=48",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2026-06-01</t>
        </is>
      </c>
      <c r="F232" t="inlineStr">
        <is>
          <t>2026-06-08</t>
        </is>
      </c>
      <c r="G232" t="inlineStr">
        <is>
          <t xml:space="preserve"> - Couple Cottage</t>
        </is>
      </c>
      <c r="H232">
        <f>HYPERLINK("https://booking.roadsurfer.com/es/rally/pick?pickup_date=2026-06-01&amp;return_date=2026-06-08&amp;currency=EUR&amp;startStation=56&amp;endStation=48",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2026-06-23</t>
        </is>
      </c>
      <c r="F233" t="inlineStr">
        <is>
          <t>2026-06-30</t>
        </is>
      </c>
      <c r="G233" t="inlineStr">
        <is>
          <t xml:space="preserve"> - Surfer Suite - Couple Cottage</t>
        </is>
      </c>
      <c r="H233">
        <f>HYPERLINK("https://booking.roadsurfer.com/es/rally/pick?pickup_date=2026-06-23&amp;return_date=2026-06-30&amp;currency=EUR&amp;startStation=113&amp;endStation=33",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Francia</t>
        </is>
      </c>
      <c r="D234" t="inlineStr">
        <is>
          <t>Lille</t>
        </is>
      </c>
      <c r="E234" t="inlineStr">
        <is>
          <t>2026-05-02</t>
        </is>
      </c>
      <c r="F234" t="inlineStr">
        <is>
          <t>2026-05-09</t>
        </is>
      </c>
      <c r="G234" t="inlineStr">
        <is>
          <t xml:space="preserve"> - Beach Hostel</t>
        </is>
      </c>
      <c r="H234">
        <f>HYPERLINK("https://booking.roadsurfer.com/es/rally/pick?pickup_date=2026-05-02&amp;return_date=2026-05-09&amp;currency=EUR&amp;startStation=113&amp;endStation=87",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2026-05-06</t>
        </is>
      </c>
      <c r="F235" t="inlineStr">
        <is>
          <t>2026-05-13</t>
        </is>
      </c>
      <c r="G235" t="inlineStr">
        <is>
          <t xml:space="preserve"> - Family Finca</t>
        </is>
      </c>
      <c r="H235">
        <f>HYPERLINK("https://booking.roadsurfer.com/es/rally/pick?pickup_date=2026-05-06&amp;return_date=2026-05-13&amp;currency=EUR&amp;startStation=113&amp;endStation=31",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Surfer Suite - Road House</t>
        </is>
      </c>
      <c r="H236">
        <f>HYPERLINK("https://booking.roadsurfer.com/es/rally/pick?pickup_date=2026-05-11&amp;return_date=2026-05-18&amp;currency=EUR&amp;startStation=90&amp;endStation=47",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Sunrise Suite</t>
        </is>
      </c>
      <c r="H237">
        <f>HYPERLINK("https://booking.roadsurfer.com/es/rally/pick?pickup_date=2026-05-13&amp;return_date=2026-05-20&amp;currency=EUR&amp;startStation=90&amp;endStation=47",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2026-05-11</t>
        </is>
      </c>
      <c r="F238" t="inlineStr">
        <is>
          <t>2026-05-18</t>
        </is>
      </c>
      <c r="G238" t="inlineStr">
        <is>
          <t xml:space="preserve"> - No hay coche</t>
        </is>
      </c>
      <c r="H238">
        <f>HYPERLINK("https://booking.roadsurfer.com/es/rally/pick?pickup_date=2026-05-11&amp;return_date=2026-05-18&amp;currency=EUR&amp;startStation=90&amp;endStation=42",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2026-06-04</t>
        </is>
      </c>
      <c r="F239" t="inlineStr">
        <is>
          <t>2026-06-11</t>
        </is>
      </c>
      <c r="G239" t="inlineStr">
        <is>
          <t xml:space="preserve"> - Beach Hostel</t>
        </is>
      </c>
      <c r="H239">
        <f>HYPERLINK("https://booking.roadsurfer.com/es/rally/pick?pickup_date=2026-06-04&amp;return_date=2026-06-11&amp;currency=EUR&amp;startStation=90&amp;endStation=42",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Alemania</t>
        </is>
      </c>
      <c r="D240" t="inlineStr">
        <is>
          <t>Flensburgo</t>
        </is>
      </c>
      <c r="E240" t="inlineStr">
        <is>
          <t>2026-05-05</t>
        </is>
      </c>
      <c r="F240" t="inlineStr">
        <is>
          <t>2026-05-12</t>
        </is>
      </c>
      <c r="G240" t="inlineStr">
        <is>
          <t xml:space="preserve"> - Surfer Suite</t>
        </is>
      </c>
      <c r="H240">
        <f>HYPERLINK("https://booking.roadsurfer.com/es/rally/pick?pickup_date=2026-05-05&amp;return_date=2026-05-12&amp;currency=EUR&amp;startStation=90&amp;endStation=130",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Austria</t>
        </is>
      </c>
      <c r="D241" t="inlineStr">
        <is>
          <t>Linz</t>
        </is>
      </c>
      <c r="E241" t="inlineStr">
        <is>
          <t>2026-05-05</t>
        </is>
      </c>
      <c r="F241" t="inlineStr">
        <is>
          <t>2026-05-12</t>
        </is>
      </c>
      <c r="G241" t="inlineStr">
        <is>
          <t xml:space="preserve"> - Surfer Suite</t>
        </is>
      </c>
      <c r="H241">
        <f>HYPERLINK("https://booking.roadsurfer.com/es/rally/pick?pickup_date=2026-05-05&amp;return_date=2026-05-12&amp;currency=EUR&amp;startStation=90&amp;endStation=116",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2026-05-11</t>
        </is>
      </c>
      <c r="F242" t="inlineStr">
        <is>
          <t>2026-05-18</t>
        </is>
      </c>
      <c r="G242" t="inlineStr">
        <is>
          <t xml:space="preserve"> - Surfer Suite</t>
        </is>
      </c>
      <c r="H242">
        <f>HYPERLINK("https://booking.roadsurfer.com/es/rally/pick?pickup_date=2026-05-11&amp;return_date=2026-05-18&amp;currency=EUR&amp;startStation=90&amp;endStation=37",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Surfer Suite</t>
        </is>
      </c>
      <c r="H243">
        <f>HYPERLINK("https://booking.roadsurfer.com/es/rally/pick?pickup_date=2026-05-13&amp;return_date=2026-05-20&amp;currency=EUR&amp;startStation=90&amp;endStation=37",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2026-05-08</t>
        </is>
      </c>
      <c r="F244" t="inlineStr">
        <is>
          <t>2026-05-15</t>
        </is>
      </c>
      <c r="G244" t="inlineStr">
        <is>
          <t xml:space="preserve"> - No hay coche</t>
        </is>
      </c>
      <c r="H244">
        <f>HYPERLINK("https://booking.roadsurfer.com/es/rally/pick?pickup_date=2026-05-08&amp;return_date=2026-05-15&amp;currency=EUR&amp;startStation=90&amp;endStation=48",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Surfer Suite</t>
        </is>
      </c>
      <c r="H245">
        <f>HYPERLINK("https://booking.roadsurfer.com/es/rally/pick?pickup_date=2026-06-08&amp;return_date=2026-06-15&amp;currency=EUR&amp;startStation=90&amp;endStation=29",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2026-06-23</t>
        </is>
      </c>
      <c r="F246" t="inlineStr">
        <is>
          <t>2026-06-30</t>
        </is>
      </c>
      <c r="G246" t="inlineStr">
        <is>
          <t xml:space="preserve"> - Cozy Cottage</t>
        </is>
      </c>
      <c r="H246">
        <f>HYPERLINK("https://booking.roadsurfer.com/es/rally/pick?pickup_date=2026-06-23&amp;return_date=2026-06-30&amp;currency=EUR&amp;startStation=90&amp;endStation=29",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Alemania</t>
        </is>
      </c>
      <c r="D247" t="inlineStr">
        <is>
          <t>Augsburgo</t>
        </is>
      </c>
      <c r="E247" t="inlineStr">
        <is>
          <t>2026-05-09</t>
        </is>
      </c>
      <c r="F247" t="inlineStr">
        <is>
          <t>2026-05-16</t>
        </is>
      </c>
      <c r="G247" t="inlineStr">
        <is>
          <t xml:space="preserve"> - Surfer Suite</t>
        </is>
      </c>
      <c r="H247">
        <f>HYPERLINK("https://booking.roadsurfer.com/es/rally/pick?pickup_date=2026-05-09&amp;return_date=2026-05-16&amp;currency=EUR&amp;startStation=90&amp;endStation=108",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2026-06-18</t>
        </is>
      </c>
      <c r="F248" t="inlineStr">
        <is>
          <t>2026-06-25</t>
        </is>
      </c>
      <c r="G248" t="inlineStr">
        <is>
          <t xml:space="preserve"> - Beach Hostel</t>
        </is>
      </c>
      <c r="H248">
        <f>HYPERLINK("https://booking.roadsurfer.com/es/rally/pick?pickup_date=2026-06-18&amp;return_date=2026-06-25&amp;currency=EUR&amp;startStation=90&amp;endStation=13",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Travel Home</t>
        </is>
      </c>
      <c r="H249">
        <f>HYPERLINK("https://booking.roadsurfer.com/es/rally/pick?pickup_date=2026-05-06&amp;return_date=2026-05-13&amp;currency=EUR&amp;startStation=90&amp;endStation=13",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2026-05-09</t>
        </is>
      </c>
      <c r="F250" t="inlineStr">
        <is>
          <t>2026-05-16</t>
        </is>
      </c>
      <c r="G250" t="inlineStr">
        <is>
          <t xml:space="preserve"> - Road House</t>
        </is>
      </c>
      <c r="H250">
        <f>HYPERLINK("https://booking.roadsurfer.com/es/rally/pick?pickup_date=2026-05-09&amp;return_date=2026-05-16&amp;currency=EUR&amp;startStation=90&amp;endStation=77",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2026-06-09</t>
        </is>
      </c>
      <c r="F251" t="inlineStr">
        <is>
          <t>2026-06-16</t>
        </is>
      </c>
      <c r="G251" t="inlineStr">
        <is>
          <t xml:space="preserve"> - Sunrise Suite</t>
        </is>
      </c>
      <c r="H251">
        <f>HYPERLINK("https://booking.roadsurfer.com/es/rally/pick?pickup_date=2026-06-09&amp;return_date=2026-06-16&amp;currency=EUR&amp;startStation=90&amp;endStation=77",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2026-06-05</t>
        </is>
      </c>
      <c r="F252" t="inlineStr">
        <is>
          <t>2026-06-12</t>
        </is>
      </c>
      <c r="G252" t="inlineStr">
        <is>
          <t xml:space="preserve"> - Beach Hostel</t>
        </is>
      </c>
      <c r="H252">
        <f>HYPERLINK("https://booking.roadsurfer.com/es/rally/pick?pickup_date=2026-06-05&amp;return_date=2026-06-12&amp;currency=EUR&amp;startStation=90&amp;endStation=77",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2026-05-05</t>
        </is>
      </c>
      <c r="F253" t="inlineStr">
        <is>
          <t>2026-05-12</t>
        </is>
      </c>
      <c r="G253" t="inlineStr">
        <is>
          <t xml:space="preserve"> - Family Finca</t>
        </is>
      </c>
      <c r="H253">
        <f>HYPERLINK("https://booking.roadsurfer.com/es/rally/pick?pickup_date=2026-05-05&amp;return_date=2026-05-12&amp;currency=EUR&amp;startStation=90&amp;endStation=12",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2026-06-03</t>
        </is>
      </c>
      <c r="F254" t="inlineStr">
        <is>
          <t>2026-06-10</t>
        </is>
      </c>
      <c r="G254" t="inlineStr">
        <is>
          <t xml:space="preserve"> - Camper Cabin</t>
        </is>
      </c>
      <c r="H254">
        <f>HYPERLINK("https://booking.roadsurfer.com/es/rally/pick?pickup_date=2026-06-03&amp;return_date=2026-06-10&amp;currency=EUR&amp;startStation=90&amp;endStation=12",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2026-05-02</t>
        </is>
      </c>
      <c r="F255" t="inlineStr">
        <is>
          <t>2026-05-09</t>
        </is>
      </c>
      <c r="G255" t="inlineStr">
        <is>
          <t xml:space="preserve"> - No hay coche</t>
        </is>
      </c>
      <c r="H255">
        <f>HYPERLINK("https://booking.roadsurfer.com/es/rally/pick?pickup_date=2026-05-02&amp;return_date=2026-05-09&amp;currency=EUR&amp;startStation=90&amp;endStation=12",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2026-06-29</t>
        </is>
      </c>
      <c r="F256" t="inlineStr">
        <is>
          <t>2026-07-06</t>
        </is>
      </c>
      <c r="G256" t="inlineStr">
        <is>
          <t xml:space="preserve"> - Road House</t>
        </is>
      </c>
      <c r="H256">
        <f>HYPERLINK("https://booking.roadsurfer.com/es/rally/pick?pickup_date=2026-06-29&amp;return_date=2026-07-06&amp;currency=EUR&amp;startStation=90&amp;endStation=15",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Couple Cottage</t>
        </is>
      </c>
      <c r="H257">
        <f>HYPERLINK("https://booking.roadsurfer.com/es/rally/pick?pickup_date=2026-06-08&amp;return_date=2026-06-15&amp;currency=EUR&amp;startStation=90&amp;endStation=15",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2026-06-22</t>
        </is>
      </c>
      <c r="F258" t="inlineStr">
        <is>
          <t>2026-06-29</t>
        </is>
      </c>
      <c r="G258" t="inlineStr">
        <is>
          <t xml:space="preserve"> - Road House</t>
        </is>
      </c>
      <c r="H258">
        <f>HYPERLINK("https://booking.roadsurfer.com/es/rally/pick?pickup_date=2026-06-22&amp;return_date=2026-06-29&amp;currency=EUR&amp;startStation=90&amp;endStation=15",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2026-05-30</t>
        </is>
      </c>
      <c r="F259" t="inlineStr">
        <is>
          <t>2026-06-06</t>
        </is>
      </c>
      <c r="G259" t="inlineStr">
        <is>
          <t xml:space="preserve"> - Camper Cabin</t>
        </is>
      </c>
      <c r="H259">
        <f>HYPERLINK("https://booking.roadsurfer.com/es/rally/pick?pickup_date=2026-05-30&amp;return_date=2026-06-06&amp;currency=EUR&amp;startStation=90&amp;endStation=15",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Road House</t>
        </is>
      </c>
      <c r="H260">
        <f>HYPERLINK("https://booking.roadsurfer.com/es/rally/pick?pickup_date=2026-06-01&amp;return_date=2026-06-08&amp;currency=EUR&amp;startStation=90&amp;endStation=40",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Road House</t>
        </is>
      </c>
      <c r="H261">
        <f>HYPERLINK("https://booking.roadsurfer.com/es/rally/pick?pickup_date=2026-06-08&amp;return_date=2026-06-15&amp;currency=EUR&amp;startStation=90&amp;endStation=34",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2026-06-12</t>
        </is>
      </c>
      <c r="F262" t="inlineStr">
        <is>
          <t>2026-06-19</t>
        </is>
      </c>
      <c r="G262" t="inlineStr">
        <is>
          <t xml:space="preserve"> - Sunrise Suite</t>
        </is>
      </c>
      <c r="H262">
        <f>HYPERLINK("https://booking.roadsurfer.com/es/rally/pick?pickup_date=2026-06-12&amp;return_date=2026-06-19&amp;currency=EUR&amp;startStation=90&amp;endStation=34",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2026-06-02</t>
        </is>
      </c>
      <c r="F263" t="inlineStr">
        <is>
          <t>2026-06-09</t>
        </is>
      </c>
      <c r="G263" t="inlineStr">
        <is>
          <t xml:space="preserve"> - Road House</t>
        </is>
      </c>
      <c r="H263">
        <f>HYPERLINK("https://booking.roadsurfer.com/es/rally/pick?pickup_date=2026-06-02&amp;return_date=2026-06-09&amp;currency=EUR&amp;startStation=90&amp;endStation=59",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2026-06-21</t>
        </is>
      </c>
      <c r="F264" t="inlineStr">
        <is>
          <t>2026-06-28</t>
        </is>
      </c>
      <c r="G264" t="inlineStr">
        <is>
          <t xml:space="preserve"> - No hay coche</t>
        </is>
      </c>
      <c r="H264">
        <f>HYPERLINK("https://booking.roadsurfer.com/es/rally/pick?pickup_date=2026-06-21&amp;return_date=2026-06-28&amp;currency=EUR&amp;startStation=90&amp;endStation=59",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2026-05-12</t>
        </is>
      </c>
      <c r="F265" t="inlineStr">
        <is>
          <t>2026-05-19</t>
        </is>
      </c>
      <c r="G265" t="inlineStr"/>
      <c r="H265">
        <f>HYPERLINK("https://booking.roadsurfer.com/es/rally/pick?pickup_date=2026-05-12&amp;return_date=2026-05-19&amp;currency=EUR&amp;startStation=90&amp;endStation=60",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Family Finca</t>
        </is>
      </c>
      <c r="H266">
        <f>HYPERLINK("https://booking.roadsurfer.com/es/rally/pick?pickup_date=2026-06-08&amp;return_date=2026-06-15&amp;currency=EUR&amp;startStation=90&amp;endStation=60",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Family Finca - Cozy Cottage</t>
        </is>
      </c>
      <c r="H267">
        <f>HYPERLINK("https://booking.roadsurfer.com/es/rally/pick?pickup_date=2026-05-11&amp;return_date=2026-05-18&amp;currency=EUR&amp;startStation=90&amp;endStation=45",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Austria</t>
        </is>
      </c>
      <c r="D268" t="inlineStr">
        <is>
          <t>Viena</t>
        </is>
      </c>
      <c r="E268" t="inlineStr">
        <is>
          <t>2026-06-13</t>
        </is>
      </c>
      <c r="F268" t="inlineStr">
        <is>
          <t>2026-06-20</t>
        </is>
      </c>
      <c r="G268" t="inlineStr">
        <is>
          <t xml:space="preserve"> - Couple Cottage</t>
        </is>
      </c>
      <c r="H268">
        <f>HYPERLINK("https://booking.roadsurfer.com/es/rally/pick?pickup_date=2026-06-13&amp;return_date=2026-06-20&amp;currency=EUR&amp;startStation=90&amp;endStation=36",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Road House</t>
        </is>
      </c>
      <c r="H269">
        <f>HYPERLINK("https://booking.roadsurfer.com/es/rally/pick?pickup_date=2026-05-11&amp;return_date=2026-05-18&amp;currency=EUR&amp;startStation=2&amp;endStation=128",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Alemania</t>
        </is>
      </c>
      <c r="D270" t="inlineStr">
        <is>
          <t>Braunschweig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Beach Hostel</t>
        </is>
      </c>
      <c r="H270">
        <f>HYPERLINK("https://booking.roadsurfer.com/es/rally/pick?pickup_date=2026-05-04&amp;return_date=2026-05-11&amp;currency=EUR&amp;startStation=2&amp;endStation=128",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Alemania</t>
        </is>
      </c>
      <c r="D271" t="inlineStr">
        <is>
          <t>Braunschweig</t>
        </is>
      </c>
      <c r="E271" t="inlineStr">
        <is>
          <t>2026-05-05</t>
        </is>
      </c>
      <c r="F271" t="inlineStr">
        <is>
          <t>2026-05-12</t>
        </is>
      </c>
      <c r="G271" t="inlineStr">
        <is>
          <t xml:space="preserve"> - Surfer Suite</t>
        </is>
      </c>
      <c r="H271">
        <f>HYPERLINK("https://booking.roadsurfer.com/es/rally/pick?pickup_date=2026-05-05&amp;return_date=2026-05-12&amp;currency=EUR&amp;startStation=2&amp;endStation=128",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Italia</t>
        </is>
      </c>
      <c r="D272" t="inlineStr">
        <is>
          <t>Roma Aeropuerto Fiumicino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Surfer Suite</t>
        </is>
      </c>
      <c r="H272">
        <f>HYPERLINK("https://booking.roadsurfer.com/es/rally/pick?pickup_date=2026-05-11&amp;return_date=2026-05-18&amp;currency=EUR&amp;startStation=2&amp;endStation=35",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Couple Cottage</t>
        </is>
      </c>
      <c r="H273">
        <f>HYPERLINK("https://booking.roadsurfer.com/es/rally/pick?pickup_date=2026-05-08&amp;return_date=2026-05-15&amp;currency=EUR&amp;startStation=2&amp;endStation=80",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Italia</t>
        </is>
      </c>
      <c r="D274" t="inlineStr">
        <is>
          <t>Florencia</t>
        </is>
      </c>
      <c r="E274" t="inlineStr">
        <is>
          <t>2026-05-09</t>
        </is>
      </c>
      <c r="F274" t="inlineStr">
        <is>
          <t>2026-05-16</t>
        </is>
      </c>
      <c r="G274" t="inlineStr">
        <is>
          <t xml:space="preserve"> - Surfer Suite</t>
        </is>
      </c>
      <c r="H274">
        <f>HYPERLINK("https://booking.roadsurfer.com/es/rally/pick?pickup_date=2026-05-09&amp;return_date=2026-05-16&amp;currency=EUR&amp;startStation=2&amp;endStation=80",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2026-06-12</t>
        </is>
      </c>
      <c r="F275" t="inlineStr">
        <is>
          <t>2026-06-19</t>
        </is>
      </c>
      <c r="G275" t="inlineStr">
        <is>
          <t xml:space="preserve"> - Surfer Suite</t>
        </is>
      </c>
      <c r="H275">
        <f>HYPERLINK("https://booking.roadsurfer.com/es/rally/pick?pickup_date=2026-06-12&amp;return_date=2026-06-19&amp;currency=EUR&amp;startStation=2&amp;endStation=40",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2026-05-08</t>
        </is>
      </c>
      <c r="F276" t="inlineStr">
        <is>
          <t>2026-05-15</t>
        </is>
      </c>
      <c r="G276" t="inlineStr"/>
      <c r="H276">
        <f>HYPERLINK("https://booking.roadsurfer.com/es/rally/pick?pickup_date=2026-05-08&amp;return_date=2026-05-15&amp;currency=EUR&amp;startStation=2&amp;endStation=40",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2026-05-25</t>
        </is>
      </c>
      <c r="F277" t="inlineStr">
        <is>
          <t>2026-06-01</t>
        </is>
      </c>
      <c r="G277" t="inlineStr">
        <is>
          <t xml:space="preserve"> - No hay coche</t>
        </is>
      </c>
      <c r="H277">
        <f>HYPERLINK("https://booking.roadsurfer.com/es/rally/pick?pickup_date=2026-05-25&amp;return_date=2026-06-01&amp;currency=EUR&amp;startStation=2&amp;endStation=40",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2026-05-14</t>
        </is>
      </c>
      <c r="F278" t="inlineStr">
        <is>
          <t>2026-05-21</t>
        </is>
      </c>
      <c r="G278" t="inlineStr">
        <is>
          <t xml:space="preserve"> - No hay coche</t>
        </is>
      </c>
      <c r="H278">
        <f>HYPERLINK("https://booking.roadsurfer.com/es/rally/pick?pickup_date=2026-05-14&amp;return_date=2026-05-21&amp;currency=EUR&amp;startStation=2&amp;endStation=40",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2026-06-16</t>
        </is>
      </c>
      <c r="F279" t="inlineStr">
        <is>
          <t>2026-06-23</t>
        </is>
      </c>
      <c r="G279" t="inlineStr">
        <is>
          <t xml:space="preserve"> - Surfer Suite</t>
        </is>
      </c>
      <c r="H279">
        <f>HYPERLINK("https://booking.roadsurfer.com/es/rally/pick?pickup_date=2026-06-16&amp;return_date=2026-06-23&amp;currency=EUR&amp;startStation=2&amp;endStation=17",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Couple Cottage</t>
        </is>
      </c>
      <c r="H280">
        <f>HYPERLINK("https://booking.roadsurfer.com/es/rally/pick?pickup_date=2026-06-01&amp;return_date=2026-06-08&amp;currency=EUR&amp;startStation=2&amp;endStation=12",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París Sur (Orly)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Beach Hostel</t>
        </is>
      </c>
      <c r="H281">
        <f>HYPERLINK("https://booking.roadsurfer.com/es/rally/pick?pickup_date=2026-06-08&amp;return_date=2026-06-15&amp;currency=EUR&amp;startStation=2&amp;endStation=12",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Camper Castle</t>
        </is>
      </c>
      <c r="H282">
        <f>HYPERLINK("https://booking.roadsurfer.com/es/rally/pick?pickup_date=2026-05-15&amp;return_date=2026-05-22&amp;currency=EUR&amp;startStation=2&amp;endStation=20",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2026-05-05</t>
        </is>
      </c>
      <c r="F283" t="inlineStr">
        <is>
          <t>2026-05-12</t>
        </is>
      </c>
      <c r="G283" t="inlineStr"/>
      <c r="H283">
        <f>HYPERLINK("https://booking.roadsurfer.com/es/rally/pick?pickup_date=2026-05-05&amp;return_date=2026-05-12&amp;currency=EUR&amp;startStation=2&amp;endStation=20",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2026-06-20</t>
        </is>
      </c>
      <c r="F284" t="inlineStr">
        <is>
          <t>2026-06-27</t>
        </is>
      </c>
      <c r="G284" t="inlineStr">
        <is>
          <t xml:space="preserve"> - Camper Castle</t>
        </is>
      </c>
      <c r="H284">
        <f>HYPERLINK("https://booking.roadsurfer.com/es/rally/pick?pickup_date=2026-06-20&amp;return_date=2026-06-27&amp;currency=EUR&amp;startStation=2&amp;endStation=16",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2026-05-08</t>
        </is>
      </c>
      <c r="F285" t="inlineStr">
        <is>
          <t>2026-05-15</t>
        </is>
      </c>
      <c r="G285" t="inlineStr">
        <is>
          <t xml:space="preserve"> - Couple Cottage</t>
        </is>
      </c>
      <c r="H285">
        <f>HYPERLINK("https://booking.roadsurfer.com/es/rally/pick?pickup_date=2026-05-08&amp;return_date=2026-05-15&amp;currency=EUR&amp;startStation=2&amp;endStation=77",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2026-06-12</t>
        </is>
      </c>
      <c r="F286" t="inlineStr">
        <is>
          <t>2026-06-19</t>
        </is>
      </c>
      <c r="G286" t="inlineStr">
        <is>
          <t xml:space="preserve"> - No hay coche</t>
        </is>
      </c>
      <c r="H286">
        <f>HYPERLINK("https://booking.roadsurfer.com/es/rally/pick?pickup_date=2026-06-12&amp;return_date=2026-06-19&amp;currency=EUR&amp;startStation=2&amp;endStation=77",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2026-05-13</t>
        </is>
      </c>
      <c r="F287" t="inlineStr">
        <is>
          <t>2026-05-20</t>
        </is>
      </c>
      <c r="G287" t="inlineStr"/>
      <c r="H287">
        <f>HYPERLINK("https://booking.roadsurfer.com/es/rally/pick?pickup_date=2026-05-13&amp;return_date=2026-05-20&amp;currency=EUR&amp;startStation=2&amp;endStation=15",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2026-05-06</t>
        </is>
      </c>
      <c r="F288" t="inlineStr">
        <is>
          <t>2026-05-13</t>
        </is>
      </c>
      <c r="G288" t="inlineStr">
        <is>
          <t xml:space="preserve"> - Couple Cottage</t>
        </is>
      </c>
      <c r="H288">
        <f>HYPERLINK("https://booking.roadsurfer.com/es/rally/pick?pickup_date=2026-05-06&amp;return_date=2026-05-13&amp;currency=EUR&amp;startStation=2&amp;endStation=60",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2026-05-26</t>
        </is>
      </c>
      <c r="F289" t="inlineStr">
        <is>
          <t>2026-06-02</t>
        </is>
      </c>
      <c r="G289" t="inlineStr"/>
      <c r="H289">
        <f>HYPERLINK("https://booking.roadsurfer.com/es/rally/pick?pickup_date=2026-05-26&amp;return_date=2026-06-02&amp;currency=EUR&amp;startStation=2&amp;endStation=39",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2026-06-08</t>
        </is>
      </c>
      <c r="F290" t="inlineStr">
        <is>
          <t>2026-06-15</t>
        </is>
      </c>
      <c r="G290" t="inlineStr"/>
      <c r="H290">
        <f>HYPERLINK("https://booking.roadsurfer.com/es/rally/pick?pickup_date=2026-06-08&amp;return_date=2026-06-15&amp;currency=EUR&amp;startStation=2&amp;endStation=42",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Surfer Suite</t>
        </is>
      </c>
      <c r="H291">
        <f>HYPERLINK("https://booking.roadsurfer.com/es/rally/pick?pickup_date=2026-05-04&amp;return_date=2026-05-11&amp;currency=EUR&amp;startStation=9&amp;endStation=40",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2026-05-09</t>
        </is>
      </c>
      <c r="F292" t="inlineStr">
        <is>
          <t>2026-05-16</t>
        </is>
      </c>
      <c r="G292" t="inlineStr">
        <is>
          <t xml:space="preserve"> - Camper Cabin</t>
        </is>
      </c>
      <c r="H292">
        <f>HYPERLINK("https://booking.roadsurfer.com/es/rally/pick?pickup_date=2026-05-09&amp;return_date=2026-05-16&amp;currency=EUR&amp;startStation=9&amp;endStation=40",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2026-05-19</t>
        </is>
      </c>
      <c r="F293" t="inlineStr">
        <is>
          <t>2026-05-26</t>
        </is>
      </c>
      <c r="G293" t="inlineStr">
        <is>
          <t xml:space="preserve"> - Surfer Suite</t>
        </is>
      </c>
      <c r="H293">
        <f>HYPERLINK("https://booking.roadsurfer.com/es/rally/pick?pickup_date=2026-05-19&amp;return_date=2026-05-26&amp;currency=EUR&amp;startStation=9&amp;endStation=40",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Alemania</t>
        </is>
      </c>
      <c r="D294" t="inlineStr">
        <is>
          <t>Duisburgo</t>
        </is>
      </c>
      <c r="E294" t="inlineStr">
        <is>
          <t>2026-06-22</t>
        </is>
      </c>
      <c r="F294" t="inlineStr">
        <is>
          <t>2026-06-29</t>
        </is>
      </c>
      <c r="G294" t="inlineStr">
        <is>
          <t xml:space="preserve"> - Camper Castle</t>
        </is>
      </c>
      <c r="H294">
        <f>HYPERLINK("https://booking.roadsurfer.com/es/rally/pick?pickup_date=2026-06-22&amp;return_date=2026-06-29&amp;currency=EUR&amp;startStation=9&amp;endStation=113",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Alemania</t>
        </is>
      </c>
      <c r="D295" t="inlineStr">
        <is>
          <t>Duisburgo</t>
        </is>
      </c>
      <c r="E295" t="inlineStr">
        <is>
          <t>2026-05-09</t>
        </is>
      </c>
      <c r="F295" t="inlineStr">
        <is>
          <t>2026-05-16</t>
        </is>
      </c>
      <c r="G295" t="inlineStr">
        <is>
          <t xml:space="preserve"> - No hay coche</t>
        </is>
      </c>
      <c r="H295">
        <f>HYPERLINK("https://booking.roadsurfer.com/es/rally/pick?pickup_date=2026-05-09&amp;return_date=2026-05-16&amp;currency=EUR&amp;startStation=9&amp;endStation=113",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2026-05-09</t>
        </is>
      </c>
      <c r="F296" t="inlineStr">
        <is>
          <t>2026-05-16</t>
        </is>
      </c>
      <c r="G296" t="inlineStr">
        <is>
          <t xml:space="preserve"> - Surfer Suite</t>
        </is>
      </c>
      <c r="H296">
        <f>HYPERLINK("https://booking.roadsurfer.com/es/rally/pick?pickup_date=2026-05-09&amp;return_date=2026-05-16&amp;currency=EUR&amp;startStation=9&amp;endStation=20",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Alemania</t>
        </is>
      </c>
      <c r="D297" t="inlineStr">
        <is>
          <t>Flensburgo</t>
        </is>
      </c>
      <c r="E297" t="inlineStr">
        <is>
          <t>2026-05-07</t>
        </is>
      </c>
      <c r="F297" t="inlineStr">
        <is>
          <t>2026-05-14</t>
        </is>
      </c>
      <c r="G297" t="inlineStr">
        <is>
          <t xml:space="preserve"> - No hay coche</t>
        </is>
      </c>
      <c r="H297">
        <f>HYPERLINK("https://booking.roadsurfer.com/es/rally/pick?pickup_date=2026-05-07&amp;return_date=2026-05-14&amp;currency=EUR&amp;startStation=9&amp;endStation=130",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2026-05-02</t>
        </is>
      </c>
      <c r="F298" t="inlineStr">
        <is>
          <t>2026-05-09</t>
        </is>
      </c>
      <c r="G298" t="inlineStr"/>
      <c r="H298">
        <f>HYPERLINK("https://booking.roadsurfer.com/es/rally/pick?pickup_date=2026-05-02&amp;return_date=2026-05-09&amp;currency=EUR&amp;startStation=9&amp;endStation=15",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Camper Cabin</t>
        </is>
      </c>
      <c r="H299">
        <f>HYPERLINK("https://booking.roadsurfer.com/es/rally/pick?pickup_date=2026-05-06&amp;return_date=2026-05-13&amp;currency=EUR&amp;startStation=9&amp;endStation=31",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Camper Cabin</t>
        </is>
      </c>
      <c r="H300">
        <f>HYPERLINK("https://booking.roadsurfer.com/es/rally/pick?pickup_date=2026-06-08&amp;return_date=2026-06-15&amp;currency=EUR&amp;startStation=9&amp;endStation=78",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Road House</t>
        </is>
      </c>
      <c r="H301">
        <f>HYPERLINK("https://booking.roadsurfer.com/es/rally/pick?pickup_date=2026-06-01&amp;return_date=2026-06-08&amp;currency=EUR&amp;startStation=9&amp;endStation=34",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2026-06-29</t>
        </is>
      </c>
      <c r="F302" t="inlineStr">
        <is>
          <t>2026-07-06</t>
        </is>
      </c>
      <c r="G302" t="inlineStr">
        <is>
          <t xml:space="preserve"> - Couple Cottage</t>
        </is>
      </c>
      <c r="H302">
        <f>HYPERLINK("https://booking.roadsurfer.com/es/rally/pick?pickup_date=2026-06-29&amp;return_date=2026-07-06&amp;currency=EUR&amp;startStation=9&amp;endStation=34",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Italia</t>
        </is>
      </c>
      <c r="D303" t="inlineStr">
        <is>
          <t>Bolonia</t>
        </is>
      </c>
      <c r="E303" t="inlineStr">
        <is>
          <t>2026-06-29</t>
        </is>
      </c>
      <c r="F303" t="inlineStr">
        <is>
          <t>2026-07-06</t>
        </is>
      </c>
      <c r="G303" t="inlineStr">
        <is>
          <t xml:space="preserve"> - No hay coche</t>
        </is>
      </c>
      <c r="H303">
        <f>HYPERLINK("https://booking.roadsurfer.com/es/rally/pick?pickup_date=2026-06-29&amp;return_date=2026-07-06&amp;currency=EUR&amp;startStation=9&amp;endStation=57",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2026-06-08</t>
        </is>
      </c>
      <c r="F304" t="inlineStr">
        <is>
          <t>2026-06-15</t>
        </is>
      </c>
      <c r="G304" t="inlineStr"/>
      <c r="H304">
        <f>HYPERLINK("https://booking.roadsurfer.com/es/rally/pick?pickup_date=2026-06-08&amp;return_date=2026-06-15&amp;currency=EUR&amp;startStation=9&amp;endStation=57",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No hay coche</t>
        </is>
      </c>
      <c r="H305">
        <f>HYPERLINK("https://booking.roadsurfer.com/es/rally/pick?pickup_date=2026-05-15&amp;return_date=2026-05-22&amp;currency=EUR&amp;startStation=29&amp;endStation=90",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Surfer Suite</t>
        </is>
      </c>
      <c r="H306">
        <f>HYPERLINK("https://booking.roadsurfer.com/es/rally/pick?pickup_date=2026-05-06&amp;return_date=2026-05-13&amp;currency=EUR&amp;startStation=29&amp;endStation=90",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Camper Cabin</t>
        </is>
      </c>
      <c r="H307">
        <f>HYPERLINK("https://booking.roadsurfer.com/es/rally/pick?pickup_date=2026-05-13&amp;return_date=2026-05-20&amp;currency=EUR&amp;startStation=29&amp;endStation=90",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Camper Cabin</t>
        </is>
      </c>
      <c r="H308">
        <f>HYPERLINK("https://booking.roadsurfer.com/es/rally/pick?pickup_date=2026-05-11&amp;return_date=2026-05-18&amp;currency=EUR&amp;startStation=29&amp;endStation=56",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No hay coche</t>
        </is>
      </c>
      <c r="H309">
        <f>HYPERLINK("https://booking.roadsurfer.com/es/rally/pick?pickup_date=2026-05-08&amp;return_date=2026-05-15&amp;currency=EUR&amp;startStation=29&amp;endStation=56",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Sunrise Suite</t>
        </is>
      </c>
      <c r="H310">
        <f>HYPERLINK("https://booking.roadsurfer.com/es/rally/pick?pickup_date=2026-05-15&amp;return_date=2026-05-22&amp;currency=EUR&amp;startStation=29&amp;endStation=56",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Camper Cabin</t>
        </is>
      </c>
      <c r="H311">
        <f>HYPERLINK("https://booking.roadsurfer.com/es/rally/pick?pickup_date=2026-05-11&amp;return_date=2026-05-18&amp;currency=EUR&amp;startStation=29&amp;endStation=22",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Colonia-Bonn</t>
        </is>
      </c>
      <c r="E312" t="inlineStr">
        <is>
          <t>2026-05-19</t>
        </is>
      </c>
      <c r="F312" t="inlineStr">
        <is>
          <t>2026-05-26</t>
        </is>
      </c>
      <c r="G312" t="inlineStr">
        <is>
          <t xml:space="preserve"> - Family Finca</t>
        </is>
      </c>
      <c r="H312">
        <f>HYPERLINK("https://booking.roadsurfer.com/es/rally/pick?pickup_date=2026-05-19&amp;return_date=2026-05-26&amp;currency=EUR&amp;startStation=29&amp;endStation=52",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Bochum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HYPERLINK("https://booking.roadsurfer.com/es/rally/pick?pickup_date=2026-05-18&amp;return_date=2026-05-25&amp;currency=EUR&amp;startStation=29&amp;endStation=24",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Lübeck</t>
        </is>
      </c>
      <c r="E314" t="inlineStr">
        <is>
          <t>2026-05-29</t>
        </is>
      </c>
      <c r="F314" t="inlineStr">
        <is>
          <t>2026-06-05</t>
        </is>
      </c>
      <c r="G314" t="inlineStr">
        <is>
          <t xml:space="preserve"> - Couple Cottage</t>
        </is>
      </c>
      <c r="H314">
        <f>HYPERLINK("https://booking.roadsurfer.com/es/rally/pick?pickup_date=2026-05-29&amp;return_date=2026-06-05&amp;currency=EUR&amp;startStation=29&amp;endStation=109",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Colonia-Düsseldorf</t>
        </is>
      </c>
      <c r="E315" t="inlineStr">
        <is>
          <t>2026-05-08</t>
        </is>
      </c>
      <c r="F315" t="inlineStr">
        <is>
          <t>2026-05-15</t>
        </is>
      </c>
      <c r="G315" t="inlineStr">
        <is>
          <t xml:space="preserve"> - No hay coche</t>
        </is>
      </c>
      <c r="H315">
        <f>HYPERLINK("https://booking.roadsurfer.com/es/rally/pick?pickup_date=2026-05-08&amp;return_date=2026-05-15&amp;currency=EUR&amp;startStation=29&amp;endStation=4",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Hamburgo Aeropuerto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Surfer Suite</t>
        </is>
      </c>
      <c r="H316">
        <f>HYPERLINK("https://booking.roadsurfer.com/es/rally/pick?pickup_date=2026-05-11&amp;return_date=2026-05-18&amp;currency=EUR&amp;startStation=77&amp;endStation=65",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Kiel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Surfer Suite</t>
        </is>
      </c>
      <c r="H317">
        <f>HYPERLINK("https://booking.roadsurfer.com/es/rally/pick?pickup_date=2026-05-11&amp;return_date=2026-05-18&amp;currency=EUR&amp;startStation=77&amp;endStation=111",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Surfer Suite - Sunrise Suite</t>
        </is>
      </c>
      <c r="H318">
        <f>HYPERLINK("https://booking.roadsurfer.com/es/rally/pick?pickup_date=2026-05-06&amp;return_date=2026-05-13&amp;currency=EUR&amp;startStation=77&amp;endStation=91",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Beach Hostel</t>
        </is>
      </c>
      <c r="H319">
        <f>HYPERLINK("https://booking.roadsurfer.com/es/rally/pick?pickup_date=2026-05-08&amp;return_date=2026-05-15&amp;currency=EUR&amp;startStation=77&amp;endStation=90",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Sunrise Suite</t>
        </is>
      </c>
      <c r="H320">
        <f>HYPERLINK("https://booking.roadsurfer.com/es/rally/pick?pickup_date=2026-05-11&amp;return_date=2026-05-18&amp;currency=EUR&amp;startStation=77&amp;endStation=90",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Berlín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No hay coche</t>
        </is>
      </c>
      <c r="H321">
        <f>HYPERLINK("https://booking.roadsurfer.com/es/rally/pick?pickup_date=2026-05-07&amp;return_date=2026-05-14&amp;currency=EUR&amp;startStation=77&amp;endStation=6",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2026-05-17</t>
        </is>
      </c>
      <c r="F322" t="inlineStr">
        <is>
          <t>2026-05-24</t>
        </is>
      </c>
      <c r="G322" t="inlineStr">
        <is>
          <t xml:space="preserve"> - No hay coche</t>
        </is>
      </c>
      <c r="H322">
        <f>HYPERLINK("https://booking.roadsurfer.com/es/rally/pick?pickup_date=2026-05-17&amp;return_date=2026-05-24&amp;currency=EUR&amp;startStation=77&amp;endStation=110",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Road House</t>
        </is>
      </c>
      <c r="H323">
        <f>HYPERLINK("https://booking.roadsurfer.com/es/rally/pick?pickup_date=2026-05-06&amp;return_date=2026-05-13&amp;currency=EUR&amp;startStation=37&amp;endStation=8",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2026-05-07</t>
        </is>
      </c>
      <c r="F324" t="inlineStr">
        <is>
          <t>2026-05-14</t>
        </is>
      </c>
      <c r="G324" t="inlineStr">
        <is>
          <t xml:space="preserve"> - No hay coche</t>
        </is>
      </c>
      <c r="H324">
        <f>HYPERLINK("https://booking.roadsurfer.com/es/rally/pick?pickup_date=2026-05-07&amp;return_date=2026-05-14&amp;currency=EUR&amp;startStation=37&amp;endStation=91",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Alemania</t>
        </is>
      </c>
      <c r="D325" t="inlineStr">
        <is>
          <t>Flensburgo</t>
        </is>
      </c>
      <c r="E325" t="inlineStr">
        <is>
          <t>2026-05-08</t>
        </is>
      </c>
      <c r="F325" t="inlineStr">
        <is>
          <t>2026-05-15</t>
        </is>
      </c>
      <c r="G325" t="inlineStr">
        <is>
          <t xml:space="preserve"> - Surfer Suite - Beach Hostel</t>
        </is>
      </c>
      <c r="H325">
        <f>HYPERLINK("https://booking.roadsurfer.com/es/rally/pick?pickup_date=2026-05-08&amp;return_date=2026-05-15&amp;currency=EUR&amp;startStation=3&amp;endStation=130",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Alemania</t>
        </is>
      </c>
      <c r="D326" t="inlineStr">
        <is>
          <t>Flensburgo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No hay coche</t>
        </is>
      </c>
      <c r="H326">
        <f>HYPERLINK("https://booking.roadsurfer.com/es/rally/pick?pickup_date=2026-05-06&amp;return_date=2026-05-13&amp;currency=EUR&amp;startStation=3&amp;endStation=130",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No hay coche</t>
        </is>
      </c>
      <c r="H327">
        <f>HYPERLINK("https://booking.roadsurfer.com/es/rally/pick?pickup_date=2026-05-04&amp;return_date=2026-05-11&amp;currency=EUR&amp;startStation=3&amp;endStation=130",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Beach Hostel</t>
        </is>
      </c>
      <c r="H328">
        <f>HYPERLINK("https://booking.roadsurfer.com/es/rally/pick?pickup_date=2026-05-11&amp;return_date=2026-05-18&amp;currency=EUR&amp;startStation=3&amp;endStation=36",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Austria</t>
        </is>
      </c>
      <c r="D329" t="inlineStr">
        <is>
          <t>Linz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No hay coche</t>
        </is>
      </c>
      <c r="H329">
        <f>HYPERLINK("https://booking.roadsurfer.com/es/rally/pick?pickup_date=2026-05-11&amp;return_date=2026-05-18&amp;currency=EUR&amp;startStation=3&amp;endStation=116",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2026-05-21</t>
        </is>
      </c>
      <c r="F330" t="inlineStr">
        <is>
          <t>2026-05-28</t>
        </is>
      </c>
      <c r="G330" t="inlineStr">
        <is>
          <t xml:space="preserve"> - Camper Castle</t>
        </is>
      </c>
      <c r="H330">
        <f>HYPERLINK("https://booking.roadsurfer.com/es/rally/pick?pickup_date=2026-05-21&amp;return_date=2026-05-28&amp;currency=EUR&amp;startStation=3&amp;endStation=42",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2026-05-07</t>
        </is>
      </c>
      <c r="F331" t="inlineStr">
        <is>
          <t>2026-05-14</t>
        </is>
      </c>
      <c r="G331" t="inlineStr">
        <is>
          <t xml:space="preserve"> - No hay coche</t>
        </is>
      </c>
      <c r="H331">
        <f>HYPERLINK("https://booking.roadsurfer.com/es/rally/pick?pickup_date=2026-05-07&amp;return_date=2026-05-14&amp;currency=EUR&amp;startStation=3&amp;endStation=77",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2026-05-08</t>
        </is>
      </c>
      <c r="F332" t="inlineStr">
        <is>
          <t>2026-05-15</t>
        </is>
      </c>
      <c r="G332" t="inlineStr"/>
      <c r="H332">
        <f>HYPERLINK("https://booking.roadsurfer.com/es/rally/pick?pickup_date=2026-05-08&amp;return_date=2026-05-15&amp;currency=EUR&amp;startStation=3&amp;endStation=77",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Camper Castle</t>
        </is>
      </c>
      <c r="H333">
        <f>HYPERLINK("https://booking.roadsurfer.com/es/rally/pick?pickup_date=2026-05-06&amp;return_date=2026-05-13&amp;currency=EUR&amp;startStation=7&amp;endStation=40", "Clic para verlo en la web de RoadSurfer")</f>
        <v/>
      </c>
    </row>
    <row r="334">
      <c r="A334" t="inlineStr">
        <is>
          <t>Alemania</t>
        </is>
      </c>
      <c r="B334" t="inlineStr">
        <is>
          <t>Heidelberg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Surfer Suite</t>
        </is>
      </c>
      <c r="H334">
        <f>HYPERLINK("https://booking.roadsurfer.com/es/rally/pick?pickup_date=2026-05-11&amp;return_date=2026-05-18&amp;currency=EUR&amp;startStation=79&amp;endStation=77", "Clic para verlo en la web de RoadSurfer")</f>
        <v/>
      </c>
    </row>
    <row r="335">
      <c r="A335" t="inlineStr">
        <is>
          <t>Alemania</t>
        </is>
      </c>
      <c r="B335" t="inlineStr">
        <is>
          <t>Heidelberg</t>
        </is>
      </c>
      <c r="C335" t="inlineStr">
        <is>
          <t>Alemania</t>
        </is>
      </c>
      <c r="D335" t="inlineStr">
        <is>
          <t>Flensburgo</t>
        </is>
      </c>
      <c r="E335" t="inlineStr">
        <is>
          <t>2026-06-15</t>
        </is>
      </c>
      <c r="F335" t="inlineStr">
        <is>
          <t>2026-06-22</t>
        </is>
      </c>
      <c r="G335" t="inlineStr">
        <is>
          <t xml:space="preserve"> - Beach Hostel</t>
        </is>
      </c>
      <c r="H335">
        <f>HYPERLINK("https://booking.roadsurfer.com/es/rally/pick?pickup_date=2026-06-15&amp;return_date=2026-06-22&amp;currency=EUR&amp;startStation=79&amp;endStation=130", "Clic para verlo en la web de RoadSurfer")</f>
        <v/>
      </c>
    </row>
    <row r="336">
      <c r="A336" t="inlineStr">
        <is>
          <t>Alemania</t>
        </is>
      </c>
      <c r="B336" t="inlineStr">
        <is>
          <t>Heidelberg</t>
        </is>
      </c>
      <c r="C336" t="inlineStr">
        <is>
          <t>Austria</t>
        </is>
      </c>
      <c r="D336" t="inlineStr">
        <is>
          <t>Innsbruck-Wiesing</t>
        </is>
      </c>
      <c r="E336" t="inlineStr">
        <is>
          <t>2026-05-29</t>
        </is>
      </c>
      <c r="F336" t="inlineStr">
        <is>
          <t>2026-06-05</t>
        </is>
      </c>
      <c r="G336" t="inlineStr">
        <is>
          <t xml:space="preserve"> - Camper Castle</t>
        </is>
      </c>
      <c r="H336">
        <f>HYPERLINK("https://booking.roadsurfer.com/es/rally/pick?pickup_date=2026-05-29&amp;return_date=2026-06-05&amp;currency=EUR&amp;startStation=79&amp;endStation=46",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Beach Hostel</t>
        </is>
      </c>
      <c r="H337">
        <f>HYPERLINK("https://booking.roadsurfer.com/es/rally/pick?pickup_date=2026-05-21&amp;return_date=2026-05-28&amp;currency=EUR&amp;startStation=46&amp;endStation=36",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Cabin</t>
        </is>
      </c>
      <c r="H338">
        <f>HYPERLINK("https://booking.roadsurfer.com/es/rally/pick?pickup_date=2026-05-11&amp;return_date=2026-05-18&amp;currency=EUR&amp;startStation=46&amp;endStation=114",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Francia</t>
        </is>
      </c>
      <c r="D339" t="inlineStr">
        <is>
          <t>Lille</t>
        </is>
      </c>
      <c r="E339" t="inlineStr">
        <is>
          <t>2026-05-09</t>
        </is>
      </c>
      <c r="F339" t="inlineStr">
        <is>
          <t>2026-05-16</t>
        </is>
      </c>
      <c r="G339" t="inlineStr">
        <is>
          <t xml:space="preserve"> - Cozy Cottage</t>
        </is>
      </c>
      <c r="H339">
        <f>HYPERLINK("https://booking.roadsurfer.com/es/rally/pick?pickup_date=2026-05-09&amp;return_date=2026-05-16&amp;currency=EUR&amp;startStation=110&amp;endStation=87",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2026-06-01</t>
        </is>
      </c>
      <c r="F340" t="inlineStr">
        <is>
          <t>2026-06-08</t>
        </is>
      </c>
      <c r="G340" t="inlineStr">
        <is>
          <t xml:space="preserve"> - Camper Castle</t>
        </is>
      </c>
      <c r="H340">
        <f>HYPERLINK("https://booking.roadsurfer.com/es/rally/pick?pickup_date=2026-06-01&amp;return_date=2026-06-08&amp;currency=EUR&amp;startStation=110&amp;endStation=20",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2026-05-08</t>
        </is>
      </c>
      <c r="F341" t="inlineStr">
        <is>
          <t>2026-05-15</t>
        </is>
      </c>
      <c r="G341" t="inlineStr">
        <is>
          <t xml:space="preserve"> - No hay coche</t>
        </is>
      </c>
      <c r="H341">
        <f>HYPERLINK("https://booking.roadsurfer.com/es/rally/pick?pickup_date=2026-05-08&amp;return_date=2026-05-15&amp;currency=EUR&amp;startStation=110&amp;endStation=20",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Sunrise Suite</t>
        </is>
      </c>
      <c r="H342">
        <f>HYPERLINK("https://booking.roadsurfer.com/es/rally/pick?pickup_date=2026-06-08&amp;return_date=2026-06-15&amp;currency=EUR&amp;startStation=110&amp;endStation=20",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Camper Cabin</t>
        </is>
      </c>
      <c r="H343">
        <f>HYPERLINK("https://booking.roadsurfer.com/es/rally/pick?pickup_date=2026-06-01&amp;return_date=2026-06-08&amp;currency=EUR&amp;startStation=110&amp;endStation=12",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2026-06-12</t>
        </is>
      </c>
      <c r="F344" t="inlineStr">
        <is>
          <t>2026-06-19</t>
        </is>
      </c>
      <c r="G344" t="inlineStr">
        <is>
          <t xml:space="preserve"> - Camper Cabin - Road House</t>
        </is>
      </c>
      <c r="H344">
        <f>HYPERLINK("https://booking.roadsurfer.com/es/rally/pick?pickup_date=2026-06-12&amp;return_date=2026-06-19&amp;currency=EUR&amp;startStation=110&amp;endStation=12",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Road House</t>
        </is>
      </c>
      <c r="H345">
        <f>HYPERLINK("https://booking.roadsurfer.com/es/rally/pick?pickup_date=2026-06-08&amp;return_date=2026-06-15&amp;currency=EUR&amp;startStation=110&amp;endStation=12",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2026-06-05</t>
        </is>
      </c>
      <c r="F346" t="inlineStr">
        <is>
          <t>2026-06-12</t>
        </is>
      </c>
      <c r="G346" t="inlineStr">
        <is>
          <t xml:space="preserve"> - No hay coche</t>
        </is>
      </c>
      <c r="H346">
        <f>HYPERLINK("https://booking.roadsurfer.com/es/rally/pick?pickup_date=2026-06-05&amp;return_date=2026-06-12&amp;currency=EUR&amp;startStation=110&amp;endStation=36",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2026-06-12</t>
        </is>
      </c>
      <c r="F347" t="inlineStr">
        <is>
          <t>2026-06-19</t>
        </is>
      </c>
      <c r="G347" t="inlineStr">
        <is>
          <t xml:space="preserve"> - Cozy Cottage</t>
        </is>
      </c>
      <c r="H347">
        <f>HYPERLINK("https://booking.roadsurfer.com/es/rally/pick?pickup_date=2026-06-12&amp;return_date=2026-06-19&amp;currency=EUR&amp;startStation=110&amp;endStation=36",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España</t>
        </is>
      </c>
      <c r="D348" t="inlineStr">
        <is>
          <t>Barcelona</t>
        </is>
      </c>
      <c r="E348" t="inlineStr">
        <is>
          <t>2026-06-22</t>
        </is>
      </c>
      <c r="F348" t="inlineStr">
        <is>
          <t>2026-06-29</t>
        </is>
      </c>
      <c r="G348" t="inlineStr">
        <is>
          <t xml:space="preserve"> - Couple Cottage</t>
        </is>
      </c>
      <c r="H348">
        <f>HYPERLINK("https://booking.roadsurfer.com/es/rally/pick?pickup_date=2026-06-22&amp;return_date=2026-06-29&amp;currency=EUR&amp;startStation=110&amp;endStation=17",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2026-05-16</t>
        </is>
      </c>
      <c r="F349" t="inlineStr">
        <is>
          <t>2026-05-23</t>
        </is>
      </c>
      <c r="G349" t="inlineStr">
        <is>
          <t xml:space="preserve"> - Couple Cottage</t>
        </is>
      </c>
      <c r="H349">
        <f>HYPERLINK("https://booking.roadsurfer.com/es/rally/pick?pickup_date=2026-05-16&amp;return_date=2026-05-23&amp;currency=EUR&amp;startStation=110&amp;endStation=31",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2026-05-26</t>
        </is>
      </c>
      <c r="F350" t="inlineStr">
        <is>
          <t>2026-06-02</t>
        </is>
      </c>
      <c r="G350" t="inlineStr"/>
      <c r="H350">
        <f>HYPERLINK("https://booking.roadsurfer.com/es/rally/pick?pickup_date=2026-05-26&amp;return_date=2026-06-02&amp;currency=EUR&amp;startStation=110&amp;endStation=30",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2026-05-07</t>
        </is>
      </c>
      <c r="F351" t="inlineStr">
        <is>
          <t>2026-05-14</t>
        </is>
      </c>
      <c r="G351" t="inlineStr">
        <is>
          <t xml:space="preserve"> - No hay coche</t>
        </is>
      </c>
      <c r="H351">
        <f>HYPERLINK("https://booking.roadsurfer.com/es/rally/pick?pickup_date=2026-05-07&amp;return_date=2026-05-14&amp;currency=EUR&amp;startStation=110&amp;endStation=15",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Francia</t>
        </is>
      </c>
      <c r="D352" t="inlineStr">
        <is>
          <t>Burdeos</t>
        </is>
      </c>
      <c r="E352" t="inlineStr">
        <is>
          <t>2026-05-27</t>
        </is>
      </c>
      <c r="F352" t="inlineStr">
        <is>
          <t>2026-06-03</t>
        </is>
      </c>
      <c r="G352" t="inlineStr">
        <is>
          <t xml:space="preserve"> - Surfer Suite</t>
        </is>
      </c>
      <c r="H352">
        <f>HYPERLINK("https://booking.roadsurfer.com/es/rally/pick?pickup_date=2026-05-27&amp;return_date=2026-06-03&amp;currency=EUR&amp;startStation=110&amp;endStation=13",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Camper Cabin</t>
        </is>
      </c>
      <c r="H353">
        <f>HYPERLINK("https://booking.roadsurfer.com/es/rally/pick?pickup_date=2026-06-01&amp;return_date=2026-06-08&amp;currency=EUR&amp;startStation=92&amp;endStation=29",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No hay coche</t>
        </is>
      </c>
      <c r="H354">
        <f>HYPERLINK("https://booking.roadsurfer.com/es/rally/pick?pickup_date=2026-05-08&amp;return_date=2026-05-15&amp;currency=EUR&amp;startStation=92&amp;endStation=29",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2026-06-03</t>
        </is>
      </c>
      <c r="F355" t="inlineStr">
        <is>
          <t>2026-06-10</t>
        </is>
      </c>
      <c r="G355" t="inlineStr">
        <is>
          <t xml:space="preserve"> - Surfer Suite</t>
        </is>
      </c>
      <c r="H355">
        <f>HYPERLINK("https://booking.roadsurfer.com/es/rally/pick?pickup_date=2026-06-03&amp;return_date=2026-06-10&amp;currency=EUR&amp;startStation=92&amp;endStation=30", "Clic para verlo en la web de RoadSurfer")</f>
        <v/>
      </c>
    </row>
    <row r="356">
      <c r="A356" t="inlineStr">
        <is>
          <t>Alemania</t>
        </is>
      </c>
      <c r="B356" t="inlineStr">
        <is>
          <t>Kiel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2026-06-10</t>
        </is>
      </c>
      <c r="F356" t="inlineStr">
        <is>
          <t>2026-06-17</t>
        </is>
      </c>
      <c r="G356" t="inlineStr">
        <is>
          <t xml:space="preserve"> - Road House</t>
        </is>
      </c>
      <c r="H356">
        <f>HYPERLINK("https://booking.roadsurfer.com/es/rally/pick?pickup_date=2026-06-10&amp;return_date=2026-06-17&amp;currency=EUR&amp;startStation=111&amp;endStation=77",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2026-06-12</t>
        </is>
      </c>
      <c r="F357" t="inlineStr">
        <is>
          <t>2026-06-19</t>
        </is>
      </c>
      <c r="G357" t="inlineStr">
        <is>
          <t xml:space="preserve"> - No hay coche</t>
        </is>
      </c>
      <c r="H357">
        <f>HYPERLINK("https://booking.roadsurfer.com/es/rally/pick?pickup_date=2026-06-12&amp;return_date=2026-06-19&amp;currency=EUR&amp;startStation=111&amp;endStation=77",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Road House</t>
        </is>
      </c>
      <c r="H358">
        <f>HYPERLINK("https://booking.roadsurfer.com/es/rally/pick?pickup_date=2026-06-08&amp;return_date=2026-06-15&amp;currency=EUR&amp;startStation=111&amp;endStation=77",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HYPERLINK("https://booking.roadsurfer.com/es/rally/pick?pickup_date=2026-05-21&amp;return_date=2026-05-28&amp;currency=EUR&amp;startStation=111&amp;endStation=77",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Road House</t>
        </is>
      </c>
      <c r="H360">
        <f>HYPERLINK("https://booking.roadsurfer.com/es/rally/pick?pickup_date=2026-06-08&amp;return_date=2026-06-15&amp;currency=EUR&amp;startStation=111&amp;endStation=60",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2026-06-23</t>
        </is>
      </c>
      <c r="F361" t="inlineStr">
        <is>
          <t>2026-06-30</t>
        </is>
      </c>
      <c r="G361" t="inlineStr">
        <is>
          <t xml:space="preserve"> - Couple Cottage</t>
        </is>
      </c>
      <c r="H361">
        <f>HYPERLINK("https://booking.roadsurfer.com/es/rally/pick?pickup_date=2026-06-23&amp;return_date=2026-06-30&amp;currency=EUR&amp;startStation=111&amp;endStation=60",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Road House</t>
        </is>
      </c>
      <c r="H362">
        <f>HYPERLINK("https://booking.roadsurfer.com/es/rally/pick?pickup_date=2026-05-08&amp;return_date=2026-05-15&amp;currency=EUR&amp;startStation=111&amp;endStation=60",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2026-06-12</t>
        </is>
      </c>
      <c r="F363" t="inlineStr">
        <is>
          <t>2026-06-19</t>
        </is>
      </c>
      <c r="G363" t="inlineStr">
        <is>
          <t xml:space="preserve"> - No hay coche</t>
        </is>
      </c>
      <c r="H363">
        <f>HYPERLINK("https://booking.roadsurfer.com/es/rally/pick?pickup_date=2026-06-12&amp;return_date=2026-06-19&amp;currency=EUR&amp;startStation=111&amp;endStation=59",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2026-06-17</t>
        </is>
      </c>
      <c r="F364" t="inlineStr">
        <is>
          <t>2026-06-24</t>
        </is>
      </c>
      <c r="G364" t="inlineStr">
        <is>
          <t xml:space="preserve"> - Couple Cottage</t>
        </is>
      </c>
      <c r="H364">
        <f>HYPERLINK("https://booking.roadsurfer.com/es/rally/pick?pickup_date=2026-06-17&amp;return_date=2026-06-24&amp;currency=EUR&amp;startStation=111&amp;endStation=59", "Clic para verlo en la web de RoadSurfer")</f>
        <v/>
      </c>
    </row>
    <row r="365">
      <c r="A365" t="inlineStr">
        <is>
          <t>EE.UU.</t>
        </is>
      </c>
      <c r="B365" t="inlineStr">
        <is>
          <t>Las Vegas</t>
        </is>
      </c>
      <c r="C365" t="inlineStr">
        <is>
          <t>EE.UU.</t>
        </is>
      </c>
      <c r="D365" t="inlineStr">
        <is>
          <t>Dallas</t>
        </is>
      </c>
      <c r="E365" t="inlineStr">
        <is>
          <t>2026-05-30</t>
        </is>
      </c>
      <c r="F365" t="inlineStr">
        <is>
          <t>2026-06-06</t>
        </is>
      </c>
      <c r="G365" t="inlineStr"/>
      <c r="H365">
        <f>HYPERLINK("https://booking.roadsurfer.com/es/rally/pick?pickup_date=2026-05-30&amp;return_date=2026-06-06&amp;currency=EUR&amp;startStation=76&amp;endStation=125", "Clic para verlo en la web de RoadSurfer")</f>
        <v/>
      </c>
    </row>
    <row r="366">
      <c r="A366" t="inlineStr">
        <is>
          <t>EE.UU.</t>
        </is>
      </c>
      <c r="B366" t="inlineStr">
        <is>
          <t>Las Vegas</t>
        </is>
      </c>
      <c r="C366" t="inlineStr">
        <is>
          <t>EE.UU.</t>
        </is>
      </c>
      <c r="D366" t="inlineStr">
        <is>
          <t>Dallas</t>
        </is>
      </c>
      <c r="E366" t="inlineStr">
        <is>
          <t>2026-05-29</t>
        </is>
      </c>
      <c r="F366" t="inlineStr">
        <is>
          <t>2026-06-05</t>
        </is>
      </c>
      <c r="G366" t="inlineStr">
        <is>
          <t xml:space="preserve"> - No hay coche</t>
        </is>
      </c>
      <c r="H366">
        <f>HYPERLINK("https://booking.roadsurfer.com/es/rally/pick?pickup_date=2026-05-29&amp;return_date=2026-06-05&amp;currency=EUR&amp;startStation=76&amp;endStation=125",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Family Freedom</t>
        </is>
      </c>
      <c r="H367">
        <f>HYPERLINK("https://booking.roadsurfer.com/es/rally/pick?pickup_date=2026-05-07&amp;return_date=2026-05-14&amp;currency=EUR&amp;startStation=76&amp;endStation=104",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No hay coche</t>
        </is>
      </c>
      <c r="H368">
        <f>HYPERLINK("https://booking.roadsurfer.com/es/rally/pick?pickup_date=2026-05-06&amp;return_date=2026-05-13&amp;currency=EUR&amp;startStation=8&amp;endStation=33",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Surfer Suite - Couple Cottage</t>
        </is>
      </c>
      <c r="H369">
        <f>HYPERLINK("https://booking.roadsurfer.com/es/rally/pick?pickup_date=2026-05-11&amp;return_date=2026-05-18&amp;currency=EUR&amp;startStation=8&amp;endStation=33",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2026-05-05</t>
        </is>
      </c>
      <c r="F370" t="inlineStr">
        <is>
          <t>2026-05-12</t>
        </is>
      </c>
      <c r="G370" t="inlineStr">
        <is>
          <t xml:space="preserve"> - Camper Cabin - Couple Cottage</t>
        </is>
      </c>
      <c r="H370">
        <f>HYPERLINK("https://booking.roadsurfer.com/es/rally/pick?pickup_date=2026-05-05&amp;return_date=2026-05-12&amp;currency=EUR&amp;startStation=8&amp;endStation=33",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2026-05-08</t>
        </is>
      </c>
      <c r="F371" t="inlineStr">
        <is>
          <t>2026-05-15</t>
        </is>
      </c>
      <c r="G371" t="inlineStr">
        <is>
          <t xml:space="preserve"> - Camper Cabin</t>
        </is>
      </c>
      <c r="H371">
        <f>HYPERLINK("https://booking.roadsurfer.com/es/rally/pick?pickup_date=2026-05-08&amp;return_date=2026-05-15&amp;currency=EUR&amp;startStation=8&amp;endStation=33",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Italia</t>
        </is>
      </c>
      <c r="D372" t="inlineStr">
        <is>
          <t>Milán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Couple Cottage</t>
        </is>
      </c>
      <c r="H372">
        <f>HYPERLINK("https://booking.roadsurfer.com/es/rally/pick?pickup_date=2026-06-08&amp;return_date=2026-06-15&amp;currency=EUR&amp;startStation=8&amp;endStation=34",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2026-06-12</t>
        </is>
      </c>
      <c r="F373" t="inlineStr">
        <is>
          <t>2026-06-19</t>
        </is>
      </c>
      <c r="G373" t="inlineStr">
        <is>
          <t xml:space="preserve"> - Surfer Suite</t>
        </is>
      </c>
      <c r="H373">
        <f>HYPERLINK("https://booking.roadsurfer.com/es/rally/pick?pickup_date=2026-06-12&amp;return_date=2026-06-19&amp;currency=EUR&amp;startStation=8&amp;endStation=34",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2026-06-29</t>
        </is>
      </c>
      <c r="F374" t="inlineStr">
        <is>
          <t>2026-07-06</t>
        </is>
      </c>
      <c r="G374" t="inlineStr">
        <is>
          <t xml:space="preserve"> - Couple Cottage</t>
        </is>
      </c>
      <c r="H374">
        <f>HYPERLINK("https://booking.roadsurfer.com/es/rally/pick?pickup_date=2026-06-29&amp;return_date=2026-07-06&amp;currency=EUR&amp;startStation=8&amp;endStation=34",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2026-06-16</t>
        </is>
      </c>
      <c r="F375" t="inlineStr">
        <is>
          <t>2026-06-23</t>
        </is>
      </c>
      <c r="G375" t="inlineStr">
        <is>
          <t xml:space="preserve"> - Family Finca</t>
        </is>
      </c>
      <c r="H375">
        <f>HYPERLINK("https://booking.roadsurfer.com/es/rally/pick?pickup_date=2026-06-16&amp;return_date=2026-06-23&amp;currency=EUR&amp;startStation=8&amp;endStation=34",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2026-06-11</t>
        </is>
      </c>
      <c r="F376" t="inlineStr">
        <is>
          <t>2026-06-18</t>
        </is>
      </c>
      <c r="G376" t="inlineStr">
        <is>
          <t xml:space="preserve"> - Surfer Suite</t>
        </is>
      </c>
      <c r="H376">
        <f>HYPERLINK("https://booking.roadsurfer.com/es/rally/pick?pickup_date=2026-06-11&amp;return_date=2026-06-18&amp;currency=EUR&amp;startStation=8&amp;endStation=13",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Austria</t>
        </is>
      </c>
      <c r="D377" t="inlineStr">
        <is>
          <t>Graz</t>
        </is>
      </c>
      <c r="E377" t="inlineStr">
        <is>
          <t>2026-05-08</t>
        </is>
      </c>
      <c r="F377" t="inlineStr">
        <is>
          <t>2026-05-15</t>
        </is>
      </c>
      <c r="G377" t="inlineStr"/>
      <c r="H377">
        <f>HYPERLINK("https://booking.roadsurfer.com/es/rally/pick?pickup_date=2026-05-08&amp;return_date=2026-05-15&amp;currency=EUR&amp;startStation=8&amp;endStation=37",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Graz</t>
        </is>
      </c>
      <c r="E378" t="inlineStr">
        <is>
          <t>2026-06-17</t>
        </is>
      </c>
      <c r="F378" t="inlineStr">
        <is>
          <t>2026-06-24</t>
        </is>
      </c>
      <c r="G378" t="inlineStr">
        <is>
          <t xml:space="preserve"> - Surfer Suite</t>
        </is>
      </c>
      <c r="H378">
        <f>HYPERLINK("https://booking.roadsurfer.com/es/rally/pick?pickup_date=2026-06-17&amp;return_date=2026-06-24&amp;currency=EUR&amp;startStation=8&amp;endStation=37",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HYPERLINK("https://booking.roadsurfer.com/es/rally/pick?pickup_date=2026-06-08&amp;return_date=2026-06-15&amp;currency=EUR&amp;startStation=8&amp;endStation=37",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Austria</t>
        </is>
      </c>
      <c r="D381" t="inlineStr">
        <is>
          <t>Graz</t>
        </is>
      </c>
      <c r="E381" t="inlineStr">
        <is>
          <t>2026-05-27</t>
        </is>
      </c>
      <c r="F381" t="inlineStr">
        <is>
          <t>2026-06-03</t>
        </is>
      </c>
      <c r="G381" t="inlineStr">
        <is>
          <t xml:space="preserve"> - Road House</t>
        </is>
      </c>
      <c r="H381">
        <f>HYPERLINK("https://booking.roadsurfer.com/es/rally/pick?pickup_date=2026-05-27&amp;return_date=2026-06-03&amp;currency=EUR&amp;startStation=8&amp;endStation=37",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2026-06-17</t>
        </is>
      </c>
      <c r="F382" t="inlineStr">
        <is>
          <t>2026-06-24</t>
        </is>
      </c>
      <c r="G382" t="inlineStr">
        <is>
          <t xml:space="preserve"> - Surfer Suite - Travel Home</t>
        </is>
      </c>
      <c r="H382">
        <f>HYPERLINK("https://booking.roadsurfer.com/es/rally/pick?pickup_date=2026-06-17&amp;return_date=2026-06-24&amp;currency=EUR&amp;startStation=8&amp;endStation=15",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Camper Cabin</t>
        </is>
      </c>
      <c r="H383">
        <f>HYPERLINK("https://booking.roadsurfer.com/es/rally/pick?pickup_date=2026-05-06&amp;return_date=2026-05-13&amp;currency=EUR&amp;startStation=8&amp;endStation=15",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2026-06-08</t>
        </is>
      </c>
      <c r="F384" t="inlineStr">
        <is>
          <t>2026-06-15</t>
        </is>
      </c>
      <c r="G384" t="inlineStr"/>
      <c r="H384">
        <f>HYPERLINK("https://booking.roadsurfer.com/es/rally/pick?pickup_date=2026-06-08&amp;return_date=2026-06-15&amp;currency=EUR&amp;startStation=8&amp;endStation=36",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2026-05-16</t>
        </is>
      </c>
      <c r="F385" t="inlineStr">
        <is>
          <t>2026-05-23</t>
        </is>
      </c>
      <c r="G385" t="inlineStr">
        <is>
          <t xml:space="preserve"> - Camper Cabin</t>
        </is>
      </c>
      <c r="H385">
        <f>HYPERLINK("https://booking.roadsurfer.com/es/rally/pick?pickup_date=2026-05-16&amp;return_date=2026-05-23&amp;currency=EUR&amp;startStation=8&amp;endStation=36",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2026-06-10</t>
        </is>
      </c>
      <c r="F386" t="inlineStr">
        <is>
          <t>2026-06-17</t>
        </is>
      </c>
      <c r="G386" t="inlineStr">
        <is>
          <t xml:space="preserve"> - Surfer Suite</t>
        </is>
      </c>
      <c r="H386">
        <f>HYPERLINK("https://booking.roadsurfer.com/es/rally/pick?pickup_date=2026-06-10&amp;return_date=2026-06-17&amp;currency=EUR&amp;startStation=8&amp;endStation=36",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2026-05-05</t>
        </is>
      </c>
      <c r="F387" t="inlineStr">
        <is>
          <t>2026-05-12</t>
        </is>
      </c>
      <c r="G387" t="inlineStr">
        <is>
          <t xml:space="preserve"> - Road House</t>
        </is>
      </c>
      <c r="H387">
        <f>HYPERLINK("https://booking.roadsurfer.com/es/rally/pick?pickup_date=2026-05-05&amp;return_date=2026-05-12&amp;currency=EUR&amp;startStation=8&amp;endStation=128",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2026-05-06</t>
        </is>
      </c>
      <c r="F388" t="inlineStr">
        <is>
          <t>2026-05-13</t>
        </is>
      </c>
      <c r="G388" t="inlineStr">
        <is>
          <t xml:space="preserve"> - Beach Hostel</t>
        </is>
      </c>
      <c r="H388">
        <f>HYPERLINK("https://booking.roadsurfer.com/es/rally/pick?pickup_date=2026-05-06&amp;return_date=2026-05-13&amp;currency=EUR&amp;startStation=8&amp;endStation=128",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Francia</t>
        </is>
      </c>
      <c r="D389" t="inlineStr">
        <is>
          <t>Estrasburgo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No hay coche</t>
        </is>
      </c>
      <c r="H389">
        <f>HYPERLINK("https://booking.roadsurfer.com/es/rally/pick?pickup_date=2026-05-11&amp;return_date=2026-05-18&amp;currency=EUR&amp;startStation=8&amp;endStation=49",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2026-05-28</t>
        </is>
      </c>
      <c r="F390" t="inlineStr">
        <is>
          <t>2026-06-04</t>
        </is>
      </c>
      <c r="G390" t="inlineStr">
        <is>
          <t xml:space="preserve"> - Camper Cabin</t>
        </is>
      </c>
      <c r="H390">
        <f>HYPERLINK("https://booking.roadsurfer.com/es/rally/pick?pickup_date=2026-05-28&amp;return_date=2026-06-04&amp;currency=EUR&amp;startStation=8&amp;endStation=65",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2026-06-01</t>
        </is>
      </c>
      <c r="F391" t="inlineStr">
        <is>
          <t>2026-06-08</t>
        </is>
      </c>
      <c r="G391" t="inlineStr">
        <is>
          <t xml:space="preserve"> - Camper Castle</t>
        </is>
      </c>
      <c r="H391">
        <f>HYPERLINK("https://booking.roadsurfer.com/es/rally/pick?pickup_date=2026-06-01&amp;return_date=2026-06-08&amp;currency=EUR&amp;startStation=8&amp;endStation=94",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2026-05-12</t>
        </is>
      </c>
      <c r="F392" t="inlineStr">
        <is>
          <t>2026-05-19</t>
        </is>
      </c>
      <c r="G392" t="inlineStr">
        <is>
          <t xml:space="preserve"> - Family Finca</t>
        </is>
      </c>
      <c r="H392">
        <f>HYPERLINK("https://booking.roadsurfer.com/es/rally/pick?pickup_date=2026-05-12&amp;return_date=2026-05-19&amp;currency=EUR&amp;startStation=8&amp;endStation=45",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2026-06-02</t>
        </is>
      </c>
      <c r="F393" t="inlineStr">
        <is>
          <t>2026-06-09</t>
        </is>
      </c>
      <c r="G393" t="inlineStr">
        <is>
          <t xml:space="preserve"> - Family Finca</t>
        </is>
      </c>
      <c r="H393">
        <f>HYPERLINK("https://booking.roadsurfer.com/es/rally/pick?pickup_date=2026-06-02&amp;return_date=2026-06-09&amp;currency=EUR&amp;startStation=8&amp;endStation=20",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España</t>
        </is>
      </c>
      <c r="D394" t="inlineStr">
        <is>
          <t>Valencia</t>
        </is>
      </c>
      <c r="E394" t="inlineStr">
        <is>
          <t>2026-06-02</t>
        </is>
      </c>
      <c r="F394" t="inlineStr">
        <is>
          <t>2026-06-09</t>
        </is>
      </c>
      <c r="G394" t="inlineStr">
        <is>
          <t xml:space="preserve"> - Family Finca</t>
        </is>
      </c>
      <c r="H394">
        <f>HYPERLINK("https://booking.roadsurfer.com/es/rally/pick?pickup_date=2026-06-02&amp;return_date=2026-06-09&amp;currency=EUR&amp;startStation=8&amp;endStation=38",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Couple Cottage</t>
        </is>
      </c>
      <c r="H395">
        <f>HYPERLINK("https://booking.roadsurfer.com/es/rally/pick?pickup_date=2026-05-11&amp;return_date=2026-05-18&amp;currency=EUR&amp;startStation=8&amp;endStation=59",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2026-06-29</t>
        </is>
      </c>
      <c r="F396" t="inlineStr">
        <is>
          <t>2026-07-06</t>
        </is>
      </c>
      <c r="G396" t="inlineStr">
        <is>
          <t xml:space="preserve"> - Couple Cottage</t>
        </is>
      </c>
      <c r="H396">
        <f>HYPERLINK("https://booking.roadsurfer.com/es/rally/pick?pickup_date=2026-06-29&amp;return_date=2026-07-06&amp;currency=EUR&amp;startStation=8&amp;endStation=59",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2026-06-27</t>
        </is>
      </c>
      <c r="F397" t="inlineStr">
        <is>
          <t>2026-07-04</t>
        </is>
      </c>
      <c r="G397" t="inlineStr">
        <is>
          <t xml:space="preserve"> - Couple Cottage</t>
        </is>
      </c>
      <c r="H397">
        <f>HYPERLINK("https://booking.roadsurfer.com/es/rally/pick?pickup_date=2026-06-27&amp;return_date=2026-07-04&amp;currency=EUR&amp;startStation=8&amp;endStation=59",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2026-06-03</t>
        </is>
      </c>
      <c r="F398" t="inlineStr">
        <is>
          <t>2026-06-10</t>
        </is>
      </c>
      <c r="G398" t="inlineStr">
        <is>
          <t xml:space="preserve"> - Cozy Cottage - Sunrise Suite</t>
        </is>
      </c>
      <c r="H398">
        <f>HYPERLINK("https://booking.roadsurfer.com/es/rally/pick?pickup_date=2026-06-03&amp;return_date=2026-06-10&amp;currency=EUR&amp;startStation=8&amp;endStation=78",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2026-06-26</t>
        </is>
      </c>
      <c r="F399" t="inlineStr">
        <is>
          <t>2026-07-03</t>
        </is>
      </c>
      <c r="G399" t="inlineStr">
        <is>
          <t xml:space="preserve"> - Couple Cottage</t>
        </is>
      </c>
      <c r="H399">
        <f>HYPERLINK("https://booking.roadsurfer.com/es/rally/pick?pickup_date=2026-06-26&amp;return_date=2026-07-03&amp;currency=EUR&amp;startStation=8&amp;endStation=78",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Couple Cottage</t>
        </is>
      </c>
      <c r="H400">
        <f>HYPERLINK("https://booking.roadsurfer.com/es/rally/pick?pickup_date=2026-05-11&amp;return_date=2026-05-18&amp;currency=EUR&amp;startStation=8&amp;endStation=58", "Clic para verlo en la web de RoadSurfer")</f>
        <v/>
      </c>
    </row>
    <row r="401">
      <c r="A401" t="inlineStr">
        <is>
          <t>Francia</t>
        </is>
      </c>
      <c r="B401" t="inlineStr">
        <is>
          <t>Lille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HYPERLINK("https://booking.roadsurfer.com/es/rally/pick?pickup_date=2026-05-11&amp;return_date=2026-05-18&amp;currency=EUR&amp;startStation=87&amp;endStation=128", "Clic para verlo en la web de RoadSurfer")</f>
        <v/>
      </c>
    </row>
    <row r="402">
      <c r="A402" t="inlineStr">
        <is>
          <t>Francia</t>
        </is>
      </c>
      <c r="B402" t="inlineStr">
        <is>
          <t>Lille</t>
        </is>
      </c>
      <c r="C402" t="inlineStr">
        <is>
          <t>Alemania</t>
        </is>
      </c>
      <c r="D402" t="inlineStr">
        <is>
          <t>Braunschweig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No hay coche</t>
        </is>
      </c>
      <c r="H402">
        <f>HYPERLINK("https://booking.roadsurfer.com/es/rally/pick?pickup_date=2026-05-04&amp;return_date=2026-05-11&amp;currency=EUR&amp;startStation=87&amp;endStation=128", "Clic para verlo en la web de RoadSurfer")</f>
        <v/>
      </c>
    </row>
    <row r="403">
      <c r="A403" t="inlineStr">
        <is>
          <t>Francia</t>
        </is>
      </c>
      <c r="B403" t="inlineStr">
        <is>
          <t>Lille</t>
        </is>
      </c>
      <c r="C403" t="inlineStr">
        <is>
          <t>Alemania</t>
        </is>
      </c>
      <c r="D403" t="inlineStr">
        <is>
          <t>Duisburgo</t>
        </is>
      </c>
      <c r="E403" t="inlineStr">
        <is>
          <t>2026-06-22</t>
        </is>
      </c>
      <c r="F403" t="inlineStr">
        <is>
          <t>2026-06-29</t>
        </is>
      </c>
      <c r="G403" t="inlineStr">
        <is>
          <t xml:space="preserve"> - Cozy Cottage</t>
        </is>
      </c>
      <c r="H403">
        <f>HYPERLINK("https://booking.roadsurfer.com/es/rally/pick?pickup_date=2026-06-22&amp;return_date=2026-06-29&amp;currency=EUR&amp;startStation=87&amp;endStation=113",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2026-06-20</t>
        </is>
      </c>
      <c r="F404" t="inlineStr">
        <is>
          <t>2026-06-27</t>
        </is>
      </c>
      <c r="G404" t="inlineStr">
        <is>
          <t xml:space="preserve"> - Couple Cottage</t>
        </is>
      </c>
      <c r="H404">
        <f>HYPERLINK("https://booking.roadsurfer.com/es/rally/pick?pickup_date=2026-06-20&amp;return_date=2026-06-27&amp;currency=EUR&amp;startStation=117&amp;endStation=29",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2026-06-15</t>
        </is>
      </c>
      <c r="F405" t="inlineStr">
        <is>
          <t>2026-06-22</t>
        </is>
      </c>
      <c r="G405" t="inlineStr">
        <is>
          <t xml:space="preserve"> - Camper Cabin</t>
        </is>
      </c>
      <c r="H405">
        <f>HYPERLINK("https://booking.roadsurfer.com/es/rally/pick?pickup_date=2026-06-15&amp;return_date=2026-06-22&amp;currency=EUR&amp;startStation=117&amp;endStation=29",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2026-06-16</t>
        </is>
      </c>
      <c r="F406" t="inlineStr">
        <is>
          <t>2026-06-23</t>
        </is>
      </c>
      <c r="G406" t="inlineStr"/>
      <c r="H406">
        <f>HYPERLINK("https://booking.roadsurfer.com/es/rally/pick?pickup_date=2026-06-16&amp;return_date=2026-06-23&amp;currency=EUR&amp;startStation=117&amp;endStation=29",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Italia</t>
        </is>
      </c>
      <c r="D407" t="inlineStr">
        <is>
          <t>Roma Aeropuerto Fiumicino</t>
        </is>
      </c>
      <c r="E407" t="inlineStr">
        <is>
          <t>2026-06-15</t>
        </is>
      </c>
      <c r="F407" t="inlineStr">
        <is>
          <t>2026-06-22</t>
        </is>
      </c>
      <c r="G407" t="inlineStr">
        <is>
          <t xml:space="preserve"> - No hay coche</t>
        </is>
      </c>
      <c r="H407">
        <f>HYPERLINK("https://booking.roadsurfer.com/es/rally/pick?pickup_date=2026-06-15&amp;return_date=2026-06-22&amp;currency=EUR&amp;startStation=117&amp;endStation=35",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2026-06-27</t>
        </is>
      </c>
      <c r="F408" t="inlineStr">
        <is>
          <t>2026-07-04</t>
        </is>
      </c>
      <c r="G408" t="inlineStr">
        <is>
          <t xml:space="preserve"> - Couple Cottage</t>
        </is>
      </c>
      <c r="H408">
        <f>HYPERLINK("https://booking.roadsurfer.com/es/rally/pick?pickup_date=2026-06-27&amp;return_date=2026-07-04&amp;currency=EUR&amp;startStation=117&amp;endStation=35",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Francia</t>
        </is>
      </c>
      <c r="D409" t="inlineStr">
        <is>
          <t>Aix-Marsella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Camper Castle</t>
        </is>
      </c>
      <c r="H409">
        <f>HYPERLINK("https://booking.roadsurfer.com/es/rally/pick?pickup_date=2026-06-01&amp;return_date=2026-06-08&amp;currency=EUR&amp;startStation=117&amp;endStation=16",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2026-05-05</t>
        </is>
      </c>
      <c r="F410" t="inlineStr">
        <is>
          <t>2026-05-12</t>
        </is>
      </c>
      <c r="G410" t="inlineStr"/>
      <c r="H410">
        <f>HYPERLINK("https://booking.roadsurfer.com/es/rally/pick?pickup_date=2026-05-05&amp;return_date=2026-05-12&amp;currency=EUR&amp;startStation=117&amp;endStation=20",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2026-05-10</t>
        </is>
      </c>
      <c r="F411" t="inlineStr">
        <is>
          <t>2026-05-17</t>
        </is>
      </c>
      <c r="G411" t="inlineStr">
        <is>
          <t xml:space="preserve"> - No hay coche</t>
        </is>
      </c>
      <c r="H411">
        <f>HYPERLINK("https://booking.roadsurfer.com/es/rally/pick?pickup_date=2026-05-10&amp;return_date=2026-05-17&amp;currency=EUR&amp;startStation=117&amp;endStation=2",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2026-05-11</t>
        </is>
      </c>
      <c r="F412" t="inlineStr">
        <is>
          <t>2026-05-18</t>
        </is>
      </c>
      <c r="G412" t="inlineStr"/>
      <c r="H412">
        <f>HYPERLINK("https://booking.roadsurfer.com/es/rally/pick?pickup_date=2026-05-11&amp;return_date=2026-05-18&amp;currency=EUR&amp;startStation=117&amp;endStation=65",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Italia</t>
        </is>
      </c>
      <c r="D413" t="inlineStr">
        <is>
          <t>Venecia</t>
        </is>
      </c>
      <c r="E413" t="inlineStr">
        <is>
          <t>2026-05-16</t>
        </is>
      </c>
      <c r="F413" t="inlineStr">
        <is>
          <t>2026-05-23</t>
        </is>
      </c>
      <c r="G413" t="inlineStr">
        <is>
          <t xml:space="preserve"> - Cozy Cottage</t>
        </is>
      </c>
      <c r="H413">
        <f>HYPERLINK("https://booking.roadsurfer.com/es/rally/pick?pickup_date=2026-05-16&amp;return_date=2026-05-23&amp;currency=EUR&amp;startStation=109&amp;endStation=78",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2026-06-03</t>
        </is>
      </c>
      <c r="F414" t="inlineStr">
        <is>
          <t>2026-06-10</t>
        </is>
      </c>
      <c r="G414" t="inlineStr">
        <is>
          <t xml:space="preserve"> - Road House</t>
        </is>
      </c>
      <c r="H414">
        <f>HYPERLINK("https://booking.roadsurfer.com/es/rally/pick?pickup_date=2026-06-03&amp;return_date=2026-06-10&amp;currency=EUR&amp;startStation=109&amp;endStation=60",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2026-06-27</t>
        </is>
      </c>
      <c r="F415" t="inlineStr">
        <is>
          <t>2026-07-04</t>
        </is>
      </c>
      <c r="G415" t="inlineStr">
        <is>
          <t xml:space="preserve"> - Camper Castle</t>
        </is>
      </c>
      <c r="H415">
        <f>HYPERLINK("https://booking.roadsurfer.com/es/rally/pick?pickup_date=2026-06-27&amp;return_date=2026-07-04&amp;currency=EUR&amp;startStation=109&amp;endStation=60",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2026-05-21</t>
        </is>
      </c>
      <c r="F416" t="inlineStr">
        <is>
          <t>2026-05-28</t>
        </is>
      </c>
      <c r="G416" t="inlineStr">
        <is>
          <t xml:space="preserve"> - Beach Hostel</t>
        </is>
      </c>
      <c r="H416">
        <f>HYPERLINK("https://booking.roadsurfer.com/es/rally/pick?pickup_date=2026-05-21&amp;return_date=2026-05-28&amp;currency=EUR&amp;startStation=109&amp;endStation=60",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2026-06-01</t>
        </is>
      </c>
      <c r="F417" t="inlineStr">
        <is>
          <t>2026-06-08</t>
        </is>
      </c>
      <c r="G417" t="inlineStr"/>
      <c r="H417">
        <f>HYPERLINK("https://booking.roadsurfer.com/es/rally/pick?pickup_date=2026-06-01&amp;return_date=2026-06-08&amp;currency=EUR&amp;startStation=109&amp;endStation=59",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2026-05-08</t>
        </is>
      </c>
      <c r="F418" t="inlineStr">
        <is>
          <t>2026-05-15</t>
        </is>
      </c>
      <c r="G418" t="inlineStr">
        <is>
          <t xml:space="preserve"> - No hay coche</t>
        </is>
      </c>
      <c r="H418">
        <f>HYPERLINK("https://booking.roadsurfer.com/es/rally/pick?pickup_date=2026-05-08&amp;return_date=2026-05-15&amp;currency=EUR&amp;startStation=109&amp;endStation=77",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Surfer Suite</t>
        </is>
      </c>
      <c r="H419">
        <f>HYPERLINK("https://booking.roadsurfer.com/es/rally/pick?pickup_date=2026-05-02&amp;return_date=2026-05-09&amp;currency=EUR&amp;startStation=109&amp;endStation=40",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2026-05-11</t>
        </is>
      </c>
      <c r="F420" t="inlineStr">
        <is>
          <t>2026-05-18</t>
        </is>
      </c>
      <c r="G420" t="inlineStr"/>
      <c r="H420">
        <f>HYPERLINK("https://booking.roadsurfer.com/es/rally/pick?pickup_date=2026-05-11&amp;return_date=2026-05-18&amp;currency=EUR&amp;startStation=15&amp;endStation=8",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2026-05-08</t>
        </is>
      </c>
      <c r="F421" t="inlineStr">
        <is>
          <t>2026-05-15</t>
        </is>
      </c>
      <c r="G421" t="inlineStr"/>
      <c r="H421">
        <f>HYPERLINK("https://booking.roadsurfer.com/es/rally/pick?pickup_date=2026-05-08&amp;return_date=2026-05-15&amp;currency=EUR&amp;startStation=15&amp;endStation=90",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2026-05-07</t>
        </is>
      </c>
      <c r="F422" t="inlineStr">
        <is>
          <t>2026-05-14</t>
        </is>
      </c>
      <c r="G422" t="inlineStr">
        <is>
          <t xml:space="preserve"> - No hay coche</t>
        </is>
      </c>
      <c r="H422">
        <f>HYPERLINK("https://booking.roadsurfer.com/es/rally/pick?pickup_date=2026-05-07&amp;return_date=2026-05-14&amp;currency=EUR&amp;startStation=15&amp;endStation=90",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2026-05-11</t>
        </is>
      </c>
      <c r="F423" t="inlineStr">
        <is>
          <t>2026-05-18</t>
        </is>
      </c>
      <c r="G423" t="inlineStr"/>
      <c r="H423">
        <f>HYPERLINK("https://booking.roadsurfer.com/es/rally/pick?pickup_date=2026-05-11&amp;return_date=2026-05-18&amp;currency=EUR&amp;startStation=15&amp;endStation=4",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2026-05-15</t>
        </is>
      </c>
      <c r="F424" t="inlineStr">
        <is>
          <t>2026-05-22</t>
        </is>
      </c>
      <c r="G424" t="inlineStr"/>
      <c r="H424">
        <f>HYPERLINK("https://booking.roadsurfer.com/es/rally/pick?pickup_date=2026-05-15&amp;return_date=2026-05-22&amp;currency=EUR&amp;startStation=15&amp;endStation=4",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Family Finca</t>
        </is>
      </c>
      <c r="H425">
        <f>HYPERLINK("https://booking.roadsurfer.com/es/rally/pick?pickup_date=2026-05-04&amp;return_date=2026-05-11&amp;currency=EUR&amp;startStation=15&amp;endStation=55",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2026-05-14</t>
        </is>
      </c>
      <c r="F426" t="inlineStr">
        <is>
          <t>2026-05-21</t>
        </is>
      </c>
      <c r="G426" t="inlineStr">
        <is>
          <t xml:space="preserve"> - Surfer Suite</t>
        </is>
      </c>
      <c r="H426">
        <f>HYPERLINK("https://booking.roadsurfer.com/es/rally/pick?pickup_date=2026-05-14&amp;return_date=2026-05-21&amp;currency=EUR&amp;startStation=20&amp;endStation=11",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2026-06-08</t>
        </is>
      </c>
      <c r="F427" t="inlineStr">
        <is>
          <t>2026-06-15</t>
        </is>
      </c>
      <c r="G427" t="inlineStr">
        <is>
          <t xml:space="preserve"> - Couple Cottage</t>
        </is>
      </c>
      <c r="H427">
        <f>HYPERLINK("https://booking.roadsurfer.com/es/rally/pick?pickup_date=2026-06-08&amp;return_date=2026-06-15&amp;currency=EUR&amp;startStation=20&amp;endStation=11",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2026-05-06</t>
        </is>
      </c>
      <c r="F428" t="inlineStr">
        <is>
          <t>2026-05-13</t>
        </is>
      </c>
      <c r="G428" t="inlineStr"/>
      <c r="H428">
        <f>HYPERLINK("https://booking.roadsurfer.com/es/rally/pick?pickup_date=2026-05-06&amp;return_date=2026-05-13&amp;currency=EUR&amp;startStation=20&amp;endStation=5",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Stuttgart</t>
        </is>
      </c>
      <c r="E429" t="inlineStr">
        <is>
          <t>2026-05-08</t>
        </is>
      </c>
      <c r="F429" t="inlineStr">
        <is>
          <t>2026-05-15</t>
        </is>
      </c>
      <c r="G429" t="inlineStr">
        <is>
          <t xml:space="preserve"> - Surfer Suite - Road House</t>
        </is>
      </c>
      <c r="H429">
        <f>HYPERLINK("https://booking.roadsurfer.com/es/rally/pick?pickup_date=2026-05-08&amp;return_date=2026-05-15&amp;currency=EUR&amp;startStation=20&amp;endStation=5",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2026-05-11</t>
        </is>
      </c>
      <c r="F430" t="inlineStr">
        <is>
          <t>2026-05-18</t>
        </is>
      </c>
      <c r="G430" t="inlineStr"/>
      <c r="H430">
        <f>HYPERLINK("https://booking.roadsurfer.com/es/rally/pick?pickup_date=2026-05-11&amp;return_date=2026-05-18&amp;currency=EUR&amp;startStation=20&amp;endStation=54",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No hay coche</t>
        </is>
      </c>
      <c r="H431">
        <f>HYPERLINK("https://booking.roadsurfer.com/es/rally/pick?pickup_date=2026-05-15&amp;return_date=2026-05-22&amp;currency=EUR&amp;startStation=20&amp;endStation=54",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Heidelberg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HYPERLINK("https://booking.roadsurfer.com/es/rally/pick?pickup_date=2026-05-11&amp;return_date=2026-05-18&amp;currency=EUR&amp;startStation=20&amp;endStation=79",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Wurzburgo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No hay coche</t>
        </is>
      </c>
      <c r="H433">
        <f>HYPERLINK("https://booking.roadsurfer.com/es/rally/pick?pickup_date=2026-05-15&amp;return_date=2026-05-22&amp;currency=EUR&amp;startStation=20&amp;endStation=115",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Wurzburgo</t>
        </is>
      </c>
      <c r="E434" t="inlineStr">
        <is>
          <t>2026-06-01</t>
        </is>
      </c>
      <c r="F434" t="inlineStr">
        <is>
          <t>2026-06-08</t>
        </is>
      </c>
      <c r="G434" t="inlineStr"/>
      <c r="H434">
        <f>HYPERLINK("https://booking.roadsurfer.com/es/rally/pick?pickup_date=2026-06-01&amp;return_date=2026-06-08&amp;currency=EUR&amp;startStation=20&amp;endStation=115",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2026-05-25</t>
        </is>
      </c>
      <c r="F435" t="inlineStr">
        <is>
          <t>2026-06-01</t>
        </is>
      </c>
      <c r="G435" t="inlineStr">
        <is>
          <t xml:space="preserve"> - Family Finca</t>
        </is>
      </c>
      <c r="H435">
        <f>HYPERLINK("https://booking.roadsurfer.com/es/rally/pick?pickup_date=2026-05-25&amp;return_date=2026-06-01&amp;currency=EUR&amp;startStation=20&amp;endStation=8",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2026-05-05</t>
        </is>
      </c>
      <c r="F436" t="inlineStr">
        <is>
          <t>2026-05-12</t>
        </is>
      </c>
      <c r="G436" t="inlineStr">
        <is>
          <t xml:space="preserve"> - Family Finca</t>
        </is>
      </c>
      <c r="H436">
        <f>HYPERLINK("https://booking.roadsurfer.com/es/rally/pick?pickup_date=2026-05-05&amp;return_date=2026-05-12&amp;currency=EUR&amp;startStation=20&amp;endStation=8",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2026-05-13</t>
        </is>
      </c>
      <c r="F437" t="inlineStr">
        <is>
          <t>2026-05-20</t>
        </is>
      </c>
      <c r="G437" t="inlineStr">
        <is>
          <t xml:space="preserve"> - Sunrise Suite</t>
        </is>
      </c>
      <c r="H437">
        <f>HYPERLINK("https://booking.roadsurfer.com/es/rally/pick?pickup_date=2026-05-13&amp;return_date=2026-05-20&amp;currency=EUR&amp;startStation=20&amp;endStation=110",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HYPERLINK("https://booking.roadsurfer.com/es/rally/pick?pickup_date=2026-05-15&amp;return_date=2026-05-22&amp;currency=EUR&amp;startStation=20&amp;endStation=110", "Clic para verlo en la web de RoadSurfer")</f>
        <v/>
      </c>
    </row>
    <row r="439">
      <c r="A439" t="inlineStr">
        <is>
          <t>Alemania</t>
        </is>
      </c>
      <c r="B439" t="inlineStr">
        <is>
          <t>Maguncia</t>
        </is>
      </c>
      <c r="C439" t="inlineStr">
        <is>
          <t>Suecia</t>
        </is>
      </c>
      <c r="D439" t="inlineStr">
        <is>
          <t>Estocolmo</t>
        </is>
      </c>
      <c r="E439" t="inlineStr">
        <is>
          <t>2026-05-08</t>
        </is>
      </c>
      <c r="F439" t="inlineStr">
        <is>
          <t>2026-05-15</t>
        </is>
      </c>
      <c r="G439" t="inlineStr"/>
      <c r="H439">
        <f>HYPERLINK("https://booking.roadsurfer.com/es/rally/pick?pickup_date=2026-05-08&amp;return_date=2026-05-15&amp;currency=EUR&amp;startStation=54&amp;endStation=59", "Clic para verlo en la web de RoadSurfer")</f>
        <v/>
      </c>
    </row>
    <row r="440">
      <c r="A440" t="inlineStr">
        <is>
          <t>Alemania</t>
        </is>
      </c>
      <c r="B440" t="inlineStr">
        <is>
          <t>Maguncia</t>
        </is>
      </c>
      <c r="C440" t="inlineStr">
        <is>
          <t>España</t>
        </is>
      </c>
      <c r="D440" t="inlineStr">
        <is>
          <t>Madrid</t>
        </is>
      </c>
      <c r="E440" t="inlineStr">
        <is>
          <t>2026-06-08</t>
        </is>
      </c>
      <c r="F440" t="inlineStr">
        <is>
          <t>2026-06-15</t>
        </is>
      </c>
      <c r="G440" t="inlineStr">
        <is>
          <t xml:space="preserve"> - Camper Castle</t>
        </is>
      </c>
      <c r="H440">
        <f>HYPERLINK("https://booking.roadsurfer.com/es/rally/pick?pickup_date=2026-06-08&amp;return_date=2026-06-15&amp;currency=EUR&amp;startStation=54&amp;endStation=20", "Clic para verlo en la web de RoadSurfer")</f>
        <v/>
      </c>
    </row>
    <row r="441">
      <c r="A441" t="inlineStr">
        <is>
          <t>Alemania</t>
        </is>
      </c>
      <c r="B441" t="inlineStr">
        <is>
          <t>Maguncia</t>
        </is>
      </c>
      <c r="C441" t="inlineStr">
        <is>
          <t>España</t>
        </is>
      </c>
      <c r="D441" t="inlineStr">
        <is>
          <t>Madrid</t>
        </is>
      </c>
      <c r="E441" t="inlineStr">
        <is>
          <t>2026-06-30</t>
        </is>
      </c>
      <c r="F441" t="inlineStr">
        <is>
          <t>2026-07-07</t>
        </is>
      </c>
      <c r="G441" t="inlineStr">
        <is>
          <t xml:space="preserve"> - Family Finca</t>
        </is>
      </c>
      <c r="H441">
        <f>HYPERLINK("https://booking.roadsurfer.com/es/rally/pick?pickup_date=2026-06-30&amp;return_date=2026-07-07&amp;currency=EUR&amp;startStation=54&amp;endStation=20", "Clic para verlo en la web de RoadSurfer")</f>
        <v/>
      </c>
    </row>
    <row r="442">
      <c r="A442" t="inlineStr">
        <is>
          <t>Alemania</t>
        </is>
      </c>
      <c r="B442" t="inlineStr">
        <is>
          <t>Maguncia</t>
        </is>
      </c>
      <c r="C442" t="inlineStr">
        <is>
          <t>España</t>
        </is>
      </c>
      <c r="D442" t="inlineStr">
        <is>
          <t>Málaga</t>
        </is>
      </c>
      <c r="E442" t="inlineStr">
        <is>
          <t>2026-06-09</t>
        </is>
      </c>
      <c r="F442" t="inlineStr">
        <is>
          <t>2026-06-16</t>
        </is>
      </c>
      <c r="G442" t="inlineStr"/>
      <c r="H442">
        <f>HYPERLINK("https://booking.roadsurfer.com/es/rally/pick?pickup_date=2026-06-09&amp;return_date=2026-06-16&amp;currency=EUR&amp;startStation=54&amp;endStation=21", "Clic para verlo en la web de RoadSurfer")</f>
        <v/>
      </c>
    </row>
    <row r="443">
      <c r="A443" t="inlineStr">
        <is>
          <t>España</t>
        </is>
      </c>
      <c r="B443" t="inlineStr">
        <is>
          <t>Málaga</t>
        </is>
      </c>
      <c r="C443" t="inlineStr">
        <is>
          <t>Alemania</t>
        </is>
      </c>
      <c r="D443" t="inlineStr">
        <is>
          <t>Friburgo-Basilea (Alemania)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Surfer Suite</t>
        </is>
      </c>
      <c r="H443">
        <f>HYPERLINK("https://booking.roadsurfer.com/es/rally/pick?pickup_date=2026-05-04&amp;return_date=2026-05-11&amp;currency=EUR&amp;startStation=21&amp;endStation=9", "Clic para verlo en la web de RoadSurfer")</f>
        <v/>
      </c>
    </row>
    <row r="444">
      <c r="A444" t="inlineStr">
        <is>
          <t>España</t>
        </is>
      </c>
      <c r="B444" t="inlineStr">
        <is>
          <t>Málaga</t>
        </is>
      </c>
      <c r="C444" t="inlineStr">
        <is>
          <t>Alemania</t>
        </is>
      </c>
      <c r="D444" t="inlineStr">
        <is>
          <t>Ulm</t>
        </is>
      </c>
      <c r="E444" t="inlineStr">
        <is>
          <t>2026-05-08</t>
        </is>
      </c>
      <c r="F444" t="inlineStr">
        <is>
          <t>2026-05-15</t>
        </is>
      </c>
      <c r="G444" t="inlineStr">
        <is>
          <t xml:space="preserve"> - Surfer Suite</t>
        </is>
      </c>
      <c r="H444">
        <f>HYPERLINK("https://booking.roadsurfer.com/es/rally/pick?pickup_date=2026-05-08&amp;return_date=2026-05-15&amp;currency=EUR&amp;startStation=21&amp;endStation=112", "Clic para verlo en la web de RoadSurfer")</f>
        <v/>
      </c>
    </row>
    <row r="445">
      <c r="A445" t="inlineStr">
        <is>
          <t>España</t>
        </is>
      </c>
      <c r="B445" t="inlineStr">
        <is>
          <t>Málaga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2026-05-14</t>
        </is>
      </c>
      <c r="F445" t="inlineStr">
        <is>
          <t>2026-05-21</t>
        </is>
      </c>
      <c r="G445" t="inlineStr">
        <is>
          <t xml:space="preserve"> - Road House</t>
        </is>
      </c>
      <c r="H445">
        <f>HYPERLINK("https://booking.roadsurfer.com/es/rally/pick?pickup_date=2026-05-14&amp;return_date=2026-05-21&amp;currency=EUR&amp;startStation=21&amp;endStation=54", "Clic para verlo en la web de RoadSurfer")</f>
        <v/>
      </c>
    </row>
    <row r="446">
      <c r="A446" t="inlineStr">
        <is>
          <t>España</t>
        </is>
      </c>
      <c r="B446" t="inlineStr">
        <is>
          <t>Málaga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2026-05-16</t>
        </is>
      </c>
      <c r="F446" t="inlineStr">
        <is>
          <t>2026-05-23</t>
        </is>
      </c>
      <c r="G446" t="inlineStr">
        <is>
          <t xml:space="preserve"> - No hay coche</t>
        </is>
      </c>
      <c r="H446">
        <f>HYPERLINK("https://booking.roadsurfer.com/es/rally/pick?pickup_date=2026-05-16&amp;return_date=2026-05-23&amp;currency=EUR&amp;startStation=21&amp;endStation=1", "Clic para verlo en la web de RoadSurfer")</f>
        <v/>
      </c>
    </row>
    <row r="447">
      <c r="A447" t="inlineStr">
        <is>
          <t>España</t>
        </is>
      </c>
      <c r="B447" t="inlineStr">
        <is>
          <t>Málaga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2026-05-25</t>
        </is>
      </c>
      <c r="F447" t="inlineStr">
        <is>
          <t>2026-06-01</t>
        </is>
      </c>
      <c r="G447" t="inlineStr">
        <is>
          <t xml:space="preserve"> - Couple Cottage</t>
        </is>
      </c>
      <c r="H447">
        <f>HYPERLINK("https://booking.roadsurfer.com/es/rally/pick?pickup_date=2026-05-25&amp;return_date=2026-06-01&amp;currency=EUR&amp;startStation=21&amp;endStation=1",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Bremen</t>
        </is>
      </c>
      <c r="E448" t="inlineStr">
        <is>
          <t>2026-05-09</t>
        </is>
      </c>
      <c r="F448" t="inlineStr">
        <is>
          <t>2026-05-16</t>
        </is>
      </c>
      <c r="G448" t="inlineStr">
        <is>
          <t xml:space="preserve"> - Surfer Suite</t>
        </is>
      </c>
      <c r="H448">
        <f>HYPERLINK("https://booking.roadsurfer.com/es/rally/pick?pickup_date=2026-05-09&amp;return_date=2026-05-16&amp;currency=EUR&amp;startStation=60&amp;endStation=55",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Surfer Suite</t>
        </is>
      </c>
      <c r="H449">
        <f>HYPERLINK("https://booking.roadsurfer.com/es/rally/pick?pickup_date=2026-05-06&amp;return_date=2026-05-13&amp;currency=EUR&amp;startStation=60&amp;endStation=54",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2026-05-05</t>
        </is>
      </c>
      <c r="F450" t="inlineStr">
        <is>
          <t>2026-05-12</t>
        </is>
      </c>
      <c r="G450" t="inlineStr">
        <is>
          <t xml:space="preserve"> - Family Finca</t>
        </is>
      </c>
      <c r="H450">
        <f>HYPERLINK("https://booking.roadsurfer.com/es/rally/pick?pickup_date=2026-05-05&amp;return_date=2026-05-12&amp;currency=EUR&amp;startStation=60&amp;endStation=91",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Bielefeld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No hay coche</t>
        </is>
      </c>
      <c r="H451">
        <f>HYPERLINK("https://booking.roadsurfer.com/es/rally/pick?pickup_date=2026-05-07&amp;return_date=2026-05-14&amp;currency=EUR&amp;startStation=60&amp;endStation=91",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Flensburgo</t>
        </is>
      </c>
      <c r="E452" t="inlineStr">
        <is>
          <t>2026-05-16</t>
        </is>
      </c>
      <c r="F452" t="inlineStr">
        <is>
          <t>2026-05-23</t>
        </is>
      </c>
      <c r="G452" t="inlineStr">
        <is>
          <t xml:space="preserve"> - Camper Castle</t>
        </is>
      </c>
      <c r="H452">
        <f>HYPERLINK("https://booking.roadsurfer.com/es/rally/pick?pickup_date=2026-05-16&amp;return_date=2026-05-23&amp;currency=EUR&amp;startStation=60&amp;endStation=130",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Flensburgo</t>
        </is>
      </c>
      <c r="E453" t="inlineStr">
        <is>
          <t>2026-05-11</t>
        </is>
      </c>
      <c r="F453" t="inlineStr">
        <is>
          <t>2026-05-18</t>
        </is>
      </c>
      <c r="G453" t="inlineStr"/>
      <c r="H453">
        <f>HYPERLINK("https://booking.roadsurfer.com/es/rally/pick?pickup_date=2026-05-11&amp;return_date=2026-05-18&amp;currency=EUR&amp;startStation=60&amp;endStation=130",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2026-05-02</t>
        </is>
      </c>
      <c r="F454" t="inlineStr">
        <is>
          <t>2026-05-09</t>
        </is>
      </c>
      <c r="G454" t="inlineStr">
        <is>
          <t xml:space="preserve"> - Camper Castle</t>
        </is>
      </c>
      <c r="H454">
        <f>HYPERLINK("https://booking.roadsurfer.com/es/rally/pick?pickup_date=2026-05-02&amp;return_date=2026-05-09&amp;currency=EUR&amp;startStation=60&amp;endStation=5",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Kiel</t>
        </is>
      </c>
      <c r="E455" t="inlineStr">
        <is>
          <t>2026-05-04</t>
        </is>
      </c>
      <c r="F455" t="inlineStr">
        <is>
          <t>2026-05-10</t>
        </is>
      </c>
      <c r="G455" t="inlineStr"/>
      <c r="H455">
        <f>HYPERLINK("https://booking.roadsurfer.com/es/rally/pick?pickup_date=2026-05-04&amp;return_date=2026-05-10&amp;currency=EUR&amp;startStation=60&amp;endStation=111",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2026-05-05</t>
        </is>
      </c>
      <c r="F456" t="inlineStr">
        <is>
          <t>2026-05-12</t>
        </is>
      </c>
      <c r="G456" t="inlineStr"/>
      <c r="H456">
        <f>HYPERLINK("https://booking.roadsurfer.com/es/rally/pick?pickup_date=2026-05-05&amp;return_date=2026-05-12&amp;currency=EUR&amp;startStation=22&amp;endStation=12",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París Sur (Orly)</t>
        </is>
      </c>
      <c r="E457" t="inlineStr">
        <is>
          <t>2026-05-07</t>
        </is>
      </c>
      <c r="F457" t="inlineStr">
        <is>
          <t>2026-05-14</t>
        </is>
      </c>
      <c r="G457" t="inlineStr"/>
      <c r="H457">
        <f>HYPERLINK("https://booking.roadsurfer.com/es/rally/pick?pickup_date=2026-05-07&amp;return_date=2026-05-14&amp;currency=EUR&amp;startStation=22&amp;endStation=12",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Camper Cabin</t>
        </is>
      </c>
      <c r="H458">
        <f>HYPERLINK("https://booking.roadsurfer.com/es/rally/pick?pickup_date=2026-05-06&amp;return_date=2026-05-13&amp;currency=EUR&amp;startStation=22&amp;endStation=12",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Austria</t>
        </is>
      </c>
      <c r="D459" t="inlineStr">
        <is>
          <t>Linz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No hay coche</t>
        </is>
      </c>
      <c r="H459">
        <f>HYPERLINK("https://booking.roadsurfer.com/es/rally/pick?pickup_date=2026-05-07&amp;return_date=2026-05-14&amp;currency=EUR&amp;startStation=22&amp;endStation=116",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Alemania</t>
        </is>
      </c>
      <c r="D460" t="inlineStr">
        <is>
          <t>Flensburgo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Surfer Suite</t>
        </is>
      </c>
      <c r="H460">
        <f>HYPERLINK("https://booking.roadsurfer.com/es/rally/pick?pickup_date=2026-05-11&amp;return_date=2026-05-18&amp;currency=EUR&amp;startStation=22&amp;endStation=130",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2026-05-05</t>
        </is>
      </c>
      <c r="F461" t="inlineStr">
        <is>
          <t>2026-05-12</t>
        </is>
      </c>
      <c r="G461" t="inlineStr">
        <is>
          <t xml:space="preserve"> - Surfer Suite - Couple Cottage</t>
        </is>
      </c>
      <c r="H461">
        <f>HYPERLINK("https://booking.roadsurfer.com/es/rally/pick?pickup_date=2026-05-05&amp;return_date=2026-05-12&amp;currency=EUR&amp;startStation=22&amp;endStation=59",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Beach Hostel</t>
        </is>
      </c>
      <c r="H462">
        <f>HYPERLINK("https://booking.roadsurfer.com/es/rally/pick?pickup_date=2026-05-11&amp;return_date=2026-05-18&amp;currency=EUR&amp;startStation=22&amp;endStation=59",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2026-06-22</t>
        </is>
      </c>
      <c r="F463" t="inlineStr">
        <is>
          <t>2026-06-29</t>
        </is>
      </c>
      <c r="G463" t="inlineStr">
        <is>
          <t xml:space="preserve"> - Beach Hostel</t>
        </is>
      </c>
      <c r="H463">
        <f>HYPERLINK("https://booking.roadsurfer.com/es/rally/pick?pickup_date=2026-06-22&amp;return_date=2026-06-29&amp;currency=EUR&amp;startStation=22&amp;endStation=59",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2026-05-09</t>
        </is>
      </c>
      <c r="F464" t="inlineStr">
        <is>
          <t>2026-05-16</t>
        </is>
      </c>
      <c r="G464" t="inlineStr">
        <is>
          <t xml:space="preserve"> - No hay coche</t>
        </is>
      </c>
      <c r="H464">
        <f>HYPERLINK("https://booking.roadsurfer.com/es/rally/pick?pickup_date=2026-05-09&amp;return_date=2026-05-16&amp;currency=EUR&amp;startStation=22&amp;endStation=59",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2026-05-07</t>
        </is>
      </c>
      <c r="F465" t="inlineStr">
        <is>
          <t>2026-05-14</t>
        </is>
      </c>
      <c r="G465" t="inlineStr">
        <is>
          <t xml:space="preserve"> - No hay coche</t>
        </is>
      </c>
      <c r="H465">
        <f>HYPERLINK("https://booking.roadsurfer.com/es/rally/pick?pickup_date=2026-05-07&amp;return_date=2026-05-14&amp;currency=EUR&amp;startStation=22&amp;endStation=59",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2026-05-14</t>
        </is>
      </c>
      <c r="F466" t="inlineStr">
        <is>
          <t>2026-05-21</t>
        </is>
      </c>
      <c r="G466" t="inlineStr">
        <is>
          <t xml:space="preserve"> - Camper Castle</t>
        </is>
      </c>
      <c r="H466">
        <f>HYPERLINK("https://booking.roadsurfer.com/es/rally/pick?pickup_date=2026-05-14&amp;return_date=2026-05-21&amp;currency=EUR&amp;startStation=22&amp;endStation=59",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2026-06-04</t>
        </is>
      </c>
      <c r="F467" t="inlineStr">
        <is>
          <t>2026-06-11</t>
        </is>
      </c>
      <c r="G467" t="inlineStr">
        <is>
          <t xml:space="preserve"> - Camper Castle</t>
        </is>
      </c>
      <c r="H467">
        <f>HYPERLINK("https://booking.roadsurfer.com/es/rally/pick?pickup_date=2026-06-04&amp;return_date=2026-06-11&amp;currency=EUR&amp;startStation=22&amp;endStation=59",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2026-05-16</t>
        </is>
      </c>
      <c r="F468" t="inlineStr">
        <is>
          <t>2026-05-23</t>
        </is>
      </c>
      <c r="G468" t="inlineStr">
        <is>
          <t xml:space="preserve"> - No hay coche</t>
        </is>
      </c>
      <c r="H468">
        <f>HYPERLINK("https://booking.roadsurfer.com/es/rally/pick?pickup_date=2026-05-16&amp;return_date=2026-05-23&amp;currency=EUR&amp;startStation=22&amp;endStation=59",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Couple Cottage</t>
        </is>
      </c>
      <c r="H469">
        <f>HYPERLINK("https://booking.roadsurfer.com/es/rally/pick?pickup_date=2026-05-15&amp;return_date=2026-05-22&amp;currency=EUR&amp;startStation=22&amp;endStation=59",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2026-05-05</t>
        </is>
      </c>
      <c r="F470" t="inlineStr">
        <is>
          <t>2026-05-12</t>
        </is>
      </c>
      <c r="G470" t="inlineStr">
        <is>
          <t xml:space="preserve"> - Surfer Suite</t>
        </is>
      </c>
      <c r="H470">
        <f>HYPERLINK("https://booking.roadsurfer.com/es/rally/pick?pickup_date=2026-05-05&amp;return_date=2026-05-12&amp;currency=EUR&amp;startStation=22&amp;endStation=29",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HYPERLINK("https://booking.roadsurfer.com/es/rally/pick?pickup_date=2026-05-11&amp;return_date=2026-05-18&amp;currency=EUR&amp;startStation=22&amp;endStation=29",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2026-05-06</t>
        </is>
      </c>
      <c r="F472" t="inlineStr">
        <is>
          <t>2026-05-13</t>
        </is>
      </c>
      <c r="G472" t="inlineStr">
        <is>
          <t xml:space="preserve"> - No hay coche</t>
        </is>
      </c>
      <c r="H472">
        <f>HYPERLINK("https://booking.roadsurfer.com/es/rally/pick?pickup_date=2026-05-06&amp;return_date=2026-05-13&amp;currency=EUR&amp;startStation=22&amp;endStation=29",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2026-06-03</t>
        </is>
      </c>
      <c r="F473" t="inlineStr">
        <is>
          <t>2026-06-10</t>
        </is>
      </c>
      <c r="G473" t="inlineStr">
        <is>
          <t xml:space="preserve"> - Travel Home</t>
        </is>
      </c>
      <c r="H473">
        <f>HYPERLINK("https://booking.roadsurfer.com/es/rally/pick?pickup_date=2026-06-03&amp;return_date=2026-06-10&amp;currency=EUR&amp;startStation=22&amp;endStation=29",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2026-05-15</t>
        </is>
      </c>
      <c r="F474" t="inlineStr">
        <is>
          <t>2026-05-22</t>
        </is>
      </c>
      <c r="G474" t="inlineStr">
        <is>
          <t xml:space="preserve"> - Couple Cottage</t>
        </is>
      </c>
      <c r="H474">
        <f>HYPERLINK("https://booking.roadsurfer.com/es/rally/pick?pickup_date=2026-05-15&amp;return_date=2026-05-22&amp;currency=EUR&amp;startStation=22&amp;endStation=29",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Ginebra-Pays de Gex (Francia)</t>
        </is>
      </c>
      <c r="E475" t="inlineStr">
        <is>
          <t>2026-05-07</t>
        </is>
      </c>
      <c r="F475" t="inlineStr">
        <is>
          <t>2026-05-14</t>
        </is>
      </c>
      <c r="G475" t="inlineStr">
        <is>
          <t xml:space="preserve"> - No hay coche</t>
        </is>
      </c>
      <c r="H475">
        <f>HYPERLINK("https://booking.roadsurfer.com/es/rally/pick?pickup_date=2026-05-07&amp;return_date=2026-05-14&amp;currency=EUR&amp;startStation=22&amp;endStation=29",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2026-06-12</t>
        </is>
      </c>
      <c r="F476" t="inlineStr">
        <is>
          <t>2026-06-19</t>
        </is>
      </c>
      <c r="G476" t="inlineStr">
        <is>
          <t xml:space="preserve"> - Sunrise Suite</t>
        </is>
      </c>
      <c r="H476">
        <f>HYPERLINK("https://booking.roadsurfer.com/es/rally/pick?pickup_date=2026-06-12&amp;return_date=2026-06-19&amp;currency=EUR&amp;startStation=22&amp;endStation=29",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2026-05-15</t>
        </is>
      </c>
      <c r="F477" t="inlineStr">
        <is>
          <t>2026-05-22</t>
        </is>
      </c>
      <c r="G477" t="inlineStr">
        <is>
          <t xml:space="preserve"> - No hay coche</t>
        </is>
      </c>
      <c r="H477">
        <f>HYPERLINK("https://booking.roadsurfer.com/es/rally/pick?pickup_date=2026-05-15&amp;return_date=2026-05-22&amp;currency=EUR&amp;startStation=22&amp;endStation=31",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Nantes</t>
        </is>
      </c>
      <c r="E478" t="inlineStr">
        <is>
          <t>2026-05-06</t>
        </is>
      </c>
      <c r="F478" t="inlineStr">
        <is>
          <t>2026-05-13</t>
        </is>
      </c>
      <c r="G478" t="inlineStr">
        <is>
          <t xml:space="preserve"> - Surfer Suite</t>
        </is>
      </c>
      <c r="H478">
        <f>HYPERLINK("https://booking.roadsurfer.com/es/rally/pick?pickup_date=2026-05-06&amp;return_date=2026-05-13&amp;currency=EUR&amp;startStation=22&amp;endStation=31",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Nantes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No hay coche</t>
        </is>
      </c>
      <c r="H479">
        <f>HYPERLINK("https://booking.roadsurfer.com/es/rally/pick?pickup_date=2026-05-02&amp;return_date=2026-05-09&amp;currency=EUR&amp;startStation=22&amp;endStation=31",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Nantes</t>
        </is>
      </c>
      <c r="E480" t="inlineStr">
        <is>
          <t>2026-05-05</t>
        </is>
      </c>
      <c r="F480" t="inlineStr">
        <is>
          <t>2026-05-12</t>
        </is>
      </c>
      <c r="G480" t="inlineStr">
        <is>
          <t xml:space="preserve"> - Surfer Suite</t>
        </is>
      </c>
      <c r="H480">
        <f>HYPERLINK("https://booking.roadsurfer.com/es/rally/pick?pickup_date=2026-05-05&amp;return_date=2026-05-12&amp;currency=EUR&amp;startStation=22&amp;endStation=31",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Nantes</t>
        </is>
      </c>
      <c r="E481" t="inlineStr">
        <is>
          <t>2026-05-09</t>
        </is>
      </c>
      <c r="F481" t="inlineStr">
        <is>
          <t>2026-05-16</t>
        </is>
      </c>
      <c r="G481" t="inlineStr">
        <is>
          <t xml:space="preserve"> - No hay coche</t>
        </is>
      </c>
      <c r="H481">
        <f>HYPERLINK("https://booking.roadsurfer.com/es/rally/pick?pickup_date=2026-05-09&amp;return_date=2026-05-16&amp;currency=EUR&amp;startStation=22&amp;endStation=31",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2026-05-07</t>
        </is>
      </c>
      <c r="F482" t="inlineStr">
        <is>
          <t>2026-05-14</t>
        </is>
      </c>
      <c r="G482" t="inlineStr">
        <is>
          <t xml:space="preserve"> - No hay coche</t>
        </is>
      </c>
      <c r="H482">
        <f>HYPERLINK("https://booking.roadsurfer.com/es/rally/pick?pickup_date=2026-05-07&amp;return_date=2026-05-14&amp;currency=EUR&amp;startStation=22&amp;endStation=31",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2026-06-11</t>
        </is>
      </c>
      <c r="F483" t="inlineStr">
        <is>
          <t>2026-06-18</t>
        </is>
      </c>
      <c r="G483" t="inlineStr"/>
      <c r="H483">
        <f>HYPERLINK("https://booking.roadsurfer.com/es/rally/pick?pickup_date=2026-06-11&amp;return_date=2026-06-18&amp;currency=EUR&amp;startStation=22&amp;endStation=31",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2026-06-03</t>
        </is>
      </c>
      <c r="F484" t="inlineStr">
        <is>
          <t>2026-06-10</t>
        </is>
      </c>
      <c r="G484" t="inlineStr">
        <is>
          <t xml:space="preserve"> - Road House - Couple Cottage</t>
        </is>
      </c>
      <c r="H484">
        <f>HYPERLINK("https://booking.roadsurfer.com/es/rally/pick?pickup_date=2026-06-03&amp;return_date=2026-06-10&amp;currency=EUR&amp;startStation=22&amp;endStation=31",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2026-05-08</t>
        </is>
      </c>
      <c r="F485" t="inlineStr">
        <is>
          <t>2026-05-15</t>
        </is>
      </c>
      <c r="G485" t="inlineStr">
        <is>
          <t xml:space="preserve"> - Family Finca</t>
        </is>
      </c>
      <c r="H485">
        <f>HYPERLINK("https://booking.roadsurfer.com/es/rally/pick?pickup_date=2026-05-08&amp;return_date=2026-05-15&amp;currency=EUR&amp;startStation=22&amp;endStation=31",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Nantes</t>
        </is>
      </c>
      <c r="E486" t="inlineStr">
        <is>
          <t>2026-06-08</t>
        </is>
      </c>
      <c r="F486" t="inlineStr">
        <is>
          <t>2026-06-15</t>
        </is>
      </c>
      <c r="G486" t="inlineStr">
        <is>
          <t xml:space="preserve"> - Couple Cottage</t>
        </is>
      </c>
      <c r="H486">
        <f>HYPERLINK("https://booking.roadsurfer.com/es/rally/pick?pickup_date=2026-06-08&amp;return_date=2026-06-15&amp;currency=EUR&amp;startStation=22&amp;endStation=31",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Toulouse</t>
        </is>
      </c>
      <c r="E487" t="inlineStr">
        <is>
          <t>2026-05-02</t>
        </is>
      </c>
      <c r="F487" t="inlineStr">
        <is>
          <t>2026-05-09</t>
        </is>
      </c>
      <c r="G487" t="inlineStr">
        <is>
          <t xml:space="preserve"> - No hay coche</t>
        </is>
      </c>
      <c r="H487">
        <f>HYPERLINK("https://booking.roadsurfer.com/es/rally/pick?pickup_date=2026-05-02&amp;return_date=2026-05-09&amp;currency=EUR&amp;startStation=22&amp;endStation=30",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2026-05-24</t>
        </is>
      </c>
      <c r="F488" t="inlineStr">
        <is>
          <t>2026-05-31</t>
        </is>
      </c>
      <c r="G488" t="inlineStr">
        <is>
          <t xml:space="preserve"> - No hay coche</t>
        </is>
      </c>
      <c r="H488">
        <f>HYPERLINK("https://booking.roadsurfer.com/es/rally/pick?pickup_date=2026-05-24&amp;return_date=2026-05-31&amp;currency=EUR&amp;startStation=22&amp;endStation=30",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Toulouse</t>
        </is>
      </c>
      <c r="E489" t="inlineStr">
        <is>
          <t>2026-05-07</t>
        </is>
      </c>
      <c r="F489" t="inlineStr">
        <is>
          <t>2026-05-14</t>
        </is>
      </c>
      <c r="G489" t="inlineStr">
        <is>
          <t xml:space="preserve"> - No hay coche</t>
        </is>
      </c>
      <c r="H489">
        <f>HYPERLINK("https://booking.roadsurfer.com/es/rally/pick?pickup_date=2026-05-07&amp;return_date=2026-05-14&amp;currency=EUR&amp;startStation=22&amp;endStation=30",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España</t>
        </is>
      </c>
      <c r="D490" t="inlineStr">
        <is>
          <t>Bilbao</t>
        </is>
      </c>
      <c r="E490" t="inlineStr">
        <is>
          <t>2026-05-05</t>
        </is>
      </c>
      <c r="F490" t="inlineStr">
        <is>
          <t>2026-05-12</t>
        </is>
      </c>
      <c r="G490" t="inlineStr">
        <is>
          <t xml:space="preserve"> - Surfer Suite</t>
        </is>
      </c>
      <c r="H490">
        <f>HYPERLINK("https://booking.roadsurfer.com/es/rally/pick?pickup_date=2026-05-05&amp;return_date=2026-05-12&amp;currency=EUR&amp;startStation=22&amp;endStation=40",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España</t>
        </is>
      </c>
      <c r="D491" t="inlineStr">
        <is>
          <t>Bilbao</t>
        </is>
      </c>
      <c r="E491" t="inlineStr">
        <is>
          <t>2026-05-08</t>
        </is>
      </c>
      <c r="F491" t="inlineStr">
        <is>
          <t>2026-05-15</t>
        </is>
      </c>
      <c r="G491" t="inlineStr">
        <is>
          <t xml:space="preserve"> - Surfer Suite</t>
        </is>
      </c>
      <c r="H491">
        <f>HYPERLINK("https://booking.roadsurfer.com/es/rally/pick?pickup_date=2026-05-08&amp;return_date=2026-05-15&amp;currency=EUR&amp;startStation=22&amp;endStation=40",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Bilbao</t>
        </is>
      </c>
      <c r="E492" t="inlineStr">
        <is>
          <t>2026-06-08</t>
        </is>
      </c>
      <c r="F492" t="inlineStr">
        <is>
          <t>2026-06-15</t>
        </is>
      </c>
      <c r="G492" t="inlineStr">
        <is>
          <t xml:space="preserve"> - Road House</t>
        </is>
      </c>
      <c r="H492">
        <f>HYPERLINK("https://booking.roadsurfer.com/es/rally/pick?pickup_date=2026-06-08&amp;return_date=2026-06-15&amp;currency=EUR&amp;startStation=22&amp;endStation=40",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Bilbao</t>
        </is>
      </c>
      <c r="E493" t="inlineStr">
        <is>
          <t>2026-05-22</t>
        </is>
      </c>
      <c r="F493" t="inlineStr">
        <is>
          <t>2026-05-29</t>
        </is>
      </c>
      <c r="G493" t="inlineStr">
        <is>
          <t xml:space="preserve"> - Couple Cottage</t>
        </is>
      </c>
      <c r="H493">
        <f>HYPERLINK("https://booking.roadsurfer.com/es/rally/pick?pickup_date=2026-05-22&amp;return_date=2026-05-29&amp;currency=EUR&amp;startStation=22&amp;endStation=40",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Bélgica</t>
        </is>
      </c>
      <c r="D494" t="inlineStr">
        <is>
          <t>Amberes</t>
        </is>
      </c>
      <c r="E494" t="inlineStr">
        <is>
          <t>2026-05-06</t>
        </is>
      </c>
      <c r="F494" t="inlineStr">
        <is>
          <t>2026-05-13</t>
        </is>
      </c>
      <c r="G494" t="inlineStr"/>
      <c r="H494">
        <f>HYPERLINK("https://booking.roadsurfer.com/es/rally/pick?pickup_date=2026-05-06&amp;return_date=2026-05-13&amp;currency=EUR&amp;startStation=22&amp;endStation=47",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Amberes</t>
        </is>
      </c>
      <c r="E495" t="inlineStr">
        <is>
          <t>2026-05-05</t>
        </is>
      </c>
      <c r="F495" t="inlineStr">
        <is>
          <t>2026-05-12</t>
        </is>
      </c>
      <c r="G495" t="inlineStr">
        <is>
          <t xml:space="preserve"> - Surfer Suite</t>
        </is>
      </c>
      <c r="H495">
        <f>HYPERLINK("https://booking.roadsurfer.com/es/rally/pick?pickup_date=2026-05-05&amp;return_date=2026-05-12&amp;currency=EUR&amp;startStation=22&amp;endStation=47",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Bélgica</t>
        </is>
      </c>
      <c r="D496" t="inlineStr">
        <is>
          <t>Amberes</t>
        </is>
      </c>
      <c r="E496" t="inlineStr">
        <is>
          <t>2026-06-01</t>
        </is>
      </c>
      <c r="F496" t="inlineStr">
        <is>
          <t>2026-06-08</t>
        </is>
      </c>
      <c r="G496" t="inlineStr">
        <is>
          <t xml:space="preserve"> - Camper Castle</t>
        </is>
      </c>
      <c r="H496">
        <f>HYPERLINK("https://booking.roadsurfer.com/es/rally/pick?pickup_date=2026-06-01&amp;return_date=2026-06-08&amp;currency=EUR&amp;startStation=22&amp;endStation=47",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Bélgica</t>
        </is>
      </c>
      <c r="D497" t="inlineStr">
        <is>
          <t>Amberes</t>
        </is>
      </c>
      <c r="E497" t="inlineStr">
        <is>
          <t>2026-06-23</t>
        </is>
      </c>
      <c r="F497" t="inlineStr">
        <is>
          <t>2026-06-30</t>
        </is>
      </c>
      <c r="G497" t="inlineStr"/>
      <c r="H497">
        <f>HYPERLINK("https://booking.roadsurfer.com/es/rally/pick?pickup_date=2026-06-23&amp;return_date=2026-06-30&amp;currency=EUR&amp;startStation=22&amp;endStation=47",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Bélgica</t>
        </is>
      </c>
      <c r="D498" t="inlineStr">
        <is>
          <t>Amberes</t>
        </is>
      </c>
      <c r="E498" t="inlineStr">
        <is>
          <t>2026-06-06</t>
        </is>
      </c>
      <c r="F498" t="inlineStr">
        <is>
          <t>2026-06-13</t>
        </is>
      </c>
      <c r="G498" t="inlineStr"/>
      <c r="H498">
        <f>HYPERLINK("https://booking.roadsurfer.com/es/rally/pick?pickup_date=2026-06-06&amp;return_date=2026-06-13&amp;currency=EUR&amp;startStation=22&amp;endStation=47",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España</t>
        </is>
      </c>
      <c r="D499" t="inlineStr">
        <is>
          <t>Valencia</t>
        </is>
      </c>
      <c r="E499" t="inlineStr">
        <is>
          <t>2026-06-02</t>
        </is>
      </c>
      <c r="F499" t="inlineStr">
        <is>
          <t>2026-06-09</t>
        </is>
      </c>
      <c r="G499" t="inlineStr"/>
      <c r="H499">
        <f>HYPERLINK("https://booking.roadsurfer.com/es/rally/pick?pickup_date=2026-06-02&amp;return_date=2026-06-09&amp;currency=EUR&amp;startStation=22&amp;endStation=38",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España</t>
        </is>
      </c>
      <c r="D500" t="inlineStr">
        <is>
          <t>Valencia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Surfer Suite</t>
        </is>
      </c>
      <c r="H500">
        <f>HYPERLINK("https://booking.roadsurfer.com/es/rally/pick?pickup_date=2026-05-11&amp;return_date=2026-05-18&amp;currency=EUR&amp;startStation=22&amp;endStation=38",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Burdeos</t>
        </is>
      </c>
      <c r="E501" t="inlineStr">
        <is>
          <t>2026-06-01</t>
        </is>
      </c>
      <c r="F501" t="inlineStr">
        <is>
          <t>2026-06-08</t>
        </is>
      </c>
      <c r="G501" t="inlineStr">
        <is>
          <t xml:space="preserve"> - Surfer Suite</t>
        </is>
      </c>
      <c r="H501">
        <f>HYPERLINK("https://booking.roadsurfer.com/es/rally/pick?pickup_date=2026-06-01&amp;return_date=2026-06-08&amp;currency=EUR&amp;startStation=22&amp;endStation=13",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Burdeos</t>
        </is>
      </c>
      <c r="E502" t="inlineStr">
        <is>
          <t>2026-05-05</t>
        </is>
      </c>
      <c r="F502" t="inlineStr">
        <is>
          <t>2026-05-12</t>
        </is>
      </c>
      <c r="G502" t="inlineStr">
        <is>
          <t xml:space="preserve"> - Beach Hostel - Couple Cottage</t>
        </is>
      </c>
      <c r="H502">
        <f>HYPERLINK("https://booking.roadsurfer.com/es/rally/pick?pickup_date=2026-05-05&amp;return_date=2026-05-12&amp;currency=EUR&amp;startStation=22&amp;endStation=13",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Burdeos</t>
        </is>
      </c>
      <c r="E503" t="inlineStr">
        <is>
          <t>2026-06-12</t>
        </is>
      </c>
      <c r="F503" t="inlineStr">
        <is>
          <t>2026-06-19</t>
        </is>
      </c>
      <c r="G503" t="inlineStr">
        <is>
          <t xml:space="preserve"> - Camper Cabin</t>
        </is>
      </c>
      <c r="H503">
        <f>HYPERLINK("https://booking.roadsurfer.com/es/rally/pick?pickup_date=2026-06-12&amp;return_date=2026-06-19&amp;currency=EUR&amp;startStation=22&amp;endStation=13",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Burdeos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Camper Cabin</t>
        </is>
      </c>
      <c r="H504">
        <f>HYPERLINK("https://booking.roadsurfer.com/es/rally/pick?pickup_date=2026-05-06&amp;return_date=2026-05-13&amp;currency=EUR&amp;startStation=22&amp;endStation=13",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Burdeos</t>
        </is>
      </c>
      <c r="E505" t="inlineStr">
        <is>
          <t>2026-05-08</t>
        </is>
      </c>
      <c r="F505" t="inlineStr">
        <is>
          <t>2026-05-15</t>
        </is>
      </c>
      <c r="G505" t="inlineStr">
        <is>
          <t xml:space="preserve"> - Camper Cabin</t>
        </is>
      </c>
      <c r="H505">
        <f>HYPERLINK("https://booking.roadsurfer.com/es/rally/pick?pickup_date=2026-05-08&amp;return_date=2026-05-15&amp;currency=EUR&amp;startStation=22&amp;endStation=13",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Burdeos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No hay coche</t>
        </is>
      </c>
      <c r="H506">
        <f>HYPERLINK("https://booking.roadsurfer.com/es/rally/pick?pickup_date=2026-05-07&amp;return_date=2026-05-14&amp;currency=EUR&amp;startStation=22&amp;endStation=13",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Burdeos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Couple Cottage</t>
        </is>
      </c>
      <c r="H507">
        <f>HYPERLINK("https://booking.roadsurfer.com/es/rally/pick?pickup_date=2026-05-13&amp;return_date=2026-05-20&amp;currency=EUR&amp;startStation=22&amp;endStation=13",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Burdeos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Couple Cottage</t>
        </is>
      </c>
      <c r="H508">
        <f>HYPERLINK("https://booking.roadsurfer.com/es/rally/pick?pickup_date=2026-06-08&amp;return_date=2026-06-15&amp;currency=EUR&amp;startStation=22&amp;endStation=13",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Bélgica</t>
        </is>
      </c>
      <c r="D509" t="inlineStr">
        <is>
          <t>Bruselas</t>
        </is>
      </c>
      <c r="E509" t="inlineStr">
        <is>
          <t>2026-05-05</t>
        </is>
      </c>
      <c r="F509" t="inlineStr">
        <is>
          <t>2026-05-12</t>
        </is>
      </c>
      <c r="G509" t="inlineStr"/>
      <c r="H509">
        <f>HYPERLINK("https://booking.roadsurfer.com/es/rally/pick?pickup_date=2026-05-05&amp;return_date=2026-05-12&amp;currency=EUR&amp;startStation=22&amp;endStation=42",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Bélgica</t>
        </is>
      </c>
      <c r="D510" t="inlineStr">
        <is>
          <t>Bruselas</t>
        </is>
      </c>
      <c r="E510" t="inlineStr">
        <is>
          <t>2026-05-01</t>
        </is>
      </c>
      <c r="F510" t="inlineStr">
        <is>
          <t>2026-05-08</t>
        </is>
      </c>
      <c r="G510" t="inlineStr">
        <is>
          <t xml:space="preserve"> - Couple Cottage</t>
        </is>
      </c>
      <c r="H510">
        <f>HYPERLINK("https://booking.roadsurfer.com/es/rally/pick?pickup_date=2026-05-01&amp;return_date=2026-05-08&amp;currency=EUR&amp;startStation=22&amp;endStation=42",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Alemania</t>
        </is>
      </c>
      <c r="D511" t="inlineStr">
        <is>
          <t>Hamburgo Aeropuerto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No hay coche</t>
        </is>
      </c>
      <c r="H511">
        <f>HYPERLINK("https://booking.roadsurfer.com/es/rally/pick?pickup_date=2026-05-06&amp;return_date=2026-05-13&amp;currency=EUR&amp;startStation=22&amp;endStation=65",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2026-05-09</t>
        </is>
      </c>
      <c r="F512" t="inlineStr">
        <is>
          <t>2026-05-16</t>
        </is>
      </c>
      <c r="G512" t="inlineStr"/>
      <c r="H512">
        <f>HYPERLINK("https://booking.roadsurfer.com/es/rally/pick?pickup_date=2026-05-09&amp;return_date=2026-05-16&amp;currency=EUR&amp;startStation=22&amp;endStation=33",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2026-05-07</t>
        </is>
      </c>
      <c r="F513" t="inlineStr">
        <is>
          <t>2026-05-14</t>
        </is>
      </c>
      <c r="G513" t="inlineStr">
        <is>
          <t xml:space="preserve"> - No hay coche</t>
        </is>
      </c>
      <c r="H513">
        <f>HYPERLINK("https://booking.roadsurfer.com/es/rally/pick?pickup_date=2026-05-07&amp;return_date=2026-05-14&amp;currency=EUR&amp;startStation=22&amp;endStation=33",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Surfer Suite</t>
        </is>
      </c>
      <c r="H514">
        <f>HYPERLINK("https://booking.roadsurfer.com/es/rally/pick?pickup_date=2026-05-11&amp;return_date=2026-05-18&amp;currency=EUR&amp;startStation=22&amp;endStation=33",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Turín</t>
        </is>
      </c>
      <c r="E515" t="inlineStr">
        <is>
          <t>2026-05-07</t>
        </is>
      </c>
      <c r="F515" t="inlineStr">
        <is>
          <t>2026-05-14</t>
        </is>
      </c>
      <c r="G515" t="inlineStr">
        <is>
          <t xml:space="preserve"> - Surfer Suite</t>
        </is>
      </c>
      <c r="H515">
        <f>HYPERLINK("https://booking.roadsurfer.com/es/rally/pick?pickup_date=2026-05-07&amp;return_date=2026-05-14&amp;currency=EUR&amp;startStation=22&amp;endStation=58",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Turín</t>
        </is>
      </c>
      <c r="E516" t="inlineStr">
        <is>
          <t>2026-05-08</t>
        </is>
      </c>
      <c r="F516" t="inlineStr">
        <is>
          <t>2026-05-15</t>
        </is>
      </c>
      <c r="G516" t="inlineStr"/>
      <c r="H516">
        <f>HYPERLINK("https://booking.roadsurfer.com/es/rally/pick?pickup_date=2026-05-08&amp;return_date=2026-05-15&amp;currency=EUR&amp;startStation=22&amp;endStation=58",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Turín</t>
        </is>
      </c>
      <c r="E517" t="inlineStr">
        <is>
          <t>2026-06-05</t>
        </is>
      </c>
      <c r="F517" t="inlineStr">
        <is>
          <t>2026-06-12</t>
        </is>
      </c>
      <c r="G517" t="inlineStr"/>
      <c r="H517">
        <f>HYPERLINK("https://booking.roadsurfer.com/es/rally/pick?pickup_date=2026-06-05&amp;return_date=2026-06-12&amp;currency=EUR&amp;startStation=22&amp;endStation=58",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Turín</t>
        </is>
      </c>
      <c r="E518" t="inlineStr">
        <is>
          <t>2026-06-09</t>
        </is>
      </c>
      <c r="F518" t="inlineStr">
        <is>
          <t>2026-06-16</t>
        </is>
      </c>
      <c r="G518" t="inlineStr">
        <is>
          <t xml:space="preserve"> - Couple Cottage</t>
        </is>
      </c>
      <c r="H518">
        <f>HYPERLINK("https://booking.roadsurfer.com/es/rally/pick?pickup_date=2026-06-09&amp;return_date=2026-06-16&amp;currency=EUR&amp;startStation=22&amp;endStation=58",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Turín</t>
        </is>
      </c>
      <c r="E519" t="inlineStr">
        <is>
          <t>2026-05-09</t>
        </is>
      </c>
      <c r="F519" t="inlineStr">
        <is>
          <t>2026-05-16</t>
        </is>
      </c>
      <c r="G519" t="inlineStr">
        <is>
          <t xml:space="preserve"> - No hay coche</t>
        </is>
      </c>
      <c r="H519">
        <f>HYPERLINK("https://booking.roadsurfer.com/es/rally/pick?pickup_date=2026-05-09&amp;return_date=2026-05-16&amp;currency=EUR&amp;startStation=22&amp;endStation=58",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Gotemburgo</t>
        </is>
      </c>
      <c r="E520" t="inlineStr">
        <is>
          <t>2026-05-06</t>
        </is>
      </c>
      <c r="F520" t="inlineStr">
        <is>
          <t>2026-05-13</t>
        </is>
      </c>
      <c r="G520" t="inlineStr">
        <is>
          <t xml:space="preserve"> - No hay coche</t>
        </is>
      </c>
      <c r="H520">
        <f>HYPERLINK("https://booking.roadsurfer.com/es/rally/pick?pickup_date=2026-05-06&amp;return_date=2026-05-13&amp;currency=EUR&amp;startStation=22&amp;endStation=77",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Gotemburgo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Surfer Suite</t>
        </is>
      </c>
      <c r="H521">
        <f>HYPERLINK("https://booking.roadsurfer.com/es/rally/pick?pickup_date=2026-05-11&amp;return_date=2026-05-18&amp;currency=EUR&amp;startStation=22&amp;endStation=77",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Gotemburgo</t>
        </is>
      </c>
      <c r="E522" t="inlineStr">
        <is>
          <t>2026-06-03</t>
        </is>
      </c>
      <c r="F522" t="inlineStr">
        <is>
          <t>2026-06-10</t>
        </is>
      </c>
      <c r="G522" t="inlineStr">
        <is>
          <t xml:space="preserve"> - Beach Hostel</t>
        </is>
      </c>
      <c r="H522">
        <f>HYPERLINK("https://booking.roadsurfer.com/es/rally/pick?pickup_date=2026-06-03&amp;return_date=2026-06-10&amp;currency=EUR&amp;startStation=22&amp;endStation=77",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Gotemburgo</t>
        </is>
      </c>
      <c r="E523" t="inlineStr">
        <is>
          <t>2026-05-08</t>
        </is>
      </c>
      <c r="F523" t="inlineStr">
        <is>
          <t>2026-05-15</t>
        </is>
      </c>
      <c r="G523" t="inlineStr"/>
      <c r="H523">
        <f>HYPERLINK("https://booking.roadsurfer.com/es/rally/pick?pickup_date=2026-05-08&amp;return_date=2026-05-15&amp;currency=EUR&amp;startStation=22&amp;endStation=77",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2026-05-28</t>
        </is>
      </c>
      <c r="F524" t="inlineStr">
        <is>
          <t>2026-06-04</t>
        </is>
      </c>
      <c r="G524" t="inlineStr"/>
      <c r="H524">
        <f>HYPERLINK("https://booking.roadsurfer.com/es/rally/pick?pickup_date=2026-05-28&amp;return_date=2026-06-04&amp;currency=EUR&amp;startStation=22&amp;endStation=77",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2026-06-01</t>
        </is>
      </c>
      <c r="F525" t="inlineStr">
        <is>
          <t>2026-06-08</t>
        </is>
      </c>
      <c r="G525" t="inlineStr"/>
      <c r="H525">
        <f>HYPERLINK("https://booking.roadsurfer.com/es/rally/pick?pickup_date=2026-06-01&amp;return_date=2026-06-08&amp;currency=EUR&amp;startStation=22&amp;endStation=77",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Malmö</t>
        </is>
      </c>
      <c r="E526" t="inlineStr">
        <is>
          <t>2026-05-07</t>
        </is>
      </c>
      <c r="F526" t="inlineStr">
        <is>
          <t>2026-05-14</t>
        </is>
      </c>
      <c r="G526" t="inlineStr">
        <is>
          <t xml:space="preserve"> - No hay coche</t>
        </is>
      </c>
      <c r="H526">
        <f>HYPERLINK("https://booking.roadsurfer.com/es/rally/pick?pickup_date=2026-05-07&amp;return_date=2026-05-14&amp;currency=EUR&amp;startStation=22&amp;endStation=60",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2026-05-11</t>
        </is>
      </c>
      <c r="F527" t="inlineStr">
        <is>
          <t>2026-05-18</t>
        </is>
      </c>
      <c r="G527" t="inlineStr">
        <is>
          <t xml:space="preserve"> - Surfer Suite</t>
        </is>
      </c>
      <c r="H527">
        <f>HYPERLINK("https://booking.roadsurfer.com/es/rally/pick?pickup_date=2026-05-11&amp;return_date=2026-05-18&amp;currency=EUR&amp;startStation=22&amp;endStation=60",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2026-05-08</t>
        </is>
      </c>
      <c r="F528" t="inlineStr">
        <is>
          <t>2026-05-15</t>
        </is>
      </c>
      <c r="G528" t="inlineStr"/>
      <c r="H528">
        <f>HYPERLINK("https://booking.roadsurfer.com/es/rally/pick?pickup_date=2026-05-08&amp;return_date=2026-05-15&amp;currency=EUR&amp;startStation=22&amp;endStation=60",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Malmö</t>
        </is>
      </c>
      <c r="E529" t="inlineStr">
        <is>
          <t>2026-05-06</t>
        </is>
      </c>
      <c r="F529" t="inlineStr">
        <is>
          <t>2026-05-13</t>
        </is>
      </c>
      <c r="G529" t="inlineStr">
        <is>
          <t xml:space="preserve"> - No hay coche</t>
        </is>
      </c>
      <c r="H529">
        <f>HYPERLINK("https://booking.roadsurfer.com/es/rally/pick?pickup_date=2026-05-06&amp;return_date=2026-05-13&amp;currency=EUR&amp;startStation=22&amp;endStation=60",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Malmö</t>
        </is>
      </c>
      <c r="E530" t="inlineStr">
        <is>
          <t>2026-05-26</t>
        </is>
      </c>
      <c r="F530" t="inlineStr">
        <is>
          <t>2026-06-02</t>
        </is>
      </c>
      <c r="G530" t="inlineStr">
        <is>
          <t xml:space="preserve"> - Camper Castle</t>
        </is>
      </c>
      <c r="H530">
        <f>HYPERLINK("https://booking.roadsurfer.com/es/rally/pick?pickup_date=2026-05-26&amp;return_date=2026-06-02&amp;currency=EUR&amp;startStation=22&amp;endStation=60",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Malmö</t>
        </is>
      </c>
      <c r="E531" t="inlineStr">
        <is>
          <t>2026-05-09</t>
        </is>
      </c>
      <c r="F531" t="inlineStr">
        <is>
          <t>2026-05-16</t>
        </is>
      </c>
      <c r="G531" t="inlineStr">
        <is>
          <t xml:space="preserve"> - No hay coche</t>
        </is>
      </c>
      <c r="H531">
        <f>HYPERLINK("https://booking.roadsurfer.com/es/rally/pick?pickup_date=2026-05-09&amp;return_date=2026-05-16&amp;currency=EUR&amp;startStation=22&amp;endStation=60",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Florencia</t>
        </is>
      </c>
      <c r="E532" t="inlineStr">
        <is>
          <t>2026-05-05</t>
        </is>
      </c>
      <c r="F532" t="inlineStr">
        <is>
          <t>2026-05-12</t>
        </is>
      </c>
      <c r="G532" t="inlineStr">
        <is>
          <t xml:space="preserve"> - Beach Hostel</t>
        </is>
      </c>
      <c r="H532">
        <f>HYPERLINK("https://booking.roadsurfer.com/es/rally/pick?pickup_date=2026-05-05&amp;return_date=2026-05-12&amp;currency=EUR&amp;startStation=22&amp;endStation=80",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2026-05-11</t>
        </is>
      </c>
      <c r="F533" t="inlineStr">
        <is>
          <t>2026-05-18</t>
        </is>
      </c>
      <c r="G533" t="inlineStr">
        <is>
          <t xml:space="preserve"> - Beach Hostel - Family Finca</t>
        </is>
      </c>
      <c r="H533">
        <f>HYPERLINK("https://booking.roadsurfer.com/es/rally/pick?pickup_date=2026-05-11&amp;return_date=2026-05-18&amp;currency=EUR&amp;startStation=22&amp;endStation=34",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Milán</t>
        </is>
      </c>
      <c r="E534" t="inlineStr">
        <is>
          <t>2026-05-07</t>
        </is>
      </c>
      <c r="F534" t="inlineStr">
        <is>
          <t>2026-05-14</t>
        </is>
      </c>
      <c r="G534" t="inlineStr">
        <is>
          <t xml:space="preserve"> - Camper Castle</t>
        </is>
      </c>
      <c r="H534">
        <f>HYPERLINK("https://booking.roadsurfer.com/es/rally/pick?pickup_date=2026-05-07&amp;return_date=2026-05-14&amp;currency=EUR&amp;startStation=22&amp;endStation=34",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Milán</t>
        </is>
      </c>
      <c r="E535" t="inlineStr">
        <is>
          <t>2026-05-12</t>
        </is>
      </c>
      <c r="F535" t="inlineStr">
        <is>
          <t>2026-05-19</t>
        </is>
      </c>
      <c r="G535" t="inlineStr">
        <is>
          <t xml:space="preserve"> - Family Finca</t>
        </is>
      </c>
      <c r="H535">
        <f>HYPERLINK("https://booking.roadsurfer.com/es/rally/pick?pickup_date=2026-05-12&amp;return_date=2026-05-19&amp;currency=EUR&amp;startStation=22&amp;endStation=34",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Milán</t>
        </is>
      </c>
      <c r="E536" t="inlineStr">
        <is>
          <t>2026-05-30</t>
        </is>
      </c>
      <c r="F536" t="inlineStr">
        <is>
          <t>2026-06-06</t>
        </is>
      </c>
      <c r="G536" t="inlineStr">
        <is>
          <t xml:space="preserve"> - No hay coche</t>
        </is>
      </c>
      <c r="H536">
        <f>HYPERLINK("https://booking.roadsurfer.com/es/rally/pick?pickup_date=2026-05-30&amp;return_date=2026-06-06&amp;currency=EUR&amp;startStation=22&amp;endStation=34",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Milán</t>
        </is>
      </c>
      <c r="E537" t="inlineStr">
        <is>
          <t>2026-05-20</t>
        </is>
      </c>
      <c r="F537" t="inlineStr">
        <is>
          <t>2026-05-27</t>
        </is>
      </c>
      <c r="G537" t="inlineStr">
        <is>
          <t xml:space="preserve"> - Couple Cottage</t>
        </is>
      </c>
      <c r="H537">
        <f>HYPERLINK("https://booking.roadsurfer.com/es/rally/pick?pickup_date=2026-05-20&amp;return_date=2026-05-27&amp;currency=EUR&amp;startStation=22&amp;endStation=34",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Milán</t>
        </is>
      </c>
      <c r="E538" t="inlineStr">
        <is>
          <t>2026-05-06</t>
        </is>
      </c>
      <c r="F538" t="inlineStr">
        <is>
          <t>2026-05-13</t>
        </is>
      </c>
      <c r="G538" t="inlineStr"/>
      <c r="H538">
        <f>HYPERLINK("https://booking.roadsurfer.com/es/rally/pick?pickup_date=2026-05-06&amp;return_date=2026-05-13&amp;currency=EUR&amp;startStation=22&amp;endStation=34",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Venecia</t>
        </is>
      </c>
      <c r="E539" t="inlineStr">
        <is>
          <t>2026-06-03</t>
        </is>
      </c>
      <c r="F539" t="inlineStr">
        <is>
          <t>2026-06-10</t>
        </is>
      </c>
      <c r="G539" t="inlineStr">
        <is>
          <t xml:space="preserve"> - Beach Hostel</t>
        </is>
      </c>
      <c r="H539">
        <f>HYPERLINK("https://booking.roadsurfer.com/es/rally/pick?pickup_date=2026-06-03&amp;return_date=2026-06-10&amp;currency=EUR&amp;startStation=22&amp;endStation=78",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Venecia</t>
        </is>
      </c>
      <c r="E540" t="inlineStr">
        <is>
          <t>2026-06-05</t>
        </is>
      </c>
      <c r="F540" t="inlineStr">
        <is>
          <t>2026-06-12</t>
        </is>
      </c>
      <c r="G540" t="inlineStr">
        <is>
          <t xml:space="preserve"> - Beach Hostel</t>
        </is>
      </c>
      <c r="H540">
        <f>HYPERLINK("https://booking.roadsurfer.com/es/rally/pick?pickup_date=2026-06-05&amp;return_date=2026-06-12&amp;currency=EUR&amp;startStation=22&amp;endStation=78",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Sevilla</t>
        </is>
      </c>
      <c r="E541" t="inlineStr">
        <is>
          <t>2026-06-04</t>
        </is>
      </c>
      <c r="F541" t="inlineStr">
        <is>
          <t>2026-06-11</t>
        </is>
      </c>
      <c r="G541" t="inlineStr">
        <is>
          <t xml:space="preserve"> - Beach Hostel</t>
        </is>
      </c>
      <c r="H541">
        <f>HYPERLINK("https://booking.roadsurfer.com/es/rally/pick?pickup_date=2026-06-04&amp;return_date=2026-06-11&amp;currency=EUR&amp;startStation=22&amp;endStation=39",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Países Bajos</t>
        </is>
      </c>
      <c r="D542" t="inlineStr">
        <is>
          <t>Ámsterdam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HYPERLINK("https://booking.roadsurfer.com/es/rally/pick?pickup_date=2026-05-18&amp;return_date=2026-05-25&amp;currency=EUR&amp;startStation=22&amp;endStation=32",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Países Bajos</t>
        </is>
      </c>
      <c r="D543" t="inlineStr">
        <is>
          <t>Ámsterdam</t>
        </is>
      </c>
      <c r="E543" t="inlineStr">
        <is>
          <t>2026-06-08</t>
        </is>
      </c>
      <c r="F543" t="inlineStr">
        <is>
          <t>2026-06-15</t>
        </is>
      </c>
      <c r="G543" t="inlineStr"/>
      <c r="H543">
        <f>HYPERLINK("https://booking.roadsurfer.com/es/rally/pick?pickup_date=2026-06-08&amp;return_date=2026-06-15&amp;currency=EUR&amp;startStation=22&amp;endStation=32",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Madrid</t>
        </is>
      </c>
      <c r="E544" t="inlineStr">
        <is>
          <t>2026-06-11</t>
        </is>
      </c>
      <c r="F544" t="inlineStr">
        <is>
          <t>2026-06-18</t>
        </is>
      </c>
      <c r="G544" t="inlineStr">
        <is>
          <t xml:space="preserve"> - Camper Cabin</t>
        </is>
      </c>
      <c r="H544">
        <f>HYPERLINK("https://booking.roadsurfer.com/es/rally/pick?pickup_date=2026-06-11&amp;return_date=2026-06-18&amp;currency=EUR&amp;startStation=22&amp;endStation=20",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2026-05-08</t>
        </is>
      </c>
      <c r="F545" t="inlineStr">
        <is>
          <t>2026-05-15</t>
        </is>
      </c>
      <c r="G545" t="inlineStr">
        <is>
          <t xml:space="preserve"> - No hay coche</t>
        </is>
      </c>
      <c r="H545">
        <f>HYPERLINK("https://booking.roadsurfer.com/es/rally/pick?pickup_date=2026-05-08&amp;return_date=2026-05-15&amp;currency=EUR&amp;startStation=22&amp;endStation=20",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España</t>
        </is>
      </c>
      <c r="D546" t="inlineStr">
        <is>
          <t>Málaga</t>
        </is>
      </c>
      <c r="E546" t="inlineStr">
        <is>
          <t>2026-05-05</t>
        </is>
      </c>
      <c r="F546" t="inlineStr">
        <is>
          <t>2026-05-12</t>
        </is>
      </c>
      <c r="G546" t="inlineStr">
        <is>
          <t xml:space="preserve"> - Road House</t>
        </is>
      </c>
      <c r="H546">
        <f>HYPERLINK("https://booking.roadsurfer.com/es/rally/pick?pickup_date=2026-05-05&amp;return_date=2026-05-12&amp;currency=EUR&amp;startStation=22&amp;endStation=21",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Málaga</t>
        </is>
      </c>
      <c r="E547" t="inlineStr">
        <is>
          <t>2026-05-28</t>
        </is>
      </c>
      <c r="F547" t="inlineStr">
        <is>
          <t>2026-06-04</t>
        </is>
      </c>
      <c r="G547" t="inlineStr">
        <is>
          <t xml:space="preserve"> - Road House</t>
        </is>
      </c>
      <c r="H547">
        <f>HYPERLINK("https://booking.roadsurfer.com/es/rally/pick?pickup_date=2026-05-28&amp;return_date=2026-06-04&amp;currency=EUR&amp;startStation=22&amp;endStation=21",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Bérgamo</t>
        </is>
      </c>
      <c r="E548" t="inlineStr">
        <is>
          <t>2026-06-09</t>
        </is>
      </c>
      <c r="F548" t="inlineStr">
        <is>
          <t>2026-06-16</t>
        </is>
      </c>
      <c r="G548" t="inlineStr">
        <is>
          <t xml:space="preserve"> - Road House</t>
        </is>
      </c>
      <c r="H548">
        <f>HYPERLINK("https://booking.roadsurfer.com/es/rally/pick?pickup_date=2026-06-09&amp;return_date=2026-06-16&amp;currency=EUR&amp;startStation=22&amp;endStation=94",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Bérgamo</t>
        </is>
      </c>
      <c r="E549" t="inlineStr">
        <is>
          <t>2026-06-16</t>
        </is>
      </c>
      <c r="F549" t="inlineStr">
        <is>
          <t>2026-06-23</t>
        </is>
      </c>
      <c r="G549" t="inlineStr">
        <is>
          <t xml:space="preserve"> - No hay coche</t>
        </is>
      </c>
      <c r="H549">
        <f>HYPERLINK("https://booking.roadsurfer.com/es/rally/pick?pickup_date=2026-06-16&amp;return_date=2026-06-23&amp;currency=EUR&amp;startStation=22&amp;endStation=94",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Bérgamo</t>
        </is>
      </c>
      <c r="E550" t="inlineStr">
        <is>
          <t>2026-05-25</t>
        </is>
      </c>
      <c r="F550" t="inlineStr">
        <is>
          <t>2026-06-01</t>
        </is>
      </c>
      <c r="G550" t="inlineStr">
        <is>
          <t xml:space="preserve"> - Couple Cottage</t>
        </is>
      </c>
      <c r="H550">
        <f>HYPERLINK("https://booking.roadsurfer.com/es/rally/pick?pickup_date=2026-05-25&amp;return_date=2026-06-01&amp;currency=EUR&amp;startStation=22&amp;endStation=94",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Bérgamo</t>
        </is>
      </c>
      <c r="E551" t="inlineStr">
        <is>
          <t>2026-05-14</t>
        </is>
      </c>
      <c r="F551" t="inlineStr">
        <is>
          <t>2026-05-21</t>
        </is>
      </c>
      <c r="G551" t="inlineStr">
        <is>
          <t xml:space="preserve"> - Family Finca</t>
        </is>
      </c>
      <c r="H551">
        <f>HYPERLINK("https://booking.roadsurfer.com/es/rally/pick?pickup_date=2026-05-14&amp;return_date=2026-05-21&amp;currency=EUR&amp;startStation=22&amp;endStation=94",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Aix-Marsella</t>
        </is>
      </c>
      <c r="E552" t="inlineStr">
        <is>
          <t>2026-05-21</t>
        </is>
      </c>
      <c r="F552" t="inlineStr">
        <is>
          <t>2026-05-28</t>
        </is>
      </c>
      <c r="G552" t="inlineStr">
        <is>
          <t xml:space="preserve"> - Camper Castle</t>
        </is>
      </c>
      <c r="H552">
        <f>HYPERLINK("https://booking.roadsurfer.com/es/rally/pick?pickup_date=2026-05-21&amp;return_date=2026-05-28&amp;currency=EUR&amp;startStation=22&amp;endStation=16",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Aix-Marsella</t>
        </is>
      </c>
      <c r="E553" t="inlineStr">
        <is>
          <t>2026-06-15</t>
        </is>
      </c>
      <c r="F553" t="inlineStr">
        <is>
          <t>2026-06-22</t>
        </is>
      </c>
      <c r="G553" t="inlineStr">
        <is>
          <t xml:space="preserve"> - Couple Cottage</t>
        </is>
      </c>
      <c r="H553">
        <f>HYPERLINK("https://booking.roadsurfer.com/es/rally/pick?pickup_date=2026-06-15&amp;return_date=2026-06-22&amp;currency=EUR&amp;startStation=22&amp;endStation=16",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Barcelona</t>
        </is>
      </c>
      <c r="E554" t="inlineStr">
        <is>
          <t>2026-06-08</t>
        </is>
      </c>
      <c r="F554" t="inlineStr">
        <is>
          <t>2026-06-15</t>
        </is>
      </c>
      <c r="G554" t="inlineStr">
        <is>
          <t xml:space="preserve"> - Camper Castle - Family Finca</t>
        </is>
      </c>
      <c r="H554">
        <f>HYPERLINK("https://booking.roadsurfer.com/es/rally/pick?pickup_date=2026-06-08&amp;return_date=2026-06-15&amp;currency=EUR&amp;startStation=22&amp;endStation=17",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Barcelona</t>
        </is>
      </c>
      <c r="E555" t="inlineStr">
        <is>
          <t>2026-06-20</t>
        </is>
      </c>
      <c r="F555" t="inlineStr">
        <is>
          <t>2026-06-27</t>
        </is>
      </c>
      <c r="G555" t="inlineStr">
        <is>
          <t xml:space="preserve"> - No hay coche</t>
        </is>
      </c>
      <c r="H555">
        <f>HYPERLINK("https://booking.roadsurfer.com/es/rally/pick?pickup_date=2026-06-20&amp;return_date=2026-06-27&amp;currency=EUR&amp;startStation=22&amp;endStation=17",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España</t>
        </is>
      </c>
      <c r="D556" t="inlineStr">
        <is>
          <t>Barcelona</t>
        </is>
      </c>
      <c r="E556" t="inlineStr">
        <is>
          <t>2026-06-16</t>
        </is>
      </c>
      <c r="F556" t="inlineStr">
        <is>
          <t>2026-06-23</t>
        </is>
      </c>
      <c r="G556" t="inlineStr">
        <is>
          <t xml:space="preserve"> - Cozy Cottage</t>
        </is>
      </c>
      <c r="H556">
        <f>HYPERLINK("https://booking.roadsurfer.com/es/rally/pick?pickup_date=2026-06-16&amp;return_date=2026-06-23&amp;currency=EUR&amp;startStation=22&amp;endStation=17",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Alemania</t>
        </is>
      </c>
      <c r="D557" t="inlineStr">
        <is>
          <t>Constanza (Aach)</t>
        </is>
      </c>
      <c r="E557" t="inlineStr">
        <is>
          <t>2026-06-17</t>
        </is>
      </c>
      <c r="F557" t="inlineStr">
        <is>
          <t>2026-06-24</t>
        </is>
      </c>
      <c r="G557" t="inlineStr">
        <is>
          <t xml:space="preserve"> - Camper Castle</t>
        </is>
      </c>
      <c r="H557">
        <f>HYPERLINK("https://booking.roadsurfer.com/es/rally/pick?pickup_date=2026-06-17&amp;return_date=2026-06-24&amp;currency=EUR&amp;startStation=22&amp;endStation=10",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Austria</t>
        </is>
      </c>
      <c r="D558" t="inlineStr">
        <is>
          <t>Salzburgo</t>
        </is>
      </c>
      <c r="E558" t="inlineStr">
        <is>
          <t>2026-05-21</t>
        </is>
      </c>
      <c r="F558" t="inlineStr">
        <is>
          <t>2026-05-28</t>
        </is>
      </c>
      <c r="G558" t="inlineStr">
        <is>
          <t xml:space="preserve"> - Couple Cottage</t>
        </is>
      </c>
      <c r="H558">
        <f>HYPERLINK("https://booking.roadsurfer.com/es/rally/pick?pickup_date=2026-05-21&amp;return_date=2026-05-28&amp;currency=EUR&amp;startStation=22&amp;endStation=85",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Niza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No hay coche</t>
        </is>
      </c>
      <c r="H559">
        <f>HYPERLINK("https://booking.roadsurfer.com/es/rally/pick?pickup_date=2026-05-11&amp;return_date=2026-05-18&amp;currency=EUR&amp;startStation=22&amp;endStation=88",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Niza</t>
        </is>
      </c>
      <c r="E560" t="inlineStr">
        <is>
          <t>2026-05-25</t>
        </is>
      </c>
      <c r="F560" t="inlineStr">
        <is>
          <t>2026-06-01</t>
        </is>
      </c>
      <c r="G560" t="inlineStr"/>
      <c r="H560">
        <f>HYPERLINK("https://booking.roadsurfer.com/es/rally/pick?pickup_date=2026-05-25&amp;return_date=2026-06-01&amp;currency=EUR&amp;startStation=22&amp;endStation=88",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Roma Aeropuerto Fiumicino</t>
        </is>
      </c>
      <c r="E561" t="inlineStr">
        <is>
          <t>2026-05-07</t>
        </is>
      </c>
      <c r="F561" t="inlineStr">
        <is>
          <t>2026-05-14</t>
        </is>
      </c>
      <c r="G561" t="inlineStr">
        <is>
          <t xml:space="preserve"> - Couple Cottage</t>
        </is>
      </c>
      <c r="H561">
        <f>HYPERLINK("https://booking.roadsurfer.com/es/rally/pick?pickup_date=2026-05-07&amp;return_date=2026-05-14&amp;currency=EUR&amp;startStation=22&amp;endStation=35",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Austria</t>
        </is>
      </c>
      <c r="D562" t="inlineStr">
        <is>
          <t>Viena</t>
        </is>
      </c>
      <c r="E562" t="inlineStr">
        <is>
          <t>2026-05-25</t>
        </is>
      </c>
      <c r="F562" t="inlineStr">
        <is>
          <t>2026-06-01</t>
        </is>
      </c>
      <c r="G562" t="inlineStr">
        <is>
          <t xml:space="preserve"> - Cozy Cottage</t>
        </is>
      </c>
      <c r="H562">
        <f>HYPERLINK("https://booking.roadsurfer.com/es/rally/pick?pickup_date=2026-05-25&amp;return_date=2026-06-01&amp;currency=EUR&amp;startStation=22&amp;endStation=36",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2026-05-12</t>
        </is>
      </c>
      <c r="F563" t="inlineStr">
        <is>
          <t>2026-05-19</t>
        </is>
      </c>
      <c r="G563" t="inlineStr">
        <is>
          <t xml:space="preserve"> - Surfer Suite</t>
        </is>
      </c>
      <c r="H563">
        <f>HYPERLINK("https://booking.roadsurfer.com/es/rally/pick?pickup_date=2026-05-12&amp;return_date=2026-05-19&amp;currency=EUR&amp;startStation=34&amp;endStation=22",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Wurzburgo</t>
        </is>
      </c>
      <c r="E564" t="inlineStr">
        <is>
          <t>2026-05-05</t>
        </is>
      </c>
      <c r="F564" t="inlineStr">
        <is>
          <t>2026-05-12</t>
        </is>
      </c>
      <c r="G564" t="inlineStr">
        <is>
          <t xml:space="preserve"> - No hay coche</t>
        </is>
      </c>
      <c r="H564">
        <f>HYPERLINK("https://booking.roadsurfer.com/es/rally/pick?pickup_date=2026-05-05&amp;return_date=2026-05-12&amp;currency=EUR&amp;startStation=34&amp;endStation=115",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Países Bajos</t>
        </is>
      </c>
      <c r="D565" t="inlineStr">
        <is>
          <t>Ámsterdam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Surfer Suite</t>
        </is>
      </c>
      <c r="H565">
        <f>HYPERLINK("https://booking.roadsurfer.com/es/rally/pick?pickup_date=2026-05-11&amp;return_date=2026-05-18&amp;currency=EUR&amp;startStation=1&amp;endStation=32",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Italia</t>
        </is>
      </c>
      <c r="D566" t="inlineStr">
        <is>
          <t>Florencia</t>
        </is>
      </c>
      <c r="E566" t="inlineStr">
        <is>
          <t>2026-06-01</t>
        </is>
      </c>
      <c r="F566" t="inlineStr">
        <is>
          <t>2026-06-08</t>
        </is>
      </c>
      <c r="G566" t="inlineStr">
        <is>
          <t xml:space="preserve"> - Surfer Suite</t>
        </is>
      </c>
      <c r="H566">
        <f>HYPERLINK("https://booking.roadsurfer.com/es/rally/pick?pickup_date=2026-06-01&amp;return_date=2026-06-08&amp;currency=EUR&amp;startStation=1&amp;endStation=80",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Italia</t>
        </is>
      </c>
      <c r="D567" t="inlineStr">
        <is>
          <t>Florencia</t>
        </is>
      </c>
      <c r="E567" t="inlineStr">
        <is>
          <t>2026-06-08</t>
        </is>
      </c>
      <c r="F567" t="inlineStr">
        <is>
          <t>2026-06-15</t>
        </is>
      </c>
      <c r="G567" t="inlineStr">
        <is>
          <t xml:space="preserve"> - Road House</t>
        </is>
      </c>
      <c r="H567">
        <f>HYPERLINK("https://booking.roadsurfer.com/es/rally/pick?pickup_date=2026-06-08&amp;return_date=2026-06-15&amp;currency=EUR&amp;startStation=1&amp;endStation=80",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Italia</t>
        </is>
      </c>
      <c r="D568" t="inlineStr">
        <is>
          <t>Florencia</t>
        </is>
      </c>
      <c r="E568" t="inlineStr">
        <is>
          <t>2026-06-12</t>
        </is>
      </c>
      <c r="F568" t="inlineStr">
        <is>
          <t>2026-06-19</t>
        </is>
      </c>
      <c r="G568" t="inlineStr">
        <is>
          <t xml:space="preserve"> - Family Finca</t>
        </is>
      </c>
      <c r="H568">
        <f>HYPERLINK("https://booking.roadsurfer.com/es/rally/pick?pickup_date=2026-06-12&amp;return_date=2026-06-19&amp;currency=EUR&amp;startStation=1&amp;endStation=80",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Italia</t>
        </is>
      </c>
      <c r="D569" t="inlineStr">
        <is>
          <t>Venecia</t>
        </is>
      </c>
      <c r="E569" t="inlineStr">
        <is>
          <t>2026-06-12</t>
        </is>
      </c>
      <c r="F569" t="inlineStr">
        <is>
          <t>2026-06-19</t>
        </is>
      </c>
      <c r="G569" t="inlineStr"/>
      <c r="H569">
        <f>HYPERLINK("https://booking.roadsurfer.com/es/rally/pick?pickup_date=2026-06-12&amp;return_date=2026-06-19&amp;currency=EUR&amp;startStation=1&amp;endStation=78",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Italia</t>
        </is>
      </c>
      <c r="D570" t="inlineStr">
        <is>
          <t>Venecia</t>
        </is>
      </c>
      <c r="E570" t="inlineStr">
        <is>
          <t>2026-06-08</t>
        </is>
      </c>
      <c r="F570" t="inlineStr">
        <is>
          <t>2026-06-15</t>
        </is>
      </c>
      <c r="G570" t="inlineStr">
        <is>
          <t xml:space="preserve"> - Beach Hostel</t>
        </is>
      </c>
      <c r="H570">
        <f>HYPERLINK("https://booking.roadsurfer.com/es/rally/pick?pickup_date=2026-06-08&amp;return_date=2026-06-15&amp;currency=EUR&amp;startStation=1&amp;endStation=78",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Italia</t>
        </is>
      </c>
      <c r="D571" t="inlineStr">
        <is>
          <t>Venecia</t>
        </is>
      </c>
      <c r="E571" t="inlineStr">
        <is>
          <t>2026-05-28</t>
        </is>
      </c>
      <c r="F571" t="inlineStr">
        <is>
          <t>2026-06-04</t>
        </is>
      </c>
      <c r="G571" t="inlineStr">
        <is>
          <t xml:space="preserve"> - Sunrise Suite</t>
        </is>
      </c>
      <c r="H571">
        <f>HYPERLINK("https://booking.roadsurfer.com/es/rally/pick?pickup_date=2026-05-28&amp;return_date=2026-06-04&amp;currency=EUR&amp;startStation=1&amp;endStation=78",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Francia</t>
        </is>
      </c>
      <c r="D572" t="inlineStr">
        <is>
          <t>Lyon</t>
        </is>
      </c>
      <c r="E572" t="inlineStr">
        <is>
          <t>2026-06-18</t>
        </is>
      </c>
      <c r="F572" t="inlineStr">
        <is>
          <t>2026-06-25</t>
        </is>
      </c>
      <c r="G572" t="inlineStr"/>
      <c r="H572">
        <f>HYPERLINK("https://booking.roadsurfer.com/es/rally/pick?pickup_date=2026-06-18&amp;return_date=2026-06-25&amp;currency=EUR&amp;startStation=1&amp;endStation=15",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Francia</t>
        </is>
      </c>
      <c r="D573" t="inlineStr">
        <is>
          <t>Lyon</t>
        </is>
      </c>
      <c r="E573" t="inlineStr">
        <is>
          <t>2026-05-28</t>
        </is>
      </c>
      <c r="F573" t="inlineStr">
        <is>
          <t>2026-06-04</t>
        </is>
      </c>
      <c r="G573" t="inlineStr">
        <is>
          <t xml:space="preserve"> - Road House</t>
        </is>
      </c>
      <c r="H573">
        <f>HYPERLINK("https://booking.roadsurfer.com/es/rally/pick?pickup_date=2026-05-28&amp;return_date=2026-06-04&amp;currency=EUR&amp;startStation=1&amp;endStation=15",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Francia</t>
        </is>
      </c>
      <c r="D574" t="inlineStr">
        <is>
          <t>Lyon</t>
        </is>
      </c>
      <c r="E574" t="inlineStr">
        <is>
          <t>2026-06-17</t>
        </is>
      </c>
      <c r="F574" t="inlineStr">
        <is>
          <t>2026-06-24</t>
        </is>
      </c>
      <c r="G574" t="inlineStr">
        <is>
          <t xml:space="preserve"> - Camper Cabin Deluxe</t>
        </is>
      </c>
      <c r="H574">
        <f>HYPERLINK("https://booking.roadsurfer.com/es/rally/pick?pickup_date=2026-06-17&amp;return_date=2026-06-24&amp;currency=EUR&amp;startStation=1&amp;endStation=15",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Francia</t>
        </is>
      </c>
      <c r="D575" t="inlineStr">
        <is>
          <t>Lyon</t>
        </is>
      </c>
      <c r="E575" t="inlineStr">
        <is>
          <t>2026-06-01</t>
        </is>
      </c>
      <c r="F575" t="inlineStr">
        <is>
          <t>2026-06-08</t>
        </is>
      </c>
      <c r="G575" t="inlineStr">
        <is>
          <t xml:space="preserve"> - Couple Cottage</t>
        </is>
      </c>
      <c r="H575">
        <f>HYPERLINK("https://booking.roadsurfer.com/es/rally/pick?pickup_date=2026-06-01&amp;return_date=2026-06-08&amp;currency=EUR&amp;startStation=1&amp;endStation=15",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Alemania</t>
        </is>
      </c>
      <c r="D576" t="inlineStr">
        <is>
          <t>Lübeck</t>
        </is>
      </c>
      <c r="E576" t="inlineStr">
        <is>
          <t>2026-06-16</t>
        </is>
      </c>
      <c r="F576" t="inlineStr">
        <is>
          <t>2026-06-23</t>
        </is>
      </c>
      <c r="G576" t="inlineStr">
        <is>
          <t xml:space="preserve"> - Road House</t>
        </is>
      </c>
      <c r="H576">
        <f>HYPERLINK("https://booking.roadsurfer.com/es/rally/pick?pickup_date=2026-06-16&amp;return_date=2026-06-23&amp;currency=EUR&amp;startStation=1&amp;endStation=109",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Italia</t>
        </is>
      </c>
      <c r="D577" t="inlineStr">
        <is>
          <t>Roma Aeropuerto Fiumicino</t>
        </is>
      </c>
      <c r="E577" t="inlineStr">
        <is>
          <t>2026-06-10</t>
        </is>
      </c>
      <c r="F577" t="inlineStr">
        <is>
          <t>2026-06-17</t>
        </is>
      </c>
      <c r="G577" t="inlineStr">
        <is>
          <t xml:space="preserve"> - Road House</t>
        </is>
      </c>
      <c r="H577">
        <f>HYPERLINK("https://booking.roadsurfer.com/es/rally/pick?pickup_date=2026-06-10&amp;return_date=2026-06-17&amp;currency=EUR&amp;startStation=1&amp;endStation=35",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Italia</t>
        </is>
      </c>
      <c r="D578" t="inlineStr">
        <is>
          <t>Roma Aeropuerto Fiumicino</t>
        </is>
      </c>
      <c r="E578" t="inlineStr">
        <is>
          <t>2026-06-12</t>
        </is>
      </c>
      <c r="F578" t="inlineStr">
        <is>
          <t>2026-06-19</t>
        </is>
      </c>
      <c r="G578" t="inlineStr">
        <is>
          <t xml:space="preserve"> - Camper Castle</t>
        </is>
      </c>
      <c r="H578">
        <f>HYPERLINK("https://booking.roadsurfer.com/es/rally/pick?pickup_date=2026-06-12&amp;return_date=2026-06-19&amp;currency=EUR&amp;startStation=1&amp;endStation=35",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Italia</t>
        </is>
      </c>
      <c r="D579" t="inlineStr">
        <is>
          <t>Milán</t>
        </is>
      </c>
      <c r="E579" t="inlineStr">
        <is>
          <t>2026-06-11</t>
        </is>
      </c>
      <c r="F579" t="inlineStr">
        <is>
          <t>2026-06-18</t>
        </is>
      </c>
      <c r="G579" t="inlineStr">
        <is>
          <t xml:space="preserve"> - Road House</t>
        </is>
      </c>
      <c r="H579">
        <f>HYPERLINK("https://booking.roadsurfer.com/es/rally/pick?pickup_date=2026-06-11&amp;return_date=2026-06-18&amp;currency=EUR&amp;startStation=1&amp;endStation=34",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2026-06-05</t>
        </is>
      </c>
      <c r="F580" t="inlineStr">
        <is>
          <t>2026-06-12</t>
        </is>
      </c>
      <c r="G580" t="inlineStr">
        <is>
          <t xml:space="preserve"> - Camper Castle</t>
        </is>
      </c>
      <c r="H580">
        <f>HYPERLINK("https://booking.roadsurfer.com/es/rally/pick?pickup_date=2026-06-05&amp;return_date=2026-06-12&amp;currency=EUR&amp;startStation=1&amp;endStation=34",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Italia</t>
        </is>
      </c>
      <c r="D581" t="inlineStr">
        <is>
          <t>Milán</t>
        </is>
      </c>
      <c r="E581" t="inlineStr">
        <is>
          <t>2026-06-08</t>
        </is>
      </c>
      <c r="F581" t="inlineStr">
        <is>
          <t>2026-06-15</t>
        </is>
      </c>
      <c r="G581" t="inlineStr">
        <is>
          <t xml:space="preserve"> - Couple Cottage</t>
        </is>
      </c>
      <c r="H581">
        <f>HYPERLINK("https://booking.roadsurfer.com/es/rally/pick?pickup_date=2026-06-08&amp;return_date=2026-06-15&amp;currency=EUR&amp;startStation=1&amp;endStation=34",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Italia</t>
        </is>
      </c>
      <c r="D582" t="inlineStr">
        <is>
          <t>Milán</t>
        </is>
      </c>
      <c r="E582" t="inlineStr">
        <is>
          <t>2026-06-09</t>
        </is>
      </c>
      <c r="F582" t="inlineStr">
        <is>
          <t>2026-06-16</t>
        </is>
      </c>
      <c r="G582" t="inlineStr">
        <is>
          <t xml:space="preserve"> - Couple Cottage</t>
        </is>
      </c>
      <c r="H582">
        <f>HYPERLINK("https://booking.roadsurfer.com/es/rally/pick?pickup_date=2026-06-09&amp;return_date=2026-06-16&amp;currency=EUR&amp;startStation=1&amp;endStation=34",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2026-06-29</t>
        </is>
      </c>
      <c r="F583" t="inlineStr">
        <is>
          <t>2026-07-06</t>
        </is>
      </c>
      <c r="G583" t="inlineStr">
        <is>
          <t xml:space="preserve"> - No hay coche</t>
        </is>
      </c>
      <c r="H583">
        <f>HYPERLINK("https://booking.roadsurfer.com/es/rally/pick?pickup_date=2026-06-29&amp;return_date=2026-07-06&amp;currency=EUR&amp;startStation=1&amp;endStation=30",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2026-06-19</t>
        </is>
      </c>
      <c r="F584" t="inlineStr">
        <is>
          <t>2026-06-26</t>
        </is>
      </c>
      <c r="G584" t="inlineStr"/>
      <c r="H584">
        <f>HYPERLINK("https://booking.roadsurfer.com/es/rally/pick?pickup_date=2026-06-19&amp;return_date=2026-06-26&amp;currency=EUR&amp;startStation=1&amp;endStation=30",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España</t>
        </is>
      </c>
      <c r="D585" t="inlineStr">
        <is>
          <t>Bilbao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Camper Castle</t>
        </is>
      </c>
      <c r="H585">
        <f>HYPERLINK("https://booking.roadsurfer.com/es/rally/pick?pickup_date=2026-05-11&amp;return_date=2026-05-18&amp;currency=EUR&amp;startStation=1&amp;endStation=40",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Alemania</t>
        </is>
      </c>
      <c r="D586" t="inlineStr">
        <is>
          <t>Flensburgo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No hay coche</t>
        </is>
      </c>
      <c r="H586">
        <f>HYPERLINK("https://booking.roadsurfer.com/es/rally/pick?pickup_date=2026-05-06&amp;return_date=2026-05-13&amp;currency=EUR&amp;startStation=1&amp;endStation=130",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Alemania</t>
        </is>
      </c>
      <c r="D587" t="inlineStr">
        <is>
          <t>Flensburgo</t>
        </is>
      </c>
      <c r="E587" t="inlineStr">
        <is>
          <t>2026-05-07</t>
        </is>
      </c>
      <c r="F587" t="inlineStr">
        <is>
          <t>2026-05-14</t>
        </is>
      </c>
      <c r="G587" t="inlineStr"/>
      <c r="H587">
        <f>HYPERLINK("https://booking.roadsurfer.com/es/rally/pick?pickup_date=2026-05-07&amp;return_date=2026-05-14&amp;currency=EUR&amp;startStation=1&amp;endStation=130",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Alemania</t>
        </is>
      </c>
      <c r="D588" t="inlineStr">
        <is>
          <t>Flensburgo</t>
        </is>
      </c>
      <c r="E588" t="inlineStr">
        <is>
          <t>2026-05-08</t>
        </is>
      </c>
      <c r="F588" t="inlineStr">
        <is>
          <t>2026-05-15</t>
        </is>
      </c>
      <c r="G588" t="inlineStr"/>
      <c r="H588">
        <f>HYPERLINK("https://booking.roadsurfer.com/es/rally/pick?pickup_date=2026-05-08&amp;return_date=2026-05-15&amp;currency=EUR&amp;startStation=1&amp;endStation=130",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Italia</t>
        </is>
      </c>
      <c r="D589" t="inlineStr">
        <is>
          <t>Bérgamo</t>
        </is>
      </c>
      <c r="E589" t="inlineStr">
        <is>
          <t>2026-06-11</t>
        </is>
      </c>
      <c r="F589" t="inlineStr">
        <is>
          <t>2026-06-18</t>
        </is>
      </c>
      <c r="G589" t="inlineStr">
        <is>
          <t xml:space="preserve"> - No hay coche</t>
        </is>
      </c>
      <c r="H589">
        <f>HYPERLINK("https://booking.roadsurfer.com/es/rally/pick?pickup_date=2026-06-11&amp;return_date=2026-06-18&amp;currency=EUR&amp;startStation=1&amp;endStation=94",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Suecia</t>
        </is>
      </c>
      <c r="D590" t="inlineStr">
        <is>
          <t>Estocolmo</t>
        </is>
      </c>
      <c r="E590" t="inlineStr">
        <is>
          <t>2026-06-12</t>
        </is>
      </c>
      <c r="F590" t="inlineStr">
        <is>
          <t>2026-06-19</t>
        </is>
      </c>
      <c r="G590" t="inlineStr">
        <is>
          <t xml:space="preserve"> - No hay coche</t>
        </is>
      </c>
      <c r="H590">
        <f>HYPERLINK("https://booking.roadsurfer.com/es/rally/pick?pickup_date=2026-06-12&amp;return_date=2026-06-19&amp;currency=EUR&amp;startStation=1&amp;endStation=59",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2026-06-08</t>
        </is>
      </c>
      <c r="F591" t="inlineStr">
        <is>
          <t>2026-06-15</t>
        </is>
      </c>
      <c r="G591" t="inlineStr">
        <is>
          <t xml:space="preserve"> - Couple Cottage</t>
        </is>
      </c>
      <c r="H591">
        <f>HYPERLINK("https://booking.roadsurfer.com/es/rally/pick?pickup_date=2026-06-08&amp;return_date=2026-06-15&amp;currency=EUR&amp;startStation=1&amp;endStation=17",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España</t>
        </is>
      </c>
      <c r="D592" t="inlineStr">
        <is>
          <t>Barcelona</t>
        </is>
      </c>
      <c r="E592" t="inlineStr">
        <is>
          <t>2026-06-02</t>
        </is>
      </c>
      <c r="F592" t="inlineStr">
        <is>
          <t>2026-06-09</t>
        </is>
      </c>
      <c r="G592" t="inlineStr"/>
      <c r="H592">
        <f>HYPERLINK("https://booking.roadsurfer.com/es/rally/pick?pickup_date=2026-06-02&amp;return_date=2026-06-09&amp;currency=EUR&amp;startStation=1&amp;endStation=17",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Italia</t>
        </is>
      </c>
      <c r="D593" t="inlineStr">
        <is>
          <t>Bolonia</t>
        </is>
      </c>
      <c r="E593" t="inlineStr">
        <is>
          <t>2026-06-05</t>
        </is>
      </c>
      <c r="F593" t="inlineStr">
        <is>
          <t>2026-06-12</t>
        </is>
      </c>
      <c r="G593" t="inlineStr"/>
      <c r="H593">
        <f>HYPERLINK("https://booking.roadsurfer.com/es/rally/pick?pickup_date=2026-06-05&amp;return_date=2026-06-12&amp;currency=EUR&amp;startStation=1&amp;endStation=57",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Francia</t>
        </is>
      </c>
      <c r="D594" t="inlineStr">
        <is>
          <t>Burdeos</t>
        </is>
      </c>
      <c r="E594" t="inlineStr">
        <is>
          <t>2026-05-06</t>
        </is>
      </c>
      <c r="F594" t="inlineStr">
        <is>
          <t>2026-05-13</t>
        </is>
      </c>
      <c r="G594" t="inlineStr">
        <is>
          <t xml:space="preserve"> - Sunrise Suite</t>
        </is>
      </c>
      <c r="H594">
        <f>HYPERLINK("https://booking.roadsurfer.com/es/rally/pick?pickup_date=2026-05-06&amp;return_date=2026-05-13&amp;currency=EUR&amp;startStation=1&amp;endStation=13",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Lindau-Wangen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Surfer Suite</t>
        </is>
      </c>
      <c r="H595">
        <f>HYPERLINK("https://booking.roadsurfer.com/es/rally/pick?pickup_date=2026-05-11&amp;return_date=2026-05-18&amp;currency=EUR&amp;startStation=31&amp;endStation=117",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Lindau-Wangen</t>
        </is>
      </c>
      <c r="E596" t="inlineStr">
        <is>
          <t>2026-05-18</t>
        </is>
      </c>
      <c r="F596" t="inlineStr">
        <is>
          <t>2026-05-25</t>
        </is>
      </c>
      <c r="G596" t="inlineStr"/>
      <c r="H596">
        <f>HYPERLINK("https://booking.roadsurfer.com/es/rally/pick?pickup_date=2026-05-18&amp;return_date=2026-05-25&amp;currency=EUR&amp;startStation=31&amp;endStation=117",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Ulm</t>
        </is>
      </c>
      <c r="E597" t="inlineStr">
        <is>
          <t>2026-05-09</t>
        </is>
      </c>
      <c r="F597" t="inlineStr">
        <is>
          <t>2026-05-16</t>
        </is>
      </c>
      <c r="G597" t="inlineStr">
        <is>
          <t xml:space="preserve"> - Beach Hostel</t>
        </is>
      </c>
      <c r="H597">
        <f>HYPERLINK("https://booking.roadsurfer.com/es/rally/pick?pickup_date=2026-05-09&amp;return_date=2026-05-16&amp;currency=EUR&amp;startStation=31&amp;endStation=112",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Aquisgrán</t>
        </is>
      </c>
      <c r="E598" t="inlineStr">
        <is>
          <t>2026-05-11</t>
        </is>
      </c>
      <c r="F598" t="inlineStr">
        <is>
          <t>2026-05-18</t>
        </is>
      </c>
      <c r="G598" t="inlineStr"/>
      <c r="H598">
        <f>HYPERLINK("https://booking.roadsurfer.com/es/rally/pick?pickup_date=2026-05-11&amp;return_date=2026-05-18&amp;currency=EUR&amp;startStation=31&amp;endStation=114",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Maguncia</t>
        </is>
      </c>
      <c r="E599" t="inlineStr">
        <is>
          <t>2026-05-18</t>
        </is>
      </c>
      <c r="F599" t="inlineStr">
        <is>
          <t>2026-05-26</t>
        </is>
      </c>
      <c r="G599" t="inlineStr">
        <is>
          <t xml:space="preserve"> - Camper Cabin</t>
        </is>
      </c>
      <c r="H599">
        <f>HYPERLINK("https://booking.roadsurfer.com/es/rally/pick?pickup_date=2026-05-18&amp;return_date=2026-05-26&amp;currency=EUR&amp;startStation=31&amp;endStation=54", "Clic para verlo en la web de RoadSurfer")</f>
        <v/>
      </c>
    </row>
    <row r="600">
      <c r="A600" t="inlineStr">
        <is>
          <t>Alemania</t>
        </is>
      </c>
      <c r="B600" t="inlineStr">
        <is>
          <t>Núremberg</t>
        </is>
      </c>
      <c r="C600" t="inlineStr">
        <is>
          <t>España</t>
        </is>
      </c>
      <c r="D600" t="inlineStr">
        <is>
          <t>Madrid</t>
        </is>
      </c>
      <c r="E600" t="inlineStr">
        <is>
          <t>2026-06-08</t>
        </is>
      </c>
      <c r="F600" t="inlineStr">
        <is>
          <t>2026-06-15</t>
        </is>
      </c>
      <c r="G600" t="inlineStr"/>
      <c r="H600">
        <f>HYPERLINK("https://booking.roadsurfer.com/es/rally/pick?pickup_date=2026-06-08&amp;return_date=2026-06-15&amp;currency=EUR&amp;startStation=11&amp;endStation=20", "Clic para verlo en la web de RoadSurfer")</f>
        <v/>
      </c>
    </row>
    <row r="601">
      <c r="A601" t="inlineStr">
        <is>
          <t>Alemania</t>
        </is>
      </c>
      <c r="B601" t="inlineStr">
        <is>
          <t>Núremberg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2026-05-08</t>
        </is>
      </c>
      <c r="F601" t="inlineStr">
        <is>
          <t>2026-05-15</t>
        </is>
      </c>
      <c r="G601" t="inlineStr"/>
      <c r="H601">
        <f>HYPERLINK("https://booking.roadsurfer.com/es/rally/pick?pickup_date=2026-05-08&amp;return_date=2026-05-15&amp;currency=EUR&amp;startStation=11&amp;endStation=30", "Clic para verlo en la web de RoadSurfer")</f>
        <v/>
      </c>
    </row>
    <row r="602">
      <c r="A602" t="inlineStr">
        <is>
          <t>Alemania</t>
        </is>
      </c>
      <c r="B602" t="inlineStr">
        <is>
          <t>Núremberg</t>
        </is>
      </c>
      <c r="C602" t="inlineStr">
        <is>
          <t>Italia</t>
        </is>
      </c>
      <c r="D602" t="inlineStr">
        <is>
          <t>Bérgamo</t>
        </is>
      </c>
      <c r="E602" t="inlineStr">
        <is>
          <t>2026-06-29</t>
        </is>
      </c>
      <c r="F602" t="inlineStr">
        <is>
          <t>2026-07-06</t>
        </is>
      </c>
      <c r="G602" t="inlineStr">
        <is>
          <t xml:space="preserve"> - Couple Cottage</t>
        </is>
      </c>
      <c r="H602">
        <f>HYPERLINK("https://booking.roadsurfer.com/es/rally/pick?pickup_date=2026-06-29&amp;return_date=2026-07-06&amp;currency=EUR&amp;startStation=11&amp;endStation=94",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Colonia-Düsseldorf</t>
        </is>
      </c>
      <c r="E603" t="inlineStr">
        <is>
          <t>2026-05-07</t>
        </is>
      </c>
      <c r="F603" t="inlineStr">
        <is>
          <t>2026-05-13</t>
        </is>
      </c>
      <c r="G603" t="inlineStr"/>
      <c r="H603">
        <f>HYPERLINK("https://booking.roadsurfer.com/es/rally/pick?pickup_date=2026-05-07&amp;return_date=2026-05-13&amp;currency=EUR&amp;startStation=12&amp;endStation=4",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2026-05-08</t>
        </is>
      </c>
      <c r="F604" t="inlineStr">
        <is>
          <t>2026-05-15</t>
        </is>
      </c>
      <c r="G604" t="inlineStr"/>
      <c r="H604">
        <f>HYPERLINK("https://booking.roadsurfer.com/es/rally/pick?pickup_date=2026-05-08&amp;return_date=2026-05-15&amp;currency=EUR&amp;startStation=12&amp;endStation=56",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Bochum</t>
        </is>
      </c>
      <c r="E605" t="inlineStr">
        <is>
          <t>2026-05-21</t>
        </is>
      </c>
      <c r="F605" t="inlineStr">
        <is>
          <t>2026-05-28</t>
        </is>
      </c>
      <c r="G605" t="inlineStr">
        <is>
          <t xml:space="preserve"> - Couple Cottage</t>
        </is>
      </c>
      <c r="H605">
        <f>HYPERLINK("https://booking.roadsurfer.com/es/rally/pick?pickup_date=2026-05-21&amp;return_date=2026-05-28&amp;currency=EUR&amp;startStation=12&amp;endStation=24", "Clic para verlo en la web de RoadSurfer")</f>
        <v/>
      </c>
    </row>
    <row r="606">
      <c r="A606" t="inlineStr">
        <is>
          <t>Alemania</t>
        </is>
      </c>
      <c r="B606" t="inlineStr">
        <is>
          <t>Ratisbona</t>
        </is>
      </c>
      <c r="C606" t="inlineStr">
        <is>
          <t>Alemania</t>
        </is>
      </c>
      <c r="D606" t="inlineStr">
        <is>
          <t>Karlsruhe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Surfer Suite</t>
        </is>
      </c>
      <c r="H606">
        <f>HYPERLINK("https://booking.roadsurfer.com/es/rally/pick?pickup_date=2026-05-11&amp;return_date=2026-05-18&amp;currency=EUR&amp;startStation=89&amp;endStation=110", "Clic para verlo en la web de RoadSurfer")</f>
        <v/>
      </c>
    </row>
    <row r="607">
      <c r="A607" t="inlineStr">
        <is>
          <t>Alemania</t>
        </is>
      </c>
      <c r="B607" t="inlineStr">
        <is>
          <t>Ratisbona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No hay coche</t>
        </is>
      </c>
      <c r="H607">
        <f>HYPERLINK("https://booking.roadsurfer.com/es/rally/pick?pickup_date=2026-05-11&amp;return_date=2026-05-18&amp;currency=EUR&amp;startStation=89&amp;endStation=51", "Clic para verlo en la web de RoadSurfer")</f>
        <v/>
      </c>
    </row>
    <row r="608">
      <c r="A608" t="inlineStr">
        <is>
          <t>Austria</t>
        </is>
      </c>
      <c r="B608" t="inlineStr">
        <is>
          <t>Salzburgo</t>
        </is>
      </c>
      <c r="C608" t="inlineStr">
        <is>
          <t>Alemania</t>
        </is>
      </c>
      <c r="D608" t="inlineStr">
        <is>
          <t>Colonia-Bonn</t>
        </is>
      </c>
      <c r="E608" t="inlineStr">
        <is>
          <t>2026-05-07</t>
        </is>
      </c>
      <c r="F608" t="inlineStr">
        <is>
          <t>2026-05-14</t>
        </is>
      </c>
      <c r="G608" t="inlineStr">
        <is>
          <t xml:space="preserve"> - No hay coche</t>
        </is>
      </c>
      <c r="H608">
        <f>HYPERLINK("https://booking.roadsurfer.com/es/rally/pick?pickup_date=2026-05-07&amp;return_date=2026-05-14&amp;currency=EUR&amp;startStation=85&amp;endStation=52", "Clic para verlo en la web de RoadSurfer")</f>
        <v/>
      </c>
    </row>
    <row r="609">
      <c r="A609" t="inlineStr">
        <is>
          <t>España</t>
        </is>
      </c>
      <c r="B609" t="inlineStr">
        <is>
          <t>Sevilla</t>
        </is>
      </c>
      <c r="C609" t="inlineStr">
        <is>
          <t>Alemania</t>
        </is>
      </c>
      <c r="D609" t="inlineStr">
        <is>
          <t>Friburgo-Basilea (Alemania)</t>
        </is>
      </c>
      <c r="E609" t="inlineStr">
        <is>
          <t>2026-05-08</t>
        </is>
      </c>
      <c r="F609" t="inlineStr">
        <is>
          <t>2026-05-15</t>
        </is>
      </c>
      <c r="G609" t="inlineStr">
        <is>
          <t xml:space="preserve"> - Surfer Suite</t>
        </is>
      </c>
      <c r="H609">
        <f>HYPERLINK("https://booking.roadsurfer.com/es/rally/pick?pickup_date=2026-05-08&amp;return_date=2026-05-15&amp;currency=EUR&amp;startStation=39&amp;endStation=9", "Clic para verlo en la web de RoadSurfer")</f>
        <v/>
      </c>
    </row>
    <row r="610">
      <c r="A610" t="inlineStr">
        <is>
          <t>España</t>
        </is>
      </c>
      <c r="B610" t="inlineStr">
        <is>
          <t>Sevilla</t>
        </is>
      </c>
      <c r="C610" t="inlineStr">
        <is>
          <t>Alemania</t>
        </is>
      </c>
      <c r="D610" t="inlineStr">
        <is>
          <t>Friburgo-Basilea (Alemania)</t>
        </is>
      </c>
      <c r="E610" t="inlineStr">
        <is>
          <t>2026-05-16</t>
        </is>
      </c>
      <c r="F610" t="inlineStr">
        <is>
          <t>2026-05-23</t>
        </is>
      </c>
      <c r="G610" t="inlineStr"/>
      <c r="H610">
        <f>HYPERLINK("https://booking.roadsurfer.com/es/rally/pick?pickup_date=2026-05-16&amp;return_date=2026-05-23&amp;currency=EUR&amp;startStation=39&amp;endStation=9", "Clic para verlo en la web de RoadSurfer")</f>
        <v/>
      </c>
    </row>
    <row r="611">
      <c r="A611" t="inlineStr">
        <is>
          <t>España</t>
        </is>
      </c>
      <c r="B611" t="inlineStr">
        <is>
          <t>Sevilla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Beach Hostel</t>
        </is>
      </c>
      <c r="H611">
        <f>HYPERLINK("https://booking.roadsurfer.com/es/rally/pick?pickup_date=2026-05-11&amp;return_date=2026-05-18&amp;currency=EUR&amp;startStation=39&amp;endStation=56", "Clic para verlo en la web de RoadSurfer")</f>
        <v/>
      </c>
    </row>
    <row r="612">
      <c r="A612" t="inlineStr">
        <is>
          <t>España</t>
        </is>
      </c>
      <c r="B612" t="inlineStr">
        <is>
          <t>Sevilla</t>
        </is>
      </c>
      <c r="C612" t="inlineStr">
        <is>
          <t>Alemania</t>
        </is>
      </c>
      <c r="D612" t="inlineStr">
        <is>
          <t>Hamburgo</t>
        </is>
      </c>
      <c r="E612" t="inlineStr">
        <is>
          <t>2026-05-18</t>
        </is>
      </c>
      <c r="F612" t="inlineStr">
        <is>
          <t>2026-05-21</t>
        </is>
      </c>
      <c r="G612" t="inlineStr"/>
      <c r="H612">
        <f>HYPERLINK("https://booking.roadsurfer.com/es/rally/pick?pickup_date=2026-05-18&amp;return_date=2026-05-21&amp;currency=EUR&amp;startStation=39&amp;endStation=3",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Tréveris</t>
        </is>
      </c>
      <c r="E613" t="inlineStr">
        <is>
          <t>2026-05-14</t>
        </is>
      </c>
      <c r="F613" t="inlineStr">
        <is>
          <t>2026-05-21</t>
        </is>
      </c>
      <c r="G613" t="inlineStr"/>
      <c r="H613">
        <f>HYPERLINK("https://booking.roadsurfer.com/es/rally/pick?pickup_date=2026-05-14&amp;return_date=2026-05-21&amp;currency=EUR&amp;startStation=39&amp;endStation=28",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Alemania</t>
        </is>
      </c>
      <c r="D614" t="inlineStr">
        <is>
          <t>Tréveris</t>
        </is>
      </c>
      <c r="E614" t="inlineStr">
        <is>
          <t>2026-05-21</t>
        </is>
      </c>
      <c r="F614" t="inlineStr">
        <is>
          <t>2026-05-28</t>
        </is>
      </c>
      <c r="G614" t="inlineStr">
        <is>
          <t xml:space="preserve"> - Couple Cottage</t>
        </is>
      </c>
      <c r="H614">
        <f>HYPERLINK("https://booking.roadsurfer.com/es/rally/pick?pickup_date=2026-05-21&amp;return_date=2026-05-28&amp;currency=EUR&amp;startStation=39&amp;endStation=28", "Clic para verlo en la web de RoadSurfer")</f>
        <v/>
      </c>
    </row>
    <row r="615">
      <c r="A615" t="inlineStr">
        <is>
          <t>Suecia</t>
        </is>
      </c>
      <c r="B615" t="inlineStr">
        <is>
          <t>Estocolmo</t>
        </is>
      </c>
      <c r="C615" t="inlineStr">
        <is>
          <t>Alemania</t>
        </is>
      </c>
      <c r="D615" t="inlineStr">
        <is>
          <t>Wurzburgo</t>
        </is>
      </c>
      <c r="E615" t="inlineStr">
        <is>
          <t>2026-05-05</t>
        </is>
      </c>
      <c r="F615" t="inlineStr">
        <is>
          <t>2026-05-12</t>
        </is>
      </c>
      <c r="G615" t="inlineStr"/>
      <c r="H615">
        <f>HYPERLINK("https://booking.roadsurfer.com/es/rally/pick?pickup_date=2026-05-05&amp;return_date=2026-05-12&amp;currency=EUR&amp;startStation=59&amp;endStation=115", "Clic para verlo en la web de RoadSurfer")</f>
        <v/>
      </c>
    </row>
    <row r="616">
      <c r="A616" t="inlineStr">
        <is>
          <t>Suecia</t>
        </is>
      </c>
      <c r="B616" t="inlineStr">
        <is>
          <t>Estocolmo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2026-05-11</t>
        </is>
      </c>
      <c r="F616" t="inlineStr">
        <is>
          <t>2026-05-18</t>
        </is>
      </c>
      <c r="G616" t="inlineStr"/>
      <c r="H616">
        <f>HYPERLINK("https://booking.roadsurfer.com/es/rally/pick?pickup_date=2026-05-11&amp;return_date=2026-05-18&amp;currency=EUR&amp;startStation=59&amp;endStation=2", "Clic para verlo en la web de RoadSurfer")</f>
        <v/>
      </c>
    </row>
    <row r="617">
      <c r="A617" t="inlineStr">
        <is>
          <t>Suecia</t>
        </is>
      </c>
      <c r="B617" t="inlineStr">
        <is>
          <t>Estocolmo</t>
        </is>
      </c>
      <c r="C617" t="inlineStr">
        <is>
          <t>Alemania</t>
        </is>
      </c>
      <c r="D617" t="inlineStr">
        <is>
          <t>Bremen</t>
        </is>
      </c>
      <c r="E617" t="inlineStr">
        <is>
          <t>2026-05-20</t>
        </is>
      </c>
      <c r="F617" t="inlineStr">
        <is>
          <t>2026-05-27</t>
        </is>
      </c>
      <c r="G617" t="inlineStr"/>
      <c r="H617">
        <f>HYPERLINK("https://booking.roadsurfer.com/es/rally/pick?pickup_date=2026-05-20&amp;return_date=2026-05-27&amp;currency=EUR&amp;startStation=59&amp;endStation=55", "Clic para verlo en la web de RoadSurfer")</f>
        <v/>
      </c>
    </row>
    <row r="618">
      <c r="A618" t="inlineStr">
        <is>
          <t>Suecia</t>
        </is>
      </c>
      <c r="B618" t="inlineStr">
        <is>
          <t>Estocolmo</t>
        </is>
      </c>
      <c r="C618" t="inlineStr">
        <is>
          <t>Alemania</t>
        </is>
      </c>
      <c r="D618" t="inlineStr">
        <is>
          <t>Bremen</t>
        </is>
      </c>
      <c r="E618" t="inlineStr">
        <is>
          <t>2026-05-06</t>
        </is>
      </c>
      <c r="F618" t="inlineStr">
        <is>
          <t>2026-05-13</t>
        </is>
      </c>
      <c r="G618" t="inlineStr">
        <is>
          <t xml:space="preserve"> - Beach Hostel</t>
        </is>
      </c>
      <c r="H618">
        <f>HYPERLINK("https://booking.roadsurfer.com/es/rally/pick?pickup_date=2026-05-06&amp;return_date=2026-05-13&amp;currency=EUR&amp;startStation=59&amp;endStation=55", "Clic para verlo en la web de RoadSurfer")</f>
        <v/>
      </c>
    </row>
    <row r="619">
      <c r="A619" t="inlineStr">
        <is>
          <t>Suecia</t>
        </is>
      </c>
      <c r="B619" t="inlineStr">
        <is>
          <t>Estocolmo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2026-05-07</t>
        </is>
      </c>
      <c r="F619" t="inlineStr">
        <is>
          <t>2026-05-14</t>
        </is>
      </c>
      <c r="G619" t="inlineStr">
        <is>
          <t xml:space="preserve"> - Camper Castle - Sunrise Suite</t>
        </is>
      </c>
      <c r="H619">
        <f>HYPERLINK("https://booking.roadsurfer.com/es/rally/pick?pickup_date=2026-05-07&amp;return_date=2026-05-14&amp;currency=EUR&amp;startStation=59&amp;endStation=22", "Clic para verlo en la web de RoadSurfer")</f>
        <v/>
      </c>
    </row>
    <row r="620">
      <c r="A620" t="inlineStr">
        <is>
          <t>Suecia</t>
        </is>
      </c>
      <c r="B620" t="inlineStr">
        <is>
          <t>Estocolmo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2026-05-18</t>
        </is>
      </c>
      <c r="F620" t="inlineStr">
        <is>
          <t>2026-05-25</t>
        </is>
      </c>
      <c r="G620" t="inlineStr"/>
      <c r="H620">
        <f>HYPERLINK("https://booking.roadsurfer.com/es/rally/pick?pickup_date=2026-05-18&amp;return_date=2026-05-25&amp;currency=EUR&amp;startStation=59&amp;endStation=22", "Clic para verlo en la web de RoadSurfer")</f>
        <v/>
      </c>
    </row>
    <row r="621">
      <c r="A621" t="inlineStr">
        <is>
          <t>Suecia</t>
        </is>
      </c>
      <c r="B621" t="inlineStr">
        <is>
          <t>Estocolmo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2026-05-08</t>
        </is>
      </c>
      <c r="F621" t="inlineStr">
        <is>
          <t>2026-05-15</t>
        </is>
      </c>
      <c r="G621" t="inlineStr"/>
      <c r="H621">
        <f>HYPERLINK("https://booking.roadsurfer.com/es/rally/pick?pickup_date=2026-05-08&amp;return_date=2026-05-15&amp;currency=EUR&amp;startStation=59&amp;endStation=22",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2026-05-25</t>
        </is>
      </c>
      <c r="F622" t="inlineStr">
        <is>
          <t>2026-06-01</t>
        </is>
      </c>
      <c r="G622" t="inlineStr"/>
      <c r="H622">
        <f>HYPERLINK("https://booking.roadsurfer.com/es/rally/pick?pickup_date=2026-05-25&amp;return_date=2026-06-01&amp;currency=EUR&amp;startStation=59&amp;endStation=22",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Dresde</t>
        </is>
      </c>
      <c r="E623" t="inlineStr">
        <is>
          <t>2026-05-14</t>
        </is>
      </c>
      <c r="F623" t="inlineStr">
        <is>
          <t>2026-05-21</t>
        </is>
      </c>
      <c r="G623" t="inlineStr"/>
      <c r="H623">
        <f>HYPERLINK("https://booking.roadsurfer.com/es/rally/pick?pickup_date=2026-05-14&amp;return_date=2026-05-21&amp;currency=EUR&amp;startStation=59&amp;endStation=56",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2026-05-07</t>
        </is>
      </c>
      <c r="F624" t="inlineStr">
        <is>
          <t>2026-05-14</t>
        </is>
      </c>
      <c r="G624" t="inlineStr">
        <is>
          <t xml:space="preserve"> - No hay coche</t>
        </is>
      </c>
      <c r="H624">
        <f>HYPERLINK("https://booking.roadsurfer.com/es/rally/pick?pickup_date=2026-05-07&amp;return_date=2026-05-14&amp;currency=EUR&amp;startStation=59&amp;endStation=56",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2026-05-11</t>
        </is>
      </c>
      <c r="F625" t="inlineStr">
        <is>
          <t>2026-05-18</t>
        </is>
      </c>
      <c r="G625" t="inlineStr"/>
      <c r="H625">
        <f>HYPERLINK("https://booking.roadsurfer.com/es/rally/pick?pickup_date=2026-05-11&amp;return_date=2026-05-18&amp;currency=EUR&amp;startStation=59&amp;endStation=56",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Bielefeld</t>
        </is>
      </c>
      <c r="E626" t="inlineStr">
        <is>
          <t>2026-05-11</t>
        </is>
      </c>
      <c r="F626" t="inlineStr">
        <is>
          <t>2026-05-18</t>
        </is>
      </c>
      <c r="G626" t="inlineStr">
        <is>
          <t xml:space="preserve"> - Road House - Sunrise Suite</t>
        </is>
      </c>
      <c r="H626">
        <f>HYPERLINK("https://booking.roadsurfer.com/es/rally/pick?pickup_date=2026-05-11&amp;return_date=2026-05-18&amp;currency=EUR&amp;startStation=59&amp;endStation=91",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Bielefeld</t>
        </is>
      </c>
      <c r="E627" t="inlineStr">
        <is>
          <t>2026-05-29</t>
        </is>
      </c>
      <c r="F627" t="inlineStr">
        <is>
          <t>2026-06-05</t>
        </is>
      </c>
      <c r="G627" t="inlineStr">
        <is>
          <t xml:space="preserve"> - Couple Cottage</t>
        </is>
      </c>
      <c r="H627">
        <f>HYPERLINK("https://booking.roadsurfer.com/es/rally/pick?pickup_date=2026-05-29&amp;return_date=2026-06-05&amp;currency=EUR&amp;startStation=59&amp;endStation=91",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2026-05-04</t>
        </is>
      </c>
      <c r="F628" t="inlineStr">
        <is>
          <t>2026-05-11</t>
        </is>
      </c>
      <c r="G628" t="inlineStr"/>
      <c r="H628">
        <f>HYPERLINK("https://booking.roadsurfer.com/es/rally/pick?pickup_date=2026-05-04&amp;return_date=2026-05-11&amp;currency=EUR&amp;startStation=59&amp;endStation=110",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Karlsruhe</t>
        </is>
      </c>
      <c r="E629" t="inlineStr">
        <is>
          <t>2026-05-05</t>
        </is>
      </c>
      <c r="F629" t="inlineStr">
        <is>
          <t>2026-05-12</t>
        </is>
      </c>
      <c r="G629" t="inlineStr"/>
      <c r="H629">
        <f>HYPERLINK("https://booking.roadsurfer.com/es/rally/pick?pickup_date=2026-05-05&amp;return_date=2026-05-12&amp;currency=EUR&amp;startStation=59&amp;endStation=110",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Lübeck</t>
        </is>
      </c>
      <c r="E630" t="inlineStr">
        <is>
          <t>2026-05-06</t>
        </is>
      </c>
      <c r="F630" t="inlineStr">
        <is>
          <t>2026-05-13</t>
        </is>
      </c>
      <c r="G630" t="inlineStr"/>
      <c r="H630">
        <f>HYPERLINK("https://booking.roadsurfer.com/es/rally/pick?pickup_date=2026-05-06&amp;return_date=2026-05-13&amp;currency=EUR&amp;startStation=59&amp;endStation=109",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Lübeck</t>
        </is>
      </c>
      <c r="E631" t="inlineStr">
        <is>
          <t>2026-05-12</t>
        </is>
      </c>
      <c r="F631" t="inlineStr">
        <is>
          <t>2026-05-19</t>
        </is>
      </c>
      <c r="G631" t="inlineStr">
        <is>
          <t xml:space="preserve"> - Camper Castle</t>
        </is>
      </c>
      <c r="H631">
        <f>HYPERLINK("https://booking.roadsurfer.com/es/rally/pick?pickup_date=2026-05-12&amp;return_date=2026-05-19&amp;currency=EUR&amp;startStation=59&amp;endStation=109",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Lindau-Wangen</t>
        </is>
      </c>
      <c r="E632" t="inlineStr">
        <is>
          <t>2026-05-06</t>
        </is>
      </c>
      <c r="F632" t="inlineStr">
        <is>
          <t>2026-05-13</t>
        </is>
      </c>
      <c r="G632" t="inlineStr"/>
      <c r="H632">
        <f>HYPERLINK("https://booking.roadsurfer.com/es/rally/pick?pickup_date=2026-05-06&amp;return_date=2026-05-13&amp;currency=EUR&amp;startStation=59&amp;endStation=117",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Hamburgo</t>
        </is>
      </c>
      <c r="E633" t="inlineStr">
        <is>
          <t>2026-05-06</t>
        </is>
      </c>
      <c r="F633" t="inlineStr">
        <is>
          <t>2026-05-13</t>
        </is>
      </c>
      <c r="G633" t="inlineStr"/>
      <c r="H633">
        <f>HYPERLINK("https://booking.roadsurfer.com/es/rally/pick?pickup_date=2026-05-06&amp;return_date=2026-05-13&amp;currency=EUR&amp;startStation=59&amp;endStation=3",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Hamburgo</t>
        </is>
      </c>
      <c r="E634" t="inlineStr">
        <is>
          <t>2026-05-11</t>
        </is>
      </c>
      <c r="F634" t="inlineStr">
        <is>
          <t>2026-05-18</t>
        </is>
      </c>
      <c r="G634" t="inlineStr"/>
      <c r="H634">
        <f>HYPERLINK("https://booking.roadsurfer.com/es/rally/pick?pickup_date=2026-05-11&amp;return_date=2026-05-18&amp;currency=EUR&amp;startStation=59&amp;endStation=3", "Clic para verlo en la web de RoadSurfer")</f>
        <v/>
      </c>
    </row>
    <row r="635">
      <c r="A635" t="inlineStr">
        <is>
          <t>Alemania</t>
        </is>
      </c>
      <c r="B635" t="inlineStr">
        <is>
          <t>Stuttgart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2026-06-01</t>
        </is>
      </c>
      <c r="F635" t="inlineStr">
        <is>
          <t>2026-06-08</t>
        </is>
      </c>
      <c r="G635" t="inlineStr"/>
      <c r="H635">
        <f>HYPERLINK("https://booking.roadsurfer.com/es/rally/pick?pickup_date=2026-06-01&amp;return_date=2026-06-08&amp;currency=EUR&amp;startStation=5&amp;endStation=78", "Clic para verlo en la web de RoadSurfer")</f>
        <v/>
      </c>
    </row>
    <row r="636">
      <c r="A636" t="inlineStr">
        <is>
          <t>Alemania</t>
        </is>
      </c>
      <c r="B636" t="inlineStr">
        <is>
          <t>Stuttgart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2026-06-19</t>
        </is>
      </c>
      <c r="F636" t="inlineStr">
        <is>
          <t>2026-06-26</t>
        </is>
      </c>
      <c r="G636" t="inlineStr"/>
      <c r="H636">
        <f>HYPERLINK("https://booking.roadsurfer.com/es/rally/pick?pickup_date=2026-06-19&amp;return_date=2026-06-26&amp;currency=EUR&amp;startStation=5&amp;endStation=78", "Clic para verlo en la web de RoadSurfer")</f>
        <v/>
      </c>
    </row>
    <row r="637">
      <c r="A637" t="inlineStr">
        <is>
          <t>Alemania</t>
        </is>
      </c>
      <c r="B637" t="inlineStr">
        <is>
          <t>Stuttgart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2026-06-08</t>
        </is>
      </c>
      <c r="F637" t="inlineStr">
        <is>
          <t>2026-06-15</t>
        </is>
      </c>
      <c r="G637" t="inlineStr">
        <is>
          <t xml:space="preserve"> - Surfer Suite</t>
        </is>
      </c>
      <c r="H637">
        <f>HYPERLINK("https://booking.roadsurfer.com/es/rally/pick?pickup_date=2026-06-08&amp;return_date=2026-06-15&amp;currency=EUR&amp;startStation=5&amp;endStation=78", "Clic para verlo en la web de RoadSurfer")</f>
        <v/>
      </c>
    </row>
    <row r="638">
      <c r="A638" t="inlineStr">
        <is>
          <t>Alemania</t>
        </is>
      </c>
      <c r="B638" t="inlineStr">
        <is>
          <t>Stuttgart</t>
        </is>
      </c>
      <c r="C638" t="inlineStr">
        <is>
          <t>España</t>
        </is>
      </c>
      <c r="D638" t="inlineStr">
        <is>
          <t>Bilbao</t>
        </is>
      </c>
      <c r="E638" t="inlineStr">
        <is>
          <t>2026-05-09</t>
        </is>
      </c>
      <c r="F638" t="inlineStr">
        <is>
          <t>2026-05-16</t>
        </is>
      </c>
      <c r="G638" t="inlineStr"/>
      <c r="H638">
        <f>HYPERLINK("https://booking.roadsurfer.com/es/rally/pick?pickup_date=2026-05-09&amp;return_date=2026-05-16&amp;currency=EUR&amp;startStation=5&amp;endStation=40", "Clic para verlo en la web de RoadSurfer")</f>
        <v/>
      </c>
    </row>
    <row r="639">
      <c r="A639" t="inlineStr">
        <is>
          <t>Alemania</t>
        </is>
      </c>
      <c r="B639" t="inlineStr">
        <is>
          <t>Stuttgart</t>
        </is>
      </c>
      <c r="C639" t="inlineStr">
        <is>
          <t>Italia</t>
        </is>
      </c>
      <c r="D639" t="inlineStr">
        <is>
          <t>Bolonia</t>
        </is>
      </c>
      <c r="E639" t="inlineStr">
        <is>
          <t>2026-05-05</t>
        </is>
      </c>
      <c r="F639" t="inlineStr">
        <is>
          <t>2026-05-12</t>
        </is>
      </c>
      <c r="G639" t="inlineStr">
        <is>
          <t xml:space="preserve"> - Road House</t>
        </is>
      </c>
      <c r="H639">
        <f>HYPERLINK("https://booking.roadsurfer.com/es/rally/pick?pickup_date=2026-05-05&amp;return_date=2026-05-12&amp;currency=EUR&amp;startStation=5&amp;endStation=57", "Clic para verlo en la web de RoadSurfer")</f>
        <v/>
      </c>
    </row>
    <row r="640">
      <c r="A640" t="inlineStr">
        <is>
          <t>Alemania</t>
        </is>
      </c>
      <c r="B640" t="inlineStr">
        <is>
          <t>Stuttgart</t>
        </is>
      </c>
      <c r="C640" t="inlineStr">
        <is>
          <t>Francia</t>
        </is>
      </c>
      <c r="D640" t="inlineStr">
        <is>
          <t>Nantes</t>
        </is>
      </c>
      <c r="E640" t="inlineStr">
        <is>
          <t>2026-05-11</t>
        </is>
      </c>
      <c r="F640" t="inlineStr">
        <is>
          <t>2026-05-18</t>
        </is>
      </c>
      <c r="G640" t="inlineStr"/>
      <c r="H640">
        <f>HYPERLINK("https://booking.roadsurfer.com/es/rally/pick?pickup_date=2026-05-11&amp;return_date=2026-05-18&amp;currency=EUR&amp;startStation=5&amp;endStation=31", "Clic para verlo en la web de RoadSurfer")</f>
        <v/>
      </c>
    </row>
    <row r="641">
      <c r="A641" t="inlineStr">
        <is>
          <t>Alemania</t>
        </is>
      </c>
      <c r="B641" t="inlineStr">
        <is>
          <t>Stuttgart</t>
        </is>
      </c>
      <c r="C641" t="inlineStr">
        <is>
          <t>Francia</t>
        </is>
      </c>
      <c r="D641" t="inlineStr">
        <is>
          <t>Toulouse</t>
        </is>
      </c>
      <c r="E641" t="inlineStr">
        <is>
          <t>2026-05-06</t>
        </is>
      </c>
      <c r="F641" t="inlineStr">
        <is>
          <t>2026-05-13</t>
        </is>
      </c>
      <c r="G641" t="inlineStr">
        <is>
          <t xml:space="preserve"> - Family Finca</t>
        </is>
      </c>
      <c r="H641">
        <f>HYPERLINK("https://booking.roadsurfer.com/es/rally/pick?pickup_date=2026-05-06&amp;return_date=2026-05-13&amp;currency=EUR&amp;startStation=5&amp;endStation=30", "Clic para verlo en la web de RoadSurfer")</f>
        <v/>
      </c>
    </row>
    <row r="642">
      <c r="A642" t="inlineStr">
        <is>
          <t>Francia</t>
        </is>
      </c>
      <c r="B642" t="inlineStr">
        <is>
          <t>Toulouse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2026-05-11</t>
        </is>
      </c>
      <c r="F642" t="inlineStr">
        <is>
          <t>2026-05-18</t>
        </is>
      </c>
      <c r="G642" t="inlineStr"/>
      <c r="H642">
        <f>HYPERLINK("https://booking.roadsurfer.com/es/rally/pick?pickup_date=2026-05-11&amp;return_date=2026-05-18&amp;currency=EUR&amp;startStation=30&amp;endStation=90", "Clic para verlo en la web de RoadSurfer")</f>
        <v/>
      </c>
    </row>
    <row r="643">
      <c r="A643" t="inlineStr">
        <is>
          <t>Francia</t>
        </is>
      </c>
      <c r="B643" t="inlineStr">
        <is>
          <t>Toulouse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2026-05-26</t>
        </is>
      </c>
      <c r="F643" t="inlineStr">
        <is>
          <t>2026-06-02</t>
        </is>
      </c>
      <c r="G643" t="inlineStr">
        <is>
          <t xml:space="preserve"> - Surfer Suite</t>
        </is>
      </c>
      <c r="H643">
        <f>HYPERLINK("https://booking.roadsurfer.com/es/rally/pick?pickup_date=2026-05-26&amp;return_date=2026-06-02&amp;currency=EUR&amp;startStation=30&amp;endStation=90", "Clic para verlo en la web de RoadSurfer")</f>
        <v/>
      </c>
    </row>
    <row r="644">
      <c r="A644" t="inlineStr">
        <is>
          <t>Francia</t>
        </is>
      </c>
      <c r="B644" t="inlineStr">
        <is>
          <t>Toulouse</t>
        </is>
      </c>
      <c r="C644" t="inlineStr">
        <is>
          <t>Francia</t>
        </is>
      </c>
      <c r="D644" t="inlineStr">
        <is>
          <t>Nantes</t>
        </is>
      </c>
      <c r="E644" t="inlineStr">
        <is>
          <t>2026-06-01</t>
        </is>
      </c>
      <c r="F644" t="inlineStr">
        <is>
          <t>2026-06-08</t>
        </is>
      </c>
      <c r="G644" t="inlineStr"/>
      <c r="H644">
        <f>HYPERLINK("https://booking.roadsurfer.com/es/rally/pick?pickup_date=2026-06-01&amp;return_date=2026-06-08&amp;currency=EUR&amp;startStation=30&amp;endStation=31", "Clic para verlo en la web de RoadSurfer")</f>
        <v/>
      </c>
    </row>
    <row r="645">
      <c r="A645" t="inlineStr">
        <is>
          <t>Francia</t>
        </is>
      </c>
      <c r="B645" t="inlineStr">
        <is>
          <t>Toulouse</t>
        </is>
      </c>
      <c r="C645" t="inlineStr">
        <is>
          <t>Francia</t>
        </is>
      </c>
      <c r="D645" t="inlineStr">
        <is>
          <t>Nantes</t>
        </is>
      </c>
      <c r="E645" t="inlineStr">
        <is>
          <t>2026-06-04</t>
        </is>
      </c>
      <c r="F645" t="inlineStr">
        <is>
          <t>2026-06-11</t>
        </is>
      </c>
      <c r="G645" t="inlineStr"/>
      <c r="H645">
        <f>HYPERLINK("https://booking.roadsurfer.com/es/rally/pick?pickup_date=2026-06-04&amp;return_date=2026-06-11&amp;currency=EUR&amp;startStation=30&amp;endStation=31", "Clic para verlo en la web de RoadSurfer")</f>
        <v/>
      </c>
    </row>
    <row r="646">
      <c r="A646" t="inlineStr">
        <is>
          <t>Francia</t>
        </is>
      </c>
      <c r="B646" t="inlineStr">
        <is>
          <t>Toulouse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2026-06-11</t>
        </is>
      </c>
      <c r="F646" t="inlineStr">
        <is>
          <t>2026-06-18</t>
        </is>
      </c>
      <c r="G646" t="inlineStr">
        <is>
          <t xml:space="preserve"> - No hay coche</t>
        </is>
      </c>
      <c r="H646">
        <f>HYPERLINK("https://booking.roadsurfer.com/es/rally/pick?pickup_date=2026-06-11&amp;return_date=2026-06-18&amp;currency=EUR&amp;startStation=30&amp;endStation=56", "Clic para verlo en la web de RoadSurfer")</f>
        <v/>
      </c>
    </row>
    <row r="647">
      <c r="A647" t="inlineStr">
        <is>
          <t>Francia</t>
        </is>
      </c>
      <c r="B647" t="inlineStr">
        <is>
          <t>Toulouse</t>
        </is>
      </c>
      <c r="C647" t="inlineStr">
        <is>
          <t>Alemania</t>
        </is>
      </c>
      <c r="D647" t="inlineStr">
        <is>
          <t>Kassel</t>
        </is>
      </c>
      <c r="E647" t="inlineStr">
        <is>
          <t>2026-05-11</t>
        </is>
      </c>
      <c r="F647" t="inlineStr">
        <is>
          <t>2026-05-18</t>
        </is>
      </c>
      <c r="G647" t="inlineStr"/>
      <c r="H647">
        <f>HYPERLINK("https://booking.roadsurfer.com/es/rally/pick?pickup_date=2026-05-11&amp;return_date=2026-05-18&amp;currency=EUR&amp;startStation=30&amp;endStation=92", "Clic para verlo en la web de RoadSurfer")</f>
        <v/>
      </c>
    </row>
    <row r="648">
      <c r="A648" t="inlineStr">
        <is>
          <t>Francia</t>
        </is>
      </c>
      <c r="B648" t="inlineStr">
        <is>
          <t>Toulouse</t>
        </is>
      </c>
      <c r="C648" t="inlineStr">
        <is>
          <t>Alemania</t>
        </is>
      </c>
      <c r="D648" t="inlineStr">
        <is>
          <t>Kassel</t>
        </is>
      </c>
      <c r="E648" t="inlineStr">
        <is>
          <t>2026-06-07</t>
        </is>
      </c>
      <c r="F648" t="inlineStr">
        <is>
          <t>2026-06-14</t>
        </is>
      </c>
      <c r="G648" t="inlineStr"/>
      <c r="H648">
        <f>HYPERLINK("https://booking.roadsurfer.com/es/rally/pick?pickup_date=2026-06-07&amp;return_date=2026-06-14&amp;currency=EUR&amp;startStation=30&amp;endStation=92", "Clic para verlo en la web de RoadSurfer")</f>
        <v/>
      </c>
    </row>
    <row r="649">
      <c r="A649" t="inlineStr">
        <is>
          <t>Francia</t>
        </is>
      </c>
      <c r="B649" t="inlineStr">
        <is>
          <t>Toulouse</t>
        </is>
      </c>
      <c r="C649" t="inlineStr">
        <is>
          <t>Alemania</t>
        </is>
      </c>
      <c r="D649" t="inlineStr">
        <is>
          <t>Kassel</t>
        </is>
      </c>
      <c r="E649" t="inlineStr">
        <is>
          <t>2026-05-23</t>
        </is>
      </c>
      <c r="F649" t="inlineStr">
        <is>
          <t>2026-05-30</t>
        </is>
      </c>
      <c r="G649" t="inlineStr">
        <is>
          <t xml:space="preserve"> - Family Finca</t>
        </is>
      </c>
      <c r="H649">
        <f>HYPERLINK("https://booking.roadsurfer.com/es/rally/pick?pickup_date=2026-05-23&amp;return_date=2026-05-30&amp;currency=EUR&amp;startStation=30&amp;endStation=92", "Clic para verlo en la web de RoadSurfer")</f>
        <v/>
      </c>
    </row>
    <row r="650">
      <c r="A650" t="inlineStr">
        <is>
          <t>Alemania</t>
        </is>
      </c>
      <c r="B650" t="inlineStr">
        <is>
          <t>Tréveris</t>
        </is>
      </c>
      <c r="C650" t="inlineStr">
        <is>
          <t>España</t>
        </is>
      </c>
      <c r="D650" t="inlineStr">
        <is>
          <t>Bilbao</t>
        </is>
      </c>
      <c r="E650" t="inlineStr">
        <is>
          <t>2026-06-01</t>
        </is>
      </c>
      <c r="F650" t="inlineStr">
        <is>
          <t>2026-06-08</t>
        </is>
      </c>
      <c r="G650" t="inlineStr">
        <is>
          <t xml:space="preserve"> - Surfer Suite - Camper Castle</t>
        </is>
      </c>
      <c r="H650">
        <f>HYPERLINK("https://booking.roadsurfer.com/es/rally/pick?pickup_date=2026-06-01&amp;return_date=2026-06-08&amp;currency=EUR&amp;startStation=28&amp;endStation=40", "Clic para verlo en la web de RoadSurfer")</f>
        <v/>
      </c>
    </row>
    <row r="651">
      <c r="A651" t="inlineStr">
        <is>
          <t>Alemania</t>
        </is>
      </c>
      <c r="B651" t="inlineStr">
        <is>
          <t>Tréveris</t>
        </is>
      </c>
      <c r="C651" t="inlineStr">
        <is>
          <t>Francia</t>
        </is>
      </c>
      <c r="D651" t="inlineStr">
        <is>
          <t>Niza</t>
        </is>
      </c>
      <c r="E651" t="inlineStr">
        <is>
          <t>2026-06-14</t>
        </is>
      </c>
      <c r="F651" t="inlineStr">
        <is>
          <t>2026-06-21</t>
        </is>
      </c>
      <c r="G651" t="inlineStr"/>
      <c r="H651">
        <f>HYPERLINK("https://booking.roadsurfer.com/es/rally/pick?pickup_date=2026-06-14&amp;return_date=2026-06-21&amp;currency=EUR&amp;startStation=28&amp;endStation=88", "Clic para verlo en la web de RoadSurfer")</f>
        <v/>
      </c>
    </row>
    <row r="652">
      <c r="A652" t="inlineStr">
        <is>
          <t>Alemania</t>
        </is>
      </c>
      <c r="B652" t="inlineStr">
        <is>
          <t>Tréveris</t>
        </is>
      </c>
      <c r="C652" t="inlineStr">
        <is>
          <t>Francia</t>
        </is>
      </c>
      <c r="D652" t="inlineStr">
        <is>
          <t>Niza</t>
        </is>
      </c>
      <c r="E652" t="inlineStr">
        <is>
          <t>2026-06-09</t>
        </is>
      </c>
      <c r="F652" t="inlineStr">
        <is>
          <t>2026-06-16</t>
        </is>
      </c>
      <c r="G652" t="inlineStr"/>
      <c r="H652">
        <f>HYPERLINK("https://booking.roadsurfer.com/es/rally/pick?pickup_date=2026-06-09&amp;return_date=2026-06-16&amp;currency=EUR&amp;startStation=28&amp;endStation=88", "Clic para verlo en la web de RoadSurfer")</f>
        <v/>
      </c>
    </row>
    <row r="653">
      <c r="A653" t="inlineStr">
        <is>
          <t>Alemania</t>
        </is>
      </c>
      <c r="B653" t="inlineStr">
        <is>
          <t>Tréveris</t>
        </is>
      </c>
      <c r="C653" t="inlineStr">
        <is>
          <t>Italia</t>
        </is>
      </c>
      <c r="D653" t="inlineStr">
        <is>
          <t>Venecia</t>
        </is>
      </c>
      <c r="E653" t="inlineStr">
        <is>
          <t>2026-06-03</t>
        </is>
      </c>
      <c r="F653" t="inlineStr">
        <is>
          <t>2026-06-10</t>
        </is>
      </c>
      <c r="G653" t="inlineStr">
        <is>
          <t xml:space="preserve"> - Couple Cottage</t>
        </is>
      </c>
      <c r="H653">
        <f>HYPERLINK("https://booking.roadsurfer.com/es/rally/pick?pickup_date=2026-06-03&amp;return_date=2026-06-10&amp;currency=EUR&amp;startStation=28&amp;endStation=78", "Clic para verlo en la web de RoadSurfer")</f>
        <v/>
      </c>
    </row>
    <row r="654">
      <c r="A654" t="inlineStr">
        <is>
          <t>Alemania</t>
        </is>
      </c>
      <c r="B654" t="inlineStr">
        <is>
          <t>Ulm</t>
        </is>
      </c>
      <c r="C654" t="inlineStr">
        <is>
          <t>Francia</t>
        </is>
      </c>
      <c r="D654" t="inlineStr">
        <is>
          <t>París Sur (Orly)</t>
        </is>
      </c>
      <c r="E654" t="inlineStr">
        <is>
          <t>2026-05-06</t>
        </is>
      </c>
      <c r="F654" t="inlineStr">
        <is>
          <t>2026-05-13</t>
        </is>
      </c>
      <c r="G654" t="inlineStr"/>
      <c r="H654">
        <f>HYPERLINK("https://booking.roadsurfer.com/es/rally/pick?pickup_date=2026-05-06&amp;return_date=2026-05-13&amp;currency=EUR&amp;startStation=112&amp;endStation=12", "Clic para verlo en la web de RoadSurfer")</f>
        <v/>
      </c>
    </row>
    <row r="655">
      <c r="A655" t="inlineStr">
        <is>
          <t>Alemania</t>
        </is>
      </c>
      <c r="B655" t="inlineStr">
        <is>
          <t>Ulm</t>
        </is>
      </c>
      <c r="C655" t="inlineStr">
        <is>
          <t>Italia</t>
        </is>
      </c>
      <c r="D655" t="inlineStr">
        <is>
          <t>Venecia</t>
        </is>
      </c>
      <c r="E655" t="inlineStr">
        <is>
          <t>2026-05-26</t>
        </is>
      </c>
      <c r="F655" t="inlineStr">
        <is>
          <t>2026-06-02</t>
        </is>
      </c>
      <c r="G655" t="inlineStr">
        <is>
          <t xml:space="preserve"> - No hay coche</t>
        </is>
      </c>
      <c r="H655">
        <f>HYPERLINK("https://booking.roadsurfer.com/es/rally/pick?pickup_date=2026-05-26&amp;return_date=2026-06-02&amp;currency=EUR&amp;startStation=112&amp;endStation=78", "Clic para verlo en la web de RoadSurfer")</f>
        <v/>
      </c>
    </row>
    <row r="656">
      <c r="A656" t="inlineStr">
        <is>
          <t>Italia</t>
        </is>
      </c>
      <c r="B656" t="inlineStr">
        <is>
          <t>Venecia</t>
        </is>
      </c>
      <c r="C656" t="inlineStr">
        <is>
          <t>Alemania</t>
        </is>
      </c>
      <c r="D656" t="inlineStr">
        <is>
          <t>Stuttgart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Surfer Suite</t>
        </is>
      </c>
      <c r="H656">
        <f>HYPERLINK("https://booking.roadsurfer.com/es/rally/pick?pickup_date=2026-05-11&amp;return_date=2026-05-18&amp;currency=EUR&amp;startStation=78&amp;endStation=5", "Clic para verlo en la web de RoadSurfer")</f>
        <v/>
      </c>
    </row>
    <row r="657">
      <c r="A657" t="inlineStr">
        <is>
          <t>Italia</t>
        </is>
      </c>
      <c r="B657" t="inlineStr">
        <is>
          <t>Venecia</t>
        </is>
      </c>
      <c r="C657" t="inlineStr">
        <is>
          <t>Alemania</t>
        </is>
      </c>
      <c r="D657" t="inlineStr">
        <is>
          <t>Tréveris</t>
        </is>
      </c>
      <c r="E657" t="inlineStr">
        <is>
          <t>2026-05-14</t>
        </is>
      </c>
      <c r="F657" t="inlineStr">
        <is>
          <t>2026-05-21</t>
        </is>
      </c>
      <c r="G657" t="inlineStr"/>
      <c r="H657">
        <f>HYPERLINK("https://booking.roadsurfer.com/es/rally/pick?pickup_date=2026-05-14&amp;return_date=2026-05-21&amp;currency=EUR&amp;startStation=78&amp;endStation=28", "Clic para verlo en la web de RoadSurfer")</f>
        <v/>
      </c>
    </row>
    <row r="658">
      <c r="A658" t="inlineStr">
        <is>
          <t>Italia</t>
        </is>
      </c>
      <c r="B658" t="inlineStr">
        <is>
          <t>Venecia</t>
        </is>
      </c>
      <c r="C658" t="inlineStr">
        <is>
          <t>Alemania</t>
        </is>
      </c>
      <c r="D658" t="inlineStr">
        <is>
          <t>Tréveris</t>
        </is>
      </c>
      <c r="E658" t="inlineStr">
        <is>
          <t>2026-05-13</t>
        </is>
      </c>
      <c r="F658" t="inlineStr">
        <is>
          <t>2026-05-20</t>
        </is>
      </c>
      <c r="G658" t="inlineStr">
        <is>
          <t xml:space="preserve"> - Road House</t>
        </is>
      </c>
      <c r="H658">
        <f>HYPERLINK("https://booking.roadsurfer.com/es/rally/pick?pickup_date=2026-05-13&amp;return_date=2026-05-20&amp;currency=EUR&amp;startStation=78&amp;endStation=28", "Clic para verlo en la web de RoadSurfer")</f>
        <v/>
      </c>
    </row>
    <row r="659">
      <c r="A659" t="inlineStr">
        <is>
          <t>Austria</t>
        </is>
      </c>
      <c r="B659" t="inlineStr">
        <is>
          <t>Viena</t>
        </is>
      </c>
      <c r="C659" t="inlineStr">
        <is>
          <t>Alemania</t>
        </is>
      </c>
      <c r="D659" t="inlineStr">
        <is>
          <t>Leipzig</t>
        </is>
      </c>
      <c r="E659" t="inlineStr">
        <is>
          <t>2026-06-19</t>
        </is>
      </c>
      <c r="F659" t="inlineStr">
        <is>
          <t>2026-06-26</t>
        </is>
      </c>
      <c r="G659" t="inlineStr">
        <is>
          <t xml:space="preserve"> - Couple Cottage</t>
        </is>
      </c>
      <c r="H659">
        <f>HYPERLINK("https://booking.roadsurfer.com/es/rally/pick?pickup_date=2026-06-19&amp;return_date=2026-06-26&amp;currency=EUR&amp;startStation=36&amp;endStation=8", "Clic para verlo en la web de RoadSurfer")</f>
        <v/>
      </c>
    </row>
    <row r="660">
      <c r="A660" t="inlineStr">
        <is>
          <t>Alemania</t>
        </is>
      </c>
      <c r="B660" t="inlineStr">
        <is>
          <t>Wurzburgo</t>
        </is>
      </c>
      <c r="C660" t="inlineStr">
        <is>
          <t>Italia</t>
        </is>
      </c>
      <c r="D660" t="inlineStr">
        <is>
          <t>Bérgamo</t>
        </is>
      </c>
      <c r="E660" t="inlineStr">
        <is>
          <t>2026-06-03</t>
        </is>
      </c>
      <c r="F660" t="inlineStr">
        <is>
          <t>2026-06-10</t>
        </is>
      </c>
      <c r="G660" t="inlineStr"/>
      <c r="H660">
        <f>HYPERLINK("https://booking.roadsurfer.com/es/rally/pick?pickup_date=2026-06-03&amp;return_date=2026-06-10&amp;currency=EUR&amp;startStation=115&amp;endStation=94", "Clic para verlo en la web de RoadSurfer")</f>
        <v/>
      </c>
    </row>
    <row r="661">
      <c r="A661" t="inlineStr">
        <is>
          <t>Alemania</t>
        </is>
      </c>
      <c r="B661" t="inlineStr">
        <is>
          <t>Wurzburgo</t>
        </is>
      </c>
      <c r="C661" t="inlineStr">
        <is>
          <t>Italia</t>
        </is>
      </c>
      <c r="D661" t="inlineStr">
        <is>
          <t>Bérgamo</t>
        </is>
      </c>
      <c r="E661" t="inlineStr">
        <is>
          <t>2026-06-08</t>
        </is>
      </c>
      <c r="F661" t="inlineStr">
        <is>
          <t>2026-06-15</t>
        </is>
      </c>
      <c r="G661" t="inlineStr">
        <is>
          <t xml:space="preserve"> - Road House</t>
        </is>
      </c>
      <c r="H661">
        <f>HYPERLINK("https://booking.roadsurfer.com/es/rally/pick?pickup_date=2026-06-08&amp;return_date=2026-06-15&amp;currency=EUR&amp;startStation=115&amp;endStation=94", "Clic para verlo en la web de RoadSurfer")</f>
        <v/>
      </c>
    </row>
    <row r="662">
      <c r="A662" t="inlineStr">
        <is>
          <t>Alemania</t>
        </is>
      </c>
      <c r="B662" t="inlineStr">
        <is>
          <t>Wurzburgo</t>
        </is>
      </c>
      <c r="C662" t="inlineStr">
        <is>
          <t>Italia</t>
        </is>
      </c>
      <c r="D662" t="inlineStr">
        <is>
          <t>Bérgamo</t>
        </is>
      </c>
      <c r="E662" t="inlineStr">
        <is>
          <t>2026-06-17</t>
        </is>
      </c>
      <c r="F662" t="inlineStr">
        <is>
          <t>2026-06-24</t>
        </is>
      </c>
      <c r="G662" t="inlineStr">
        <is>
          <t xml:space="preserve"> - Surfer Suite</t>
        </is>
      </c>
      <c r="H662">
        <f>HYPERLINK("https://booking.roadsurfer.com/es/rally/pick?pickup_date=2026-06-17&amp;return_date=2026-06-24&amp;currency=EUR&amp;startStation=115&amp;endStation=94", "Clic para verlo en la web de RoadSurfer")</f>
        <v/>
      </c>
    </row>
    <row r="663">
      <c r="A663" t="inlineStr">
        <is>
          <t>Alemania</t>
        </is>
      </c>
      <c r="B663" t="inlineStr">
        <is>
          <t>Wurzburgo</t>
        </is>
      </c>
      <c r="C663" t="inlineStr">
        <is>
          <t>Italia</t>
        </is>
      </c>
      <c r="D663" t="inlineStr">
        <is>
          <t>Bérgamo</t>
        </is>
      </c>
      <c r="E663" t="inlineStr">
        <is>
          <t>2026-06-16</t>
        </is>
      </c>
      <c r="F663" t="inlineStr">
        <is>
          <t>2026-06-23</t>
        </is>
      </c>
      <c r="G663" t="inlineStr"/>
      <c r="H663">
        <f>HYPERLINK("https://booking.roadsurfer.com/es/rally/pick?pickup_date=2026-06-16&amp;return_date=2026-06-23&amp;currency=EUR&amp;startStation=115&amp;endStation=94", "Clic para verlo en la web de RoadSurfer")</f>
        <v/>
      </c>
    </row>
    <row r="664">
      <c r="A664" t="inlineStr">
        <is>
          <t>Alemania</t>
        </is>
      </c>
      <c r="B664" t="inlineStr">
        <is>
          <t>Wurzburgo</t>
        </is>
      </c>
      <c r="C664" t="inlineStr">
        <is>
          <t>Italia</t>
        </is>
      </c>
      <c r="D664" t="inlineStr">
        <is>
          <t>Roma Aeropuerto Fiumicino</t>
        </is>
      </c>
      <c r="E664" t="inlineStr">
        <is>
          <t>2026-06-08</t>
        </is>
      </c>
      <c r="F664" t="inlineStr">
        <is>
          <t>2026-06-15</t>
        </is>
      </c>
      <c r="G664" t="inlineStr"/>
      <c r="H664">
        <f>HYPERLINK("https://booking.roadsurfer.com/es/rally/pick?pickup_date=2026-06-08&amp;return_date=2026-06-15&amp;currency=EUR&amp;startStation=115&amp;endStation=35", "Clic para verlo en la web de RoadSurfer")</f>
        <v/>
      </c>
    </row>
    <row r="665">
      <c r="A665" t="inlineStr">
        <is>
          <t>Alemania</t>
        </is>
      </c>
      <c r="B665" t="inlineStr">
        <is>
          <t>Wurzburgo</t>
        </is>
      </c>
      <c r="C665" t="inlineStr">
        <is>
          <t>Italia</t>
        </is>
      </c>
      <c r="D665" t="inlineStr">
        <is>
          <t>Roma Aeropuerto Fiumicino</t>
        </is>
      </c>
      <c r="E665" t="inlineStr">
        <is>
          <t>2026-06-12</t>
        </is>
      </c>
      <c r="F665" t="inlineStr">
        <is>
          <t>2026-06-19</t>
        </is>
      </c>
      <c r="G665" t="inlineStr"/>
      <c r="H665">
        <f>HYPERLINK("https://booking.roadsurfer.com/es/rally/pick?pickup_date=2026-06-12&amp;return_date=2026-06-19&amp;currency=EUR&amp;startStation=115&amp;endStation=35", "Clic para verlo en la web de RoadSurfer")</f>
        <v/>
      </c>
    </row>
    <row r="666">
      <c r="A666" t="inlineStr">
        <is>
          <t>Alemania</t>
        </is>
      </c>
      <c r="B666" t="inlineStr">
        <is>
          <t>Wurzburgo</t>
        </is>
      </c>
      <c r="C666" t="inlineStr">
        <is>
          <t>Italia</t>
        </is>
      </c>
      <c r="D666" t="inlineStr">
        <is>
          <t>Roma Aeropuerto Fiumicino</t>
        </is>
      </c>
      <c r="E666" t="inlineStr">
        <is>
          <t>2026-06-01</t>
        </is>
      </c>
      <c r="F666" t="inlineStr">
        <is>
          <t>2026-06-08</t>
        </is>
      </c>
      <c r="G666" t="inlineStr">
        <is>
          <t xml:space="preserve"> - Road House</t>
        </is>
      </c>
      <c r="H666">
        <f>HYPERLINK("https://booking.roadsurfer.com/es/rally/pick?pickup_date=2026-06-01&amp;return_date=2026-06-08&amp;currency=EUR&amp;startStation=115&amp;endStation=35", "Clic para verlo en la web de RoadSurfer")</f>
        <v/>
      </c>
    </row>
    <row r="667">
      <c r="A667" t="inlineStr">
        <is>
          <t>Alemania</t>
        </is>
      </c>
      <c r="B667" t="inlineStr">
        <is>
          <t>Wurzburgo</t>
        </is>
      </c>
      <c r="C667" t="inlineStr">
        <is>
          <t>España</t>
        </is>
      </c>
      <c r="D667" t="inlineStr">
        <is>
          <t>Valencia</t>
        </is>
      </c>
      <c r="E667" t="inlineStr">
        <is>
          <t>2026-06-20</t>
        </is>
      </c>
      <c r="F667" t="inlineStr">
        <is>
          <t>2026-06-27</t>
        </is>
      </c>
      <c r="G667" t="inlineStr">
        <is>
          <t xml:space="preserve"> - Road House</t>
        </is>
      </c>
      <c r="H667">
        <f>HYPERLINK("https://booking.roadsurfer.com/es/rally/pick?pickup_date=2026-06-20&amp;return_date=2026-06-27&amp;currency=EUR&amp;startStation=115&amp;endStation=38", "Clic para verlo en la web de RoadSurfer")</f>
        <v/>
      </c>
    </row>
    <row r="668">
      <c r="A668" t="inlineStr">
        <is>
          <t>Alemania</t>
        </is>
      </c>
      <c r="B668" t="inlineStr">
        <is>
          <t>Wurzburgo</t>
        </is>
      </c>
      <c r="C668" t="inlineStr">
        <is>
          <t>Italia</t>
        </is>
      </c>
      <c r="D668" t="inlineStr">
        <is>
          <t>Venecia</t>
        </is>
      </c>
      <c r="E668" t="inlineStr">
        <is>
          <t>2026-06-10</t>
        </is>
      </c>
      <c r="F668" t="inlineStr">
        <is>
          <t>2026-06-17</t>
        </is>
      </c>
      <c r="G668" t="inlineStr">
        <is>
          <t xml:space="preserve"> - Road House</t>
        </is>
      </c>
      <c r="H668">
        <f>HYPERLINK("https://booking.roadsurfer.com/es/rally/pick?pickup_date=2026-06-10&amp;return_date=2026-06-17&amp;currency=EUR&amp;startStation=115&amp;endStation=78", "Clic para verlo en la web de RoadSurfer")</f>
        <v/>
      </c>
    </row>
    <row r="669">
      <c r="A669" t="inlineStr">
        <is>
          <t>Alemania</t>
        </is>
      </c>
      <c r="B669" t="inlineStr">
        <is>
          <t>Wurzburgo</t>
        </is>
      </c>
      <c r="C669" t="inlineStr">
        <is>
          <t>España</t>
        </is>
      </c>
      <c r="D669" t="inlineStr">
        <is>
          <t>Bilbao</t>
        </is>
      </c>
      <c r="E669" t="inlineStr">
        <is>
          <t>2026-06-08</t>
        </is>
      </c>
      <c r="F669" t="inlineStr">
        <is>
          <t>2026-06-15</t>
        </is>
      </c>
      <c r="G669" t="inlineStr"/>
      <c r="H669">
        <f>HYPERLINK("https://booking.roadsurfer.com/es/rally/pick?pickup_date=2026-06-08&amp;return_date=2026-06-15&amp;currency=EUR&amp;startStation=115&amp;endStation=40", "Clic para verlo en la web de RoadSurfer")</f>
        <v/>
      </c>
    </row>
    <row r="670">
      <c r="A670" t="inlineStr">
        <is>
          <t>Alemania</t>
        </is>
      </c>
      <c r="B670" t="inlineStr">
        <is>
          <t>Wurzburgo</t>
        </is>
      </c>
      <c r="C670" t="inlineStr">
        <is>
          <t>Alemania</t>
        </is>
      </c>
      <c r="D670" t="inlineStr">
        <is>
          <t>Friburgo-Basilea (Alemania)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Family Finca</t>
        </is>
      </c>
      <c r="H670">
        <f>HYPERLINK("https://booking.roadsurfer.com/es/rally/pick?pickup_date=2026-05-06&amp;return_date=2026-05-13&amp;currency=EUR&amp;startStation=115&amp;endStation=9", "Clic para verlo en la web de RoadSurfer")</f>
        <v/>
      </c>
    </row>
    <row r="671">
      <c r="A671" t="inlineStr">
        <is>
          <t>Alemania</t>
        </is>
      </c>
      <c r="B671" t="inlineStr">
        <is>
          <t>Wurzburgo</t>
        </is>
      </c>
      <c r="C671" t="inlineStr">
        <is>
          <t>España</t>
        </is>
      </c>
      <c r="D671" t="inlineStr">
        <is>
          <t>Barcelona</t>
        </is>
      </c>
      <c r="E671" t="inlineStr">
        <is>
          <t>2026-06-16</t>
        </is>
      </c>
      <c r="F671" t="inlineStr">
        <is>
          <t>2026-06-23</t>
        </is>
      </c>
      <c r="G671" t="inlineStr">
        <is>
          <t xml:space="preserve"> - Couple Cottage</t>
        </is>
      </c>
      <c r="H671">
        <f>HYPERLINK("https://booking.roadsurfer.com/es/rally/pick?pickup_date=2026-06-16&amp;return_date=2026-06-23&amp;currency=EUR&amp;startStation=115&amp;endStation=17", "Clic para verlo en la web de RoadSurfer")</f>
        <v/>
      </c>
    </row>
    <row r="672">
      <c r="A672" t="inlineStr">
        <is>
          <t>Alemania</t>
        </is>
      </c>
      <c r="B672" t="inlineStr">
        <is>
          <t>Wurzburgo</t>
        </is>
      </c>
      <c r="C672" t="inlineStr">
        <is>
          <t>España</t>
        </is>
      </c>
      <c r="D672" t="inlineStr">
        <is>
          <t>Barcelona</t>
        </is>
      </c>
      <c r="E672" t="inlineStr">
        <is>
          <t>2026-05-23</t>
        </is>
      </c>
      <c r="F672" t="inlineStr">
        <is>
          <t>2026-05-30</t>
        </is>
      </c>
      <c r="G672" t="inlineStr"/>
      <c r="H672">
        <f>HYPERLINK("https://booking.roadsurfer.com/es/rally/pick?pickup_date=2026-05-23&amp;return_date=2026-05-30&amp;currency=EUR&amp;startStation=115&amp;endStation=17", "Clic para verlo en la web de RoadSurfer")</f>
        <v/>
      </c>
    </row>
    <row r="673">
      <c r="A673" t="inlineStr">
        <is>
          <t>Alemania</t>
        </is>
      </c>
      <c r="B673" t="inlineStr">
        <is>
          <t>Wurzburgo</t>
        </is>
      </c>
      <c r="C673" t="inlineStr">
        <is>
          <t>España</t>
        </is>
      </c>
      <c r="D673" t="inlineStr">
        <is>
          <t>Barcelona</t>
        </is>
      </c>
      <c r="E673" t="inlineStr">
        <is>
          <t>2026-06-19</t>
        </is>
      </c>
      <c r="F673" t="inlineStr">
        <is>
          <t>2026-06-26</t>
        </is>
      </c>
      <c r="G673" t="inlineStr"/>
      <c r="H673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2026-05-02T20:47:58Z</dcterms:created>
  <dcterms:modified xsi:type="dcterms:W3CDTF">2026-05-02T20:47:58Z</dcterms:modified>
</cp:coreProperties>
</file>