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España</t>
        </is>
      </c>
      <c r="B2" t="inlineStr">
        <is>
          <t>Barcelona</t>
        </is>
      </c>
      <c r="C2" t="inlineStr">
        <is>
          <t>España</t>
        </is>
      </c>
      <c r="D2" t="inlineStr">
        <is>
          <t>Sevilla</t>
        </is>
      </c>
      <c r="E2" t="inlineStr">
        <is>
          <t>2026-09-03</t>
        </is>
      </c>
      <c r="F2" t="inlineStr">
        <is>
          <t>2026-09-07</t>
        </is>
      </c>
      <c r="G2" t="inlineStr">
        <is>
          <t xml:space="preserve"> - Surfer Suite</t>
        </is>
      </c>
      <c r="H2">
        <f>HYPERLINK("https://booking.roadsurfer.com/es/rally/pick?pickup_date=2026-09-03&amp;return_date=2026-09-07&amp;currency=EUR&amp;startStation=17&amp;endStation=39", "Clic para verlo en la web de RoadSurfer")</f>
        <v/>
      </c>
    </row>
    <row r="3">
      <c r="A3" t="inlineStr">
        <is>
          <t>España</t>
        </is>
      </c>
      <c r="B3" t="inlineStr">
        <is>
          <t>Barcelona</t>
        </is>
      </c>
      <c r="C3" t="inlineStr">
        <is>
          <t>España</t>
        </is>
      </c>
      <c r="D3" t="inlineStr">
        <is>
          <t>Sevilla</t>
        </is>
      </c>
      <c r="E3" t="inlineStr">
        <is>
          <t>2026-09-10</t>
        </is>
      </c>
      <c r="F3" t="inlineStr">
        <is>
          <t>2026-09-14</t>
        </is>
      </c>
      <c r="G3" t="inlineStr">
        <is>
          <t xml:space="preserve"> - No hay coche</t>
        </is>
      </c>
      <c r="H3">
        <f>HYPERLINK("https://booking.roadsurfer.com/es/rally/pick?pickup_date=2026-09-10&amp;return_date=2026-09-14&amp;currency=EUR&amp;startStation=17&amp;endStation=39", "Clic para verlo en la web de RoadSurfer")</f>
        <v/>
      </c>
    </row>
    <row r="4">
      <c r="A4" t="inlineStr">
        <is>
          <t>España</t>
        </is>
      </c>
      <c r="B4" t="inlineStr">
        <is>
          <t>Barcelona</t>
        </is>
      </c>
      <c r="C4" t="inlineStr">
        <is>
          <t>Alemania</t>
        </is>
      </c>
      <c r="D4" t="inlineStr">
        <is>
          <t>Marburg</t>
        </is>
      </c>
      <c r="E4" t="inlineStr">
        <is>
          <t>2026-09-26</t>
        </is>
      </c>
      <c r="F4" t="inlineStr">
        <is>
          <t>2026-10-03</t>
        </is>
      </c>
      <c r="G4" t="inlineStr">
        <is>
          <t xml:space="preserve"> - No hay coche</t>
        </is>
      </c>
      <c r="H4">
        <f>HYPERLINK("https://booking.roadsurfer.com/es/rally/pick?pickup_date=2026-09-26&amp;return_date=2026-10-03&amp;currency=EUR&amp;startStation=17&amp;endStation=22", "Clic para verlo en la web de RoadSurfer")</f>
        <v/>
      </c>
    </row>
    <row r="5">
      <c r="A5" t="inlineStr">
        <is>
          <t>España</t>
        </is>
      </c>
      <c r="B5" t="inlineStr">
        <is>
          <t>Barcelona</t>
        </is>
      </c>
      <c r="C5" t="inlineStr">
        <is>
          <t>España</t>
        </is>
      </c>
      <c r="D5" t="inlineStr">
        <is>
          <t>Málaga</t>
        </is>
      </c>
      <c r="E5" t="inlineStr">
        <is>
          <t>2026-09-10</t>
        </is>
      </c>
      <c r="F5" t="inlineStr">
        <is>
          <t>2026-09-14</t>
        </is>
      </c>
      <c r="G5" t="inlineStr">
        <is>
          <t xml:space="preserve"> - Couple Cottage</t>
        </is>
      </c>
      <c r="H5">
        <f>HYPERLINK("https://booking.roadsurfer.com/es/rally/pick?pickup_date=2026-09-10&amp;return_date=2026-09-14&amp;currency=EUR&amp;startStation=17&amp;endStation=21", "Clic para verlo en la web de RoadSurfer")</f>
        <v/>
      </c>
    </row>
    <row r="6">
      <c r="A6" t="inlineStr">
        <is>
          <t>Francia</t>
        </is>
      </c>
      <c r="B6" t="inlineStr">
        <is>
          <t>Burdeos</t>
        </is>
      </c>
      <c r="C6" t="inlineStr">
        <is>
          <t>Alemania</t>
        </is>
      </c>
      <c r="D6" t="inlineStr">
        <is>
          <t>Hamburgo</t>
        </is>
      </c>
      <c r="E6" t="inlineStr">
        <is>
          <t>2026-09-26</t>
        </is>
      </c>
      <c r="F6" t="inlineStr">
        <is>
          <t>2026-10-03</t>
        </is>
      </c>
      <c r="G6" t="inlineStr">
        <is>
          <t xml:space="preserve"> - No hay coche</t>
        </is>
      </c>
      <c r="H6">
        <f>HYPERLINK("https://booking.roadsurfer.com/es/rally/pick?pickup_date=2026-09-26&amp;return_date=2026-10-03&amp;currency=EUR&amp;startStation=13&amp;endStation=3", "Clic para verlo en la web de RoadSurfer")</f>
        <v/>
      </c>
    </row>
    <row r="7">
      <c r="A7" t="inlineStr">
        <is>
          <t>Francia</t>
        </is>
      </c>
      <c r="B7" t="inlineStr">
        <is>
          <t>Burdeos</t>
        </is>
      </c>
      <c r="C7" t="inlineStr">
        <is>
          <t>Alemania</t>
        </is>
      </c>
      <c r="D7" t="inlineStr">
        <is>
          <t>Marburg</t>
        </is>
      </c>
      <c r="E7" t="inlineStr">
        <is>
          <t>2026-10-07</t>
        </is>
      </c>
      <c r="F7" t="inlineStr">
        <is>
          <t>2026-10-14</t>
        </is>
      </c>
      <c r="G7" t="inlineStr">
        <is>
          <t xml:space="preserve"> - Road House</t>
        </is>
      </c>
      <c r="H7">
        <f>HYPERLINK("https://booking.roadsurfer.com/es/rally/pick?pickup_date=2026-10-07&amp;return_date=2026-10-14&amp;currency=EUR&amp;startStation=13&amp;endStation=22", "Clic para verlo en la web de RoadSurfer")</f>
        <v/>
      </c>
    </row>
    <row r="8">
      <c r="A8" t="inlineStr">
        <is>
          <t>Francia</t>
        </is>
      </c>
      <c r="B8" t="inlineStr">
        <is>
          <t>Burdeos</t>
        </is>
      </c>
      <c r="C8" t="inlineStr">
        <is>
          <t>Alemania</t>
        </is>
      </c>
      <c r="D8" t="inlineStr">
        <is>
          <t>Marburg</t>
        </is>
      </c>
      <c r="E8" t="inlineStr">
        <is>
          <t>2026-10-25</t>
        </is>
      </c>
      <c r="F8" t="inlineStr">
        <is>
          <t>2026-11-02</t>
        </is>
      </c>
      <c r="G8" t="inlineStr">
        <is>
          <t xml:space="preserve"> - No hay coche</t>
        </is>
      </c>
      <c r="H8">
        <f>HYPERLINK("https://booking.roadsurfer.com/es/rally/pick?pickup_date=2026-10-25&amp;return_date=2026-11-02&amp;currency=EUR&amp;startStation=13&amp;endStation=22", "Clic para verlo en la web de RoadSurfer")</f>
        <v/>
      </c>
    </row>
    <row r="9">
      <c r="A9" t="inlineStr">
        <is>
          <t>Francia</t>
        </is>
      </c>
      <c r="B9" t="inlineStr">
        <is>
          <t>Burdeos</t>
        </is>
      </c>
      <c r="C9" t="inlineStr">
        <is>
          <t>Alemania</t>
        </is>
      </c>
      <c r="D9" t="inlineStr">
        <is>
          <t>Marburg</t>
        </is>
      </c>
      <c r="E9" t="inlineStr">
        <is>
          <t>2026-09-24</t>
        </is>
      </c>
      <c r="F9" t="inlineStr">
        <is>
          <t>2026-10-01</t>
        </is>
      </c>
      <c r="G9" t="inlineStr">
        <is>
          <t xml:space="preserve"> - Road House</t>
        </is>
      </c>
      <c r="H9">
        <f>HYPERLINK("https://booking.roadsurfer.com/es/rally/pick?pickup_date=2026-09-24&amp;return_date=2026-10-01&amp;currency=EUR&amp;startStation=13&amp;endStation=22", "Clic para verlo en la web de RoadSurfer")</f>
        <v/>
      </c>
    </row>
    <row r="10">
      <c r="A10" t="inlineStr">
        <is>
          <t>Francia</t>
        </is>
      </c>
      <c r="B10" t="inlineStr">
        <is>
          <t>Burdeos</t>
        </is>
      </c>
      <c r="C10" t="inlineStr">
        <is>
          <t>Alemania</t>
        </is>
      </c>
      <c r="D10" t="inlineStr">
        <is>
          <t>Marburg</t>
        </is>
      </c>
      <c r="E10" t="inlineStr">
        <is>
          <t>2026-09-26</t>
        </is>
      </c>
      <c r="F10" t="inlineStr">
        <is>
          <t>2026-10-03</t>
        </is>
      </c>
      <c r="G10" t="inlineStr">
        <is>
          <t xml:space="preserve"> - No hay coche</t>
        </is>
      </c>
      <c r="H10">
        <f>HYPERLINK("https://booking.roadsurfer.com/es/rally/pick?pickup_date=2026-09-26&amp;return_date=2026-10-03&amp;currency=EUR&amp;startStation=13&amp;endStation=22", "Clic para verlo en la web de RoadSurfer")</f>
        <v/>
      </c>
    </row>
    <row r="11">
      <c r="A11" t="inlineStr">
        <is>
          <t>Francia</t>
        </is>
      </c>
      <c r="B11" t="inlineStr">
        <is>
          <t>Burdeos</t>
        </is>
      </c>
      <c r="C11" t="inlineStr">
        <is>
          <t>Alemania</t>
        </is>
      </c>
      <c r="D11" t="inlineStr">
        <is>
          <t>Marburg</t>
        </is>
      </c>
      <c r="E11" t="inlineStr">
        <is>
          <t>2026-09-23</t>
        </is>
      </c>
      <c r="F11" t="inlineStr">
        <is>
          <t>2026-09-30</t>
        </is>
      </c>
      <c r="G11" t="inlineStr">
        <is>
          <t xml:space="preserve"> - No hay coche</t>
        </is>
      </c>
      <c r="H11">
        <f>HYPERLINK("https://booking.roadsurfer.com/es/rally/pick?pickup_date=2026-09-23&amp;return_date=2026-09-30&amp;currency=EUR&amp;startStation=13&amp;endStation=22", "Clic para verlo en la web de RoadSurfer")</f>
        <v/>
      </c>
    </row>
    <row r="12">
      <c r="A12" t="inlineStr">
        <is>
          <t>Francia</t>
        </is>
      </c>
      <c r="B12" t="inlineStr">
        <is>
          <t>Burdeos</t>
        </is>
      </c>
      <c r="C12" t="inlineStr">
        <is>
          <t>Alemania</t>
        </is>
      </c>
      <c r="D12" t="inlineStr">
        <is>
          <t>Marburg</t>
        </is>
      </c>
      <c r="E12" t="inlineStr">
        <is>
          <t>2026-09-25</t>
        </is>
      </c>
      <c r="F12" t="inlineStr">
        <is>
          <t>2026-10-02</t>
        </is>
      </c>
      <c r="G12" t="inlineStr">
        <is>
          <t xml:space="preserve"> - Road House</t>
        </is>
      </c>
      <c r="H12">
        <f>HYPERLINK("https://booking.roadsurfer.com/es/rally/pick?pickup_date=2026-09-25&amp;return_date=2026-10-02&amp;currency=EUR&amp;startStation=13&amp;endStation=22", "Clic para verlo en la web de RoadSurfer")</f>
        <v/>
      </c>
    </row>
    <row r="13">
      <c r="A13" t="inlineStr">
        <is>
          <t>Francia</t>
        </is>
      </c>
      <c r="B13" t="inlineStr">
        <is>
          <t>Burdeos</t>
        </is>
      </c>
      <c r="C13" t="inlineStr">
        <is>
          <t>Alemania</t>
        </is>
      </c>
      <c r="D13" t="inlineStr">
        <is>
          <t>Fráncfort</t>
        </is>
      </c>
      <c r="E13" t="inlineStr">
        <is>
          <t>2026-10-01</t>
        </is>
      </c>
      <c r="F13" t="inlineStr">
        <is>
          <t>2026-10-08</t>
        </is>
      </c>
      <c r="G13" t="inlineStr">
        <is>
          <t xml:space="preserve"> - Surfer Suite</t>
        </is>
      </c>
      <c r="H13">
        <f>HYPERLINK("https://booking.roadsurfer.com/es/rally/pick?pickup_date=2026-10-01&amp;return_date=2026-10-08&amp;currency=EUR&amp;startStation=13&amp;endStation=2", "Clic para verlo en la web de RoadSurfer")</f>
        <v/>
      </c>
    </row>
    <row r="14">
      <c r="A14" t="inlineStr">
        <is>
          <t>España</t>
        </is>
      </c>
      <c r="B14" t="inlineStr">
        <is>
          <t>Madrid</t>
        </is>
      </c>
      <c r="C14" t="inlineStr">
        <is>
          <t>Alemania</t>
        </is>
      </c>
      <c r="D14" t="inlineStr">
        <is>
          <t>Marburg</t>
        </is>
      </c>
      <c r="E14" t="inlineStr">
        <is>
          <t>2026-10-05</t>
        </is>
      </c>
      <c r="F14" t="inlineStr">
        <is>
          <t>2026-10-12</t>
        </is>
      </c>
      <c r="G14" t="inlineStr">
        <is>
          <t xml:space="preserve"> - No hay coche</t>
        </is>
      </c>
      <c r="H14">
        <f>HYPERLINK("https://booking.roadsurfer.com/es/rally/pick?pickup_date=2026-10-05&amp;return_date=2026-10-12&amp;currency=EUR&amp;startStation=20&amp;endStation=22", "Clic para verlo en la web de RoadSurfer")</f>
        <v/>
      </c>
    </row>
    <row r="15">
      <c r="A15" t="inlineStr">
        <is>
          <t>España</t>
        </is>
      </c>
      <c r="B15" t="inlineStr">
        <is>
          <t>Madrid</t>
        </is>
      </c>
      <c r="C15" t="inlineStr">
        <is>
          <t>Alemania</t>
        </is>
      </c>
      <c r="D15" t="inlineStr">
        <is>
          <t>Marburg</t>
        </is>
      </c>
      <c r="E15" t="inlineStr">
        <is>
          <t>2026-09-25</t>
        </is>
      </c>
      <c r="F15" t="inlineStr">
        <is>
          <t>2026-10-02</t>
        </is>
      </c>
      <c r="G15" t="inlineStr">
        <is>
          <t xml:space="preserve"> - COUPLE COTTAGE</t>
        </is>
      </c>
      <c r="H15">
        <f>HYPERLINK("https://booking.roadsurfer.com/es/rally/pick?pickup_date=2026-09-25&amp;return_date=2026-10-02&amp;currency=EUR&amp;startStation=20&amp;endStation=22", "Clic para verlo en la web de RoadSurfer")</f>
        <v/>
      </c>
    </row>
    <row r="16">
      <c r="A16" t="inlineStr">
        <is>
          <t>España</t>
        </is>
      </c>
      <c r="B16" t="inlineStr">
        <is>
          <t>Madrid</t>
        </is>
      </c>
      <c r="C16" t="inlineStr">
        <is>
          <t>Alemania</t>
        </is>
      </c>
      <c r="D16" t="inlineStr">
        <is>
          <t>Bremen</t>
        </is>
      </c>
      <c r="E16" t="inlineStr">
        <is>
          <t>2026-09-28</t>
        </is>
      </c>
      <c r="F16" t="inlineStr">
        <is>
          <t>2026-10-05</t>
        </is>
      </c>
      <c r="G16" t="inlineStr">
        <is>
          <t xml:space="preserve"> - Beach Hostel</t>
        </is>
      </c>
      <c r="H16">
        <f>HYPERLINK("https://booking.roadsurfer.com/es/rally/pick?pickup_date=2026-09-28&amp;return_date=2026-10-05&amp;currency=EUR&amp;startStation=20&amp;endStation=55", "Clic para verlo en la web de RoadSurfer")</f>
        <v/>
      </c>
    </row>
    <row r="17">
      <c r="A17" t="inlineStr">
        <is>
          <t>España</t>
        </is>
      </c>
      <c r="B17" t="inlineStr">
        <is>
          <t>Madrid</t>
        </is>
      </c>
      <c r="C17" t="inlineStr">
        <is>
          <t>Alemania</t>
        </is>
      </c>
      <c r="D17" t="inlineStr">
        <is>
          <t>Leipzig</t>
        </is>
      </c>
      <c r="E17" t="inlineStr">
        <is>
          <t>2026-10-03</t>
        </is>
      </c>
      <c r="F17" t="inlineStr">
        <is>
          <t>2026-10-10</t>
        </is>
      </c>
      <c r="G17" t="inlineStr">
        <is>
          <t xml:space="preserve"> - Road House</t>
        </is>
      </c>
      <c r="H17">
        <f>HYPERLINK("https://booking.roadsurfer.com/es/rally/pick?pickup_date=2026-10-03&amp;return_date=2026-10-10&amp;currency=EUR&amp;startStation=20&amp;endStation=8", "Clic para verlo en la web de RoadSurfer")</f>
        <v/>
      </c>
    </row>
    <row r="18">
      <c r="A18" t="inlineStr">
        <is>
          <t>Francia</t>
        </is>
      </c>
      <c r="B18" t="inlineStr">
        <is>
          <t>Nantes</t>
        </is>
      </c>
      <c r="C18" t="inlineStr">
        <is>
          <t>Alemania</t>
        </is>
      </c>
      <c r="D18" t="inlineStr">
        <is>
          <t>Hamburgo</t>
        </is>
      </c>
      <c r="E18" t="inlineStr">
        <is>
          <t>2026-09-30</t>
        </is>
      </c>
      <c r="F18" t="inlineStr">
        <is>
          <t>2026-10-07</t>
        </is>
      </c>
      <c r="G18" t="inlineStr">
        <is>
          <t xml:space="preserve"> - Surfer Suite</t>
        </is>
      </c>
      <c r="H18">
        <f>HYPERLINK("https://booking.roadsurfer.com/es/rally/pick?pickup_date=2026-09-30&amp;return_date=2026-10-07&amp;currency=EUR&amp;startStation=31&amp;endStation=3", "Clic para verlo en la web de RoadSurfer")</f>
        <v/>
      </c>
    </row>
    <row r="19">
      <c r="A19" t="inlineStr">
        <is>
          <t>Francia</t>
        </is>
      </c>
      <c r="B19" t="inlineStr">
        <is>
          <t>Nantes</t>
        </is>
      </c>
      <c r="C19" t="inlineStr">
        <is>
          <t>Alemania</t>
        </is>
      </c>
      <c r="D19" t="inlineStr">
        <is>
          <t>Lübeck</t>
        </is>
      </c>
      <c r="E19" t="inlineStr">
        <is>
          <t>2026-09-25</t>
        </is>
      </c>
      <c r="F19" t="inlineStr">
        <is>
          <t>2026-10-02</t>
        </is>
      </c>
      <c r="G19" t="inlineStr">
        <is>
          <t xml:space="preserve"> - Beach Hostel</t>
        </is>
      </c>
      <c r="H19">
        <f>HYPERLINK("https://booking.roadsurfer.com/es/rally/pick?pickup_date=2026-09-25&amp;return_date=2026-10-02&amp;currency=EUR&amp;startStation=31&amp;endStation=109", "Clic para verlo en la web de RoadSurfer")</f>
        <v/>
      </c>
    </row>
    <row r="20">
      <c r="A20" t="inlineStr">
        <is>
          <t>Francia</t>
        </is>
      </c>
      <c r="B20" t="inlineStr">
        <is>
          <t>París Sur (Orly)</t>
        </is>
      </c>
      <c r="C20" t="inlineStr">
        <is>
          <t>Alemania</t>
        </is>
      </c>
      <c r="D20" t="inlineStr">
        <is>
          <t>Marburg</t>
        </is>
      </c>
      <c r="E20" t="inlineStr">
        <is>
          <t>2026-09-28</t>
        </is>
      </c>
      <c r="F20" t="inlineStr">
        <is>
          <t>2026-10-05</t>
        </is>
      </c>
      <c r="G20" t="inlineStr">
        <is>
          <t xml:space="preserve"> - Travel Home</t>
        </is>
      </c>
      <c r="H20">
        <f>HYPERLINK("https://booking.roadsurfer.com/es/rally/pick?pickup_date=2026-09-28&amp;return_date=2026-10-05&amp;currency=EUR&amp;startStation=12&amp;endStation=22", "Clic para verlo en la web de RoadSurfer")</f>
        <v/>
      </c>
    </row>
    <row r="21">
      <c r="A21" t="inlineStr">
        <is>
          <t>Francia</t>
        </is>
      </c>
      <c r="B21" t="inlineStr">
        <is>
          <t>París Sur (Orly)</t>
        </is>
      </c>
      <c r="C21" t="inlineStr">
        <is>
          <t>Alemania</t>
        </is>
      </c>
      <c r="D21" t="inlineStr">
        <is>
          <t>Marburg</t>
        </is>
      </c>
      <c r="E21" t="inlineStr">
        <is>
          <t>2026-09-26</t>
        </is>
      </c>
      <c r="F21" t="inlineStr">
        <is>
          <t>2026-10-03</t>
        </is>
      </c>
      <c r="G21" t="inlineStr">
        <is>
          <t xml:space="preserve"> - No hay coche</t>
        </is>
      </c>
      <c r="H21">
        <f>HYPERLINK("https://booking.roadsurfer.com/es/rally/pick?pickup_date=2026-09-26&amp;return_date=2026-10-03&amp;currency=EUR&amp;startStation=12&amp;endStation=22", "Clic para verlo en la web de RoadSurfer")</f>
        <v/>
      </c>
    </row>
    <row r="22">
      <c r="A22" t="inlineStr">
        <is>
          <t>Francia</t>
        </is>
      </c>
      <c r="B22" t="inlineStr">
        <is>
          <t>París Sur (Orly)</t>
        </is>
      </c>
      <c r="C22" t="inlineStr">
        <is>
          <t>Francia</t>
        </is>
      </c>
      <c r="D22" t="inlineStr">
        <is>
          <t>Niza</t>
        </is>
      </c>
      <c r="E22" t="inlineStr">
        <is>
          <t>2026-08-26</t>
        </is>
      </c>
      <c r="F22" t="inlineStr">
        <is>
          <t>2026-09-02</t>
        </is>
      </c>
      <c r="G22" t="inlineStr">
        <is>
          <t xml:space="preserve"> - Surfer Suite</t>
        </is>
      </c>
      <c r="H22">
        <f>HYPERLINK("https://booking.roadsurfer.com/es/rally/pick?pickup_date=2026-08-26&amp;return_date=2026-09-02&amp;currency=EUR&amp;startStation=12&amp;endStation=88", "Clic para verlo en la web de RoadSurfer")</f>
        <v/>
      </c>
    </row>
    <row r="23">
      <c r="A23" t="inlineStr">
        <is>
          <t>EE.UU.</t>
        </is>
      </c>
      <c r="B23" t="inlineStr">
        <is>
          <t>Seattle</t>
        </is>
      </c>
      <c r="C23" t="inlineStr">
        <is>
          <t>EE.UU.</t>
        </is>
      </c>
      <c r="D23" t="inlineStr">
        <is>
          <t>Phoenix</t>
        </is>
      </c>
      <c r="E23" t="inlineStr">
        <is>
          <t>2026-09-28</t>
        </is>
      </c>
      <c r="F23" t="inlineStr">
        <is>
          <t>2026-10-05</t>
        </is>
      </c>
      <c r="G23" t="inlineStr">
        <is>
          <t xml:space="preserve"> - Liberty Lodge</t>
        </is>
      </c>
      <c r="H23">
        <f>HYPERLINK("https://booking.roadsurfer.com/es/rally/pick?pickup_date=2026-09-28&amp;return_date=2026-10-05&amp;currency=EUR&amp;startStation=107&amp;endStation=105", "Clic para verlo en la web de RoadSurfer")</f>
        <v/>
      </c>
    </row>
    <row r="24">
      <c r="A24" t="inlineStr">
        <is>
          <t>Francia</t>
        </is>
      </c>
      <c r="B24" t="inlineStr">
        <is>
          <t>Toulouse</t>
        </is>
      </c>
      <c r="C24" t="inlineStr">
        <is>
          <t>Alemania</t>
        </is>
      </c>
      <c r="D24" t="inlineStr">
        <is>
          <t>Lübeck</t>
        </is>
      </c>
      <c r="E24" t="inlineStr">
        <is>
          <t>2026-09-24</t>
        </is>
      </c>
      <c r="F24" t="inlineStr">
        <is>
          <t>2026-10-01</t>
        </is>
      </c>
      <c r="G24" t="inlineStr">
        <is>
          <t xml:space="preserve"> - ROAD HOUSE</t>
        </is>
      </c>
      <c r="H24">
        <f>HYPERLINK("https://booking.roadsurfer.com/es/rally/pick?pickup_date=2026-09-24&amp;return_date=2026-10-01&amp;currency=EUR&amp;startStation=30&amp;endStation=109", "Clic para verlo en la web de RoadSurfer")</f>
        <v/>
      </c>
    </row>
    <row r="25">
      <c r="A25" t="inlineStr">
        <is>
          <t>España</t>
        </is>
      </c>
      <c r="B25" t="inlineStr">
        <is>
          <t>Valencia</t>
        </is>
      </c>
      <c r="C25" t="inlineStr">
        <is>
          <t>Alemania</t>
        </is>
      </c>
      <c r="D25" t="inlineStr">
        <is>
          <t>Marburg</t>
        </is>
      </c>
      <c r="E25" t="inlineStr">
        <is>
          <t>2026-10-07</t>
        </is>
      </c>
      <c r="F25" t="inlineStr">
        <is>
          <t>2026-10-14</t>
        </is>
      </c>
      <c r="G25" t="inlineStr">
        <is>
          <t xml:space="preserve"> - No hay coche</t>
        </is>
      </c>
      <c r="H25">
        <f>HYPERLINK("https://booking.roadsurfer.com/es/rally/pick?pickup_date=2026-10-07&amp;return_date=2026-10-14&amp;currency=EUR&amp;startStation=38&amp;endStation=22",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2026-08-23T08:22:46Z</dcterms:created>
  <dcterms:modified xsi:type="dcterms:W3CDTF">2026-08-23T08:22:46Z</dcterms:modified>
</cp:coreProperties>
</file>