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2026-03-03</t>
        </is>
      </c>
      <c r="F6" t="inlineStr">
        <is>
          <t>2026-03-10</t>
        </is>
      </c>
      <c r="G6" t="inlineStr">
        <is>
          <t xml:space="preserve"> - Family Finca</t>
        </is>
      </c>
      <c r="H6">
        <f>HYPERLINK("https://booking.roadsurfer.com/es/rally/pick?pickup_date=2026-03-03&amp;return_date=2026-03-10&amp;currency=EUR&amp;startStation=16&amp;endStation=5",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Road House</t>
        </is>
      </c>
      <c r="H8">
        <f>HYPERLINK("https://booking.roadsurfer.com/es/rally/pick?pickup_date=2026-04-20&amp;return_date=2026-04-27&amp;currency=EUR&amp;startStation=16&amp;endStation=79",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HYPERLINK("https://booking.roadsurfer.com/es/rally/pick?pickup_date=2026-04-15&amp;return_date=2026-04-22&amp;currency=EUR&amp;startStation=16&amp;endStation=11",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Surfer Suite</t>
        </is>
      </c>
      <c r="H10">
        <f>HYPERLINK("https://booking.roadsurfer.com/es/rally/pick?pickup_date=2026-03-03&amp;return_date=2026-03-10&amp;currency=EUR&amp;startStation=32&amp;endStation=22",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2026-03-06</t>
        </is>
      </c>
      <c r="F11" t="inlineStr">
        <is>
          <t>2026-03-13</t>
        </is>
      </c>
      <c r="G11" t="inlineStr">
        <is>
          <t xml:space="preserve"> - Surfer Suite</t>
        </is>
      </c>
      <c r="H11">
        <f>HYPERLINK("https://booking.roadsurfer.com/es/rally/pick?pickup_date=2026-03-06&amp;return_date=2026-03-13&amp;currency=EUR&amp;startStation=32&amp;endStation=22",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2026-03-07</t>
        </is>
      </c>
      <c r="F12" t="inlineStr">
        <is>
          <t>2026-03-14</t>
        </is>
      </c>
      <c r="G12" t="inlineStr">
        <is>
          <t xml:space="preserve"> - Surfer Suite</t>
        </is>
      </c>
      <c r="H12">
        <f>HYPERLINK("https://booking.roadsurfer.com/es/rally/pick?pickup_date=2026-03-07&amp;return_date=2026-03-14&amp;currency=EUR&amp;startStation=47&amp;endStation=56",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2026-03-06</t>
        </is>
      </c>
      <c r="F13" t="inlineStr">
        <is>
          <t>2026-03-13</t>
        </is>
      </c>
      <c r="G13" t="inlineStr">
        <is>
          <t xml:space="preserve"> - Beach Hostel</t>
        </is>
      </c>
      <c r="H13">
        <f>HYPERLINK("https://booking.roadsurfer.com/es/rally/pick?pickup_date=2026-03-06&amp;return_date=2026-03-13&amp;currency=EUR&amp;startStation=47&amp;endStation=56",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2026-04-15</t>
        </is>
      </c>
      <c r="F14" t="inlineStr">
        <is>
          <t>2026-04-22</t>
        </is>
      </c>
      <c r="G14" t="inlineStr">
        <is>
          <t xml:space="preserve"> - FAMILY FINCA</t>
        </is>
      </c>
      <c r="H14">
        <f>HYPERLINK("https://booking.roadsurfer.com/es/rally/pick?pickup_date=2026-04-15&amp;return_date=2026-04-22&amp;currency=EUR&amp;startStation=47&amp;endStation=56",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No hay coche</t>
        </is>
      </c>
      <c r="H20">
        <f>HYPERLINK("https://booking.roadsurfer.com/es/rally/pick?pickup_date=2026-04-10&amp;return_date=2026-04-17&amp;currency=EUR&amp;startStation=108&amp;endStation=32",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2026-03-04</t>
        </is>
      </c>
      <c r="F21" t="inlineStr">
        <is>
          <t>2026-03-11</t>
        </is>
      </c>
      <c r="G21" t="inlineStr">
        <is>
          <t xml:space="preserve"> - Surfer Suite</t>
        </is>
      </c>
      <c r="H21">
        <f>HYPERLINK("https://booking.roadsurfer.com/es/rally/pick?pickup_date=2026-03-04&amp;return_date=2026-03-11&amp;currency=EUR&amp;startStation=108&amp;endStation=34",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Road House</t>
        </is>
      </c>
      <c r="H22">
        <f>HYPERLINK("https://booking.roadsurfer.com/es/rally/pick?pickup_date=2026-03-05&amp;return_date=2026-03-12&amp;currency=EUR&amp;startStation=17&amp;endStation=9",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HYPERLINK("https://booking.roadsurfer.com/es/rally/pick?pickup_date=2026-03-09&amp;return_date=2026-03-16&amp;currency=EUR&amp;startStation=17&amp;endStation=2",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Surfer Suite</t>
        </is>
      </c>
      <c r="H25">
        <f>HYPERLINK("https://booking.roadsurfer.com/es/rally/pick?pickup_date=2026-03-09&amp;return_date=2026-03-16&amp;currency=EUR&amp;startStation=17&amp;endStation=22",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Road House</t>
        </is>
      </c>
      <c r="H28">
        <f>HYPERLINK("https://booking.roadsurfer.com/es/rally/pick?pickup_date=2026-03-06&amp;return_date=2026-03-13&amp;currency=EUR&amp;startStation=94&amp;endStation=3",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2026-03-09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HYPERLINK("https://booking.roadsurfer.com/es/rally/pick?pickup_date=2026-03-09&amp;return_date=2026-03-19&amp;currency=EUR&amp;startStation=6&amp;endStation=34",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HYPERLINK("https://booking.roadsurfer.com/es/rally/pick?pickup_date=2026-03-06&amp;return_date=2026-03-13&amp;currency=EUR&amp;startStation=6&amp;endStation=33",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Linz</t>
        </is>
      </c>
      <c r="E31" t="inlineStr">
        <is>
          <t>2026-03-03</t>
        </is>
      </c>
      <c r="F31" t="inlineStr">
        <is>
          <t>2026-03-10</t>
        </is>
      </c>
      <c r="G31" t="inlineStr">
        <is>
          <t xml:space="preserve"> - Surfer Suite</t>
        </is>
      </c>
      <c r="H31">
        <f>HYPERLINK("https://booking.roadsurfer.com/es/rally/pick?pickup_date=2026-03-03&amp;return_date=2026-03-10&amp;currency=EUR&amp;startStation=6&amp;endStation=116",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2026-04-03</t>
        </is>
      </c>
      <c r="F32" t="inlineStr">
        <is>
          <t>2026-04-10</t>
        </is>
      </c>
      <c r="G32" t="inlineStr">
        <is>
          <t xml:space="preserve"> - No hay coche</t>
        </is>
      </c>
      <c r="H32">
        <f>HYPERLINK("https://booking.roadsurfer.com/es/rally/pick?pickup_date=2026-04-03&amp;return_date=2026-04-10&amp;currency=EUR&amp;startStation=6&amp;endStation=87",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2026-03-05</t>
        </is>
      </c>
      <c r="F33" t="inlineStr">
        <is>
          <t>2026-03-12</t>
        </is>
      </c>
      <c r="G33" t="inlineStr">
        <is>
          <t xml:space="preserve"> - Family Finca</t>
        </is>
      </c>
      <c r="H33">
        <f>HYPERLINK("https://booking.roadsurfer.com/es/rally/pick?pickup_date=2026-03-05&amp;return_date=2026-03-12&amp;currency=EUR&amp;startStation=6&amp;endStation=65",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2026-03-06</t>
        </is>
      </c>
      <c r="F34" t="inlineStr">
        <is>
          <t>2026-03-13</t>
        </is>
      </c>
      <c r="G34" t="inlineStr">
        <is>
          <t xml:space="preserve"> - BEACH HOSTEL</t>
        </is>
      </c>
      <c r="H34">
        <f>HYPERLINK("https://booking.roadsurfer.com/es/rally/pick?pickup_date=2026-03-06&amp;return_date=2026-03-13&amp;currency=EUR&amp;startStation=6&amp;endStation=65",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2026-03-13</t>
        </is>
      </c>
      <c r="F35" t="inlineStr">
        <is>
          <t>2026-03-20</t>
        </is>
      </c>
      <c r="G35" t="inlineStr">
        <is>
          <t xml:space="preserve"> - Camper Cabin</t>
        </is>
      </c>
      <c r="H35">
        <f>HYPERLINK("https://booking.roadsurfer.com/es/rally/pick?pickup_date=2026-03-13&amp;return_date=2026-03-20&amp;currency=EUR&amp;startStation=6&amp;endStation=109",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2026-03-04</t>
        </is>
      </c>
      <c r="F36" t="inlineStr">
        <is>
          <t>2026-03-11</t>
        </is>
      </c>
      <c r="G36" t="inlineStr">
        <is>
          <t xml:space="preserve"> - Surfer Suite</t>
        </is>
      </c>
      <c r="H36">
        <f>HYPERLINK("https://booking.roadsurfer.com/es/rally/pick?pickup_date=2026-03-04&amp;return_date=2026-03-11&amp;currency=EUR&amp;startStation=6&amp;endStation=80",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Bolonia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Road House</t>
        </is>
      </c>
      <c r="H37">
        <f>HYPERLINK("https://booking.roadsurfer.com/es/rally/pick?pickup_date=2026-03-09&amp;return_date=2026-03-16&amp;currency=EUR&amp;startStation=6&amp;endStation=57",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 - COUPLE COTTAGE</t>
        </is>
      </c>
      <c r="H38">
        <f>HYPERLINK("https://booking.roadsurfer.com/es/rally/pick?pickup_date=2026-03-04&amp;return_date=2026-03-11&amp;currency=EUR&amp;startStation=51&amp;endStation=32",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ROAD HOUSE</t>
        </is>
      </c>
      <c r="H39">
        <f>HYPERLINK("https://booking.roadsurfer.com/es/rally/pick?pickup_date=2026-03-04&amp;return_date=2026-03-11&amp;currency=EUR&amp;startStation=51&amp;endStation=36",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2026-03-03</t>
        </is>
      </c>
      <c r="F40" t="inlineStr">
        <is>
          <t>2026-03-10</t>
        </is>
      </c>
      <c r="G40" t="inlineStr">
        <is>
          <t xml:space="preserve"> - ROAD HOUSE</t>
        </is>
      </c>
      <c r="H40">
        <f>HYPERLINK("https://booking.roadsurfer.com/es/rally/pick?pickup_date=2026-03-03&amp;return_date=2026-03-10&amp;currency=EUR&amp;startStation=51&amp;endStation=20",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Florencia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Family Finca</t>
        </is>
      </c>
      <c r="H41">
        <f>HYPERLINK("https://booking.roadsurfer.com/es/rally/pick?pickup_date=2026-03-09&amp;return_date=2026-03-16&amp;currency=EUR&amp;startStation=51&amp;endStation=80",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2026-04-04</t>
        </is>
      </c>
      <c r="F42" t="inlineStr">
        <is>
          <t>2026-04-11</t>
        </is>
      </c>
      <c r="G42" t="inlineStr">
        <is>
          <t xml:space="preserve"> - BEACH HOSTEL</t>
        </is>
      </c>
      <c r="H42">
        <f>HYPERLINK("https://booking.roadsurfer.com/es/rally/pick?pickup_date=2026-04-04&amp;return_date=2026-04-11&amp;currency=EUR&amp;startStation=91&amp;endStation=31",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Camper Cabin</t>
        </is>
      </c>
      <c r="H43">
        <f>HYPERLINK("https://booking.roadsurfer.com/es/rally/pick?pickup_date=2026-03-09&amp;return_date=2026-03-16&amp;currency=EUR&amp;startStation=91&amp;endStation=33",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HYPERLINK("https://booking.roadsurfer.com/es/rally/pick?pickup_date=2026-03-09&amp;return_date=2026-03-16&amp;currency=EUR&amp;startStation=91&amp;endStation=40",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2026-03-03</t>
        </is>
      </c>
      <c r="F45" t="inlineStr">
        <is>
          <t>2026-03-10</t>
        </is>
      </c>
      <c r="G45" t="inlineStr">
        <is>
          <t xml:space="preserve"> - Surfer Suite</t>
        </is>
      </c>
      <c r="H45">
        <f>HYPERLINK("https://booking.roadsurfer.com/es/rally/pick?pickup_date=2026-03-03&amp;return_date=2026-03-10&amp;currency=EUR&amp;startStation=40&amp;endStation=2",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Kassel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Travel Home</t>
        </is>
      </c>
      <c r="H46">
        <f>HYPERLINK("https://booking.roadsurfer.com/es/rally/pick?pickup_date=2026-03-09&amp;return_date=2026-03-16&amp;currency=EUR&amp;startStation=40&amp;endStation=92",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2026-03-06</t>
        </is>
      </c>
      <c r="F47" t="inlineStr">
        <is>
          <t>2026-03-13</t>
        </is>
      </c>
      <c r="G47" t="inlineStr">
        <is>
          <t xml:space="preserve"> - Surfer Suite</t>
        </is>
      </c>
      <c r="H47">
        <f>HYPERLINK("https://booking.roadsurfer.com/es/rally/pick?pickup_date=2026-03-06&amp;return_date=2026-03-13&amp;currency=EUR&amp;startStation=40&amp;endStation=22",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2026-03-07</t>
        </is>
      </c>
      <c r="F48" t="inlineStr">
        <is>
          <t>2026-03-14</t>
        </is>
      </c>
      <c r="G48" t="inlineStr">
        <is>
          <t xml:space="preserve"> - Road House</t>
        </is>
      </c>
      <c r="H48">
        <f>HYPERLINK("https://booking.roadsurfer.com/es/rally/pick?pickup_date=2026-03-07&amp;return_date=2026-03-14&amp;currency=EUR&amp;startStation=40&amp;endStation=10",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HYPERLINK("https://booking.roadsurfer.com/es/rally/pick?pickup_date=2026-04-13&amp;return_date=2026-04-20&amp;currency=EUR&amp;startStation=40&amp;endStation=5",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2026-04-18</t>
        </is>
      </c>
      <c r="F50" t="inlineStr">
        <is>
          <t>2026-04-25</t>
        </is>
      </c>
      <c r="G50" t="inlineStr">
        <is>
          <t xml:space="preserve"> - Family Finca</t>
        </is>
      </c>
      <c r="H50">
        <f>HYPERLINK("https://booking.roadsurfer.com/es/rally/pick?pickup_date=2026-04-18&amp;return_date=2026-04-25&amp;currency=EUR&amp;startStation=40&amp;endStation=1",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Aquisgrán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Couple Cottage</t>
        </is>
      </c>
      <c r="H51">
        <f>HYPERLINK("https://booking.roadsurfer.com/es/rally/pick?pickup_date=2026-03-09&amp;return_date=2026-03-16&amp;currency=EUR&amp;startStation=40&amp;endStation=114",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Surfer Suite</t>
        </is>
      </c>
      <c r="H52">
        <f>HYPERLINK("https://booking.roadsurfer.com/es/rally/pick?pickup_date=2026-03-24&amp;return_date=2026-03-31&amp;currency=EUR&amp;startStation=40&amp;endStation=9",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2026-03-04</t>
        </is>
      </c>
      <c r="F53" t="inlineStr">
        <is>
          <t>2026-03-11</t>
        </is>
      </c>
      <c r="G53" t="inlineStr">
        <is>
          <t xml:space="preserve"> - Surfer Suite</t>
        </is>
      </c>
      <c r="H53">
        <f>HYPERLINK("https://booking.roadsurfer.com/es/rally/pick?pickup_date=2026-03-04&amp;return_date=2026-03-11&amp;currency=EUR&amp;startStation=24&amp;endStation=12",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HYPERLINK("https://booking.roadsurfer.com/es/rally/pick?pickup_date=2026-04-14&amp;return_date=2026-04-21&amp;currency=EUR&amp;startStation=57&amp;endStation=1",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Austria</t>
        </is>
      </c>
      <c r="D55" t="inlineStr">
        <is>
          <t>Salzburgo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Family Finca</t>
        </is>
      </c>
      <c r="H55">
        <f>HYPERLINK("https://booking.roadsurfer.com/es/rally/pick?pickup_date=2026-05-06&amp;return_date=2026-05-13&amp;currency=EUR&amp;startStation=13&amp;endStation=85",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Family Finca</t>
        </is>
      </c>
      <c r="H57">
        <f>HYPERLINK("https://booking.roadsurfer.com/es/rally/pick?pickup_date=2026-04-15&amp;return_date=2026-04-22&amp;currency=EUR&amp;startStation=13&amp;endStation=4",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Sunrise Suite</t>
        </is>
      </c>
      <c r="H58">
        <f>HYPERLINK("https://booking.roadsurfer.com/es/rally/pick?pickup_date=2026-03-09&amp;return_date=2026-03-16&amp;currency=EUR&amp;startStation=13&amp;endStation=6",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Travel Home</t>
        </is>
      </c>
      <c r="H59">
        <f>HYPERLINK("https://booking.roadsurfer.com/es/rally/pick?pickup_date=2026-03-09&amp;return_date=2026-03-16&amp;currency=EUR&amp;startStation=13&amp;endStation=22",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ROAD HOUSE</t>
        </is>
      </c>
      <c r="H60">
        <f>HYPERLINK("https://booking.roadsurfer.com/es/rally/pick?pickup_date=2026-04-15&amp;return_date=2026-04-22&amp;currency=EUR&amp;startStation=13&amp;endStation=11",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Couple Cottage</t>
        </is>
      </c>
      <c r="H61">
        <f>HYPERLINK("https://booking.roadsurfer.com/es/rally/pick?pickup_date=2026-04-27&amp;return_date=2026-05-04&amp;currency=EUR&amp;startStation=13&amp;endStation=15",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2026-03-09</t>
        </is>
      </c>
      <c r="F62" t="inlineStr">
        <is>
          <t>2026-03-16</t>
        </is>
      </c>
      <c r="G62" t="inlineStr">
        <is>
          <t xml:space="preserve"> - Sunrise Suite</t>
        </is>
      </c>
      <c r="H62">
        <f>HYPERLINK("https://booking.roadsurfer.com/es/rally/pick?pickup_date=2026-03-09&amp;return_date=2026-03-16&amp;currency=EUR&amp;startStation=13&amp;endStation=1",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2026-03-24</t>
        </is>
      </c>
      <c r="F63" t="inlineStr">
        <is>
          <t>2026-03-31</t>
        </is>
      </c>
      <c r="G63" t="inlineStr">
        <is>
          <t xml:space="preserve"> - Family Finca</t>
        </is>
      </c>
      <c r="H63">
        <f>HYPERLINK("https://booking.roadsurfer.com/es/rally/pick?pickup_date=2026-03-24&amp;return_date=2026-03-31&amp;currency=EUR&amp;startStation=55&amp;endStation=77",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2026-04-03</t>
        </is>
      </c>
      <c r="F64" t="inlineStr">
        <is>
          <t>2026-04-10</t>
        </is>
      </c>
      <c r="G64" t="inlineStr">
        <is>
          <t xml:space="preserve"> - No hay coche</t>
        </is>
      </c>
      <c r="H64">
        <f>HYPERLINK("https://booking.roadsurfer.com/es/rally/pick?pickup_date=2026-04-03&amp;return_date=2026-04-10&amp;currency=EUR&amp;startStation=55&amp;endStation=77",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2026-04-02</t>
        </is>
      </c>
      <c r="F65" t="inlineStr">
        <is>
          <t>2026-04-09</t>
        </is>
      </c>
      <c r="G65" t="inlineStr">
        <is>
          <t xml:space="preserve"> - Road House</t>
        </is>
      </c>
      <c r="H65">
        <f>HYPERLINK("https://booking.roadsurfer.com/es/rally/pick?pickup_date=2026-04-02&amp;return_date=2026-04-09&amp;currency=EUR&amp;startStation=55&amp;endStation=77",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2026-03-07</t>
        </is>
      </c>
      <c r="F66" t="inlineStr">
        <is>
          <t>2026-03-14</t>
        </is>
      </c>
      <c r="G66" t="inlineStr">
        <is>
          <t xml:space="preserve"> - Surfer Suite</t>
        </is>
      </c>
      <c r="H66">
        <f>HYPERLINK("https://booking.roadsurfer.com/es/rally/pick?pickup_date=2026-03-07&amp;return_date=2026-03-14&amp;currency=EUR&amp;startStation=55&amp;endStation=32",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2026-03-04</t>
        </is>
      </c>
      <c r="F67" t="inlineStr">
        <is>
          <t>2026-03-11</t>
        </is>
      </c>
      <c r="G67" t="inlineStr">
        <is>
          <t xml:space="preserve"> - Surfer Suite</t>
        </is>
      </c>
      <c r="H67">
        <f>HYPERLINK("https://booking.roadsurfer.com/es/rally/pick?pickup_date=2026-03-04&amp;return_date=2026-03-11&amp;currency=EUR&amp;startStation=55&amp;endStation=33",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2026-04-03</t>
        </is>
      </c>
      <c r="F68" t="inlineStr">
        <is>
          <t>2026-04-10</t>
        </is>
      </c>
      <c r="G68" t="inlineStr">
        <is>
          <t xml:space="preserve"> - No hay coche</t>
        </is>
      </c>
      <c r="H68">
        <f>HYPERLINK("https://booking.roadsurfer.com/es/rally/pick?pickup_date=2026-04-03&amp;return_date=2026-04-10&amp;currency=EUR&amp;startStation=55&amp;endStation=59",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2026-04-02</t>
        </is>
      </c>
      <c r="F69" t="inlineStr">
        <is>
          <t>2026-04-09</t>
        </is>
      </c>
      <c r="G69" t="inlineStr">
        <is>
          <t xml:space="preserve"> - Surfer Suite</t>
        </is>
      </c>
      <c r="H69">
        <f>HYPERLINK("https://booking.roadsurfer.com/es/rally/pick?pickup_date=2026-04-02&amp;return_date=2026-04-09&amp;currency=EUR&amp;startStation=55&amp;endStation=59",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COUPLE COTTAGE</t>
        </is>
      </c>
      <c r="H70">
        <f>HYPERLINK("https://booking.roadsurfer.com/es/rally/pick?pickup_date=2026-04-14&amp;return_date=2026-04-21&amp;currency=EUR&amp;startStation=55&amp;endStation=59",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2026-04-01</t>
        </is>
      </c>
      <c r="F71" t="inlineStr">
        <is>
          <t>2026-04-08</t>
        </is>
      </c>
      <c r="G71" t="inlineStr">
        <is>
          <t xml:space="preserve"> - BEACH HOSTEL</t>
        </is>
      </c>
      <c r="H71">
        <f>HYPERLINK("https://booking.roadsurfer.com/es/rally/pick?pickup_date=2026-04-01&amp;return_date=2026-04-08&amp;currency=EUR&amp;startStation=55&amp;endStation=59",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2026-04-02</t>
        </is>
      </c>
      <c r="F72" t="inlineStr">
        <is>
          <t>2026-04-09</t>
        </is>
      </c>
      <c r="G72" t="inlineStr">
        <is>
          <t xml:space="preserve"> - Road House</t>
        </is>
      </c>
      <c r="H72">
        <f>HYPERLINK("https://booking.roadsurfer.com/es/rally/pick?pickup_date=2026-04-02&amp;return_date=2026-04-09&amp;currency=EUR&amp;startStation=55&amp;endStation=60",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Bremen</t>
        </is>
      </c>
      <c r="E73" t="inlineStr">
        <is>
          <t>2026-03-07</t>
        </is>
      </c>
      <c r="F73" t="inlineStr">
        <is>
          <t>2026-03-14</t>
        </is>
      </c>
      <c r="G73" t="inlineStr">
        <is>
          <t xml:space="preserve"> - Camper Cabin Deluxe</t>
        </is>
      </c>
      <c r="H73">
        <f>HYPERLINK("https://booking.roadsurfer.com/es/rally/pick?pickup_date=2026-03-07&amp;return_date=2026-03-14&amp;currency=EUR&amp;startStation=42&amp;endStation=55",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2026-03-09</t>
        </is>
      </c>
      <c r="F74" t="inlineStr">
        <is>
          <t>2026-03-16</t>
        </is>
      </c>
      <c r="G74" t="inlineStr">
        <is>
          <t xml:space="preserve"> - Camper Cabin</t>
        </is>
      </c>
      <c r="H74">
        <f>HYPERLINK("https://booking.roadsurfer.com/es/rally/pick?pickup_date=2026-03-09&amp;return_date=2026-03-16&amp;currency=EUR&amp;startStation=42&amp;endStation=91",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2026-04-03</t>
        </is>
      </c>
      <c r="F75" t="inlineStr">
        <is>
          <t>2026-04-10</t>
        </is>
      </c>
      <c r="G75" t="inlineStr">
        <is>
          <t xml:space="preserve"> - No hay coche</t>
        </is>
      </c>
      <c r="H75">
        <f>HYPERLINK("https://booking.roadsurfer.com/es/rally/pick?pickup_date=2026-04-03&amp;return_date=2026-04-10&amp;currency=EUR&amp;startStation=52&amp;endStation=48",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Camper Cabin Deluxe</t>
        </is>
      </c>
      <c r="H76">
        <f>HYPERLINK("https://booking.roadsurfer.com/es/rally/pick?pickup_date=2026-04-16&amp;return_date=2026-04-23&amp;currency=EUR&amp;startStation=52&amp;endStation=48",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Camper Cabin Deluxe</t>
        </is>
      </c>
      <c r="H77">
        <f>HYPERLINK("https://booking.roadsurfer.com/es/rally/pick?pickup_date=2026-03-02&amp;return_date=2026-03-09&amp;currency=EUR&amp;startStation=52&amp;endStation=48",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2026-03-03</t>
        </is>
      </c>
      <c r="F78" t="inlineStr">
        <is>
          <t>2026-03-10</t>
        </is>
      </c>
      <c r="G78" t="inlineStr">
        <is>
          <t xml:space="preserve"> - Camper Cabin Deluxe</t>
        </is>
      </c>
      <c r="H78">
        <f>HYPERLINK("https://booking.roadsurfer.com/es/rally/pick?pickup_date=2026-03-03&amp;return_date=2026-03-10&amp;currency=EUR&amp;startStation=52&amp;endStation=48",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2026-05-02</t>
        </is>
      </c>
      <c r="F79" t="inlineStr">
        <is>
          <t>2026-05-09</t>
        </is>
      </c>
      <c r="G79" t="inlineStr">
        <is>
          <t xml:space="preserve"> - Family Finca</t>
        </is>
      </c>
      <c r="H79">
        <f>HYPERLINK("https://booking.roadsurfer.com/es/rally/pick?pickup_date=2026-05-02&amp;return_date=2026-05-09&amp;currency=EUR&amp;startStation=52&amp;endStation=31",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2026-04-03</t>
        </is>
      </c>
      <c r="F80" t="inlineStr">
        <is>
          <t>2026-04-10</t>
        </is>
      </c>
      <c r="G80" t="inlineStr">
        <is>
          <t xml:space="preserve"> - No hay coche</t>
        </is>
      </c>
      <c r="H80">
        <f>HYPERLINK("https://booking.roadsurfer.com/es/rally/pick?pickup_date=2026-04-03&amp;return_date=2026-04-10&amp;currency=EUR&amp;startStation=52&amp;endStation=31",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Surfer Suite</t>
        </is>
      </c>
      <c r="H81">
        <f>HYPERLINK("https://booking.roadsurfer.com/es/rally/pick?pickup_date=2026-04-10&amp;return_date=2026-04-17&amp;currency=EUR&amp;startStation=52&amp;endStation=42",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2026-03-07</t>
        </is>
      </c>
      <c r="F82" t="inlineStr">
        <is>
          <t>2026-03-14</t>
        </is>
      </c>
      <c r="G82" t="inlineStr">
        <is>
          <t xml:space="preserve"> - Road House</t>
        </is>
      </c>
      <c r="H82">
        <f>HYPERLINK("https://booking.roadsurfer.com/es/rally/pick?pickup_date=2026-03-07&amp;return_date=2026-03-14&amp;currency=EUR&amp;startStation=52&amp;endStation=34",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2026-03-09</t>
        </is>
      </c>
      <c r="F83" t="inlineStr">
        <is>
          <t>2026-03-16</t>
        </is>
      </c>
      <c r="G83" t="inlineStr">
        <is>
          <t xml:space="preserve"> - Surfer Suite</t>
        </is>
      </c>
      <c r="H83">
        <f>HYPERLINK("https://booking.roadsurfer.com/es/rally/pick?pickup_date=2026-03-09&amp;return_date=2026-03-16&amp;currency=EUR&amp;startStation=4&amp;endStation=32",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Surfer Suite</t>
        </is>
      </c>
      <c r="H84">
        <f>HYPERLINK("https://booking.roadsurfer.com/es/rally/pick?pickup_date=2026-04-09&amp;return_date=2026-04-16&amp;currency=EUR&amp;startStation=4&amp;endStation=31",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Austria</t>
        </is>
      </c>
      <c r="D85" t="inlineStr">
        <is>
          <t>Viena Sur</t>
        </is>
      </c>
      <c r="E85" t="inlineStr">
        <is>
          <t>2026-03-03</t>
        </is>
      </c>
      <c r="F85" t="inlineStr">
        <is>
          <t>2026-03-10</t>
        </is>
      </c>
      <c r="G85" t="inlineStr">
        <is>
          <t xml:space="preserve"> - Surfer Suite</t>
        </is>
      </c>
      <c r="H85">
        <f>HYPERLINK("https://booking.roadsurfer.com/es/rally/pick?pickup_date=2026-03-03&amp;return_date=2026-03-10&amp;currency=EUR&amp;startStation=10&amp;endStation=45",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Austria</t>
        </is>
      </c>
      <c r="D86" t="inlineStr">
        <is>
          <t>Viena Sur</t>
        </is>
      </c>
      <c r="E86" t="inlineStr">
        <is>
          <t>2026-03-04</t>
        </is>
      </c>
      <c r="F86" t="inlineStr">
        <is>
          <t>2026-03-11</t>
        </is>
      </c>
      <c r="G86" t="inlineStr">
        <is>
          <t xml:space="preserve"> - SURFER SUITE</t>
        </is>
      </c>
      <c r="H86">
        <f>HYPERLINK("https://booking.roadsurfer.com/es/rally/pick?pickup_date=2026-03-04&amp;return_date=2026-03-11&amp;currency=EUR&amp;startStation=10&amp;endStation=45",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2026-04-01</t>
        </is>
      </c>
      <c r="F87" t="inlineStr">
        <is>
          <t>2026-04-08</t>
        </is>
      </c>
      <c r="G87" t="inlineStr">
        <is>
          <t xml:space="preserve"> - Road House</t>
        </is>
      </c>
      <c r="H87">
        <f>HYPERLINK("https://booking.roadsurfer.com/es/rally/pick?pickup_date=2026-04-01&amp;return_date=2026-04-08&amp;currency=EUR&amp;startStation=56&amp;endStation=59",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2026-04-02</t>
        </is>
      </c>
      <c r="F88" t="inlineStr">
        <is>
          <t>2026-04-09</t>
        </is>
      </c>
      <c r="G88" t="inlineStr">
        <is>
          <t xml:space="preserve"> - Road House</t>
        </is>
      </c>
      <c r="H88">
        <f>HYPERLINK("https://booking.roadsurfer.com/es/rally/pick?pickup_date=2026-04-02&amp;return_date=2026-04-09&amp;currency=EUR&amp;startStation=56&amp;endStation=59",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2026-04-07</t>
        </is>
      </c>
      <c r="F89" t="inlineStr">
        <is>
          <t>2026-04-14</t>
        </is>
      </c>
      <c r="G89" t="inlineStr">
        <is>
          <t xml:space="preserve"> - Road House</t>
        </is>
      </c>
      <c r="H89">
        <f>HYPERLINK("https://booking.roadsurfer.com/es/rally/pick?pickup_date=2026-04-07&amp;return_date=2026-04-14&amp;currency=EUR&amp;startStation=56&amp;endStation=59",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HYPERLINK("https://booking.roadsurfer.com/es/rally/pick?pickup_date=2026-03-06&amp;return_date=2026-03-13&amp;currency=EUR&amp;startStation=56&amp;endStation=37",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Países Bajos</t>
        </is>
      </c>
      <c r="D91" t="inlineStr">
        <is>
          <t>Róterdam</t>
        </is>
      </c>
      <c r="E91" t="inlineStr">
        <is>
          <t>2026-03-05</t>
        </is>
      </c>
      <c r="F91" t="inlineStr">
        <is>
          <t>2026-03-12</t>
        </is>
      </c>
      <c r="G91" t="inlineStr">
        <is>
          <t xml:space="preserve"> - Surfer Suite</t>
        </is>
      </c>
      <c r="H91">
        <f>HYPERLINK("https://booking.roadsurfer.com/es/rally/pick?pickup_date=2026-03-05&amp;return_date=2026-03-12&amp;currency=EUR&amp;startStation=56&amp;endStation=33",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Braunschweig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HYPERLINK("https://booking.roadsurfer.com/es/rally/pick?pickup_date=2026-04-20&amp;return_date=2026-04-27&amp;currency=EUR&amp;startStation=56&amp;endStation=128",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2026-03-09</t>
        </is>
      </c>
      <c r="F93" t="inlineStr">
        <is>
          <t>2026-03-16</t>
        </is>
      </c>
      <c r="G93" t="inlineStr">
        <is>
          <t xml:space="preserve"> - Beach Hostel</t>
        </is>
      </c>
      <c r="H93">
        <f>HYPERLINK("https://booking.roadsurfer.com/es/rally/pick?pickup_date=2026-03-09&amp;return_date=2026-03-16&amp;currency=EUR&amp;startStation=56&amp;endStation=11",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2026-04-01</t>
        </is>
      </c>
      <c r="F94" t="inlineStr">
        <is>
          <t>2026-04-08</t>
        </is>
      </c>
      <c r="G94" t="inlineStr">
        <is>
          <t xml:space="preserve"> - Surfer Suite</t>
        </is>
      </c>
      <c r="H94">
        <f>HYPERLINK("https://booking.roadsurfer.com/es/rally/pick?pickup_date=2026-04-01&amp;return_date=2026-04-08&amp;currency=EUR&amp;startStation=56&amp;endStation=87",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2026-03-05</t>
        </is>
      </c>
      <c r="F95" t="inlineStr">
        <is>
          <t>2026-03-12</t>
        </is>
      </c>
      <c r="G95" t="inlineStr">
        <is>
          <t xml:space="preserve"> - Sunrise Suite</t>
        </is>
      </c>
      <c r="H95">
        <f>HYPERLINK("https://booking.roadsurfer.com/es/rally/pick?pickup_date=2026-03-05&amp;return_date=2026-03-12&amp;currency=EUR&amp;startStation=56&amp;endStation=1",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2026-04-09</t>
        </is>
      </c>
      <c r="F96" t="inlineStr">
        <is>
          <t>2026-04-16</t>
        </is>
      </c>
      <c r="G96" t="inlineStr">
        <is>
          <t xml:space="preserve"> - Surfer Suite</t>
        </is>
      </c>
      <c r="H96">
        <f>HYPERLINK("https://booking.roadsurfer.com/es/rally/pick?pickup_date=2026-04-09&amp;return_date=2026-04-16&amp;currency=EUR&amp;startStation=56&amp;endStation=58",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2026-04-10</t>
        </is>
      </c>
      <c r="F97" t="inlineStr">
        <is>
          <t>2026-04-16</t>
        </is>
      </c>
      <c r="G97" t="inlineStr">
        <is>
          <t xml:space="preserve"> - Road House</t>
        </is>
      </c>
      <c r="H97">
        <f>HYPERLINK("https://booking.roadsurfer.com/es/rally/pick?pickup_date=2026-04-10&amp;return_date=2026-04-16&amp;currency=EUR&amp;startStation=56&amp;endStation=42",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2026-04-08</t>
        </is>
      </c>
      <c r="F98" t="inlineStr">
        <is>
          <t>2026-04-15</t>
        </is>
      </c>
      <c r="G98" t="inlineStr">
        <is>
          <t xml:space="preserve"> - Sunrise Suite</t>
        </is>
      </c>
      <c r="H98">
        <f>HYPERLINK("https://booking.roadsurfer.com/es/rally/pick?pickup_date=2026-04-08&amp;return_date=2026-04-15&amp;currency=EUR&amp;startStation=56&amp;endStation=78",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Róterdam</t>
        </is>
      </c>
      <c r="E99" t="inlineStr">
        <is>
          <t>2026-03-03</t>
        </is>
      </c>
      <c r="F99" t="inlineStr">
        <is>
          <t>2026-03-10</t>
        </is>
      </c>
      <c r="G99" t="inlineStr">
        <is>
          <t xml:space="preserve"> - Road House</t>
        </is>
      </c>
      <c r="H99">
        <f>HYPERLINK("https://booking.roadsurfer.com/es/rally/pick?pickup_date=2026-03-03&amp;return_date=2026-03-10&amp;currency=EUR&amp;startStation=113&amp;endStation=33",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2026-03-04</t>
        </is>
      </c>
      <c r="F100" t="inlineStr">
        <is>
          <t>2026-03-11</t>
        </is>
      </c>
      <c r="G100" t="inlineStr">
        <is>
          <t xml:space="preserve"> - Surfer Suite</t>
        </is>
      </c>
      <c r="H100">
        <f>HYPERLINK("https://booking.roadsurfer.com/es/rally/pick?pickup_date=2026-03-04&amp;return_date=2026-03-11&amp;currency=EUR&amp;startStation=113&amp;endStation=32",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2026-03-05</t>
        </is>
      </c>
      <c r="F101" t="inlineStr">
        <is>
          <t>2026-03-12</t>
        </is>
      </c>
      <c r="G101" t="inlineStr">
        <is>
          <t xml:space="preserve"> - No hay coche</t>
        </is>
      </c>
      <c r="H101">
        <f>HYPERLINK("https://booking.roadsurfer.com/es/rally/pick?pickup_date=2026-03-05&amp;return_date=2026-03-12&amp;currency=EUR&amp;startStation=113&amp;endStation=32",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2026-03-06</t>
        </is>
      </c>
      <c r="F102" t="inlineStr">
        <is>
          <t>2026-03-13</t>
        </is>
      </c>
      <c r="G102" t="inlineStr">
        <is>
          <t xml:space="preserve"> - Surfer Suite</t>
        </is>
      </c>
      <c r="H102">
        <f>HYPERLINK("https://booking.roadsurfer.com/es/rally/pick?pickup_date=2026-03-06&amp;return_date=2026-03-13&amp;currency=EUR&amp;startStation=113&amp;endStation=32",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Países Bajos</t>
        </is>
      </c>
      <c r="D103" t="inlineStr">
        <is>
          <t>Ámsterdam</t>
        </is>
      </c>
      <c r="E103" t="inlineStr">
        <is>
          <t>2026-03-09</t>
        </is>
      </c>
      <c r="F103" t="inlineStr">
        <is>
          <t>2026-03-16</t>
        </is>
      </c>
      <c r="G103" t="inlineStr">
        <is>
          <t xml:space="preserve"> - Surfer Suite</t>
        </is>
      </c>
      <c r="H103">
        <f>HYPERLINK("https://booking.roadsurfer.com/es/rally/pick?pickup_date=2026-03-09&amp;return_date=2026-03-16&amp;currency=EUR&amp;startStation=113&amp;endStation=32",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2026-03-04</t>
        </is>
      </c>
      <c r="F104" t="inlineStr">
        <is>
          <t>2026-03-11</t>
        </is>
      </c>
      <c r="G104" t="inlineStr">
        <is>
          <t xml:space="preserve"> - Surfer Suite</t>
        </is>
      </c>
      <c r="H104">
        <f>HYPERLINK("https://booking.roadsurfer.com/es/rally/pick?pickup_date=2026-03-04&amp;return_date=2026-03-11&amp;currency=EUR&amp;startStation=90&amp;endStation=42",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Beach Hostel</t>
        </is>
      </c>
      <c r="H105">
        <f>HYPERLINK("https://booking.roadsurfer.com/es/rally/pick?pickup_date=2026-04-14&amp;return_date=2026-04-21&amp;currency=EUR&amp;startStation=90&amp;endStation=42",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2026-03-04</t>
        </is>
      </c>
      <c r="F106" t="inlineStr">
        <is>
          <t>2026-03-11</t>
        </is>
      </c>
      <c r="G106" t="inlineStr">
        <is>
          <t xml:space="preserve"> - Road House</t>
        </is>
      </c>
      <c r="H106">
        <f>HYPERLINK("https://booking.roadsurfer.com/es/rally/pick?pickup_date=2026-03-04&amp;return_date=2026-03-11&amp;currency=EUR&amp;startStation=90&amp;endStation=29",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2026-03-31</t>
        </is>
      </c>
      <c r="F107" t="inlineStr">
        <is>
          <t>2026-04-07</t>
        </is>
      </c>
      <c r="G107" t="inlineStr">
        <is>
          <t xml:space="preserve"> - SURFER SUITE</t>
        </is>
      </c>
      <c r="H107">
        <f>HYPERLINK("https://booking.roadsurfer.com/es/rally/pick?pickup_date=2026-03-31&amp;return_date=2026-04-07&amp;currency=EUR&amp;startStation=90&amp;endStation=48",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2026-04-02</t>
        </is>
      </c>
      <c r="F108" t="inlineStr">
        <is>
          <t>2026-04-09</t>
        </is>
      </c>
      <c r="G108" t="inlineStr">
        <is>
          <t xml:space="preserve"> - Surfer Suite</t>
        </is>
      </c>
      <c r="H108">
        <f>HYPERLINK("https://booking.roadsurfer.com/es/rally/pick?pickup_date=2026-04-02&amp;return_date=2026-04-09&amp;currency=EUR&amp;startStation=90&amp;endStation=37",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2026-03-03</t>
        </is>
      </c>
      <c r="F109" t="inlineStr">
        <is>
          <t>2026-03-10</t>
        </is>
      </c>
      <c r="G109" t="inlineStr">
        <is>
          <t xml:space="preserve"> - Road House</t>
        </is>
      </c>
      <c r="H109">
        <f>HYPERLINK("https://booking.roadsurfer.com/es/rally/pick?pickup_date=2026-03-03&amp;return_date=2026-03-10&amp;currency=EUR&amp;startStation=90&amp;endStation=12",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Austria</t>
        </is>
      </c>
      <c r="D110" t="inlineStr">
        <is>
          <t>Viena Sur</t>
        </is>
      </c>
      <c r="E110" t="inlineStr">
        <is>
          <t>2026-03-06</t>
        </is>
      </c>
      <c r="F110" t="inlineStr">
        <is>
          <t>2026-03-13</t>
        </is>
      </c>
      <c r="G110" t="inlineStr">
        <is>
          <t xml:space="preserve"> - Camper Cabin</t>
        </is>
      </c>
      <c r="H110">
        <f>HYPERLINK("https://booking.roadsurfer.com/es/rally/pick?pickup_date=2026-03-06&amp;return_date=2026-03-13&amp;currency=EUR&amp;startStation=90&amp;endStation=45",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Road House</t>
        </is>
      </c>
      <c r="H111">
        <f>HYPERLINK("https://booking.roadsurfer.com/es/rally/pick?pickup_date=2026-04-14&amp;return_date=2026-04-21&amp;currency=EUR&amp;startStation=90&amp;endStation=77",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Estrasburgo</t>
        </is>
      </c>
      <c r="E112" t="inlineStr">
        <is>
          <t>2026-04-10</t>
        </is>
      </c>
      <c r="F112" t="inlineStr">
        <is>
          <t>2026-04-17</t>
        </is>
      </c>
      <c r="G112" t="inlineStr">
        <is>
          <t xml:space="preserve"> - Beach Hostel</t>
        </is>
      </c>
      <c r="H112">
        <f>HYPERLINK("https://booking.roadsurfer.com/es/rally/pick?pickup_date=2026-04-10&amp;return_date=2026-04-17&amp;currency=EUR&amp;startStation=90&amp;endStation=49",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2026-04-07</t>
        </is>
      </c>
      <c r="F113" t="inlineStr">
        <is>
          <t>2026-04-14</t>
        </is>
      </c>
      <c r="G113" t="inlineStr">
        <is>
          <t xml:space="preserve"> - Family Finca</t>
        </is>
      </c>
      <c r="H113">
        <f>HYPERLINK("https://booking.roadsurfer.com/es/rally/pick?pickup_date=2026-04-07&amp;return_date=2026-04-14&amp;currency=EUR&amp;startStation=90&amp;endStation=16",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Alemania</t>
        </is>
      </c>
      <c r="D114" t="inlineStr">
        <is>
          <t>Braunschweig</t>
        </is>
      </c>
      <c r="E114" t="inlineStr">
        <is>
          <t>2026-04-20</t>
        </is>
      </c>
      <c r="F114" t="inlineStr">
        <is>
          <t>2026-04-27</t>
        </is>
      </c>
      <c r="G114" t="inlineStr">
        <is>
          <t xml:space="preserve"> - No hay coche</t>
        </is>
      </c>
      <c r="H114">
        <f>HYPERLINK("https://booking.roadsurfer.com/es/rally/pick?pickup_date=2026-04-20&amp;return_date=2026-04-27&amp;currency=EUR&amp;startStation=2&amp;endStation=128",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2026-03-20</t>
        </is>
      </c>
      <c r="F115" t="inlineStr">
        <is>
          <t>2026-03-27</t>
        </is>
      </c>
      <c r="G115" t="inlineStr">
        <is>
          <t xml:space="preserve"> - Surfer Suite</t>
        </is>
      </c>
      <c r="H115">
        <f>HYPERLINK("https://booking.roadsurfer.com/es/rally/pick?pickup_date=2026-03-20&amp;return_date=2026-03-27&amp;currency=EUR&amp;startStation=2&amp;endStation=13",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2026-03-03</t>
        </is>
      </c>
      <c r="F116" t="inlineStr">
        <is>
          <t>2026-03-10</t>
        </is>
      </c>
      <c r="G116" t="inlineStr">
        <is>
          <t xml:space="preserve"> - Beach Hostel</t>
        </is>
      </c>
      <c r="H116">
        <f>HYPERLINK("https://booking.roadsurfer.com/es/rally/pick?pickup_date=2026-03-03&amp;return_date=2026-03-10&amp;currency=EUR&amp;startStation=2&amp;endStation=15",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Alemania</t>
        </is>
      </c>
      <c r="D117" t="inlineStr">
        <is>
          <t>Lindau-Wangen</t>
        </is>
      </c>
      <c r="E117" t="inlineStr">
        <is>
          <t>2026-03-05</t>
        </is>
      </c>
      <c r="F117" t="inlineStr">
        <is>
          <t>2026-03-12</t>
        </is>
      </c>
      <c r="G117" t="inlineStr">
        <is>
          <t xml:space="preserve"> - No hay coche</t>
        </is>
      </c>
      <c r="H117">
        <f>HYPERLINK("https://booking.roadsurfer.com/es/rally/pick?pickup_date=2026-03-05&amp;return_date=2026-03-12&amp;currency=EUR&amp;startStation=2&amp;endStation=117",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Camper Cabin Deluxe</t>
        </is>
      </c>
      <c r="H118">
        <f>HYPERLINK("https://booking.roadsurfer.com/es/rally/pick?pickup_date=2026-03-09&amp;return_date=2026-03-16&amp;currency=EUR&amp;startStation=2&amp;endStation=33",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2026-03-05</t>
        </is>
      </c>
      <c r="F119" t="inlineStr">
        <is>
          <t>2026-03-12</t>
        </is>
      </c>
      <c r="G119" t="inlineStr">
        <is>
          <t xml:space="preserve"> - Camper Cabin Deluxe</t>
        </is>
      </c>
      <c r="H119">
        <f>HYPERLINK("https://booking.roadsurfer.com/es/rally/pick?pickup_date=2026-03-05&amp;return_date=2026-03-12&amp;currency=EUR&amp;startStation=2&amp;endStation=29",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2026-03-05</t>
        </is>
      </c>
      <c r="F120" t="inlineStr">
        <is>
          <t>2026-03-12</t>
        </is>
      </c>
      <c r="G120" t="inlineStr">
        <is>
          <t xml:space="preserve"> - Surfer Suite</t>
        </is>
      </c>
      <c r="H120">
        <f>HYPERLINK("https://booking.roadsurfer.com/es/rally/pick?pickup_date=2026-03-05&amp;return_date=2026-03-12&amp;currency=EUR&amp;startStation=9&amp;endStation=33",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España</t>
        </is>
      </c>
      <c r="D121" t="inlineStr">
        <is>
          <t>Málaga</t>
        </is>
      </c>
      <c r="E121" t="inlineStr">
        <is>
          <t>2026-04-01</t>
        </is>
      </c>
      <c r="F121" t="inlineStr">
        <is>
          <t>2026-04-08</t>
        </is>
      </c>
      <c r="G121" t="inlineStr">
        <is>
          <t xml:space="preserve"> - Surfer Suite</t>
        </is>
      </c>
      <c r="H121">
        <f>HYPERLINK("https://booking.roadsurfer.com/es/rally/pick?pickup_date=2026-04-01&amp;return_date=2026-04-08&amp;currency=EUR&amp;startStation=9&amp;endStation=21",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Málaga</t>
        </is>
      </c>
      <c r="E122" t="inlineStr">
        <is>
          <t>2026-04-03</t>
        </is>
      </c>
      <c r="F122" t="inlineStr">
        <is>
          <t>2026-04-10</t>
        </is>
      </c>
      <c r="G122" t="inlineStr">
        <is>
          <t xml:space="preserve"> - No hay coche</t>
        </is>
      </c>
      <c r="H122">
        <f>HYPERLINK("https://booking.roadsurfer.com/es/rally/pick?pickup_date=2026-04-03&amp;return_date=2026-04-10&amp;currency=EUR&amp;startStation=9&amp;endStation=21",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España</t>
        </is>
      </c>
      <c r="D123" t="inlineStr">
        <is>
          <t>Sevilla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Surfer Suite</t>
        </is>
      </c>
      <c r="H123">
        <f>HYPERLINK("https://booking.roadsurfer.com/es/rally/pick?pickup_date=2026-03-09&amp;return_date=2026-03-16&amp;currency=EUR&amp;startStation=9&amp;endStation=39",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2026-03-23</t>
        </is>
      </c>
      <c r="F124" t="inlineStr">
        <is>
          <t>2026-03-30</t>
        </is>
      </c>
      <c r="G124" t="inlineStr">
        <is>
          <t xml:space="preserve"> - Surfer Suite</t>
        </is>
      </c>
      <c r="H124">
        <f>HYPERLINK("https://booking.roadsurfer.com/es/rally/pick?pickup_date=2026-03-23&amp;return_date=2026-03-30&amp;currency=EUR&amp;startStation=9&amp;endStation=15",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Francia</t>
        </is>
      </c>
      <c r="D125" t="inlineStr">
        <is>
          <t>Niza</t>
        </is>
      </c>
      <c r="E125" t="inlineStr">
        <is>
          <t>2026-04-09</t>
        </is>
      </c>
      <c r="F125" t="inlineStr">
        <is>
          <t>2026-04-16</t>
        </is>
      </c>
      <c r="G125" t="inlineStr">
        <is>
          <t xml:space="preserve"> - Road House</t>
        </is>
      </c>
      <c r="H125">
        <f>HYPERLINK("https://booking.roadsurfer.com/es/rally/pick?pickup_date=2026-04-09&amp;return_date=2026-04-16&amp;currency=EUR&amp;startStation=9&amp;endStation=88",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España</t>
        </is>
      </c>
      <c r="D126" t="inlineStr">
        <is>
          <t>Madrid</t>
        </is>
      </c>
      <c r="E126" t="inlineStr">
        <is>
          <t>2026-04-07</t>
        </is>
      </c>
      <c r="F126" t="inlineStr">
        <is>
          <t>2026-04-14</t>
        </is>
      </c>
      <c r="G126" t="inlineStr">
        <is>
          <t xml:space="preserve"> - Road House</t>
        </is>
      </c>
      <c r="H126">
        <f>HYPERLINK("https://booking.roadsurfer.com/es/rally/pick?pickup_date=2026-04-07&amp;return_date=2026-04-14&amp;currency=EUR&amp;startStation=9&amp;endStation=20",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2026-03-05</t>
        </is>
      </c>
      <c r="F127" t="inlineStr">
        <is>
          <t>2026-03-12</t>
        </is>
      </c>
      <c r="G127" t="inlineStr">
        <is>
          <t xml:space="preserve"> - Family Finca</t>
        </is>
      </c>
      <c r="H127">
        <f>HYPERLINK("https://booking.roadsurfer.com/es/rally/pick?pickup_date=2026-03-05&amp;return_date=2026-03-12&amp;currency=EUR&amp;startStation=9&amp;endStation=94",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2026-03-05</t>
        </is>
      </c>
      <c r="F128" t="inlineStr">
        <is>
          <t>2026-03-12</t>
        </is>
      </c>
      <c r="G128" t="inlineStr">
        <is>
          <t xml:space="preserve"> - Couple Cottage</t>
        </is>
      </c>
      <c r="H128">
        <f>HYPERLINK("https://booking.roadsurfer.com/es/rally/pick?pickup_date=2026-03-05&amp;return_date=2026-03-12&amp;currency=EUR&amp;startStation=9&amp;endStation=52",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2026-03-20</t>
        </is>
      </c>
      <c r="F129" t="inlineStr">
        <is>
          <t>2026-03-27</t>
        </is>
      </c>
      <c r="G129" t="inlineStr">
        <is>
          <t xml:space="preserve"> - Family Finca</t>
        </is>
      </c>
      <c r="H129">
        <f>HYPERLINK("https://booking.roadsurfer.com/es/rally/pick?pickup_date=2026-03-20&amp;return_date=2026-03-27&amp;currency=EUR&amp;startStation=29&amp;endStation=2",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Friburgo-Basilea (Alemania)</t>
        </is>
      </c>
      <c r="E130" t="inlineStr">
        <is>
          <t>2026-03-11</t>
        </is>
      </c>
      <c r="F130" t="inlineStr">
        <is>
          <t>2026-03-21</t>
        </is>
      </c>
      <c r="G130" t="inlineStr">
        <is>
          <t xml:space="preserve"> - Surfer Suite</t>
        </is>
      </c>
      <c r="H130">
        <f>HYPERLINK("https://booking.roadsurfer.com/es/rally/pick?pickup_date=2026-03-11&amp;return_date=2026-03-21&amp;currency=EUR&amp;startStation=29&amp;endStation=9",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Surfer Suite</t>
        </is>
      </c>
      <c r="H131">
        <f>HYPERLINK("https://booking.roadsurfer.com/es/rally/pick?pickup_date=2026-03-09&amp;return_date=2026-03-16&amp;currency=EUR&amp;startStation=77&amp;endStation=55",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2026-03-05</t>
        </is>
      </c>
      <c r="F132" t="inlineStr">
        <is>
          <t>2026-03-12</t>
        </is>
      </c>
      <c r="G132" t="inlineStr">
        <is>
          <t xml:space="preserve"> - Road House</t>
        </is>
      </c>
      <c r="H132">
        <f>HYPERLINK("https://booking.roadsurfer.com/es/rally/pick?pickup_date=2026-03-05&amp;return_date=2026-03-12&amp;currency=EUR&amp;startStation=77&amp;endStation=55",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Berlín-Schönefeld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Road House</t>
        </is>
      </c>
      <c r="H133">
        <f>HYPERLINK("https://booking.roadsurfer.com/es/rally/pick?pickup_date=2026-04-14&amp;return_date=2026-04-21&amp;currency=EUR&amp;startStation=77&amp;endStation=51",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Road House</t>
        </is>
      </c>
      <c r="H134">
        <f>HYPERLINK("https://booking.roadsurfer.com/es/rally/pick?pickup_date=2026-04-14&amp;return_date=2026-04-21&amp;currency=EUR&amp;startStation=77&amp;endStation=90",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2026-03-06</t>
        </is>
      </c>
      <c r="F135" t="inlineStr">
        <is>
          <t>2026-03-13</t>
        </is>
      </c>
      <c r="G135" t="inlineStr">
        <is>
          <t xml:space="preserve"> - Road House</t>
        </is>
      </c>
      <c r="H135">
        <f>HYPERLINK("https://booking.roadsurfer.com/es/rally/pick?pickup_date=2026-03-06&amp;return_date=2026-03-13&amp;currency=EUR&amp;startStation=77&amp;endStation=90",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Karlsruhe</t>
        </is>
      </c>
      <c r="E136" t="inlineStr">
        <is>
          <t>2026-04-15</t>
        </is>
      </c>
      <c r="F136" t="inlineStr">
        <is>
          <t>2026-04-22</t>
        </is>
      </c>
      <c r="G136" t="inlineStr">
        <is>
          <t xml:space="preserve"> - Camper Castle</t>
        </is>
      </c>
      <c r="H136">
        <f>HYPERLINK("https://booking.roadsurfer.com/es/rally/pick?pickup_date=2026-04-15&amp;return_date=2026-04-22&amp;currency=EUR&amp;startStation=77&amp;endStation=110",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Maguncia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Camper Castle</t>
        </is>
      </c>
      <c r="H137">
        <f>HYPERLINK("https://booking.roadsurfer.com/es/rally/pick?pickup_date=2026-04-14&amp;return_date=2026-04-21&amp;currency=EUR&amp;startStation=77&amp;endStation=54",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2026-03-05</t>
        </is>
      </c>
      <c r="F138" t="inlineStr">
        <is>
          <t>2026-03-12</t>
        </is>
      </c>
      <c r="G138" t="inlineStr">
        <is>
          <t xml:space="preserve"> - Couple Cottage</t>
        </is>
      </c>
      <c r="H138">
        <f>HYPERLINK("https://booking.roadsurfer.com/es/rally/pick?pickup_date=2026-03-05&amp;return_date=2026-03-12&amp;currency=EUR&amp;startStation=77&amp;endStation=22",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Heidelberg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Surfer Suite</t>
        </is>
      </c>
      <c r="H139">
        <f>HYPERLINK("https://booking.roadsurfer.com/es/rally/pick?pickup_date=2026-03-09&amp;return_date=2026-03-16&amp;currency=EUR&amp;startStation=77&amp;endStation=79",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2026-03-05</t>
        </is>
      </c>
      <c r="F140" t="inlineStr">
        <is>
          <t>2026-03-12</t>
        </is>
      </c>
      <c r="G140" t="inlineStr">
        <is>
          <t xml:space="preserve"> - Camper Castle</t>
        </is>
      </c>
      <c r="H140">
        <f>HYPERLINK("https://booking.roadsurfer.com/es/rally/pick?pickup_date=2026-03-05&amp;return_date=2026-03-12&amp;currency=EUR&amp;startStation=37&amp;endStation=56",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Road House</t>
        </is>
      </c>
      <c r="H141">
        <f>HYPERLINK("https://booking.roadsurfer.com/es/rally/pick?pickup_date=2026-04-14&amp;return_date=2026-04-21&amp;currency=EUR&amp;startStation=37&amp;endStation=56",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2026-04-15</t>
        </is>
      </c>
      <c r="F142" t="inlineStr">
        <is>
          <t>2026-04-22</t>
        </is>
      </c>
      <c r="G142" t="inlineStr">
        <is>
          <t xml:space="preserve"> - Family Finca</t>
        </is>
      </c>
      <c r="H142">
        <f>HYPERLINK("https://booking.roadsurfer.com/es/rally/pick?pickup_date=2026-04-15&amp;return_date=2026-04-22&amp;currency=EUR&amp;startStation=37&amp;endStation=56",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Road House</t>
        </is>
      </c>
      <c r="H143">
        <f>HYPERLINK("https://booking.roadsurfer.com/es/rally/pick?pickup_date=2026-04-13&amp;return_date=2026-04-20&amp;currency=EUR&amp;startStation=37&amp;endStation=56",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2026-03-05</t>
        </is>
      </c>
      <c r="F144" t="inlineStr">
        <is>
          <t>2026-03-12</t>
        </is>
      </c>
      <c r="G144" t="inlineStr">
        <is>
          <t xml:space="preserve"> - No hay coche</t>
        </is>
      </c>
      <c r="H144">
        <f>HYPERLINK("https://booking.roadsurfer.com/es/rally/pick?pickup_date=2026-03-05&amp;return_date=2026-03-12&amp;currency=EUR&amp;startStation=37&amp;endStation=90",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Surfer Suite</t>
        </is>
      </c>
      <c r="H145">
        <f>HYPERLINK("https://booking.roadsurfer.com/es/rally/pick?pickup_date=2026-03-09&amp;return_date=2026-03-16&amp;currency=EUR&amp;startStation=37&amp;endStation=90", "Clic para verlo en la web de RoadSurfer")</f>
        <v/>
      </c>
    </row>
    <row r="146">
      <c r="A146" t="inlineStr">
        <is>
          <t>Austria</t>
        </is>
      </c>
      <c r="B146" t="inlineStr">
        <is>
          <t>Graz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FAMILY FINCA</t>
        </is>
      </c>
      <c r="H146">
        <f>HYPERLINK("https://booking.roadsurfer.com/es/rally/pick?pickup_date=2026-03-09&amp;return_date=2026-03-16&amp;currency=EUR&amp;startStation=37&amp;endStation=8", "Clic para verlo en la web de RoadSurfer")</f>
        <v/>
      </c>
    </row>
    <row r="147">
      <c r="A147" t="inlineStr">
        <is>
          <t>Austria</t>
        </is>
      </c>
      <c r="B147" t="inlineStr">
        <is>
          <t>Graz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HYPERLINK("https://booking.roadsurfer.com/es/rally/pick?pickup_date=2026-03-09&amp;return_date=2026-03-16&amp;currency=EUR&amp;startStation=37&amp;endStation=52",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Países Bajos</t>
        </is>
      </c>
      <c r="D148" t="inlineStr">
        <is>
          <t>Ámsterdam</t>
        </is>
      </c>
      <c r="E148" t="inlineStr">
        <is>
          <t>2026-03-06</t>
        </is>
      </c>
      <c r="F148" t="inlineStr">
        <is>
          <t>2026-03-13</t>
        </is>
      </c>
      <c r="G148" t="inlineStr">
        <is>
          <t xml:space="preserve"> - Camper Cabin Deluxe</t>
        </is>
      </c>
      <c r="H148">
        <f>HYPERLINK("https://booking.roadsurfer.com/es/rally/pick?pickup_date=2026-03-06&amp;return_date=2026-03-13&amp;currency=EUR&amp;startStation=3&amp;endStation=32",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España</t>
        </is>
      </c>
      <c r="D149" t="inlineStr">
        <is>
          <t>Valencia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Camper Castle</t>
        </is>
      </c>
      <c r="H149">
        <f>HYPERLINK("https://booking.roadsurfer.com/es/rally/pick?pickup_date=2026-03-09&amp;return_date=2026-03-16&amp;currency=EUR&amp;startStation=3&amp;endStation=38", "Clic para verlo en la web de RoadSurfer")</f>
        <v/>
      </c>
    </row>
    <row r="150">
      <c r="A150" t="inlineStr">
        <is>
          <t>Alemania</t>
        </is>
      </c>
      <c r="B150" t="inlineStr">
        <is>
          <t>Hamburgo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2026-04-03</t>
        </is>
      </c>
      <c r="F150" t="inlineStr">
        <is>
          <t>2026-04-10</t>
        </is>
      </c>
      <c r="G150" t="inlineStr">
        <is>
          <t xml:space="preserve"> - No hay coche</t>
        </is>
      </c>
      <c r="H150">
        <f>HYPERLINK("https://booking.roadsurfer.com/es/rally/pick?pickup_date=2026-04-03&amp;return_date=2026-04-10&amp;currency=EUR&amp;startStation=3&amp;endStation=60", "Clic para verlo en la web de RoadSurfer")</f>
        <v/>
      </c>
    </row>
    <row r="151">
      <c r="A151" t="inlineStr">
        <is>
          <t>Alemania</t>
        </is>
      </c>
      <c r="B151" t="inlineStr">
        <is>
          <t>Hamburgo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2026-04-09</t>
        </is>
      </c>
      <c r="F151" t="inlineStr">
        <is>
          <t>2026-04-16</t>
        </is>
      </c>
      <c r="G151" t="inlineStr">
        <is>
          <t xml:space="preserve"> - Beach Hostel</t>
        </is>
      </c>
      <c r="H151">
        <f>HYPERLINK("https://booking.roadsurfer.com/es/rally/pick?pickup_date=2026-04-09&amp;return_date=2026-04-16&amp;currency=EUR&amp;startStation=3&amp;endStation=60", "Clic para verlo en la web de RoadSurfer")</f>
        <v/>
      </c>
    </row>
    <row r="152">
      <c r="A152" t="inlineStr">
        <is>
          <t>Alemania</t>
        </is>
      </c>
      <c r="B152" t="inlineStr">
        <is>
          <t>Hamburgo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2026-04-02</t>
        </is>
      </c>
      <c r="F152" t="inlineStr">
        <is>
          <t>2026-04-09</t>
        </is>
      </c>
      <c r="G152" t="inlineStr">
        <is>
          <t xml:space="preserve"> - Beach Hostel</t>
        </is>
      </c>
      <c r="H152">
        <f>HYPERLINK("https://booking.roadsurfer.com/es/rally/pick?pickup_date=2026-04-02&amp;return_date=2026-04-09&amp;currency=EUR&amp;startStation=3&amp;endStation=77", "Clic para verlo en la web de RoadSurfer")</f>
        <v/>
      </c>
    </row>
    <row r="153">
      <c r="A153" t="inlineStr">
        <is>
          <t>Alemania</t>
        </is>
      </c>
      <c r="B153" t="inlineStr">
        <is>
          <t>Hamburgo</t>
        </is>
      </c>
      <c r="C153" t="inlineStr">
        <is>
          <t>Austria</t>
        </is>
      </c>
      <c r="D153" t="inlineStr">
        <is>
          <t>Graz</t>
        </is>
      </c>
      <c r="E153" t="inlineStr">
        <is>
          <t>2026-03-06</t>
        </is>
      </c>
      <c r="F153" t="inlineStr">
        <is>
          <t>2026-03-13</t>
        </is>
      </c>
      <c r="G153" t="inlineStr">
        <is>
          <t xml:space="preserve"> - ROAD HOUSE</t>
        </is>
      </c>
      <c r="H153">
        <f>HYPERLINK("https://booking.roadsurfer.com/es/rally/pick?pickup_date=2026-03-06&amp;return_date=2026-03-13&amp;currency=EUR&amp;startStation=3&amp;endStation=37", "Clic para verlo en la web de RoadSurfer")</f>
        <v/>
      </c>
    </row>
    <row r="154">
      <c r="A154" t="inlineStr">
        <is>
          <t>Alemania</t>
        </is>
      </c>
      <c r="B154" t="inlineStr">
        <is>
          <t>Hamburgo</t>
        </is>
      </c>
      <c r="C154" t="inlineStr">
        <is>
          <t>Francia</t>
        </is>
      </c>
      <c r="D154" t="inlineStr">
        <is>
          <t>París Aeropuerto CDG</t>
        </is>
      </c>
      <c r="E154" t="inlineStr">
        <is>
          <t>2026-04-11</t>
        </is>
      </c>
      <c r="F154" t="inlineStr">
        <is>
          <t>2026-04-17</t>
        </is>
      </c>
      <c r="G154" t="inlineStr">
        <is>
          <t xml:space="preserve"> - FAMILY FINCA</t>
        </is>
      </c>
      <c r="H154">
        <f>HYPERLINK("https://booking.roadsurfer.com/es/rally/pick?pickup_date=2026-04-11&amp;return_date=2026-04-17&amp;currency=EUR&amp;startStation=3&amp;endStation=48", "Clic para verlo en la web de RoadSurfer")</f>
        <v/>
      </c>
    </row>
    <row r="155">
      <c r="A155" t="inlineStr">
        <is>
          <t>Alemania</t>
        </is>
      </c>
      <c r="B155" t="inlineStr">
        <is>
          <t>Hamburgo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2026-04-02</t>
        </is>
      </c>
      <c r="F155" t="inlineStr">
        <is>
          <t>2026-04-08</t>
        </is>
      </c>
      <c r="G155" t="inlineStr">
        <is>
          <t xml:space="preserve"> - Beach Hostel</t>
        </is>
      </c>
      <c r="H155">
        <f>HYPERLINK("https://booking.roadsurfer.com/es/rally/pick?pickup_date=2026-04-02&amp;return_date=2026-04-08&amp;currency=EUR&amp;startStation=3&amp;endStation=59", "Clic para verlo en la web de RoadSurfer")</f>
        <v/>
      </c>
    </row>
    <row r="156">
      <c r="A156" t="inlineStr">
        <is>
          <t>Alemania</t>
        </is>
      </c>
      <c r="B156" t="inlineStr">
        <is>
          <t>Hannover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2026-03-05</t>
        </is>
      </c>
      <c r="F156" t="inlineStr">
        <is>
          <t>2026-03-12</t>
        </is>
      </c>
      <c r="G156" t="inlineStr">
        <is>
          <t xml:space="preserve"> - Surfer Suite</t>
        </is>
      </c>
      <c r="H156">
        <f>HYPERLINK("https://booking.roadsurfer.com/es/rally/pick?pickup_date=2026-03-05&amp;return_date=2026-03-12&amp;currency=EUR&amp;startStation=7&amp;endStation=33", "Clic para verlo en la web de RoadSurfer")</f>
        <v/>
      </c>
    </row>
    <row r="157">
      <c r="A157" t="inlineStr">
        <is>
          <t>Alemania</t>
        </is>
      </c>
      <c r="B157" t="inlineStr">
        <is>
          <t>Hannover</t>
        </is>
      </c>
      <c r="C157" t="inlineStr">
        <is>
          <t>Alemania</t>
        </is>
      </c>
      <c r="D157" t="inlineStr">
        <is>
          <t>Braunschweig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No hay coche</t>
        </is>
      </c>
      <c r="H157">
        <f>HYPERLINK("https://booking.roadsurfer.com/es/rally/pick?pickup_date=2026-04-20&amp;return_date=2026-04-27&amp;currency=EUR&amp;startStation=7&amp;endStation=128", "Clic para verlo en la web de RoadSurfer")</f>
        <v/>
      </c>
    </row>
    <row r="158">
      <c r="A158" t="inlineStr">
        <is>
          <t>Alemania</t>
        </is>
      </c>
      <c r="B158" t="inlineStr">
        <is>
          <t>Hannover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2026-03-07</t>
        </is>
      </c>
      <c r="F158" t="inlineStr">
        <is>
          <t>2026-03-14</t>
        </is>
      </c>
      <c r="G158" t="inlineStr">
        <is>
          <t xml:space="preserve"> - Road House</t>
        </is>
      </c>
      <c r="H158">
        <f>HYPERLINK("https://booking.roadsurfer.com/es/rally/pick?pickup_date=2026-03-07&amp;return_date=2026-03-14&amp;currency=EUR&amp;startStation=7&amp;endStation=20", "Clic para verlo en la web de RoadSurfer")</f>
        <v/>
      </c>
    </row>
    <row r="159">
      <c r="A159" t="inlineStr">
        <is>
          <t>Alemania</t>
        </is>
      </c>
      <c r="B159" t="inlineStr">
        <is>
          <t>Heidelberg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ROAD HOUSE</t>
        </is>
      </c>
      <c r="H159">
        <f>HYPERLINK("https://booking.roadsurfer.com/es/rally/pick?pickup_date=2026-03-09&amp;return_date=2026-03-16&amp;currency=EUR&amp;startStation=79&amp;endStation=13", "Clic para verlo en la web de RoadSurfer")</f>
        <v/>
      </c>
    </row>
    <row r="160">
      <c r="A160" t="inlineStr">
        <is>
          <t>Alemania</t>
        </is>
      </c>
      <c r="B160" t="inlineStr">
        <is>
          <t>Heidelberg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Family Finca</t>
        </is>
      </c>
      <c r="H160">
        <f>HYPERLINK("https://booking.roadsurfer.com/es/rally/pick?pickup_date=2026-03-09&amp;return_date=2026-03-16&amp;currency=EUR&amp;startStation=79&amp;endStation=15", "Clic para verlo en la web de RoadSurfer")</f>
        <v/>
      </c>
    </row>
    <row r="161">
      <c r="A161" t="inlineStr">
        <is>
          <t>Alemania</t>
        </is>
      </c>
      <c r="B161" t="inlineStr">
        <is>
          <t>Heidelberg</t>
        </is>
      </c>
      <c r="C161" t="inlineStr">
        <is>
          <t>Austria</t>
        </is>
      </c>
      <c r="D161" t="inlineStr">
        <is>
          <t>Viena</t>
        </is>
      </c>
      <c r="E161" t="inlineStr">
        <is>
          <t>2026-03-04</t>
        </is>
      </c>
      <c r="F161" t="inlineStr">
        <is>
          <t>2026-03-11</t>
        </is>
      </c>
      <c r="G161" t="inlineStr">
        <is>
          <t xml:space="preserve"> - Camper Castle</t>
        </is>
      </c>
      <c r="H161">
        <f>HYPERLINK("https://booking.roadsurfer.com/es/rally/pick?pickup_date=2026-03-04&amp;return_date=2026-03-11&amp;currency=EUR&amp;startStation=79&amp;endStation=36", "Clic para verlo en la web de RoadSurfer")</f>
        <v/>
      </c>
    </row>
    <row r="162">
      <c r="A162" t="inlineStr">
        <is>
          <t>Austria</t>
        </is>
      </c>
      <c r="B162" t="inlineStr">
        <is>
          <t>Innsbruck-Wiesing</t>
        </is>
      </c>
      <c r="C162" t="inlineStr">
        <is>
          <t>Austria</t>
        </is>
      </c>
      <c r="D162" t="inlineStr">
        <is>
          <t>Viena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SURFER SUITE - BEACH HOSTEL</t>
        </is>
      </c>
      <c r="H162">
        <f>HYPERLINK("https://booking.roadsurfer.com/es/rally/pick?pickup_date=2026-03-09&amp;return_date=2026-03-16&amp;currency=EUR&amp;startStation=46&amp;endStation=36", "Clic para verlo en la web de RoadSurfer")</f>
        <v/>
      </c>
    </row>
    <row r="163">
      <c r="A163" t="inlineStr">
        <is>
          <t>Austria</t>
        </is>
      </c>
      <c r="B163" t="inlineStr">
        <is>
          <t>Innsbruck-Wiesing</t>
        </is>
      </c>
      <c r="C163" t="inlineStr">
        <is>
          <t>Austria</t>
        </is>
      </c>
      <c r="D163" t="inlineStr">
        <is>
          <t>Viena</t>
        </is>
      </c>
      <c r="E163" t="inlineStr">
        <is>
          <t>2026-03-05</t>
        </is>
      </c>
      <c r="F163" t="inlineStr">
        <is>
          <t>2026-03-12</t>
        </is>
      </c>
      <c r="G163" t="inlineStr">
        <is>
          <t xml:space="preserve"> - Road House</t>
        </is>
      </c>
      <c r="H163">
        <f>HYPERLINK("https://booking.roadsurfer.com/es/rally/pick?pickup_date=2026-03-05&amp;return_date=2026-03-12&amp;currency=EUR&amp;startStation=46&amp;endStation=36", "Clic para verlo en la web de RoadSurfer")</f>
        <v/>
      </c>
    </row>
    <row r="164">
      <c r="A164" t="inlineStr">
        <is>
          <t>Austria</t>
        </is>
      </c>
      <c r="B164" t="inlineStr">
        <is>
          <t>Innsbruck-Wiesing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2026-03-05</t>
        </is>
      </c>
      <c r="F164" t="inlineStr">
        <is>
          <t>2026-03-12</t>
        </is>
      </c>
      <c r="G164" t="inlineStr">
        <is>
          <t xml:space="preserve"> - Family Finca</t>
        </is>
      </c>
      <c r="H164">
        <f>HYPERLINK("https://booking.roadsurfer.com/es/rally/pick?pickup_date=2026-03-05&amp;return_date=2026-03-12&amp;currency=EUR&amp;startStation=46&amp;endStation=45", "Clic para verlo en la web de RoadSurfer")</f>
        <v/>
      </c>
    </row>
    <row r="165">
      <c r="A165" t="inlineStr">
        <is>
          <t>Austria</t>
        </is>
      </c>
      <c r="B165" t="inlineStr">
        <is>
          <t>Innsbruck-Wiesing</t>
        </is>
      </c>
      <c r="C165" t="inlineStr">
        <is>
          <t>Alemania</t>
        </is>
      </c>
      <c r="D165" t="inlineStr">
        <is>
          <t>Aquisgrán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Camper Cabin</t>
        </is>
      </c>
      <c r="H165">
        <f>HYPERLINK("https://booking.roadsurfer.com/es/rally/pick?pickup_date=2026-03-09&amp;return_date=2026-03-16&amp;currency=EUR&amp;startStation=46&amp;endStation=114", "Clic para verlo en la web de RoadSurfer")</f>
        <v/>
      </c>
    </row>
    <row r="166">
      <c r="A166" t="inlineStr">
        <is>
          <t>Alemania</t>
        </is>
      </c>
      <c r="B166" t="inlineStr">
        <is>
          <t>Karlsruhe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2026-03-07</t>
        </is>
      </c>
      <c r="F166" t="inlineStr">
        <is>
          <t>2026-03-14</t>
        </is>
      </c>
      <c r="G166" t="inlineStr">
        <is>
          <t xml:space="preserve"> - Surfer Suite</t>
        </is>
      </c>
      <c r="H166">
        <f>HYPERLINK("https://booking.roadsurfer.com/es/rally/pick?pickup_date=2026-03-07&amp;return_date=2026-03-14&amp;currency=EUR&amp;startStation=110&amp;endStation=15", "Clic para verlo en la web de RoadSurfer")</f>
        <v/>
      </c>
    </row>
    <row r="167">
      <c r="A167" t="inlineStr">
        <is>
          <t>Alemania</t>
        </is>
      </c>
      <c r="B167" t="inlineStr">
        <is>
          <t>Karlsruhe</t>
        </is>
      </c>
      <c r="C167" t="inlineStr">
        <is>
          <t>Francia</t>
        </is>
      </c>
      <c r="D167" t="inlineStr">
        <is>
          <t>Toulouse</t>
        </is>
      </c>
      <c r="E167" t="inlineStr">
        <is>
          <t>2026-03-06</t>
        </is>
      </c>
      <c r="F167" t="inlineStr">
        <is>
          <t>2026-03-13</t>
        </is>
      </c>
      <c r="G167" t="inlineStr">
        <is>
          <t xml:space="preserve"> - Road House</t>
        </is>
      </c>
      <c r="H167">
        <f>HYPERLINK("https://booking.roadsurfer.com/es/rally/pick?pickup_date=2026-03-06&amp;return_date=2026-03-13&amp;currency=EUR&amp;startStation=110&amp;endStation=30", "Clic para verlo en la web de RoadSurfer")</f>
        <v/>
      </c>
    </row>
    <row r="168">
      <c r="A168" t="inlineStr">
        <is>
          <t>Alemania</t>
        </is>
      </c>
      <c r="B168" t="inlineStr">
        <is>
          <t>Kassel</t>
        </is>
      </c>
      <c r="C168" t="inlineStr">
        <is>
          <t>Alemania</t>
        </is>
      </c>
      <c r="D168" t="inlineStr">
        <is>
          <t>Heidelberg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Surfer Suite</t>
        </is>
      </c>
      <c r="H168">
        <f>HYPERLINK("https://booking.roadsurfer.com/es/rally/pick?pickup_date=2026-03-09&amp;return_date=2026-03-16&amp;currency=EUR&amp;startStation=92&amp;endStation=79", "Clic para verlo en la web de RoadSurfer")</f>
        <v/>
      </c>
    </row>
    <row r="169">
      <c r="A169" t="inlineStr">
        <is>
          <t>EE.UU.</t>
        </is>
      </c>
      <c r="B169" t="inlineStr">
        <is>
          <t>Las Vegas</t>
        </is>
      </c>
      <c r="C169" t="inlineStr">
        <is>
          <t>EE.UU.</t>
        </is>
      </c>
      <c r="D169" t="inlineStr">
        <is>
          <t>Seattle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Family Freedom</t>
        </is>
      </c>
      <c r="H169">
        <f>HYPERLINK("https://booking.roadsurfer.com/es/rally/pick?pickup_date=2026-03-20&amp;return_date=2026-03-27&amp;currency=EUR&amp;startStation=76&amp;endStation=107", "Clic para verlo en la web de RoadSurfer")</f>
        <v/>
      </c>
    </row>
    <row r="170">
      <c r="A170" t="inlineStr">
        <is>
          <t>EE.UU.</t>
        </is>
      </c>
      <c r="B170" t="inlineStr">
        <is>
          <t>Las Vegas</t>
        </is>
      </c>
      <c r="C170" t="inlineStr">
        <is>
          <t>EE.UU.</t>
        </is>
      </c>
      <c r="D170" t="inlineStr">
        <is>
          <t>Seattle</t>
        </is>
      </c>
      <c r="E170" t="inlineStr">
        <is>
          <t>2026-03-27</t>
        </is>
      </c>
      <c r="F170" t="inlineStr">
        <is>
          <t>2026-04-03</t>
        </is>
      </c>
      <c r="G170" t="inlineStr">
        <is>
          <t xml:space="preserve"> - Family Freedom</t>
        </is>
      </c>
      <c r="H170">
        <f>HYPERLINK("https://booking.roadsurfer.com/es/rally/pick?pickup_date=2026-03-27&amp;return_date=2026-04-03&amp;currency=EUR&amp;startStation=76&amp;endStation=107", "Clic para verlo en la web de RoadSurfer")</f>
        <v/>
      </c>
    </row>
    <row r="171">
      <c r="A171" t="inlineStr">
        <is>
          <t>EE.UU.</t>
        </is>
      </c>
      <c r="B171" t="inlineStr">
        <is>
          <t>Las Vegas</t>
        </is>
      </c>
      <c r="C171" t="inlineStr">
        <is>
          <t>EE.UU.</t>
        </is>
      </c>
      <c r="D171" t="inlineStr">
        <is>
          <t>Seattle</t>
        </is>
      </c>
      <c r="E171" t="inlineStr">
        <is>
          <t>2026-03-25</t>
        </is>
      </c>
      <c r="F171" t="inlineStr">
        <is>
          <t>2026-04-01</t>
        </is>
      </c>
      <c r="G171" t="inlineStr">
        <is>
          <t xml:space="preserve"> - Liberty Lodge</t>
        </is>
      </c>
      <c r="H171">
        <f>HYPERLINK("https://booking.roadsurfer.com/es/rally/pick?pickup_date=2026-03-25&amp;return_date=2026-04-01&amp;currency=EUR&amp;startStation=76&amp;endStation=107",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2026-03-07</t>
        </is>
      </c>
      <c r="F172" t="inlineStr">
        <is>
          <t>2026-03-14</t>
        </is>
      </c>
      <c r="G172" t="inlineStr">
        <is>
          <t xml:space="preserve"> - No hay coche</t>
        </is>
      </c>
      <c r="H172">
        <f>HYPERLINK("https://booking.roadsurfer.com/es/rally/pick?pickup_date=2026-03-07&amp;return_date=2026-03-14&amp;currency=EUR&amp;startStation=8&amp;endStation=32",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2026-03-03</t>
        </is>
      </c>
      <c r="F173" t="inlineStr">
        <is>
          <t>2026-03-10</t>
        </is>
      </c>
      <c r="G173" t="inlineStr">
        <is>
          <t xml:space="preserve"> - Road House</t>
        </is>
      </c>
      <c r="H173">
        <f>HYPERLINK("https://booking.roadsurfer.com/es/rally/pick?pickup_date=2026-03-03&amp;return_date=2026-03-10&amp;currency=EUR&amp;startStation=8&amp;endStation=33", "Clic para verlo en la web de RoadSurfer")</f>
        <v/>
      </c>
    </row>
    <row r="174">
      <c r="A174" t="inlineStr">
        <is>
          <t>Alemania</t>
        </is>
      </c>
      <c r="B174" t="inlineStr">
        <is>
          <t>Leipzig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2026-03-05</t>
        </is>
      </c>
      <c r="F174" t="inlineStr">
        <is>
          <t>2026-03-12</t>
        </is>
      </c>
      <c r="G174" t="inlineStr">
        <is>
          <t xml:space="preserve"> - Road House</t>
        </is>
      </c>
      <c r="H174">
        <f>HYPERLINK("https://booking.roadsurfer.com/es/rally/pick?pickup_date=2026-03-05&amp;return_date=2026-03-12&amp;currency=EUR&amp;startStation=8&amp;endStation=33", "Clic para verlo en la web de RoadSurfer")</f>
        <v/>
      </c>
    </row>
    <row r="175">
      <c r="A175" t="inlineStr">
        <is>
          <t>Alemania</t>
        </is>
      </c>
      <c r="B175" t="inlineStr">
        <is>
          <t>Leipzig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2026-03-06</t>
        </is>
      </c>
      <c r="F175" t="inlineStr">
        <is>
          <t>2026-03-13</t>
        </is>
      </c>
      <c r="G175" t="inlineStr">
        <is>
          <t xml:space="preserve"> - Road House</t>
        </is>
      </c>
      <c r="H175">
        <f>HYPERLINK("https://booking.roadsurfer.com/es/rally/pick?pickup_date=2026-03-06&amp;return_date=2026-03-13&amp;currency=EUR&amp;startStation=8&amp;endStation=33", "Clic para verlo en la web de RoadSurfer")</f>
        <v/>
      </c>
    </row>
    <row r="176">
      <c r="A176" t="inlineStr">
        <is>
          <t>Alemania</t>
        </is>
      </c>
      <c r="B176" t="inlineStr">
        <is>
          <t>Leipzig</t>
        </is>
      </c>
      <c r="C176" t="inlineStr">
        <is>
          <t>Alemania</t>
        </is>
      </c>
      <c r="D176" t="inlineStr">
        <is>
          <t>Braunschweig</t>
        </is>
      </c>
      <c r="E176" t="inlineStr">
        <is>
          <t>2026-04-20</t>
        </is>
      </c>
      <c r="F176" t="inlineStr">
        <is>
          <t>2026-04-27</t>
        </is>
      </c>
      <c r="G176" t="inlineStr">
        <is>
          <t xml:space="preserve"> - No hay coche</t>
        </is>
      </c>
      <c r="H176">
        <f>HYPERLINK("https://booking.roadsurfer.com/es/rally/pick?pickup_date=2026-04-20&amp;return_date=2026-04-27&amp;currency=EUR&amp;startStation=8&amp;endStation=128", "Clic para verlo en la web de RoadSurfer")</f>
        <v/>
      </c>
    </row>
    <row r="177">
      <c r="A177" t="inlineStr">
        <is>
          <t>Alemania</t>
        </is>
      </c>
      <c r="B177" t="inlineStr">
        <is>
          <t>Leipzig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2026-04-13</t>
        </is>
      </c>
      <c r="F177" t="inlineStr">
        <is>
          <t>2026-04-20</t>
        </is>
      </c>
      <c r="G177" t="inlineStr">
        <is>
          <t xml:space="preserve"> - Family Finca</t>
        </is>
      </c>
      <c r="H177">
        <f>HYPERLINK("https://booking.roadsurfer.com/es/rally/pick?pickup_date=2026-04-13&amp;return_date=2026-04-20&amp;currency=EUR&amp;startStation=8&amp;endStation=42", "Clic para verlo en la web de RoadSurfer")</f>
        <v/>
      </c>
    </row>
    <row r="178">
      <c r="A178" t="inlineStr">
        <is>
          <t>Alemania</t>
        </is>
      </c>
      <c r="B178" t="inlineStr">
        <is>
          <t>Leipzig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2026-03-09</t>
        </is>
      </c>
      <c r="F178" t="inlineStr">
        <is>
          <t>2026-03-16</t>
        </is>
      </c>
      <c r="G178" t="inlineStr">
        <is>
          <t xml:space="preserve"> - Road House</t>
        </is>
      </c>
      <c r="H178">
        <f>HYPERLINK("https://booking.roadsurfer.com/es/rally/pick?pickup_date=2026-03-09&amp;return_date=2026-03-16&amp;currency=EUR&amp;startStation=8&amp;endStation=45", "Clic para verlo en la web de RoadSurfer")</f>
        <v/>
      </c>
    </row>
    <row r="179">
      <c r="A179" t="inlineStr">
        <is>
          <t>Alemania</t>
        </is>
      </c>
      <c r="B179" t="inlineStr">
        <is>
          <t>Leipzig</t>
        </is>
      </c>
      <c r="C179" t="inlineStr">
        <is>
          <t>Italia</t>
        </is>
      </c>
      <c r="D179" t="inlineStr">
        <is>
          <t>Roma Aeropuerto Fiumicino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Road House</t>
        </is>
      </c>
      <c r="H179">
        <f>HYPERLINK("https://booking.roadsurfer.com/es/rally/pick?pickup_date=2026-03-09&amp;return_date=2026-03-16&amp;currency=EUR&amp;startStation=8&amp;endStation=35", "Clic para verlo en la web de RoadSurfer")</f>
        <v/>
      </c>
    </row>
    <row r="180">
      <c r="A180" t="inlineStr">
        <is>
          <t>Francia</t>
        </is>
      </c>
      <c r="B180" t="inlineStr">
        <is>
          <t>Lille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2026-03-04</t>
        </is>
      </c>
      <c r="F180" t="inlineStr">
        <is>
          <t>2026-03-11</t>
        </is>
      </c>
      <c r="G180" t="inlineStr">
        <is>
          <t xml:space="preserve"> - Surfer Suite</t>
        </is>
      </c>
      <c r="H180">
        <f>HYPERLINK("https://booking.roadsurfer.com/es/rally/pick?pickup_date=2026-03-04&amp;return_date=2026-03-11&amp;currency=EUR&amp;startStation=87&amp;endStation=56", "Clic para verlo en la web de RoadSurfer")</f>
        <v/>
      </c>
    </row>
    <row r="181">
      <c r="A181" t="inlineStr">
        <is>
          <t>Francia</t>
        </is>
      </c>
      <c r="B181" t="inlineStr">
        <is>
          <t>Lille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Family Finca</t>
        </is>
      </c>
      <c r="H181">
        <f>HYPERLINK("https://booking.roadsurfer.com/es/rally/pick?pickup_date=2026-05-04&amp;return_date=2026-05-11&amp;currency=EUR&amp;startStation=87&amp;endStation=91", "Clic para verlo en la web de RoadSurfer")</f>
        <v/>
      </c>
    </row>
    <row r="182">
      <c r="A182" t="inlineStr">
        <is>
          <t>Francia</t>
        </is>
      </c>
      <c r="B182" t="inlineStr">
        <is>
          <t>Lille</t>
        </is>
      </c>
      <c r="C182" t="inlineStr">
        <is>
          <t>Alemania</t>
        </is>
      </c>
      <c r="D182" t="inlineStr">
        <is>
          <t>Erfurt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Family Finca</t>
        </is>
      </c>
      <c r="H182">
        <f>HYPERLINK("https://booking.roadsurfer.com/es/rally/pick?pickup_date=2026-03-09&amp;return_date=2026-03-16&amp;currency=EUR&amp;startStation=87&amp;endStation=90", "Clic para verlo en la web de RoadSurfer")</f>
        <v/>
      </c>
    </row>
    <row r="183">
      <c r="A183" t="inlineStr">
        <is>
          <t>Alemania</t>
        </is>
      </c>
      <c r="B183" t="inlineStr">
        <is>
          <t>Lindau-Wangen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Road House</t>
        </is>
      </c>
      <c r="H183">
        <f>HYPERLINK("https://booking.roadsurfer.com/es/rally/pick?pickup_date=2026-03-09&amp;return_date=2026-03-16&amp;currency=EUR&amp;startStation=117&amp;endStation=13", "Clic para verlo en la web de RoadSurfer")</f>
        <v/>
      </c>
    </row>
    <row r="184">
      <c r="A184" t="inlineStr">
        <is>
          <t>Alemania</t>
        </is>
      </c>
      <c r="B184" t="inlineStr">
        <is>
          <t>Lindau-Wangen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2026-03-21</t>
        </is>
      </c>
      <c r="F184" t="inlineStr">
        <is>
          <t>2026-03-28</t>
        </is>
      </c>
      <c r="G184" t="inlineStr">
        <is>
          <t xml:space="preserve"> - Family Finca</t>
        </is>
      </c>
      <c r="H184">
        <f>HYPERLINK("https://booking.roadsurfer.com/es/rally/pick?pickup_date=2026-03-21&amp;return_date=2026-03-28&amp;currency=EUR&amp;startStation=117&amp;endStation=15", "Clic para verlo en la web de RoadSurfer")</f>
        <v/>
      </c>
    </row>
    <row r="185">
      <c r="A185" t="inlineStr">
        <is>
          <t>Austria</t>
        </is>
      </c>
      <c r="B185" t="inlineStr">
        <is>
          <t>Linz</t>
        </is>
      </c>
      <c r="C185" t="inlineStr">
        <is>
          <t>Alemania</t>
        </is>
      </c>
      <c r="D185" t="inlineStr">
        <is>
          <t>Núremberg</t>
        </is>
      </c>
      <c r="E185" t="inlineStr">
        <is>
          <t>2026-04-02</t>
        </is>
      </c>
      <c r="F185" t="inlineStr">
        <is>
          <t>2026-04-09</t>
        </is>
      </c>
      <c r="G185" t="inlineStr">
        <is>
          <t xml:space="preserve"> - Couple Cottage</t>
        </is>
      </c>
      <c r="H185">
        <f>HYPERLINK("https://booking.roadsurfer.com/es/rally/pick?pickup_date=2026-04-02&amp;return_date=2026-04-09&amp;currency=EUR&amp;startStation=116&amp;endStation=11", "Clic para verlo en la web de RoadSurfer")</f>
        <v/>
      </c>
    </row>
    <row r="186">
      <c r="A186" t="inlineStr">
        <is>
          <t>EE.UU.</t>
        </is>
      </c>
      <c r="B186" t="inlineStr">
        <is>
          <t>Los Ángeles</t>
        </is>
      </c>
      <c r="C186" t="inlineStr">
        <is>
          <t>EE.UU.</t>
        </is>
      </c>
      <c r="D186" t="inlineStr">
        <is>
          <t>Seattle</t>
        </is>
      </c>
      <c r="E186" t="inlineStr">
        <is>
          <t>2026-03-02</t>
        </is>
      </c>
      <c r="F186" t="inlineStr">
        <is>
          <t>2026-03-09</t>
        </is>
      </c>
      <c r="G186" t="inlineStr">
        <is>
          <t xml:space="preserve"> - Liberty Lodge</t>
        </is>
      </c>
      <c r="H186">
        <f>HYPERLINK("https://booking.roadsurfer.com/es/rally/pick?pickup_date=2026-03-02&amp;return_date=2026-03-09&amp;currency=EUR&amp;startStation=72&amp;endStation=107", "Clic para verlo en la web de RoadSurfer")</f>
        <v/>
      </c>
    </row>
    <row r="187">
      <c r="A187" t="inlineStr">
        <is>
          <t>Alemania</t>
        </is>
      </c>
      <c r="B187" t="inlineStr">
        <is>
          <t>Lübeck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2026-03-09</t>
        </is>
      </c>
      <c r="F187" t="inlineStr">
        <is>
          <t>2026-03-16</t>
        </is>
      </c>
      <c r="G187" t="inlineStr">
        <is>
          <t xml:space="preserve"> - Road House</t>
        </is>
      </c>
      <c r="H187">
        <f>HYPERLINK("https://booking.roadsurfer.com/es/rally/pick?pickup_date=2026-03-09&amp;return_date=2026-03-16&amp;currency=EUR&amp;startStation=109&amp;endStation=15", "Clic para verlo en la web de RoadSurfer")</f>
        <v/>
      </c>
    </row>
    <row r="188">
      <c r="A188" t="inlineStr">
        <is>
          <t>Alemania</t>
        </is>
      </c>
      <c r="B188" t="inlineStr">
        <is>
          <t>Lübeck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Road House</t>
        </is>
      </c>
      <c r="H188">
        <f>HYPERLINK("https://booking.roadsurfer.com/es/rally/pick?pickup_date=2026-03-09&amp;return_date=2026-03-16&amp;currency=EUR&amp;startStation=109&amp;endStation=20", "Clic para verlo en la web de RoadSurfer")</f>
        <v/>
      </c>
    </row>
    <row r="189">
      <c r="A189" t="inlineStr">
        <is>
          <t>Alemania</t>
        </is>
      </c>
      <c r="B189" t="inlineStr">
        <is>
          <t>Lübeck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Surfer Suite</t>
        </is>
      </c>
      <c r="H189">
        <f>HYPERLINK("https://booking.roadsurfer.com/es/rally/pick?pickup_date=2026-03-09&amp;return_date=2026-03-16&amp;currency=EUR&amp;startStation=109&amp;endStation=77",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Karlsruhe</t>
        </is>
      </c>
      <c r="E190" t="inlineStr">
        <is>
          <t>2026-03-06</t>
        </is>
      </c>
      <c r="F190" t="inlineStr">
        <is>
          <t>2026-03-13</t>
        </is>
      </c>
      <c r="G190" t="inlineStr">
        <is>
          <t xml:space="preserve"> - SURFER SUITE</t>
        </is>
      </c>
      <c r="H190">
        <f>HYPERLINK("https://booking.roadsurfer.com/es/rally/pick?pickup_date=2026-03-06&amp;return_date=2026-03-13&amp;currency=EUR&amp;startStation=15&amp;endStation=110",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Constanza (Aach)</t>
        </is>
      </c>
      <c r="E191" t="inlineStr">
        <is>
          <t>2026-03-05</t>
        </is>
      </c>
      <c r="F191" t="inlineStr">
        <is>
          <t>2026-03-12</t>
        </is>
      </c>
      <c r="G191" t="inlineStr">
        <is>
          <t xml:space="preserve"> - Road House</t>
        </is>
      </c>
      <c r="H191">
        <f>HYPERLINK("https://booking.roadsurfer.com/es/rally/pick?pickup_date=2026-03-05&amp;return_date=2026-03-12&amp;currency=EUR&amp;startStation=15&amp;endStation=10", "Clic para verlo en la web de RoadSurfer")</f>
        <v/>
      </c>
    </row>
    <row r="192">
      <c r="A192" t="inlineStr">
        <is>
          <t>Francia</t>
        </is>
      </c>
      <c r="B192" t="inlineStr">
        <is>
          <t>Lyon</t>
        </is>
      </c>
      <c r="C192" t="inlineStr">
        <is>
          <t>Alemania</t>
        </is>
      </c>
      <c r="D192" t="inlineStr">
        <is>
          <t>Fráncfort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Beach Hostel</t>
        </is>
      </c>
      <c r="H192">
        <f>HYPERLINK("https://booking.roadsurfer.com/es/rally/pick?pickup_date=2026-03-09&amp;return_date=2026-03-16&amp;currency=EUR&amp;startStation=15&amp;endStation=2",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Lindau-Wangen</t>
        </is>
      </c>
      <c r="E193" t="inlineStr">
        <is>
          <t>2026-03-05</t>
        </is>
      </c>
      <c r="F193" t="inlineStr">
        <is>
          <t>2026-03-12</t>
        </is>
      </c>
      <c r="G193" t="inlineStr">
        <is>
          <t xml:space="preserve"> - No hay coche</t>
        </is>
      </c>
      <c r="H193">
        <f>HYPERLINK("https://booking.roadsurfer.com/es/rally/pick?pickup_date=2026-03-05&amp;return_date=2026-03-12&amp;currency=EUR&amp;startStation=15&amp;endStation=117",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Friburgo-Basilea (Alemania)</t>
        </is>
      </c>
      <c r="E194" t="inlineStr">
        <is>
          <t>2026-04-15</t>
        </is>
      </c>
      <c r="F194" t="inlineStr">
        <is>
          <t>2026-04-22</t>
        </is>
      </c>
      <c r="G194" t="inlineStr">
        <is>
          <t xml:space="preserve"> - Couple Cottage</t>
        </is>
      </c>
      <c r="H194">
        <f>HYPERLINK("https://booking.roadsurfer.com/es/rally/pick?pickup_date=2026-04-15&amp;return_date=2026-04-22&amp;currency=EUR&amp;startStation=20&amp;endStation=9",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Fráncfort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Surfer Suite</t>
        </is>
      </c>
      <c r="H195">
        <f>HYPERLINK("https://booking.roadsurfer.com/es/rally/pick?pickup_date=2026-03-09&amp;return_date=2026-03-16&amp;currency=EUR&amp;startStation=20&amp;endStation=2",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Fráncfort</t>
        </is>
      </c>
      <c r="E196" t="inlineStr">
        <is>
          <t>2026-04-14</t>
        </is>
      </c>
      <c r="F196" t="inlineStr">
        <is>
          <t>2026-04-21</t>
        </is>
      </c>
      <c r="G196" t="inlineStr">
        <is>
          <t xml:space="preserve"> - Camper Castle</t>
        </is>
      </c>
      <c r="H196">
        <f>HYPERLINK("https://booking.roadsurfer.com/es/rally/pick?pickup_date=2026-04-14&amp;return_date=2026-04-21&amp;currency=EUR&amp;startStation=20&amp;endStation=2",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2026-03-09</t>
        </is>
      </c>
      <c r="F197" t="inlineStr">
        <is>
          <t>2026-03-16</t>
        </is>
      </c>
      <c r="G197" t="inlineStr">
        <is>
          <t xml:space="preserve"> - Family Finca</t>
        </is>
      </c>
      <c r="H197">
        <f>HYPERLINK("https://booking.roadsurfer.com/es/rally/pick?pickup_date=2026-03-09&amp;return_date=2026-03-16&amp;currency=EUR&amp;startStation=20&amp;endStation=22",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2026-03-13</t>
        </is>
      </c>
      <c r="F198" t="inlineStr">
        <is>
          <t>2026-03-20</t>
        </is>
      </c>
      <c r="G198" t="inlineStr">
        <is>
          <t xml:space="preserve"> - Road House</t>
        </is>
      </c>
      <c r="H198">
        <f>HYPERLINK("https://booking.roadsurfer.com/es/rally/pick?pickup_date=2026-03-13&amp;return_date=2026-03-20&amp;currency=EUR&amp;startStation=20&amp;endStation=1", "Clic para verlo en la web de RoadSurfer")</f>
        <v/>
      </c>
    </row>
    <row r="199">
      <c r="A199" t="inlineStr">
        <is>
          <t>Alemania</t>
        </is>
      </c>
      <c r="B199" t="inlineStr">
        <is>
          <t>Maguncia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2026-03-09</t>
        </is>
      </c>
      <c r="F199" t="inlineStr">
        <is>
          <t>2026-03-16</t>
        </is>
      </c>
      <c r="G199" t="inlineStr">
        <is>
          <t xml:space="preserve"> - Couple Cottage</t>
        </is>
      </c>
      <c r="H199">
        <f>HYPERLINK("https://booking.roadsurfer.com/es/rally/pick?pickup_date=2026-03-09&amp;return_date=2026-03-16&amp;currency=EUR&amp;startStation=54&amp;endStation=13", "Clic para verlo en la web de RoadSurfer")</f>
        <v/>
      </c>
    </row>
    <row r="200">
      <c r="A200" t="inlineStr">
        <is>
          <t>Alemania</t>
        </is>
      </c>
      <c r="B200" t="inlineStr">
        <is>
          <t>Maguncia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2026-03-07</t>
        </is>
      </c>
      <c r="F200" t="inlineStr">
        <is>
          <t>2026-03-14</t>
        </is>
      </c>
      <c r="G200" t="inlineStr">
        <is>
          <t xml:space="preserve"> - Road House</t>
        </is>
      </c>
      <c r="H200">
        <f>HYPERLINK("https://booking.roadsurfer.com/es/rally/pick?pickup_date=2026-03-07&amp;return_date=2026-03-14&amp;currency=EUR&amp;startStation=54&amp;endStation=42", "Clic para verlo en la web de RoadSurfer")</f>
        <v/>
      </c>
    </row>
    <row r="201">
      <c r="A201" t="inlineStr">
        <is>
          <t>Alemania</t>
        </is>
      </c>
      <c r="B201" t="inlineStr">
        <is>
          <t>Maguncia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2026-03-05</t>
        </is>
      </c>
      <c r="F201" t="inlineStr">
        <is>
          <t>2026-03-12</t>
        </is>
      </c>
      <c r="G201" t="inlineStr">
        <is>
          <t xml:space="preserve"> - Camper Cabin</t>
        </is>
      </c>
      <c r="H201">
        <f>HYPERLINK("https://booking.roadsurfer.com/es/rally/pick?pickup_date=2026-03-05&amp;return_date=2026-03-12&amp;currency=EUR&amp;startStation=54&amp;endStation=12", "Clic para verlo en la web de RoadSurfer")</f>
        <v/>
      </c>
    </row>
    <row r="202">
      <c r="A202" t="inlineStr">
        <is>
          <t>Alemania</t>
        </is>
      </c>
      <c r="B202" t="inlineStr">
        <is>
          <t>Maguncia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2026-03-09</t>
        </is>
      </c>
      <c r="F202" t="inlineStr">
        <is>
          <t>2026-03-16</t>
        </is>
      </c>
      <c r="G202" t="inlineStr">
        <is>
          <t xml:space="preserve"> - Family Finca</t>
        </is>
      </c>
      <c r="H202">
        <f>HYPERLINK("https://booking.roadsurfer.com/es/rally/pick?pickup_date=2026-03-09&amp;return_date=2026-03-16&amp;currency=EUR&amp;startStation=54&amp;endStation=15", "Clic para verlo en la web de RoadSurfer")</f>
        <v/>
      </c>
    </row>
    <row r="203">
      <c r="A203" t="inlineStr">
        <is>
          <t>Alemania</t>
        </is>
      </c>
      <c r="B203" t="inlineStr">
        <is>
          <t>Maguncia</t>
        </is>
      </c>
      <c r="C203" t="inlineStr">
        <is>
          <t>Francia</t>
        </is>
      </c>
      <c r="D203" t="inlineStr">
        <is>
          <t>Ginebra-Pays de Gex (Francia)</t>
        </is>
      </c>
      <c r="E203" t="inlineStr">
        <is>
          <t>2026-03-03</t>
        </is>
      </c>
      <c r="F203" t="inlineStr">
        <is>
          <t>2026-03-10</t>
        </is>
      </c>
      <c r="G203" t="inlineStr">
        <is>
          <t xml:space="preserve"> - Surfer Suite</t>
        </is>
      </c>
      <c r="H203">
        <f>HYPERLINK("https://booking.roadsurfer.com/es/rally/pick?pickup_date=2026-03-03&amp;return_date=2026-03-10&amp;currency=EUR&amp;startStation=54&amp;endStation=29", "Clic para verlo en la web de RoadSurfer")</f>
        <v/>
      </c>
    </row>
    <row r="204">
      <c r="A204" t="inlineStr">
        <is>
          <t>España</t>
        </is>
      </c>
      <c r="B204" t="inlineStr">
        <is>
          <t>Málaga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2026-03-04</t>
        </is>
      </c>
      <c r="F204" t="inlineStr">
        <is>
          <t>2026-03-11</t>
        </is>
      </c>
      <c r="G204" t="inlineStr">
        <is>
          <t xml:space="preserve"> - Surfer Suite</t>
        </is>
      </c>
      <c r="H204">
        <f>HYPERLINK("https://booking.roadsurfer.com/es/rally/pick?pickup_date=2026-03-04&amp;return_date=2026-03-11&amp;currency=EUR&amp;startStation=21&amp;endStation=9",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Stuttgart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Camper Castle</t>
        </is>
      </c>
      <c r="H205">
        <f>HYPERLINK("https://booking.roadsurfer.com/es/rally/pick?pickup_date=2026-04-20&amp;return_date=2026-04-27&amp;currency=EUR&amp;startStation=60&amp;endStation=5",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Bremen</t>
        </is>
      </c>
      <c r="E206" t="inlineStr">
        <is>
          <t>2026-03-07</t>
        </is>
      </c>
      <c r="F206" t="inlineStr">
        <is>
          <t>2026-03-14</t>
        </is>
      </c>
      <c r="G206" t="inlineStr">
        <is>
          <t xml:space="preserve"> - Road House</t>
        </is>
      </c>
      <c r="H206">
        <f>HYPERLINK("https://booking.roadsurfer.com/es/rally/pick?pickup_date=2026-03-07&amp;return_date=2026-03-14&amp;currency=EUR&amp;startStation=60&amp;endStation=55",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2026-03-05</t>
        </is>
      </c>
      <c r="F207" t="inlineStr">
        <is>
          <t>2026-03-12</t>
        </is>
      </c>
      <c r="G207" t="inlineStr">
        <is>
          <t xml:space="preserve"> - Road House</t>
        </is>
      </c>
      <c r="H207">
        <f>HYPERLINK("https://booking.roadsurfer.com/es/rally/pick?pickup_date=2026-03-05&amp;return_date=2026-03-12&amp;currency=EUR&amp;startStation=60&amp;endStation=55",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2026-03-03</t>
        </is>
      </c>
      <c r="F208" t="inlineStr">
        <is>
          <t>2026-03-10</t>
        </is>
      </c>
      <c r="G208" t="inlineStr">
        <is>
          <t xml:space="preserve"> - Surfer Suite</t>
        </is>
      </c>
      <c r="H208">
        <f>HYPERLINK("https://booking.roadsurfer.com/es/rally/pick?pickup_date=2026-03-03&amp;return_date=2026-03-10&amp;currency=EUR&amp;startStation=60&amp;endStation=55",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Hamburgo</t>
        </is>
      </c>
      <c r="E209" t="inlineStr">
        <is>
          <t>2026-03-07</t>
        </is>
      </c>
      <c r="F209" t="inlineStr">
        <is>
          <t>2026-03-14</t>
        </is>
      </c>
      <c r="G209" t="inlineStr">
        <is>
          <t xml:space="preserve"> - Surfer Suite</t>
        </is>
      </c>
      <c r="H209">
        <f>HYPERLINK("https://booking.roadsurfer.com/es/rally/pick?pickup_date=2026-03-07&amp;return_date=2026-03-14&amp;currency=EUR&amp;startStation=60&amp;endStation=3",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Hamburgo</t>
        </is>
      </c>
      <c r="E210" t="inlineStr">
        <is>
          <t>2026-03-05</t>
        </is>
      </c>
      <c r="F210" t="inlineStr">
        <is>
          <t>2026-03-12</t>
        </is>
      </c>
      <c r="G210" t="inlineStr">
        <is>
          <t xml:space="preserve"> - Road House</t>
        </is>
      </c>
      <c r="H210">
        <f>HYPERLINK("https://booking.roadsurfer.com/es/rally/pick?pickup_date=2026-03-05&amp;return_date=2026-03-12&amp;currency=EUR&amp;startStation=60&amp;endStation=3",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Berlín</t>
        </is>
      </c>
      <c r="E211" t="inlineStr">
        <is>
          <t>2026-04-14</t>
        </is>
      </c>
      <c r="F211" t="inlineStr">
        <is>
          <t>2026-04-21</t>
        </is>
      </c>
      <c r="G211" t="inlineStr">
        <is>
          <t xml:space="preserve"> - Family Finca</t>
        </is>
      </c>
      <c r="H211">
        <f>HYPERLINK("https://booking.roadsurfer.com/es/rally/pick?pickup_date=2026-04-14&amp;return_date=2026-04-21&amp;currency=EUR&amp;startStation=60&amp;endStation=6",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Berlín-Schönefeld</t>
        </is>
      </c>
      <c r="E212" t="inlineStr">
        <is>
          <t>2026-04-15</t>
        </is>
      </c>
      <c r="F212" t="inlineStr">
        <is>
          <t>2026-04-22</t>
        </is>
      </c>
      <c r="G212" t="inlineStr">
        <is>
          <t xml:space="preserve"> - Family Finca</t>
        </is>
      </c>
      <c r="H212">
        <f>HYPERLINK("https://booking.roadsurfer.com/es/rally/pick?pickup_date=2026-04-15&amp;return_date=2026-04-22&amp;currency=EUR&amp;startStation=60&amp;endStation=51",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2026-04-14</t>
        </is>
      </c>
      <c r="F213" t="inlineStr">
        <is>
          <t>2026-04-21</t>
        </is>
      </c>
      <c r="G213" t="inlineStr">
        <is>
          <t xml:space="preserve"> - Family Finca</t>
        </is>
      </c>
      <c r="H213">
        <f>HYPERLINK("https://booking.roadsurfer.com/es/rally/pick?pickup_date=2026-04-14&amp;return_date=2026-04-21&amp;currency=EUR&amp;startStation=60&amp;endStation=91",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2026-03-09</t>
        </is>
      </c>
      <c r="F214" t="inlineStr">
        <is>
          <t>2026-03-16</t>
        </is>
      </c>
      <c r="G214" t="inlineStr">
        <is>
          <t xml:space="preserve"> - Road House</t>
        </is>
      </c>
      <c r="H214">
        <f>HYPERLINK("https://booking.roadsurfer.com/es/rally/pick?pickup_date=2026-03-09&amp;return_date=2026-03-16&amp;currency=EUR&amp;startStation=60&amp;endStation=77",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2026-03-09</t>
        </is>
      </c>
      <c r="F215" t="inlineStr">
        <is>
          <t>2026-03-16</t>
        </is>
      </c>
      <c r="G215" t="inlineStr">
        <is>
          <t xml:space="preserve"> - Beach Hostel</t>
        </is>
      </c>
      <c r="H215">
        <f>HYPERLINK("https://booking.roadsurfer.com/es/rally/pick?pickup_date=2026-03-09&amp;return_date=2026-03-16&amp;currency=EUR&amp;startStation=60&amp;endStation=22",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2026-05-11</t>
        </is>
      </c>
      <c r="F216" t="inlineStr">
        <is>
          <t>2026-05-18</t>
        </is>
      </c>
      <c r="G216" t="inlineStr">
        <is>
          <t xml:space="preserve"> - ROAD HOUSE</t>
        </is>
      </c>
      <c r="H216">
        <f>HYPERLINK("https://booking.roadsurfer.com/es/rally/pick?pickup_date=2026-05-11&amp;return_date=2026-05-18&amp;currency=EUR&amp;startStation=60&amp;endStation=59",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2026-03-05</t>
        </is>
      </c>
      <c r="F217" t="inlineStr">
        <is>
          <t>2026-03-12</t>
        </is>
      </c>
      <c r="G217" t="inlineStr">
        <is>
          <t xml:space="preserve"> - Couple Cottage</t>
        </is>
      </c>
      <c r="H217">
        <f>HYPERLINK("https://booking.roadsurfer.com/es/rally/pick?pickup_date=2026-03-05&amp;return_date=2026-03-12&amp;currency=EUR&amp;startStation=60&amp;endStation=59",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2026-03-04</t>
        </is>
      </c>
      <c r="F218" t="inlineStr">
        <is>
          <t>2026-03-11</t>
        </is>
      </c>
      <c r="G218" t="inlineStr">
        <is>
          <t xml:space="preserve"> - Surfer Suite</t>
        </is>
      </c>
      <c r="H218">
        <f>HYPERLINK("https://booking.roadsurfer.com/es/rally/pick?pickup_date=2026-03-04&amp;return_date=2026-03-11&amp;currency=EUR&amp;startStation=60&amp;endStation=59",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Hannover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Surfer Suite</t>
        </is>
      </c>
      <c r="H219">
        <f>HYPERLINK("https://booking.roadsurfer.com/es/rally/pick?pickup_date=2026-03-09&amp;return_date=2026-03-16&amp;currency=EUR&amp;startStation=60&amp;endStation=7",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2026-03-04</t>
        </is>
      </c>
      <c r="F220" t="inlineStr">
        <is>
          <t>2026-03-11</t>
        </is>
      </c>
      <c r="G220" t="inlineStr">
        <is>
          <t xml:space="preserve"> - Surfer Suite</t>
        </is>
      </c>
      <c r="H220">
        <f>HYPERLINK("https://booking.roadsurfer.com/es/rally/pick?pickup_date=2026-03-04&amp;return_date=2026-03-11&amp;currency=EUR&amp;startStation=22&amp;endStation=12",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2026-03-31</t>
        </is>
      </c>
      <c r="F221" t="inlineStr">
        <is>
          <t>2026-04-07</t>
        </is>
      </c>
      <c r="G221" t="inlineStr">
        <is>
          <t xml:space="preserve"> - Surfer Suite</t>
        </is>
      </c>
      <c r="H221">
        <f>HYPERLINK("https://booking.roadsurfer.com/es/rally/pick?pickup_date=2026-03-31&amp;return_date=2026-04-07&amp;currency=EUR&amp;startStation=22&amp;endStation=12",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Aix-Marsella</t>
        </is>
      </c>
      <c r="E222" t="inlineStr">
        <is>
          <t>2026-03-06</t>
        </is>
      </c>
      <c r="F222" t="inlineStr">
        <is>
          <t>2026-03-13</t>
        </is>
      </c>
      <c r="G222" t="inlineStr">
        <is>
          <t xml:space="preserve"> - Surfer Suite</t>
        </is>
      </c>
      <c r="H222">
        <f>HYPERLINK("https://booking.roadsurfer.com/es/rally/pick?pickup_date=2026-03-06&amp;return_date=2026-03-13&amp;currency=EUR&amp;startStation=22&amp;endStation=16",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2026-03-06</t>
        </is>
      </c>
      <c r="F223" t="inlineStr">
        <is>
          <t>2026-03-13</t>
        </is>
      </c>
      <c r="G223" t="inlineStr">
        <is>
          <t xml:space="preserve"> - Surfer Suite</t>
        </is>
      </c>
      <c r="H223">
        <f>HYPERLINK("https://booking.roadsurfer.com/es/rally/pick?pickup_date=2026-03-06&amp;return_date=2026-03-13&amp;currency=EUR&amp;startStation=22&amp;endStation=94",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2026-03-03</t>
        </is>
      </c>
      <c r="F224" t="inlineStr">
        <is>
          <t>2026-03-13</t>
        </is>
      </c>
      <c r="G224" t="inlineStr">
        <is>
          <t xml:space="preserve"> - Surfer Suite</t>
        </is>
      </c>
      <c r="H224">
        <f>HYPERLINK("https://booking.roadsurfer.com/es/rally/pick?pickup_date=2026-03-03&amp;return_date=2026-03-13&amp;currency=EUR&amp;startStation=22&amp;endStation=48",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Ginebra-Pays de Gex (Francia)</t>
        </is>
      </c>
      <c r="E225" t="inlineStr">
        <is>
          <t>2026-03-05</t>
        </is>
      </c>
      <c r="F225" t="inlineStr">
        <is>
          <t>2026-03-12</t>
        </is>
      </c>
      <c r="G225" t="inlineStr">
        <is>
          <t xml:space="preserve"> - Surfer Suite</t>
        </is>
      </c>
      <c r="H225">
        <f>HYPERLINK("https://booking.roadsurfer.com/es/rally/pick?pickup_date=2026-03-05&amp;return_date=2026-03-12&amp;currency=EUR&amp;startStation=22&amp;endStation=29",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Family Finca</t>
        </is>
      </c>
      <c r="H226">
        <f>HYPERLINK("https://booking.roadsurfer.com/es/rally/pick?pickup_date=2026-03-19&amp;return_date=2026-03-26&amp;currency=EUR&amp;startStation=22&amp;endStation=29",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2026-03-25</t>
        </is>
      </c>
      <c r="F227" t="inlineStr">
        <is>
          <t>2026-04-01</t>
        </is>
      </c>
      <c r="G227" t="inlineStr">
        <is>
          <t xml:space="preserve"> - Surfer Suite</t>
        </is>
      </c>
      <c r="H227">
        <f>HYPERLINK("https://booking.roadsurfer.com/es/rally/pick?pickup_date=2026-03-25&amp;return_date=2026-04-01&amp;currency=EUR&amp;startStation=22&amp;endStation=31",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2026-04-06</t>
        </is>
      </c>
      <c r="F228" t="inlineStr">
        <is>
          <t>2026-04-13</t>
        </is>
      </c>
      <c r="G228" t="inlineStr">
        <is>
          <t xml:space="preserve"> - Surfer Suite</t>
        </is>
      </c>
      <c r="H228">
        <f>HYPERLINK("https://booking.roadsurfer.com/es/rally/pick?pickup_date=2026-04-06&amp;return_date=2026-04-13&amp;currency=EUR&amp;startStation=22&amp;endStation=13",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Italia</t>
        </is>
      </c>
      <c r="D229" t="inlineStr">
        <is>
          <t>Roma Aeropuerto Fiumicino</t>
        </is>
      </c>
      <c r="E229" t="inlineStr">
        <is>
          <t>2026-03-05</t>
        </is>
      </c>
      <c r="F229" t="inlineStr">
        <is>
          <t>2026-03-12</t>
        </is>
      </c>
      <c r="G229" t="inlineStr">
        <is>
          <t xml:space="preserve"> - Beach Hostel</t>
        </is>
      </c>
      <c r="H229">
        <f>HYPERLINK("https://booking.roadsurfer.com/es/rally/pick?pickup_date=2026-03-05&amp;return_date=2026-03-12&amp;currency=EUR&amp;startStation=22&amp;endStation=35",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España</t>
        </is>
      </c>
      <c r="D230" t="inlineStr">
        <is>
          <t>Sevilla</t>
        </is>
      </c>
      <c r="E230" t="inlineStr">
        <is>
          <t>2026-03-09</t>
        </is>
      </c>
      <c r="F230" t="inlineStr">
        <is>
          <t>2026-03-16</t>
        </is>
      </c>
      <c r="G230" t="inlineStr">
        <is>
          <t xml:space="preserve"> - Beach Hostel</t>
        </is>
      </c>
      <c r="H230">
        <f>HYPERLINK("https://booking.roadsurfer.com/es/rally/pick?pickup_date=2026-03-09&amp;return_date=2026-03-16&amp;currency=EUR&amp;startStation=22&amp;endStation=39",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No hay coche</t>
        </is>
      </c>
      <c r="H231">
        <f>HYPERLINK("https://booking.roadsurfer.com/es/rally/pick?pickup_date=2026-04-04&amp;return_date=2026-04-11&amp;currency=EUR&amp;startStation=22&amp;endStation=77",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2026-04-02</t>
        </is>
      </c>
      <c r="F232" t="inlineStr">
        <is>
          <t>2026-04-09</t>
        </is>
      </c>
      <c r="G232" t="inlineStr">
        <is>
          <t xml:space="preserve"> - Couple Cottage</t>
        </is>
      </c>
      <c r="H232">
        <f>HYPERLINK("https://booking.roadsurfer.com/es/rally/pick?pickup_date=2026-04-02&amp;return_date=2026-04-09&amp;currency=EUR&amp;startStation=22&amp;endStation=77",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Italia</t>
        </is>
      </c>
      <c r="D233" t="inlineStr">
        <is>
          <t>Turín</t>
        </is>
      </c>
      <c r="E233" t="inlineStr">
        <is>
          <t>2026-03-06</t>
        </is>
      </c>
      <c r="F233" t="inlineStr">
        <is>
          <t>2026-03-13</t>
        </is>
      </c>
      <c r="G233" t="inlineStr">
        <is>
          <t xml:space="preserve"> - Family Finca</t>
        </is>
      </c>
      <c r="H233">
        <f>HYPERLINK("https://booking.roadsurfer.com/es/rally/pick?pickup_date=2026-03-06&amp;return_date=2026-03-13&amp;currency=EUR&amp;startStation=22&amp;endStation=58",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2026-04-02</t>
        </is>
      </c>
      <c r="F234" t="inlineStr">
        <is>
          <t>2026-04-09</t>
        </is>
      </c>
      <c r="G234" t="inlineStr">
        <is>
          <t xml:space="preserve"> - Family Finca</t>
        </is>
      </c>
      <c r="H234">
        <f>HYPERLINK("https://booking.roadsurfer.com/es/rally/pick?pickup_date=2026-04-02&amp;return_date=2026-04-09&amp;currency=EUR&amp;startStation=22&amp;endStation=59", "Clic para verlo en la web de RoadSurfer")</f>
        <v/>
      </c>
    </row>
    <row r="235">
      <c r="A235" t="inlineStr">
        <is>
          <t>Italia</t>
        </is>
      </c>
      <c r="B235" t="inlineStr">
        <is>
          <t>Milán</t>
        </is>
      </c>
      <c r="C235" t="inlineStr">
        <is>
          <t>Alemania</t>
        </is>
      </c>
      <c r="D235" t="inlineStr">
        <is>
          <t>Colonia-Bonn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Surfer Suite</t>
        </is>
      </c>
      <c r="H235">
        <f>HYPERLINK("https://booking.roadsurfer.com/es/rally/pick?pickup_date=2026-03-09&amp;return_date=2026-03-16&amp;currency=EUR&amp;startStation=34&amp;endStation=52", "Clic para verlo en la web de RoadSurfer")</f>
        <v/>
      </c>
    </row>
    <row r="236">
      <c r="A236" t="inlineStr">
        <is>
          <t>Italia</t>
        </is>
      </c>
      <c r="B236" t="inlineStr">
        <is>
          <t>Milán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2026-04-14</t>
        </is>
      </c>
      <c r="F236" t="inlineStr">
        <is>
          <t>2026-04-21</t>
        </is>
      </c>
      <c r="G236" t="inlineStr">
        <is>
          <t xml:space="preserve"> - Family Finca</t>
        </is>
      </c>
      <c r="H236">
        <f>HYPERLINK("https://booking.roadsurfer.com/es/rally/pick?pickup_date=2026-04-14&amp;return_date=2026-04-21&amp;currency=EUR&amp;startStation=34&amp;endStation=22", "Clic para verlo en la web de RoadSurfer")</f>
        <v/>
      </c>
    </row>
    <row r="237">
      <c r="A237" t="inlineStr">
        <is>
          <t>Italia</t>
        </is>
      </c>
      <c r="B237" t="inlineStr">
        <is>
          <t>Milán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Beach Hostel</t>
        </is>
      </c>
      <c r="H237">
        <f>HYPERLINK("https://booking.roadsurfer.com/es/rally/pick?pickup_date=2026-03-09&amp;return_date=2026-03-16&amp;currency=EUR&amp;startStation=34&amp;endStation=22", "Clic para verlo en la web de RoadSurfer")</f>
        <v/>
      </c>
    </row>
    <row r="238">
      <c r="A238" t="inlineStr">
        <is>
          <t>Italia</t>
        </is>
      </c>
      <c r="B238" t="inlineStr">
        <is>
          <t>Milán</t>
        </is>
      </c>
      <c r="C238" t="inlineStr">
        <is>
          <t>Alemania</t>
        </is>
      </c>
      <c r="D238" t="inlineStr">
        <is>
          <t>Karlsruhe</t>
        </is>
      </c>
      <c r="E238" t="inlineStr">
        <is>
          <t>2026-03-06</t>
        </is>
      </c>
      <c r="F238" t="inlineStr">
        <is>
          <t>2026-03-13</t>
        </is>
      </c>
      <c r="G238" t="inlineStr">
        <is>
          <t xml:space="preserve"> - Couple Cottage</t>
        </is>
      </c>
      <c r="H238">
        <f>HYPERLINK("https://booking.roadsurfer.com/es/rally/pick?pickup_date=2026-03-06&amp;return_date=2026-03-13&amp;currency=EUR&amp;startStation=34&amp;endStation=110",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Italia</t>
        </is>
      </c>
      <c r="D239" t="inlineStr">
        <is>
          <t>Bolonia</t>
        </is>
      </c>
      <c r="E239" t="inlineStr">
        <is>
          <t>2026-03-03</t>
        </is>
      </c>
      <c r="F239" t="inlineStr">
        <is>
          <t>2026-03-10</t>
        </is>
      </c>
      <c r="G239" t="inlineStr">
        <is>
          <t xml:space="preserve"> - Surfer Suite</t>
        </is>
      </c>
      <c r="H239">
        <f>HYPERLINK("https://booking.roadsurfer.com/es/rally/pick?pickup_date=2026-03-03&amp;return_date=2026-03-10&amp;currency=EUR&amp;startStation=1&amp;endStation=57",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Italia</t>
        </is>
      </c>
      <c r="D240" t="inlineStr">
        <is>
          <t>Bolonia</t>
        </is>
      </c>
      <c r="E240" t="inlineStr">
        <is>
          <t>2026-03-06</t>
        </is>
      </c>
      <c r="F240" t="inlineStr">
        <is>
          <t>2026-03-13</t>
        </is>
      </c>
      <c r="G240" t="inlineStr">
        <is>
          <t xml:space="preserve"> - Beach Hostel</t>
        </is>
      </c>
      <c r="H240">
        <f>HYPERLINK("https://booking.roadsurfer.com/es/rally/pick?pickup_date=2026-03-06&amp;return_date=2026-03-13&amp;currency=EUR&amp;startStation=1&amp;endStation=57",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2026-03-06</t>
        </is>
      </c>
      <c r="F241" t="inlineStr">
        <is>
          <t>2026-03-13</t>
        </is>
      </c>
      <c r="G241" t="inlineStr">
        <is>
          <t xml:space="preserve"> - Surfer Suite</t>
        </is>
      </c>
      <c r="H241">
        <f>HYPERLINK("https://booking.roadsurfer.com/es/rally/pick?pickup_date=2026-03-06&amp;return_date=2026-03-13&amp;currency=EUR&amp;startStation=1&amp;endStation=33",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Francia</t>
        </is>
      </c>
      <c r="D242" t="inlineStr">
        <is>
          <t>Aix-Marsella</t>
        </is>
      </c>
      <c r="E242" t="inlineStr">
        <is>
          <t>2026-03-04</t>
        </is>
      </c>
      <c r="F242" t="inlineStr">
        <is>
          <t>2026-03-11</t>
        </is>
      </c>
      <c r="G242" t="inlineStr">
        <is>
          <t xml:space="preserve"> - Surfer Suite</t>
        </is>
      </c>
      <c r="H242">
        <f>HYPERLINK("https://booking.roadsurfer.com/es/rally/pick?pickup_date=2026-03-04&amp;return_date=2026-03-11&amp;currency=EUR&amp;startStation=1&amp;endStation=16",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2026-04-04</t>
        </is>
      </c>
      <c r="F243" t="inlineStr">
        <is>
          <t>2026-04-11</t>
        </is>
      </c>
      <c r="G243" t="inlineStr">
        <is>
          <t xml:space="preserve"> - Road House</t>
        </is>
      </c>
      <c r="H243">
        <f>HYPERLINK("https://booking.roadsurfer.com/es/rally/pick?pickup_date=2026-04-04&amp;return_date=2026-04-11&amp;currency=EUR&amp;startStation=1&amp;endStation=16",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Austria</t>
        </is>
      </c>
      <c r="D244" t="inlineStr">
        <is>
          <t>Viena</t>
        </is>
      </c>
      <c r="E244" t="inlineStr">
        <is>
          <t>2026-03-07</t>
        </is>
      </c>
      <c r="F244" t="inlineStr">
        <is>
          <t>2026-03-14</t>
        </is>
      </c>
      <c r="G244" t="inlineStr">
        <is>
          <t xml:space="preserve"> - Surfer Suite</t>
        </is>
      </c>
      <c r="H244">
        <f>HYPERLINK("https://booking.roadsurfer.com/es/rally/pick?pickup_date=2026-03-07&amp;return_date=2026-03-14&amp;currency=EUR&amp;startStation=1&amp;endStation=36",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Austria</t>
        </is>
      </c>
      <c r="D245" t="inlineStr">
        <is>
          <t>Viena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Surfer Suite</t>
        </is>
      </c>
      <c r="H245">
        <f>HYPERLINK("https://booking.roadsurfer.com/es/rally/pick?pickup_date=2026-03-09&amp;return_date=2026-03-16&amp;currency=EUR&amp;startStation=1&amp;endStation=36",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España</t>
        </is>
      </c>
      <c r="D246" t="inlineStr">
        <is>
          <t>Sevilla</t>
        </is>
      </c>
      <c r="E246" t="inlineStr">
        <is>
          <t>2026-03-05</t>
        </is>
      </c>
      <c r="F246" t="inlineStr">
        <is>
          <t>2026-03-12</t>
        </is>
      </c>
      <c r="G246" t="inlineStr">
        <is>
          <t xml:space="preserve"> - Surfer Suite</t>
        </is>
      </c>
      <c r="H246">
        <f>HYPERLINK("https://booking.roadsurfer.com/es/rally/pick?pickup_date=2026-03-05&amp;return_date=2026-03-12&amp;currency=EUR&amp;startStation=1&amp;endStation=39",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Austria</t>
        </is>
      </c>
      <c r="D247" t="inlineStr">
        <is>
          <t>Viena Sur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Surfer Suite</t>
        </is>
      </c>
      <c r="H247">
        <f>HYPERLINK("https://booking.roadsurfer.com/es/rally/pick?pickup_date=2026-03-09&amp;return_date=2026-03-16&amp;currency=EUR&amp;startStation=1&amp;endStation=45",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Italia</t>
        </is>
      </c>
      <c r="D248" t="inlineStr">
        <is>
          <t>Bérgamo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Beach Hostel</t>
        </is>
      </c>
      <c r="H248">
        <f>HYPERLINK("https://booking.roadsurfer.com/es/rally/pick?pickup_date=2026-03-09&amp;return_date=2026-03-16&amp;currency=EUR&amp;startStation=1&amp;endStation=94", "Clic para verlo en la web de RoadSurfer")</f>
        <v/>
      </c>
    </row>
    <row r="249">
      <c r="A249" t="inlineStr">
        <is>
          <t>Alemania</t>
        </is>
      </c>
      <c r="B249" t="inlineStr">
        <is>
          <t>Múnich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2026-03-05</t>
        </is>
      </c>
      <c r="F249" t="inlineStr">
        <is>
          <t>2026-03-12</t>
        </is>
      </c>
      <c r="G249" t="inlineStr">
        <is>
          <t xml:space="preserve"> - Camper Cabin</t>
        </is>
      </c>
      <c r="H249">
        <f>HYPERLINK("https://booking.roadsurfer.com/es/rally/pick?pickup_date=2026-03-05&amp;return_date=2026-03-12&amp;currency=EUR&amp;startStation=1&amp;endStation=40", "Clic para verlo en la web de RoadSurfer")</f>
        <v/>
      </c>
    </row>
    <row r="250">
      <c r="A250" t="inlineStr">
        <is>
          <t>Alemania</t>
        </is>
      </c>
      <c r="B250" t="inlineStr">
        <is>
          <t>Múnich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2026-03-06</t>
        </is>
      </c>
      <c r="F250" t="inlineStr">
        <is>
          <t>2026-03-13</t>
        </is>
      </c>
      <c r="G250" t="inlineStr">
        <is>
          <t xml:space="preserve"> - Family Finca</t>
        </is>
      </c>
      <c r="H250">
        <f>HYPERLINK("https://booking.roadsurfer.com/es/rally/pick?pickup_date=2026-03-06&amp;return_date=2026-03-13&amp;currency=EUR&amp;startStation=1&amp;endStation=55", "Clic para verlo en la web de RoadSurfer")</f>
        <v/>
      </c>
    </row>
    <row r="251">
      <c r="A251" t="inlineStr">
        <is>
          <t>Alemania</t>
        </is>
      </c>
      <c r="B251" t="inlineStr">
        <is>
          <t>Múnich</t>
        </is>
      </c>
      <c r="C251" t="inlineStr">
        <is>
          <t>Italia</t>
        </is>
      </c>
      <c r="D251" t="inlineStr">
        <is>
          <t>Venecia</t>
        </is>
      </c>
      <c r="E251" t="inlineStr">
        <is>
          <t>2026-03-07</t>
        </is>
      </c>
      <c r="F251" t="inlineStr">
        <is>
          <t>2026-03-14</t>
        </is>
      </c>
      <c r="G251" t="inlineStr">
        <is>
          <t xml:space="preserve"> - Couple Cottage</t>
        </is>
      </c>
      <c r="H251">
        <f>HYPERLINK("https://booking.roadsurfer.com/es/rally/pick?pickup_date=2026-03-07&amp;return_date=2026-03-14&amp;currency=EUR&amp;startStation=1&amp;endStation=78", "Clic para verlo en la web de RoadSurfer")</f>
        <v/>
      </c>
    </row>
    <row r="252">
      <c r="A252" t="inlineStr">
        <is>
          <t>Alemania</t>
        </is>
      </c>
      <c r="B252" t="inlineStr">
        <is>
          <t>Múnich</t>
        </is>
      </c>
      <c r="C252" t="inlineStr">
        <is>
          <t>Alemania</t>
        </is>
      </c>
      <c r="D252" t="inlineStr">
        <is>
          <t>Braunschweig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No hay coche</t>
        </is>
      </c>
      <c r="H252">
        <f>HYPERLINK("https://booking.roadsurfer.com/es/rally/pick?pickup_date=2026-04-20&amp;return_date=2026-04-27&amp;currency=EUR&amp;startStation=1&amp;endStation=128", "Clic para verlo en la web de RoadSurfer")</f>
        <v/>
      </c>
    </row>
    <row r="253">
      <c r="A253" t="inlineStr">
        <is>
          <t>Alemania</t>
        </is>
      </c>
      <c r="B253" t="inlineStr">
        <is>
          <t>Múnich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2026-03-06</t>
        </is>
      </c>
      <c r="F253" t="inlineStr">
        <is>
          <t>2026-03-13</t>
        </is>
      </c>
      <c r="G253" t="inlineStr">
        <is>
          <t xml:space="preserve"> - Sunrise Suite</t>
        </is>
      </c>
      <c r="H253">
        <f>HYPERLINK("https://booking.roadsurfer.com/es/rally/pick?pickup_date=2026-03-06&amp;return_date=2026-03-13&amp;currency=EUR&amp;startStation=1&amp;endStation=13",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Kassel</t>
        </is>
      </c>
      <c r="E254" t="inlineStr">
        <is>
          <t>2026-03-09</t>
        </is>
      </c>
      <c r="F254" t="inlineStr">
        <is>
          <t>2026-03-16</t>
        </is>
      </c>
      <c r="G254" t="inlineStr">
        <is>
          <t xml:space="preserve"> - Camper Cabin</t>
        </is>
      </c>
      <c r="H254">
        <f>HYPERLINK("https://booking.roadsurfer.com/es/rally/pick?pickup_date=2026-03-09&amp;return_date=2026-03-16&amp;currency=EUR&amp;startStation=31&amp;endStation=92",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Colonia-Düsseldorf</t>
        </is>
      </c>
      <c r="E255" t="inlineStr">
        <is>
          <t>2026-03-06</t>
        </is>
      </c>
      <c r="F255" t="inlineStr">
        <is>
          <t>2026-03-13</t>
        </is>
      </c>
      <c r="G255" t="inlineStr">
        <is>
          <t xml:space="preserve"> - Surfer Suite</t>
        </is>
      </c>
      <c r="H255">
        <f>HYPERLINK("https://booking.roadsurfer.com/es/rally/pick?pickup_date=2026-03-06&amp;return_date=2026-03-13&amp;currency=EUR&amp;startStation=31&amp;endStation=4",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2026-03-09</t>
        </is>
      </c>
      <c r="F256" t="inlineStr">
        <is>
          <t>2026-03-16</t>
        </is>
      </c>
      <c r="G256" t="inlineStr">
        <is>
          <t xml:space="preserve"> - Camper Castle</t>
        </is>
      </c>
      <c r="H256">
        <f>HYPERLINK("https://booking.roadsurfer.com/es/rally/pick?pickup_date=2026-03-09&amp;return_date=2026-03-16&amp;currency=EUR&amp;startStation=31&amp;endStation=56",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2026-03-05</t>
        </is>
      </c>
      <c r="F257" t="inlineStr">
        <is>
          <t>2026-03-12</t>
        </is>
      </c>
      <c r="G257" t="inlineStr">
        <is>
          <t xml:space="preserve"> - No hay coche</t>
        </is>
      </c>
      <c r="H257">
        <f>HYPERLINK("https://booking.roadsurfer.com/es/rally/pick?pickup_date=2026-03-05&amp;return_date=2026-03-12&amp;currency=EUR&amp;startStation=31&amp;endStation=22",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2026-03-09</t>
        </is>
      </c>
      <c r="F258" t="inlineStr">
        <is>
          <t>2026-03-16</t>
        </is>
      </c>
      <c r="G258" t="inlineStr">
        <is>
          <t xml:space="preserve"> - Surfer Suite</t>
        </is>
      </c>
      <c r="H258">
        <f>HYPERLINK("https://booking.roadsurfer.com/es/rally/pick?pickup_date=2026-03-09&amp;return_date=2026-03-16&amp;currency=EUR&amp;startStation=31&amp;endStation=22",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Núremberg</t>
        </is>
      </c>
      <c r="E259" t="inlineStr">
        <is>
          <t>2026-03-09</t>
        </is>
      </c>
      <c r="F259" t="inlineStr">
        <is>
          <t>2026-03-16</t>
        </is>
      </c>
      <c r="G259" t="inlineStr">
        <is>
          <t xml:space="preserve"> - Camper Cabin</t>
        </is>
      </c>
      <c r="H259">
        <f>HYPERLINK("https://booking.roadsurfer.com/es/rally/pick?pickup_date=2026-03-09&amp;return_date=2026-03-16&amp;currency=EUR&amp;startStation=31&amp;endStation=11",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Kiel</t>
        </is>
      </c>
      <c r="E260" t="inlineStr">
        <is>
          <t>2026-03-09</t>
        </is>
      </c>
      <c r="F260" t="inlineStr">
        <is>
          <t>2026-03-16</t>
        </is>
      </c>
      <c r="G260" t="inlineStr">
        <is>
          <t xml:space="preserve"> - Camper Cabin</t>
        </is>
      </c>
      <c r="H260">
        <f>HYPERLINK("https://booking.roadsurfer.com/es/rally/pick?pickup_date=2026-03-09&amp;return_date=2026-03-16&amp;currency=EUR&amp;startStation=31&amp;endStation=111",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2026-03-06</t>
        </is>
      </c>
      <c r="F261" t="inlineStr">
        <is>
          <t>2026-03-13</t>
        </is>
      </c>
      <c r="G261" t="inlineStr">
        <is>
          <t xml:space="preserve"> - Family Finca</t>
        </is>
      </c>
      <c r="H261">
        <f>HYPERLINK("https://booking.roadsurfer.com/es/rally/pick?pickup_date=2026-03-06&amp;return_date=2026-03-13&amp;currency=EUR&amp;startStation=31&amp;endStation=5", "Clic para verlo en la web de RoadSurfer")</f>
        <v/>
      </c>
    </row>
    <row r="262">
      <c r="A262" t="inlineStr">
        <is>
          <t>Francia</t>
        </is>
      </c>
      <c r="B262" t="inlineStr">
        <is>
          <t>Nantes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2026-04-07</t>
        </is>
      </c>
      <c r="F262" t="inlineStr">
        <is>
          <t>2026-04-14</t>
        </is>
      </c>
      <c r="G262" t="inlineStr">
        <is>
          <t xml:space="preserve"> - Family Finca</t>
        </is>
      </c>
      <c r="H262">
        <f>HYPERLINK("https://booking.roadsurfer.com/es/rally/pick?pickup_date=2026-04-07&amp;return_date=2026-04-14&amp;currency=EUR&amp;startStation=31&amp;endStation=52", "Clic para verlo en la web de RoadSurfer")</f>
        <v/>
      </c>
    </row>
    <row r="263">
      <c r="A263" t="inlineStr">
        <is>
          <t>Alemania</t>
        </is>
      </c>
      <c r="B263" t="inlineStr">
        <is>
          <t>Núremberg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2026-04-16</t>
        </is>
      </c>
      <c r="F263" t="inlineStr">
        <is>
          <t>2026-04-23</t>
        </is>
      </c>
      <c r="G263" t="inlineStr">
        <is>
          <t xml:space="preserve"> - Couple Cottage</t>
        </is>
      </c>
      <c r="H263">
        <f>HYPERLINK("https://booking.roadsurfer.com/es/rally/pick?pickup_date=2026-04-16&amp;return_date=2026-04-23&amp;currency=EUR&amp;startStation=11&amp;endStation=36", "Clic para verlo en la web de RoadSurfer")</f>
        <v/>
      </c>
    </row>
    <row r="264">
      <c r="A264" t="inlineStr">
        <is>
          <t>Alemania</t>
        </is>
      </c>
      <c r="B264" t="inlineStr">
        <is>
          <t>Núremberg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2026-03-09</t>
        </is>
      </c>
      <c r="F264" t="inlineStr">
        <is>
          <t>2026-03-16</t>
        </is>
      </c>
      <c r="G264" t="inlineStr">
        <is>
          <t xml:space="preserve"> - Camper Castle</t>
        </is>
      </c>
      <c r="H264">
        <f>HYPERLINK("https://booking.roadsurfer.com/es/rally/pick?pickup_date=2026-03-09&amp;return_date=2026-03-16&amp;currency=EUR&amp;startStation=11&amp;endStation=30", "Clic para verlo en la web de RoadSurfer")</f>
        <v/>
      </c>
    </row>
    <row r="265">
      <c r="A265" t="inlineStr">
        <is>
          <t>Alemania</t>
        </is>
      </c>
      <c r="B265" t="inlineStr">
        <is>
          <t>Núremberg</t>
        </is>
      </c>
      <c r="C265" t="inlineStr">
        <is>
          <t>España</t>
        </is>
      </c>
      <c r="D265" t="inlineStr">
        <is>
          <t>Sevilla</t>
        </is>
      </c>
      <c r="E265" t="inlineStr">
        <is>
          <t>2026-03-05</t>
        </is>
      </c>
      <c r="F265" t="inlineStr">
        <is>
          <t>2026-03-12</t>
        </is>
      </c>
      <c r="G265" t="inlineStr">
        <is>
          <t xml:space="preserve"> - Cozy Cottage</t>
        </is>
      </c>
      <c r="H265">
        <f>HYPERLINK("https://booking.roadsurfer.com/es/rally/pick?pickup_date=2026-03-05&amp;return_date=2026-03-12&amp;currency=EUR&amp;startStation=11&amp;endStation=39", "Clic para verlo en la web de RoadSurfer")</f>
        <v/>
      </c>
    </row>
    <row r="266">
      <c r="A266" t="inlineStr">
        <is>
          <t>Francia</t>
        </is>
      </c>
      <c r="B266" t="inlineStr">
        <is>
          <t>París Sur (Orly)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HYPERLINK("https://booking.roadsurfer.com/es/rally/pick?pickup_date=2026-03-05&amp;return_date=2026-03-12&amp;currency=EUR&amp;startStation=12&amp;endStation=48", "Clic para verlo en la web de RoadSurfer")</f>
        <v/>
      </c>
    </row>
    <row r="267">
      <c r="A267" t="inlineStr">
        <is>
          <t>Francia</t>
        </is>
      </c>
      <c r="B267" t="inlineStr">
        <is>
          <t>París Sur (Orly)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2026-03-09</t>
        </is>
      </c>
      <c r="F267" t="inlineStr">
        <is>
          <t>2026-03-16</t>
        </is>
      </c>
      <c r="G267" t="inlineStr">
        <is>
          <t xml:space="preserve"> - Surfer Suite</t>
        </is>
      </c>
      <c r="H267">
        <f>HYPERLINK("https://booking.roadsurfer.com/es/rally/pick?pickup_date=2026-03-09&amp;return_date=2026-03-16&amp;currency=EUR&amp;startStation=12&amp;endStation=48", "Clic para verlo en la web de RoadSurfer")</f>
        <v/>
      </c>
    </row>
    <row r="268">
      <c r="A268" t="inlineStr">
        <is>
          <t>Francia</t>
        </is>
      </c>
      <c r="B268" t="inlineStr">
        <is>
          <t>París Sur (Orly)</t>
        </is>
      </c>
      <c r="C268" t="inlineStr">
        <is>
          <t>Alemania</t>
        </is>
      </c>
      <c r="D268" t="inlineStr">
        <is>
          <t>Colonia-Düsseldorf</t>
        </is>
      </c>
      <c r="E268" t="inlineStr">
        <is>
          <t>2026-03-05</t>
        </is>
      </c>
      <c r="F268" t="inlineStr">
        <is>
          <t>2026-03-12</t>
        </is>
      </c>
      <c r="G268" t="inlineStr">
        <is>
          <t xml:space="preserve"> - Beach Hostel</t>
        </is>
      </c>
      <c r="H268">
        <f>HYPERLINK("https://booking.roadsurfer.com/es/rally/pick?pickup_date=2026-03-05&amp;return_date=2026-03-12&amp;currency=EUR&amp;startStation=12&amp;endStation=4",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Alemania</t>
        </is>
      </c>
      <c r="D269" t="inlineStr">
        <is>
          <t>Heidelberg</t>
        </is>
      </c>
      <c r="E269" t="inlineStr">
        <is>
          <t>2026-03-05</t>
        </is>
      </c>
      <c r="F269" t="inlineStr">
        <is>
          <t>2026-03-12</t>
        </is>
      </c>
      <c r="G269" t="inlineStr">
        <is>
          <t xml:space="preserve"> - Road House</t>
        </is>
      </c>
      <c r="H269">
        <f>HYPERLINK("https://booking.roadsurfer.com/es/rally/pick?pickup_date=2026-03-05&amp;return_date=2026-03-12&amp;currency=EUR&amp;startStation=12&amp;endStation=79", "Clic para verlo en la web de RoadSurfer")</f>
        <v/>
      </c>
    </row>
    <row r="270">
      <c r="A270" t="inlineStr">
        <is>
          <t>Francia</t>
        </is>
      </c>
      <c r="B270" t="inlineStr">
        <is>
          <t>París Sur (Orly)</t>
        </is>
      </c>
      <c r="C270" t="inlineStr">
        <is>
          <t>Alemania</t>
        </is>
      </c>
      <c r="D270" t="inlineStr">
        <is>
          <t>Friburgo-Basilea (Alemania)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Road House</t>
        </is>
      </c>
      <c r="H270">
        <f>HYPERLINK("https://booking.roadsurfer.com/es/rally/pick?pickup_date=2026-03-09&amp;return_date=2026-03-16&amp;currency=EUR&amp;startStation=12&amp;endStation=9", "Clic para verlo en la web de RoadSurfer")</f>
        <v/>
      </c>
    </row>
    <row r="271">
      <c r="A271" t="inlineStr">
        <is>
          <t>Francia</t>
        </is>
      </c>
      <c r="B271" t="inlineStr">
        <is>
          <t>París Aeropuerto CDG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2026-03-03</t>
        </is>
      </c>
      <c r="F271" t="inlineStr">
        <is>
          <t>2026-03-10</t>
        </is>
      </c>
      <c r="G271" t="inlineStr">
        <is>
          <t xml:space="preserve"> - SURFER SUITE</t>
        </is>
      </c>
      <c r="H271">
        <f>HYPERLINK("https://booking.roadsurfer.com/es/rally/pick?pickup_date=2026-03-03&amp;return_date=2026-03-10&amp;currency=EUR&amp;startStation=48&amp;endStation=90", "Clic para verlo en la web de RoadSurfer")</f>
        <v/>
      </c>
    </row>
    <row r="272">
      <c r="A272" t="inlineStr">
        <is>
          <t>Francia</t>
        </is>
      </c>
      <c r="B272" t="inlineStr">
        <is>
          <t>París Aeropuerto CDG</t>
        </is>
      </c>
      <c r="C272" t="inlineStr">
        <is>
          <t>Francia</t>
        </is>
      </c>
      <c r="D272" t="inlineStr">
        <is>
          <t>Aix-Marsella</t>
        </is>
      </c>
      <c r="E272" t="inlineStr">
        <is>
          <t>2026-04-20</t>
        </is>
      </c>
      <c r="F272" t="inlineStr">
        <is>
          <t>2026-04-27</t>
        </is>
      </c>
      <c r="G272" t="inlineStr">
        <is>
          <t xml:space="preserve"> - Couple Cottage</t>
        </is>
      </c>
      <c r="H272">
        <f>HYPERLINK("https://booking.roadsurfer.com/es/rally/pick?pickup_date=2026-04-20&amp;return_date=2026-04-27&amp;currency=EUR&amp;startStation=48&amp;endStation=16", "Clic para verlo en la web de RoadSurfer")</f>
        <v/>
      </c>
    </row>
    <row r="273">
      <c r="A273" t="inlineStr">
        <is>
          <t>Francia</t>
        </is>
      </c>
      <c r="B273" t="inlineStr">
        <is>
          <t>París Aeropuerto CDG</t>
        </is>
      </c>
      <c r="C273" t="inlineStr">
        <is>
          <t>Alemania</t>
        </is>
      </c>
      <c r="D273" t="inlineStr">
        <is>
          <t>Hamburgo</t>
        </is>
      </c>
      <c r="E273" t="inlineStr">
        <is>
          <t>2026-03-06</t>
        </is>
      </c>
      <c r="F273" t="inlineStr">
        <is>
          <t>2026-03-13</t>
        </is>
      </c>
      <c r="G273" t="inlineStr">
        <is>
          <t xml:space="preserve"> - Travel Home</t>
        </is>
      </c>
      <c r="H273">
        <f>HYPERLINK("https://booking.roadsurfer.com/es/rally/pick?pickup_date=2026-03-06&amp;return_date=2026-03-13&amp;currency=EUR&amp;startStation=48&amp;endStation=3", "Clic para verlo en la web de RoadSurfer")</f>
        <v/>
      </c>
    </row>
    <row r="274">
      <c r="A274" t="inlineStr">
        <is>
          <t>Francia</t>
        </is>
      </c>
      <c r="B274" t="inlineStr">
        <is>
          <t>París Aeropuerto CDG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2026-03-06</t>
        </is>
      </c>
      <c r="F274" t="inlineStr">
        <is>
          <t>2026-03-13</t>
        </is>
      </c>
      <c r="G274" t="inlineStr">
        <is>
          <t xml:space="preserve"> - SURFER SUITE</t>
        </is>
      </c>
      <c r="H274">
        <f>HYPERLINK("https://booking.roadsurfer.com/es/rally/pick?pickup_date=2026-03-06&amp;return_date=2026-03-13&amp;currency=EUR&amp;startStation=48&amp;endStation=52", "Clic para verlo en la web de RoadSurfer")</f>
        <v/>
      </c>
    </row>
    <row r="275">
      <c r="A275" t="inlineStr">
        <is>
          <t>EE.UU.</t>
        </is>
      </c>
      <c r="B275" t="inlineStr">
        <is>
          <t>Phoenix</t>
        </is>
      </c>
      <c r="C275" t="inlineStr">
        <is>
          <t>EE.UU.</t>
        </is>
      </c>
      <c r="D275" t="inlineStr">
        <is>
          <t>Dallas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Couple Condo</t>
        </is>
      </c>
      <c r="H275">
        <f>HYPERLINK("https://booking.roadsurfer.com/es/rally/pick?pickup_date=2026-03-19&amp;return_date=2026-03-26&amp;currency=EUR&amp;startStation=105&amp;endStation=125", "Clic para verlo en la web de RoadSurfer")</f>
        <v/>
      </c>
    </row>
    <row r="276">
      <c r="A276" t="inlineStr">
        <is>
          <t>Alemania</t>
        </is>
      </c>
      <c r="B276" t="inlineStr">
        <is>
          <t>Ratisbona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2026-03-09</t>
        </is>
      </c>
      <c r="F276" t="inlineStr">
        <is>
          <t>2026-03-16</t>
        </is>
      </c>
      <c r="G276" t="inlineStr">
        <is>
          <t xml:space="preserve"> - Travel Home - TRAVEL HOME</t>
        </is>
      </c>
      <c r="H276">
        <f>HYPERLINK("https://booking.roadsurfer.com/es/rally/pick?pickup_date=2026-03-09&amp;return_date=2026-03-16&amp;currency=EUR&amp;startStation=89&amp;endStation=55", "Clic para verlo en la web de RoadSurfer")</f>
        <v/>
      </c>
    </row>
    <row r="277">
      <c r="A277" t="inlineStr">
        <is>
          <t>Italia</t>
        </is>
      </c>
      <c r="B277" t="inlineStr">
        <is>
          <t>Roma Aeropuerto Fiumicino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2026-04-14</t>
        </is>
      </c>
      <c r="F277" t="inlineStr">
        <is>
          <t>2026-04-21</t>
        </is>
      </c>
      <c r="G277" t="inlineStr">
        <is>
          <t xml:space="preserve"> - Road House</t>
        </is>
      </c>
      <c r="H277">
        <f>HYPERLINK("https://booking.roadsurfer.com/es/rally/pick?pickup_date=2026-04-14&amp;return_date=2026-04-21&amp;currency=EUR&amp;startStation=35&amp;endStation=1", "Clic para verlo en la web de RoadSurfer")</f>
        <v/>
      </c>
    </row>
    <row r="278">
      <c r="A278" t="inlineStr">
        <is>
          <t>Italia</t>
        </is>
      </c>
      <c r="B278" t="inlineStr">
        <is>
          <t>Roma Aeropuerto Fiumicino</t>
        </is>
      </c>
      <c r="C278" t="inlineStr">
        <is>
          <t>Alemania</t>
        </is>
      </c>
      <c r="D278" t="inlineStr">
        <is>
          <t>Múnich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Beach Hostel</t>
        </is>
      </c>
      <c r="H278">
        <f>HYPERLINK("https://booking.roadsurfer.com/es/rally/pick?pickup_date=2026-03-09&amp;return_date=2026-03-16&amp;currency=EUR&amp;startStation=35&amp;endStation=1", "Clic para verlo en la web de RoadSurfer")</f>
        <v/>
      </c>
    </row>
    <row r="279">
      <c r="A279" t="inlineStr">
        <is>
          <t>Países Bajos</t>
        </is>
      </c>
      <c r="B279" t="inlineStr">
        <is>
          <t>Róterdam</t>
        </is>
      </c>
      <c r="C279" t="inlineStr">
        <is>
          <t>Alemania</t>
        </is>
      </c>
      <c r="D279" t="inlineStr">
        <is>
          <t>Dresde</t>
        </is>
      </c>
      <c r="E279" t="inlineStr">
        <is>
          <t>2026-03-05</t>
        </is>
      </c>
      <c r="F279" t="inlineStr">
        <is>
          <t>2026-03-12</t>
        </is>
      </c>
      <c r="G279" t="inlineStr">
        <is>
          <t xml:space="preserve"> - Camper Castle</t>
        </is>
      </c>
      <c r="H279">
        <f>HYPERLINK("https://booking.roadsurfer.com/es/rally/pick?pickup_date=2026-03-05&amp;return_date=2026-03-12&amp;currency=EUR&amp;startStation=33&amp;endStation=56", "Clic para verlo en la web de RoadSurfer")</f>
        <v/>
      </c>
    </row>
    <row r="280">
      <c r="A280" t="inlineStr">
        <is>
          <t>Países Bajos</t>
        </is>
      </c>
      <c r="B280" t="inlineStr">
        <is>
          <t>Róterdam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2026-03-07</t>
        </is>
      </c>
      <c r="F280" t="inlineStr">
        <is>
          <t>2026-03-14</t>
        </is>
      </c>
      <c r="G280" t="inlineStr">
        <is>
          <t xml:space="preserve"> - No hay coche</t>
        </is>
      </c>
      <c r="H280">
        <f>HYPERLINK("https://booking.roadsurfer.com/es/rally/pick?pickup_date=2026-03-07&amp;return_date=2026-03-14&amp;currency=EUR&amp;startStation=33&amp;endStation=22", "Clic para verlo en la web de RoadSurfer")</f>
        <v/>
      </c>
    </row>
    <row r="281">
      <c r="A281" t="inlineStr">
        <is>
          <t>Austria</t>
        </is>
      </c>
      <c r="B281" t="inlineStr">
        <is>
          <t>Salzburgo</t>
        </is>
      </c>
      <c r="C281" t="inlineStr">
        <is>
          <t>Alemania</t>
        </is>
      </c>
      <c r="D281" t="inlineStr">
        <is>
          <t>Colonia-Bonn</t>
        </is>
      </c>
      <c r="E281" t="inlineStr">
        <is>
          <t>2026-03-04</t>
        </is>
      </c>
      <c r="F281" t="inlineStr">
        <is>
          <t>2026-03-11</t>
        </is>
      </c>
      <c r="G281" t="inlineStr">
        <is>
          <t xml:space="preserve"> - Road House</t>
        </is>
      </c>
      <c r="H281">
        <f>HYPERLINK("https://booking.roadsurfer.com/es/rally/pick?pickup_date=2026-03-04&amp;return_date=2026-03-11&amp;currency=EUR&amp;startStation=85&amp;endStation=52", "Clic para verlo en la web de RoadSurfer")</f>
        <v/>
      </c>
    </row>
    <row r="282">
      <c r="A282" t="inlineStr">
        <is>
          <t>Austria</t>
        </is>
      </c>
      <c r="B282" t="inlineStr">
        <is>
          <t>Salzburgo</t>
        </is>
      </c>
      <c r="C282" t="inlineStr">
        <is>
          <t>Alemania</t>
        </is>
      </c>
      <c r="D282" t="inlineStr">
        <is>
          <t>Bielefeld</t>
        </is>
      </c>
      <c r="E282" t="inlineStr">
        <is>
          <t>2026-03-03</t>
        </is>
      </c>
      <c r="F282" t="inlineStr">
        <is>
          <t>2026-03-10</t>
        </is>
      </c>
      <c r="G282" t="inlineStr">
        <is>
          <t xml:space="preserve"> - Family Finca</t>
        </is>
      </c>
      <c r="H282">
        <f>HYPERLINK("https://booking.roadsurfer.com/es/rally/pick?pickup_date=2026-03-03&amp;return_date=2026-03-10&amp;currency=EUR&amp;startStation=85&amp;endStation=91",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Duisburgo</t>
        </is>
      </c>
      <c r="E283" t="inlineStr">
        <is>
          <t>2026-03-10</t>
        </is>
      </c>
      <c r="F283" t="inlineStr">
        <is>
          <t>2026-03-17</t>
        </is>
      </c>
      <c r="G283" t="inlineStr">
        <is>
          <t xml:space="preserve"> - Surfer Suite</t>
        </is>
      </c>
      <c r="H283">
        <f>HYPERLINK("https://booking.roadsurfer.com/es/rally/pick?pickup_date=2026-03-10&amp;return_date=2026-03-17&amp;currency=EUR&amp;startStation=39&amp;endStation=113",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2026-03-03</t>
        </is>
      </c>
      <c r="F284" t="inlineStr">
        <is>
          <t>2026-03-10</t>
        </is>
      </c>
      <c r="G284" t="inlineStr">
        <is>
          <t xml:space="preserve"> - Surfer Suite</t>
        </is>
      </c>
      <c r="H284">
        <f>HYPERLINK("https://booking.roadsurfer.com/es/rally/pick?pickup_date=2026-03-03&amp;return_date=2026-03-10&amp;currency=EUR&amp;startStation=59&amp;endStation=22",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2026-03-09</t>
        </is>
      </c>
      <c r="F285" t="inlineStr">
        <is>
          <t>2026-03-16</t>
        </is>
      </c>
      <c r="G285" t="inlineStr">
        <is>
          <t xml:space="preserve"> - Surfer Suite</t>
        </is>
      </c>
      <c r="H285">
        <f>HYPERLINK("https://booking.roadsurfer.com/es/rally/pick?pickup_date=2026-03-09&amp;return_date=2026-03-16&amp;currency=EUR&amp;startStation=59&amp;endStation=22",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2026-03-05</t>
        </is>
      </c>
      <c r="F286" t="inlineStr">
        <is>
          <t>2026-03-12</t>
        </is>
      </c>
      <c r="G286" t="inlineStr">
        <is>
          <t xml:space="preserve"> - Surfer Suite - Camper Castle - Family Finca</t>
        </is>
      </c>
      <c r="H286">
        <f>HYPERLINK("https://booking.roadsurfer.com/es/rally/pick?pickup_date=2026-03-05&amp;return_date=2026-03-12&amp;currency=EUR&amp;startStation=59&amp;endStation=22",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2026-03-07</t>
        </is>
      </c>
      <c r="F287" t="inlineStr">
        <is>
          <t>2026-03-14</t>
        </is>
      </c>
      <c r="G287" t="inlineStr">
        <is>
          <t xml:space="preserve"> - COUPLE COTTAGE</t>
        </is>
      </c>
      <c r="H287">
        <f>HYPERLINK("https://booking.roadsurfer.com/es/rally/pick?pickup_date=2026-03-07&amp;return_date=2026-03-14&amp;currency=EUR&amp;startStation=59&amp;endStation=55",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2026-03-05</t>
        </is>
      </c>
      <c r="F288" t="inlineStr">
        <is>
          <t>2026-03-12</t>
        </is>
      </c>
      <c r="G288" t="inlineStr">
        <is>
          <t xml:space="preserve"> - Surfer Suite</t>
        </is>
      </c>
      <c r="H288">
        <f>HYPERLINK("https://booking.roadsurfer.com/es/rally/pick?pickup_date=2026-03-05&amp;return_date=2026-03-12&amp;currency=EUR&amp;startStation=59&amp;endStation=55",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Hamburgo</t>
        </is>
      </c>
      <c r="E289" t="inlineStr">
        <is>
          <t>2026-03-07</t>
        </is>
      </c>
      <c r="F289" t="inlineStr">
        <is>
          <t>2026-03-14</t>
        </is>
      </c>
      <c r="G289" t="inlineStr">
        <is>
          <t xml:space="preserve"> - Family Finca</t>
        </is>
      </c>
      <c r="H289">
        <f>HYPERLINK("https://booking.roadsurfer.com/es/rally/pick?pickup_date=2026-03-07&amp;return_date=2026-03-14&amp;currency=EUR&amp;startStation=59&amp;endStation=3",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2026-03-05</t>
        </is>
      </c>
      <c r="F290" t="inlineStr">
        <is>
          <t>2026-03-12</t>
        </is>
      </c>
      <c r="G290" t="inlineStr">
        <is>
          <t xml:space="preserve"> - Beach Hostel</t>
        </is>
      </c>
      <c r="H290">
        <f>HYPERLINK("https://booking.roadsurfer.com/es/rally/pick?pickup_date=2026-03-05&amp;return_date=2026-03-12&amp;currency=EUR&amp;startStation=59&amp;endStation=3",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2026-03-03</t>
        </is>
      </c>
      <c r="F291" t="inlineStr">
        <is>
          <t>2026-03-10</t>
        </is>
      </c>
      <c r="G291" t="inlineStr">
        <is>
          <t xml:space="preserve"> - Surfer Suite</t>
        </is>
      </c>
      <c r="H291">
        <f>HYPERLINK("https://booking.roadsurfer.com/es/rally/pick?pickup_date=2026-03-03&amp;return_date=2026-03-10&amp;currency=EUR&amp;startStation=59&amp;endStation=3",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2026-03-05</t>
        </is>
      </c>
      <c r="F292" t="inlineStr">
        <is>
          <t>2026-03-12</t>
        </is>
      </c>
      <c r="G292" t="inlineStr">
        <is>
          <t xml:space="preserve"> - Road House</t>
        </is>
      </c>
      <c r="H292">
        <f>HYPERLINK("https://booking.roadsurfer.com/es/rally/pick?pickup_date=2026-03-05&amp;return_date=2026-03-12&amp;currency=EUR&amp;startStation=59&amp;endStation=56",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2026-03-04</t>
        </is>
      </c>
      <c r="F293" t="inlineStr">
        <is>
          <t>2026-03-11</t>
        </is>
      </c>
      <c r="G293" t="inlineStr">
        <is>
          <t xml:space="preserve"> - Family Finca</t>
        </is>
      </c>
      <c r="H293">
        <f>HYPERLINK("https://booking.roadsurfer.com/es/rally/pick?pickup_date=2026-03-04&amp;return_date=2026-03-11&amp;currency=EUR&amp;startStation=59&amp;endStation=56", "Clic para verlo en la web de RoadSurfer")</f>
        <v/>
      </c>
    </row>
    <row r="294">
      <c r="A294" t="inlineStr">
        <is>
          <t>Suecia</t>
        </is>
      </c>
      <c r="B294" t="inlineStr">
        <is>
          <t>Estocolmo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2026-04-13</t>
        </is>
      </c>
      <c r="F294" t="inlineStr">
        <is>
          <t>2026-04-20</t>
        </is>
      </c>
      <c r="G294" t="inlineStr">
        <is>
          <t xml:space="preserve"> - Road House</t>
        </is>
      </c>
      <c r="H294">
        <f>HYPERLINK("https://booking.roadsurfer.com/es/rally/pick?pickup_date=2026-04-13&amp;return_date=2026-04-20&amp;currency=EUR&amp;startStation=59&amp;endStation=91", "Clic para verlo en la web de RoadSurfer")</f>
        <v/>
      </c>
    </row>
    <row r="295">
      <c r="A295" t="inlineStr">
        <is>
          <t>Suecia</t>
        </is>
      </c>
      <c r="B295" t="inlineStr">
        <is>
          <t>Estocolmo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Road House</t>
        </is>
      </c>
      <c r="H295">
        <f>HYPERLINK("https://booking.roadsurfer.com/es/rally/pick?pickup_date=2026-04-14&amp;return_date=2026-04-21&amp;currency=EUR&amp;startStation=59&amp;endStation=91",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Erfurt</t>
        </is>
      </c>
      <c r="E296" t="inlineStr">
        <is>
          <t>2026-04-14</t>
        </is>
      </c>
      <c r="F296" t="inlineStr">
        <is>
          <t>2026-04-21</t>
        </is>
      </c>
      <c r="G296" t="inlineStr">
        <is>
          <t xml:space="preserve"> - Couple Cottage</t>
        </is>
      </c>
      <c r="H296">
        <f>HYPERLINK("https://booking.roadsurfer.com/es/rally/pick?pickup_date=2026-04-14&amp;return_date=2026-04-21&amp;currency=EUR&amp;startStation=59&amp;endStation=90", "Clic para verlo en la web de RoadSurfer")</f>
        <v/>
      </c>
    </row>
    <row r="297">
      <c r="A297" t="inlineStr">
        <is>
          <t>Suecia</t>
        </is>
      </c>
      <c r="B297" t="inlineStr">
        <is>
          <t>Estocolmo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2026-04-16</t>
        </is>
      </c>
      <c r="F297" t="inlineStr">
        <is>
          <t>2026-04-23</t>
        </is>
      </c>
      <c r="G297" t="inlineStr">
        <is>
          <t xml:space="preserve"> - Road House</t>
        </is>
      </c>
      <c r="H297">
        <f>HYPERLINK("https://booking.roadsurfer.com/es/rally/pick?pickup_date=2026-04-16&amp;return_date=2026-04-23&amp;currency=EUR&amp;startStation=59&amp;endStation=90", "Clic para verlo en la web de RoadSurfer")</f>
        <v/>
      </c>
    </row>
    <row r="298">
      <c r="A298" t="inlineStr">
        <is>
          <t>Suecia</t>
        </is>
      </c>
      <c r="B298" t="inlineStr">
        <is>
          <t>Estocolmo</t>
        </is>
      </c>
      <c r="C298" t="inlineStr">
        <is>
          <t>Alemania</t>
        </is>
      </c>
      <c r="D298" t="inlineStr">
        <is>
          <t>Ratisbona</t>
        </is>
      </c>
      <c r="E298" t="inlineStr">
        <is>
          <t>2026-03-06</t>
        </is>
      </c>
      <c r="F298" t="inlineStr">
        <is>
          <t>2026-03-13</t>
        </is>
      </c>
      <c r="G298" t="inlineStr">
        <is>
          <t xml:space="preserve"> - Camper Castle</t>
        </is>
      </c>
      <c r="H298">
        <f>HYPERLINK("https://booking.roadsurfer.com/es/rally/pick?pickup_date=2026-03-06&amp;return_date=2026-03-13&amp;currency=EUR&amp;startStation=59&amp;endStation=89", "Clic para verlo en la web de RoadSurfer")</f>
        <v/>
      </c>
    </row>
    <row r="299">
      <c r="A299" t="inlineStr">
        <is>
          <t>Suecia</t>
        </is>
      </c>
      <c r="B299" t="inlineStr">
        <is>
          <t>Estocolmo</t>
        </is>
      </c>
      <c r="C299" t="inlineStr">
        <is>
          <t>Alemania</t>
        </is>
      </c>
      <c r="D299" t="inlineStr">
        <is>
          <t>Augsburgo</t>
        </is>
      </c>
      <c r="E299" t="inlineStr">
        <is>
          <t>2026-04-15</t>
        </is>
      </c>
      <c r="F299" t="inlineStr">
        <is>
          <t>2026-04-22</t>
        </is>
      </c>
      <c r="G299" t="inlineStr">
        <is>
          <t xml:space="preserve"> - Camper Castle</t>
        </is>
      </c>
      <c r="H299">
        <f>HYPERLINK("https://booking.roadsurfer.com/es/rally/pick?pickup_date=2026-04-15&amp;return_date=2026-04-22&amp;currency=EUR&amp;startStation=59&amp;endStation=108", "Clic para verlo en la web de RoadSurfer")</f>
        <v/>
      </c>
    </row>
    <row r="300">
      <c r="A300" t="inlineStr">
        <is>
          <t>Suecia</t>
        </is>
      </c>
      <c r="B300" t="inlineStr">
        <is>
          <t>Estocolmo</t>
        </is>
      </c>
      <c r="C300" t="inlineStr">
        <is>
          <t>Alemania</t>
        </is>
      </c>
      <c r="D300" t="inlineStr">
        <is>
          <t>Karlsruhe</t>
        </is>
      </c>
      <c r="E300" t="inlineStr">
        <is>
          <t>2026-04-14</t>
        </is>
      </c>
      <c r="F300" t="inlineStr">
        <is>
          <t>2026-04-21</t>
        </is>
      </c>
      <c r="G300" t="inlineStr">
        <is>
          <t xml:space="preserve"> - Camper Castle</t>
        </is>
      </c>
      <c r="H300">
        <f>HYPERLINK("https://booking.roadsurfer.com/es/rally/pick?pickup_date=2026-04-14&amp;return_date=2026-04-21&amp;currency=EUR&amp;startStation=59&amp;endStation=110", "Clic para verlo en la web de RoadSurfer")</f>
        <v/>
      </c>
    </row>
    <row r="301">
      <c r="A301" t="inlineStr">
        <is>
          <t>Suecia</t>
        </is>
      </c>
      <c r="B301" t="inlineStr">
        <is>
          <t>Estocolmo</t>
        </is>
      </c>
      <c r="C301" t="inlineStr">
        <is>
          <t>Alemania</t>
        </is>
      </c>
      <c r="D301" t="inlineStr">
        <is>
          <t>Lindau-Wangen</t>
        </is>
      </c>
      <c r="E301" t="inlineStr">
        <is>
          <t>2026-04-15</t>
        </is>
      </c>
      <c r="F301" t="inlineStr">
        <is>
          <t>2026-04-22</t>
        </is>
      </c>
      <c r="G301" t="inlineStr">
        <is>
          <t xml:space="preserve"> - Camper Castle</t>
        </is>
      </c>
      <c r="H301">
        <f>HYPERLINK("https://booking.roadsurfer.com/es/rally/pick?pickup_date=2026-04-15&amp;return_date=2026-04-22&amp;currency=EUR&amp;startStation=59&amp;endStation=117", "Clic para verlo en la web de RoadSurfer")</f>
        <v/>
      </c>
    </row>
    <row r="302">
      <c r="A302" t="inlineStr">
        <is>
          <t>Suecia</t>
        </is>
      </c>
      <c r="B302" t="inlineStr">
        <is>
          <t>Estocolmo</t>
        </is>
      </c>
      <c r="C302" t="inlineStr">
        <is>
          <t>Alemania</t>
        </is>
      </c>
      <c r="D302" t="inlineStr">
        <is>
          <t>Duisburgo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Camper Castle</t>
        </is>
      </c>
      <c r="H302">
        <f>HYPERLINK("https://booking.roadsurfer.com/es/rally/pick?pickup_date=2026-04-20&amp;return_date=2026-04-27&amp;currency=EUR&amp;startStation=59&amp;endStation=113", "Clic para verlo en la web de RoadSurfer")</f>
        <v/>
      </c>
    </row>
    <row r="303">
      <c r="A303" t="inlineStr">
        <is>
          <t>Suecia</t>
        </is>
      </c>
      <c r="B303" t="inlineStr">
        <is>
          <t>Estocolmo</t>
        </is>
      </c>
      <c r="C303" t="inlineStr">
        <is>
          <t>Alemania</t>
        </is>
      </c>
      <c r="D303" t="inlineStr">
        <is>
          <t>Berlín-Schönefeld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Family Finca</t>
        </is>
      </c>
      <c r="H303">
        <f>HYPERLINK("https://booking.roadsurfer.com/es/rally/pick?pickup_date=2026-04-14&amp;return_date=2026-04-21&amp;currency=EUR&amp;startStation=59&amp;endStation=51", "Clic para verlo en la web de RoadSurfer")</f>
        <v/>
      </c>
    </row>
    <row r="304">
      <c r="A304" t="inlineStr">
        <is>
          <t>Suecia</t>
        </is>
      </c>
      <c r="B304" t="inlineStr">
        <is>
          <t>Estocolmo</t>
        </is>
      </c>
      <c r="C304" t="inlineStr">
        <is>
          <t>Alemania</t>
        </is>
      </c>
      <c r="D304" t="inlineStr">
        <is>
          <t>Fráncfort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Sunrise Suite</t>
        </is>
      </c>
      <c r="H304">
        <f>HYPERLINK("https://booking.roadsurfer.com/es/rally/pick?pickup_date=2026-03-09&amp;return_date=2026-03-16&amp;currency=EUR&amp;startStation=59&amp;endStation=2", "Clic para verlo en la web de RoadSurfer")</f>
        <v/>
      </c>
    </row>
    <row r="305">
      <c r="A305" t="inlineStr">
        <is>
          <t>Francia</t>
        </is>
      </c>
      <c r="B305" t="inlineStr">
        <is>
          <t>Estrasburgo</t>
        </is>
      </c>
      <c r="C305" t="inlineStr">
        <is>
          <t>Alemania</t>
        </is>
      </c>
      <c r="D305" t="inlineStr">
        <is>
          <t>Fráncfort</t>
        </is>
      </c>
      <c r="E305" t="inlineStr">
        <is>
          <t>2026-03-09</t>
        </is>
      </c>
      <c r="F305" t="inlineStr">
        <is>
          <t>2026-03-16</t>
        </is>
      </c>
      <c r="G305" t="inlineStr">
        <is>
          <t xml:space="preserve"> - Beach Hostel</t>
        </is>
      </c>
      <c r="H305">
        <f>HYPERLINK("https://booking.roadsurfer.com/es/rally/pick?pickup_date=2026-03-09&amp;return_date=2026-03-16&amp;currency=EUR&amp;startStation=49&amp;endStation=2", "Clic para verlo en la web de RoadSurfer")</f>
        <v/>
      </c>
    </row>
    <row r="306">
      <c r="A306" t="inlineStr">
        <is>
          <t>Alemania</t>
        </is>
      </c>
      <c r="B306" t="inlineStr">
        <is>
          <t>Stuttgart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2026-03-03</t>
        </is>
      </c>
      <c r="F306" t="inlineStr">
        <is>
          <t>2026-03-10</t>
        </is>
      </c>
      <c r="G306" t="inlineStr">
        <is>
          <t xml:space="preserve"> - SURFER SUITE</t>
        </is>
      </c>
      <c r="H306">
        <f>HYPERLINK("https://booking.roadsurfer.com/es/rally/pick?pickup_date=2026-03-03&amp;return_date=2026-03-10&amp;currency=EUR&amp;startStation=5&amp;endStation=32", "Clic para verlo en la web de RoadSurfer")</f>
        <v/>
      </c>
    </row>
    <row r="307">
      <c r="A307" t="inlineStr">
        <is>
          <t>Alemania</t>
        </is>
      </c>
      <c r="B307" t="inlineStr">
        <is>
          <t>Stuttgart</t>
        </is>
      </c>
      <c r="C307" t="inlineStr">
        <is>
          <t>Francia</t>
        </is>
      </c>
      <c r="D307" t="inlineStr">
        <is>
          <t>Toulouse</t>
        </is>
      </c>
      <c r="E307" t="inlineStr">
        <is>
          <t>2026-03-06</t>
        </is>
      </c>
      <c r="F307" t="inlineStr">
        <is>
          <t>2026-03-13</t>
        </is>
      </c>
      <c r="G307" t="inlineStr">
        <is>
          <t xml:space="preserve"> - Travel Home</t>
        </is>
      </c>
      <c r="H307">
        <f>HYPERLINK("https://booking.roadsurfer.com/es/rally/pick?pickup_date=2026-03-06&amp;return_date=2026-03-13&amp;currency=EUR&amp;startStation=5&amp;endStation=30", "Clic para verlo en la web de RoadSurfer")</f>
        <v/>
      </c>
    </row>
    <row r="308">
      <c r="A308" t="inlineStr">
        <is>
          <t>Alemania</t>
        </is>
      </c>
      <c r="B308" t="inlineStr">
        <is>
          <t>Stuttgart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2026-03-03</t>
        </is>
      </c>
      <c r="F308" t="inlineStr">
        <is>
          <t>2026-03-10</t>
        </is>
      </c>
      <c r="G308" t="inlineStr">
        <is>
          <t xml:space="preserve"> - BEACH HOSTEL</t>
        </is>
      </c>
      <c r="H308">
        <f>HYPERLINK("https://booking.roadsurfer.com/es/rally/pick?pickup_date=2026-03-03&amp;return_date=2026-03-10&amp;currency=EUR&amp;startStation=5&amp;endStation=39", "Clic para verlo en la web de RoadSurfer")</f>
        <v/>
      </c>
    </row>
    <row r="309">
      <c r="A309" t="inlineStr">
        <is>
          <t>Alemania</t>
        </is>
      </c>
      <c r="B309" t="inlineStr">
        <is>
          <t>Stuttgart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Couple Cottage</t>
        </is>
      </c>
      <c r="H309">
        <f>HYPERLINK("https://booking.roadsurfer.com/es/rally/pick?pickup_date=2026-03-05&amp;return_date=2026-03-12&amp;currency=EUR&amp;startStation=5&amp;endStation=39", "Clic para verlo en la web de RoadSurfer")</f>
        <v/>
      </c>
    </row>
    <row r="310">
      <c r="A310" t="inlineStr">
        <is>
          <t>Alemania</t>
        </is>
      </c>
      <c r="B310" t="inlineStr">
        <is>
          <t>Stuttgart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2026-03-04</t>
        </is>
      </c>
      <c r="F310" t="inlineStr">
        <is>
          <t>2026-03-11</t>
        </is>
      </c>
      <c r="G310" t="inlineStr">
        <is>
          <t xml:space="preserve"> - Camper Castle</t>
        </is>
      </c>
      <c r="H310">
        <f>HYPERLINK("https://booking.roadsurfer.com/es/rally/pick?pickup_date=2026-03-04&amp;return_date=2026-03-11&amp;currency=EUR&amp;startStation=5&amp;endStation=33", "Clic para verlo en la web de RoadSurfer")</f>
        <v/>
      </c>
    </row>
    <row r="311">
      <c r="A311" t="inlineStr">
        <is>
          <t>Alemania</t>
        </is>
      </c>
      <c r="B311" t="inlineStr">
        <is>
          <t>Stuttgart</t>
        </is>
      </c>
      <c r="C311" t="inlineStr">
        <is>
          <t>Italia</t>
        </is>
      </c>
      <c r="D311" t="inlineStr">
        <is>
          <t>Turín</t>
        </is>
      </c>
      <c r="E311" t="inlineStr">
        <is>
          <t>2026-03-03</t>
        </is>
      </c>
      <c r="F311" t="inlineStr">
        <is>
          <t>2026-03-10</t>
        </is>
      </c>
      <c r="G311" t="inlineStr">
        <is>
          <t xml:space="preserve"> - Surfer Suite</t>
        </is>
      </c>
      <c r="H311">
        <f>HYPERLINK("https://booking.roadsurfer.com/es/rally/pick?pickup_date=2026-03-03&amp;return_date=2026-03-10&amp;currency=EUR&amp;startStation=5&amp;endStation=58", "Clic para verlo en la web de RoadSurfer")</f>
        <v/>
      </c>
    </row>
    <row r="312">
      <c r="A312" t="inlineStr">
        <is>
          <t>Alemania</t>
        </is>
      </c>
      <c r="B312" t="inlineStr">
        <is>
          <t>Stuttgart</t>
        </is>
      </c>
      <c r="C312" t="inlineStr">
        <is>
          <t>Italia</t>
        </is>
      </c>
      <c r="D312" t="inlineStr">
        <is>
          <t>Turín</t>
        </is>
      </c>
      <c r="E312" t="inlineStr">
        <is>
          <t>2026-03-05</t>
        </is>
      </c>
      <c r="F312" t="inlineStr">
        <is>
          <t>2026-03-12</t>
        </is>
      </c>
      <c r="G312" t="inlineStr">
        <is>
          <t xml:space="preserve"> - Road House</t>
        </is>
      </c>
      <c r="H312">
        <f>HYPERLINK("https://booking.roadsurfer.com/es/rally/pick?pickup_date=2026-03-05&amp;return_date=2026-03-12&amp;currency=EUR&amp;startStation=5&amp;endStation=58", "Clic para verlo en la web de RoadSurfer")</f>
        <v/>
      </c>
    </row>
    <row r="313">
      <c r="A313" t="inlineStr">
        <is>
          <t>Alemania</t>
        </is>
      </c>
      <c r="B313" t="inlineStr">
        <is>
          <t>Stuttgart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Camper Cabin</t>
        </is>
      </c>
      <c r="H313">
        <f>HYPERLINK("https://booking.roadsurfer.com/es/rally/pick?pickup_date=2026-03-05&amp;return_date=2026-03-12&amp;currency=EUR&amp;startStation=5&amp;endStation=29", "Clic para verlo en la web de RoadSurfer")</f>
        <v/>
      </c>
    </row>
    <row r="314">
      <c r="A314" t="inlineStr">
        <is>
          <t>Alemania</t>
        </is>
      </c>
      <c r="B314" t="inlineStr">
        <is>
          <t>Stuttgart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2026-04-01</t>
        </is>
      </c>
      <c r="F314" t="inlineStr">
        <is>
          <t>2026-04-08</t>
        </is>
      </c>
      <c r="G314" t="inlineStr">
        <is>
          <t xml:space="preserve"> - Beach Hostel</t>
        </is>
      </c>
      <c r="H314">
        <f>HYPERLINK("https://booking.roadsurfer.com/es/rally/pick?pickup_date=2026-04-01&amp;return_date=2026-04-08&amp;currency=EUR&amp;startStation=5&amp;endStation=20", "Clic para verlo en la web de RoadSurfer")</f>
        <v/>
      </c>
    </row>
    <row r="315">
      <c r="A315" t="inlineStr">
        <is>
          <t>Alemania</t>
        </is>
      </c>
      <c r="B315" t="inlineStr">
        <is>
          <t>Stuttgart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2026-03-04</t>
        </is>
      </c>
      <c r="F315" t="inlineStr">
        <is>
          <t>2026-03-11</t>
        </is>
      </c>
      <c r="G315" t="inlineStr">
        <is>
          <t xml:space="preserve"> - Surfer Suite</t>
        </is>
      </c>
      <c r="H315">
        <f>HYPERLINK("https://booking.roadsurfer.com/es/rally/pick?pickup_date=2026-03-04&amp;return_date=2026-03-11&amp;currency=EUR&amp;startStation=5&amp;endStation=45", "Clic para verlo en la web de RoadSurfer")</f>
        <v/>
      </c>
    </row>
    <row r="316">
      <c r="A316" t="inlineStr">
        <is>
          <t>Alemania</t>
        </is>
      </c>
      <c r="B316" t="inlineStr">
        <is>
          <t>Stuttgart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2026-03-06</t>
        </is>
      </c>
      <c r="F316" t="inlineStr">
        <is>
          <t>2026-03-13</t>
        </is>
      </c>
      <c r="G316" t="inlineStr">
        <is>
          <t xml:space="preserve"> - Family Finca</t>
        </is>
      </c>
      <c r="H316">
        <f>HYPERLINK("https://booking.roadsurfer.com/es/rally/pick?pickup_date=2026-03-06&amp;return_date=2026-03-13&amp;currency=EUR&amp;startStation=5&amp;endStation=13", "Clic para verlo en la web de RoadSurfer")</f>
        <v/>
      </c>
    </row>
    <row r="317">
      <c r="A317" t="inlineStr">
        <is>
          <t>Francia</t>
        </is>
      </c>
      <c r="B317" t="inlineStr">
        <is>
          <t>Toulouse</t>
        </is>
      </c>
      <c r="C317" t="inlineStr">
        <is>
          <t>Alemania</t>
        </is>
      </c>
      <c r="D317" t="inlineStr">
        <is>
          <t>Friburgo-Basilea (Alemania)</t>
        </is>
      </c>
      <c r="E317" t="inlineStr">
        <is>
          <t>2026-05-05</t>
        </is>
      </c>
      <c r="F317" t="inlineStr">
        <is>
          <t>2026-05-12</t>
        </is>
      </c>
      <c r="G317" t="inlineStr">
        <is>
          <t xml:space="preserve"> - Family Finca</t>
        </is>
      </c>
      <c r="H317">
        <f>HYPERLINK("https://booking.roadsurfer.com/es/rally/pick?pickup_date=2026-05-05&amp;return_date=2026-05-12&amp;currency=EUR&amp;startStation=30&amp;endStation=9", "Clic para verlo en la web de RoadSurfer")</f>
        <v/>
      </c>
    </row>
    <row r="318">
      <c r="A318" t="inlineStr">
        <is>
          <t>Francia</t>
        </is>
      </c>
      <c r="B318" t="inlineStr">
        <is>
          <t>Toulouse</t>
        </is>
      </c>
      <c r="C318" t="inlineStr">
        <is>
          <t>Alemania</t>
        </is>
      </c>
      <c r="D318" t="inlineStr">
        <is>
          <t>Friburgo-Basilea (Alemania)</t>
        </is>
      </c>
      <c r="E318" t="inlineStr">
        <is>
          <t>2026-04-13</t>
        </is>
      </c>
      <c r="F318" t="inlineStr">
        <is>
          <t>2026-04-20</t>
        </is>
      </c>
      <c r="G318" t="inlineStr">
        <is>
          <t xml:space="preserve"> - Family Finca</t>
        </is>
      </c>
      <c r="H318">
        <f>HYPERLINK("https://booking.roadsurfer.com/es/rally/pick?pickup_date=2026-04-13&amp;return_date=2026-04-20&amp;currency=EUR&amp;startStation=30&amp;endStation=9", "Clic para verlo en la web de RoadSurfer")</f>
        <v/>
      </c>
    </row>
    <row r="319">
      <c r="A319" t="inlineStr">
        <is>
          <t>Francia</t>
        </is>
      </c>
      <c r="B319" t="inlineStr">
        <is>
          <t>Toulouse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Camper Castle</t>
        </is>
      </c>
      <c r="H319">
        <f>HYPERLINK("https://booking.roadsurfer.com/es/rally/pick?pickup_date=2026-04-13&amp;return_date=2026-04-20&amp;currency=EUR&amp;startStation=30&amp;endStation=90", "Clic para verlo en la web de RoadSurfer")</f>
        <v/>
      </c>
    </row>
    <row r="320">
      <c r="A320" t="inlineStr">
        <is>
          <t>Francia</t>
        </is>
      </c>
      <c r="B320" t="inlineStr">
        <is>
          <t>Toulouse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Road House</t>
        </is>
      </c>
      <c r="H320">
        <f>HYPERLINK("https://booking.roadsurfer.com/es/rally/pick?pickup_date=2026-04-14&amp;return_date=2026-04-21&amp;currency=EUR&amp;startStation=30&amp;endStation=90", "Clic para verlo en la web de RoadSurfer")</f>
        <v/>
      </c>
    </row>
    <row r="321">
      <c r="A321" t="inlineStr">
        <is>
          <t>Alemania</t>
        </is>
      </c>
      <c r="B321" t="inlineStr">
        <is>
          <t>Tréveris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2026-03-03</t>
        </is>
      </c>
      <c r="F321" t="inlineStr">
        <is>
          <t>2026-03-10</t>
        </is>
      </c>
      <c r="G321" t="inlineStr">
        <is>
          <t xml:space="preserve"> - Road House</t>
        </is>
      </c>
      <c r="H321">
        <f>HYPERLINK("https://booking.roadsurfer.com/es/rally/pick?pickup_date=2026-03-03&amp;return_date=2026-03-10&amp;currency=EUR&amp;startStation=28&amp;endStation=33", "Clic para verlo en la web de RoadSurfer")</f>
        <v/>
      </c>
    </row>
    <row r="322">
      <c r="A322" t="inlineStr">
        <is>
          <t>Alemania</t>
        </is>
      </c>
      <c r="B322" t="inlineStr">
        <is>
          <t>Tréveris</t>
        </is>
      </c>
      <c r="C322" t="inlineStr">
        <is>
          <t>Alemania</t>
        </is>
      </c>
      <c r="D322" t="inlineStr">
        <is>
          <t>Hamburgo Aeropuerto</t>
        </is>
      </c>
      <c r="E322" t="inlineStr">
        <is>
          <t>2026-03-06</t>
        </is>
      </c>
      <c r="F322" t="inlineStr">
        <is>
          <t>2026-03-13</t>
        </is>
      </c>
      <c r="G322" t="inlineStr">
        <is>
          <t xml:space="preserve"> - Family Finca</t>
        </is>
      </c>
      <c r="H322">
        <f>HYPERLINK("https://booking.roadsurfer.com/es/rally/pick?pickup_date=2026-03-06&amp;return_date=2026-03-13&amp;currency=EUR&amp;startStation=28&amp;endStation=65", "Clic para verlo en la web de RoadSurfer")</f>
        <v/>
      </c>
    </row>
    <row r="323">
      <c r="A323" t="inlineStr">
        <is>
          <t>Italia</t>
        </is>
      </c>
      <c r="B323" t="inlineStr">
        <is>
          <t>Turín</t>
        </is>
      </c>
      <c r="C323" t="inlineStr">
        <is>
          <t>Alemania</t>
        </is>
      </c>
      <c r="D323" t="inlineStr">
        <is>
          <t>Núremberg</t>
        </is>
      </c>
      <c r="E323" t="inlineStr">
        <is>
          <t>2026-04-16</t>
        </is>
      </c>
      <c r="F323" t="inlineStr">
        <is>
          <t>2026-04-23</t>
        </is>
      </c>
      <c r="G323" t="inlineStr">
        <is>
          <t xml:space="preserve"> - Road House</t>
        </is>
      </c>
      <c r="H323">
        <f>HYPERLINK("https://booking.roadsurfer.com/es/rally/pick?pickup_date=2026-04-16&amp;return_date=2026-04-23&amp;currency=EUR&amp;startStation=58&amp;endStation=11", "Clic para verlo en la web de RoadSurfer")</f>
        <v/>
      </c>
    </row>
    <row r="324">
      <c r="A324" t="inlineStr">
        <is>
          <t>Italia</t>
        </is>
      </c>
      <c r="B324" t="inlineStr">
        <is>
          <t>Turín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Family Finca</t>
        </is>
      </c>
      <c r="H324">
        <f>HYPERLINK("https://booking.roadsurfer.com/es/rally/pick?pickup_date=2026-04-20&amp;return_date=2026-04-27&amp;currency=EUR&amp;startStation=58&amp;endStation=56", "Clic para verlo en la web de RoadSurfer")</f>
        <v/>
      </c>
    </row>
    <row r="325">
      <c r="A325" t="inlineStr">
        <is>
          <t>Alemania</t>
        </is>
      </c>
      <c r="B325" t="inlineStr">
        <is>
          <t>Ulm</t>
        </is>
      </c>
      <c r="C325" t="inlineStr">
        <is>
          <t>España</t>
        </is>
      </c>
      <c r="D325" t="inlineStr">
        <is>
          <t>Sevilla</t>
        </is>
      </c>
      <c r="E325" t="inlineStr">
        <is>
          <t>2026-03-05</t>
        </is>
      </c>
      <c r="F325" t="inlineStr">
        <is>
          <t>2026-03-12</t>
        </is>
      </c>
      <c r="G325" t="inlineStr">
        <is>
          <t xml:space="preserve"> - Road House</t>
        </is>
      </c>
      <c r="H325">
        <f>HYPERLINK("https://booking.roadsurfer.com/es/rally/pick?pickup_date=2026-03-05&amp;return_date=2026-03-12&amp;currency=EUR&amp;startStation=112&amp;endStation=39", "Clic para verlo en la web de RoadSurfer")</f>
        <v/>
      </c>
    </row>
    <row r="326">
      <c r="A326" t="inlineStr">
        <is>
          <t>España</t>
        </is>
      </c>
      <c r="B326" t="inlineStr">
        <is>
          <t>Valencia</t>
        </is>
      </c>
      <c r="C326" t="inlineStr">
        <is>
          <t>Alemania</t>
        </is>
      </c>
      <c r="D326" t="inlineStr">
        <is>
          <t>Maguncia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TRAVEL HOME</t>
        </is>
      </c>
      <c r="H326">
        <f>HYPERLINK("https://booking.roadsurfer.com/es/rally/pick?pickup_date=2026-03-09&amp;return_date=2026-03-16&amp;currency=EUR&amp;startStation=38&amp;endStation=54", "Clic para verlo en la web de RoadSurfer")</f>
        <v/>
      </c>
    </row>
    <row r="327">
      <c r="A327" t="inlineStr">
        <is>
          <t>España</t>
        </is>
      </c>
      <c r="B327" t="inlineStr">
        <is>
          <t>Valencia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2026-04-15</t>
        </is>
      </c>
      <c r="F327" t="inlineStr">
        <is>
          <t>2026-04-22</t>
        </is>
      </c>
      <c r="G327" t="inlineStr">
        <is>
          <t xml:space="preserve"> - Family Finca</t>
        </is>
      </c>
      <c r="H327">
        <f>HYPERLINK("https://booking.roadsurfer.com/es/rally/pick?pickup_date=2026-04-15&amp;return_date=2026-04-22&amp;currency=EUR&amp;startStation=38&amp;endStation=8", "Clic para verlo en la web de RoadSurfer")</f>
        <v/>
      </c>
    </row>
    <row r="328">
      <c r="A328" t="inlineStr">
        <is>
          <t>España</t>
        </is>
      </c>
      <c r="B328" t="inlineStr">
        <is>
          <t>Valencia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2026-03-23</t>
        </is>
      </c>
      <c r="F328" t="inlineStr">
        <is>
          <t>2026-03-30</t>
        </is>
      </c>
      <c r="G328" t="inlineStr">
        <is>
          <t xml:space="preserve"> - Couple Cottage</t>
        </is>
      </c>
      <c r="H328">
        <f>HYPERLINK("https://booking.roadsurfer.com/es/rally/pick?pickup_date=2026-03-23&amp;return_date=2026-03-30&amp;currency=EUR&amp;startStation=38&amp;endStation=110", "Clic para verlo en la web de RoadSurfer")</f>
        <v/>
      </c>
    </row>
    <row r="329">
      <c r="A329" t="inlineStr">
        <is>
          <t>España</t>
        </is>
      </c>
      <c r="B329" t="inlineStr">
        <is>
          <t>Valencia</t>
        </is>
      </c>
      <c r="C329" t="inlineStr">
        <is>
          <t>Alemania</t>
        </is>
      </c>
      <c r="D329" t="inlineStr">
        <is>
          <t>Núremberg</t>
        </is>
      </c>
      <c r="E329" t="inlineStr">
        <is>
          <t>2026-03-09</t>
        </is>
      </c>
      <c r="F329" t="inlineStr">
        <is>
          <t>2026-03-16</t>
        </is>
      </c>
      <c r="G329" t="inlineStr">
        <is>
          <t xml:space="preserve"> - Road House</t>
        </is>
      </c>
      <c r="H329">
        <f>HYPERLINK("https://booking.roadsurfer.com/es/rally/pick?pickup_date=2026-03-09&amp;return_date=2026-03-16&amp;currency=EUR&amp;startStation=38&amp;endStation=11",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2026-03-09</t>
        </is>
      </c>
      <c r="F330" t="inlineStr">
        <is>
          <t>2026-03-16</t>
        </is>
      </c>
      <c r="G330" t="inlineStr">
        <is>
          <t xml:space="preserve"> - Family Finca</t>
        </is>
      </c>
      <c r="H330">
        <f>HYPERLINK("https://booking.roadsurfer.com/es/rally/pick?pickup_date=2026-03-09&amp;return_date=2026-03-16&amp;currency=EUR&amp;startStation=78&amp;endStation=1",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Family Finca</t>
        </is>
      </c>
      <c r="H331">
        <f>HYPERLINK("https://booking.roadsurfer.com/es/rally/pick?pickup_date=2026-04-14&amp;return_date=2026-04-21&amp;currency=EUR&amp;startStation=78&amp;endStation=8",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2026-04-15</t>
        </is>
      </c>
      <c r="F332" t="inlineStr">
        <is>
          <t>2026-04-22</t>
        </is>
      </c>
      <c r="G332" t="inlineStr">
        <is>
          <t xml:space="preserve"> - Family Finca</t>
        </is>
      </c>
      <c r="H332">
        <f>HYPERLINK("https://booking.roadsurfer.com/es/rally/pick?pickup_date=2026-04-15&amp;return_date=2026-04-22&amp;currency=EUR&amp;startStation=78&amp;endStation=8",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Austria</t>
        </is>
      </c>
      <c r="D333" t="inlineStr">
        <is>
          <t>Linz</t>
        </is>
      </c>
      <c r="E333" t="inlineStr">
        <is>
          <t>2026-03-09</t>
        </is>
      </c>
      <c r="F333" t="inlineStr">
        <is>
          <t>2026-03-16</t>
        </is>
      </c>
      <c r="G333" t="inlineStr">
        <is>
          <t xml:space="preserve"> - BEACH HOSTEL</t>
        </is>
      </c>
      <c r="H333">
        <f>HYPERLINK("https://booking.roadsurfer.com/es/rally/pick?pickup_date=2026-03-09&amp;return_date=2026-03-16&amp;currency=EUR&amp;startStation=78&amp;endStation=116",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Stuttgart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Road House</t>
        </is>
      </c>
      <c r="H334">
        <f>HYPERLINK("https://booking.roadsurfer.com/es/rally/pick?pickup_date=2026-05-11&amp;return_date=2026-05-18&amp;currency=EUR&amp;startStation=78&amp;endStation=5",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Road House</t>
        </is>
      </c>
      <c r="H335">
        <f>HYPERLINK("https://booking.roadsurfer.com/es/rally/pick?pickup_date=2026-04-14&amp;return_date=2026-04-21&amp;currency=EUR&amp;startStation=78&amp;endStation=5", "Clic para verlo en la web de RoadSurfer")</f>
        <v/>
      </c>
    </row>
    <row r="336">
      <c r="A336" t="inlineStr">
        <is>
          <t>Italia</t>
        </is>
      </c>
      <c r="B336" t="inlineStr">
        <is>
          <t>Venecia</t>
        </is>
      </c>
      <c r="C336" t="inlineStr">
        <is>
          <t>Alemania</t>
        </is>
      </c>
      <c r="D336" t="inlineStr">
        <is>
          <t>Duisburgo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Surfer Suite</t>
        </is>
      </c>
      <c r="H336">
        <f>HYPERLINK("https://booking.roadsurfer.com/es/rally/pick?pickup_date=2026-04-13&amp;return_date=2026-04-20&amp;currency=EUR&amp;startStation=78&amp;endStation=113", "Clic para verlo en la web de RoadSurfer")</f>
        <v/>
      </c>
    </row>
    <row r="337">
      <c r="A337" t="inlineStr">
        <is>
          <t>Italia</t>
        </is>
      </c>
      <c r="B337" t="inlineStr">
        <is>
          <t>Venecia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2026-03-03</t>
        </is>
      </c>
      <c r="F337" t="inlineStr">
        <is>
          <t>2026-03-10</t>
        </is>
      </c>
      <c r="G337" t="inlineStr">
        <is>
          <t xml:space="preserve"> - FAMILY FINCA</t>
        </is>
      </c>
      <c r="H337">
        <f>HYPERLINK("https://booking.roadsurfer.com/es/rally/pick?pickup_date=2026-03-03&amp;return_date=2026-03-10&amp;currency=EUR&amp;startStation=78&amp;endStation=22", "Clic para verlo en la web de RoadSurfer")</f>
        <v/>
      </c>
    </row>
    <row r="338">
      <c r="A338" t="inlineStr">
        <is>
          <t>Italia</t>
        </is>
      </c>
      <c r="B338" t="inlineStr">
        <is>
          <t>Venecia</t>
        </is>
      </c>
      <c r="C338" t="inlineStr">
        <is>
          <t>Alemania</t>
        </is>
      </c>
      <c r="D338" t="inlineStr">
        <is>
          <t>Friburgo-Basilea (Alemania)</t>
        </is>
      </c>
      <c r="E338" t="inlineStr">
        <is>
          <t>2026-03-07</t>
        </is>
      </c>
      <c r="F338" t="inlineStr">
        <is>
          <t>2026-03-14</t>
        </is>
      </c>
      <c r="G338" t="inlineStr">
        <is>
          <t xml:space="preserve"> - Camper Castle</t>
        </is>
      </c>
      <c r="H338">
        <f>HYPERLINK("https://booking.roadsurfer.com/es/rally/pick?pickup_date=2026-03-07&amp;return_date=2026-03-14&amp;currency=EUR&amp;startStation=78&amp;endStation=9", "Clic para verlo en la web de RoadSurfer")</f>
        <v/>
      </c>
    </row>
    <row r="339">
      <c r="A339" t="inlineStr">
        <is>
          <t>Austria</t>
        </is>
      </c>
      <c r="B339" t="inlineStr">
        <is>
          <t>Viena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2026-03-05</t>
        </is>
      </c>
      <c r="F339" t="inlineStr">
        <is>
          <t>2026-03-12</t>
        </is>
      </c>
      <c r="G339" t="inlineStr">
        <is>
          <t xml:space="preserve"> - Surfer Suite</t>
        </is>
      </c>
      <c r="H339">
        <f>HYPERLINK("https://booking.roadsurfer.com/es/rally/pick?pickup_date=2026-03-05&amp;return_date=2026-03-12&amp;currency=EUR&amp;startStation=36&amp;endStation=22", "Clic para verlo en la web de RoadSurfer")</f>
        <v/>
      </c>
    </row>
    <row r="340">
      <c r="A340" t="inlineStr">
        <is>
          <t>Austria</t>
        </is>
      </c>
      <c r="B340" t="inlineStr">
        <is>
          <t>Viena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Cozy Cottage</t>
        </is>
      </c>
      <c r="H340">
        <f>HYPERLINK("https://booking.roadsurfer.com/es/rally/pick?pickup_date=2026-04-14&amp;return_date=2026-04-21&amp;currency=EUR&amp;startStation=36&amp;endStation=8", "Clic para verlo en la web de RoadSurfer")</f>
        <v/>
      </c>
    </row>
    <row r="341">
      <c r="A341" t="inlineStr">
        <is>
          <t>Austria</t>
        </is>
      </c>
      <c r="B341" t="inlineStr">
        <is>
          <t>Viena</t>
        </is>
      </c>
      <c r="C341" t="inlineStr">
        <is>
          <t>Alemania</t>
        </is>
      </c>
      <c r="D341" t="inlineStr">
        <is>
          <t>Berlín</t>
        </is>
      </c>
      <c r="E341" t="inlineStr">
        <is>
          <t>2026-03-07</t>
        </is>
      </c>
      <c r="F341" t="inlineStr">
        <is>
          <t>2026-03-14</t>
        </is>
      </c>
      <c r="G341" t="inlineStr">
        <is>
          <t xml:space="preserve"> - Couple Cottage</t>
        </is>
      </c>
      <c r="H341">
        <f>HYPERLINK("https://booking.roadsurfer.com/es/rally/pick?pickup_date=2026-03-07&amp;return_date=2026-03-14&amp;currency=EUR&amp;startStation=36&amp;endStation=6", "Clic para verlo en la web de RoadSurfer")</f>
        <v/>
      </c>
    </row>
    <row r="342">
      <c r="A342" t="inlineStr">
        <is>
          <t>Austria</t>
        </is>
      </c>
      <c r="B342" t="inlineStr">
        <is>
          <t>Viena Sur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2026-03-09</t>
        </is>
      </c>
      <c r="F342" t="inlineStr">
        <is>
          <t>2026-03-16</t>
        </is>
      </c>
      <c r="G342" t="inlineStr">
        <is>
          <t xml:space="preserve"> - Travel Home</t>
        </is>
      </c>
      <c r="H342">
        <f>HYPERLINK("https://booking.roadsurfer.com/es/rally/pick?pickup_date=2026-03-09&amp;return_date=2026-03-16&amp;currency=EUR&amp;startStation=45&amp;endStation=8", "Clic para verlo en la web de RoadSurfer")</f>
        <v/>
      </c>
    </row>
    <row r="343">
      <c r="A343" t="inlineStr">
        <is>
          <t>Austria</t>
        </is>
      </c>
      <c r="B343" t="inlineStr">
        <is>
          <t>Viena Sur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Family Finca</t>
        </is>
      </c>
      <c r="H343">
        <f>HYPERLINK("https://booking.roadsurfer.com/es/rally/pick?pickup_date=2026-04-13&amp;return_date=2026-04-20&amp;currency=EUR&amp;startStation=45&amp;endStation=8", "Clic para verlo en la web de RoadSurfer")</f>
        <v/>
      </c>
    </row>
    <row r="344">
      <c r="A344" t="inlineStr">
        <is>
          <t>Austria</t>
        </is>
      </c>
      <c r="B344" t="inlineStr">
        <is>
          <t>Viena Sur</t>
        </is>
      </c>
      <c r="C344" t="inlineStr">
        <is>
          <t>Alemania</t>
        </is>
      </c>
      <c r="D344" t="inlineStr">
        <is>
          <t>Leipzig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Family Finca</t>
        </is>
      </c>
      <c r="H344">
        <f>HYPERLINK("https://booking.roadsurfer.com/es/rally/pick?pickup_date=2026-04-14&amp;return_date=2026-04-21&amp;currency=EUR&amp;startStation=45&amp;endStation=8", "Clic para verlo en la web de RoadSurfer")</f>
        <v/>
      </c>
    </row>
    <row r="345">
      <c r="A345" t="inlineStr">
        <is>
          <t>Austria</t>
        </is>
      </c>
      <c r="B345" t="inlineStr">
        <is>
          <t>Viena Sur</t>
        </is>
      </c>
      <c r="C345" t="inlineStr">
        <is>
          <t>Alemania</t>
        </is>
      </c>
      <c r="D345" t="inlineStr">
        <is>
          <t>Constanza (Aach)</t>
        </is>
      </c>
      <c r="E345" t="inlineStr">
        <is>
          <t>2026-03-09</t>
        </is>
      </c>
      <c r="F345" t="inlineStr">
        <is>
          <t>2026-03-16</t>
        </is>
      </c>
      <c r="G345" t="inlineStr">
        <is>
          <t xml:space="preserve"> - Travel Home</t>
        </is>
      </c>
      <c r="H345">
        <f>HYPERLINK("https://booking.roadsurfer.com/es/rally/pick?pickup_date=2026-03-09&amp;return_date=2026-03-16&amp;currency=EUR&amp;startStation=45&amp;endStation=10", "Clic para verlo en la web de RoadSurfer")</f>
        <v/>
      </c>
    </row>
    <row r="346">
      <c r="A346" t="inlineStr">
        <is>
          <t>Austria</t>
        </is>
      </c>
      <c r="B346" t="inlineStr">
        <is>
          <t>Viena Sur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2026-03-05</t>
        </is>
      </c>
      <c r="F346" t="inlineStr">
        <is>
          <t>2026-03-12</t>
        </is>
      </c>
      <c r="G346" t="inlineStr">
        <is>
          <t xml:space="preserve"> - Surfer Suite - Road House</t>
        </is>
      </c>
      <c r="H346">
        <f>HYPERLINK("https://booking.roadsurfer.com/es/rally/pick?pickup_date=2026-03-05&amp;return_date=2026-03-12&amp;currency=EUR&amp;startStation=45&amp;endStation=22", "Clic para verlo en la web de RoadSurfer")</f>
        <v/>
      </c>
    </row>
    <row r="347">
      <c r="A347" t="inlineStr">
        <is>
          <t>Austria</t>
        </is>
      </c>
      <c r="B347" t="inlineStr">
        <is>
          <t>Viena Sur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Family Finca</t>
        </is>
      </c>
      <c r="H347">
        <f>HYPERLINK("https://booking.roadsurfer.com/es/rally/pick?pickup_date=2026-04-14&amp;return_date=2026-04-21&amp;currency=EUR&amp;startStation=45&amp;endStation=56", "Clic para verlo en la web de RoadSurfer")</f>
        <v/>
      </c>
    </row>
    <row r="348">
      <c r="A348" t="inlineStr">
        <is>
          <t>Austria</t>
        </is>
      </c>
      <c r="B348" t="inlineStr">
        <is>
          <t>Viena Sur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Family Finca</t>
        </is>
      </c>
      <c r="H348">
        <f>HYPERLINK("https://booking.roadsurfer.com/es/rally/pick?pickup_date=2026-04-13&amp;return_date=2026-04-20&amp;currency=EUR&amp;startStation=45&amp;endStation=90", "Clic para verlo en la web de RoadSurfer")</f>
        <v/>
      </c>
    </row>
    <row r="349">
      <c r="A349" t="inlineStr">
        <is>
          <t>Austria</t>
        </is>
      </c>
      <c r="B349" t="inlineStr">
        <is>
          <t>Viena Sur</t>
        </is>
      </c>
      <c r="C349" t="inlineStr">
        <is>
          <t>Alemania</t>
        </is>
      </c>
      <c r="D349" t="inlineStr">
        <is>
          <t>Núremberg</t>
        </is>
      </c>
      <c r="E349" t="inlineStr">
        <is>
          <t>2026-03-09</t>
        </is>
      </c>
      <c r="F349" t="inlineStr">
        <is>
          <t>2026-03-16</t>
        </is>
      </c>
      <c r="G349" t="inlineStr">
        <is>
          <t xml:space="preserve"> - Couple Cottage</t>
        </is>
      </c>
      <c r="H349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2026-02-27T14:47:11Z</dcterms:created>
  <dcterms:modified xsi:type="dcterms:W3CDTF">2026-02-27T14:47:11Z</dcterms:modified>
</cp:coreProperties>
</file>