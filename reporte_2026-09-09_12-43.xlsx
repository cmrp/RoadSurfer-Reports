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Aix-Marsella</t>
        </is>
      </c>
      <c r="E4" t="inlineStr">
        <is>
          <t>2026-09-11</t>
        </is>
      </c>
      <c r="F4" t="inlineStr">
        <is>
          <t>2026-09-18</t>
        </is>
      </c>
      <c r="G4" t="inlineStr">
        <is>
          <t xml:space="preserve"> - Road House</t>
        </is>
      </c>
      <c r="H4">
        <f>HYPERLINK("https://booking.roadsurfer.com/es/rally/pick?pickup_date=2026-09-11&amp;return_date=2026-09-18&amp;currency=EUR&amp;startStation=16&amp;endStation=16",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2026-10-17</t>
        </is>
      </c>
      <c r="F5" t="inlineStr">
        <is>
          <t>2026-10-24</t>
        </is>
      </c>
      <c r="G5" t="inlineStr">
        <is>
          <t xml:space="preserve"> - Family Finca</t>
        </is>
      </c>
      <c r="H5">
        <f>HYPERLINK("https://booking.roadsurfer.com/es/rally/pick?pickup_date=2026-10-17&amp;return_date=2026-10-24&amp;currency=EUR&amp;startStation=16&amp;endStation=55",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2026-10-24</t>
        </is>
      </c>
      <c r="F6" t="inlineStr">
        <is>
          <t>2026-10-31</t>
        </is>
      </c>
      <c r="G6" t="inlineStr">
        <is>
          <t xml:space="preserve"> - Surfer Suite - SURFER SUITE - Camper Cabin - Road House</t>
        </is>
      </c>
      <c r="H6">
        <f>HYPERLINK("https://booking.roadsurfer.com/es/rally/pick?pickup_date=2026-10-24&amp;return_date=2026-10-31&amp;currency=EUR&amp;startStation=32&amp;endStation=2",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2026-10-26</t>
        </is>
      </c>
      <c r="F7" t="inlineStr">
        <is>
          <t>2026-11-02</t>
        </is>
      </c>
      <c r="G7" t="inlineStr">
        <is>
          <t xml:space="preserve"> - Surfer Suite</t>
        </is>
      </c>
      <c r="H7">
        <f>HYPERLINK("https://booking.roadsurfer.com/es/rally/pick?pickup_date=2026-10-26&amp;return_date=2026-11-02&amp;currency=EUR&amp;startStation=32&amp;endStation=2",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Surfer Suite</t>
        </is>
      </c>
      <c r="H9">
        <f>HYPERLINK("https://booking.roadsurfer.com/es/rally/pick?pickup_date=2026-10-05&amp;return_date=2026-10-12&amp;currency=EUR&amp;startStation=32&amp;endStation=2",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Camper Cabin Deluxe</t>
        </is>
      </c>
      <c r="H10">
        <f>HYPERLINK("https://booking.roadsurfer.com/es/rally/pick?pickup_date=2026-10-23&amp;return_date=2026-10-30&amp;currency=EUR&amp;startStation=32&amp;endStation=2",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2026-10-22</t>
        </is>
      </c>
      <c r="F11" t="inlineStr">
        <is>
          <t>2026-10-29</t>
        </is>
      </c>
      <c r="G11" t="inlineStr">
        <is>
          <t xml:space="preserve"> - Surfer Suite</t>
        </is>
      </c>
      <c r="H11">
        <f>HYPERLINK("https://booking.roadsurfer.com/es/rally/pick?pickup_date=2026-10-22&amp;return_date=2026-10-29&amp;currency=EUR&amp;startStation=32&amp;endStation=2",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Camper Cabin Deluxe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Surfer Suite</t>
        </is>
      </c>
      <c r="H13">
        <f>HYPERLINK("https://booking.roadsurfer.com/es/rally/pick?pickup_date=2026-10-02&amp;return_date=2026-10-09&amp;currency=EUR&amp;startStation=32&amp;endStation=2",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</t>
        </is>
      </c>
      <c r="H14">
        <f>HYPERLINK("https://booking.roadsurfer.com/es/rally/pick?pickup_date=2026-10-29&amp;return_date=2026-11-05&amp;currency=EUR&amp;startStation=32&amp;endStation=113",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2026-10-20</t>
        </is>
      </c>
      <c r="F15" t="inlineStr">
        <is>
          <t>2026-10-27</t>
        </is>
      </c>
      <c r="G15" t="inlineStr">
        <is>
          <t xml:space="preserve"> - Surfer Suite</t>
        </is>
      </c>
      <c r="H15">
        <f>HYPERLINK("https://booking.roadsurfer.com/es/rally/pick?pickup_date=2026-10-20&amp;return_date=2026-10-27&amp;currency=EUR&amp;startStation=32&amp;endStation=55",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Surfer Suite</t>
        </is>
      </c>
      <c r="H16">
        <f>HYPERLINK("https://booking.roadsurfer.com/es/rally/pick?pickup_date=2026-10-13&amp;return_date=2026-10-20&amp;currency=EUR&amp;startStation=32&amp;endStation=90",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Surfer Suite</t>
        </is>
      </c>
      <c r="H17">
        <f>HYPERLINK("https://booking.roadsurfer.com/es/rally/pick?pickup_date=2026-10-28&amp;return_date=2026-11-04&amp;currency=EUR&amp;startStation=47&amp;endStation=55",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2026-10-12</t>
        </is>
      </c>
      <c r="F18" t="inlineStr">
        <is>
          <t>2026-10-19</t>
        </is>
      </c>
      <c r="G18" t="inlineStr">
        <is>
          <t xml:space="preserve"> - Couple Cottage</t>
        </is>
      </c>
      <c r="H18">
        <f>HYPERLINK("https://booking.roadsurfer.com/es/rally/pick?pickup_date=2026-10-12&amp;return_date=2026-10-19&amp;currency=EUR&amp;startStation=47&amp;endStation=22",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2026-10-29</t>
        </is>
      </c>
      <c r="F19" t="inlineStr">
        <is>
          <t>2026-11-05</t>
        </is>
      </c>
      <c r="G19" t="inlineStr">
        <is>
          <t xml:space="preserve"> - Surfer Suite - Sunrise Suite</t>
        </is>
      </c>
      <c r="H19">
        <f>HYPERLINK("https://booking.roadsurfer.com/es/rally/pick?pickup_date=2026-10-29&amp;return_date=2026-11-05&amp;currency=EUR&amp;startStation=47&amp;endStation=22",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2026-10-13</t>
        </is>
      </c>
      <c r="F20" t="inlineStr">
        <is>
          <t>2026-10-20</t>
        </is>
      </c>
      <c r="G20" t="inlineStr">
        <is>
          <t xml:space="preserve"> - Camper Cabin</t>
        </is>
      </c>
      <c r="H20">
        <f>HYPERLINK("https://booking.roadsurfer.com/es/rally/pick?pickup_date=2026-10-13&amp;return_date=2026-10-20&amp;currency=EUR&amp;startStation=47&amp;endStation=22",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Berlín-Schönefeld</t>
        </is>
      </c>
      <c r="E21" t="inlineStr">
        <is>
          <t>2026-10-31</t>
        </is>
      </c>
      <c r="F21" t="inlineStr">
        <is>
          <t>2026-11-07</t>
        </is>
      </c>
      <c r="G21" t="inlineStr">
        <is>
          <t xml:space="preserve"> - Beach Hostel</t>
        </is>
      </c>
      <c r="H21">
        <f>HYPERLINK("https://booking.roadsurfer.com/es/rally/pick?pickup_date=2026-10-31&amp;return_date=2026-11-07&amp;currency=EUR&amp;startStation=47&amp;endStation=51",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Bérgamo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HYPERLINK("https://booking.roadsurfer.com/es/rally/pick?pickup_date=2026-10-26&amp;return_date=2026-11-02&amp;currency=EUR&amp;startStation=108&amp;endStation=94",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Ginebra-Pays de Gex (Francia)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HYPERLINK("https://booking.roadsurfer.com/es/rally/pick?pickup_date=2026-09-11&amp;return_date=2026-09-18&amp;currency=EUR&amp;startStation=108&amp;endStation=29",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2026-10-26</t>
        </is>
      </c>
      <c r="F24" t="inlineStr">
        <is>
          <t>2026-11-02</t>
        </is>
      </c>
      <c r="G24" t="inlineStr">
        <is>
          <t xml:space="preserve"> - Surfer Suite</t>
        </is>
      </c>
      <c r="H24">
        <f>HYPERLINK("https://booking.roadsurfer.com/es/rally/pick?pickup_date=2026-10-26&amp;return_date=2026-11-02&amp;currency=EUR&amp;startStation=17&amp;endStation=1",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2026-10-28</t>
        </is>
      </c>
      <c r="F25" t="inlineStr">
        <is>
          <t>2026-11-04</t>
        </is>
      </c>
      <c r="G25" t="inlineStr">
        <is>
          <t xml:space="preserve"> - Travel Home - Camper Cabin Deluxe</t>
        </is>
      </c>
      <c r="H25">
        <f>HYPERLINK("https://booking.roadsurfer.com/es/rally/pick?pickup_date=2026-10-28&amp;return_date=2026-11-04&amp;currency=EUR&amp;startStation=17&amp;endStation=9",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2026-10-27</t>
        </is>
      </c>
      <c r="F26" t="inlineStr">
        <is>
          <t>2026-11-03</t>
        </is>
      </c>
      <c r="G26" t="inlineStr">
        <is>
          <t xml:space="preserve"> - Surfer Suite - CAMPER CABIN</t>
        </is>
      </c>
      <c r="H26">
        <f>HYPERLINK("https://booking.roadsurfer.com/es/rally/pick?pickup_date=2026-10-27&amp;return_date=2026-11-03&amp;currency=EUR&amp;startStation=17&amp;endStation=9",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2026-10-29</t>
        </is>
      </c>
      <c r="F27" t="inlineStr">
        <is>
          <t>2026-11-05</t>
        </is>
      </c>
      <c r="G27" t="inlineStr">
        <is>
          <t xml:space="preserve"> - Sunrise Suite</t>
        </is>
      </c>
      <c r="H27">
        <f>HYPERLINK("https://booking.roadsurfer.com/es/rally/pick?pickup_date=2026-10-29&amp;return_date=2026-11-05&amp;currency=EUR&amp;startStation=17&amp;endStation=9",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2026-10-30</t>
        </is>
      </c>
      <c r="F28" t="inlineStr">
        <is>
          <t>2026-11-06</t>
        </is>
      </c>
      <c r="G28" t="inlineStr">
        <is>
          <t xml:space="preserve"> - Beach Hostel</t>
        </is>
      </c>
      <c r="H28">
        <f>HYPERLINK("https://booking.roadsurfer.com/es/rally/pick?pickup_date=2026-10-30&amp;return_date=2026-11-06&amp;currency=EUR&amp;startStation=17&amp;endStation=9",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2026-10-16</t>
        </is>
      </c>
      <c r="F29" t="inlineStr">
        <is>
          <t>2026-10-23</t>
        </is>
      </c>
      <c r="G29" t="inlineStr">
        <is>
          <t xml:space="preserve"> - Surfer Suite</t>
        </is>
      </c>
      <c r="H29">
        <f>HYPERLINK("https://booking.roadsurfer.com/es/rally/pick?pickup_date=2026-10-16&amp;return_date=2026-10-23&amp;currency=EUR&amp;startStation=17&amp;endStation=8",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2026-10-24</t>
        </is>
      </c>
      <c r="F30" t="inlineStr">
        <is>
          <t>2026-10-31</t>
        </is>
      </c>
      <c r="G30" t="inlineStr">
        <is>
          <t xml:space="preserve"> - No hay coche</t>
        </is>
      </c>
      <c r="H30">
        <f>HYPERLINK("https://booking.roadsurfer.com/es/rally/pick?pickup_date=2026-10-24&amp;return_date=2026-10-31&amp;currency=EUR&amp;startStation=17&amp;endStation=56",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2026-10-23</t>
        </is>
      </c>
      <c r="F31" t="inlineStr">
        <is>
          <t>2026-10-30</t>
        </is>
      </c>
      <c r="G31" t="inlineStr">
        <is>
          <t xml:space="preserve"> - Beach Hostel</t>
        </is>
      </c>
      <c r="H31">
        <f>HYPERLINK("https://booking.roadsurfer.com/es/rally/pick?pickup_date=2026-10-23&amp;return_date=2026-10-30&amp;currency=EUR&amp;startStation=17&amp;endStation=90",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2026-09-22</t>
        </is>
      </c>
      <c r="F32" t="inlineStr">
        <is>
          <t>2026-09-29</t>
        </is>
      </c>
      <c r="G32" t="inlineStr">
        <is>
          <t xml:space="preserve"> - Family Finca</t>
        </is>
      </c>
      <c r="H32">
        <f>HYPERLINK("https://booking.roadsurfer.com/es/rally/pick?pickup_date=2026-09-22&amp;return_date=2026-09-29&amp;currency=EUR&amp;startStation=17&amp;endStation=55",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2026-10-28</t>
        </is>
      </c>
      <c r="F33" t="inlineStr">
        <is>
          <t>2026-11-04</t>
        </is>
      </c>
      <c r="G33" t="inlineStr">
        <is>
          <t xml:space="preserve"> - Surfer Suite</t>
        </is>
      </c>
      <c r="H33">
        <f>HYPERLINK("https://booking.roadsurfer.com/es/rally/pick?pickup_date=2026-10-28&amp;return_date=2026-11-04&amp;currency=EUR&amp;startStation=94&amp;endStation=22",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2026-10-27</t>
        </is>
      </c>
      <c r="F34" t="inlineStr">
        <is>
          <t>2026-11-03</t>
        </is>
      </c>
      <c r="G34" t="inlineStr">
        <is>
          <t xml:space="preserve"> - Beach Hostel - BEACH HOSTEL</t>
        </is>
      </c>
      <c r="H34">
        <f>HYPERLINK("https://booking.roadsurfer.com/es/rally/pick?pickup_date=2026-10-27&amp;return_date=2026-11-03&amp;currency=EUR&amp;startStation=94&amp;endStation=22",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2026-09-21</t>
        </is>
      </c>
      <c r="F35" t="inlineStr">
        <is>
          <t>2026-09-28</t>
        </is>
      </c>
      <c r="G35" t="inlineStr">
        <is>
          <t xml:space="preserve"> - Surfer Suite</t>
        </is>
      </c>
      <c r="H35">
        <f>HYPERLINK("https://booking.roadsurfer.com/es/rally/pick?pickup_date=2026-09-21&amp;return_date=2026-09-28&amp;currency=EUR&amp;startStation=94&amp;endStation=22",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Milán</t>
        </is>
      </c>
      <c r="E36" t="inlineStr">
        <is>
          <t>2026-10-17</t>
        </is>
      </c>
      <c r="F36" t="inlineStr">
        <is>
          <t>2026-10-24</t>
        </is>
      </c>
      <c r="G36" t="inlineStr">
        <is>
          <t xml:space="preserve"> - Surfer Suite</t>
        </is>
      </c>
      <c r="H36">
        <f>HYPERLINK("https://booking.roadsurfer.com/es/rally/pick?pickup_date=2026-10-17&amp;return_date=2026-10-24&amp;currency=EUR&amp;startStation=6&amp;endStation=34",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2026-10-16</t>
        </is>
      </c>
      <c r="F37" t="inlineStr">
        <is>
          <t>2026-10-23</t>
        </is>
      </c>
      <c r="G37" t="inlineStr">
        <is>
          <t xml:space="preserve"> - No hay coche</t>
        </is>
      </c>
      <c r="H37">
        <f>HYPERLINK("https://booking.roadsurfer.com/es/rally/pick?pickup_date=2026-10-16&amp;return_date=2026-10-23&amp;currency=EUR&amp;startStation=6&amp;endStation=42",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2026-10-26</t>
        </is>
      </c>
      <c r="F38" t="inlineStr">
        <is>
          <t>2026-11-02</t>
        </is>
      </c>
      <c r="G38" t="inlineStr">
        <is>
          <t xml:space="preserve"> - Surfer Suite</t>
        </is>
      </c>
      <c r="H38">
        <f>HYPERLINK("https://booking.roadsurfer.com/es/rally/pick?pickup_date=2026-10-26&amp;return_date=2026-11-02&amp;currency=EUR&amp;startStation=6&amp;endStation=16",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Italia</t>
        </is>
      </c>
      <c r="D39" t="inlineStr">
        <is>
          <t>Roma Aeropuerto Fiumicino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Surfer Suite</t>
        </is>
      </c>
      <c r="H39">
        <f>HYPERLINK("https://booking.roadsurfer.com/es/rally/pick?pickup_date=2026-10-12&amp;return_date=2026-10-19&amp;currency=EUR&amp;startStation=6&amp;endStation=35",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Italia</t>
        </is>
      </c>
      <c r="D40" t="inlineStr">
        <is>
          <t>Roma Aeropuerto Fiumicino</t>
        </is>
      </c>
      <c r="E40" t="inlineStr">
        <is>
          <t>2026-10-26</t>
        </is>
      </c>
      <c r="F40" t="inlineStr">
        <is>
          <t>2026-11-02</t>
        </is>
      </c>
      <c r="G40" t="inlineStr">
        <is>
          <t xml:space="preserve"> - Beach Hostel</t>
        </is>
      </c>
      <c r="H40">
        <f>HYPERLINK("https://booking.roadsurfer.com/es/rally/pick?pickup_date=2026-10-26&amp;return_date=2026-11-02&amp;currency=EUR&amp;startStation=6&amp;endStation=35",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2026-10-09</t>
        </is>
      </c>
      <c r="F41" t="inlineStr">
        <is>
          <t>2026-10-16</t>
        </is>
      </c>
      <c r="G41" t="inlineStr">
        <is>
          <t xml:space="preserve"> - Surfer Suite</t>
        </is>
      </c>
      <c r="H41">
        <f>HYPERLINK("https://booking.roadsurfer.com/es/rally/pick?pickup_date=2026-10-09&amp;return_date=2026-10-16&amp;currency=EUR&amp;startStation=6&amp;endStation=29",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2026-10-09</t>
        </is>
      </c>
      <c r="F42" t="inlineStr">
        <is>
          <t>2026-10-16</t>
        </is>
      </c>
      <c r="G42" t="inlineStr">
        <is>
          <t xml:space="preserve"> - Surfer Suite</t>
        </is>
      </c>
      <c r="H42">
        <f>HYPERLINK("https://booking.roadsurfer.com/es/rally/pick?pickup_date=2026-10-09&amp;return_date=2026-10-16&amp;currency=EUR&amp;startStation=6&amp;endStation=12",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2026-10-07</t>
        </is>
      </c>
      <c r="F43" t="inlineStr">
        <is>
          <t>2026-10-14</t>
        </is>
      </c>
      <c r="G43" t="inlineStr">
        <is>
          <t xml:space="preserve"> - Sunrise Suite</t>
        </is>
      </c>
      <c r="H43">
        <f>HYPERLINK("https://booking.roadsurfer.com/es/rally/pick?pickup_date=2026-10-07&amp;return_date=2026-10-14&amp;currency=EUR&amp;startStation=6&amp;endStation=17",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2026-10-03</t>
        </is>
      </c>
      <c r="F44" t="inlineStr">
        <is>
          <t>2026-10-10</t>
        </is>
      </c>
      <c r="G44" t="inlineStr">
        <is>
          <t xml:space="preserve"> - No hay coche</t>
        </is>
      </c>
      <c r="H44">
        <f>HYPERLINK("https://booking.roadsurfer.com/es/rally/pick?pickup_date=2026-10-03&amp;return_date=2026-10-10&amp;currency=EUR&amp;startStation=51&amp;endStation=42",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2026-10-06</t>
        </is>
      </c>
      <c r="F45" t="inlineStr">
        <is>
          <t>2026-10-13</t>
        </is>
      </c>
      <c r="G45" t="inlineStr">
        <is>
          <t xml:space="preserve"> - Surfer Suite</t>
        </is>
      </c>
      <c r="H45">
        <f>HYPERLINK("https://booking.roadsurfer.com/es/rally/pick?pickup_date=2026-10-06&amp;return_date=2026-10-13&amp;currency=EUR&amp;startStation=51&amp;endStation=15",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2026-10-10</t>
        </is>
      </c>
      <c r="F46" t="inlineStr">
        <is>
          <t>2026-10-17</t>
        </is>
      </c>
      <c r="G46" t="inlineStr">
        <is>
          <t xml:space="preserve"> - Surfer Suite</t>
        </is>
      </c>
      <c r="H46">
        <f>HYPERLINK("https://booking.roadsurfer.com/es/rally/pick?pickup_date=2026-10-10&amp;return_date=2026-10-17&amp;currency=EUR&amp;startStation=51&amp;endStation=78",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2026-10-23</t>
        </is>
      </c>
      <c r="F47" t="inlineStr">
        <is>
          <t>2026-10-30</t>
        </is>
      </c>
      <c r="G47" t="inlineStr">
        <is>
          <t xml:space="preserve"> - Surfer Suite</t>
        </is>
      </c>
      <c r="H47">
        <f>HYPERLINK("https://booking.roadsurfer.com/es/rally/pick?pickup_date=2026-10-23&amp;return_date=2026-10-30&amp;currency=EUR&amp;startStation=51&amp;endStation=78",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2026-10-09</t>
        </is>
      </c>
      <c r="F48" t="inlineStr">
        <is>
          <t>2026-10-16</t>
        </is>
      </c>
      <c r="G48" t="inlineStr">
        <is>
          <t xml:space="preserve"> - Surfer Suite</t>
        </is>
      </c>
      <c r="H48">
        <f>HYPERLINK("https://booking.roadsurfer.com/es/rally/pick?pickup_date=2026-10-09&amp;return_date=2026-10-16&amp;currency=EUR&amp;startStation=51&amp;endStation=38",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España</t>
        </is>
      </c>
      <c r="D49" t="inlineStr">
        <is>
          <t>Sevilla</t>
        </is>
      </c>
      <c r="E49" t="inlineStr">
        <is>
          <t>2026-10-17</t>
        </is>
      </c>
      <c r="F49" t="inlineStr">
        <is>
          <t>2026-10-24</t>
        </is>
      </c>
      <c r="G49" t="inlineStr">
        <is>
          <t xml:space="preserve"> - Surfer Suite</t>
        </is>
      </c>
      <c r="H49">
        <f>HYPERLINK("https://booking.roadsurfer.com/es/rally/pick?pickup_date=2026-10-17&amp;return_date=2026-10-24&amp;currency=EUR&amp;startStation=51&amp;endStation=39",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Camper Cabin Deluxe</t>
        </is>
      </c>
      <c r="H50">
        <f>HYPERLINK("https://booking.roadsurfer.com/es/rally/pick?pickup_date=2026-10-26&amp;return_date=2026-11-02&amp;currency=EUR&amp;startStation=51&amp;endStation=17",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2026-10-21</t>
        </is>
      </c>
      <c r="F51" t="inlineStr">
        <is>
          <t>2026-10-28</t>
        </is>
      </c>
      <c r="G51" t="inlineStr">
        <is>
          <t xml:space="preserve"> - Surfer Suite</t>
        </is>
      </c>
      <c r="H51">
        <f>HYPERLINK("https://booking.roadsurfer.com/es/rally/pick?pickup_date=2026-10-21&amp;return_date=2026-10-28&amp;currency=EUR&amp;startStation=51&amp;endStation=17",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España</t>
        </is>
      </c>
      <c r="D52" t="inlineStr">
        <is>
          <t>Málaga</t>
        </is>
      </c>
      <c r="E52" t="inlineStr">
        <is>
          <t>2026-10-15</t>
        </is>
      </c>
      <c r="F52" t="inlineStr">
        <is>
          <t>2026-10-22</t>
        </is>
      </c>
      <c r="G52" t="inlineStr">
        <is>
          <t xml:space="preserve"> - No hay coche</t>
        </is>
      </c>
      <c r="H52">
        <f>HYPERLINK("https://booking.roadsurfer.com/es/rally/pick?pickup_date=2026-10-15&amp;return_date=2026-10-22&amp;currency=EUR&amp;startStation=51&amp;endStation=21",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2026-10-19</t>
        </is>
      </c>
      <c r="F53" t="inlineStr">
        <is>
          <t>2026-10-26</t>
        </is>
      </c>
      <c r="G53" t="inlineStr">
        <is>
          <t xml:space="preserve"> - Surfer Suite</t>
        </is>
      </c>
      <c r="H53">
        <f>HYPERLINK("https://booking.roadsurfer.com/es/rally/pick?pickup_date=2026-10-19&amp;return_date=2026-10-26&amp;currency=EUR&amp;startStation=91&amp;endStation=13",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2026-10-28</t>
        </is>
      </c>
      <c r="F54" t="inlineStr">
        <is>
          <t>2026-11-04</t>
        </is>
      </c>
      <c r="G54" t="inlineStr">
        <is>
          <t xml:space="preserve"> - Surfer Suite</t>
        </is>
      </c>
      <c r="H54">
        <f>HYPERLINK("https://booking.roadsurfer.com/es/rally/pick?pickup_date=2026-10-28&amp;return_date=2026-11-04&amp;currency=EUR&amp;startStation=40&amp;endStation=9",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2026-10-27</t>
        </is>
      </c>
      <c r="F55" t="inlineStr">
        <is>
          <t>2026-11-03</t>
        </is>
      </c>
      <c r="G55" t="inlineStr">
        <is>
          <t xml:space="preserve"> - Sunrise Suite</t>
        </is>
      </c>
      <c r="H55">
        <f>HYPERLINK("https://booking.roadsurfer.com/es/rally/pick?pickup_date=2026-10-27&amp;return_date=2026-11-03&amp;currency=EUR&amp;startStation=40&amp;endStation=9", "Clic para verlo en la web de RoadSurfer")</f>
        <v/>
      </c>
    </row>
    <row r="56">
      <c r="A56" t="inlineStr">
        <is>
          <t>Italia</t>
        </is>
      </c>
      <c r="B56" t="inlineStr">
        <is>
          <t>Bolonia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2026-10-27</t>
        </is>
      </c>
      <c r="F56" t="inlineStr">
        <is>
          <t>2026-11-03</t>
        </is>
      </c>
      <c r="G56" t="inlineStr">
        <is>
          <t xml:space="preserve"> - Surfer Suite</t>
        </is>
      </c>
      <c r="H56">
        <f>HYPERLINK("https://booking.roadsurfer.com/es/rally/pick?pickup_date=2026-10-27&amp;return_date=2026-11-03&amp;currency=EUR&amp;startStation=57&amp;endStation=22", "Clic para verlo en la web de RoadSurfer")</f>
        <v/>
      </c>
    </row>
    <row r="57">
      <c r="A57" t="inlineStr">
        <is>
          <t>Italia</t>
        </is>
      </c>
      <c r="B57" t="inlineStr">
        <is>
          <t>Bolonia</t>
        </is>
      </c>
      <c r="C57" t="inlineStr">
        <is>
          <t>Italia</t>
        </is>
      </c>
      <c r="D57" t="inlineStr">
        <is>
          <t>Turín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Family Finca</t>
        </is>
      </c>
      <c r="H57">
        <f>HYPERLINK("https://booking.roadsurfer.com/es/rally/pick?pickup_date=2026-09-14&amp;return_date=2026-09-21&amp;currency=EUR&amp;startStation=57&amp;endStation=58",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2026-10-07</t>
        </is>
      </c>
      <c r="F58" t="inlineStr">
        <is>
          <t>2026-10-14</t>
        </is>
      </c>
      <c r="G58" t="inlineStr">
        <is>
          <t xml:space="preserve"> - Surfer Suite</t>
        </is>
      </c>
      <c r="H58">
        <f>HYPERLINK("https://booking.roadsurfer.com/es/rally/pick?pickup_date=2026-10-07&amp;return_date=2026-10-14&amp;currency=EUR&amp;startStation=13&amp;endStation=3",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Lübeck</t>
        </is>
      </c>
      <c r="E59" t="inlineStr">
        <is>
          <t>2026-10-17</t>
        </is>
      </c>
      <c r="F59" t="inlineStr">
        <is>
          <t>2026-10-24</t>
        </is>
      </c>
      <c r="G59" t="inlineStr">
        <is>
          <t xml:space="preserve"> - Surfer Suite</t>
        </is>
      </c>
      <c r="H59">
        <f>HYPERLINK("https://booking.roadsurfer.com/es/rally/pick?pickup_date=2026-10-17&amp;return_date=2026-10-24&amp;currency=EUR&amp;startStation=13&amp;endStation=109",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HYPERLINK("https://booking.roadsurfer.com/es/rally/pick?pickup_date=2026-09-14&amp;return_date=2026-09-21&amp;currency=EUR&amp;startStation=13&amp;endStation=38",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Surfer Suite</t>
        </is>
      </c>
      <c r="H61">
        <f>HYPERLINK("https://booking.roadsurfer.com/es/rally/pick?pickup_date=2026-09-14&amp;return_date=2026-09-21&amp;currency=EUR&amp;startStation=13&amp;endStation=20",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2026-10-26</t>
        </is>
      </c>
      <c r="F62" t="inlineStr">
        <is>
          <t>2026-11-02</t>
        </is>
      </c>
      <c r="G62" t="inlineStr">
        <is>
          <t xml:space="preserve"> - BEACH HOSTEL</t>
        </is>
      </c>
      <c r="H62">
        <f>HYPERLINK("https://booking.roadsurfer.com/es/rally/pick?pickup_date=2026-10-26&amp;return_date=2026-11-02&amp;currency=EUR&amp;startStation=13&amp;endStation=5",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Sunrise Suite</t>
        </is>
      </c>
      <c r="H63">
        <f>HYPERLINK("https://booking.roadsurfer.com/es/rally/pick?pickup_date=2026-10-27&amp;return_date=2026-11-03&amp;currency=EUR&amp;startStation=13&amp;endStation=5",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Friburgo-Basilea (Alemania)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CAMPER CABIN</t>
        </is>
      </c>
      <c r="H64">
        <f>HYPERLINK("https://booking.roadsurfer.com/es/rally/pick?pickup_date=2026-10-28&amp;return_date=2026-11-04&amp;currency=EUR&amp;startStation=13&amp;endStation=9",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2026-10-25</t>
        </is>
      </c>
      <c r="F65" t="inlineStr">
        <is>
          <t>2026-11-02</t>
        </is>
      </c>
      <c r="G65" t="inlineStr">
        <is>
          <t xml:space="preserve"> - No hay coche</t>
        </is>
      </c>
      <c r="H65">
        <f>HYPERLINK("https://booking.roadsurfer.com/es/rally/pick?pickup_date=2026-10-25&amp;return_date=2026-11-02&amp;currency=EUR&amp;startStation=13&amp;endStation=22",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Bérgamo</t>
        </is>
      </c>
      <c r="E66" t="inlineStr">
        <is>
          <t>2026-10-27</t>
        </is>
      </c>
      <c r="F66" t="inlineStr">
        <is>
          <t>2026-11-03</t>
        </is>
      </c>
      <c r="G66" t="inlineStr">
        <is>
          <t xml:space="preserve"> - Surfer Suite</t>
        </is>
      </c>
      <c r="H66">
        <f>HYPERLINK("https://booking.roadsurfer.com/es/rally/pick?pickup_date=2026-10-27&amp;return_date=2026-11-03&amp;currency=EUR&amp;startStation=55&amp;endStation=94",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España</t>
        </is>
      </c>
      <c r="D67" t="inlineStr">
        <is>
          <t>Barcelona</t>
        </is>
      </c>
      <c r="E67" t="inlineStr">
        <is>
          <t>2026-10-14</t>
        </is>
      </c>
      <c r="F67" t="inlineStr">
        <is>
          <t>2026-10-21</t>
        </is>
      </c>
      <c r="G67" t="inlineStr">
        <is>
          <t xml:space="preserve"> - Surfer Suite</t>
        </is>
      </c>
      <c r="H67">
        <f>HYPERLINK("https://booking.roadsurfer.com/es/rally/pick?pickup_date=2026-10-14&amp;return_date=2026-10-21&amp;currency=EUR&amp;startStation=55&amp;endStation=17",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España</t>
        </is>
      </c>
      <c r="D68" t="inlineStr">
        <is>
          <t>Valencia</t>
        </is>
      </c>
      <c r="E68" t="inlineStr">
        <is>
          <t>2026-10-22</t>
        </is>
      </c>
      <c r="F68" t="inlineStr">
        <is>
          <t>2026-10-29</t>
        </is>
      </c>
      <c r="G68" t="inlineStr">
        <is>
          <t xml:space="preserve"> - Surfer Suite</t>
        </is>
      </c>
      <c r="H68">
        <f>HYPERLINK("https://booking.roadsurfer.com/es/rally/pick?pickup_date=2026-10-22&amp;return_date=2026-10-29&amp;currency=EUR&amp;startStation=55&amp;endStation=38",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España</t>
        </is>
      </c>
      <c r="D69" t="inlineStr">
        <is>
          <t>Valencia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HYPERLINK("https://booking.roadsurfer.com/es/rally/pick?pickup_date=2026-10-03&amp;return_date=2026-10-10&amp;currency=EUR&amp;startStation=55&amp;endStation=38",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España</t>
        </is>
      </c>
      <c r="D70" t="inlineStr">
        <is>
          <t>Madrid</t>
        </is>
      </c>
      <c r="E70" t="inlineStr">
        <is>
          <t>2026-10-26</t>
        </is>
      </c>
      <c r="F70" t="inlineStr">
        <is>
          <t>2026-11-02</t>
        </is>
      </c>
      <c r="G70" t="inlineStr">
        <is>
          <t xml:space="preserve"> - No hay coche</t>
        </is>
      </c>
      <c r="H70">
        <f>HYPERLINK("https://booking.roadsurfer.com/es/rally/pick?pickup_date=2026-10-26&amp;return_date=2026-11-02&amp;currency=EUR&amp;startStation=55&amp;endStation=20",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Beach Hostel</t>
        </is>
      </c>
      <c r="H71">
        <f>HYPERLINK("https://booking.roadsurfer.com/es/rally/pick?pickup_date=2026-10-05&amp;return_date=2026-10-12&amp;currency=EUR&amp;startStation=55&amp;endStation=48",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2026-10-28</t>
        </is>
      </c>
      <c r="F72" t="inlineStr">
        <is>
          <t>2026-11-04</t>
        </is>
      </c>
      <c r="G72" t="inlineStr">
        <is>
          <t xml:space="preserve"> - Camper Cabin Deluxe</t>
        </is>
      </c>
      <c r="H72">
        <f>HYPERLINK("https://booking.roadsurfer.com/es/rally/pick?pickup_date=2026-10-28&amp;return_date=2026-11-04&amp;currency=EUR&amp;startStation=42&amp;endStation=22",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2026-10-27</t>
        </is>
      </c>
      <c r="F73" t="inlineStr">
        <is>
          <t>2026-11-03</t>
        </is>
      </c>
      <c r="G73" t="inlineStr">
        <is>
          <t xml:space="preserve"> - Camper Cabin</t>
        </is>
      </c>
      <c r="H73">
        <f>HYPERLINK("https://booking.roadsurfer.com/es/rally/pick?pickup_date=2026-10-27&amp;return_date=2026-11-03&amp;currency=EUR&amp;startStation=42&amp;endStation=22",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2026-10-14</t>
        </is>
      </c>
      <c r="F74" t="inlineStr">
        <is>
          <t>2026-10-21</t>
        </is>
      </c>
      <c r="G74" t="inlineStr">
        <is>
          <t xml:space="preserve"> - Surfer Suite</t>
        </is>
      </c>
      <c r="H74">
        <f>HYPERLINK("https://booking.roadsurfer.com/es/rally/pick?pickup_date=2026-10-14&amp;return_date=2026-10-21&amp;currency=EUR&amp;startStation=42&amp;endStation=22",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HYPERLINK("https://booking.roadsurfer.com/es/rally/pick?pickup_date=2026-10-03&amp;return_date=2026-10-10&amp;currency=EUR&amp;startStation=52&amp;endStation=78",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FAMILY FINCA</t>
        </is>
      </c>
      <c r="H76">
        <f>HYPERLINK("https://booking.roadsurfer.com/es/rally/pick?pickup_date=2026-10-08&amp;return_date=2026-10-15&amp;currency=EUR&amp;startStation=52&amp;endStation=56",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Family Finca</t>
        </is>
      </c>
      <c r="H77">
        <f>HYPERLINK("https://booking.roadsurfer.com/es/rally/pick?pickup_date=2026-10-05&amp;return_date=2026-10-12&amp;currency=EUR&amp;startStation=52&amp;endStation=56",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Family Finca</t>
        </is>
      </c>
      <c r="H78">
        <f>HYPERLINK("https://booking.roadsurfer.com/es/rally/pick?pickup_date=2026-10-12&amp;return_date=2026-10-19&amp;currency=EUR&amp;startStation=52&amp;endStation=8",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Barcelona</t>
        </is>
      </c>
      <c r="E79" t="inlineStr">
        <is>
          <t>2026-10-03</t>
        </is>
      </c>
      <c r="F79" t="inlineStr">
        <is>
          <t>2026-10-10</t>
        </is>
      </c>
      <c r="G79" t="inlineStr">
        <is>
          <t xml:space="preserve"> - No hay coche</t>
        </is>
      </c>
      <c r="H79">
        <f>HYPERLINK("https://booking.roadsurfer.com/es/rally/pick?pickup_date=2026-10-03&amp;return_date=2026-10-10&amp;currency=EUR&amp;startStation=4&amp;endStation=17",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Barcelona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Surfer Suite</t>
        </is>
      </c>
      <c r="H80">
        <f>HYPERLINK("https://booking.roadsurfer.com/es/rally/pick?pickup_date=2026-10-14&amp;return_date=2026-10-21&amp;currency=EUR&amp;startStation=4&amp;endStation=17",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2026-10-08</t>
        </is>
      </c>
      <c r="F81" t="inlineStr">
        <is>
          <t>2026-10-15</t>
        </is>
      </c>
      <c r="G81" t="inlineStr">
        <is>
          <t xml:space="preserve"> - Surfer Suite</t>
        </is>
      </c>
      <c r="H81">
        <f>HYPERLINK("https://booking.roadsurfer.com/es/rally/pick?pickup_date=2026-10-08&amp;return_date=2026-10-15&amp;currency=EUR&amp;startStation=4&amp;endStation=17",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2026-10-27</t>
        </is>
      </c>
      <c r="F82" t="inlineStr">
        <is>
          <t>2026-11-03</t>
        </is>
      </c>
      <c r="G82" t="inlineStr">
        <is>
          <t xml:space="preserve"> - Surfer Suite</t>
        </is>
      </c>
      <c r="H82">
        <f>HYPERLINK("https://booking.roadsurfer.com/es/rally/pick?pickup_date=2026-10-27&amp;return_date=2026-11-03&amp;currency=EUR&amp;startStation=4&amp;endStation=34",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No hay coche</t>
        </is>
      </c>
      <c r="H83">
        <f>HYPERLINK("https://booking.roadsurfer.com/es/rally/pick?pickup_date=2026-10-05&amp;return_date=2026-10-12&amp;currency=EUR&amp;startStation=4&amp;endStation=31",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Italia</t>
        </is>
      </c>
      <c r="D84" t="inlineStr">
        <is>
          <t>Roma Aeropuerto Fiumicino</t>
        </is>
      </c>
      <c r="E84" t="inlineStr">
        <is>
          <t>2026-10-17</t>
        </is>
      </c>
      <c r="F84" t="inlineStr">
        <is>
          <t>2026-10-24</t>
        </is>
      </c>
      <c r="G84" t="inlineStr">
        <is>
          <t xml:space="preserve"> - Surfer Suite</t>
        </is>
      </c>
      <c r="H84">
        <f>HYPERLINK("https://booking.roadsurfer.com/es/rally/pick?pickup_date=2026-10-17&amp;return_date=2026-10-24&amp;currency=EUR&amp;startStation=4&amp;endStation=35",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España</t>
        </is>
      </c>
      <c r="D85" t="inlineStr">
        <is>
          <t>Valencia</t>
        </is>
      </c>
      <c r="E85" t="inlineStr">
        <is>
          <t>2026-10-06</t>
        </is>
      </c>
      <c r="F85" t="inlineStr">
        <is>
          <t>2026-10-13</t>
        </is>
      </c>
      <c r="G85" t="inlineStr">
        <is>
          <t xml:space="preserve"> - Beach Hostel</t>
        </is>
      </c>
      <c r="H85">
        <f>HYPERLINK("https://booking.roadsurfer.com/es/rally/pick?pickup_date=2026-10-06&amp;return_date=2026-10-13&amp;currency=EUR&amp;startStation=4&amp;endStation=38",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España</t>
        </is>
      </c>
      <c r="D86" t="inlineStr">
        <is>
          <t>Bilbao</t>
        </is>
      </c>
      <c r="E86" t="inlineStr">
        <is>
          <t>2026-10-23</t>
        </is>
      </c>
      <c r="F86" t="inlineStr">
        <is>
          <t>2026-10-30</t>
        </is>
      </c>
      <c r="G86" t="inlineStr">
        <is>
          <t xml:space="preserve"> - No hay coche</t>
        </is>
      </c>
      <c r="H86">
        <f>HYPERLINK("https://booking.roadsurfer.com/es/rally/pick?pickup_date=2026-10-23&amp;return_date=2026-10-30&amp;currency=EUR&amp;startStation=4&amp;endStation=40",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2026-10-07</t>
        </is>
      </c>
      <c r="F87" t="inlineStr">
        <is>
          <t>2026-10-14</t>
        </is>
      </c>
      <c r="G87" t="inlineStr">
        <is>
          <t xml:space="preserve"> - Family Finca</t>
        </is>
      </c>
      <c r="H87">
        <f>HYPERLINK("https://booking.roadsurfer.com/es/rally/pick?pickup_date=2026-10-07&amp;return_date=2026-10-14&amp;currency=EUR&amp;startStation=4&amp;endStation=6",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2026-10-12</t>
        </is>
      </c>
      <c r="F88" t="inlineStr">
        <is>
          <t>2026-10-19</t>
        </is>
      </c>
      <c r="G88" t="inlineStr">
        <is>
          <t xml:space="preserve"> - FAMILY FINCA</t>
        </is>
      </c>
      <c r="H88">
        <f>HYPERLINK("https://booking.roadsurfer.com/es/rally/pick?pickup_date=2026-10-12&amp;return_date=2026-10-19&amp;currency=EUR&amp;startStation=4&amp;endStation=56",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2026-10-05</t>
        </is>
      </c>
      <c r="F89" t="inlineStr">
        <is>
          <t>2026-10-12</t>
        </is>
      </c>
      <c r="G89" t="inlineStr">
        <is>
          <t xml:space="preserve"> - FAMILY FINCA</t>
        </is>
      </c>
      <c r="H89">
        <f>HYPERLINK("https://booking.roadsurfer.com/es/rally/pick?pickup_date=2026-10-05&amp;return_date=2026-10-12&amp;currency=EUR&amp;startStation=4&amp;endStation=8",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Italia</t>
        </is>
      </c>
      <c r="D90" t="inlineStr">
        <is>
          <t>Bolonia</t>
        </is>
      </c>
      <c r="E90" t="inlineStr">
        <is>
          <t>2026-10-08</t>
        </is>
      </c>
      <c r="F90" t="inlineStr">
        <is>
          <t>2026-10-15</t>
        </is>
      </c>
      <c r="G90" t="inlineStr">
        <is>
          <t xml:space="preserve"> - Surfer Suite</t>
        </is>
      </c>
      <c r="H90">
        <f>HYPERLINK("https://booking.roadsurfer.com/es/rally/pick?pickup_date=2026-10-08&amp;return_date=2026-10-15&amp;currency=EUR&amp;startStation=10&amp;endStation=57",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2026-11-07</t>
        </is>
      </c>
      <c r="F91" t="inlineStr">
        <is>
          <t>2026-11-14</t>
        </is>
      </c>
      <c r="G91" t="inlineStr">
        <is>
          <t xml:space="preserve"> - Surfer Suite</t>
        </is>
      </c>
      <c r="H91">
        <f>HYPERLINK("https://booking.roadsurfer.com/es/rally/pick?pickup_date=2026-11-07&amp;return_date=2026-11-14&amp;currency=EUR&amp;startStation=10&amp;endStation=12",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2026-10-30</t>
        </is>
      </c>
      <c r="F92" t="inlineStr">
        <is>
          <t>2026-11-06</t>
        </is>
      </c>
      <c r="G92" t="inlineStr">
        <is>
          <t xml:space="preserve"> - Beach Hostel</t>
        </is>
      </c>
      <c r="H92">
        <f>HYPERLINK("https://booking.roadsurfer.com/es/rally/pick?pickup_date=2026-10-30&amp;return_date=2026-11-06&amp;currency=EUR&amp;startStation=10&amp;endStation=13",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2026-10-10</t>
        </is>
      </c>
      <c r="F93" t="inlineStr">
        <is>
          <t>2026-10-17</t>
        </is>
      </c>
      <c r="G93" t="inlineStr">
        <is>
          <t xml:space="preserve"> - Travel Home</t>
        </is>
      </c>
      <c r="H93">
        <f>HYPERLINK("https://booking.roadsurfer.com/es/rally/pick?pickup_date=2026-10-10&amp;return_date=2026-10-17&amp;currency=EUR&amp;startStation=56&amp;endStation=15",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2026-10-20</t>
        </is>
      </c>
      <c r="F94" t="inlineStr">
        <is>
          <t>2026-10-27</t>
        </is>
      </c>
      <c r="G94" t="inlineStr">
        <is>
          <t xml:space="preserve"> - Beach Hostel</t>
        </is>
      </c>
      <c r="H94">
        <f>HYPERLINK("https://booking.roadsurfer.com/es/rally/pick?pickup_date=2026-10-20&amp;return_date=2026-10-27&amp;currency=EUR&amp;startStation=56&amp;endStation=29",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2026-10-24</t>
        </is>
      </c>
      <c r="F95" t="inlineStr">
        <is>
          <t>2026-10-31</t>
        </is>
      </c>
      <c r="G95" t="inlineStr">
        <is>
          <t xml:space="preserve"> - Surfer Suite</t>
        </is>
      </c>
      <c r="H95">
        <f>HYPERLINK("https://booking.roadsurfer.com/es/rally/pick?pickup_date=2026-10-24&amp;return_date=2026-10-31&amp;currency=EUR&amp;startStation=113&amp;endStation=12",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España</t>
        </is>
      </c>
      <c r="D96" t="inlineStr">
        <is>
          <t>Barcelona</t>
        </is>
      </c>
      <c r="E96" t="inlineStr">
        <is>
          <t>2026-10-15</t>
        </is>
      </c>
      <c r="F96" t="inlineStr">
        <is>
          <t>2026-10-22</t>
        </is>
      </c>
      <c r="G96" t="inlineStr">
        <is>
          <t xml:space="preserve"> - Surfer Suite</t>
        </is>
      </c>
      <c r="H96">
        <f>HYPERLINK("https://booking.roadsurfer.com/es/rally/pick?pickup_date=2026-10-15&amp;return_date=2026-10-22&amp;currency=EUR&amp;startStation=113&amp;endStation=17",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España</t>
        </is>
      </c>
      <c r="D97" t="inlineStr">
        <is>
          <t>Barcelona</t>
        </is>
      </c>
      <c r="E97" t="inlineStr">
        <is>
          <t>2026-10-23</t>
        </is>
      </c>
      <c r="F97" t="inlineStr">
        <is>
          <t>2026-10-30</t>
        </is>
      </c>
      <c r="G97" t="inlineStr">
        <is>
          <t xml:space="preserve"> - Camper Cabin</t>
        </is>
      </c>
      <c r="H97">
        <f>HYPERLINK("https://booking.roadsurfer.com/es/rally/pick?pickup_date=2026-10-23&amp;return_date=2026-10-30&amp;currency=EUR&amp;startStation=113&amp;endStation=17",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2026-10-29</t>
        </is>
      </c>
      <c r="F98" t="inlineStr">
        <is>
          <t>2026-11-05</t>
        </is>
      </c>
      <c r="G98" t="inlineStr">
        <is>
          <t xml:space="preserve"> - Surfer Suite</t>
        </is>
      </c>
      <c r="H98">
        <f>HYPERLINK("https://booking.roadsurfer.com/es/rally/pick?pickup_date=2026-10-29&amp;return_date=2026-11-05&amp;currency=EUR&amp;startStation=113&amp;endStation=58",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2026-11-03</t>
        </is>
      </c>
      <c r="F99" t="inlineStr">
        <is>
          <t>2026-11-10</t>
        </is>
      </c>
      <c r="G99" t="inlineStr">
        <is>
          <t xml:space="preserve"> - Surfer Suite</t>
        </is>
      </c>
      <c r="H99">
        <f>HYPERLINK("https://booking.roadsurfer.com/es/rally/pick?pickup_date=2026-11-03&amp;return_date=2026-11-10&amp;currency=EUR&amp;startStation=113&amp;endStation=15",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Italia</t>
        </is>
      </c>
      <c r="D100" t="inlineStr">
        <is>
          <t>Bérgamo</t>
        </is>
      </c>
      <c r="E100" t="inlineStr">
        <is>
          <t>2026-10-13</t>
        </is>
      </c>
      <c r="F100" t="inlineStr">
        <is>
          <t>2026-10-20</t>
        </is>
      </c>
      <c r="G100" t="inlineStr">
        <is>
          <t xml:space="preserve"> - Surfer Suite</t>
        </is>
      </c>
      <c r="H100">
        <f>HYPERLINK("https://booking.roadsurfer.com/es/rally/pick?pickup_date=2026-10-13&amp;return_date=2026-10-20&amp;currency=EUR&amp;startStation=113&amp;endStation=94",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Francia</t>
        </is>
      </c>
      <c r="D101" t="inlineStr">
        <is>
          <t>Niza</t>
        </is>
      </c>
      <c r="E101" t="inlineStr">
        <is>
          <t>2026-10-30</t>
        </is>
      </c>
      <c r="F101" t="inlineStr">
        <is>
          <t>2026-11-06</t>
        </is>
      </c>
      <c r="G101" t="inlineStr">
        <is>
          <t xml:space="preserve"> - Beach Hostel</t>
        </is>
      </c>
      <c r="H101">
        <f>HYPERLINK("https://booking.roadsurfer.com/es/rally/pick?pickup_date=2026-10-30&amp;return_date=2026-11-06&amp;currency=EUR&amp;startStation=113&amp;endStation=88",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2026-10-21</t>
        </is>
      </c>
      <c r="F102" t="inlineStr">
        <is>
          <t>2026-10-28</t>
        </is>
      </c>
      <c r="G102" t="inlineStr">
        <is>
          <t xml:space="preserve"> - Camper Cabin</t>
        </is>
      </c>
      <c r="H102">
        <f>HYPERLINK("https://booking.roadsurfer.com/es/rally/pick?pickup_date=2026-10-21&amp;return_date=2026-10-28&amp;currency=EUR&amp;startStation=113&amp;endStation=13",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Francia</t>
        </is>
      </c>
      <c r="D103" t="inlineStr">
        <is>
          <t>Aix-Marsella</t>
        </is>
      </c>
      <c r="E103" t="inlineStr">
        <is>
          <t>2026-10-14</t>
        </is>
      </c>
      <c r="F103" t="inlineStr">
        <is>
          <t>2026-10-21</t>
        </is>
      </c>
      <c r="G103" t="inlineStr">
        <is>
          <t xml:space="preserve"> - No hay coche</t>
        </is>
      </c>
      <c r="H103">
        <f>HYPERLINK("https://booking.roadsurfer.com/es/rally/pick?pickup_date=2026-10-14&amp;return_date=2026-10-21&amp;currency=EUR&amp;startStation=90&amp;endStation=16",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Italia</t>
        </is>
      </c>
      <c r="D104" t="inlineStr">
        <is>
          <t>Venecia</t>
        </is>
      </c>
      <c r="E104" t="inlineStr">
        <is>
          <t>2026-10-26</t>
        </is>
      </c>
      <c r="F104" t="inlineStr">
        <is>
          <t>2026-11-02</t>
        </is>
      </c>
      <c r="G104" t="inlineStr">
        <is>
          <t xml:space="preserve"> - BEACH HOSTEL</t>
        </is>
      </c>
      <c r="H104">
        <f>HYPERLINK("https://booking.roadsurfer.com/es/rally/pick?pickup_date=2026-10-26&amp;return_date=2026-11-02&amp;currency=EUR&amp;startStation=90&amp;endStation=78",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2026-11-17</t>
        </is>
      </c>
      <c r="F105" t="inlineStr">
        <is>
          <t>2026-11-24</t>
        </is>
      </c>
      <c r="G105" t="inlineStr">
        <is>
          <t xml:space="preserve"> - BEACH HOSTEL</t>
        </is>
      </c>
      <c r="H105">
        <f>HYPERLINK("https://booking.roadsurfer.com/es/rally/pick?pickup_date=2026-11-17&amp;return_date=2026-11-24&amp;currency=EUR&amp;startStation=90&amp;endStation=34",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Italia</t>
        </is>
      </c>
      <c r="D106" t="inlineStr">
        <is>
          <t>Florencia</t>
        </is>
      </c>
      <c r="E106" t="inlineStr">
        <is>
          <t>2026-10-27</t>
        </is>
      </c>
      <c r="F106" t="inlineStr">
        <is>
          <t>2026-11-03</t>
        </is>
      </c>
      <c r="G106" t="inlineStr">
        <is>
          <t xml:space="preserve"> - Family Finca</t>
        </is>
      </c>
      <c r="H106">
        <f>HYPERLINK("https://booking.roadsurfer.com/es/rally/pick?pickup_date=2026-10-27&amp;return_date=2026-11-03&amp;currency=EUR&amp;startStation=90&amp;endStation=80", "Clic para verlo en la web de RoadSurfer")</f>
        <v/>
      </c>
    </row>
    <row r="107">
      <c r="A107" t="inlineStr">
        <is>
          <t>Italia</t>
        </is>
      </c>
      <c r="B107" t="inlineStr">
        <is>
          <t>Florencia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2026-10-27</t>
        </is>
      </c>
      <c r="F107" t="inlineStr">
        <is>
          <t>2026-11-03</t>
        </is>
      </c>
      <c r="G107" t="inlineStr">
        <is>
          <t xml:space="preserve"> - Surfer Suite</t>
        </is>
      </c>
      <c r="H107">
        <f>HYPERLINK("https://booking.roadsurfer.com/es/rally/pick?pickup_date=2026-10-27&amp;return_date=2026-11-03&amp;currency=EUR&amp;startStation=80&amp;endStation=22", "Clic para verlo en la web de RoadSurfer")</f>
        <v/>
      </c>
    </row>
    <row r="108">
      <c r="A108" t="inlineStr">
        <is>
          <t>Italia</t>
        </is>
      </c>
      <c r="B108" t="inlineStr">
        <is>
          <t>Florencia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2026-10-24</t>
        </is>
      </c>
      <c r="F108" t="inlineStr">
        <is>
          <t>2026-10-31</t>
        </is>
      </c>
      <c r="G108" t="inlineStr">
        <is>
          <t xml:space="preserve"> - No hay coche</t>
        </is>
      </c>
      <c r="H108">
        <f>HYPERLINK("https://booking.roadsurfer.com/es/rally/pick?pickup_date=2026-10-24&amp;return_date=2026-10-31&amp;currency=EUR&amp;startStation=80&amp;endStation=8", "Clic para verlo en la web de RoadSurfer")</f>
        <v/>
      </c>
    </row>
    <row r="109">
      <c r="A109" t="inlineStr">
        <is>
          <t>Italia</t>
        </is>
      </c>
      <c r="B109" t="inlineStr">
        <is>
          <t>Florencia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2026-10-28</t>
        </is>
      </c>
      <c r="F109" t="inlineStr">
        <is>
          <t>2026-11-04</t>
        </is>
      </c>
      <c r="G109" t="inlineStr">
        <is>
          <t xml:space="preserve"> - Beach Hostel</t>
        </is>
      </c>
      <c r="H109">
        <f>HYPERLINK("https://booking.roadsurfer.com/es/rally/pick?pickup_date=2026-10-28&amp;return_date=2026-11-04&amp;currency=EUR&amp;startStation=80&amp;endStation=10", "Clic para verlo en la web de RoadSurfer")</f>
        <v/>
      </c>
    </row>
    <row r="110">
      <c r="A110" t="inlineStr">
        <is>
          <t>Alemania</t>
        </is>
      </c>
      <c r="B110" t="inlineStr">
        <is>
          <t>Fráncfort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2026-10-22</t>
        </is>
      </c>
      <c r="F110" t="inlineStr">
        <is>
          <t>2026-10-29</t>
        </is>
      </c>
      <c r="G110" t="inlineStr">
        <is>
          <t xml:space="preserve"> - Surfer Suite</t>
        </is>
      </c>
      <c r="H110">
        <f>HYPERLINK("https://booking.roadsurfer.com/es/rally/pick?pickup_date=2026-10-22&amp;return_date=2026-10-29&amp;currency=EUR&amp;startStation=2&amp;endStation=13", "Clic para verlo en la web de RoadSurfer")</f>
        <v/>
      </c>
    </row>
    <row r="111">
      <c r="A111" t="inlineStr">
        <is>
          <t>Alemania</t>
        </is>
      </c>
      <c r="B111" t="inlineStr">
        <is>
          <t>Friburgo-Basilea (Alemania)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2026-10-24</t>
        </is>
      </c>
      <c r="F111" t="inlineStr">
        <is>
          <t>2026-10-31</t>
        </is>
      </c>
      <c r="G111" t="inlineStr">
        <is>
          <t xml:space="preserve"> - Surfer Suite</t>
        </is>
      </c>
      <c r="H111">
        <f>HYPERLINK("https://booking.roadsurfer.com/es/rally/pick?pickup_date=2026-10-24&amp;return_date=2026-10-31&amp;currency=EUR&amp;startStation=9&amp;endStation=47",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2026-10-17</t>
        </is>
      </c>
      <c r="F112" t="inlineStr">
        <is>
          <t>2026-10-24</t>
        </is>
      </c>
      <c r="G112" t="inlineStr">
        <is>
          <t xml:space="preserve"> - Surfer Suite</t>
        </is>
      </c>
      <c r="H112">
        <f>HYPERLINK("https://booking.roadsurfer.com/es/rally/pick?pickup_date=2026-10-17&amp;return_date=2026-10-24&amp;currency=EUR&amp;startStation=9&amp;endStation=12",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España</t>
        </is>
      </c>
      <c r="D113" t="inlineStr">
        <is>
          <t>Barcelona</t>
        </is>
      </c>
      <c r="E113" t="inlineStr">
        <is>
          <t>2026-10-06</t>
        </is>
      </c>
      <c r="F113" t="inlineStr">
        <is>
          <t>2026-10-13</t>
        </is>
      </c>
      <c r="G113" t="inlineStr">
        <is>
          <t xml:space="preserve"> - Travel Home</t>
        </is>
      </c>
      <c r="H113">
        <f>HYPERLINK("https://booking.roadsurfer.com/es/rally/pick?pickup_date=2026-10-06&amp;return_date=2026-10-13&amp;currency=EUR&amp;startStation=9&amp;endStation=17",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España</t>
        </is>
      </c>
      <c r="D114" t="inlineStr">
        <is>
          <t>Barcelona</t>
        </is>
      </c>
      <c r="E114" t="inlineStr">
        <is>
          <t>2026-10-26</t>
        </is>
      </c>
      <c r="F114" t="inlineStr">
        <is>
          <t>2026-11-02</t>
        </is>
      </c>
      <c r="G114" t="inlineStr">
        <is>
          <t xml:space="preserve"> - Surfer Suite</t>
        </is>
      </c>
      <c r="H114">
        <f>HYPERLINK("https://booking.roadsurfer.com/es/rally/pick?pickup_date=2026-10-26&amp;return_date=2026-11-02&amp;currency=EUR&amp;startStation=9&amp;endStation=17",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Francia</t>
        </is>
      </c>
      <c r="D115" t="inlineStr">
        <is>
          <t>Niza</t>
        </is>
      </c>
      <c r="E115" t="inlineStr">
        <is>
          <t>2026-10-01</t>
        </is>
      </c>
      <c r="F115" t="inlineStr">
        <is>
          <t>2026-10-08</t>
        </is>
      </c>
      <c r="G115" t="inlineStr">
        <is>
          <t xml:space="preserve"> - No hay coche</t>
        </is>
      </c>
      <c r="H115">
        <f>HYPERLINK("https://booking.roadsurfer.com/es/rally/pick?pickup_date=2026-10-01&amp;return_date=2026-10-08&amp;currency=EUR&amp;startStation=9&amp;endStation=88",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Beach Hostel</t>
        </is>
      </c>
      <c r="H116">
        <f>HYPERLINK("https://booking.roadsurfer.com/es/rally/pick?pickup_date=2026-09-14&amp;return_date=2026-09-21&amp;currency=EUR&amp;startStation=9&amp;endStation=29",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2026-10-12</t>
        </is>
      </c>
      <c r="F117" t="inlineStr">
        <is>
          <t>2026-10-19</t>
        </is>
      </c>
      <c r="G117" t="inlineStr">
        <is>
          <t xml:space="preserve"> - Beach Hostel</t>
        </is>
      </c>
      <c r="H117">
        <f>HYPERLINK("https://booking.roadsurfer.com/es/rally/pick?pickup_date=2026-10-12&amp;return_date=2026-10-19&amp;currency=EUR&amp;startStation=9&amp;endStation=78",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2026-10-20</t>
        </is>
      </c>
      <c r="F118" t="inlineStr">
        <is>
          <t>2026-10-27</t>
        </is>
      </c>
      <c r="G118" t="inlineStr">
        <is>
          <t xml:space="preserve"> - Sunrise Suite</t>
        </is>
      </c>
      <c r="H118">
        <f>HYPERLINK("https://booking.roadsurfer.com/es/rally/pick?pickup_date=2026-10-20&amp;return_date=2026-10-27&amp;currency=EUR&amp;startStation=9&amp;endStation=40",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2026-10-30</t>
        </is>
      </c>
      <c r="F119" t="inlineStr">
        <is>
          <t>2026-11-06</t>
        </is>
      </c>
      <c r="G119" t="inlineStr">
        <is>
          <t xml:space="preserve"> - Beach Hostel</t>
        </is>
      </c>
      <c r="H119">
        <f>HYPERLINK("https://booking.roadsurfer.com/es/rally/pick?pickup_date=2026-10-30&amp;return_date=2026-11-06&amp;currency=EUR&amp;startStation=29&amp;endStation=22",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2026-10-26</t>
        </is>
      </c>
      <c r="F120" t="inlineStr">
        <is>
          <t>2026-11-02</t>
        </is>
      </c>
      <c r="G120" t="inlineStr">
        <is>
          <t xml:space="preserve"> - Surfer Suite</t>
        </is>
      </c>
      <c r="H120">
        <f>HYPERLINK("https://booking.roadsurfer.com/es/rally/pick?pickup_date=2026-10-26&amp;return_date=2026-11-02&amp;currency=EUR&amp;startStation=29&amp;endStation=22",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2026-10-29</t>
        </is>
      </c>
      <c r="F121" t="inlineStr">
        <is>
          <t>2026-11-05</t>
        </is>
      </c>
      <c r="G121" t="inlineStr">
        <is>
          <t xml:space="preserve"> - Sunrise Suite</t>
        </is>
      </c>
      <c r="H121">
        <f>HYPERLINK("https://booking.roadsurfer.com/es/rally/pick?pickup_date=2026-10-29&amp;return_date=2026-11-05&amp;currency=EUR&amp;startStation=29&amp;endStation=22",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Berlín-Schönefeld</t>
        </is>
      </c>
      <c r="E122" t="inlineStr">
        <is>
          <t>2026-10-24</t>
        </is>
      </c>
      <c r="F122" t="inlineStr">
        <is>
          <t>2026-10-31</t>
        </is>
      </c>
      <c r="G122" t="inlineStr">
        <is>
          <t xml:space="preserve"> - No hay coche</t>
        </is>
      </c>
      <c r="H122">
        <f>HYPERLINK("https://booking.roadsurfer.com/es/rally/pick?pickup_date=2026-10-24&amp;return_date=2026-10-31&amp;currency=EUR&amp;startStation=29&amp;endStation=51", "Clic para verlo en la web de RoadSurfer")</f>
        <v/>
      </c>
    </row>
    <row r="123">
      <c r="A123" t="inlineStr">
        <is>
          <t>Suecia</t>
        </is>
      </c>
      <c r="B123" t="inlineStr">
        <is>
          <t>Gotemburgo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2026-10-27</t>
        </is>
      </c>
      <c r="F123" t="inlineStr">
        <is>
          <t>2026-11-03</t>
        </is>
      </c>
      <c r="G123" t="inlineStr">
        <is>
          <t xml:space="preserve"> - Surfer Suite</t>
        </is>
      </c>
      <c r="H123">
        <f>HYPERLINK("https://booking.roadsurfer.com/es/rally/pick?pickup_date=2026-10-27&amp;return_date=2026-11-03&amp;currency=EUR&amp;startStation=77&amp;endStation=1", "Clic para verlo en la web de RoadSurfer")</f>
        <v/>
      </c>
    </row>
    <row r="124">
      <c r="A124" t="inlineStr">
        <is>
          <t>Suecia</t>
        </is>
      </c>
      <c r="B124" t="inlineStr">
        <is>
          <t>Gotemburgo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2026-09-16</t>
        </is>
      </c>
      <c r="F124" t="inlineStr">
        <is>
          <t>2026-09-23</t>
        </is>
      </c>
      <c r="G124" t="inlineStr">
        <is>
          <t xml:space="preserve"> - COZY COTTAGE</t>
        </is>
      </c>
      <c r="H124">
        <f>HYPERLINK("https://booking.roadsurfer.com/es/rally/pick?pickup_date=2026-09-16&amp;return_date=2026-09-23&amp;currency=EUR&amp;startStation=77&amp;endStation=3", "Clic para verlo en la web de RoadSurfer")</f>
        <v/>
      </c>
    </row>
    <row r="125">
      <c r="A125" t="inlineStr">
        <is>
          <t>Alemania</t>
        </is>
      </c>
      <c r="B125" t="inlineStr">
        <is>
          <t>Hamburgo</t>
        </is>
      </c>
      <c r="C125" t="inlineStr">
        <is>
          <t>Francia</t>
        </is>
      </c>
      <c r="D125" t="inlineStr">
        <is>
          <t>Toulouse</t>
        </is>
      </c>
      <c r="E125" t="inlineStr">
        <is>
          <t>2026-10-21</t>
        </is>
      </c>
      <c r="F125" t="inlineStr">
        <is>
          <t>2026-10-28</t>
        </is>
      </c>
      <c r="G125" t="inlineStr">
        <is>
          <t xml:space="preserve"> - Surfer Suite</t>
        </is>
      </c>
      <c r="H125">
        <f>HYPERLINK("https://booking.roadsurfer.com/es/rally/pick?pickup_date=2026-10-21&amp;return_date=2026-10-28&amp;currency=EUR&amp;startStation=3&amp;endStation=30", "Clic para verlo en la web de RoadSurfer")</f>
        <v/>
      </c>
    </row>
    <row r="126">
      <c r="A126" t="inlineStr">
        <is>
          <t>Alemania</t>
        </is>
      </c>
      <c r="B126" t="inlineStr">
        <is>
          <t>Hamburgo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2026-10-28</t>
        </is>
      </c>
      <c r="F126" t="inlineStr">
        <is>
          <t>2026-11-04</t>
        </is>
      </c>
      <c r="G126" t="inlineStr">
        <is>
          <t xml:space="preserve"> - Surfer Suite</t>
        </is>
      </c>
      <c r="H126">
        <f>HYPERLINK("https://booking.roadsurfer.com/es/rally/pick?pickup_date=2026-10-28&amp;return_date=2026-11-04&amp;currency=EUR&amp;startStation=3&amp;endStation=31", "Clic para verlo en la web de RoadSurfer")</f>
        <v/>
      </c>
    </row>
    <row r="127">
      <c r="A127" t="inlineStr">
        <is>
          <t>Alemania</t>
        </is>
      </c>
      <c r="B127" t="inlineStr">
        <is>
          <t>Hamburgo</t>
        </is>
      </c>
      <c r="C127" t="inlineStr">
        <is>
          <t>Francia</t>
        </is>
      </c>
      <c r="D127" t="inlineStr">
        <is>
          <t>Aix-Marsella</t>
        </is>
      </c>
      <c r="E127" t="inlineStr">
        <is>
          <t>2026-10-30</t>
        </is>
      </c>
      <c r="F127" t="inlineStr">
        <is>
          <t>2026-11-06</t>
        </is>
      </c>
      <c r="G127" t="inlineStr">
        <is>
          <t xml:space="preserve"> - Beach Hostel</t>
        </is>
      </c>
      <c r="H127">
        <f>HYPERLINK("https://booking.roadsurfer.com/es/rally/pick?pickup_date=2026-10-30&amp;return_date=2026-11-06&amp;currency=EUR&amp;startStation=3&amp;endStation=16",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2026-10-27</t>
        </is>
      </c>
      <c r="F128" t="inlineStr">
        <is>
          <t>2026-11-03</t>
        </is>
      </c>
      <c r="G128" t="inlineStr">
        <is>
          <t xml:space="preserve"> - Beach Hostel</t>
        </is>
      </c>
      <c r="H128">
        <f>HYPERLINK("https://booking.roadsurfer.com/es/rally/pick?pickup_date=2026-10-27&amp;return_date=2026-11-03&amp;currency=EUR&amp;startStation=3&amp;endStation=78",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2026-10-07</t>
        </is>
      </c>
      <c r="F129" t="inlineStr">
        <is>
          <t>2026-10-14</t>
        </is>
      </c>
      <c r="G129" t="inlineStr">
        <is>
          <t xml:space="preserve"> - Beach Hostel</t>
        </is>
      </c>
      <c r="H129">
        <f>HYPERLINK("https://booking.roadsurfer.com/es/rally/pick?pickup_date=2026-10-07&amp;return_date=2026-10-14&amp;currency=EUR&amp;startStation=3&amp;endStation=59",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Suecia</t>
        </is>
      </c>
      <c r="D130" t="inlineStr">
        <is>
          <t>Gotemburgo</t>
        </is>
      </c>
      <c r="E130" t="inlineStr">
        <is>
          <t>2026-10-09</t>
        </is>
      </c>
      <c r="F130" t="inlineStr">
        <is>
          <t>2026-10-16</t>
        </is>
      </c>
      <c r="G130" t="inlineStr">
        <is>
          <t xml:space="preserve"> - Beach Hostel</t>
        </is>
      </c>
      <c r="H130">
        <f>HYPERLINK("https://booking.roadsurfer.com/es/rally/pick?pickup_date=2026-10-09&amp;return_date=2026-10-16&amp;currency=EUR&amp;startStation=3&amp;endStation=77",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2026-10-24</t>
        </is>
      </c>
      <c r="F131" t="inlineStr">
        <is>
          <t>2026-10-31</t>
        </is>
      </c>
      <c r="G131" t="inlineStr">
        <is>
          <t xml:space="preserve"> - Camper Cabin</t>
        </is>
      </c>
      <c r="H131">
        <f>HYPERLINK("https://booking.roadsurfer.com/es/rally/pick?pickup_date=2026-10-24&amp;return_date=2026-10-31&amp;currency=EUR&amp;startStation=3&amp;endStation=13",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2026-10-05</t>
        </is>
      </c>
      <c r="F132" t="inlineStr">
        <is>
          <t>2026-10-12</t>
        </is>
      </c>
      <c r="G132" t="inlineStr">
        <is>
          <t xml:space="preserve"> - Sunrise Suite</t>
        </is>
      </c>
      <c r="H132">
        <f>HYPERLINK("https://booking.roadsurfer.com/es/rally/pick?pickup_date=2026-10-05&amp;return_date=2026-10-12&amp;currency=EUR&amp;startStation=3&amp;endStation=13",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2026-10-13</t>
        </is>
      </c>
      <c r="F133" t="inlineStr">
        <is>
          <t>2026-10-20</t>
        </is>
      </c>
      <c r="G133" t="inlineStr">
        <is>
          <t xml:space="preserve"> - Surfer Suite</t>
        </is>
      </c>
      <c r="H133">
        <f>HYPERLINK("https://booking.roadsurfer.com/es/rally/pick?pickup_date=2026-10-13&amp;return_date=2026-10-20&amp;currency=EUR&amp;startStation=7&amp;endStation=34",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Italia</t>
        </is>
      </c>
      <c r="D134" t="inlineStr">
        <is>
          <t>Turín</t>
        </is>
      </c>
      <c r="E134" t="inlineStr">
        <is>
          <t>2026-10-12</t>
        </is>
      </c>
      <c r="F134" t="inlineStr">
        <is>
          <t>2026-10-19</t>
        </is>
      </c>
      <c r="G134" t="inlineStr">
        <is>
          <t xml:space="preserve"> - Surfer Suite</t>
        </is>
      </c>
      <c r="H134">
        <f>HYPERLINK("https://booking.roadsurfer.com/es/rally/pick?pickup_date=2026-10-12&amp;return_date=2026-10-19&amp;currency=EUR&amp;startStation=7&amp;endStation=58",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Italia</t>
        </is>
      </c>
      <c r="D135" t="inlineStr">
        <is>
          <t>Roma Aeropuerto Fiumicino</t>
        </is>
      </c>
      <c r="E135" t="inlineStr">
        <is>
          <t>2026-10-26</t>
        </is>
      </c>
      <c r="F135" t="inlineStr">
        <is>
          <t>2026-11-02</t>
        </is>
      </c>
      <c r="G135" t="inlineStr">
        <is>
          <t xml:space="preserve"> - Beach Hostel</t>
        </is>
      </c>
      <c r="H135">
        <f>HYPERLINK("https://booking.roadsurfer.com/es/rally/pick?pickup_date=2026-10-26&amp;return_date=2026-11-02&amp;currency=EUR&amp;startStation=7&amp;endStation=35", "Clic para verlo en la web de RoadSurfer")</f>
        <v/>
      </c>
    </row>
    <row r="136">
      <c r="A136" t="inlineStr">
        <is>
          <t>Alemania</t>
        </is>
      </c>
      <c r="B136" t="inlineStr">
        <is>
          <t>Hannover</t>
        </is>
      </c>
      <c r="C136" t="inlineStr">
        <is>
          <t>Italia</t>
        </is>
      </c>
      <c r="D136" t="inlineStr">
        <is>
          <t>Roma Aeropuerto Fiumicino</t>
        </is>
      </c>
      <c r="E136" t="inlineStr">
        <is>
          <t>2026-10-23</t>
        </is>
      </c>
      <c r="F136" t="inlineStr">
        <is>
          <t>2026-10-30</t>
        </is>
      </c>
      <c r="G136" t="inlineStr">
        <is>
          <t xml:space="preserve"> - Surfer Suite</t>
        </is>
      </c>
      <c r="H136">
        <f>HYPERLINK("https://booking.roadsurfer.com/es/rally/pick?pickup_date=2026-10-23&amp;return_date=2026-10-30&amp;currency=EUR&amp;startStation=7&amp;endStation=35", "Clic para verlo en la web de RoadSurfer")</f>
        <v/>
      </c>
    </row>
    <row r="137">
      <c r="A137" t="inlineStr">
        <is>
          <t>Alemania</t>
        </is>
      </c>
      <c r="B137" t="inlineStr">
        <is>
          <t>Hannover</t>
        </is>
      </c>
      <c r="C137" t="inlineStr">
        <is>
          <t>Francia</t>
        </is>
      </c>
      <c r="D137" t="inlineStr">
        <is>
          <t>Lille</t>
        </is>
      </c>
      <c r="E137" t="inlineStr">
        <is>
          <t>2026-10-22</t>
        </is>
      </c>
      <c r="F137" t="inlineStr">
        <is>
          <t>2026-10-29</t>
        </is>
      </c>
      <c r="G137" t="inlineStr">
        <is>
          <t xml:space="preserve"> - Surfer Suite</t>
        </is>
      </c>
      <c r="H137">
        <f>HYPERLINK("https://booking.roadsurfer.com/es/rally/pick?pickup_date=2026-10-22&amp;return_date=2026-10-29&amp;currency=EUR&amp;startStation=7&amp;endStation=87",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2026-10-21</t>
        </is>
      </c>
      <c r="F138" t="inlineStr">
        <is>
          <t>2026-10-28</t>
        </is>
      </c>
      <c r="G138" t="inlineStr">
        <is>
          <t xml:space="preserve"> - Surfer Suite</t>
        </is>
      </c>
      <c r="H138">
        <f>HYPERLINK("https://booking.roadsurfer.com/es/rally/pick?pickup_date=2026-10-21&amp;return_date=2026-10-28&amp;currency=EUR&amp;startStation=7&amp;endStation=12",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2026-10-10</t>
        </is>
      </c>
      <c r="F139" t="inlineStr">
        <is>
          <t>2026-10-17</t>
        </is>
      </c>
      <c r="G139" t="inlineStr">
        <is>
          <t xml:space="preserve"> - No hay coche</t>
        </is>
      </c>
      <c r="H139">
        <f>HYPERLINK("https://booking.roadsurfer.com/es/rally/pick?pickup_date=2026-10-10&amp;return_date=2026-10-17&amp;currency=EUR&amp;startStation=7&amp;endStation=12",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2026-10-12</t>
        </is>
      </c>
      <c r="F140" t="inlineStr">
        <is>
          <t>2026-10-19</t>
        </is>
      </c>
      <c r="G140" t="inlineStr">
        <is>
          <t xml:space="preserve"> - Surfer Suite</t>
        </is>
      </c>
      <c r="H140">
        <f>HYPERLINK("https://booking.roadsurfer.com/es/rally/pick?pickup_date=2026-10-12&amp;return_date=2026-10-19&amp;currency=EUR&amp;startStation=7&amp;endStation=12",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2026-10-28</t>
        </is>
      </c>
      <c r="F141" t="inlineStr">
        <is>
          <t>2026-11-04</t>
        </is>
      </c>
      <c r="G141" t="inlineStr">
        <is>
          <t xml:space="preserve"> - Camper Cabin</t>
        </is>
      </c>
      <c r="H141">
        <f>HYPERLINK("https://booking.roadsurfer.com/es/rally/pick?pickup_date=2026-10-28&amp;return_date=2026-11-04&amp;currency=EUR&amp;startStation=7&amp;endStation=17",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2026-10-26</t>
        </is>
      </c>
      <c r="F142" t="inlineStr">
        <is>
          <t>2026-11-02</t>
        </is>
      </c>
      <c r="G142" t="inlineStr">
        <is>
          <t xml:space="preserve"> - Beach Hostel</t>
        </is>
      </c>
      <c r="H142">
        <f>HYPERLINK("https://booking.roadsurfer.com/es/rally/pick?pickup_date=2026-10-26&amp;return_date=2026-11-02&amp;currency=EUR&amp;startStation=7&amp;endStation=17", "Clic para verlo en la web de RoadSurfer")</f>
        <v/>
      </c>
    </row>
    <row r="143">
      <c r="A143" t="inlineStr">
        <is>
          <t>Alemania</t>
        </is>
      </c>
      <c r="B143" t="inlineStr">
        <is>
          <t>Heidelberg</t>
        </is>
      </c>
      <c r="C143" t="inlineStr">
        <is>
          <t>Italia</t>
        </is>
      </c>
      <c r="D143" t="inlineStr">
        <is>
          <t>Turín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Road House</t>
        </is>
      </c>
      <c r="H143">
        <f>HYPERLINK("https://booking.roadsurfer.com/es/rally/pick?pickup_date=2026-09-14&amp;return_date=2026-09-21&amp;currency=EUR&amp;startStation=79&amp;endStation=58", "Clic para verlo en la web de RoadSurfer")</f>
        <v/>
      </c>
    </row>
    <row r="144">
      <c r="A144" t="inlineStr">
        <is>
          <t>Alemania</t>
        </is>
      </c>
      <c r="B144" t="inlineStr">
        <is>
          <t>Karlsruhe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2026-10-03</t>
        </is>
      </c>
      <c r="F144" t="inlineStr">
        <is>
          <t>2026-10-10</t>
        </is>
      </c>
      <c r="G144" t="inlineStr">
        <is>
          <t xml:space="preserve"> - No hay coche</t>
        </is>
      </c>
      <c r="H144">
        <f>HYPERLINK("https://booking.roadsurfer.com/es/rally/pick?pickup_date=2026-10-03&amp;return_date=2026-10-10&amp;currency=EUR&amp;startStation=110&amp;endStation=17", "Clic para verlo en la web de RoadSurfer")</f>
        <v/>
      </c>
    </row>
    <row r="145">
      <c r="A145" t="inlineStr">
        <is>
          <t>Alemania</t>
        </is>
      </c>
      <c r="B145" t="inlineStr">
        <is>
          <t>Karlsruhe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2026-10-14</t>
        </is>
      </c>
      <c r="F145" t="inlineStr">
        <is>
          <t>2026-10-21</t>
        </is>
      </c>
      <c r="G145" t="inlineStr">
        <is>
          <t xml:space="preserve"> - Beach Hostel</t>
        </is>
      </c>
      <c r="H145">
        <f>HYPERLINK("https://booking.roadsurfer.com/es/rally/pick?pickup_date=2026-10-14&amp;return_date=2026-10-21&amp;currency=EUR&amp;startStation=110&amp;endStation=12", "Clic para verlo en la web de RoadSurfer")</f>
        <v/>
      </c>
    </row>
    <row r="146">
      <c r="A146" t="inlineStr">
        <is>
          <t>Alemania</t>
        </is>
      </c>
      <c r="B146" t="inlineStr">
        <is>
          <t>Leipzig</t>
        </is>
      </c>
      <c r="C146" t="inlineStr">
        <is>
          <t>Italia</t>
        </is>
      </c>
      <c r="D146" t="inlineStr">
        <is>
          <t>Roma Aeropuerto Fiumicino</t>
        </is>
      </c>
      <c r="E146" t="inlineStr">
        <is>
          <t>2026-10-05</t>
        </is>
      </c>
      <c r="F146" t="inlineStr">
        <is>
          <t>2026-10-12</t>
        </is>
      </c>
      <c r="G146" t="inlineStr">
        <is>
          <t xml:space="preserve"> - Surfer Suite</t>
        </is>
      </c>
      <c r="H146">
        <f>HYPERLINK("https://booking.roadsurfer.com/es/rally/pick?pickup_date=2026-10-05&amp;return_date=2026-10-12&amp;currency=EUR&amp;startStation=8&amp;endStation=35", "Clic para verlo en la web de RoadSurfer")</f>
        <v/>
      </c>
    </row>
    <row r="147">
      <c r="A147" t="inlineStr">
        <is>
          <t>Alemania</t>
        </is>
      </c>
      <c r="B147" t="inlineStr">
        <is>
          <t>Leipzig</t>
        </is>
      </c>
      <c r="C147" t="inlineStr">
        <is>
          <t>Italia</t>
        </is>
      </c>
      <c r="D147" t="inlineStr">
        <is>
          <t>Bérgamo</t>
        </is>
      </c>
      <c r="E147" t="inlineStr">
        <is>
          <t>2026-10-24</t>
        </is>
      </c>
      <c r="F147" t="inlineStr">
        <is>
          <t>2026-10-31</t>
        </is>
      </c>
      <c r="G147" t="inlineStr">
        <is>
          <t xml:space="preserve"> - Surfer Suite</t>
        </is>
      </c>
      <c r="H147">
        <f>HYPERLINK("https://booking.roadsurfer.com/es/rally/pick?pickup_date=2026-10-24&amp;return_date=2026-10-31&amp;currency=EUR&amp;startStation=8&amp;endStation=94", "Clic para verlo en la web de RoadSurfer")</f>
        <v/>
      </c>
    </row>
    <row r="148">
      <c r="A148" t="inlineStr">
        <is>
          <t>Alemania</t>
        </is>
      </c>
      <c r="B148" t="inlineStr">
        <is>
          <t>Leipzig</t>
        </is>
      </c>
      <c r="C148" t="inlineStr">
        <is>
          <t>Italia</t>
        </is>
      </c>
      <c r="D148" t="inlineStr">
        <is>
          <t>Florencia</t>
        </is>
      </c>
      <c r="E148" t="inlineStr">
        <is>
          <t>2026-10-22</t>
        </is>
      </c>
      <c r="F148" t="inlineStr">
        <is>
          <t>2026-10-29</t>
        </is>
      </c>
      <c r="G148" t="inlineStr">
        <is>
          <t xml:space="preserve"> - Surfer Suite</t>
        </is>
      </c>
      <c r="H148">
        <f>HYPERLINK("https://booking.roadsurfer.com/es/rally/pick?pickup_date=2026-10-22&amp;return_date=2026-10-29&amp;currency=EUR&amp;startStation=8&amp;endStation=80", "Clic para verlo en la web de RoadSurfer")</f>
        <v/>
      </c>
    </row>
    <row r="149">
      <c r="A149" t="inlineStr">
        <is>
          <t>Alemania</t>
        </is>
      </c>
      <c r="B149" t="inlineStr">
        <is>
          <t>Leipzig</t>
        </is>
      </c>
      <c r="C149" t="inlineStr">
        <is>
          <t>Bélgica</t>
        </is>
      </c>
      <c r="D149" t="inlineStr">
        <is>
          <t>Bruselas</t>
        </is>
      </c>
      <c r="E149" t="inlineStr">
        <is>
          <t>2026-10-03</t>
        </is>
      </c>
      <c r="F149" t="inlineStr">
        <is>
          <t>2026-10-10</t>
        </is>
      </c>
      <c r="G149" t="inlineStr">
        <is>
          <t xml:space="preserve"> - No hay coche</t>
        </is>
      </c>
      <c r="H149">
        <f>HYPERLINK("https://booking.roadsurfer.com/es/rally/pick?pickup_date=2026-10-03&amp;return_date=2026-10-10&amp;currency=EUR&amp;startStation=8&amp;endStation=42", "Clic para verlo en la web de RoadSurfer")</f>
        <v/>
      </c>
    </row>
    <row r="150">
      <c r="A150" t="inlineStr">
        <is>
          <t>Alemania</t>
        </is>
      </c>
      <c r="B150" t="inlineStr">
        <is>
          <t>Leipzig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2026-10-20</t>
        </is>
      </c>
      <c r="F150" t="inlineStr">
        <is>
          <t>2026-10-27</t>
        </is>
      </c>
      <c r="G150" t="inlineStr">
        <is>
          <t xml:space="preserve"> - Surfer Suite</t>
        </is>
      </c>
      <c r="H150">
        <f>HYPERLINK("https://booking.roadsurfer.com/es/rally/pick?pickup_date=2026-10-20&amp;return_date=2026-10-27&amp;currency=EUR&amp;startStation=8&amp;endStation=17", "Clic para verlo en la web de RoadSurfer")</f>
        <v/>
      </c>
    </row>
    <row r="151">
      <c r="A151" t="inlineStr">
        <is>
          <t>Alemania</t>
        </is>
      </c>
      <c r="B151" t="inlineStr">
        <is>
          <t>Leipzig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2026-10-08</t>
        </is>
      </c>
      <c r="F151" t="inlineStr">
        <is>
          <t>2026-10-15</t>
        </is>
      </c>
      <c r="G151" t="inlineStr">
        <is>
          <t xml:space="preserve"> - Surfer Suite</t>
        </is>
      </c>
      <c r="H151">
        <f>HYPERLINK("https://booking.roadsurfer.com/es/rally/pick?pickup_date=2026-10-08&amp;return_date=2026-10-15&amp;currency=EUR&amp;startStation=8&amp;endStation=17",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2026-10-29</t>
        </is>
      </c>
      <c r="F152" t="inlineStr">
        <is>
          <t>2026-11-05</t>
        </is>
      </c>
      <c r="G152" t="inlineStr">
        <is>
          <t xml:space="preserve"> - BEACH HOSTEL</t>
        </is>
      </c>
      <c r="H152">
        <f>HYPERLINK("https://booking.roadsurfer.com/es/rally/pick?pickup_date=2026-10-29&amp;return_date=2026-11-05&amp;currency=EUR&amp;startStation=8&amp;endStation=17",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Francia</t>
        </is>
      </c>
      <c r="D153" t="inlineStr">
        <is>
          <t>Lille</t>
        </is>
      </c>
      <c r="E153" t="inlineStr">
        <is>
          <t>2026-10-29</t>
        </is>
      </c>
      <c r="F153" t="inlineStr">
        <is>
          <t>2026-11-05</t>
        </is>
      </c>
      <c r="G153" t="inlineStr">
        <is>
          <t xml:space="preserve"> - SURFER SUITE</t>
        </is>
      </c>
      <c r="H153">
        <f>HYPERLINK("https://booking.roadsurfer.com/es/rally/pick?pickup_date=2026-10-29&amp;return_date=2026-11-05&amp;currency=EUR&amp;startStation=8&amp;endStation=87",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2026-10-23</t>
        </is>
      </c>
      <c r="F154" t="inlineStr">
        <is>
          <t>2026-10-30</t>
        </is>
      </c>
      <c r="G154" t="inlineStr">
        <is>
          <t xml:space="preserve"> - SURFER SUITE</t>
        </is>
      </c>
      <c r="H154">
        <f>HYPERLINK("https://booking.roadsurfer.com/es/rally/pick?pickup_date=2026-10-23&amp;return_date=2026-10-30&amp;currency=EUR&amp;startStation=8&amp;endStation=15",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2026-10-24</t>
        </is>
      </c>
      <c r="F155" t="inlineStr">
        <is>
          <t>2026-10-31</t>
        </is>
      </c>
      <c r="G155" t="inlineStr">
        <is>
          <t xml:space="preserve"> - No hay coche</t>
        </is>
      </c>
      <c r="H155">
        <f>HYPERLINK("https://booking.roadsurfer.com/es/rally/pick?pickup_date=2026-10-24&amp;return_date=2026-10-31&amp;currency=EUR&amp;startStation=87&amp;endStation=22",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2026-10-27</t>
        </is>
      </c>
      <c r="F156" t="inlineStr">
        <is>
          <t>2026-11-03</t>
        </is>
      </c>
      <c r="G156" t="inlineStr">
        <is>
          <t xml:space="preserve"> - Beach Hostel</t>
        </is>
      </c>
      <c r="H156">
        <f>HYPERLINK("https://booking.roadsurfer.com/es/rally/pick?pickup_date=2026-10-27&amp;return_date=2026-11-03&amp;currency=EUR&amp;startStation=87&amp;endStation=22", "Clic para verlo en la web de RoadSurfer")</f>
        <v/>
      </c>
    </row>
    <row r="157">
      <c r="A157" t="inlineStr">
        <is>
          <t>Francia</t>
        </is>
      </c>
      <c r="B157" t="inlineStr">
        <is>
          <t>Lille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2026-10-29</t>
        </is>
      </c>
      <c r="F157" t="inlineStr">
        <is>
          <t>2026-11-05</t>
        </is>
      </c>
      <c r="G157" t="inlineStr">
        <is>
          <t xml:space="preserve"> - BEACH HOSTEL</t>
        </is>
      </c>
      <c r="H157">
        <f>HYPERLINK("https://booking.roadsurfer.com/es/rally/pick?pickup_date=2026-10-29&amp;return_date=2026-11-05&amp;currency=EUR&amp;startStation=87&amp;endStation=22", "Clic para verlo en la web de RoadSurfer")</f>
        <v/>
      </c>
    </row>
    <row r="158">
      <c r="A158" t="inlineStr">
        <is>
          <t>Francia</t>
        </is>
      </c>
      <c r="B158" t="inlineStr">
        <is>
          <t>Lille</t>
        </is>
      </c>
      <c r="C158" t="inlineStr">
        <is>
          <t>Francia</t>
        </is>
      </c>
      <c r="D158" t="inlineStr">
        <is>
          <t>Aix-Marsella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Road House</t>
        </is>
      </c>
      <c r="H158">
        <f>HYPERLINK("https://booking.roadsurfer.com/es/rally/pick?pickup_date=2026-09-14&amp;return_date=2026-09-21&amp;currency=EUR&amp;startStation=87&amp;endStation=16", "Clic para verlo en la web de RoadSurfer")</f>
        <v/>
      </c>
    </row>
    <row r="159">
      <c r="A159" t="inlineStr">
        <is>
          <t>Alemania</t>
        </is>
      </c>
      <c r="B159" t="inlineStr">
        <is>
          <t>Lübeck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2026-10-23</t>
        </is>
      </c>
      <c r="F159" t="inlineStr">
        <is>
          <t>2026-10-30</t>
        </is>
      </c>
      <c r="G159" t="inlineStr">
        <is>
          <t xml:space="preserve"> - Beach Hostel</t>
        </is>
      </c>
      <c r="H159">
        <f>HYPERLINK("https://booking.roadsurfer.com/es/rally/pick?pickup_date=2026-10-23&amp;return_date=2026-10-30&amp;currency=EUR&amp;startStation=109&amp;endStation=31", "Clic para verlo en la web de RoadSurfer")</f>
        <v/>
      </c>
    </row>
    <row r="160">
      <c r="A160" t="inlineStr">
        <is>
          <t>Alemania</t>
        </is>
      </c>
      <c r="B160" t="inlineStr">
        <is>
          <t>Lübeck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2026-10-27</t>
        </is>
      </c>
      <c r="F160" t="inlineStr">
        <is>
          <t>2026-11-03</t>
        </is>
      </c>
      <c r="G160" t="inlineStr">
        <is>
          <t xml:space="preserve"> - Beach Hostel</t>
        </is>
      </c>
      <c r="H160">
        <f>HYPERLINK("https://booking.roadsurfer.com/es/rally/pick?pickup_date=2026-10-27&amp;return_date=2026-11-03&amp;currency=EUR&amp;startStation=109&amp;endStation=78",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2026-10-27</t>
        </is>
      </c>
      <c r="F161" t="inlineStr">
        <is>
          <t>2026-11-03</t>
        </is>
      </c>
      <c r="G161" t="inlineStr">
        <is>
          <t xml:space="preserve"> - Surfer Suite</t>
        </is>
      </c>
      <c r="H161">
        <f>HYPERLINK("https://booking.roadsurfer.com/es/rally/pick?pickup_date=2026-10-27&amp;return_date=2026-11-03&amp;currency=EUR&amp;startStation=15&amp;endStation=22",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2026-10-26</t>
        </is>
      </c>
      <c r="F162" t="inlineStr">
        <is>
          <t>2026-11-02</t>
        </is>
      </c>
      <c r="G162" t="inlineStr">
        <is>
          <t xml:space="preserve"> - Camper Cabin Deluxe</t>
        </is>
      </c>
      <c r="H162">
        <f>HYPERLINK("https://booking.roadsurfer.com/es/rally/pick?pickup_date=2026-10-26&amp;return_date=2026-11-02&amp;currency=EUR&amp;startStation=15&amp;endStation=22",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Berlín-Schönefeld</t>
        </is>
      </c>
      <c r="E163" t="inlineStr">
        <is>
          <t>2026-10-17</t>
        </is>
      </c>
      <c r="F163" t="inlineStr">
        <is>
          <t>2026-10-24</t>
        </is>
      </c>
      <c r="G163" t="inlineStr">
        <is>
          <t xml:space="preserve"> - Travel Home</t>
        </is>
      </c>
      <c r="H163">
        <f>HYPERLINK("https://booking.roadsurfer.com/es/rally/pick?pickup_date=2026-10-17&amp;return_date=2026-10-24&amp;currency=EUR&amp;startStation=15&amp;endStation=51",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2026-10-27</t>
        </is>
      </c>
      <c r="F164" t="inlineStr">
        <is>
          <t>2026-11-03</t>
        </is>
      </c>
      <c r="G164" t="inlineStr">
        <is>
          <t xml:space="preserve"> - Camper Cabin</t>
        </is>
      </c>
      <c r="H164">
        <f>HYPERLINK("https://booking.roadsurfer.com/es/rally/pick?pickup_date=2026-10-27&amp;return_date=2026-11-03&amp;currency=EUR&amp;startStation=20&amp;endStation=5",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España</t>
        </is>
      </c>
      <c r="D165" t="inlineStr">
        <is>
          <t>Sevilla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No hay coche</t>
        </is>
      </c>
      <c r="H165">
        <f>HYPERLINK("https://booking.roadsurfer.com/es/rally/pick?pickup_date=2026-09-14&amp;return_date=2026-09-21&amp;currency=EUR&amp;startStation=20&amp;endStation=39",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2026-10-27</t>
        </is>
      </c>
      <c r="F166" t="inlineStr">
        <is>
          <t>2026-11-03</t>
        </is>
      </c>
      <c r="G166" t="inlineStr">
        <is>
          <t xml:space="preserve"> - Surfer Suite</t>
        </is>
      </c>
      <c r="H166">
        <f>HYPERLINK("https://booking.roadsurfer.com/es/rally/pick?pickup_date=2026-10-27&amp;return_date=2026-11-03&amp;currency=EUR&amp;startStation=21&amp;endStation=1",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España</t>
        </is>
      </c>
      <c r="D167" t="inlineStr">
        <is>
          <t>Valencia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Surfer Suite</t>
        </is>
      </c>
      <c r="H167">
        <f>HYPERLINK("https://booking.roadsurfer.com/es/rally/pick?pickup_date=2026-09-14&amp;return_date=2026-09-21&amp;currency=EUR&amp;startStation=21&amp;endStation=38", "Clic para verlo en la web de RoadSurfer")</f>
        <v/>
      </c>
    </row>
    <row r="168">
      <c r="A168" t="inlineStr">
        <is>
          <t>Suecia</t>
        </is>
      </c>
      <c r="B168" t="inlineStr">
        <is>
          <t>Malmö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2026-09-11</t>
        </is>
      </c>
      <c r="F168" t="inlineStr">
        <is>
          <t>2026-09-18</t>
        </is>
      </c>
      <c r="G168" t="inlineStr">
        <is>
          <t xml:space="preserve"> - Cozy Cottage</t>
        </is>
      </c>
      <c r="H168">
        <f>HYPERLINK("https://booking.roadsurfer.com/es/rally/pick?pickup_date=2026-09-11&amp;return_date=2026-09-18&amp;currency=EUR&amp;startStation=60&amp;endStation=4", "Clic para verlo en la web de RoadSurfer")</f>
        <v/>
      </c>
    </row>
    <row r="169">
      <c r="A169" t="inlineStr">
        <is>
          <t>Suecia</t>
        </is>
      </c>
      <c r="B169" t="inlineStr">
        <is>
          <t>Malmö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Family Finca</t>
        </is>
      </c>
      <c r="H169">
        <f>HYPERLINK("https://booking.roadsurfer.com/es/rally/pick?pickup_date=2026-09-14&amp;return_date=2026-09-21&amp;currency=EUR&amp;startStation=60&amp;endStation=56", "Clic para verlo en la web de RoadSurfer")</f>
        <v/>
      </c>
    </row>
    <row r="170">
      <c r="A170" t="inlineStr">
        <is>
          <t>Suecia</t>
        </is>
      </c>
      <c r="B170" t="inlineStr">
        <is>
          <t>Malmö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Camper Castle</t>
        </is>
      </c>
      <c r="H170">
        <f>HYPERLINK("https://booking.roadsurfer.com/es/rally/pick?pickup_date=2026-09-14&amp;return_date=2026-09-21&amp;currency=EUR&amp;startStation=60&amp;endStation=42",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2026-10-30</t>
        </is>
      </c>
      <c r="F171" t="inlineStr">
        <is>
          <t>2026-11-06</t>
        </is>
      </c>
      <c r="G171" t="inlineStr">
        <is>
          <t xml:space="preserve"> - Surfer Suite</t>
        </is>
      </c>
      <c r="H171">
        <f>HYPERLINK("https://booking.roadsurfer.com/es/rally/pick?pickup_date=2026-10-30&amp;return_date=2026-11-06&amp;currency=EUR&amp;startStation=22&amp;endStation=12",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2026-10-14</t>
        </is>
      </c>
      <c r="F172" t="inlineStr">
        <is>
          <t>2026-10-21</t>
        </is>
      </c>
      <c r="G172" t="inlineStr">
        <is>
          <t xml:space="preserve"> - Camper Cabin</t>
        </is>
      </c>
      <c r="H172">
        <f>HYPERLINK("https://booking.roadsurfer.com/es/rally/pick?pickup_date=2026-10-14&amp;return_date=2026-10-21&amp;currency=EUR&amp;startStation=22&amp;endStation=12",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2026-10-13</t>
        </is>
      </c>
      <c r="F173" t="inlineStr">
        <is>
          <t>2026-10-20</t>
        </is>
      </c>
      <c r="G173" t="inlineStr">
        <is>
          <t xml:space="preserve"> - Surfer Suite - Camper Cabin</t>
        </is>
      </c>
      <c r="H173">
        <f>HYPERLINK("https://booking.roadsurfer.com/es/rally/pick?pickup_date=2026-10-13&amp;return_date=2026-10-20&amp;currency=EUR&amp;startStation=22&amp;endStation=12",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2026-10-07</t>
        </is>
      </c>
      <c r="F174" t="inlineStr">
        <is>
          <t>2026-10-14</t>
        </is>
      </c>
      <c r="G174" t="inlineStr">
        <is>
          <t xml:space="preserve"> - Surfer Suite</t>
        </is>
      </c>
      <c r="H174">
        <f>HYPERLINK("https://booking.roadsurfer.com/es/rally/pick?pickup_date=2026-10-07&amp;return_date=2026-10-14&amp;currency=EUR&amp;startStation=22&amp;endStation=12",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2026-10-09</t>
        </is>
      </c>
      <c r="F175" t="inlineStr">
        <is>
          <t>2026-10-16</t>
        </is>
      </c>
      <c r="G175" t="inlineStr">
        <is>
          <t xml:space="preserve"> - Surfer Suite</t>
        </is>
      </c>
      <c r="H175">
        <f>HYPERLINK("https://booking.roadsurfer.com/es/rally/pick?pickup_date=2026-10-09&amp;return_date=2026-10-16&amp;currency=EUR&amp;startStation=22&amp;endStation=12",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2026-10-02</t>
        </is>
      </c>
      <c r="F176" t="inlineStr">
        <is>
          <t>2026-10-09</t>
        </is>
      </c>
      <c r="G176" t="inlineStr">
        <is>
          <t xml:space="preserve"> - Surfer Suite</t>
        </is>
      </c>
      <c r="H176">
        <f>HYPERLINK("https://booking.roadsurfer.com/es/rally/pick?pickup_date=2026-10-02&amp;return_date=2026-10-09&amp;currency=EUR&amp;startStation=22&amp;endStation=12",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2026-10-29</t>
        </is>
      </c>
      <c r="F177" t="inlineStr">
        <is>
          <t>2026-11-05</t>
        </is>
      </c>
      <c r="G177" t="inlineStr">
        <is>
          <t xml:space="preserve"> - Surfer Suite</t>
        </is>
      </c>
      <c r="H177">
        <f>HYPERLINK("https://booking.roadsurfer.com/es/rally/pick?pickup_date=2026-10-29&amp;return_date=2026-11-05&amp;currency=EUR&amp;startStation=22&amp;endStation=78",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2026-10-26</t>
        </is>
      </c>
      <c r="F178" t="inlineStr">
        <is>
          <t>2026-11-02</t>
        </is>
      </c>
      <c r="G178" t="inlineStr">
        <is>
          <t xml:space="preserve"> - Surfer Suite</t>
        </is>
      </c>
      <c r="H178">
        <f>HYPERLINK("https://booking.roadsurfer.com/es/rally/pick?pickup_date=2026-10-26&amp;return_date=2026-11-02&amp;currency=EUR&amp;startStation=22&amp;endStation=78",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2026-10-19</t>
        </is>
      </c>
      <c r="F179" t="inlineStr">
        <is>
          <t>2026-10-26</t>
        </is>
      </c>
      <c r="G179" t="inlineStr">
        <is>
          <t xml:space="preserve"> - Surfer Suite</t>
        </is>
      </c>
      <c r="H179">
        <f>HYPERLINK("https://booking.roadsurfer.com/es/rally/pick?pickup_date=2026-10-19&amp;return_date=2026-10-26&amp;currency=EUR&amp;startStation=22&amp;endStation=78",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2026-10-09</t>
        </is>
      </c>
      <c r="F180" t="inlineStr">
        <is>
          <t>2026-10-16</t>
        </is>
      </c>
      <c r="G180" t="inlineStr">
        <is>
          <t xml:space="preserve"> - Surfer Suite</t>
        </is>
      </c>
      <c r="H180">
        <f>HYPERLINK("https://booking.roadsurfer.com/es/rally/pick?pickup_date=2026-10-09&amp;return_date=2026-10-16&amp;currency=EUR&amp;startStation=22&amp;endStation=78",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2026-10-12</t>
        </is>
      </c>
      <c r="F181" t="inlineStr">
        <is>
          <t>2026-10-19</t>
        </is>
      </c>
      <c r="G181" t="inlineStr">
        <is>
          <t xml:space="preserve"> - Surfer Suite</t>
        </is>
      </c>
      <c r="H181">
        <f>HYPERLINK("https://booking.roadsurfer.com/es/rally/pick?pickup_date=2026-10-12&amp;return_date=2026-10-19&amp;currency=EUR&amp;startStation=22&amp;endStation=78",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Turín</t>
        </is>
      </c>
      <c r="E182" t="inlineStr">
        <is>
          <t>2026-10-13</t>
        </is>
      </c>
      <c r="F182" t="inlineStr">
        <is>
          <t>2026-10-20</t>
        </is>
      </c>
      <c r="G182" t="inlineStr">
        <is>
          <t xml:space="preserve"> - Surfer Suite</t>
        </is>
      </c>
      <c r="H182">
        <f>HYPERLINK("https://booking.roadsurfer.com/es/rally/pick?pickup_date=2026-10-13&amp;return_date=2026-10-20&amp;currency=EUR&amp;startStation=22&amp;endStation=58",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Turín</t>
        </is>
      </c>
      <c r="E183" t="inlineStr">
        <is>
          <t>2026-10-01</t>
        </is>
      </c>
      <c r="F183" t="inlineStr">
        <is>
          <t>2026-10-08</t>
        </is>
      </c>
      <c r="G183" t="inlineStr">
        <is>
          <t xml:space="preserve"> - Surfer Suite</t>
        </is>
      </c>
      <c r="H183">
        <f>HYPERLINK("https://booking.roadsurfer.com/es/rally/pick?pickup_date=2026-10-01&amp;return_date=2026-10-08&amp;currency=EUR&amp;startStation=22&amp;endStation=58",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2026-10-29</t>
        </is>
      </c>
      <c r="F184" t="inlineStr">
        <is>
          <t>2026-11-05</t>
        </is>
      </c>
      <c r="G184" t="inlineStr">
        <is>
          <t xml:space="preserve"> - Surfer Suite</t>
        </is>
      </c>
      <c r="H184">
        <f>HYPERLINK("https://booking.roadsurfer.com/es/rally/pick?pickup_date=2026-10-29&amp;return_date=2026-11-05&amp;currency=EUR&amp;startStation=22&amp;endStation=29",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2026-10-13</t>
        </is>
      </c>
      <c r="F185" t="inlineStr">
        <is>
          <t>2026-10-20</t>
        </is>
      </c>
      <c r="G185" t="inlineStr">
        <is>
          <t xml:space="preserve"> - Beach Hostel</t>
        </is>
      </c>
      <c r="H185">
        <f>HYPERLINK("https://booking.roadsurfer.com/es/rally/pick?pickup_date=2026-10-13&amp;return_date=2026-10-20&amp;currency=EUR&amp;startStation=22&amp;endStation=29",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2026-10-08</t>
        </is>
      </c>
      <c r="F186" t="inlineStr">
        <is>
          <t>2026-10-15</t>
        </is>
      </c>
      <c r="G186" t="inlineStr">
        <is>
          <t xml:space="preserve"> - Surfer Suite</t>
        </is>
      </c>
      <c r="H186">
        <f>HYPERLINK("https://booking.roadsurfer.com/es/rally/pick?pickup_date=2026-10-08&amp;return_date=2026-10-15&amp;currency=EUR&amp;startStation=22&amp;endStation=29",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Roma Aeropuerto Fiumicino</t>
        </is>
      </c>
      <c r="E187" t="inlineStr">
        <is>
          <t>2026-10-08</t>
        </is>
      </c>
      <c r="F187" t="inlineStr">
        <is>
          <t>2026-10-15</t>
        </is>
      </c>
      <c r="G187" t="inlineStr">
        <is>
          <t xml:space="preserve"> - Surfer Suite</t>
        </is>
      </c>
      <c r="H187">
        <f>HYPERLINK("https://booking.roadsurfer.com/es/rally/pick?pickup_date=2026-10-08&amp;return_date=2026-10-15&amp;currency=EUR&amp;startStation=22&amp;endStation=35",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2026-10-22</t>
        </is>
      </c>
      <c r="F188" t="inlineStr">
        <is>
          <t>2026-10-29</t>
        </is>
      </c>
      <c r="G188" t="inlineStr">
        <is>
          <t xml:space="preserve"> - Surfer Suite</t>
        </is>
      </c>
      <c r="H188">
        <f>HYPERLINK("https://booking.roadsurfer.com/es/rally/pick?pickup_date=2026-10-22&amp;return_date=2026-10-29&amp;currency=EUR&amp;startStation=22&amp;endStation=15",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2026-10-12</t>
        </is>
      </c>
      <c r="F189" t="inlineStr">
        <is>
          <t>2026-10-19</t>
        </is>
      </c>
      <c r="G189" t="inlineStr">
        <is>
          <t xml:space="preserve"> - No hay coche</t>
        </is>
      </c>
      <c r="H189">
        <f>HYPERLINK("https://booking.roadsurfer.com/es/rally/pick?pickup_date=2026-10-12&amp;return_date=2026-10-19&amp;currency=EUR&amp;startStation=22&amp;endStation=15",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2026-10-05</t>
        </is>
      </c>
      <c r="F190" t="inlineStr">
        <is>
          <t>2026-10-12</t>
        </is>
      </c>
      <c r="G190" t="inlineStr">
        <is>
          <t xml:space="preserve"> - BEACH HOSTEL</t>
        </is>
      </c>
      <c r="H190">
        <f>HYPERLINK("https://booking.roadsurfer.com/es/rally/pick?pickup_date=2026-10-05&amp;return_date=2026-10-12&amp;currency=EUR&amp;startStation=22&amp;endStation=15",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2026-10-01</t>
        </is>
      </c>
      <c r="F191" t="inlineStr">
        <is>
          <t>2026-10-08</t>
        </is>
      </c>
      <c r="G191" t="inlineStr">
        <is>
          <t xml:space="preserve"> - Surfer Suite</t>
        </is>
      </c>
      <c r="H191">
        <f>HYPERLINK("https://booking.roadsurfer.com/es/rally/pick?pickup_date=2026-10-01&amp;return_date=2026-10-08&amp;currency=EUR&amp;startStation=22&amp;endStation=17",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España</t>
        </is>
      </c>
      <c r="D192" t="inlineStr">
        <is>
          <t>Barcelona</t>
        </is>
      </c>
      <c r="E192" t="inlineStr">
        <is>
          <t>2026-10-24</t>
        </is>
      </c>
      <c r="F192" t="inlineStr">
        <is>
          <t>2026-10-31</t>
        </is>
      </c>
      <c r="G192" t="inlineStr">
        <is>
          <t xml:space="preserve"> - No hay coche</t>
        </is>
      </c>
      <c r="H192">
        <f>HYPERLINK("https://booking.roadsurfer.com/es/rally/pick?pickup_date=2026-10-24&amp;return_date=2026-10-31&amp;currency=EUR&amp;startStation=22&amp;endStation=17",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2026-10-05</t>
        </is>
      </c>
      <c r="F193" t="inlineStr">
        <is>
          <t>2026-10-12</t>
        </is>
      </c>
      <c r="G193" t="inlineStr">
        <is>
          <t xml:space="preserve"> - Surfer Suite</t>
        </is>
      </c>
      <c r="H193">
        <f>HYPERLINK("https://booking.roadsurfer.com/es/rally/pick?pickup_date=2026-10-05&amp;return_date=2026-10-12&amp;currency=EUR&amp;startStation=22&amp;endStation=94",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Bérgamo</t>
        </is>
      </c>
      <c r="E194" t="inlineStr">
        <is>
          <t>2026-10-01</t>
        </is>
      </c>
      <c r="F194" t="inlineStr">
        <is>
          <t>2026-10-08</t>
        </is>
      </c>
      <c r="G194" t="inlineStr">
        <is>
          <t xml:space="preserve"> - Surfer Suite</t>
        </is>
      </c>
      <c r="H194">
        <f>HYPERLINK("https://booking.roadsurfer.com/es/rally/pick?pickup_date=2026-10-01&amp;return_date=2026-10-08&amp;currency=EUR&amp;startStation=22&amp;endStation=94",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Italia</t>
        </is>
      </c>
      <c r="D195" t="inlineStr">
        <is>
          <t>Bérgamo</t>
        </is>
      </c>
      <c r="E195" t="inlineStr">
        <is>
          <t>2026-10-12</t>
        </is>
      </c>
      <c r="F195" t="inlineStr">
        <is>
          <t>2026-10-19</t>
        </is>
      </c>
      <c r="G195" t="inlineStr">
        <is>
          <t xml:space="preserve"> - Surfer Suite</t>
        </is>
      </c>
      <c r="H195">
        <f>HYPERLINK("https://booking.roadsurfer.com/es/rally/pick?pickup_date=2026-10-12&amp;return_date=2026-10-19&amp;currency=EUR&amp;startStation=22&amp;endStation=94",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Italia</t>
        </is>
      </c>
      <c r="D196" t="inlineStr">
        <is>
          <t>Bérgamo</t>
        </is>
      </c>
      <c r="E196" t="inlineStr">
        <is>
          <t>2026-10-30</t>
        </is>
      </c>
      <c r="F196" t="inlineStr">
        <is>
          <t>2026-11-06</t>
        </is>
      </c>
      <c r="G196" t="inlineStr">
        <is>
          <t xml:space="preserve"> - Surfer Suite</t>
        </is>
      </c>
      <c r="H196">
        <f>HYPERLINK("https://booking.roadsurfer.com/es/rally/pick?pickup_date=2026-10-30&amp;return_date=2026-11-06&amp;currency=EUR&amp;startStation=22&amp;endStation=94",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2026-10-06</t>
        </is>
      </c>
      <c r="F197" t="inlineStr">
        <is>
          <t>2026-10-13</t>
        </is>
      </c>
      <c r="G197" t="inlineStr">
        <is>
          <t xml:space="preserve"> - BEACH HOSTEL</t>
        </is>
      </c>
      <c r="H197">
        <f>HYPERLINK("https://booking.roadsurfer.com/es/rally/pick?pickup_date=2026-10-06&amp;return_date=2026-10-13&amp;currency=EUR&amp;startStation=22&amp;endStation=20",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2026-10-26</t>
        </is>
      </c>
      <c r="F198" t="inlineStr">
        <is>
          <t>2026-11-02</t>
        </is>
      </c>
      <c r="G198" t="inlineStr">
        <is>
          <t xml:space="preserve"> - No hay coche</t>
        </is>
      </c>
      <c r="H198">
        <f>HYPERLINK("https://booking.roadsurfer.com/es/rally/pick?pickup_date=2026-10-26&amp;return_date=2026-11-02&amp;currency=EUR&amp;startStation=22&amp;endStation=20",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2026-10-23</t>
        </is>
      </c>
      <c r="F199" t="inlineStr">
        <is>
          <t>2026-10-30</t>
        </is>
      </c>
      <c r="G199" t="inlineStr">
        <is>
          <t xml:space="preserve"> - Surfer Suite</t>
        </is>
      </c>
      <c r="H199">
        <f>HYPERLINK("https://booking.roadsurfer.com/es/rally/pick?pickup_date=2026-10-23&amp;return_date=2026-10-30&amp;currency=EUR&amp;startStation=22&amp;endStation=20",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2026-10-16</t>
        </is>
      </c>
      <c r="F200" t="inlineStr">
        <is>
          <t>2026-10-23</t>
        </is>
      </c>
      <c r="G200" t="inlineStr">
        <is>
          <t xml:space="preserve"> - Camper Cabin</t>
        </is>
      </c>
      <c r="H200">
        <f>HYPERLINK("https://booking.roadsurfer.com/es/rally/pick?pickup_date=2026-10-16&amp;return_date=2026-10-23&amp;currency=EUR&amp;startStation=22&amp;endStation=31",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2026-10-01</t>
        </is>
      </c>
      <c r="F201" t="inlineStr">
        <is>
          <t>2026-10-08</t>
        </is>
      </c>
      <c r="G201" t="inlineStr">
        <is>
          <t xml:space="preserve"> - Surfer Suite</t>
        </is>
      </c>
      <c r="H201">
        <f>HYPERLINK("https://booking.roadsurfer.com/es/rally/pick?pickup_date=2026-10-01&amp;return_date=2026-10-08&amp;currency=EUR&amp;startStation=22&amp;endStation=31",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2026-10-12</t>
        </is>
      </c>
      <c r="F202" t="inlineStr">
        <is>
          <t>2026-10-19</t>
        </is>
      </c>
      <c r="G202" t="inlineStr">
        <is>
          <t xml:space="preserve"> - Surfer Suite</t>
        </is>
      </c>
      <c r="H202">
        <f>HYPERLINK("https://booking.roadsurfer.com/es/rally/pick?pickup_date=2026-10-12&amp;return_date=2026-10-19&amp;currency=EUR&amp;startStation=22&amp;endStation=13",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2026-10-21</t>
        </is>
      </c>
      <c r="F203" t="inlineStr">
        <is>
          <t>2026-10-28</t>
        </is>
      </c>
      <c r="G203" t="inlineStr">
        <is>
          <t xml:space="preserve"> - Surfer Suite</t>
        </is>
      </c>
      <c r="H203">
        <f>HYPERLINK("https://booking.roadsurfer.com/es/rally/pick?pickup_date=2026-10-21&amp;return_date=2026-10-28&amp;currency=EUR&amp;startStation=22&amp;endStation=13",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2026-10-10</t>
        </is>
      </c>
      <c r="F204" t="inlineStr">
        <is>
          <t>2026-10-17</t>
        </is>
      </c>
      <c r="G204" t="inlineStr">
        <is>
          <t xml:space="preserve"> - No hay coche</t>
        </is>
      </c>
      <c r="H204">
        <f>HYPERLINK("https://booking.roadsurfer.com/es/rally/pick?pickup_date=2026-10-10&amp;return_date=2026-10-17&amp;currency=EUR&amp;startStation=22&amp;endStation=13",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2026-10-05</t>
        </is>
      </c>
      <c r="F205" t="inlineStr">
        <is>
          <t>2026-10-12</t>
        </is>
      </c>
      <c r="G205" t="inlineStr">
        <is>
          <t xml:space="preserve"> - Surfer Suite</t>
        </is>
      </c>
      <c r="H205">
        <f>HYPERLINK("https://booking.roadsurfer.com/es/rally/pick?pickup_date=2026-10-05&amp;return_date=2026-10-12&amp;currency=EUR&amp;startStation=22&amp;endStation=13",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2026-10-29</t>
        </is>
      </c>
      <c r="F206" t="inlineStr">
        <is>
          <t>2026-11-05</t>
        </is>
      </c>
      <c r="G206" t="inlineStr">
        <is>
          <t xml:space="preserve"> - Surfer Suite</t>
        </is>
      </c>
      <c r="H206">
        <f>HYPERLINK("https://booking.roadsurfer.com/es/rally/pick?pickup_date=2026-10-29&amp;return_date=2026-11-05&amp;currency=EUR&amp;startStation=22&amp;endStation=13",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2026-10-14</t>
        </is>
      </c>
      <c r="F207" t="inlineStr">
        <is>
          <t>2026-10-21</t>
        </is>
      </c>
      <c r="G207" t="inlineStr">
        <is>
          <t xml:space="preserve"> - Surfer Suite</t>
        </is>
      </c>
      <c r="H207">
        <f>HYPERLINK("https://booking.roadsurfer.com/es/rally/pick?pickup_date=2026-10-14&amp;return_date=2026-10-21&amp;currency=EUR&amp;startStation=22&amp;endStation=13",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Aix-Marsella</t>
        </is>
      </c>
      <c r="E208" t="inlineStr">
        <is>
          <t>2026-10-24</t>
        </is>
      </c>
      <c r="F208" t="inlineStr">
        <is>
          <t>2026-10-31</t>
        </is>
      </c>
      <c r="G208" t="inlineStr">
        <is>
          <t xml:space="preserve"> - No hay coche</t>
        </is>
      </c>
      <c r="H208">
        <f>HYPERLINK("https://booking.roadsurfer.com/es/rally/pick?pickup_date=2026-10-24&amp;return_date=2026-10-31&amp;currency=EUR&amp;startStation=22&amp;endStation=16",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Aix-Marsella</t>
        </is>
      </c>
      <c r="E209" t="inlineStr">
        <is>
          <t>2026-10-13</t>
        </is>
      </c>
      <c r="F209" t="inlineStr">
        <is>
          <t>2026-10-20</t>
        </is>
      </c>
      <c r="G209" t="inlineStr">
        <is>
          <t xml:space="preserve"> - Surfer Suite</t>
        </is>
      </c>
      <c r="H209">
        <f>HYPERLINK("https://booking.roadsurfer.com/es/rally/pick?pickup_date=2026-10-13&amp;return_date=2026-10-20&amp;currency=EUR&amp;startStation=22&amp;endStation=16",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Niza</t>
        </is>
      </c>
      <c r="E210" t="inlineStr">
        <is>
          <t>2026-10-29</t>
        </is>
      </c>
      <c r="F210" t="inlineStr">
        <is>
          <t>2026-11-05</t>
        </is>
      </c>
      <c r="G210" t="inlineStr">
        <is>
          <t xml:space="preserve"> - Surfer Suite</t>
        </is>
      </c>
      <c r="H210">
        <f>HYPERLINK("https://booking.roadsurfer.com/es/rally/pick?pickup_date=2026-10-29&amp;return_date=2026-11-05&amp;currency=EUR&amp;startStation=22&amp;endStation=88",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2026-10-06</t>
        </is>
      </c>
      <c r="F211" t="inlineStr">
        <is>
          <t>2026-10-13</t>
        </is>
      </c>
      <c r="G211" t="inlineStr">
        <is>
          <t xml:space="preserve"> - Surfer Suite</t>
        </is>
      </c>
      <c r="H211">
        <f>HYPERLINK("https://booking.roadsurfer.com/es/rally/pick?pickup_date=2026-10-06&amp;return_date=2026-10-13&amp;currency=EUR&amp;startStation=22&amp;endStation=48",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2026-09-23</t>
        </is>
      </c>
      <c r="F212" t="inlineStr">
        <is>
          <t>2026-09-30</t>
        </is>
      </c>
      <c r="G212" t="inlineStr">
        <is>
          <t xml:space="preserve"> - BEACH HOSTEL</t>
        </is>
      </c>
      <c r="H212">
        <f>HYPERLINK("https://booking.roadsurfer.com/es/rally/pick?pickup_date=2026-09-23&amp;return_date=2026-09-30&amp;currency=EUR&amp;startStation=22&amp;endStation=38",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2026-10-12</t>
        </is>
      </c>
      <c r="F213" t="inlineStr">
        <is>
          <t>2026-10-19</t>
        </is>
      </c>
      <c r="G213" t="inlineStr">
        <is>
          <t xml:space="preserve"> - Surfer Suite</t>
        </is>
      </c>
      <c r="H213">
        <f>HYPERLINK("https://booking.roadsurfer.com/es/rally/pick?pickup_date=2026-10-12&amp;return_date=2026-10-19&amp;currency=EUR&amp;startStation=22&amp;endStation=38",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Lille</t>
        </is>
      </c>
      <c r="E214" t="inlineStr">
        <is>
          <t>2026-10-12</t>
        </is>
      </c>
      <c r="F214" t="inlineStr">
        <is>
          <t>2026-10-19</t>
        </is>
      </c>
      <c r="G214" t="inlineStr">
        <is>
          <t xml:space="preserve"> - No hay coche</t>
        </is>
      </c>
      <c r="H214">
        <f>HYPERLINK("https://booking.roadsurfer.com/es/rally/pick?pickup_date=2026-10-12&amp;return_date=2026-10-19&amp;currency=EUR&amp;startStation=22&amp;endStation=87",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Italia</t>
        </is>
      </c>
      <c r="D215" t="inlineStr">
        <is>
          <t>Florencia</t>
        </is>
      </c>
      <c r="E215" t="inlineStr">
        <is>
          <t>2026-10-09</t>
        </is>
      </c>
      <c r="F215" t="inlineStr">
        <is>
          <t>2026-10-16</t>
        </is>
      </c>
      <c r="G215" t="inlineStr">
        <is>
          <t xml:space="preserve"> - Beach Hostel</t>
        </is>
      </c>
      <c r="H215">
        <f>HYPERLINK("https://booking.roadsurfer.com/es/rally/pick?pickup_date=2026-10-09&amp;return_date=2026-10-16&amp;currency=EUR&amp;startStation=22&amp;endStation=80",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España</t>
        </is>
      </c>
      <c r="D216" t="inlineStr">
        <is>
          <t>Málaga</t>
        </is>
      </c>
      <c r="E216" t="inlineStr">
        <is>
          <t>2026-10-23</t>
        </is>
      </c>
      <c r="F216" t="inlineStr">
        <is>
          <t>2026-10-30</t>
        </is>
      </c>
      <c r="G216" t="inlineStr">
        <is>
          <t xml:space="preserve"> - Beach Hostel</t>
        </is>
      </c>
      <c r="H216">
        <f>HYPERLINK("https://booking.roadsurfer.com/es/rally/pick?pickup_date=2026-10-23&amp;return_date=2026-10-30&amp;currency=EUR&amp;startStation=22&amp;endStation=21",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2026-10-24</t>
        </is>
      </c>
      <c r="F217" t="inlineStr">
        <is>
          <t>2026-10-31</t>
        </is>
      </c>
      <c r="G217" t="inlineStr">
        <is>
          <t xml:space="preserve"> - No hay coche</t>
        </is>
      </c>
      <c r="H217">
        <f>HYPERLINK("https://booking.roadsurfer.com/es/rally/pick?pickup_date=2026-10-24&amp;return_date=2026-10-31&amp;currency=EUR&amp;startStation=22&amp;endStation=30",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2026-10-29</t>
        </is>
      </c>
      <c r="F218" t="inlineStr">
        <is>
          <t>2026-11-05</t>
        </is>
      </c>
      <c r="G218" t="inlineStr">
        <is>
          <t xml:space="preserve"> - Camper Cabin</t>
        </is>
      </c>
      <c r="H218">
        <f>HYPERLINK("https://booking.roadsurfer.com/es/rally/pick?pickup_date=2026-10-29&amp;return_date=2026-11-05&amp;currency=EUR&amp;startStation=22&amp;endStation=42",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2026-10-14</t>
        </is>
      </c>
      <c r="F219" t="inlineStr">
        <is>
          <t>2026-10-21</t>
        </is>
      </c>
      <c r="G219" t="inlineStr">
        <is>
          <t xml:space="preserve"> - Camper Cabin Deluxe</t>
        </is>
      </c>
      <c r="H219">
        <f>HYPERLINK("https://booking.roadsurfer.com/es/rally/pick?pickup_date=2026-10-14&amp;return_date=2026-10-21&amp;currency=EUR&amp;startStation=22&amp;endStation=42",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Italia</t>
        </is>
      </c>
      <c r="D220" t="inlineStr">
        <is>
          <t>Bolonia</t>
        </is>
      </c>
      <c r="E220" t="inlineStr">
        <is>
          <t>2026-09-16</t>
        </is>
      </c>
      <c r="F220" t="inlineStr">
        <is>
          <t>2026-09-23</t>
        </is>
      </c>
      <c r="G220" t="inlineStr">
        <is>
          <t xml:space="preserve"> - Couple Cottage</t>
        </is>
      </c>
      <c r="H220">
        <f>HYPERLINK("https://booking.roadsurfer.com/es/rally/pick?pickup_date=2026-09-16&amp;return_date=2026-09-23&amp;currency=EUR&amp;startStation=22&amp;endStation=57", "Clic para verlo en la web de RoadSurfer")</f>
        <v/>
      </c>
    </row>
    <row r="221">
      <c r="A221" t="inlineStr">
        <is>
          <t>Italia</t>
        </is>
      </c>
      <c r="B221" t="inlineStr">
        <is>
          <t>Milán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2026-10-27</t>
        </is>
      </c>
      <c r="F221" t="inlineStr">
        <is>
          <t>2026-11-03</t>
        </is>
      </c>
      <c r="G221" t="inlineStr">
        <is>
          <t xml:space="preserve"> - Surfer Suite - Beach Hostel - Sunrise Suite</t>
        </is>
      </c>
      <c r="H221">
        <f>HYPERLINK("https://booking.roadsurfer.com/es/rally/pick?pickup_date=2026-10-27&amp;return_date=2026-11-03&amp;currency=EUR&amp;startStation=34&amp;endStation=22", "Clic para verlo en la web de RoadSurfer")</f>
        <v/>
      </c>
    </row>
    <row r="222">
      <c r="A222" t="inlineStr">
        <is>
          <t>Italia</t>
        </is>
      </c>
      <c r="B222" t="inlineStr">
        <is>
          <t>Milán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2026-10-28</t>
        </is>
      </c>
      <c r="F222" t="inlineStr">
        <is>
          <t>2026-11-04</t>
        </is>
      </c>
      <c r="G222" t="inlineStr">
        <is>
          <t xml:space="preserve"> - Surfer Suite</t>
        </is>
      </c>
      <c r="H222">
        <f>HYPERLINK("https://booking.roadsurfer.com/es/rally/pick?pickup_date=2026-10-28&amp;return_date=2026-11-04&amp;currency=EUR&amp;startStation=34&amp;endStation=22",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2026-10-16</t>
        </is>
      </c>
      <c r="F223" t="inlineStr">
        <is>
          <t>2026-10-23</t>
        </is>
      </c>
      <c r="G223" t="inlineStr">
        <is>
          <t xml:space="preserve"> - Surfer Suite</t>
        </is>
      </c>
      <c r="H223">
        <f>HYPERLINK("https://booking.roadsurfer.com/es/rally/pick?pickup_date=2026-10-16&amp;return_date=2026-10-23&amp;currency=EUR&amp;startStation=1&amp;endStation=20",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2026-10-10</t>
        </is>
      </c>
      <c r="F224" t="inlineStr">
        <is>
          <t>2026-10-17</t>
        </is>
      </c>
      <c r="G224" t="inlineStr">
        <is>
          <t xml:space="preserve"> - Surfer Suite</t>
        </is>
      </c>
      <c r="H224">
        <f>HYPERLINK("https://booking.roadsurfer.com/es/rally/pick?pickup_date=2026-10-10&amp;return_date=2026-10-17&amp;currency=EUR&amp;startStation=1&amp;endStation=48",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2026-10-19</t>
        </is>
      </c>
      <c r="F225" t="inlineStr">
        <is>
          <t>2026-10-26</t>
        </is>
      </c>
      <c r="G225" t="inlineStr">
        <is>
          <t xml:space="preserve"> - Surfer Suite</t>
        </is>
      </c>
      <c r="H225">
        <f>HYPERLINK("https://booking.roadsurfer.com/es/rally/pick?pickup_date=2026-10-19&amp;return_date=2026-10-26&amp;currency=EUR&amp;startStation=1&amp;endStation=94",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Italia</t>
        </is>
      </c>
      <c r="D226" t="inlineStr">
        <is>
          <t>Florencia</t>
        </is>
      </c>
      <c r="E226" t="inlineStr">
        <is>
          <t>2026-10-22</t>
        </is>
      </c>
      <c r="F226" t="inlineStr">
        <is>
          <t>2026-10-29</t>
        </is>
      </c>
      <c r="G226" t="inlineStr">
        <is>
          <t xml:space="preserve"> - Surfer Suite</t>
        </is>
      </c>
      <c r="H226">
        <f>HYPERLINK("https://booking.roadsurfer.com/es/rally/pick?pickup_date=2026-10-22&amp;return_date=2026-10-29&amp;currency=EUR&amp;startStation=1&amp;endStation=80",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2026-10-21</t>
        </is>
      </c>
      <c r="F227" t="inlineStr">
        <is>
          <t>2026-10-28</t>
        </is>
      </c>
      <c r="G227" t="inlineStr">
        <is>
          <t xml:space="preserve"> - Camper Cabin</t>
        </is>
      </c>
      <c r="H227">
        <f>HYPERLINK("https://booking.roadsurfer.com/es/rally/pick?pickup_date=2026-10-21&amp;return_date=2026-10-28&amp;currency=EUR&amp;startStation=1&amp;endStation=13",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2026-10-28</t>
        </is>
      </c>
      <c r="F228" t="inlineStr">
        <is>
          <t>2026-11-04</t>
        </is>
      </c>
      <c r="G228" t="inlineStr">
        <is>
          <t xml:space="preserve"> - Surfer Suite</t>
        </is>
      </c>
      <c r="H228">
        <f>HYPERLINK("https://booking.roadsurfer.com/es/rally/pick?pickup_date=2026-10-28&amp;return_date=2026-11-04&amp;currency=EUR&amp;startStation=1&amp;endStation=13",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2026-10-10</t>
        </is>
      </c>
      <c r="F229" t="inlineStr">
        <is>
          <t>2026-10-17</t>
        </is>
      </c>
      <c r="G229" t="inlineStr">
        <is>
          <t xml:space="preserve"> - Surfer Suite</t>
        </is>
      </c>
      <c r="H229">
        <f>HYPERLINK("https://booking.roadsurfer.com/es/rally/pick?pickup_date=2026-10-10&amp;return_date=2026-10-17&amp;currency=EUR&amp;startStation=1&amp;endStation=13",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2026-10-26</t>
        </is>
      </c>
      <c r="F230" t="inlineStr">
        <is>
          <t>2026-11-02</t>
        </is>
      </c>
      <c r="G230" t="inlineStr">
        <is>
          <t xml:space="preserve"> - Sunrise Suite</t>
        </is>
      </c>
      <c r="H230">
        <f>HYPERLINK("https://booking.roadsurfer.com/es/rally/pick?pickup_date=2026-10-26&amp;return_date=2026-11-02&amp;currency=EUR&amp;startStation=1&amp;endStation=13",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2026-10-16</t>
        </is>
      </c>
      <c r="F231" t="inlineStr">
        <is>
          <t>2026-10-23</t>
        </is>
      </c>
      <c r="G231" t="inlineStr">
        <is>
          <t xml:space="preserve"> - Surfer Suite</t>
        </is>
      </c>
      <c r="H231">
        <f>HYPERLINK("https://booking.roadsurfer.com/es/rally/pick?pickup_date=2026-10-16&amp;return_date=2026-10-23&amp;currency=EUR&amp;startStation=1&amp;endStation=15",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Italia</t>
        </is>
      </c>
      <c r="D232" t="inlineStr">
        <is>
          <t>Bolonia</t>
        </is>
      </c>
      <c r="E232" t="inlineStr">
        <is>
          <t>2026-10-17</t>
        </is>
      </c>
      <c r="F232" t="inlineStr">
        <is>
          <t>2026-10-24</t>
        </is>
      </c>
      <c r="G232" t="inlineStr">
        <is>
          <t xml:space="preserve"> - Surfer Suite</t>
        </is>
      </c>
      <c r="H232">
        <f>HYPERLINK("https://booking.roadsurfer.com/es/rally/pick?pickup_date=2026-10-17&amp;return_date=2026-10-24&amp;currency=EUR&amp;startStation=1&amp;endStation=57",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2026-10-05</t>
        </is>
      </c>
      <c r="F233" t="inlineStr">
        <is>
          <t>2026-10-12</t>
        </is>
      </c>
      <c r="G233" t="inlineStr">
        <is>
          <t xml:space="preserve"> - Travel Home</t>
        </is>
      </c>
      <c r="H233">
        <f>HYPERLINK("https://booking.roadsurfer.com/es/rally/pick?pickup_date=2026-10-05&amp;return_date=2026-10-12&amp;currency=EUR&amp;startStation=1&amp;endStation=16",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2026-10-08</t>
        </is>
      </c>
      <c r="F234" t="inlineStr">
        <is>
          <t>2026-10-15</t>
        </is>
      </c>
      <c r="G234" t="inlineStr">
        <is>
          <t xml:space="preserve"> - BEACH HOSTEL</t>
        </is>
      </c>
      <c r="H234">
        <f>HYPERLINK("https://booking.roadsurfer.com/es/rally/pick?pickup_date=2026-10-08&amp;return_date=2026-10-15&amp;currency=EUR&amp;startStation=1&amp;endStation=16",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2026-10-09</t>
        </is>
      </c>
      <c r="F235" t="inlineStr">
        <is>
          <t>2026-10-16</t>
        </is>
      </c>
      <c r="G235" t="inlineStr">
        <is>
          <t xml:space="preserve"> - Beach Hostel</t>
        </is>
      </c>
      <c r="H235">
        <f>HYPERLINK("https://booking.roadsurfer.com/es/rally/pick?pickup_date=2026-10-09&amp;return_date=2026-10-16&amp;currency=EUR&amp;startStation=1&amp;endStation=16",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2026-10-13</t>
        </is>
      </c>
      <c r="F236" t="inlineStr">
        <is>
          <t>2026-10-20</t>
        </is>
      </c>
      <c r="G236" t="inlineStr">
        <is>
          <t xml:space="preserve"> - BEACH HOSTEL</t>
        </is>
      </c>
      <c r="H236">
        <f>HYPERLINK("https://booking.roadsurfer.com/es/rally/pick?pickup_date=2026-10-13&amp;return_date=2026-10-20&amp;currency=EUR&amp;startStation=1&amp;endStation=47",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2026-10-17</t>
        </is>
      </c>
      <c r="F237" t="inlineStr">
        <is>
          <t>2026-10-24</t>
        </is>
      </c>
      <c r="G237" t="inlineStr">
        <is>
          <t xml:space="preserve"> - Travel Home</t>
        </is>
      </c>
      <c r="H237">
        <f>HYPERLINK("https://booking.roadsurfer.com/es/rally/pick?pickup_date=2026-10-17&amp;return_date=2026-10-24&amp;currency=EUR&amp;startStation=1&amp;endStation=29",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2026-09-18</t>
        </is>
      </c>
      <c r="F238" t="inlineStr">
        <is>
          <t>2026-09-25</t>
        </is>
      </c>
      <c r="G238" t="inlineStr">
        <is>
          <t xml:space="preserve"> - Road House</t>
        </is>
      </c>
      <c r="H238">
        <f>HYPERLINK("https://booking.roadsurfer.com/es/rally/pick?pickup_date=2026-09-18&amp;return_date=2026-09-25&amp;currency=EUR&amp;startStation=1&amp;endStation=34",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2026-10-16</t>
        </is>
      </c>
      <c r="F239" t="inlineStr">
        <is>
          <t>2026-10-23</t>
        </is>
      </c>
      <c r="G239" t="inlineStr">
        <is>
          <t xml:space="preserve"> - Camper Cabin</t>
        </is>
      </c>
      <c r="H239">
        <f>HYPERLINK("https://booking.roadsurfer.com/es/rally/pick?pickup_date=2026-10-16&amp;return_date=2026-10-23&amp;currency=EUR&amp;startStation=31&amp;endStation=22",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No hay coche</t>
        </is>
      </c>
      <c r="H240">
        <f>HYPERLINK("https://booking.roadsurfer.com/es/rally/pick?pickup_date=2026-09-14&amp;return_date=2026-09-21&amp;currency=EUR&amp;startStation=31&amp;endStation=29",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2026-09-15</t>
        </is>
      </c>
      <c r="F241" t="inlineStr">
        <is>
          <t>2026-09-21</t>
        </is>
      </c>
      <c r="G241" t="inlineStr">
        <is>
          <t xml:space="preserve"> - No hay coche</t>
        </is>
      </c>
      <c r="H241">
        <f>HYPERLINK("https://booking.roadsurfer.com/es/rally/pick?pickup_date=2026-09-15&amp;return_date=2026-09-21&amp;currency=EUR&amp;startStation=31&amp;endStation=29",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2026-10-16</t>
        </is>
      </c>
      <c r="F242" t="inlineStr">
        <is>
          <t>2026-10-23</t>
        </is>
      </c>
      <c r="G242" t="inlineStr">
        <is>
          <t xml:space="preserve"> - Surfer Suite</t>
        </is>
      </c>
      <c r="H242">
        <f>HYPERLINK("https://booking.roadsurfer.com/es/rally/pick?pickup_date=2026-10-16&amp;return_date=2026-10-23&amp;currency=EUR&amp;startStation=31&amp;endStation=5",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Lübeck</t>
        </is>
      </c>
      <c r="E243" t="inlineStr">
        <is>
          <t>2026-09-25</t>
        </is>
      </c>
      <c r="F243" t="inlineStr">
        <is>
          <t>2026-10-02</t>
        </is>
      </c>
      <c r="G243" t="inlineStr">
        <is>
          <t xml:space="preserve"> - Beach Hostel</t>
        </is>
      </c>
      <c r="H243">
        <f>HYPERLINK("https://booking.roadsurfer.com/es/rally/pick?pickup_date=2026-09-25&amp;return_date=2026-10-02&amp;currency=EUR&amp;startStation=31&amp;endStation=109",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Francia</t>
        </is>
      </c>
      <c r="D244" t="inlineStr">
        <is>
          <t>Toulouse</t>
        </is>
      </c>
      <c r="E244" t="inlineStr">
        <is>
          <t>2026-09-14</t>
        </is>
      </c>
      <c r="F244" t="inlineStr">
        <is>
          <t>2026-09-21</t>
        </is>
      </c>
      <c r="G244" t="inlineStr">
        <is>
          <t xml:space="preserve"> - Family Finca</t>
        </is>
      </c>
      <c r="H244">
        <f>HYPERLINK("https://booking.roadsurfer.com/es/rally/pick?pickup_date=2026-09-14&amp;return_date=2026-09-21&amp;currency=EUR&amp;startStation=31&amp;endStation=30", "Clic para verlo en la web de RoadSurfer")</f>
        <v/>
      </c>
    </row>
    <row r="245">
      <c r="A245" t="inlineStr">
        <is>
          <t>Francia</t>
        </is>
      </c>
      <c r="B245" t="inlineStr">
        <is>
          <t>Niza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2026-10-05</t>
        </is>
      </c>
      <c r="F245" t="inlineStr">
        <is>
          <t>2026-10-12</t>
        </is>
      </c>
      <c r="G245" t="inlineStr">
        <is>
          <t xml:space="preserve"> - Beach Hostel</t>
        </is>
      </c>
      <c r="H245">
        <f>HYPERLINK("https://booking.roadsurfer.com/es/rally/pick?pickup_date=2026-10-05&amp;return_date=2026-10-12&amp;currency=EUR&amp;startStation=88&amp;endStation=113", "Clic para verlo en la web de RoadSurfer")</f>
        <v/>
      </c>
    </row>
    <row r="246">
      <c r="A246" t="inlineStr">
        <is>
          <t>Francia</t>
        </is>
      </c>
      <c r="B246" t="inlineStr">
        <is>
          <t>Niza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2026-10-30</t>
        </is>
      </c>
      <c r="F246" t="inlineStr">
        <is>
          <t>2026-11-06</t>
        </is>
      </c>
      <c r="G246" t="inlineStr">
        <is>
          <t xml:space="preserve"> - Beach Hostel</t>
        </is>
      </c>
      <c r="H246">
        <f>HYPERLINK("https://booking.roadsurfer.com/es/rally/pick?pickup_date=2026-10-30&amp;return_date=2026-11-06&amp;currency=EUR&amp;startStation=88&amp;endStation=22",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2026-09-11</t>
        </is>
      </c>
      <c r="F247" t="inlineStr">
        <is>
          <t>2026-09-18</t>
        </is>
      </c>
      <c r="G247" t="inlineStr">
        <is>
          <t xml:space="preserve"> - Surfer Suite</t>
        </is>
      </c>
      <c r="H247">
        <f>HYPERLINK("https://booking.roadsurfer.com/es/rally/pick?pickup_date=2026-09-11&amp;return_date=2026-09-18&amp;currency=EUR&amp;startStation=12&amp;endStation=29",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2026-10-02</t>
        </is>
      </c>
      <c r="F248" t="inlineStr">
        <is>
          <t>2026-10-09</t>
        </is>
      </c>
      <c r="G248" t="inlineStr">
        <is>
          <t xml:space="preserve"> - Surfer Suite</t>
        </is>
      </c>
      <c r="H248">
        <f>HYPERLINK("https://booking.roadsurfer.com/es/rally/pick?pickup_date=2026-10-02&amp;return_date=2026-10-09&amp;currency=EUR&amp;startStation=12&amp;endStation=22",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2026-10-27</t>
        </is>
      </c>
      <c r="F249" t="inlineStr">
        <is>
          <t>2026-11-03</t>
        </is>
      </c>
      <c r="G249" t="inlineStr">
        <is>
          <t xml:space="preserve"> - Surfer Suite - Camper Cabin Deluxe</t>
        </is>
      </c>
      <c r="H249">
        <f>HYPERLINK("https://booking.roadsurfer.com/es/rally/pick?pickup_date=2026-10-27&amp;return_date=2026-11-03&amp;currency=EUR&amp;startStation=12&amp;endStation=22",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2026-10-29</t>
        </is>
      </c>
      <c r="F250" t="inlineStr">
        <is>
          <t>2026-11-05</t>
        </is>
      </c>
      <c r="G250" t="inlineStr">
        <is>
          <t xml:space="preserve"> - Sunrise Suite</t>
        </is>
      </c>
      <c r="H250">
        <f>HYPERLINK("https://booking.roadsurfer.com/es/rally/pick?pickup_date=2026-10-29&amp;return_date=2026-11-05&amp;currency=EUR&amp;startStation=12&amp;endStation=22",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2026-09-14</t>
        </is>
      </c>
      <c r="F251" t="inlineStr">
        <is>
          <t>2026-09-21</t>
        </is>
      </c>
      <c r="G251" t="inlineStr">
        <is>
          <t xml:space="preserve"> - Surfer Suite - Road House</t>
        </is>
      </c>
      <c r="H251">
        <f>HYPERLINK("https://booking.roadsurfer.com/es/rally/pick?pickup_date=2026-09-14&amp;return_date=2026-09-21&amp;currency=EUR&amp;startStation=12&amp;endStation=20",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2026-10-07</t>
        </is>
      </c>
      <c r="F252" t="inlineStr">
        <is>
          <t>2026-10-14</t>
        </is>
      </c>
      <c r="G252" t="inlineStr">
        <is>
          <t xml:space="preserve"> - Surfer Suite</t>
        </is>
      </c>
      <c r="H252">
        <f>HYPERLINK("https://booking.roadsurfer.com/es/rally/pick?pickup_date=2026-10-07&amp;return_date=2026-10-14&amp;currency=EUR&amp;startStation=48&amp;endStation=10", "Clic para verlo en la web de RoadSurfer")</f>
        <v/>
      </c>
    </row>
    <row r="253">
      <c r="A253" t="inlineStr">
        <is>
          <t>Francia</t>
        </is>
      </c>
      <c r="B253" t="inlineStr">
        <is>
          <t>París Aeropuerto CDG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2026-10-26</t>
        </is>
      </c>
      <c r="F253" t="inlineStr">
        <is>
          <t>2026-11-02</t>
        </is>
      </c>
      <c r="G253" t="inlineStr">
        <is>
          <t xml:space="preserve"> - Beach Hostel</t>
        </is>
      </c>
      <c r="H253">
        <f>HYPERLINK("https://booking.roadsurfer.com/es/rally/pick?pickup_date=2026-10-26&amp;return_date=2026-11-02&amp;currency=EUR&amp;startStation=48&amp;endStation=22", "Clic para verlo en la web de RoadSurfer")</f>
        <v/>
      </c>
    </row>
    <row r="254">
      <c r="A254" t="inlineStr">
        <is>
          <t>Francia</t>
        </is>
      </c>
      <c r="B254" t="inlineStr">
        <is>
          <t>París Aeropuerto CDG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2026-10-28</t>
        </is>
      </c>
      <c r="F254" t="inlineStr">
        <is>
          <t>2026-11-04</t>
        </is>
      </c>
      <c r="G254" t="inlineStr">
        <is>
          <t xml:space="preserve"> - Surfer Suite</t>
        </is>
      </c>
      <c r="H254">
        <f>HYPERLINK("https://booking.roadsurfer.com/es/rally/pick?pickup_date=2026-10-28&amp;return_date=2026-11-04&amp;currency=EUR&amp;startStation=48&amp;endStation=22",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Constanza (Aach)</t>
        </is>
      </c>
      <c r="E255" t="inlineStr">
        <is>
          <t>2026-10-26</t>
        </is>
      </c>
      <c r="F255" t="inlineStr">
        <is>
          <t>2026-11-02</t>
        </is>
      </c>
      <c r="G255" t="inlineStr">
        <is>
          <t xml:space="preserve"> - Surfer Suite</t>
        </is>
      </c>
      <c r="H255">
        <f>HYPERLINK("https://booking.roadsurfer.com/es/rally/pick?pickup_date=2026-10-26&amp;return_date=2026-11-02&amp;currency=EUR&amp;startStation=35&amp;endStation=10", "Clic para verlo en la web de RoadSurfer")</f>
        <v/>
      </c>
    </row>
    <row r="256">
      <c r="A256" t="inlineStr">
        <is>
          <t>Italia</t>
        </is>
      </c>
      <c r="B256" t="inlineStr">
        <is>
          <t>Roma Aeropuerto Fiumicino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2026-10-27</t>
        </is>
      </c>
      <c r="F256" t="inlineStr">
        <is>
          <t>2026-11-03</t>
        </is>
      </c>
      <c r="G256" t="inlineStr">
        <is>
          <t xml:space="preserve"> - Surfer Suite</t>
        </is>
      </c>
      <c r="H256">
        <f>HYPERLINK("https://booking.roadsurfer.com/es/rally/pick?pickup_date=2026-10-27&amp;return_date=2026-11-03&amp;currency=EUR&amp;startStation=35&amp;endStation=10",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2026-10-10</t>
        </is>
      </c>
      <c r="F257" t="inlineStr">
        <is>
          <t>2026-10-17</t>
        </is>
      </c>
      <c r="G257" t="inlineStr">
        <is>
          <t xml:space="preserve"> - Camper Cabin</t>
        </is>
      </c>
      <c r="H257">
        <f>HYPERLINK("https://booking.roadsurfer.com/es/rally/pick?pickup_date=2026-10-10&amp;return_date=2026-10-17&amp;currency=EUR&amp;startStation=33&amp;endStation=2",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Fráncfort</t>
        </is>
      </c>
      <c r="E258" t="inlineStr">
        <is>
          <t>2026-10-20</t>
        </is>
      </c>
      <c r="F258" t="inlineStr">
        <is>
          <t>2026-10-27</t>
        </is>
      </c>
      <c r="G258" t="inlineStr">
        <is>
          <t xml:space="preserve"> - Surfer Suite</t>
        </is>
      </c>
      <c r="H258">
        <f>HYPERLINK("https://booking.roadsurfer.com/es/rally/pick?pickup_date=2026-10-20&amp;return_date=2026-10-27&amp;currency=EUR&amp;startStation=33&amp;endStation=2",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Fráncfort</t>
        </is>
      </c>
      <c r="E259" t="inlineStr">
        <is>
          <t>2026-10-24</t>
        </is>
      </c>
      <c r="F259" t="inlineStr">
        <is>
          <t>2026-10-31</t>
        </is>
      </c>
      <c r="G259" t="inlineStr">
        <is>
          <t xml:space="preserve"> - Surfer Suite - Camper Cabin - Camper Cabin Deluxe</t>
        </is>
      </c>
      <c r="H259">
        <f>HYPERLINK("https://booking.roadsurfer.com/es/rally/pick?pickup_date=2026-10-24&amp;return_date=2026-10-31&amp;currency=EUR&amp;startStation=33&amp;endStation=2",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Fráncfort</t>
        </is>
      </c>
      <c r="E260" t="inlineStr">
        <is>
          <t>2026-10-16</t>
        </is>
      </c>
      <c r="F260" t="inlineStr">
        <is>
          <t>2026-10-23</t>
        </is>
      </c>
      <c r="G260" t="inlineStr">
        <is>
          <t xml:space="preserve"> - No hay coche</t>
        </is>
      </c>
      <c r="H260">
        <f>HYPERLINK("https://booking.roadsurfer.com/es/rally/pick?pickup_date=2026-10-16&amp;return_date=2026-10-23&amp;currency=EUR&amp;startStation=33&amp;endStation=2",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Fráncfort</t>
        </is>
      </c>
      <c r="E261" t="inlineStr">
        <is>
          <t>2026-10-23</t>
        </is>
      </c>
      <c r="F261" t="inlineStr">
        <is>
          <t>2026-10-30</t>
        </is>
      </c>
      <c r="G261" t="inlineStr">
        <is>
          <t xml:space="preserve"> - Surfer Suite</t>
        </is>
      </c>
      <c r="H261">
        <f>HYPERLINK("https://booking.roadsurfer.com/es/rally/pick?pickup_date=2026-10-23&amp;return_date=2026-10-30&amp;currency=EUR&amp;startStation=33&amp;endStation=2",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Fráncfort</t>
        </is>
      </c>
      <c r="E262" t="inlineStr">
        <is>
          <t>2026-10-12</t>
        </is>
      </c>
      <c r="F262" t="inlineStr">
        <is>
          <t>2026-10-19</t>
        </is>
      </c>
      <c r="G262" t="inlineStr">
        <is>
          <t xml:space="preserve"> - Camper Cabin</t>
        </is>
      </c>
      <c r="H262">
        <f>HYPERLINK("https://booking.roadsurfer.com/es/rally/pick?pickup_date=2026-10-12&amp;return_date=2026-10-19&amp;currency=EUR&amp;startStation=33&amp;endStation=2",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2026-10-14</t>
        </is>
      </c>
      <c r="F263" t="inlineStr">
        <is>
          <t>2026-10-21</t>
        </is>
      </c>
      <c r="G263" t="inlineStr">
        <is>
          <t xml:space="preserve"> - Surfer Suite</t>
        </is>
      </c>
      <c r="H263">
        <f>HYPERLINK("https://booking.roadsurfer.com/es/rally/pick?pickup_date=2026-10-14&amp;return_date=2026-10-21&amp;currency=EUR&amp;startStation=33&amp;endStation=55",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Bremen</t>
        </is>
      </c>
      <c r="E264" t="inlineStr">
        <is>
          <t>2026-10-15</t>
        </is>
      </c>
      <c r="F264" t="inlineStr">
        <is>
          <t>2026-10-22</t>
        </is>
      </c>
      <c r="G264" t="inlineStr">
        <is>
          <t xml:space="preserve"> - Camper Cabin</t>
        </is>
      </c>
      <c r="H264">
        <f>HYPERLINK("https://booking.roadsurfer.com/es/rally/pick?pickup_date=2026-10-15&amp;return_date=2026-10-22&amp;currency=EUR&amp;startStation=33&amp;endStation=55",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2026-10-14</t>
        </is>
      </c>
      <c r="F265" t="inlineStr">
        <is>
          <t>2026-10-21</t>
        </is>
      </c>
      <c r="G265" t="inlineStr">
        <is>
          <t xml:space="preserve"> - Surfer Suite</t>
        </is>
      </c>
      <c r="H265">
        <f>HYPERLINK("https://booking.roadsurfer.com/es/rally/pick?pickup_date=2026-10-14&amp;return_date=2026-10-21&amp;currency=EUR&amp;startStation=33&amp;endStation=113", "Clic para verlo en la web de RoadSurfer")</f>
        <v/>
      </c>
    </row>
    <row r="266">
      <c r="A266" t="inlineStr">
        <is>
          <t>EE.UU.</t>
        </is>
      </c>
      <c r="B266" t="inlineStr">
        <is>
          <t>Seattle</t>
        </is>
      </c>
      <c r="C266" t="inlineStr">
        <is>
          <t>EE.UU.</t>
        </is>
      </c>
      <c r="D266" t="inlineStr">
        <is>
          <t>Phoenix</t>
        </is>
      </c>
      <c r="E266" t="inlineStr">
        <is>
          <t>2026-09-28</t>
        </is>
      </c>
      <c r="F266" t="inlineStr">
        <is>
          <t>2026-10-05</t>
        </is>
      </c>
      <c r="G266" t="inlineStr">
        <is>
          <t xml:space="preserve"> - No hay coche</t>
        </is>
      </c>
      <c r="H266">
        <f>HYPERLINK("https://booking.roadsurfer.com/es/rally/pick?pickup_date=2026-09-28&amp;return_date=2026-10-05&amp;currency=EUR&amp;startStation=107&amp;endStation=105", "Clic para verlo en la web de RoadSurfer")</f>
        <v/>
      </c>
    </row>
    <row r="267">
      <c r="A267" t="inlineStr">
        <is>
          <t>España</t>
        </is>
      </c>
      <c r="B267" t="inlineStr">
        <is>
          <t>Sevilla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2026-10-26</t>
        </is>
      </c>
      <c r="F267" t="inlineStr">
        <is>
          <t>2026-11-02</t>
        </is>
      </c>
      <c r="G267" t="inlineStr">
        <is>
          <t xml:space="preserve"> - Surfer Suite</t>
        </is>
      </c>
      <c r="H267">
        <f>HYPERLINK("https://booking.roadsurfer.com/es/rally/pick?pickup_date=2026-10-26&amp;return_date=2026-11-02&amp;currency=EUR&amp;startStation=39&amp;endStation=22",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Friburgo-Basilea (Alemania)</t>
        </is>
      </c>
      <c r="E268" t="inlineStr">
        <is>
          <t>2026-10-29</t>
        </is>
      </c>
      <c r="F268" t="inlineStr">
        <is>
          <t>2026-11-05</t>
        </is>
      </c>
      <c r="G268" t="inlineStr">
        <is>
          <t xml:space="preserve"> - Beach Hostel</t>
        </is>
      </c>
      <c r="H268">
        <f>HYPERLINK("https://booking.roadsurfer.com/es/rally/pick?pickup_date=2026-10-29&amp;return_date=2026-11-05&amp;currency=EUR&amp;startStation=39&amp;endStation=9",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Wurzburgo</t>
        </is>
      </c>
      <c r="E269" t="inlineStr">
        <is>
          <t>2026-10-05</t>
        </is>
      </c>
      <c r="F269" t="inlineStr">
        <is>
          <t>2026-10-12</t>
        </is>
      </c>
      <c r="G269" t="inlineStr">
        <is>
          <t xml:space="preserve"> - ROAD HOUSE</t>
        </is>
      </c>
      <c r="H269">
        <f>HYPERLINK("https://booking.roadsurfer.com/es/rally/pick?pickup_date=2026-10-05&amp;return_date=2026-10-12&amp;currency=EUR&amp;startStation=39&amp;endStation=115",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2026-10-12</t>
        </is>
      </c>
      <c r="F270" t="inlineStr">
        <is>
          <t>2026-10-19</t>
        </is>
      </c>
      <c r="G270" t="inlineStr">
        <is>
          <t xml:space="preserve"> - Surfer Suite</t>
        </is>
      </c>
      <c r="H270">
        <f>HYPERLINK("https://booking.roadsurfer.com/es/rally/pick?pickup_date=2026-10-12&amp;return_date=2026-10-19&amp;currency=EUR&amp;startStation=59&amp;endStation=5",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2026-10-12</t>
        </is>
      </c>
      <c r="F271" t="inlineStr">
        <is>
          <t>2026-10-19</t>
        </is>
      </c>
      <c r="G271" t="inlineStr">
        <is>
          <t xml:space="preserve"> - Camper Cabin Deluxe</t>
        </is>
      </c>
      <c r="H271">
        <f>HYPERLINK("https://booking.roadsurfer.com/es/rally/pick?pickup_date=2026-10-12&amp;return_date=2026-10-19&amp;currency=EUR&amp;startStation=59&amp;endStation=55",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2026-09-15</t>
        </is>
      </c>
      <c r="F272" t="inlineStr">
        <is>
          <t>2026-09-22</t>
        </is>
      </c>
      <c r="G272" t="inlineStr">
        <is>
          <t xml:space="preserve"> - Camper Castle</t>
        </is>
      </c>
      <c r="H272">
        <f>HYPERLINK("https://booking.roadsurfer.com/es/rally/pick?pickup_date=2026-09-15&amp;return_date=2026-09-22&amp;currency=EUR&amp;startStation=59&amp;endStation=52",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Fráncfort</t>
        </is>
      </c>
      <c r="E273" t="inlineStr">
        <is>
          <t>2026-09-14</t>
        </is>
      </c>
      <c r="F273" t="inlineStr">
        <is>
          <t>2026-09-21</t>
        </is>
      </c>
      <c r="G273" t="inlineStr">
        <is>
          <t xml:space="preserve"> - Camper Castle</t>
        </is>
      </c>
      <c r="H273">
        <f>HYPERLINK("https://booking.roadsurfer.com/es/rally/pick?pickup_date=2026-09-14&amp;return_date=2026-09-21&amp;currency=EUR&amp;startStation=59&amp;endStation=2",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Colonia-Düsseldorf</t>
        </is>
      </c>
      <c r="E274" t="inlineStr">
        <is>
          <t>2026-10-19</t>
        </is>
      </c>
      <c r="F274" t="inlineStr">
        <is>
          <t>2026-10-26</t>
        </is>
      </c>
      <c r="G274" t="inlineStr">
        <is>
          <t xml:space="preserve"> - Sunrise Suite</t>
        </is>
      </c>
      <c r="H274">
        <f>HYPERLINK("https://booking.roadsurfer.com/es/rally/pick?pickup_date=2026-10-19&amp;return_date=2026-10-26&amp;currency=EUR&amp;startStation=59&amp;endStation=4",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España</t>
        </is>
      </c>
      <c r="D275" t="inlineStr">
        <is>
          <t>Málaga</t>
        </is>
      </c>
      <c r="E275" t="inlineStr">
        <is>
          <t>2026-10-09</t>
        </is>
      </c>
      <c r="F275" t="inlineStr">
        <is>
          <t>2026-10-16</t>
        </is>
      </c>
      <c r="G275" t="inlineStr">
        <is>
          <t xml:space="preserve"> - Surfer Suite</t>
        </is>
      </c>
      <c r="H275">
        <f>HYPERLINK("https://booking.roadsurfer.com/es/rally/pick?pickup_date=2026-10-09&amp;return_date=2026-10-16&amp;currency=EUR&amp;startStation=5&amp;endStation=21",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España</t>
        </is>
      </c>
      <c r="D276" t="inlineStr">
        <is>
          <t>Málaga</t>
        </is>
      </c>
      <c r="E276" t="inlineStr">
        <is>
          <t>2026-10-20</t>
        </is>
      </c>
      <c r="F276" t="inlineStr">
        <is>
          <t>2026-10-27</t>
        </is>
      </c>
      <c r="G276" t="inlineStr">
        <is>
          <t xml:space="preserve"> - SURFER SUITE</t>
        </is>
      </c>
      <c r="H276">
        <f>HYPERLINK("https://booking.roadsurfer.com/es/rally/pick?pickup_date=2026-10-20&amp;return_date=2026-10-27&amp;currency=EUR&amp;startStation=5&amp;endStation=21",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Italia</t>
        </is>
      </c>
      <c r="D277" t="inlineStr">
        <is>
          <t>Bérgamo</t>
        </is>
      </c>
      <c r="E277" t="inlineStr">
        <is>
          <t>2026-10-28</t>
        </is>
      </c>
      <c r="F277" t="inlineStr">
        <is>
          <t>2026-11-04</t>
        </is>
      </c>
      <c r="G277" t="inlineStr">
        <is>
          <t xml:space="preserve"> - Surfer Suite</t>
        </is>
      </c>
      <c r="H277">
        <f>HYPERLINK("https://booking.roadsurfer.com/es/rally/pick?pickup_date=2026-10-28&amp;return_date=2026-11-04&amp;currency=EUR&amp;startStation=5&amp;endStation=94",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2026-10-05</t>
        </is>
      </c>
      <c r="F278" t="inlineStr">
        <is>
          <t>2026-10-12</t>
        </is>
      </c>
      <c r="G278" t="inlineStr">
        <is>
          <t xml:space="preserve"> - Surfer Suite</t>
        </is>
      </c>
      <c r="H278">
        <f>HYPERLINK("https://booking.roadsurfer.com/es/rally/pick?pickup_date=2026-10-05&amp;return_date=2026-10-12&amp;currency=EUR&amp;startStation=5&amp;endStation=94",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Italia</t>
        </is>
      </c>
      <c r="D279" t="inlineStr">
        <is>
          <t>Florencia</t>
        </is>
      </c>
      <c r="E279" t="inlineStr">
        <is>
          <t>2026-10-24</t>
        </is>
      </c>
      <c r="F279" t="inlineStr">
        <is>
          <t>2026-10-31</t>
        </is>
      </c>
      <c r="G279" t="inlineStr">
        <is>
          <t xml:space="preserve"> - Surfer Suite</t>
        </is>
      </c>
      <c r="H279">
        <f>HYPERLINK("https://booking.roadsurfer.com/es/rally/pick?pickup_date=2026-10-24&amp;return_date=2026-10-31&amp;currency=EUR&amp;startStation=5&amp;endStation=80",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Italia</t>
        </is>
      </c>
      <c r="D280" t="inlineStr">
        <is>
          <t>Florencia</t>
        </is>
      </c>
      <c r="E280" t="inlineStr">
        <is>
          <t>2026-10-02</t>
        </is>
      </c>
      <c r="F280" t="inlineStr">
        <is>
          <t>2026-10-09</t>
        </is>
      </c>
      <c r="G280" t="inlineStr">
        <is>
          <t xml:space="preserve"> - Surfer Suite</t>
        </is>
      </c>
      <c r="H280">
        <f>HYPERLINK("https://booking.roadsurfer.com/es/rally/pick?pickup_date=2026-10-02&amp;return_date=2026-10-09&amp;currency=EUR&amp;startStation=5&amp;endStation=80",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2026-10-27</t>
        </is>
      </c>
      <c r="F281" t="inlineStr">
        <is>
          <t>2026-11-03</t>
        </is>
      </c>
      <c r="G281" t="inlineStr">
        <is>
          <t xml:space="preserve"> - Surfer Suite</t>
        </is>
      </c>
      <c r="H281">
        <f>HYPERLINK("https://booking.roadsurfer.com/es/rally/pick?pickup_date=2026-10-27&amp;return_date=2026-11-03&amp;currency=EUR&amp;startStation=5&amp;endStation=39",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España</t>
        </is>
      </c>
      <c r="D282" t="inlineStr">
        <is>
          <t>Sevilla</t>
        </is>
      </c>
      <c r="E282" t="inlineStr">
        <is>
          <t>2026-10-10</t>
        </is>
      </c>
      <c r="F282" t="inlineStr">
        <is>
          <t>2026-10-17</t>
        </is>
      </c>
      <c r="G282" t="inlineStr">
        <is>
          <t xml:space="preserve"> - Surfer Suite</t>
        </is>
      </c>
      <c r="H282">
        <f>HYPERLINK("https://booking.roadsurfer.com/es/rally/pick?pickup_date=2026-10-10&amp;return_date=2026-10-17&amp;currency=EUR&amp;startStation=5&amp;endStation=39",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Italia</t>
        </is>
      </c>
      <c r="D283" t="inlineStr">
        <is>
          <t>Venecia</t>
        </is>
      </c>
      <c r="E283" t="inlineStr">
        <is>
          <t>2026-10-07</t>
        </is>
      </c>
      <c r="F283" t="inlineStr">
        <is>
          <t>2026-10-14</t>
        </is>
      </c>
      <c r="G283" t="inlineStr">
        <is>
          <t xml:space="preserve"> - Surfer Suite</t>
        </is>
      </c>
      <c r="H283">
        <f>HYPERLINK("https://booking.roadsurfer.com/es/rally/pick?pickup_date=2026-10-07&amp;return_date=2026-10-14&amp;currency=EUR&amp;startStation=5&amp;endStation=78",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2026-10-15</t>
        </is>
      </c>
      <c r="F284" t="inlineStr">
        <is>
          <t>2026-10-22</t>
        </is>
      </c>
      <c r="G284" t="inlineStr">
        <is>
          <t xml:space="preserve"> - Beach Hostel</t>
        </is>
      </c>
      <c r="H284">
        <f>HYPERLINK("https://booking.roadsurfer.com/es/rally/pick?pickup_date=2026-10-15&amp;return_date=2026-10-22&amp;currency=EUR&amp;startStation=5&amp;endStation=16",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2026-10-29</t>
        </is>
      </c>
      <c r="F285" t="inlineStr">
        <is>
          <t>2026-11-05</t>
        </is>
      </c>
      <c r="G285" t="inlineStr">
        <is>
          <t xml:space="preserve"> - Surfer Suite</t>
        </is>
      </c>
      <c r="H285">
        <f>HYPERLINK("https://booking.roadsurfer.com/es/rally/pick?pickup_date=2026-10-29&amp;return_date=2026-11-05&amp;currency=EUR&amp;startStation=5&amp;endStation=16",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2026-10-12</t>
        </is>
      </c>
      <c r="F286" t="inlineStr">
        <is>
          <t>2026-10-19</t>
        </is>
      </c>
      <c r="G286" t="inlineStr">
        <is>
          <t xml:space="preserve"> - No hay coche</t>
        </is>
      </c>
      <c r="H286">
        <f>HYPERLINK("https://booking.roadsurfer.com/es/rally/pick?pickup_date=2026-10-12&amp;return_date=2026-10-19&amp;currency=EUR&amp;startStation=5&amp;endStation=16",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Toulouse</t>
        </is>
      </c>
      <c r="E287" t="inlineStr">
        <is>
          <t>2026-09-14</t>
        </is>
      </c>
      <c r="F287" t="inlineStr">
        <is>
          <t>2026-09-21</t>
        </is>
      </c>
      <c r="G287" t="inlineStr">
        <is>
          <t xml:space="preserve"> - Surfer Suite</t>
        </is>
      </c>
      <c r="H287">
        <f>HYPERLINK("https://booking.roadsurfer.com/es/rally/pick?pickup_date=2026-09-14&amp;return_date=2026-09-21&amp;currency=EUR&amp;startStation=5&amp;endStation=30",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2026-10-26</t>
        </is>
      </c>
      <c r="F288" t="inlineStr">
        <is>
          <t>2026-11-02</t>
        </is>
      </c>
      <c r="G288" t="inlineStr">
        <is>
          <t xml:space="preserve"> - Surfer Suite</t>
        </is>
      </c>
      <c r="H288">
        <f>HYPERLINK("https://booking.roadsurfer.com/es/rally/pick?pickup_date=2026-10-26&amp;return_date=2026-11-02&amp;currency=EUR&amp;startStation=5&amp;endStation=55",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Italia</t>
        </is>
      </c>
      <c r="D289" t="inlineStr">
        <is>
          <t>Milán</t>
        </is>
      </c>
      <c r="E289" t="inlineStr">
        <is>
          <t>2026-10-17</t>
        </is>
      </c>
      <c r="F289" t="inlineStr">
        <is>
          <t>2026-10-24</t>
        </is>
      </c>
      <c r="G289" t="inlineStr">
        <is>
          <t xml:space="preserve"> - Surfer Suite</t>
        </is>
      </c>
      <c r="H289">
        <f>HYPERLINK("https://booking.roadsurfer.com/es/rally/pick?pickup_date=2026-10-17&amp;return_date=2026-10-24&amp;currency=EUR&amp;startStation=5&amp;endStation=34",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Italia</t>
        </is>
      </c>
      <c r="D290" t="inlineStr">
        <is>
          <t>Turín</t>
        </is>
      </c>
      <c r="E290" t="inlineStr">
        <is>
          <t>2026-10-10</t>
        </is>
      </c>
      <c r="F290" t="inlineStr">
        <is>
          <t>2026-10-17</t>
        </is>
      </c>
      <c r="G290" t="inlineStr">
        <is>
          <t xml:space="preserve"> - SURFER SUITE</t>
        </is>
      </c>
      <c r="H290">
        <f>HYPERLINK("https://booking.roadsurfer.com/es/rally/pick?pickup_date=2026-10-10&amp;return_date=2026-10-17&amp;currency=EUR&amp;startStation=5&amp;endStation=58",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Italia</t>
        </is>
      </c>
      <c r="D291" t="inlineStr">
        <is>
          <t>Turín</t>
        </is>
      </c>
      <c r="E291" t="inlineStr">
        <is>
          <t>2026-10-07</t>
        </is>
      </c>
      <c r="F291" t="inlineStr">
        <is>
          <t>2026-10-14</t>
        </is>
      </c>
      <c r="G291" t="inlineStr">
        <is>
          <t xml:space="preserve"> - Surfer Suite</t>
        </is>
      </c>
      <c r="H291">
        <f>HYPERLINK("https://booking.roadsurfer.com/es/rally/pick?pickup_date=2026-10-07&amp;return_date=2026-10-14&amp;currency=EUR&amp;startStation=5&amp;endStation=58",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2026-10-30</t>
        </is>
      </c>
      <c r="F292" t="inlineStr">
        <is>
          <t>2026-11-06</t>
        </is>
      </c>
      <c r="G292" t="inlineStr">
        <is>
          <t xml:space="preserve"> - Beach Hostel</t>
        </is>
      </c>
      <c r="H292">
        <f>HYPERLINK("https://booking.roadsurfer.com/es/rally/pick?pickup_date=2026-10-30&amp;return_date=2026-11-06&amp;currency=EUR&amp;startStation=5&amp;endStation=13",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2026-12-01</t>
        </is>
      </c>
      <c r="F293" t="inlineStr">
        <is>
          <t>2026-12-08</t>
        </is>
      </c>
      <c r="G293" t="inlineStr">
        <is>
          <t xml:space="preserve"> - Beach Hostel</t>
        </is>
      </c>
      <c r="H293">
        <f>HYPERLINK("https://booking.roadsurfer.com/es/rally/pick?pickup_date=2026-12-01&amp;return_date=2026-12-08&amp;currency=EUR&amp;startStation=5&amp;endStation=12",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Francia</t>
        </is>
      </c>
      <c r="D294" t="inlineStr">
        <is>
          <t>Nantes</t>
        </is>
      </c>
      <c r="E294" t="inlineStr">
        <is>
          <t>2026-10-17</t>
        </is>
      </c>
      <c r="F294" t="inlineStr">
        <is>
          <t>2026-10-24</t>
        </is>
      </c>
      <c r="G294" t="inlineStr">
        <is>
          <t xml:space="preserve"> - Beach Hostel</t>
        </is>
      </c>
      <c r="H294">
        <f>HYPERLINK("https://booking.roadsurfer.com/es/rally/pick?pickup_date=2026-10-17&amp;return_date=2026-10-24&amp;currency=EUR&amp;startStation=5&amp;endStation=31",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Francia</t>
        </is>
      </c>
      <c r="D295" t="inlineStr">
        <is>
          <t>París Aeropuerto CDG</t>
        </is>
      </c>
      <c r="E295" t="inlineStr">
        <is>
          <t>2026-10-27</t>
        </is>
      </c>
      <c r="F295" t="inlineStr">
        <is>
          <t>2026-11-03</t>
        </is>
      </c>
      <c r="G295" t="inlineStr">
        <is>
          <t xml:space="preserve"> - Camper Cabin Deluxe</t>
        </is>
      </c>
      <c r="H295">
        <f>HYPERLINK("https://booking.roadsurfer.com/es/rally/pick?pickup_date=2026-10-27&amp;return_date=2026-11-03&amp;currency=EUR&amp;startStation=5&amp;endStation=48",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2026-10-19</t>
        </is>
      </c>
      <c r="F296" t="inlineStr">
        <is>
          <t>2026-10-26</t>
        </is>
      </c>
      <c r="G296" t="inlineStr">
        <is>
          <t xml:space="preserve"> - Camper Cabin Deluxe</t>
        </is>
      </c>
      <c r="H296">
        <f>HYPERLINK("https://booking.roadsurfer.com/es/rally/pick?pickup_date=2026-10-19&amp;return_date=2026-10-26&amp;currency=EUR&amp;startStation=5&amp;endStation=29", "Clic para verlo en la web de RoadSurfer")</f>
        <v/>
      </c>
    </row>
    <row r="297">
      <c r="A297" t="inlineStr">
        <is>
          <t>Francia</t>
        </is>
      </c>
      <c r="B297" t="inlineStr">
        <is>
          <t>Toulouse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2026-10-06</t>
        </is>
      </c>
      <c r="F297" t="inlineStr">
        <is>
          <t>2026-10-13</t>
        </is>
      </c>
      <c r="G297" t="inlineStr">
        <is>
          <t xml:space="preserve"> - Surfer Suite</t>
        </is>
      </c>
      <c r="H297">
        <f>HYPERLINK("https://booking.roadsurfer.com/es/rally/pick?pickup_date=2026-10-06&amp;return_date=2026-10-13&amp;currency=EUR&amp;startStation=30&amp;endStation=22", "Clic para verlo en la web de RoadSurfer")</f>
        <v/>
      </c>
    </row>
    <row r="298">
      <c r="A298" t="inlineStr">
        <is>
          <t>Francia</t>
        </is>
      </c>
      <c r="B298" t="inlineStr">
        <is>
          <t>Toulouse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2026-10-29</t>
        </is>
      </c>
      <c r="F298" t="inlineStr">
        <is>
          <t>2026-11-05</t>
        </is>
      </c>
      <c r="G298" t="inlineStr">
        <is>
          <t xml:space="preserve"> - Surfer Suite</t>
        </is>
      </c>
      <c r="H298">
        <f>HYPERLINK("https://booking.roadsurfer.com/es/rally/pick?pickup_date=2026-10-29&amp;return_date=2026-11-05&amp;currency=EUR&amp;startStation=30&amp;endStation=5", "Clic para verlo en la web de RoadSurfer")</f>
        <v/>
      </c>
    </row>
    <row r="299">
      <c r="A299" t="inlineStr">
        <is>
          <t>Francia</t>
        </is>
      </c>
      <c r="B299" t="inlineStr">
        <is>
          <t>Toulouse</t>
        </is>
      </c>
      <c r="C299" t="inlineStr">
        <is>
          <t>Alemania</t>
        </is>
      </c>
      <c r="D299" t="inlineStr">
        <is>
          <t>Duisburgo</t>
        </is>
      </c>
      <c r="E299" t="inlineStr">
        <is>
          <t>2026-10-19</t>
        </is>
      </c>
      <c r="F299" t="inlineStr">
        <is>
          <t>2026-10-26</t>
        </is>
      </c>
      <c r="G299" t="inlineStr">
        <is>
          <t xml:space="preserve"> - Road House</t>
        </is>
      </c>
      <c r="H299">
        <f>HYPERLINK("https://booking.roadsurfer.com/es/rally/pick?pickup_date=2026-10-19&amp;return_date=2026-10-26&amp;currency=EUR&amp;startStation=30&amp;endStation=113", "Clic para verlo en la web de RoadSurfer")</f>
        <v/>
      </c>
    </row>
    <row r="300">
      <c r="A300" t="inlineStr">
        <is>
          <t>Italia</t>
        </is>
      </c>
      <c r="B300" t="inlineStr">
        <is>
          <t>Turín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2026-10-28</t>
        </is>
      </c>
      <c r="F300" t="inlineStr">
        <is>
          <t>2026-11-04</t>
        </is>
      </c>
      <c r="G300" t="inlineStr">
        <is>
          <t xml:space="preserve"> - Beach Hostel</t>
        </is>
      </c>
      <c r="H300">
        <f>HYPERLINK("https://booking.roadsurfer.com/es/rally/pick?pickup_date=2026-10-28&amp;return_date=2026-11-04&amp;currency=EUR&amp;startStation=58&amp;endStation=1", "Clic para verlo en la web de RoadSurfer")</f>
        <v/>
      </c>
    </row>
    <row r="301">
      <c r="A301" t="inlineStr">
        <is>
          <t>Italia</t>
        </is>
      </c>
      <c r="B301" t="inlineStr">
        <is>
          <t>Turín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2026-10-27</t>
        </is>
      </c>
      <c r="F301" t="inlineStr">
        <is>
          <t>2026-11-03</t>
        </is>
      </c>
      <c r="G301" t="inlineStr">
        <is>
          <t xml:space="preserve"> - Surfer Suite</t>
        </is>
      </c>
      <c r="H301">
        <f>HYPERLINK("https://booking.roadsurfer.com/es/rally/pick?pickup_date=2026-10-27&amp;return_date=2026-11-03&amp;currency=EUR&amp;startStation=58&amp;endStation=1", "Clic para verlo en la web de RoadSurfer")</f>
        <v/>
      </c>
    </row>
    <row r="302">
      <c r="A302" t="inlineStr">
        <is>
          <t>España</t>
        </is>
      </c>
      <c r="B302" t="inlineStr">
        <is>
          <t>Valencia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2026-10-26</t>
        </is>
      </c>
      <c r="F302" t="inlineStr">
        <is>
          <t>2026-11-02</t>
        </is>
      </c>
      <c r="G302" t="inlineStr">
        <is>
          <t xml:space="preserve"> - Surfer Suite</t>
        </is>
      </c>
      <c r="H302">
        <f>HYPERLINK("https://booking.roadsurfer.com/es/rally/pick?pickup_date=2026-10-26&amp;return_date=2026-11-02&amp;currency=EUR&amp;startStation=38&amp;endStation=5", "Clic para verlo en la web de RoadSurfer")</f>
        <v/>
      </c>
    </row>
    <row r="303">
      <c r="A303" t="inlineStr">
        <is>
          <t>España</t>
        </is>
      </c>
      <c r="B303" t="inlineStr">
        <is>
          <t>Valencia</t>
        </is>
      </c>
      <c r="C303" t="inlineStr">
        <is>
          <t>Alemania</t>
        </is>
      </c>
      <c r="D303" t="inlineStr">
        <is>
          <t>Stuttgart</t>
        </is>
      </c>
      <c r="E303" t="inlineStr">
        <is>
          <t>2026-10-29</t>
        </is>
      </c>
      <c r="F303" t="inlineStr">
        <is>
          <t>2026-11-05</t>
        </is>
      </c>
      <c r="G303" t="inlineStr">
        <is>
          <t xml:space="preserve"> - Beach Hostel</t>
        </is>
      </c>
      <c r="H303">
        <f>HYPERLINK("https://booking.roadsurfer.com/es/rally/pick?pickup_date=2026-10-29&amp;return_date=2026-11-05&amp;currency=EUR&amp;startStation=38&amp;endStation=5", "Clic para verlo en la web de RoadSurfer")</f>
        <v/>
      </c>
    </row>
    <row r="304">
      <c r="A304" t="inlineStr">
        <is>
          <t>España</t>
        </is>
      </c>
      <c r="B304" t="inlineStr">
        <is>
          <t>Valencia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2026-10-29</t>
        </is>
      </c>
      <c r="F304" t="inlineStr">
        <is>
          <t>2026-11-05</t>
        </is>
      </c>
      <c r="G304" t="inlineStr"/>
      <c r="H304">
        <f>HYPERLINK("https://booking.roadsurfer.com/es/rally/pick?pickup_date=2026-10-29&amp;return_date=2026-11-05&amp;currency=EUR&amp;startStation=38&amp;endStation=1",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2026-10-26</t>
        </is>
      </c>
      <c r="F305" t="inlineStr">
        <is>
          <t>2026-11-02</t>
        </is>
      </c>
      <c r="G305" t="inlineStr">
        <is>
          <t xml:space="preserve"> - Surfer Suite</t>
        </is>
      </c>
      <c r="H305">
        <f>HYPERLINK("https://booking.roadsurfer.com/es/rally/pick?pickup_date=2026-10-26&amp;return_date=2026-11-02&amp;currency=EUR&amp;startStation=78&amp;endStation=1",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2026-10-28</t>
        </is>
      </c>
      <c r="F306" t="inlineStr">
        <is>
          <t>2026-11-04</t>
        </is>
      </c>
      <c r="G306" t="inlineStr">
        <is>
          <t xml:space="preserve"> - Camper Cabin</t>
        </is>
      </c>
      <c r="H306">
        <f>HYPERLINK("https://booking.roadsurfer.com/es/rally/pick?pickup_date=2026-10-28&amp;return_date=2026-11-04&amp;currency=EUR&amp;startStation=78&amp;endStation=1",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2026-10-29</t>
        </is>
      </c>
      <c r="F307" t="inlineStr">
        <is>
          <t>2026-11-05</t>
        </is>
      </c>
      <c r="G307" t="inlineStr">
        <is>
          <t xml:space="preserve"> - Camper Cabin Deluxe</t>
        </is>
      </c>
      <c r="H307">
        <f>HYPERLINK("https://booking.roadsurfer.com/es/rally/pick?pickup_date=2026-10-29&amp;return_date=2026-11-05&amp;currency=EUR&amp;startStation=78&amp;endStation=1",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2026-10-27</t>
        </is>
      </c>
      <c r="F308" t="inlineStr">
        <is>
          <t>2026-11-03</t>
        </is>
      </c>
      <c r="G308" t="inlineStr">
        <is>
          <t xml:space="preserve"> - Sunrise Suite</t>
        </is>
      </c>
      <c r="H308">
        <f>HYPERLINK("https://booking.roadsurfer.com/es/rally/pick?pickup_date=2026-10-27&amp;return_date=2026-11-03&amp;currency=EUR&amp;startStation=78&amp;endStation=1",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2026-10-22</t>
        </is>
      </c>
      <c r="F309" t="inlineStr">
        <is>
          <t>2026-10-29</t>
        </is>
      </c>
      <c r="G309" t="inlineStr">
        <is>
          <t xml:space="preserve"> - Surfer Suite</t>
        </is>
      </c>
      <c r="H309">
        <f>HYPERLINK("https://booking.roadsurfer.com/es/rally/pick?pickup_date=2026-10-22&amp;return_date=2026-10-29&amp;currency=EUR&amp;startStation=78&amp;endStation=3",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2026-10-13</t>
        </is>
      </c>
      <c r="F310" t="inlineStr">
        <is>
          <t>2026-10-20</t>
        </is>
      </c>
      <c r="G310" t="inlineStr">
        <is>
          <t xml:space="preserve"> - No hay coche</t>
        </is>
      </c>
      <c r="H310">
        <f>HYPERLINK("https://booking.roadsurfer.com/es/rally/pick?pickup_date=2026-10-13&amp;return_date=2026-10-20&amp;currency=EUR&amp;startStation=78&amp;endStation=91", "Clic para verlo en la web de RoadSurfer")</f>
        <v/>
      </c>
    </row>
    <row r="311">
      <c r="A311" t="inlineStr">
        <is>
          <t>Alemania</t>
        </is>
      </c>
      <c r="B311" t="inlineStr">
        <is>
          <t>Wurzburgo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2026-10-30</t>
        </is>
      </c>
      <c r="F311" t="inlineStr">
        <is>
          <t>2026-11-06</t>
        </is>
      </c>
      <c r="G311" t="inlineStr">
        <is>
          <t xml:space="preserve"> - Surfer Suite</t>
        </is>
      </c>
      <c r="H311">
        <f>HYPERLINK("https://booking.roadsurfer.com/es/rally/pick?pickup_date=2026-10-30&amp;return_date=2026-11-06&amp;currency=EUR&amp;startStation=115&amp;endStation=13", "Clic para verlo en la web de RoadSurfer")</f>
        <v/>
      </c>
    </row>
    <row r="312">
      <c r="A312" t="inlineStr">
        <is>
          <t>Alemania</t>
        </is>
      </c>
      <c r="B312" t="inlineStr">
        <is>
          <t>Wurzburgo</t>
        </is>
      </c>
      <c r="C312" t="inlineStr">
        <is>
          <t>Italia</t>
        </is>
      </c>
      <c r="D312" t="inlineStr">
        <is>
          <t>Roma Aeropuerto Fiumicino</t>
        </is>
      </c>
      <c r="E312" t="inlineStr">
        <is>
          <t>2026-10-19</t>
        </is>
      </c>
      <c r="F312" t="inlineStr">
        <is>
          <t>2026-10-26</t>
        </is>
      </c>
      <c r="G312" t="inlineStr">
        <is>
          <t xml:space="preserve"> - Surfer Suite</t>
        </is>
      </c>
      <c r="H312">
        <f>HYPERLINK("https://booking.roadsurfer.com/es/rally/pick?pickup_date=2026-10-19&amp;return_date=2026-10-26&amp;currency=EUR&amp;startStation=115&amp;endStation=35", "Clic para verlo en la web de RoadSurfer")</f>
        <v/>
      </c>
    </row>
    <row r="313">
      <c r="A313" t="inlineStr">
        <is>
          <t>Alemania</t>
        </is>
      </c>
      <c r="B313" t="inlineStr">
        <is>
          <t>Wurzburgo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2026-10-14</t>
        </is>
      </c>
      <c r="F313" t="inlineStr">
        <is>
          <t>2026-10-21</t>
        </is>
      </c>
      <c r="G313" t="inlineStr">
        <is>
          <t xml:space="preserve"> - Beach Hostel</t>
        </is>
      </c>
      <c r="H313">
        <f>HYPERLINK("https://booking.roadsurfer.com/es/rally/pick?pickup_date=2026-10-14&amp;return_date=2026-10-21&amp;currency=EUR&amp;startStation=115&amp;endStation=47", "Clic para verlo en la web de RoadSurfer")</f>
        <v/>
      </c>
    </row>
    <row r="314">
      <c r="A314" t="inlineStr">
        <is>
          <t>Alemania</t>
        </is>
      </c>
      <c r="B314" t="inlineStr">
        <is>
          <t>Wurzburgo</t>
        </is>
      </c>
      <c r="C314" t="inlineStr">
        <is>
          <t>Francia</t>
        </is>
      </c>
      <c r="D314" t="inlineStr">
        <is>
          <t>París Aeropuerto CDG</t>
        </is>
      </c>
      <c r="E314" t="inlineStr">
        <is>
          <t>2026-09-17</t>
        </is>
      </c>
      <c r="F314" t="inlineStr">
        <is>
          <t>2026-09-24</t>
        </is>
      </c>
      <c r="G314" t="inlineStr"/>
      <c r="H314">
        <f>HYPERLINK("https://booking.roadsurfer.com/es/rally/pick?pickup_date=2026-09-17&amp;return_date=2026-09-24&amp;currency=EUR&amp;startStation=115&amp;endStation=48",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2026-09-09T12:43:59Z</dcterms:created>
  <dcterms:modified xsi:type="dcterms:W3CDTF">2026-09-09T12:43:59Z</dcterms:modified>
</cp:coreProperties>
</file>