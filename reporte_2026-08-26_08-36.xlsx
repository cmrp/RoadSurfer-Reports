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Málaga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Couple Cottage</t>
        </is>
      </c>
      <c r="H3">
        <f>HYPERLINK("https://booking.roadsurfer.com/es/rally/pick?pickup_date=2026-09-10&amp;return_date=2026-09-14&amp;currency=EUR&amp;startStation=17&amp;endStation=21",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HYPERLINK("https://booking.roadsurfer.com/es/rally/pick?pickup_date=2026-09-26&amp;return_date=2026-10-03&amp;currency=EUR&amp;startStation=13&amp;endStation=3",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2026-10-25</t>
        </is>
      </c>
      <c r="F5" t="inlineStr">
        <is>
          <t>2026-11-02</t>
        </is>
      </c>
      <c r="G5" t="inlineStr">
        <is>
          <t xml:space="preserve"> - No hay coche</t>
        </is>
      </c>
      <c r="H5">
        <f>HYPERLINK("https://booking.roadsurfer.com/es/rally/pick?pickup_date=2026-10-25&amp;return_date=2026-11-02&amp;currency=EUR&amp;startStation=13&amp;endStation=22",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Road House</t>
        </is>
      </c>
      <c r="H7">
        <f>HYPERLINK("https://booking.roadsurfer.com/es/rally/pick?pickup_date=2026-09-25&amp;return_date=2026-10-02&amp;currency=EUR&amp;startStation=13&amp;endStation=22",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Lille</t>
        </is>
      </c>
      <c r="C8" t="inlineStr">
        <is>
          <t>Alemania</t>
        </is>
      </c>
      <c r="D8" t="inlineStr">
        <is>
          <t>Leipzig</t>
        </is>
      </c>
      <c r="E8" t="inlineStr">
        <is>
          <t>2026-10-01</t>
        </is>
      </c>
      <c r="F8" t="inlineStr">
        <is>
          <t>2026-10-08</t>
        </is>
      </c>
      <c r="G8" t="inlineStr">
        <is>
          <t xml:space="preserve"> - SURFER SUITE</t>
        </is>
      </c>
      <c r="H8">
        <f>HYPERLINK("https://booking.roadsurfer.com/es/rally/pick?pickup_date=2026-10-01&amp;return_date=2026-10-08&amp;currency=EUR&amp;startStation=87&amp;endStation=8", "Clic para verlo en la web de RoadSurfer")</f>
        <v/>
      </c>
    </row>
    <row r="9">
      <c r="A9" t="inlineStr">
        <is>
          <t>Francia</t>
        </is>
      </c>
      <c r="B9" t="inlineStr">
        <is>
          <t>Lyon</t>
        </is>
      </c>
      <c r="C9" t="inlineStr">
        <is>
          <t>Alemania</t>
        </is>
      </c>
      <c r="D9" t="inlineStr">
        <is>
          <t>Leipzig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HYPERLINK("https://booking.roadsurfer.com/es/rally/pick?pickup_date=2026-09-25&amp;return_date=2026-10-02&amp;currency=EUR&amp;startStation=15&amp;endStation=8",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2026-10-05</t>
        </is>
      </c>
      <c r="F10" t="inlineStr">
        <is>
          <t>2026-10-12</t>
        </is>
      </c>
      <c r="G10" t="inlineStr">
        <is>
          <t xml:space="preserve"> - No hay coche</t>
        </is>
      </c>
      <c r="H10">
        <f>HYPERLINK("https://booking.roadsurfer.com/es/rally/pick?pickup_date=2026-10-05&amp;return_date=2026-10-12&amp;currency=EUR&amp;startStation=20&amp;endStation=22",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Surfer Suite - COUPLE COTTAGE</t>
        </is>
      </c>
      <c r="H11">
        <f>HYPERLINK("https://booking.roadsurfer.com/es/rally/pick?pickup_date=2026-09-25&amp;return_date=2026-10-02&amp;currency=EUR&amp;startStation=20&amp;endStation=22", "Clic para verlo en la web de RoadSurfer")</f>
        <v/>
      </c>
    </row>
    <row r="12">
      <c r="A12" t="inlineStr">
        <is>
          <t>España</t>
        </is>
      </c>
      <c r="B12" t="inlineStr">
        <is>
          <t>Madrid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2026-09-28</t>
        </is>
      </c>
      <c r="F12" t="inlineStr">
        <is>
          <t>2026-10-05</t>
        </is>
      </c>
      <c r="G12" t="inlineStr">
        <is>
          <t xml:space="preserve"> - Beach Hostel</t>
        </is>
      </c>
      <c r="H12">
        <f>HYPERLINK("https://booking.roadsurfer.com/es/rally/pick?pickup_date=2026-09-28&amp;return_date=2026-10-05&amp;currency=EUR&amp;startStation=20&amp;endStation=55", "Clic para verlo en la web de RoadSurfer")</f>
        <v/>
      </c>
    </row>
    <row r="13">
      <c r="A13" t="inlineStr">
        <is>
          <t>España</t>
        </is>
      </c>
      <c r="B13" t="inlineStr">
        <is>
          <t>Madrid</t>
        </is>
      </c>
      <c r="C13" t="inlineStr">
        <is>
          <t>Alemania</t>
        </is>
      </c>
      <c r="D13" t="inlineStr">
        <is>
          <t>Leipzig</t>
        </is>
      </c>
      <c r="E13" t="inlineStr">
        <is>
          <t>2026-10-03</t>
        </is>
      </c>
      <c r="F13" t="inlineStr">
        <is>
          <t>2026-10-10</t>
        </is>
      </c>
      <c r="G13" t="inlineStr">
        <is>
          <t xml:space="preserve"> - Road House</t>
        </is>
      </c>
      <c r="H13">
        <f>HYPERLINK("https://booking.roadsurfer.com/es/rally/pick?pickup_date=2026-10-03&amp;return_date=2026-10-10&amp;currency=EUR&amp;startStation=20&amp;endStation=8", "Clic para verlo en la web de RoadSurfer")</f>
        <v/>
      </c>
    </row>
    <row r="14">
      <c r="A14" t="inlineStr">
        <is>
          <t>España</t>
        </is>
      </c>
      <c r="B14" t="inlineStr">
        <is>
          <t>Málaga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Couple Cottage</t>
        </is>
      </c>
      <c r="H14">
        <f>HYPERLINK("https://booking.roadsurfer.com/es/rally/pick?pickup_date=2026-09-25&amp;return_date=2026-10-02&amp;currency=EUR&amp;startStation=21&amp;endStation=22",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HYPERLINK("https://booking.roadsurfer.com/es/rally/pick?pickup_date=2026-09-25&amp;return_date=2026-10-02&amp;currency=EUR&amp;startStation=31&amp;endStation=109", "Clic para verlo en la web de RoadSurfer")</f>
        <v/>
      </c>
    </row>
    <row r="16">
      <c r="A16" t="inlineStr">
        <is>
          <t>Francia</t>
        </is>
      </c>
      <c r="B16" t="inlineStr">
        <is>
          <t>Nantes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HYPERLINK("https://booking.roadsurfer.com/es/rally/pick?pickup_date=2026-09-26&amp;return_date=2026-10-03&amp;currency=EUR&amp;startStation=31&amp;endStation=22", "Clic para verlo en la web de RoadSurfer")</f>
        <v/>
      </c>
    </row>
    <row r="17">
      <c r="A17" t="inlineStr">
        <is>
          <t>Francia</t>
        </is>
      </c>
      <c r="B17" t="inlineStr">
        <is>
          <t>París Sur (Orly)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Travel Home</t>
        </is>
      </c>
      <c r="H17">
        <f>HYPERLINK("https://booking.roadsurfer.com/es/rally/pick?pickup_date=2026-09-28&amp;return_date=2026-10-05&amp;currency=EUR&amp;startStation=12&amp;endStation=22", "Clic para verlo en la web de RoadSurfer")</f>
        <v/>
      </c>
    </row>
    <row r="18">
      <c r="A18" t="inlineStr">
        <is>
          <t>Francia</t>
        </is>
      </c>
      <c r="B18" t="inlineStr">
        <is>
          <t>París Sur (Orly)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HYPERLINK("https://booking.roadsurfer.com/es/rally/pick?pickup_date=2026-09-26&amp;return_date=2026-10-03&amp;currency=EUR&amp;startStation=12&amp;endStation=22", "Clic para verlo en la web de RoadSurfer")</f>
        <v/>
      </c>
    </row>
    <row r="19">
      <c r="A19" t="inlineStr">
        <is>
          <t>Francia</t>
        </is>
      </c>
      <c r="B19" t="inlineStr">
        <is>
          <t>París Sur (Orly)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No hay coche</t>
        </is>
      </c>
      <c r="H19">
        <f>HYPERLINK("https://booking.roadsurfer.com/es/rally/pick?pickup_date=2026-09-25&amp;return_date=2026-10-02&amp;currency=EUR&amp;startStation=12&amp;endStation=113", "Clic para verlo en la web de RoadSurfer")</f>
        <v/>
      </c>
    </row>
    <row r="20">
      <c r="A20" t="inlineStr">
        <is>
          <t>EE.UU.</t>
        </is>
      </c>
      <c r="B20" t="inlineStr">
        <is>
          <t>Seattle</t>
        </is>
      </c>
      <c r="C20" t="inlineStr">
        <is>
          <t>EE.UU.</t>
        </is>
      </c>
      <c r="D20" t="inlineStr">
        <is>
          <t>Phoenix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Liberty Lodge</t>
        </is>
      </c>
      <c r="H20">
        <f>HYPERLINK("https://booking.roadsurfer.com/es/rally/pick?pickup_date=2026-09-28&amp;return_date=2026-10-05&amp;currency=EUR&amp;startStation=107&amp;endStation=105", "Clic para verlo en la web de RoadSurfer")</f>
        <v/>
      </c>
    </row>
    <row r="21">
      <c r="A21" t="inlineStr">
        <is>
          <t>Suecia</t>
        </is>
      </c>
      <c r="B21" t="inlineStr">
        <is>
          <t>Estocolmo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2026-08-31</t>
        </is>
      </c>
      <c r="F21" t="inlineStr">
        <is>
          <t>2026-09-07</t>
        </is>
      </c>
      <c r="G21" t="inlineStr">
        <is>
          <t xml:space="preserve"> - CAMPER CASTLE</t>
        </is>
      </c>
      <c r="H21">
        <f>HYPERLINK("https://booking.roadsurfer.com/es/rally/pick?pickup_date=2026-08-31&amp;return_date=2026-09-07&amp;currency=EUR&amp;startStation=59&amp;endStation=1", "Clic para verlo en la web de RoadSurfer")</f>
        <v/>
      </c>
    </row>
    <row r="22">
      <c r="A22" t="inlineStr">
        <is>
          <t>Suecia</t>
        </is>
      </c>
      <c r="B22" t="inlineStr">
        <is>
          <t>Estocolmo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Surfer Suite</t>
        </is>
      </c>
      <c r="H22">
        <f>HYPERLINK("https://booking.roadsurfer.com/es/rally/pick?pickup_date=2026-09-28&amp;return_date=2026-10-05&amp;currency=EUR&amp;startStation=59&amp;endStation=52", "Clic para verlo en la web de RoadSurfer")</f>
        <v/>
      </c>
    </row>
    <row r="23">
      <c r="A23" t="inlineStr">
        <is>
          <t>Francia</t>
        </is>
      </c>
      <c r="B23" t="inlineStr">
        <is>
          <t>Toulouse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HYPERLINK("https://booking.roadsurfer.com/es/rally/pick?pickup_date=2026-09-26&amp;return_date=2026-10-03&amp;currency=EUR&amp;startStation=30&amp;endStation=22", "Clic para verlo en la web de RoadSurfer")</f>
        <v/>
      </c>
    </row>
    <row r="24">
      <c r="A24" t="inlineStr">
        <is>
          <t>Francia</t>
        </is>
      </c>
      <c r="B24" t="inlineStr">
        <is>
          <t>Toulouse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ROAD HOUSE</t>
        </is>
      </c>
      <c r="H24">
        <f>HYPERLINK("https://booking.roadsurfer.com/es/rally/pick?pickup_date=2026-09-24&amp;return_date=2026-10-01&amp;currency=EUR&amp;startStation=30&amp;endStation=109", "Clic para verlo en la web de RoadSurfer")</f>
        <v/>
      </c>
    </row>
    <row r="25">
      <c r="A25" t="inlineStr">
        <is>
          <t>España</t>
        </is>
      </c>
      <c r="B25" t="inlineStr">
        <is>
          <t>Valencia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No hay coche</t>
        </is>
      </c>
      <c r="H25">
        <f>HYPERLINK("https://booking.roadsurfer.com/es/rally/pick?pickup_date=2026-10-07&amp;return_date=2026-10-14&amp;currency=EUR&amp;startStation=38&amp;endStation=22", "Clic para verlo en la web de RoadSurfer")</f>
        <v/>
      </c>
    </row>
    <row r="26">
      <c r="A26" t="inlineStr">
        <is>
          <t>Italia</t>
        </is>
      </c>
      <c r="B26" t="inlineStr">
        <is>
          <t>Venecia</t>
        </is>
      </c>
      <c r="C26" t="inlineStr">
        <is>
          <t>Alemania</t>
        </is>
      </c>
      <c r="D26" t="inlineStr">
        <is>
          <t>Lübeck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No hay coche</t>
        </is>
      </c>
      <c r="H26">
        <f>HYPERLINK("https://booking.roadsurfer.com/es/rally/pick?pickup_date=2026-09-28&amp;return_date=2026-10-05&amp;currency=EUR&amp;startStation=78&amp;endStation=109",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2026-08-26T08:36:47Z</dcterms:created>
  <dcterms:modified xsi:type="dcterms:W3CDTF">2026-08-26T08:36:47Z</dcterms:modified>
</cp:coreProperties>
</file>