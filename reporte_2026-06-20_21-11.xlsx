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Couple Cottage</t>
        </is>
      </c>
      <c r="H5">
        <f>HYPERLINK("https://booking.roadsurfer.com/es/rally/pick?pickup_date=2026-06-26&amp;return_date=2026-07-03&amp;currency=EUR&amp;startStation=24&amp;endStation=48",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2026-06-18</t>
        </is>
      </c>
      <c r="F6" t="inlineStr">
        <is>
          <t>2026-06-25</t>
        </is>
      </c>
      <c r="G6" t="inlineStr">
        <is>
          <t xml:space="preserve"> - Surfer Suite</t>
        </is>
      </c>
      <c r="H6">
        <f>HYPERLINK("https://booking.roadsurfer.com/es/rally/pick?pickup_date=2026-06-18&amp;return_date=2026-06-25&amp;currency=EUR&amp;startStation=13&amp;endStation=22", "Clic para verlo en la web de RoadSurfer")</f>
        <v/>
      </c>
    </row>
    <row r="7">
      <c r="A7" t="inlineStr">
        <is>
          <t>Reino Unido</t>
        </is>
      </c>
      <c r="B7" t="inlineStr">
        <is>
          <t>Bristol</t>
        </is>
      </c>
      <c r="C7" t="inlineStr">
        <is>
          <t>Reino Unido</t>
        </is>
      </c>
      <c r="D7" t="inlineStr">
        <is>
          <t>Edimburgo</t>
        </is>
      </c>
      <c r="E7" t="inlineStr">
        <is>
          <t>2026-06-24</t>
        </is>
      </c>
      <c r="F7" t="inlineStr">
        <is>
          <t>2026-07-01</t>
        </is>
      </c>
      <c r="G7" t="inlineStr">
        <is>
          <t xml:space="preserve"> - Cozy Cottage</t>
        </is>
      </c>
      <c r="H7">
        <f>HYPERLINK("https://booking.roadsurfer.com/es/rally/pick?pickup_date=2026-06-24&amp;return_date=2026-07-01&amp;currency=EUR&amp;startStation=98&amp;endStation=64",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Sunrise Suite</t>
        </is>
      </c>
      <c r="H8">
        <f>HYPERLINK("https://booking.roadsurfer.com/es/rally/pick?pickup_date=2026-06-24&amp;return_date=2026-07-01&amp;currency=EUR&amp;startStation=52&amp;endStation=40",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2026-06-27</t>
        </is>
      </c>
      <c r="F9" t="inlineStr">
        <is>
          <t>2026-07-04</t>
        </is>
      </c>
      <c r="G9" t="inlineStr">
        <is>
          <t xml:space="preserve"> - Beach Hostel</t>
        </is>
      </c>
      <c r="H9">
        <f>HYPERLINK("https://booking.roadsurfer.com/es/rally/pick?pickup_date=2026-06-27&amp;return_date=2026-07-04&amp;currency=EUR&amp;startStation=56&amp;endStation=59",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Camper Castle</t>
        </is>
      </c>
      <c r="H10">
        <f>HYPERLINK("https://booking.roadsurfer.com/es/rally/pick?pickup_date=2026-06-23&amp;return_date=2026-06-30&amp;currency=EUR&amp;startStation=56&amp;endStation=59",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2026-06-25</t>
        </is>
      </c>
      <c r="F11" t="inlineStr">
        <is>
          <t>2026-07-02</t>
        </is>
      </c>
      <c r="G11" t="inlineStr">
        <is>
          <t xml:space="preserve"> - Camper Castle</t>
        </is>
      </c>
      <c r="H11">
        <f>HYPERLINK("https://booking.roadsurfer.com/es/rally/pick?pickup_date=2026-06-25&amp;return_date=2026-07-02&amp;currency=EUR&amp;startStation=56&amp;endStation=59",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Heidelberg</t>
        </is>
      </c>
      <c r="C12" t="inlineStr">
        <is>
          <t>España</t>
        </is>
      </c>
      <c r="D12" t="inlineStr">
        <is>
          <t>Madrid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Surfer Suite</t>
        </is>
      </c>
      <c r="H12">
        <f>HYPERLINK("https://booking.roadsurfer.com/es/rally/pick?pickup_date=2026-06-24&amp;return_date=2026-07-01&amp;currency=EUR&amp;startStation=79&amp;endStation=20", "Clic para verlo en la web de RoadSurfer")</f>
        <v/>
      </c>
    </row>
    <row r="13">
      <c r="A13" t="inlineStr">
        <is>
          <t>Alemania</t>
        </is>
      </c>
      <c r="B13" t="inlineStr">
        <is>
          <t>Kassel</t>
        </is>
      </c>
      <c r="C13" t="inlineStr">
        <is>
          <t>Francia</t>
        </is>
      </c>
      <c r="D13" t="inlineStr">
        <is>
          <t>Toulouse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No hay coche</t>
        </is>
      </c>
      <c r="H13">
        <f>HYPERLINK("https://booking.roadsurfer.com/es/rally/pick?pickup_date=2026-06-24&amp;return_date=2026-07-01&amp;currency=EUR&amp;startStation=92&amp;endStation=30", "Clic para verlo en la web de RoadSurfer")</f>
        <v/>
      </c>
    </row>
    <row r="14">
      <c r="A14" t="inlineStr">
        <is>
          <t>Alemania</t>
        </is>
      </c>
      <c r="B14" t="inlineStr">
        <is>
          <t>Kassel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2026-06-26</t>
        </is>
      </c>
      <c r="F14" t="inlineStr">
        <is>
          <t>2026-07-03</t>
        </is>
      </c>
      <c r="G14" t="inlineStr">
        <is>
          <t xml:space="preserve"> - Beach Hostel</t>
        </is>
      </c>
      <c r="H14">
        <f>HYPERLINK("https://booking.roadsurfer.com/es/rally/pick?pickup_date=2026-06-26&amp;return_date=2026-07-03&amp;currency=EUR&amp;startStation=92&amp;endStation=13", "Clic para verlo en la web de RoadSurfer")</f>
        <v/>
      </c>
    </row>
    <row r="15">
      <c r="A15" t="inlineStr">
        <is>
          <t>Alemania</t>
        </is>
      </c>
      <c r="B15" t="inlineStr">
        <is>
          <t>Kiel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Sunrise Suite</t>
        </is>
      </c>
      <c r="H15">
        <f>HYPERLINK("https://booking.roadsurfer.com/es/rally/pick?pickup_date=2026-06-24&amp;return_date=2026-07-01&amp;currency=EUR&amp;startStation=111&amp;endStation=29", "Clic para verlo en la web de RoadSurfer")</f>
        <v/>
      </c>
    </row>
    <row r="16">
      <c r="A16" t="inlineStr">
        <is>
          <t>EE.UU.</t>
        </is>
      </c>
      <c r="B16" t="inlineStr">
        <is>
          <t>Las Vegas</t>
        </is>
      </c>
      <c r="C16" t="inlineStr">
        <is>
          <t>EE.UU.</t>
        </is>
      </c>
      <c r="D16" t="inlineStr">
        <is>
          <t>Dallas</t>
        </is>
      </c>
      <c r="E16" t="inlineStr">
        <is>
          <t>2026-07-06</t>
        </is>
      </c>
      <c r="F16" t="inlineStr">
        <is>
          <t>2026-07-13</t>
        </is>
      </c>
      <c r="G16" t="inlineStr">
        <is>
          <t xml:space="preserve"> - Couple Condo</t>
        </is>
      </c>
      <c r="H16">
        <f>HYPERLINK("https://booking.roadsurfer.com/es/rally/pick?pickup_date=2026-07-06&amp;return_date=2026-07-13&amp;currency=EUR&amp;startStation=76&amp;endStation=125", "Clic para verlo en la web de RoadSurfer")</f>
        <v/>
      </c>
    </row>
    <row r="17">
      <c r="A17" t="inlineStr">
        <is>
          <t>Alemania</t>
        </is>
      </c>
      <c r="B17" t="inlineStr">
        <is>
          <t>Leipzig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2026-06-25</t>
        </is>
      </c>
      <c r="F17" t="inlineStr">
        <is>
          <t>2026-07-02</t>
        </is>
      </c>
      <c r="G17" t="inlineStr">
        <is>
          <t xml:space="preserve"> - Surfer Suite</t>
        </is>
      </c>
      <c r="H17">
        <f>HYPERLINK("https://booking.roadsurfer.com/es/rally/pick?pickup_date=2026-06-25&amp;return_date=2026-07-02&amp;currency=EUR&amp;startStation=8&amp;endStation=15", "Clic para verlo en la web de RoadSurfer")</f>
        <v/>
      </c>
    </row>
    <row r="18">
      <c r="A18" t="inlineStr">
        <is>
          <t>Alemania</t>
        </is>
      </c>
      <c r="B18" t="inlineStr">
        <is>
          <t>Leipzig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2026-06-25</t>
        </is>
      </c>
      <c r="F18" t="inlineStr">
        <is>
          <t>2026-07-02</t>
        </is>
      </c>
      <c r="G18" t="inlineStr">
        <is>
          <t xml:space="preserve"> - No hay coche</t>
        </is>
      </c>
      <c r="H18">
        <f>HYPERLINK("https://booking.roadsurfer.com/es/rally/pick?pickup_date=2026-06-25&amp;return_date=2026-07-02&amp;currency=EUR&amp;startStation=8&amp;endStation=13",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2026-06-24</t>
        </is>
      </c>
      <c r="F19" t="inlineStr">
        <is>
          <t>2026-07-01</t>
        </is>
      </c>
      <c r="G19" t="inlineStr">
        <is>
          <t xml:space="preserve"> - Road House</t>
        </is>
      </c>
      <c r="H19">
        <f>HYPERLINK("https://booking.roadsurfer.com/es/rally/pick?pickup_date=2026-06-24&amp;return_date=2026-07-01&amp;currency=EUR&amp;startStation=8&amp;endStation=13",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2026-06-26</t>
        </is>
      </c>
      <c r="F20" t="inlineStr">
        <is>
          <t>2026-07-03</t>
        </is>
      </c>
      <c r="G20" t="inlineStr">
        <is>
          <t xml:space="preserve"> - Road House</t>
        </is>
      </c>
      <c r="H20">
        <f>HYPERLINK("https://booking.roadsurfer.com/es/rally/pick?pickup_date=2026-06-26&amp;return_date=2026-07-03&amp;currency=EUR&amp;startStation=8&amp;endStation=60", "Clic para verlo en la web de RoadSurfer")</f>
        <v/>
      </c>
    </row>
    <row r="21">
      <c r="A21" t="inlineStr">
        <is>
          <t>Reino Unido</t>
        </is>
      </c>
      <c r="B21" t="inlineStr">
        <is>
          <t>Londres</t>
        </is>
      </c>
      <c r="C21" t="inlineStr">
        <is>
          <t>Reino Unido</t>
        </is>
      </c>
      <c r="D21" t="inlineStr">
        <is>
          <t>Bristol</t>
        </is>
      </c>
      <c r="E21" t="inlineStr">
        <is>
          <t>2026-07-01</t>
        </is>
      </c>
      <c r="F21" t="inlineStr">
        <is>
          <t>2026-07-08</t>
        </is>
      </c>
      <c r="G21" t="inlineStr"/>
      <c r="H21">
        <f>HYPERLINK("https://booking.roadsurfer.com/es/rally/pick?pickup_date=2026-07-01&amp;return_date=2026-07-08&amp;currency=EUR&amp;startStation=63&amp;endStation=98", "Clic para verlo en la web de RoadSurfer")</f>
        <v/>
      </c>
    </row>
    <row r="22">
      <c r="A22" t="inlineStr">
        <is>
          <t>Alemania</t>
        </is>
      </c>
      <c r="B22" t="inlineStr">
        <is>
          <t>Maguncia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2026-06-24</t>
        </is>
      </c>
      <c r="F22" t="inlineStr">
        <is>
          <t>2026-07-01</t>
        </is>
      </c>
      <c r="G22" t="inlineStr">
        <is>
          <t xml:space="preserve"> - Surfer Suite</t>
        </is>
      </c>
      <c r="H22">
        <f>HYPERLINK("https://booking.roadsurfer.com/es/rally/pick?pickup_date=2026-06-24&amp;return_date=2026-07-01&amp;currency=EUR&amp;startStation=54&amp;endStation=59",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Sunrise Suite</t>
        </is>
      </c>
      <c r="H23">
        <f>HYPERLINK("https://booking.roadsurfer.com/es/rally/pick?pickup_date=2026-06-29&amp;return_date=2026-07-06&amp;currency=EUR&amp;startStation=54&amp;endStation=13", "Clic para verlo en la web de RoadSurfer")</f>
        <v/>
      </c>
    </row>
    <row r="24">
      <c r="A24" t="inlineStr">
        <is>
          <t>España</t>
        </is>
      </c>
      <c r="B24" t="inlineStr">
        <is>
          <t>Málaga</t>
        </is>
      </c>
      <c r="C24" t="inlineStr">
        <is>
          <t>Italia</t>
        </is>
      </c>
      <c r="D24" t="inlineStr">
        <is>
          <t>Venecia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Surfer Suite</t>
        </is>
      </c>
      <c r="H24">
        <f>HYPERLINK("https://booking.roadsurfer.com/es/rally/pick?pickup_date=2026-06-29&amp;return_date=2026-07-06&amp;currency=EUR&amp;startStation=21&amp;endStation=78", "Clic para verlo en la web de RoadSurfer")</f>
        <v/>
      </c>
    </row>
    <row r="25">
      <c r="A25" t="inlineStr">
        <is>
          <t>Reino Unido</t>
        </is>
      </c>
      <c r="B25" t="inlineStr">
        <is>
          <t>Mánchester</t>
        </is>
      </c>
      <c r="C25" t="inlineStr">
        <is>
          <t>Reino Unido</t>
        </is>
      </c>
      <c r="D25" t="inlineStr">
        <is>
          <t>Londres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HYPERLINK("https://booking.roadsurfer.com/es/rally/pick?pickup_date=2026-06-22&amp;return_date=2026-06-29&amp;currency=EUR&amp;startStation=99&amp;endStation=63",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2026-06-26</t>
        </is>
      </c>
      <c r="F26" t="inlineStr">
        <is>
          <t>2026-07-03</t>
        </is>
      </c>
      <c r="G26" t="inlineStr">
        <is>
          <t xml:space="preserve"> - Surfer Suite</t>
        </is>
      </c>
      <c r="H26">
        <f>HYPERLINK("https://booking.roadsurfer.com/es/rally/pick?pickup_date=2026-06-26&amp;return_date=2026-07-03&amp;currency=EUR&amp;startStation=22&amp;endStation=59",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HYPERLINK("https://booking.roadsurfer.com/es/rally/pick?pickup_date=2026-06-29&amp;return_date=2026-07-06&amp;currency=EUR&amp;startStation=22&amp;endStation=59",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2026-06-26</t>
        </is>
      </c>
      <c r="F28" t="inlineStr">
        <is>
          <t>2026-07-03</t>
        </is>
      </c>
      <c r="G28" t="inlineStr">
        <is>
          <t xml:space="preserve"> - Camper Cabin</t>
        </is>
      </c>
      <c r="H28">
        <f>HYPERLINK("https://booking.roadsurfer.com/es/rally/pick?pickup_date=2026-06-26&amp;return_date=2026-07-03&amp;currency=EUR&amp;startStation=22&amp;endStation=13",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Surfer Suite</t>
        </is>
      </c>
      <c r="H29">
        <f>HYPERLINK("https://booking.roadsurfer.com/es/rally/pick?pickup_date=2026-06-23&amp;return_date=2026-06-30&amp;currency=EUR&amp;startStation=22&amp;endStation=13",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2026-07-09</t>
        </is>
      </c>
      <c r="F30" t="inlineStr">
        <is>
          <t>2026-07-16</t>
        </is>
      </c>
      <c r="G30" t="inlineStr">
        <is>
          <t xml:space="preserve"> - Beach Hostel</t>
        </is>
      </c>
      <c r="H30">
        <f>HYPERLINK("https://booking.roadsurfer.com/es/rally/pick?pickup_date=2026-07-09&amp;return_date=2026-07-16&amp;currency=EUR&amp;startStation=22&amp;endStation=13",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Camper Cabin</t>
        </is>
      </c>
      <c r="H31">
        <f>HYPERLINK("https://booking.roadsurfer.com/es/rally/pick?pickup_date=2026-06-25&amp;return_date=2026-07-02&amp;currency=EUR&amp;startStation=22&amp;endStation=13", "Clic para verlo en la web de RoadSurfer")</f>
        <v/>
      </c>
    </row>
    <row r="32">
      <c r="A32" t="inlineStr">
        <is>
          <t>Francia</t>
        </is>
      </c>
      <c r="B32" t="inlineStr">
        <is>
          <t>Nantes</t>
        </is>
      </c>
      <c r="C32" t="inlineStr">
        <is>
          <t>Francia</t>
        </is>
      </c>
      <c r="D32" t="inlineStr">
        <is>
          <t>Estrasburgo</t>
        </is>
      </c>
      <c r="E32" t="inlineStr">
        <is>
          <t>2026-07-02</t>
        </is>
      </c>
      <c r="F32" t="inlineStr">
        <is>
          <t>2026-07-09</t>
        </is>
      </c>
      <c r="G32" t="inlineStr">
        <is>
          <t xml:space="preserve"> - Road House</t>
        </is>
      </c>
      <c r="H32">
        <f>HYPERLINK("https://booking.roadsurfer.com/es/rally/pick?pickup_date=2026-07-02&amp;return_date=2026-07-09&amp;currency=EUR&amp;startStation=31&amp;endStation=49", "Clic para verlo en la web de RoadSurfer")</f>
        <v/>
      </c>
    </row>
    <row r="33">
      <c r="A33" t="inlineStr">
        <is>
          <t>Alemania</t>
        </is>
      </c>
      <c r="B33" t="inlineStr">
        <is>
          <t>Núremberg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2026-07-10</t>
        </is>
      </c>
      <c r="F33" t="inlineStr">
        <is>
          <t>2026-07-17</t>
        </is>
      </c>
      <c r="G33" t="inlineStr">
        <is>
          <t xml:space="preserve"> - Road House</t>
        </is>
      </c>
      <c r="H33">
        <f>HYPERLINK("https://booking.roadsurfer.com/es/rally/pick?pickup_date=2026-07-10&amp;return_date=2026-07-17&amp;currency=EUR&amp;startStation=11&amp;endStation=17", "Clic para verlo en la web de RoadSurfer")</f>
        <v/>
      </c>
    </row>
    <row r="34">
      <c r="A34" t="inlineStr">
        <is>
          <t>Alemania</t>
        </is>
      </c>
      <c r="B34" t="inlineStr">
        <is>
          <t>Núremberg</t>
        </is>
      </c>
      <c r="C34" t="inlineStr">
        <is>
          <t>España</t>
        </is>
      </c>
      <c r="D34" t="inlineStr">
        <is>
          <t>Madrid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Sunrise Suite</t>
        </is>
      </c>
      <c r="H34">
        <f>HYPERLINK("https://booking.roadsurfer.com/es/rally/pick?pickup_date=2026-06-25&amp;return_date=2026-07-02&amp;currency=EUR&amp;startStation=11&amp;endStation=20", "Clic para verlo en la web de RoadSurfer")</f>
        <v/>
      </c>
    </row>
    <row r="35">
      <c r="A35" t="inlineStr">
        <is>
          <t>Italia</t>
        </is>
      </c>
      <c r="B35" t="inlineStr">
        <is>
          <t>Roma Aeropuerto Fiumicino</t>
        </is>
      </c>
      <c r="C35" t="inlineStr">
        <is>
          <t>Italia</t>
        </is>
      </c>
      <c r="D35" t="inlineStr">
        <is>
          <t>Turín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Beach Hostel</t>
        </is>
      </c>
      <c r="H35">
        <f>HYPERLINK("https://booking.roadsurfer.com/es/rally/pick?pickup_date=2026-06-25&amp;return_date=2026-07-02&amp;currency=EUR&amp;startStation=35&amp;endStation=58", "Clic para verlo en la web de RoadSurfer")</f>
        <v/>
      </c>
    </row>
    <row r="36">
      <c r="A36" t="inlineStr">
        <is>
          <t>EE.UU.</t>
        </is>
      </c>
      <c r="B36" t="inlineStr">
        <is>
          <t>Seattle</t>
        </is>
      </c>
      <c r="C36" t="inlineStr">
        <is>
          <t>EE.UU.</t>
        </is>
      </c>
      <c r="D36" t="inlineStr">
        <is>
          <t>Phoenix</t>
        </is>
      </c>
      <c r="E36" t="inlineStr">
        <is>
          <t>2026-07-06</t>
        </is>
      </c>
      <c r="F36" t="inlineStr">
        <is>
          <t>2026-07-13</t>
        </is>
      </c>
      <c r="G36" t="inlineStr">
        <is>
          <t xml:space="preserve"> - Couple Condo</t>
        </is>
      </c>
      <c r="H36">
        <f>HYPERLINK("https://booking.roadsurfer.com/es/rally/pick?pickup_date=2026-07-06&amp;return_date=2026-07-13&amp;currency=EUR&amp;startStation=107&amp;endStation=105", "Clic para verlo en la web de RoadSurfer")</f>
        <v/>
      </c>
    </row>
    <row r="37">
      <c r="A37" t="inlineStr">
        <is>
          <t>España</t>
        </is>
      </c>
      <c r="B37" t="inlineStr">
        <is>
          <t>Sevilla</t>
        </is>
      </c>
      <c r="C37" t="inlineStr">
        <is>
          <t>Italia</t>
        </is>
      </c>
      <c r="D37" t="inlineStr">
        <is>
          <t>Turín</t>
        </is>
      </c>
      <c r="E37" t="inlineStr">
        <is>
          <t>2026-06-25</t>
        </is>
      </c>
      <c r="F37" t="inlineStr">
        <is>
          <t>2026-07-02</t>
        </is>
      </c>
      <c r="G37" t="inlineStr">
        <is>
          <t xml:space="preserve"> - Road House</t>
        </is>
      </c>
      <c r="H37">
        <f>HYPERLINK("https://booking.roadsurfer.com/es/rally/pick?pickup_date=2026-06-25&amp;return_date=2026-07-02&amp;currency=EUR&amp;startStation=39&amp;endStation=58", "Clic para verlo en la web de RoadSurfer")</f>
        <v/>
      </c>
    </row>
    <row r="38">
      <c r="A38" t="inlineStr">
        <is>
          <t>Francia</t>
        </is>
      </c>
      <c r="B38" t="inlineStr">
        <is>
          <t>Estrasburgo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2026-06-26</t>
        </is>
      </c>
      <c r="F38" t="inlineStr">
        <is>
          <t>2026-07-03</t>
        </is>
      </c>
      <c r="G38" t="inlineStr">
        <is>
          <t xml:space="preserve"> - Couple Cottage</t>
        </is>
      </c>
      <c r="H38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2026-06-20T21:11:51Z</dcterms:created>
  <dcterms:modified xsi:type="dcterms:W3CDTF">2026-06-20T21:11:51Z</dcterms:modified>
</cp:coreProperties>
</file>