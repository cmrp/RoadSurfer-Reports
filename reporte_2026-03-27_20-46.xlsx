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Beach Hostel</t>
        </is>
      </c>
      <c r="H3">
        <f>HYPERLINK("https://booking.roadsurfer.com/es/rally/pick?pickup_date=2026-04-27&amp;return_date=2026-05-04&amp;currency=EUR&amp;startStation=16&amp;endStation=47",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2026-03-28</t>
        </is>
      </c>
      <c r="F7" t="inlineStr">
        <is>
          <t>2026-04-04</t>
        </is>
      </c>
      <c r="G7" t="inlineStr">
        <is>
          <t xml:space="preserve"> - Surfer Suite</t>
        </is>
      </c>
      <c r="H7">
        <f>HYPERLINK("https://booking.roadsurfer.com/es/rally/pick?pickup_date=2026-03-28&amp;return_date=2026-04-04&amp;currency=EUR&amp;startStation=32&amp;endStation=55",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2026-04-08</t>
        </is>
      </c>
      <c r="F8" t="inlineStr">
        <is>
          <t>2026-04-15</t>
        </is>
      </c>
      <c r="G8" t="inlineStr">
        <is>
          <t xml:space="preserve"> - Travel Home</t>
        </is>
      </c>
      <c r="H8">
        <f>HYPERLINK("https://booking.roadsurfer.com/es/rally/pick?pickup_date=2026-04-08&amp;return_date=2026-04-15&amp;currency=EUR&amp;startStation=47&amp;endStation=29",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Aquisgrán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Camper Cabin</t>
        </is>
      </c>
      <c r="H9">
        <f>HYPERLINK("https://booking.roadsurfer.com/es/rally/pick?pickup_date=2026-05-04&amp;return_date=2026-05-11&amp;currency=EUR&amp;startStation=47&amp;endStation=114",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2026-04-03</t>
        </is>
      </c>
      <c r="F10" t="inlineStr">
        <is>
          <t>2026-04-10</t>
        </is>
      </c>
      <c r="G10" t="inlineStr">
        <is>
          <t xml:space="preserve"> - Road House</t>
        </is>
      </c>
      <c r="H10">
        <f>HYPERLINK("https://booking.roadsurfer.com/es/rally/pick?pickup_date=2026-04-03&amp;return_date=2026-04-10&amp;currency=EUR&amp;startStation=47&amp;endStation=56",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Camper Cabin Deluxe</t>
        </is>
      </c>
      <c r="H11">
        <f>HYPERLINK("https://booking.roadsurfer.com/es/rally/pick?pickup_date=2026-04-13&amp;return_date=2026-04-20&amp;currency=EUR&amp;startStation=108&amp;endStation=12",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Lille</t>
        </is>
      </c>
      <c r="E12" t="inlineStr">
        <is>
          <t>2026-04-10</t>
        </is>
      </c>
      <c r="F12" t="inlineStr">
        <is>
          <t>2026-04-17</t>
        </is>
      </c>
      <c r="G12" t="inlineStr">
        <is>
          <t xml:space="preserve"> - Surfer Suite</t>
        </is>
      </c>
      <c r="H12">
        <f>HYPERLINK("https://booking.roadsurfer.com/es/rally/pick?pickup_date=2026-04-10&amp;return_date=2026-04-17&amp;currency=EUR&amp;startStation=6&amp;endStation=87",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Países Bajos</t>
        </is>
      </c>
      <c r="D13" t="inlineStr">
        <is>
          <t>Ámsterdam</t>
        </is>
      </c>
      <c r="E13" t="inlineStr">
        <is>
          <t>2026-04-20</t>
        </is>
      </c>
      <c r="F13" t="inlineStr">
        <is>
          <t>2026-04-27</t>
        </is>
      </c>
      <c r="G13" t="inlineStr">
        <is>
          <t xml:space="preserve"> - No hay coche</t>
        </is>
      </c>
      <c r="H13">
        <f>HYPERLINK("https://booking.roadsurfer.com/es/rally/pick?pickup_date=2026-04-20&amp;return_date=2026-04-27&amp;currency=EUR&amp;startStation=6&amp;endStation=32",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2026-05-06</t>
        </is>
      </c>
      <c r="F14" t="inlineStr">
        <is>
          <t>2026-05-13</t>
        </is>
      </c>
      <c r="G14" t="inlineStr">
        <is>
          <t xml:space="preserve"> - Beach Hostel</t>
        </is>
      </c>
      <c r="H14">
        <f>HYPERLINK("https://booking.roadsurfer.com/es/rally/pick?pickup_date=2026-05-06&amp;return_date=2026-05-13&amp;currency=EUR&amp;startStation=6&amp;endStation=59",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Surfer Suite</t>
        </is>
      </c>
      <c r="H15">
        <f>HYPERLINK("https://booking.roadsurfer.com/es/rally/pick?pickup_date=2026-05-08&amp;return_date=2026-05-15&amp;currency=EUR&amp;startStation=6&amp;endStation=59",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Toulouse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Surfer Suite</t>
        </is>
      </c>
      <c r="H16">
        <f>HYPERLINK("https://booking.roadsurfer.com/es/rally/pick?pickup_date=2026-05-02&amp;return_date=2026-05-09&amp;currency=EUR&amp;startStation=6&amp;endStation=30",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2026-04-23</t>
        </is>
      </c>
      <c r="F17" t="inlineStr">
        <is>
          <t>2026-04-30</t>
        </is>
      </c>
      <c r="G17" t="inlineStr">
        <is>
          <t xml:space="preserve"> - Camper Castle</t>
        </is>
      </c>
      <c r="H17">
        <f>HYPERLINK("https://booking.roadsurfer.com/es/rally/pick?pickup_date=2026-04-23&amp;return_date=2026-04-30&amp;currency=EUR&amp;startStation=6&amp;endStation=77",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2026-04-27</t>
        </is>
      </c>
      <c r="F19" t="inlineStr">
        <is>
          <t>2026-05-04</t>
        </is>
      </c>
      <c r="G19" t="inlineStr">
        <is>
          <t xml:space="preserve"> - Surfer Suite</t>
        </is>
      </c>
      <c r="H19">
        <f>HYPERLINK("https://booking.roadsurfer.com/es/rally/pick?pickup_date=2026-04-27&amp;return_date=2026-05-04&amp;currency=EUR&amp;startStation=51&amp;endStation=130",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2026-04-30</t>
        </is>
      </c>
      <c r="F20" t="inlineStr">
        <is>
          <t>2026-05-07</t>
        </is>
      </c>
      <c r="G20" t="inlineStr">
        <is>
          <t xml:space="preserve"> - Surfer Suite</t>
        </is>
      </c>
      <c r="H20">
        <f>HYPERLINK("https://booking.roadsurfer.com/es/rally/pick?pickup_date=2026-04-30&amp;return_date=2026-05-07&amp;currency=EUR&amp;startStation=51&amp;endStation=130",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Italia</t>
        </is>
      </c>
      <c r="D24" t="inlineStr">
        <is>
          <t>Florencia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SURFER SUITE</t>
        </is>
      </c>
      <c r="H24">
        <f>HYPERLINK("https://booking.roadsurfer.com/es/rally/pick?pickup_date=2026-05-04&amp;return_date=2026-05-11&amp;currency=EUR&amp;startStation=51&amp;endStation=80",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2026-05-02</t>
        </is>
      </c>
      <c r="F25" t="inlineStr">
        <is>
          <t>2026-05-09</t>
        </is>
      </c>
      <c r="G25" t="inlineStr">
        <is>
          <t xml:space="preserve"> - No hay coche</t>
        </is>
      </c>
      <c r="H25">
        <f>HYPERLINK("https://booking.roadsurfer.com/es/rally/pick?pickup_date=2026-05-02&amp;return_date=2026-05-09&amp;currency=EUR&amp;startStation=51&amp;endStation=59",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2026-04-11</t>
        </is>
      </c>
      <c r="F26" t="inlineStr">
        <is>
          <t>2026-04-18</t>
        </is>
      </c>
      <c r="G26" t="inlineStr">
        <is>
          <t xml:space="preserve"> - Road House</t>
        </is>
      </c>
      <c r="H26">
        <f>HYPERLINK("https://booking.roadsurfer.com/es/rally/pick?pickup_date=2026-04-11&amp;return_date=2026-04-18&amp;currency=EUR&amp;startStation=51&amp;endStation=59",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Sunrise Suite</t>
        </is>
      </c>
      <c r="H27">
        <f>HYPERLINK("https://booking.roadsurfer.com/es/rally/pick?pickup_date=2026-04-15&amp;return_date=2026-04-22&amp;currency=EUR&amp;startStation=51&amp;endStation=59",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Couple Cottage</t>
        </is>
      </c>
      <c r="H28">
        <f>HYPERLINK("https://booking.roadsurfer.com/es/rally/pick?pickup_date=2026-04-14&amp;return_date=2026-04-21&amp;currency=EUR&amp;startStation=51&amp;endStation=24",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Couple Cottage</t>
        </is>
      </c>
      <c r="H29">
        <f>HYPERLINK("https://booking.roadsurfer.com/es/rally/pick?pickup_date=2026-04-07&amp;return_date=2026-04-14&amp;currency=EUR&amp;startStation=51&amp;endStation=77",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2026-04-07</t>
        </is>
      </c>
      <c r="F30" t="inlineStr">
        <is>
          <t>2026-04-14</t>
        </is>
      </c>
      <c r="G30" t="inlineStr">
        <is>
          <t xml:space="preserve"> - Surfer Suite</t>
        </is>
      </c>
      <c r="H30">
        <f>HYPERLINK("https://booking.roadsurfer.com/es/rally/pick?pickup_date=2026-04-07&amp;return_date=2026-04-14&amp;currency=EUR&amp;startStation=91&amp;endStation=47",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2026-04-08</t>
        </is>
      </c>
      <c r="F32" t="inlineStr">
        <is>
          <t>2026-04-15</t>
        </is>
      </c>
      <c r="G32" t="inlineStr">
        <is>
          <t xml:space="preserve"> - Surfer Suite</t>
        </is>
      </c>
      <c r="H32">
        <f>HYPERLINK("https://booking.roadsurfer.com/es/rally/pick?pickup_date=2026-04-08&amp;return_date=2026-04-15&amp;currency=EUR&amp;startStation=91&amp;endStation=47",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2026-04-11</t>
        </is>
      </c>
      <c r="F33" t="inlineStr">
        <is>
          <t>2026-04-18</t>
        </is>
      </c>
      <c r="G33" t="inlineStr">
        <is>
          <t xml:space="preserve"> - Camper Castle</t>
        </is>
      </c>
      <c r="H33">
        <f>HYPERLINK("https://booking.roadsurfer.com/es/rally/pick?pickup_date=2026-04-11&amp;return_date=2026-04-18&amp;currency=EUR&amp;startStation=91&amp;endStation=47",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Surfer Suite</t>
        </is>
      </c>
      <c r="H35">
        <f>HYPERLINK("https://booking.roadsurfer.com/es/rally/pick?pickup_date=2026-05-16&amp;return_date=2026-05-23&amp;currency=EUR&amp;startStation=91&amp;endStation=12",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2026-04-15</t>
        </is>
      </c>
      <c r="F36" t="inlineStr">
        <is>
          <t>2026-04-22</t>
        </is>
      </c>
      <c r="G36" t="inlineStr">
        <is>
          <t xml:space="preserve"> - Road House</t>
        </is>
      </c>
      <c r="H36">
        <f>HYPERLINK("https://booking.roadsurfer.com/es/rally/pick?pickup_date=2026-04-15&amp;return_date=2026-04-22&amp;currency=EUR&amp;startStation=91&amp;endStation=12",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2026-04-09</t>
        </is>
      </c>
      <c r="F37" t="inlineStr">
        <is>
          <t>2026-04-16</t>
        </is>
      </c>
      <c r="G37" t="inlineStr">
        <is>
          <t xml:space="preserve"> - Surfer Suite - Road House</t>
        </is>
      </c>
      <c r="H37">
        <f>HYPERLINK("https://booking.roadsurfer.com/es/rally/pick?pickup_date=2026-04-09&amp;return_date=2026-04-16&amp;currency=EUR&amp;startStation=91&amp;endStation=48",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Surfer Suite</t>
        </is>
      </c>
      <c r="H38">
        <f>HYPERLINK("https://booking.roadsurfer.com/es/rally/pick?pickup_date=2026-05-06&amp;return_date=2026-05-13&amp;currency=EUR&amp;startStation=91&amp;endStation=10",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Beach Hostel</t>
        </is>
      </c>
      <c r="H39">
        <f>HYPERLINK("https://booking.roadsurfer.com/es/rally/pick?pickup_date=2026-05-06&amp;return_date=2026-05-13&amp;currency=EUR&amp;startStation=91&amp;endStation=77",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Sunrise Suite</t>
        </is>
      </c>
      <c r="H40">
        <f>HYPERLINK("https://booking.roadsurfer.com/es/rally/pick?pickup_date=2026-05-04&amp;return_date=2026-05-11&amp;currency=EUR&amp;startStation=91&amp;endStation=77",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2026-04-29</t>
        </is>
      </c>
      <c r="F41" t="inlineStr">
        <is>
          <t>2026-05-06</t>
        </is>
      </c>
      <c r="G41" t="inlineStr">
        <is>
          <t xml:space="preserve"> - Surfer Suite - Family Finca</t>
        </is>
      </c>
      <c r="H41">
        <f>HYPERLINK("https://booking.roadsurfer.com/es/rally/pick?pickup_date=2026-04-29&amp;return_date=2026-05-06&amp;currency=EUR&amp;startStation=91&amp;endStation=77",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Sunrise Suite</t>
        </is>
      </c>
      <c r="H42">
        <f>HYPERLINK("https://booking.roadsurfer.com/es/rally/pick?pickup_date=2026-05-12&amp;return_date=2026-05-19&amp;currency=EUR&amp;startStation=91&amp;endStation=77",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Surfer Suite</t>
        </is>
      </c>
      <c r="H43">
        <f>HYPERLINK("https://booking.roadsurfer.com/es/rally/pick?pickup_date=2026-05-12&amp;return_date=2026-05-19&amp;currency=EUR&amp;startStation=91&amp;endStation=60",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2026-05-13</t>
        </is>
      </c>
      <c r="F45" t="inlineStr">
        <is>
          <t>2026-05-20</t>
        </is>
      </c>
      <c r="G45" t="inlineStr">
        <is>
          <t xml:space="preserve"> - Beach Hostel</t>
        </is>
      </c>
      <c r="H45">
        <f>HYPERLINK("https://booking.roadsurfer.com/es/rally/pick?pickup_date=2026-05-13&amp;return_date=2026-05-20&amp;currency=EUR&amp;startStation=91&amp;endStation=59",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2026-04-10</t>
        </is>
      </c>
      <c r="F46" t="inlineStr">
        <is>
          <t>2026-04-17</t>
        </is>
      </c>
      <c r="G46" t="inlineStr">
        <is>
          <t xml:space="preserve"> - No hay coche</t>
        </is>
      </c>
      <c r="H46">
        <f>HYPERLINK("https://booking.roadsurfer.com/es/rally/pick?pickup_date=2026-04-10&amp;return_date=2026-04-17&amp;currency=EUR&amp;startStation=91&amp;endStation=33",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2026-04-13</t>
        </is>
      </c>
      <c r="F47" t="inlineStr">
        <is>
          <t>2026-04-20</t>
        </is>
      </c>
      <c r="G47" t="inlineStr">
        <is>
          <t xml:space="preserve"> - Road House</t>
        </is>
      </c>
      <c r="H47">
        <f>HYPERLINK("https://booking.roadsurfer.com/es/rally/pick?pickup_date=2026-04-13&amp;return_date=2026-04-20&amp;currency=EUR&amp;startStation=40&amp;endStation=5",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2026-04-07</t>
        </is>
      </c>
      <c r="F49" t="inlineStr">
        <is>
          <t>2026-04-14</t>
        </is>
      </c>
      <c r="G49" t="inlineStr">
        <is>
          <t xml:space="preserve"> - No hay coche</t>
        </is>
      </c>
      <c r="H49">
        <f>HYPERLINK("https://booking.roadsurfer.com/es/rally/pick?pickup_date=2026-04-07&amp;return_date=2026-04-14&amp;currency=EUR&amp;startStation=40&amp;endStation=10",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HYPERLINK("https://booking.roadsurfer.com/es/rally/pick?pickup_date=2026-04-06&amp;return_date=2026-04-13&amp;currency=EUR&amp;startStation=40&amp;endStation=52",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Road House</t>
        </is>
      </c>
      <c r="H52">
        <f>HYPERLINK("https://booking.roadsurfer.com/es/rally/pick?pickup_date=2026-05-04&amp;return_date=2026-05-11&amp;currency=EUR&amp;startStation=57&amp;endStation=1",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2026-04-01</t>
        </is>
      </c>
      <c r="F53" t="inlineStr">
        <is>
          <t>2026-04-08</t>
        </is>
      </c>
      <c r="G53" t="inlineStr">
        <is>
          <t xml:space="preserve"> - Surfer Suite</t>
        </is>
      </c>
      <c r="H53">
        <f>HYPERLINK("https://booking.roadsurfer.com/es/rally/pick?pickup_date=2026-04-01&amp;return_date=2026-04-08&amp;currency=EUR&amp;startStation=13&amp;endStation=22",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Surfer Suite</t>
        </is>
      </c>
      <c r="H54">
        <f>HYPERLINK("https://booking.roadsurfer.com/es/rally/pick?pickup_date=2026-04-02&amp;return_date=2026-04-09&amp;currency=EUR&amp;startStation=13&amp;endStation=22",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 - Camper Cabin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2026-04-04</t>
        </is>
      </c>
      <c r="F57" t="inlineStr">
        <is>
          <t>2026-04-11</t>
        </is>
      </c>
      <c r="G57" t="inlineStr">
        <is>
          <t xml:space="preserve"> - Camper Cabin</t>
        </is>
      </c>
      <c r="H57">
        <f>HYPERLINK("https://booking.roadsurfer.com/es/rally/pick?pickup_date=2026-04-04&amp;return_date=2026-04-11&amp;currency=EUR&amp;startStation=13&amp;endStation=11",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2026-03-31</t>
        </is>
      </c>
      <c r="F58" t="inlineStr">
        <is>
          <t>2026-04-07</t>
        </is>
      </c>
      <c r="G58" t="inlineStr">
        <is>
          <t xml:space="preserve"> - Beach Hostel</t>
        </is>
      </c>
      <c r="H58">
        <f>HYPERLINK("https://booking.roadsurfer.com/es/rally/pick?pickup_date=2026-03-31&amp;return_date=2026-04-07&amp;currency=EUR&amp;startStation=13&amp;endStation=11",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2026-03-31</t>
        </is>
      </c>
      <c r="F59" t="inlineStr">
        <is>
          <t>2026-04-07</t>
        </is>
      </c>
      <c r="G59" t="inlineStr">
        <is>
          <t xml:space="preserve"> - Travel Home</t>
        </is>
      </c>
      <c r="H59">
        <f>HYPERLINK("https://booking.roadsurfer.com/es/rally/pick?pickup_date=2026-03-31&amp;return_date=2026-04-07&amp;currency=EUR&amp;startStation=13&amp;endStation=2",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Ulm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HYPERLINK("https://booking.roadsurfer.com/es/rally/pick?pickup_date=2026-04-16&amp;return_date=2026-04-23&amp;currency=EUR&amp;startStation=13&amp;endStation=112",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Road House</t>
        </is>
      </c>
      <c r="H61">
        <f>HYPERLINK("https://booking.roadsurfer.com/es/rally/pick?pickup_date=2026-05-04&amp;return_date=2026-05-11&amp;currency=EUR&amp;startStation=13&amp;endStation=56",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Road House</t>
        </is>
      </c>
      <c r="H62">
        <f>HYPERLINK("https://booking.roadsurfer.com/es/rally/pick?pickup_date=2026-04-13&amp;return_date=2026-04-20&amp;currency=EUR&amp;startStation=13&amp;endStation=28",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Family Finca</t>
        </is>
      </c>
      <c r="H63">
        <f>HYPERLINK("https://booking.roadsurfer.com/es/rally/pick?pickup_date=2026-04-15&amp;return_date=2026-04-22&amp;currency=EUR&amp;startStation=13&amp;endStation=4",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2026-04-04</t>
        </is>
      </c>
      <c r="F64" t="inlineStr">
        <is>
          <t>2026-04-11</t>
        </is>
      </c>
      <c r="G64" t="inlineStr">
        <is>
          <t xml:space="preserve"> - Sunrise Suite</t>
        </is>
      </c>
      <c r="H64">
        <f>HYPERLINK("https://booking.roadsurfer.com/es/rally/pick?pickup_date=2026-04-04&amp;return_date=2026-04-11&amp;currency=EUR&amp;startStation=13&amp;endStation=52",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2026-05-02</t>
        </is>
      </c>
      <c r="F65" t="inlineStr">
        <is>
          <t>2026-05-09</t>
        </is>
      </c>
      <c r="G65" t="inlineStr">
        <is>
          <t xml:space="preserve"> - Surfer Suite - Road House</t>
        </is>
      </c>
      <c r="H65">
        <f>HYPERLINK("https://booking.roadsurfer.com/es/rally/pick?pickup_date=2026-05-02&amp;return_date=2026-05-09&amp;currency=EUR&amp;startStation=55&amp;endStation=77",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2026-05-12</t>
        </is>
      </c>
      <c r="F66" t="inlineStr">
        <is>
          <t>2026-05-19</t>
        </is>
      </c>
      <c r="G66" t="inlineStr">
        <is>
          <t xml:space="preserve"> - Road House</t>
        </is>
      </c>
      <c r="H66">
        <f>HYPERLINK("https://booking.roadsurfer.com/es/rally/pick?pickup_date=2026-05-12&amp;return_date=2026-05-19&amp;currency=EUR&amp;startStation=55&amp;endStation=60",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2026-04-29</t>
        </is>
      </c>
      <c r="F67" t="inlineStr">
        <is>
          <t>2026-05-06</t>
        </is>
      </c>
      <c r="G67" t="inlineStr">
        <is>
          <t xml:space="preserve"> - Road House</t>
        </is>
      </c>
      <c r="H67">
        <f>HYPERLINK("https://booking.roadsurfer.com/es/rally/pick?pickup_date=2026-04-29&amp;return_date=2026-05-06&amp;currency=EUR&amp;startStation=55&amp;endStation=60",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No hay coche</t>
        </is>
      </c>
      <c r="H68">
        <f>HYPERLINK("https://booking.roadsurfer.com/es/rally/pick?pickup_date=2026-05-14&amp;return_date=2026-05-21&amp;currency=EUR&amp;startStation=55&amp;endStation=60",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2026-04-02</t>
        </is>
      </c>
      <c r="F69" t="inlineStr">
        <is>
          <t>2026-04-09</t>
        </is>
      </c>
      <c r="G69" t="inlineStr">
        <is>
          <t xml:space="preserve"> - Surfer Suite</t>
        </is>
      </c>
      <c r="H69">
        <f>HYPERLINK("https://booking.roadsurfer.com/es/rally/pick?pickup_date=2026-04-02&amp;return_date=2026-04-09&amp;currency=EUR&amp;startStation=55&amp;endStation=59",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Cozy Cottage</t>
        </is>
      </c>
      <c r="H70">
        <f>HYPERLINK("https://booking.roadsurfer.com/es/rally/pick?pickup_date=2026-04-13&amp;return_date=2026-04-20&amp;currency=EUR&amp;startStation=55&amp;endStation=59",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Surfer Suite</t>
        </is>
      </c>
      <c r="H71">
        <f>HYPERLINK("https://booking.roadsurfer.com/es/rally/pick?pickup_date=2026-05-11&amp;return_date=2026-05-18&amp;currency=EUR&amp;startStation=55&amp;endStation=6",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Aquisgrán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HYPERLINK("https://booking.roadsurfer.com/es/rally/pick?pickup_date=2026-04-20&amp;return_date=2026-04-27&amp;currency=EUR&amp;startStation=55&amp;endStation=114",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Sunrise Suite</t>
        </is>
      </c>
      <c r="H73">
        <f>HYPERLINK("https://booking.roadsurfer.com/es/rally/pick?pickup_date=2026-04-23&amp;return_date=2026-04-30&amp;currency=EUR&amp;startStation=55&amp;endStation=34",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Camper Cabin Deluxe</t>
        </is>
      </c>
      <c r="H75">
        <f>HYPERLINK("https://booking.roadsurfer.com/es/rally/pick?pickup_date=2026-04-16&amp;return_date=2026-04-23&amp;currency=EUR&amp;startStation=55&amp;endStation=42",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Bremen</t>
        </is>
      </c>
      <c r="E77" t="inlineStr">
        <is>
          <t>2026-04-07</t>
        </is>
      </c>
      <c r="F77" t="inlineStr">
        <is>
          <t>2026-04-14</t>
        </is>
      </c>
      <c r="G77" t="inlineStr">
        <is>
          <t xml:space="preserve"> - Road House</t>
        </is>
      </c>
      <c r="H77">
        <f>HYPERLINK("https://booking.roadsurfer.com/es/rally/pick?pickup_date=2026-04-07&amp;return_date=2026-04-14&amp;currency=EUR&amp;startStation=42&amp;endStation=55",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Camper Castle</t>
        </is>
      </c>
      <c r="H78">
        <f>HYPERLINK("https://booking.roadsurfer.com/es/rally/pick?pickup_date=2026-05-04&amp;return_date=2026-05-11&amp;currency=EUR&amp;startStation=42&amp;endStation=6",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Road House</t>
        </is>
      </c>
      <c r="H79">
        <f>HYPERLINK("https://booking.roadsurfer.com/es/rally/pick?pickup_date=2026-04-09&amp;return_date=2026-04-16&amp;currency=EUR&amp;startStation=52&amp;endStation=42",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Sunrise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2026-04-18</t>
        </is>
      </c>
      <c r="F82" t="inlineStr">
        <is>
          <t>2026-04-25</t>
        </is>
      </c>
      <c r="G82" t="inlineStr">
        <is>
          <t xml:space="preserve"> - No hay coche</t>
        </is>
      </c>
      <c r="H82">
        <f>HYPERLINK("https://booking.roadsurfer.com/es/rally/pick?pickup_date=2026-04-18&amp;return_date=2026-04-25&amp;currency=EUR&amp;startStation=52&amp;endStation=42",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2026-04-11</t>
        </is>
      </c>
      <c r="F83" t="inlineStr">
        <is>
          <t>2026-04-18</t>
        </is>
      </c>
      <c r="G83" t="inlineStr">
        <is>
          <t xml:space="preserve"> - Surfer Suite</t>
        </is>
      </c>
      <c r="H83">
        <f>HYPERLINK("https://booking.roadsurfer.com/es/rally/pick?pickup_date=2026-04-11&amp;return_date=2026-04-18&amp;currency=EUR&amp;startStation=52&amp;endStation=31",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Surfer Suite</t>
        </is>
      </c>
      <c r="H84">
        <f>HYPERLINK("https://booking.roadsurfer.com/es/rally/pick?pickup_date=2026-05-04&amp;return_date=2026-05-11&amp;currency=EUR&amp;startStation=52&amp;endStation=29",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Austria</t>
        </is>
      </c>
      <c r="D85" t="inlineStr">
        <is>
          <t>Graz</t>
        </is>
      </c>
      <c r="E85" t="inlineStr">
        <is>
          <t>2026-04-02</t>
        </is>
      </c>
      <c r="F85" t="inlineStr">
        <is>
          <t>2026-04-09</t>
        </is>
      </c>
      <c r="G85" t="inlineStr">
        <is>
          <t xml:space="preserve"> - Surfer Suite</t>
        </is>
      </c>
      <c r="H85">
        <f>HYPERLINK("https://booking.roadsurfer.com/es/rally/pick?pickup_date=2026-04-02&amp;return_date=2026-04-09&amp;currency=EUR&amp;startStation=52&amp;endStation=37",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Travel Home</t>
        </is>
      </c>
      <c r="H86">
        <f>HYPERLINK("https://booking.roadsurfer.com/es/rally/pick?pickup_date=2026-04-13&amp;return_date=2026-04-20&amp;currency=EUR&amp;startStation=52&amp;endStation=51",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Travel Home</t>
        </is>
      </c>
      <c r="H87">
        <f>HYPERLINK("https://booking.roadsurfer.com/es/rally/pick?pickup_date=2026-04-13&amp;return_date=2026-04-20&amp;currency=EUR&amp;startStation=52&amp;endStation=56",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Camper Cabin</t>
        </is>
      </c>
      <c r="H88">
        <f>HYPERLINK("https://booking.roadsurfer.com/es/rally/pick?pickup_date=2026-04-13&amp;return_date=2026-04-20&amp;currency=EUR&amp;startStation=52&amp;endStation=13",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Heidelberg</t>
        </is>
      </c>
      <c r="E89" t="inlineStr">
        <is>
          <t>2026-04-09</t>
        </is>
      </c>
      <c r="F89" t="inlineStr">
        <is>
          <t>2026-04-16</t>
        </is>
      </c>
      <c r="G89" t="inlineStr">
        <is>
          <t xml:space="preserve"> - Camper Cabin</t>
        </is>
      </c>
      <c r="H89">
        <f>HYPERLINK("https://booking.roadsurfer.com/es/rally/pick?pickup_date=2026-04-09&amp;return_date=2026-04-16&amp;currency=EUR&amp;startStation=52&amp;endStation=79",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Bélgica</t>
        </is>
      </c>
      <c r="D90" t="inlineStr">
        <is>
          <t>Amberes</t>
        </is>
      </c>
      <c r="E90" t="inlineStr">
        <is>
          <t>2026-04-10</t>
        </is>
      </c>
      <c r="F90" t="inlineStr">
        <is>
          <t>2026-04-17</t>
        </is>
      </c>
      <c r="G90" t="inlineStr">
        <is>
          <t xml:space="preserve"> - Camper Cabin</t>
        </is>
      </c>
      <c r="H90">
        <f>HYPERLINK("https://booking.roadsurfer.com/es/rally/pick?pickup_date=2026-04-10&amp;return_date=2026-04-17&amp;currency=EUR&amp;startStation=52&amp;endStation=47",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2026-04-16</t>
        </is>
      </c>
      <c r="F91" t="inlineStr">
        <is>
          <t>2026-04-23</t>
        </is>
      </c>
      <c r="G91" t="inlineStr">
        <is>
          <t xml:space="preserve"> - No hay coche</t>
        </is>
      </c>
      <c r="H91">
        <f>HYPERLINK("https://booking.roadsurfer.com/es/rally/pick?pickup_date=2026-04-16&amp;return_date=2026-04-23&amp;currency=EUR&amp;startStation=52&amp;endStation=130",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España</t>
        </is>
      </c>
      <c r="D92" t="inlineStr">
        <is>
          <t>Valencia</t>
        </is>
      </c>
      <c r="E92" t="inlineStr">
        <is>
          <t>2026-04-06</t>
        </is>
      </c>
      <c r="F92" t="inlineStr">
        <is>
          <t>2026-04-13</t>
        </is>
      </c>
      <c r="G92" t="inlineStr">
        <is>
          <t xml:space="preserve"> - No hay coche</t>
        </is>
      </c>
      <c r="H92">
        <f>HYPERLINK("https://booking.roadsurfer.com/es/rally/pick?pickup_date=2026-04-06&amp;return_date=2026-04-13&amp;currency=EUR&amp;startStation=52&amp;endStation=38",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2026-04-11</t>
        </is>
      </c>
      <c r="F93" t="inlineStr">
        <is>
          <t>2026-04-18</t>
        </is>
      </c>
      <c r="G93" t="inlineStr">
        <is>
          <t xml:space="preserve"> - Camper Cabin Deluxe</t>
        </is>
      </c>
      <c r="H93">
        <f>HYPERLINK("https://booking.roadsurfer.com/es/rally/pick?pickup_date=2026-04-11&amp;return_date=2026-04-18&amp;currency=EUR&amp;startStation=52&amp;endStation=48",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COUPLE COTTAGE</t>
        </is>
      </c>
      <c r="H94">
        <f>HYPERLINK("https://booking.roadsurfer.com/es/rally/pick?pickup_date=2026-04-17&amp;return_date=2026-04-24&amp;currency=EUR&amp;startStation=52&amp;endStation=48",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Núremberg</t>
        </is>
      </c>
      <c r="E95" t="inlineStr">
        <is>
          <t>2026-04-16</t>
        </is>
      </c>
      <c r="F95" t="inlineStr">
        <is>
          <t>2026-04-23</t>
        </is>
      </c>
      <c r="G95" t="inlineStr">
        <is>
          <t xml:space="preserve"> - Camper Castle</t>
        </is>
      </c>
      <c r="H95">
        <f>HYPERLINK("https://booking.roadsurfer.com/es/rally/pick?pickup_date=2026-04-16&amp;return_date=2026-04-23&amp;currency=EUR&amp;startStation=52&amp;endStation=11",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Alemania</t>
        </is>
      </c>
      <c r="D96" t="inlineStr">
        <is>
          <t>Núremberg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Sunrise Suite</t>
        </is>
      </c>
      <c r="H96">
        <f>HYPERLINK("https://booking.roadsurfer.com/es/rally/pick?pickup_date=2026-04-27&amp;return_date=2026-05-04&amp;currency=EUR&amp;startStation=52&amp;endStation=11",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2026-04-23</t>
        </is>
      </c>
      <c r="F97" t="inlineStr">
        <is>
          <t>2026-04-30</t>
        </is>
      </c>
      <c r="G97" t="inlineStr">
        <is>
          <t xml:space="preserve"> - Family Finca</t>
        </is>
      </c>
      <c r="H97">
        <f>HYPERLINK("https://booking.roadsurfer.com/es/rally/pick?pickup_date=2026-04-23&amp;return_date=2026-04-30&amp;currency=EUR&amp;startStation=52&amp;endStation=78",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Austria</t>
        </is>
      </c>
      <c r="D98" t="inlineStr">
        <is>
          <t>Salzburgo</t>
        </is>
      </c>
      <c r="E98" t="inlineStr">
        <is>
          <t>2026-04-08</t>
        </is>
      </c>
      <c r="F98" t="inlineStr">
        <is>
          <t>2026-04-15</t>
        </is>
      </c>
      <c r="G98" t="inlineStr">
        <is>
          <t xml:space="preserve"> - Family Finca</t>
        </is>
      </c>
      <c r="H98">
        <f>HYPERLINK("https://booking.roadsurfer.com/es/rally/pick?pickup_date=2026-04-08&amp;return_date=2026-04-15&amp;currency=EUR&amp;startStation=52&amp;endStation=85",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Family Finca</t>
        </is>
      </c>
      <c r="H99">
        <f>HYPERLINK("https://booking.roadsurfer.com/es/rally/pick?pickup_date=2026-04-20&amp;return_date=2026-04-27&amp;currency=EUR&amp;startStation=52&amp;endStation=34",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Sunrise Suite</t>
        </is>
      </c>
      <c r="H100">
        <f>HYPERLINK("https://booking.roadsurfer.com/es/rally/pick?pickup_date=2026-05-02&amp;return_date=2026-05-09&amp;currency=EUR&amp;startStation=52&amp;endStation=12",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Sunrise Suite</t>
        </is>
      </c>
      <c r="H101">
        <f>HYPERLINK("https://booking.roadsurfer.com/es/rally/pick?pickup_date=2026-04-20&amp;return_date=2026-04-27&amp;currency=EUR&amp;startStation=52&amp;endStation=5",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2026-04-25</t>
        </is>
      </c>
      <c r="F102" t="inlineStr">
        <is>
          <t>2026-05-02</t>
        </is>
      </c>
      <c r="G102" t="inlineStr">
        <is>
          <t xml:space="preserve"> - Surfer Suite</t>
        </is>
      </c>
      <c r="H102">
        <f>HYPERLINK("https://booking.roadsurfer.com/es/rally/pick?pickup_date=2026-04-25&amp;return_date=2026-05-02&amp;currency=EUR&amp;startStation=4&amp;endStation=12",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Surfer Suite</t>
        </is>
      </c>
      <c r="H103">
        <f>HYPERLINK("https://booking.roadsurfer.com/es/rally/pick?pickup_date=2026-04-20&amp;return_date=2026-04-27&amp;currency=EUR&amp;startStation=4&amp;endStation=87",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2026-04-10</t>
        </is>
      </c>
      <c r="F104" t="inlineStr">
        <is>
          <t>2026-04-17</t>
        </is>
      </c>
      <c r="G104" t="inlineStr">
        <is>
          <t xml:space="preserve"> - Surfer Suite</t>
        </is>
      </c>
      <c r="H104">
        <f>HYPERLINK("https://booking.roadsurfer.com/es/rally/pick?pickup_date=2026-04-10&amp;return_date=2026-04-17&amp;currency=EUR&amp;startStation=4&amp;endStation=31",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Surfer Suite</t>
        </is>
      </c>
      <c r="H105">
        <f>HYPERLINK("https://booking.roadsurfer.com/es/rally/pick?pickup_date=2026-05-04&amp;return_date=2026-05-11&amp;currency=EUR&amp;startStation=4&amp;endStation=31",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Italia</t>
        </is>
      </c>
      <c r="D106" t="inlineStr">
        <is>
          <t>Venecia</t>
        </is>
      </c>
      <c r="E106" t="inlineStr">
        <is>
          <t>2026-04-27</t>
        </is>
      </c>
      <c r="F106" t="inlineStr">
        <is>
          <t>2026-05-04</t>
        </is>
      </c>
      <c r="G106" t="inlineStr">
        <is>
          <t xml:space="preserve"> - Beach Hostel</t>
        </is>
      </c>
      <c r="H106">
        <f>HYPERLINK("https://booking.roadsurfer.com/es/rally/pick?pickup_date=2026-04-27&amp;return_date=2026-05-04&amp;currency=EUR&amp;startStation=4&amp;endStation=78",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Italia</t>
        </is>
      </c>
      <c r="D107" t="inlineStr">
        <is>
          <t>Venecia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Beach Hostel</t>
        </is>
      </c>
      <c r="H107">
        <f>HYPERLINK("https://booking.roadsurfer.com/es/rally/pick?pickup_date=2026-04-30&amp;return_date=2026-05-07&amp;currency=EUR&amp;startStation=4&amp;endStation=78",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Travel Home</t>
        </is>
      </c>
      <c r="H108">
        <f>HYPERLINK("https://booking.roadsurfer.com/es/rally/pick?pickup_date=2026-05-04&amp;return_date=2026-05-11&amp;currency=EUR&amp;startStation=4&amp;endStation=13",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2026-04-04</t>
        </is>
      </c>
      <c r="F109" t="inlineStr">
        <is>
          <t>2026-04-11</t>
        </is>
      </c>
      <c r="G109" t="inlineStr">
        <is>
          <t xml:space="preserve"> - Road House</t>
        </is>
      </c>
      <c r="H109">
        <f>HYPERLINK("https://booking.roadsurfer.com/es/rally/pick?pickup_date=2026-04-04&amp;return_date=2026-04-11&amp;currency=EUR&amp;startStation=4&amp;endStation=13",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Camper Cabin</t>
        </is>
      </c>
      <c r="H110">
        <f>HYPERLINK("https://booking.roadsurfer.com/es/rally/pick?pickup_date=2026-04-30&amp;return_date=2026-05-07&amp;currency=EUR&amp;startStation=4&amp;endStation=42", "Clic para verlo en la web de RoadSurfer")</f>
        <v/>
      </c>
    </row>
    <row r="111">
      <c r="A111" t="inlineStr">
        <is>
          <t>Alemania</t>
        </is>
      </c>
      <c r="B111" t="inlineStr">
        <is>
          <t>Colonia-Düsseldorf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Family Finca</t>
        </is>
      </c>
      <c r="H111">
        <f>HYPERLINK("https://booking.roadsurfer.com/es/rally/pick?pickup_date=2026-04-14&amp;return_date=2026-04-21&amp;currency=EUR&amp;startStation=4&amp;endStation=47",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2026-04-04</t>
        </is>
      </c>
      <c r="F112" t="inlineStr">
        <is>
          <t>2026-04-11</t>
        </is>
      </c>
      <c r="G112" t="inlineStr">
        <is>
          <t xml:space="preserve"> - Surfer Suite</t>
        </is>
      </c>
      <c r="H112">
        <f>HYPERLINK("https://booking.roadsurfer.com/es/rally/pick?pickup_date=2026-04-04&amp;return_date=2026-04-11&amp;currency=EUR&amp;startStation=10&amp;endStation=13",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2026-04-09</t>
        </is>
      </c>
      <c r="F113" t="inlineStr">
        <is>
          <t>2026-04-16</t>
        </is>
      </c>
      <c r="G113" t="inlineStr">
        <is>
          <t xml:space="preserve"> - Surfer Suite</t>
        </is>
      </c>
      <c r="H113">
        <f>HYPERLINK("https://booking.roadsurfer.com/es/rally/pick?pickup_date=2026-04-09&amp;return_date=2026-04-16&amp;currency=EUR&amp;startStation=10&amp;endStation=45",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2026-04-11</t>
        </is>
      </c>
      <c r="F114" t="inlineStr">
        <is>
          <t>2026-04-18</t>
        </is>
      </c>
      <c r="G114" t="inlineStr">
        <is>
          <t xml:space="preserve"> - Camper Castle</t>
        </is>
      </c>
      <c r="H114">
        <f>HYPERLINK("https://booking.roadsurfer.com/es/rally/pick?pickup_date=2026-04-11&amp;return_date=2026-04-18&amp;currency=EUR&amp;startStation=10&amp;endStation=45",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2026-04-13</t>
        </is>
      </c>
      <c r="F115" t="inlineStr">
        <is>
          <t>2026-04-20</t>
        </is>
      </c>
      <c r="G115" t="inlineStr">
        <is>
          <t xml:space="preserve"> - Road House</t>
        </is>
      </c>
      <c r="H115">
        <f>HYPERLINK("https://booking.roadsurfer.com/es/rally/pick?pickup_date=2026-04-13&amp;return_date=2026-04-20&amp;currency=EUR&amp;startStation=10&amp;endStation=28",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Family Finca</t>
        </is>
      </c>
      <c r="H116">
        <f>HYPERLINK("https://booking.roadsurfer.com/es/rally/pick?pickup_date=2026-05-05&amp;return_date=2026-05-12&amp;currency=EUR&amp;startStation=10&amp;endStation=40",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Surfer Suite</t>
        </is>
      </c>
      <c r="H117">
        <f>HYPERLINK("https://booking.roadsurfer.com/es/rally/pick?pickup_date=2026-04-30&amp;return_date=2026-05-07&amp;currency=EUR&amp;startStation=56&amp;endStation=87",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2026-04-09</t>
        </is>
      </c>
      <c r="F118" t="inlineStr">
        <is>
          <t>2026-04-16</t>
        </is>
      </c>
      <c r="G118" t="inlineStr">
        <is>
          <t xml:space="preserve"> - Road House</t>
        </is>
      </c>
      <c r="H118">
        <f>HYPERLINK("https://booking.roadsurfer.com/es/rally/pick?pickup_date=2026-04-09&amp;return_date=2026-04-16&amp;currency=EUR&amp;startStation=56&amp;endStation=33",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Surfer Suite</t>
        </is>
      </c>
      <c r="H119">
        <f>HYPERLINK("https://booking.roadsurfer.com/es/rally/pick?pickup_date=2026-04-27&amp;return_date=2026-05-04&amp;currency=EUR&amp;startStation=56&amp;endStation=33",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HYPERLINK("https://booking.roadsurfer.com/es/rally/pick?pickup_date=2026-04-23&amp;return_date=2026-04-30&amp;currency=EUR&amp;startStation=56&amp;endStation=58",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2026-05-05</t>
        </is>
      </c>
      <c r="F121" t="inlineStr">
        <is>
          <t>2026-05-12</t>
        </is>
      </c>
      <c r="G121" t="inlineStr">
        <is>
          <t xml:space="preserve"> - Surfer Suite</t>
        </is>
      </c>
      <c r="H121">
        <f>HYPERLINK("https://booking.roadsurfer.com/es/rally/pick?pickup_date=2026-05-05&amp;return_date=2026-05-12&amp;currency=EUR&amp;startStation=56&amp;endStation=48",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2026-04-16</t>
        </is>
      </c>
      <c r="F122" t="inlineStr">
        <is>
          <t>2026-04-23</t>
        </is>
      </c>
      <c r="G122" t="inlineStr">
        <is>
          <t xml:space="preserve"> - Beach Hostel</t>
        </is>
      </c>
      <c r="H122">
        <f>HYPERLINK("https://booking.roadsurfer.com/es/rally/pick?pickup_date=2026-04-16&amp;return_date=2026-04-23&amp;currency=EUR&amp;startStation=56&amp;endStation=47",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Road House</t>
        </is>
      </c>
      <c r="H123">
        <f>HYPERLINK("https://booking.roadsurfer.com/es/rally/pick?pickup_date=2026-04-30&amp;return_date=2026-05-07&amp;currency=EUR&amp;startStation=56&amp;endStation=47",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Road House</t>
        </is>
      </c>
      <c r="H124">
        <f>HYPERLINK("https://booking.roadsurfer.com/es/rally/pick?pickup_date=2026-05-06&amp;return_date=2026-05-13&amp;currency=EUR&amp;startStation=56&amp;endStation=59",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2026-04-30</t>
        </is>
      </c>
      <c r="F125" t="inlineStr">
        <is>
          <t>2026-05-07</t>
        </is>
      </c>
      <c r="G125" t="inlineStr">
        <is>
          <t xml:space="preserve"> - Road House</t>
        </is>
      </c>
      <c r="H125">
        <f>HYPERLINK("https://booking.roadsurfer.com/es/rally/pick?pickup_date=2026-04-30&amp;return_date=2026-05-07&amp;currency=EUR&amp;startStation=56&amp;endStation=59",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Family Finca</t>
        </is>
      </c>
      <c r="H126">
        <f>HYPERLINK("https://booking.roadsurfer.com/es/rally/pick?pickup_date=2026-04-20&amp;return_date=2026-04-27&amp;currency=EUR&amp;startStation=56&amp;endStation=77",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Suecia</t>
        </is>
      </c>
      <c r="D127" t="inlineStr">
        <is>
          <t>Gotemburgo</t>
        </is>
      </c>
      <c r="E127" t="inlineStr">
        <is>
          <t>2026-04-04</t>
        </is>
      </c>
      <c r="F127" t="inlineStr">
        <is>
          <t>2026-04-11</t>
        </is>
      </c>
      <c r="G127" t="inlineStr">
        <is>
          <t xml:space="preserve"> - Road House</t>
        </is>
      </c>
      <c r="H127">
        <f>HYPERLINK("https://booking.roadsurfer.com/es/rally/pick?pickup_date=2026-04-04&amp;return_date=2026-04-11&amp;currency=EUR&amp;startStation=56&amp;endStation=77",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2026-04-25</t>
        </is>
      </c>
      <c r="F128" t="inlineStr">
        <is>
          <t>2026-05-02</t>
        </is>
      </c>
      <c r="G128" t="inlineStr">
        <is>
          <t xml:space="preserve"> - Road House</t>
        </is>
      </c>
      <c r="H128">
        <f>HYPERLINK("https://booking.roadsurfer.com/es/rally/pick?pickup_date=2026-04-25&amp;return_date=2026-05-02&amp;currency=EUR&amp;startStation=56&amp;endStation=37",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2026-05-02</t>
        </is>
      </c>
      <c r="F129" t="inlineStr">
        <is>
          <t>2026-05-09</t>
        </is>
      </c>
      <c r="G129" t="inlineStr">
        <is>
          <t xml:space="preserve"> - Road House</t>
        </is>
      </c>
      <c r="H129">
        <f>HYPERLINK("https://booking.roadsurfer.com/es/rally/pick?pickup_date=2026-05-02&amp;return_date=2026-05-09&amp;currency=EUR&amp;startStation=56&amp;endStation=42",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2026-04-11</t>
        </is>
      </c>
      <c r="F130" t="inlineStr">
        <is>
          <t>2026-04-18</t>
        </is>
      </c>
      <c r="G130" t="inlineStr">
        <is>
          <t xml:space="preserve"> - Road House</t>
        </is>
      </c>
      <c r="H130">
        <f>HYPERLINK("https://booking.roadsurfer.com/es/rally/pick?pickup_date=2026-04-11&amp;return_date=2026-04-18&amp;currency=EUR&amp;startStation=56&amp;endStation=13",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2026-04-30</t>
        </is>
      </c>
      <c r="F131" t="inlineStr">
        <is>
          <t>2026-05-07</t>
        </is>
      </c>
      <c r="G131" t="inlineStr">
        <is>
          <t xml:space="preserve"> - Camper Castle</t>
        </is>
      </c>
      <c r="H131">
        <f>HYPERLINK("https://booking.roadsurfer.com/es/rally/pick?pickup_date=2026-04-30&amp;return_date=2026-05-07&amp;currency=EUR&amp;startStation=56&amp;endStation=31",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2026-04-22</t>
        </is>
      </c>
      <c r="F132" t="inlineStr">
        <is>
          <t>2026-04-29</t>
        </is>
      </c>
      <c r="G132" t="inlineStr">
        <is>
          <t xml:space="preserve"> - Sunrise Suite</t>
        </is>
      </c>
      <c r="H132">
        <f>HYPERLINK("https://booking.roadsurfer.com/es/rally/pick?pickup_date=2026-04-22&amp;return_date=2026-04-29&amp;currency=EUR&amp;startStation=56&amp;endStation=78",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2026-04-08</t>
        </is>
      </c>
      <c r="F133" t="inlineStr">
        <is>
          <t>2026-04-15</t>
        </is>
      </c>
      <c r="G133" t="inlineStr">
        <is>
          <t xml:space="preserve"> - Surfer Suite</t>
        </is>
      </c>
      <c r="H133">
        <f>HYPERLINK("https://booking.roadsurfer.com/es/rally/pick?pickup_date=2026-04-08&amp;return_date=2026-04-15&amp;currency=EUR&amp;startStation=113&amp;endStation=32",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2026-04-07</t>
        </is>
      </c>
      <c r="F134" t="inlineStr">
        <is>
          <t>2026-04-14</t>
        </is>
      </c>
      <c r="G134" t="inlineStr">
        <is>
          <t xml:space="preserve"> - Surfer Suite</t>
        </is>
      </c>
      <c r="H134">
        <f>HYPERLINK("https://booking.roadsurfer.com/es/rally/pick?pickup_date=2026-04-07&amp;return_date=2026-04-14&amp;currency=EUR&amp;startStation=113&amp;endStation=32",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2026-04-04</t>
        </is>
      </c>
      <c r="F135" t="inlineStr">
        <is>
          <t>2026-04-11</t>
        </is>
      </c>
      <c r="G135" t="inlineStr">
        <is>
          <t xml:space="preserve"> - Road House</t>
        </is>
      </c>
      <c r="H135">
        <f>HYPERLINK("https://booking.roadsurfer.com/es/rally/pick?pickup_date=2026-04-04&amp;return_date=2026-04-11&amp;currency=EUR&amp;startStation=113&amp;endStation=32",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 - Beach Hostel</t>
        </is>
      </c>
      <c r="H136">
        <f>HYPERLINK("https://booking.roadsurfer.com/es/rally/pick?pickup_date=2026-04-20&amp;return_date=2026-04-27&amp;currency=EUR&amp;startStation=113&amp;endStation=34", "Clic para verlo en la web de RoadSurfer")</f>
        <v/>
      </c>
    </row>
    <row r="137">
      <c r="A137" t="inlineStr">
        <is>
          <t>Alemania</t>
        </is>
      </c>
      <c r="B137" t="inlineStr">
        <is>
          <t>Duisburgo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2026-04-23</t>
        </is>
      </c>
      <c r="F137" t="inlineStr">
        <is>
          <t>2026-04-30</t>
        </is>
      </c>
      <c r="G137" t="inlineStr">
        <is>
          <t xml:space="preserve"> - No hay coche</t>
        </is>
      </c>
      <c r="H137">
        <f>HYPERLINK("https://booking.roadsurfer.com/es/rally/pick?pickup_date=2026-04-23&amp;return_date=2026-04-30&amp;currency=EUR&amp;startStation=113&amp;endStation=34", "Clic para verlo en la web de RoadSurfer")</f>
        <v/>
      </c>
    </row>
    <row r="138">
      <c r="A138" t="inlineStr">
        <is>
          <t>Alemania</t>
        </is>
      </c>
      <c r="B138" t="inlineStr">
        <is>
          <t>Duisburgo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Surfer Suite</t>
        </is>
      </c>
      <c r="H138">
        <f>HYPERLINK("https://booking.roadsurfer.com/es/rally/pick?pickup_date=2026-04-13&amp;return_date=2026-04-20&amp;currency=EUR&amp;startStation=113&amp;endStation=34", "Clic para verlo en la web de RoadSurfer")</f>
        <v/>
      </c>
    </row>
    <row r="139">
      <c r="A139" t="inlineStr">
        <is>
          <t>Alemania</t>
        </is>
      </c>
      <c r="B139" t="inlineStr">
        <is>
          <t>Duisburgo</t>
        </is>
      </c>
      <c r="C139" t="inlineStr">
        <is>
          <t>Italia</t>
        </is>
      </c>
      <c r="D139" t="inlineStr">
        <is>
          <t>Bérgamo</t>
        </is>
      </c>
      <c r="E139" t="inlineStr">
        <is>
          <t>2026-04-23</t>
        </is>
      </c>
      <c r="F139" t="inlineStr">
        <is>
          <t>2026-04-30</t>
        </is>
      </c>
      <c r="G139" t="inlineStr">
        <is>
          <t xml:space="preserve"> - No hay coche</t>
        </is>
      </c>
      <c r="H139">
        <f>HYPERLINK("https://booking.roadsurfer.com/es/rally/pick?pickup_date=2026-04-23&amp;return_date=2026-04-30&amp;currency=EUR&amp;startStation=113&amp;endStation=94", "Clic para verlo en la web de RoadSurfer")</f>
        <v/>
      </c>
    </row>
    <row r="140">
      <c r="A140" t="inlineStr">
        <is>
          <t>Alemania</t>
        </is>
      </c>
      <c r="B140" t="inlineStr">
        <is>
          <t>Duisburgo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Family Finca</t>
        </is>
      </c>
      <c r="H140">
        <f>HYPERLINK("https://booking.roadsurfer.com/es/rally/pick?pickup_date=2026-04-27&amp;return_date=2026-05-04&amp;currency=EUR&amp;startStation=113&amp;endStation=59",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Bélgica</t>
        </is>
      </c>
      <c r="D141" t="inlineStr">
        <is>
          <t>Amberes</t>
        </is>
      </c>
      <c r="E141" t="inlineStr">
        <is>
          <t>2026-04-08</t>
        </is>
      </c>
      <c r="F141" t="inlineStr">
        <is>
          <t>2026-04-15</t>
        </is>
      </c>
      <c r="G141" t="inlineStr">
        <is>
          <t xml:space="preserve"> - Family Finca</t>
        </is>
      </c>
      <c r="H141">
        <f>HYPERLINK("https://booking.roadsurfer.com/es/rally/pick?pickup_date=2026-04-08&amp;return_date=2026-04-15&amp;currency=EUR&amp;startStation=90&amp;endStation=47",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Surfer Suite</t>
        </is>
      </c>
      <c r="H142">
        <f>HYPERLINK("https://booking.roadsurfer.com/es/rally/pick?pickup_date=2026-04-13&amp;return_date=2026-04-20&amp;currency=EUR&amp;startStation=90&amp;endStation=47",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Austria</t>
        </is>
      </c>
      <c r="D143" t="inlineStr">
        <is>
          <t>Linz</t>
        </is>
      </c>
      <c r="E143" t="inlineStr">
        <is>
          <t>2026-04-09</t>
        </is>
      </c>
      <c r="F143" t="inlineStr">
        <is>
          <t>2026-04-16</t>
        </is>
      </c>
      <c r="G143" t="inlineStr">
        <is>
          <t xml:space="preserve"> - Surfer Suite</t>
        </is>
      </c>
      <c r="H143">
        <f>HYPERLINK("https://booking.roadsurfer.com/es/rally/pick?pickup_date=2026-04-09&amp;return_date=2026-04-16&amp;currency=EUR&amp;startStation=90&amp;endStation=116",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Austria</t>
        </is>
      </c>
      <c r="D144" t="inlineStr">
        <is>
          <t>Graz</t>
        </is>
      </c>
      <c r="E144" t="inlineStr">
        <is>
          <t>2026-04-04</t>
        </is>
      </c>
      <c r="F144" t="inlineStr">
        <is>
          <t>2026-04-11</t>
        </is>
      </c>
      <c r="G144" t="inlineStr">
        <is>
          <t xml:space="preserve"> - Surfer Suite</t>
        </is>
      </c>
      <c r="H144">
        <f>HYPERLINK("https://booking.roadsurfer.com/es/rally/pick?pickup_date=2026-04-04&amp;return_date=2026-04-11&amp;currency=EUR&amp;startStation=90&amp;endStation=37",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Austria</t>
        </is>
      </c>
      <c r="D145" t="inlineStr">
        <is>
          <t>Graz</t>
        </is>
      </c>
      <c r="E145" t="inlineStr">
        <is>
          <t>2026-04-02</t>
        </is>
      </c>
      <c r="F145" t="inlineStr">
        <is>
          <t>2026-04-09</t>
        </is>
      </c>
      <c r="G145" t="inlineStr">
        <is>
          <t xml:space="preserve"> - Surfer Suite</t>
        </is>
      </c>
      <c r="H145">
        <f>HYPERLINK("https://booking.roadsurfer.com/es/rally/pick?pickup_date=2026-04-02&amp;return_date=2026-04-09&amp;currency=EUR&amp;startStation=90&amp;endStation=37",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Austria</t>
        </is>
      </c>
      <c r="D146" t="inlineStr">
        <is>
          <t>Graz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Surfer Suite</t>
        </is>
      </c>
      <c r="H146">
        <f>HYPERLINK("https://booking.roadsurfer.com/es/rally/pick?pickup_date=2026-05-06&amp;return_date=2026-05-13&amp;currency=EUR&amp;startStation=90&amp;endStation=37",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2026-04-02</t>
        </is>
      </c>
      <c r="F147" t="inlineStr">
        <is>
          <t>2026-04-09</t>
        </is>
      </c>
      <c r="G147" t="inlineStr">
        <is>
          <t xml:space="preserve"> - Surfer Suite</t>
        </is>
      </c>
      <c r="H147">
        <f>HYPERLINK("https://booking.roadsurfer.com/es/rally/pick?pickup_date=2026-04-02&amp;return_date=2026-04-09&amp;currency=EUR&amp;startStation=90&amp;endStation=48",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2026-04-09</t>
        </is>
      </c>
      <c r="F148" t="inlineStr">
        <is>
          <t>2026-04-16</t>
        </is>
      </c>
      <c r="G148" t="inlineStr">
        <is>
          <t xml:space="preserve"> - Beach Hostel</t>
        </is>
      </c>
      <c r="H148">
        <f>HYPERLINK("https://booking.roadsurfer.com/es/rally/pick?pickup_date=2026-04-09&amp;return_date=2026-04-16&amp;currency=EUR&amp;startStation=90&amp;endStation=48",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2026-04-30</t>
        </is>
      </c>
      <c r="F149" t="inlineStr">
        <is>
          <t>2026-05-07</t>
        </is>
      </c>
      <c r="G149" t="inlineStr">
        <is>
          <t xml:space="preserve"> - Sunrise Suite</t>
        </is>
      </c>
      <c r="H149">
        <f>HYPERLINK("https://booking.roadsurfer.com/es/rally/pick?pickup_date=2026-04-30&amp;return_date=2026-05-07&amp;currency=EUR&amp;startStation=90&amp;endStation=59",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2026-05-07</t>
        </is>
      </c>
      <c r="F150" t="inlineStr">
        <is>
          <t>2026-05-14</t>
        </is>
      </c>
      <c r="G150" t="inlineStr">
        <is>
          <t xml:space="preserve"> - No hay coche</t>
        </is>
      </c>
      <c r="H150">
        <f>HYPERLINK("https://booking.roadsurfer.com/es/rally/pick?pickup_date=2026-05-07&amp;return_date=2026-05-14&amp;currency=EUR&amp;startStation=90&amp;endStation=59",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Road House</t>
        </is>
      </c>
      <c r="H151">
        <f>HYPERLINK("https://booking.roadsurfer.com/es/rally/pick?pickup_date=2026-05-06&amp;return_date=2026-05-13&amp;currency=EUR&amp;startStation=90&amp;endStation=59",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Bélgica</t>
        </is>
      </c>
      <c r="D152" t="inlineStr">
        <is>
          <t>Bruselas</t>
        </is>
      </c>
      <c r="E152" t="inlineStr">
        <is>
          <t>2026-04-08</t>
        </is>
      </c>
      <c r="F152" t="inlineStr">
        <is>
          <t>2026-04-15</t>
        </is>
      </c>
      <c r="G152" t="inlineStr">
        <is>
          <t xml:space="preserve"> - SURFER SUITE</t>
        </is>
      </c>
      <c r="H152">
        <f>HYPERLINK("https://booking.roadsurfer.com/es/rally/pick?pickup_date=2026-04-08&amp;return_date=2026-04-15&amp;currency=EUR&amp;startStation=90&amp;endStation=42",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Beach Hostel</t>
        </is>
      </c>
      <c r="H153">
        <f>HYPERLINK("https://booking.roadsurfer.com/es/rally/pick?pickup_date=2026-04-23&amp;return_date=2026-04-30&amp;currency=EUR&amp;startStation=90&amp;endStation=42",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Estrasburgo</t>
        </is>
      </c>
      <c r="E154" t="inlineStr">
        <is>
          <t>2026-05-08</t>
        </is>
      </c>
      <c r="F154" t="inlineStr">
        <is>
          <t>2026-05-15</t>
        </is>
      </c>
      <c r="G154" t="inlineStr">
        <is>
          <t xml:space="preserve"> - Beach Hostel</t>
        </is>
      </c>
      <c r="H154">
        <f>HYPERLINK("https://booking.roadsurfer.com/es/rally/pick?pickup_date=2026-05-08&amp;return_date=2026-05-15&amp;currency=EUR&amp;startStation=90&amp;endStation=49",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BEACH HOSTEL</t>
        </is>
      </c>
      <c r="H155">
        <f>HYPERLINK("https://booking.roadsurfer.com/es/rally/pick?pickup_date=2026-04-13&amp;return_date=2026-04-20&amp;currency=EUR&amp;startStation=90&amp;endStation=49",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Beach Hostel</t>
        </is>
      </c>
      <c r="H156">
        <f>HYPERLINK("https://booking.roadsurfer.com/es/rally/pick?pickup_date=2026-04-13&amp;return_date=2026-04-20&amp;currency=EUR&amp;startStation=90&amp;endStation=15",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2026-05-05</t>
        </is>
      </c>
      <c r="F157" t="inlineStr">
        <is>
          <t>2026-05-12</t>
        </is>
      </c>
      <c r="G157" t="inlineStr">
        <is>
          <t xml:space="preserve"> - Travel Home</t>
        </is>
      </c>
      <c r="H157">
        <f>HYPERLINK("https://booking.roadsurfer.com/es/rally/pick?pickup_date=2026-05-05&amp;return_date=2026-05-12&amp;currency=EUR&amp;startStation=90&amp;endStation=13",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Austria</t>
        </is>
      </c>
      <c r="D158" t="inlineStr">
        <is>
          <t>Viena Sur</t>
        </is>
      </c>
      <c r="E158" t="inlineStr">
        <is>
          <t>2026-04-10</t>
        </is>
      </c>
      <c r="F158" t="inlineStr">
        <is>
          <t>2026-04-17</t>
        </is>
      </c>
      <c r="G158" t="inlineStr">
        <is>
          <t xml:space="preserve"> - Camper Cabin</t>
        </is>
      </c>
      <c r="H158">
        <f>HYPERLINK("https://booking.roadsurfer.com/es/rally/pick?pickup_date=2026-04-10&amp;return_date=2026-04-17&amp;currency=EUR&amp;startStation=90&amp;endStation=45",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2026-04-07</t>
        </is>
      </c>
      <c r="F159" t="inlineStr">
        <is>
          <t>2026-04-14</t>
        </is>
      </c>
      <c r="G159" t="inlineStr">
        <is>
          <t xml:space="preserve"> - Road House</t>
        </is>
      </c>
      <c r="H159">
        <f>HYPERLINK("https://booking.roadsurfer.com/es/rally/pick?pickup_date=2026-04-07&amp;return_date=2026-04-14&amp;currency=EUR&amp;startStation=90&amp;endStation=12",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2026-04-14</t>
        </is>
      </c>
      <c r="F160" t="inlineStr">
        <is>
          <t>2026-04-21</t>
        </is>
      </c>
      <c r="G160" t="inlineStr">
        <is>
          <t xml:space="preserve"> - Road House</t>
        </is>
      </c>
      <c r="H160">
        <f>HYPERLINK("https://booking.roadsurfer.com/es/rally/pick?pickup_date=2026-04-14&amp;return_date=2026-04-21&amp;currency=EUR&amp;startStation=90&amp;endStation=77",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Alemania</t>
        </is>
      </c>
      <c r="D161" t="inlineStr">
        <is>
          <t>Augsburgo</t>
        </is>
      </c>
      <c r="E161" t="inlineStr">
        <is>
          <t>2026-04-04</t>
        </is>
      </c>
      <c r="F161" t="inlineStr">
        <is>
          <t>2026-04-11</t>
        </is>
      </c>
      <c r="G161" t="inlineStr">
        <is>
          <t xml:space="preserve"> - Road House</t>
        </is>
      </c>
      <c r="H161">
        <f>HYPERLINK("https://booking.roadsurfer.com/es/rally/pick?pickup_date=2026-04-04&amp;return_date=2026-04-11&amp;currency=EUR&amp;startStation=90&amp;endStation=108",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Bochum</t>
        </is>
      </c>
      <c r="E162" t="inlineStr">
        <is>
          <t>2026-04-02</t>
        </is>
      </c>
      <c r="F162" t="inlineStr">
        <is>
          <t>2026-04-09</t>
        </is>
      </c>
      <c r="G162" t="inlineStr">
        <is>
          <t xml:space="preserve"> - Surfer Suite</t>
        </is>
      </c>
      <c r="H162">
        <f>HYPERLINK("https://booking.roadsurfer.com/es/rally/pick?pickup_date=2026-04-02&amp;return_date=2026-04-09&amp;currency=EUR&amp;startStation=80&amp;endStation=24", "Clic para verlo en la web de RoadSurfer")</f>
        <v/>
      </c>
    </row>
    <row r="163">
      <c r="A163" t="inlineStr">
        <is>
          <t>Italia</t>
        </is>
      </c>
      <c r="B163" t="inlineStr">
        <is>
          <t>Florencia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2026-04-02</t>
        </is>
      </c>
      <c r="F163" t="inlineStr">
        <is>
          <t>2026-04-09</t>
        </is>
      </c>
      <c r="G163" t="inlineStr">
        <is>
          <t xml:space="preserve"> - Road House</t>
        </is>
      </c>
      <c r="H163">
        <f>HYPERLINK("https://booking.roadsurfer.com/es/rally/pick?pickup_date=2026-04-02&amp;return_date=2026-04-09&amp;currency=EUR&amp;startStation=80&amp;endStation=22",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2026-04-27</t>
        </is>
      </c>
      <c r="F164" t="inlineStr">
        <is>
          <t>2026-05-04</t>
        </is>
      </c>
      <c r="G164" t="inlineStr">
        <is>
          <t xml:space="preserve"> - CAMPER CASTLE</t>
        </is>
      </c>
      <c r="H164">
        <f>HYPERLINK("https://booking.roadsurfer.com/es/rally/pick?pickup_date=2026-04-27&amp;return_date=2026-05-04&amp;currency=EUR&amp;startStation=2&amp;endStation=40",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2026-04-23</t>
        </is>
      </c>
      <c r="F165" t="inlineStr">
        <is>
          <t>2026-04-30</t>
        </is>
      </c>
      <c r="G165" t="inlineStr">
        <is>
          <t xml:space="preserve"> - Couple Cottage</t>
        </is>
      </c>
      <c r="H165">
        <f>HYPERLINK("https://booking.roadsurfer.com/es/rally/pick?pickup_date=2026-04-23&amp;return_date=2026-04-30&amp;currency=EUR&amp;startStation=2&amp;endStation=40",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Surfer Suite</t>
        </is>
      </c>
      <c r="H166">
        <f>HYPERLINK("https://booking.roadsurfer.com/es/rally/pick?pickup_date=2026-05-06&amp;return_date=2026-05-13&amp;currency=EUR&amp;startStation=2&amp;endStation=40",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2026-04-01</t>
        </is>
      </c>
      <c r="F167" t="inlineStr">
        <is>
          <t>2026-04-08</t>
        </is>
      </c>
      <c r="G167" t="inlineStr">
        <is>
          <t xml:space="preserve"> - Surfer Suite</t>
        </is>
      </c>
      <c r="H167">
        <f>HYPERLINK("https://booking.roadsurfer.com/es/rally/pick?pickup_date=2026-04-01&amp;return_date=2026-04-08&amp;currency=EUR&amp;startStation=2&amp;endStation=17",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2026-05-06</t>
        </is>
      </c>
      <c r="F168" t="inlineStr">
        <is>
          <t>2026-05-13</t>
        </is>
      </c>
      <c r="G168" t="inlineStr">
        <is>
          <t xml:space="preserve"> - Surfer Suite</t>
        </is>
      </c>
      <c r="H168">
        <f>HYPERLINK("https://booking.roadsurfer.com/es/rally/pick?pickup_date=2026-05-06&amp;return_date=2026-05-13&amp;currency=EUR&amp;startStation=2&amp;endStation=78",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Italia</t>
        </is>
      </c>
      <c r="D169" t="inlineStr">
        <is>
          <t>Bérgamo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</t>
        </is>
      </c>
      <c r="H169">
        <f>HYPERLINK("https://booking.roadsurfer.com/es/rally/pick?pickup_date=2026-05-04&amp;return_date=2026-05-11&amp;currency=EUR&amp;startStation=2&amp;endStation=94",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Italia</t>
        </is>
      </c>
      <c r="D170" t="inlineStr">
        <is>
          <t>Bérgamo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Camper Castle</t>
        </is>
      </c>
      <c r="H170">
        <f>HYPERLINK("https://booking.roadsurfer.com/es/rally/pick?pickup_date=2026-04-15&amp;return_date=2026-04-22&amp;currency=EUR&amp;startStation=2&amp;endStation=94",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2026-04-14</t>
        </is>
      </c>
      <c r="F171" t="inlineStr">
        <is>
          <t>2026-04-21</t>
        </is>
      </c>
      <c r="G171" t="inlineStr">
        <is>
          <t xml:space="preserve"> - Surfer Suite</t>
        </is>
      </c>
      <c r="H171">
        <f>HYPERLINK("https://booking.roadsurfer.com/es/rally/pick?pickup_date=2026-04-14&amp;return_date=2026-04-21&amp;currency=EUR&amp;startStation=2&amp;endStation=48",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Alemania</t>
        </is>
      </c>
      <c r="D172" t="inlineStr">
        <is>
          <t>Flensburgo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Surfer Suite</t>
        </is>
      </c>
      <c r="H172">
        <f>HYPERLINK("https://booking.roadsurfer.com/es/rally/pick?pickup_date=2026-05-04&amp;return_date=2026-05-11&amp;currency=EUR&amp;startStation=2&amp;endStation=130",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Italia</t>
        </is>
      </c>
      <c r="D173" t="inlineStr">
        <is>
          <t>Milán</t>
        </is>
      </c>
      <c r="E173" t="inlineStr">
        <is>
          <t>2026-04-10</t>
        </is>
      </c>
      <c r="F173" t="inlineStr">
        <is>
          <t>2026-04-17</t>
        </is>
      </c>
      <c r="G173" t="inlineStr">
        <is>
          <t xml:space="preserve"> - Surfer Suite</t>
        </is>
      </c>
      <c r="H173">
        <f>HYPERLINK("https://booking.roadsurfer.com/es/rally/pick?pickup_date=2026-04-10&amp;return_date=2026-04-17&amp;currency=EUR&amp;startStation=2&amp;endStation=34",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2026-04-11</t>
        </is>
      </c>
      <c r="F174" t="inlineStr">
        <is>
          <t>2026-04-18</t>
        </is>
      </c>
      <c r="G174" t="inlineStr">
        <is>
          <t xml:space="preserve"> - Sunrise Suite</t>
        </is>
      </c>
      <c r="H174">
        <f>HYPERLINK("https://booking.roadsurfer.com/es/rally/pick?pickup_date=2026-04-11&amp;return_date=2026-04-18&amp;currency=EUR&amp;startStation=2&amp;endStation=29",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2026-04-13</t>
        </is>
      </c>
      <c r="F175" t="inlineStr">
        <is>
          <t>2026-04-20</t>
        </is>
      </c>
      <c r="G175" t="inlineStr">
        <is>
          <t xml:space="preserve"> - Sunrise Suite</t>
        </is>
      </c>
      <c r="H175">
        <f>HYPERLINK("https://booking.roadsurfer.com/es/rally/pick?pickup_date=2026-04-13&amp;return_date=2026-04-20&amp;currency=EUR&amp;startStation=2&amp;endStation=29",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Surfer Suite</t>
        </is>
      </c>
      <c r="H176">
        <f>HYPERLINK("https://booking.roadsurfer.com/es/rally/pick?pickup_date=2026-04-20&amp;return_date=2026-04-27&amp;currency=EUR&amp;startStation=2&amp;endStation=29",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2026-04-17</t>
        </is>
      </c>
      <c r="F177" t="inlineStr">
        <is>
          <t>2026-04-24</t>
        </is>
      </c>
      <c r="G177" t="inlineStr">
        <is>
          <t xml:space="preserve"> - Family Finca</t>
        </is>
      </c>
      <c r="H177">
        <f>HYPERLINK("https://booking.roadsurfer.com/es/rally/pick?pickup_date=2026-04-17&amp;return_date=2026-04-24&amp;currency=EUR&amp;startStation=2&amp;endStation=29",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2026-05-18</t>
        </is>
      </c>
      <c r="F178" t="inlineStr">
        <is>
          <t>2026-05-25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HYPERLINK("https://booking.roadsurfer.com/es/rally/pick?pickup_date=2026-05-18&amp;return_date=2026-05-25&amp;currency=EUR&amp;startStation=2&amp;endStation=15",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Travel Home</t>
        </is>
      </c>
      <c r="H179">
        <f>HYPERLINK("https://booking.roadsurfer.com/es/rally/pick?pickup_date=2026-04-28&amp;return_date=2026-05-05&amp;currency=EUR&amp;startStation=2&amp;endStation=13",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2026-04-06</t>
        </is>
      </c>
      <c r="F180" t="inlineStr">
        <is>
          <t>2026-04-13</t>
        </is>
      </c>
      <c r="G180" t="inlineStr">
        <is>
          <t xml:space="preserve"> - No hay coche</t>
        </is>
      </c>
      <c r="H180">
        <f>HYPERLINK("https://booking.roadsurfer.com/es/rally/pick?pickup_date=2026-04-06&amp;return_date=2026-04-13&amp;currency=EUR&amp;startStation=2&amp;endStation=13",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Países Bajos</t>
        </is>
      </c>
      <c r="D181" t="inlineStr">
        <is>
          <t>Róterdam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No hay coche</t>
        </is>
      </c>
      <c r="H181">
        <f>HYPERLINK("https://booking.roadsurfer.com/es/rally/pick?pickup_date=2026-04-13&amp;return_date=2026-04-20&amp;currency=EUR&amp;startStation=2&amp;endStation=33",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2026-04-13</t>
        </is>
      </c>
      <c r="F182" t="inlineStr">
        <is>
          <t>2026-04-20</t>
        </is>
      </c>
      <c r="G182" t="inlineStr">
        <is>
          <t xml:space="preserve"> - Road House</t>
        </is>
      </c>
      <c r="H182">
        <f>HYPERLINK("https://booking.roadsurfer.com/es/rally/pick?pickup_date=2026-04-13&amp;return_date=2026-04-20&amp;currency=EUR&amp;startStation=2&amp;endStation=55",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2026-04-08</t>
        </is>
      </c>
      <c r="F183" t="inlineStr">
        <is>
          <t>2026-04-15</t>
        </is>
      </c>
      <c r="G183" t="inlineStr">
        <is>
          <t xml:space="preserve"> - Road House - Camper Castle</t>
        </is>
      </c>
      <c r="H183">
        <f>HYPERLINK("https://booking.roadsurfer.com/es/rally/pick?pickup_date=2026-04-08&amp;return_date=2026-04-15&amp;currency=EUR&amp;startStation=2&amp;endStation=20",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Francia</t>
        </is>
      </c>
      <c r="D184" t="inlineStr">
        <is>
          <t>Estrasburgo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No hay coche</t>
        </is>
      </c>
      <c r="H184">
        <f>HYPERLINK("https://booking.roadsurfer.com/es/rally/pick?pickup_date=2026-04-13&amp;return_date=2026-04-20&amp;currency=EUR&amp;startStation=2&amp;endStation=49",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Alemania</t>
        </is>
      </c>
      <c r="D185" t="inlineStr">
        <is>
          <t>Braunschweig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No hay coche</t>
        </is>
      </c>
      <c r="H185">
        <f>HYPERLINK("https://booking.roadsurfer.com/es/rally/pick?pickup_date=2026-04-20&amp;return_date=2026-04-27&amp;currency=EUR&amp;startStation=2&amp;endStation=128",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Francia</t>
        </is>
      </c>
      <c r="D186" t="inlineStr">
        <is>
          <t>Toulouse</t>
        </is>
      </c>
      <c r="E186" t="inlineStr">
        <is>
          <t>2026-03-31</t>
        </is>
      </c>
      <c r="F186" t="inlineStr">
        <is>
          <t>2026-04-07</t>
        </is>
      </c>
      <c r="G186" t="inlineStr">
        <is>
          <t xml:space="preserve"> - No hay coche</t>
        </is>
      </c>
      <c r="H186">
        <f>HYPERLINK("https://booking.roadsurfer.com/es/rally/pick?pickup_date=2026-03-31&amp;return_date=2026-04-07&amp;currency=EUR&amp;startStation=2&amp;endStation=30",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Málaga</t>
        </is>
      </c>
      <c r="E187" t="inlineStr">
        <is>
          <t>2026-04-28</t>
        </is>
      </c>
      <c r="F187" t="inlineStr">
        <is>
          <t>2026-05-05</t>
        </is>
      </c>
      <c r="G187" t="inlineStr">
        <is>
          <t xml:space="preserve"> - No hay coche</t>
        </is>
      </c>
      <c r="H187">
        <f>HYPERLINK("https://booking.roadsurfer.com/es/rally/pick?pickup_date=2026-04-28&amp;return_date=2026-05-05&amp;currency=EUR&amp;startStation=2&amp;endStation=21",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No hay coche</t>
        </is>
      </c>
      <c r="H188">
        <f>HYPERLINK("https://booking.roadsurfer.com/es/rally/pick?pickup_date=2026-04-20&amp;return_date=2026-04-27&amp;currency=EUR&amp;startStation=2&amp;endStation=32",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Italia</t>
        </is>
      </c>
      <c r="D189" t="inlineStr">
        <is>
          <t>Turín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Cozy Cottage</t>
        </is>
      </c>
      <c r="H189">
        <f>HYPERLINK("https://booking.roadsurfer.com/es/rally/pick?pickup_date=2026-04-15&amp;return_date=2026-04-22&amp;currency=EUR&amp;startStation=2&amp;endStation=58",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2026-04-28</t>
        </is>
      </c>
      <c r="F190" t="inlineStr">
        <is>
          <t>2026-05-05</t>
        </is>
      </c>
      <c r="G190" t="inlineStr">
        <is>
          <t xml:space="preserve"> - Surfer Suite</t>
        </is>
      </c>
      <c r="H190">
        <f>HYPERLINK("https://booking.roadsurfer.com/es/rally/pick?pickup_date=2026-04-28&amp;return_date=2026-05-05&amp;currency=EUR&amp;startStation=9&amp;endStation=15",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No hay coche</t>
        </is>
      </c>
      <c r="H191">
        <f>HYPERLINK("https://booking.roadsurfer.com/es/rally/pick?pickup_date=2026-04-20&amp;return_date=2026-04-27&amp;currency=EUR&amp;startStation=9&amp;endStation=15",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2026-04-13</t>
        </is>
      </c>
      <c r="F192" t="inlineStr">
        <is>
          <t>2026-04-20</t>
        </is>
      </c>
      <c r="G192" t="inlineStr">
        <is>
          <t xml:space="preserve"> - Camper Cabin</t>
        </is>
      </c>
      <c r="H192">
        <f>HYPERLINK("https://booking.roadsurfer.com/es/rally/pick?pickup_date=2026-04-13&amp;return_date=2026-04-20&amp;currency=EUR&amp;startStation=9&amp;endStation=40",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2026-04-09</t>
        </is>
      </c>
      <c r="F193" t="inlineStr">
        <is>
          <t>2026-04-16</t>
        </is>
      </c>
      <c r="G193" t="inlineStr">
        <is>
          <t xml:space="preserve"> - Surfer Suite</t>
        </is>
      </c>
      <c r="H193">
        <f>HYPERLINK("https://booking.roadsurfer.com/es/rally/pick?pickup_date=2026-04-09&amp;return_date=2026-04-16&amp;currency=EUR&amp;startStation=9&amp;endStation=40",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Surfer Suite</t>
        </is>
      </c>
      <c r="H194">
        <f>HYPERLINK("https://booking.roadsurfer.com/es/rally/pick?pickup_date=2026-04-13&amp;return_date=2026-04-20&amp;currency=EUR&amp;startStation=9&amp;endStation=29",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2026-04-14</t>
        </is>
      </c>
      <c r="F195" t="inlineStr">
        <is>
          <t>2026-04-21</t>
        </is>
      </c>
      <c r="G195" t="inlineStr">
        <is>
          <t xml:space="preserve"> - Surfer Suite</t>
        </is>
      </c>
      <c r="H195">
        <f>HYPERLINK("https://booking.roadsurfer.com/es/rally/pick?pickup_date=2026-04-14&amp;return_date=2026-04-21&amp;currency=EUR&amp;startStation=9&amp;endStation=29",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2026-04-01</t>
        </is>
      </c>
      <c r="F196" t="inlineStr">
        <is>
          <t>2026-04-08</t>
        </is>
      </c>
      <c r="G196" t="inlineStr">
        <is>
          <t xml:space="preserve"> - Surfer Suite</t>
        </is>
      </c>
      <c r="H196">
        <f>HYPERLINK("https://booking.roadsurfer.com/es/rally/pick?pickup_date=2026-04-01&amp;return_date=2026-04-08&amp;currency=EUR&amp;startStation=9&amp;endStation=13",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HYPERLINK("https://booking.roadsurfer.com/es/rally/pick?pickup_date=2026-04-20&amp;return_date=2026-04-27&amp;currency=EUR&amp;startStation=9&amp;endStation=17",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Alemania</t>
        </is>
      </c>
      <c r="D198" t="inlineStr">
        <is>
          <t>Berlín-Schönefeld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Travel Home</t>
        </is>
      </c>
      <c r="H198">
        <f>HYPERLINK("https://booking.roadsurfer.com/es/rally/pick?pickup_date=2026-04-15&amp;return_date=2026-04-22&amp;currency=EUR&amp;startStation=9&amp;endStation=51",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2026-04-13</t>
        </is>
      </c>
      <c r="F199" t="inlineStr">
        <is>
          <t>2026-04-20</t>
        </is>
      </c>
      <c r="G199" t="inlineStr">
        <is>
          <t xml:space="preserve"> - Camper Cabin</t>
        </is>
      </c>
      <c r="H199">
        <f>HYPERLINK("https://booking.roadsurfer.com/es/rally/pick?pickup_date=2026-04-13&amp;return_date=2026-04-20&amp;currency=EUR&amp;startStation=9&amp;endStation=1",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Camper Cabin</t>
        </is>
      </c>
      <c r="H200">
        <f>HYPERLINK("https://booking.roadsurfer.com/es/rally/pick?pickup_date=2026-04-16&amp;return_date=2026-04-23&amp;currency=EUR&amp;startStation=9&amp;endStation=1",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2026-05-07</t>
        </is>
      </c>
      <c r="F201" t="inlineStr">
        <is>
          <t>2026-05-14</t>
        </is>
      </c>
      <c r="G201" t="inlineStr">
        <is>
          <t xml:space="preserve"> - No hay coche</t>
        </is>
      </c>
      <c r="H201">
        <f>HYPERLINK("https://booking.roadsurfer.com/es/rally/pick?pickup_date=2026-05-07&amp;return_date=2026-05-14&amp;currency=EUR&amp;startStation=9&amp;endStation=16",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2026-04-04</t>
        </is>
      </c>
      <c r="F202" t="inlineStr">
        <is>
          <t>2026-04-11</t>
        </is>
      </c>
      <c r="G202" t="inlineStr">
        <is>
          <t xml:space="preserve"> - Camper Castle</t>
        </is>
      </c>
      <c r="H202">
        <f>HYPERLINK("https://booking.roadsurfer.com/es/rally/pick?pickup_date=2026-04-04&amp;return_date=2026-04-11&amp;currency=EUR&amp;startStation=9&amp;endStation=31", "Clic para verlo en la web de RoadSurfer")</f>
        <v/>
      </c>
    </row>
    <row r="203">
      <c r="A203" t="inlineStr">
        <is>
          <t>Francia</t>
        </is>
      </c>
      <c r="B203" t="inlineStr">
        <is>
          <t>Ginebra-Pays de Gex (Francia)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2026-04-02</t>
        </is>
      </c>
      <c r="F203" t="inlineStr">
        <is>
          <t>2026-04-09</t>
        </is>
      </c>
      <c r="G203" t="inlineStr">
        <is>
          <t xml:space="preserve"> - Surfer Suite - Beach Hostel</t>
        </is>
      </c>
      <c r="H203">
        <f>HYPERLINK("https://booking.roadsurfer.com/es/rally/pick?pickup_date=2026-04-02&amp;return_date=2026-04-09&amp;currency=EUR&amp;startStation=29&amp;endStation=52",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Surfer Suite</t>
        </is>
      </c>
      <c r="H204">
        <f>HYPERLINK("https://booking.roadsurfer.com/es/rally/pick?pickup_date=2026-04-14&amp;return_date=2026-04-21&amp;currency=EUR&amp;startStation=29&amp;endStation=9",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Road House</t>
        </is>
      </c>
      <c r="H205">
        <f>HYPERLINK("https://booking.roadsurfer.com/es/rally/pick?pickup_date=2026-05-04&amp;return_date=2026-05-11&amp;currency=EUR&amp;startStation=29&amp;endStation=56",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Hamburgo Aeropuerto</t>
        </is>
      </c>
      <c r="E206" t="inlineStr">
        <is>
          <t>2026-04-23</t>
        </is>
      </c>
      <c r="F206" t="inlineStr">
        <is>
          <t>2026-04-30</t>
        </is>
      </c>
      <c r="G206" t="inlineStr">
        <is>
          <t xml:space="preserve"> - Surfer Suite</t>
        </is>
      </c>
      <c r="H206">
        <f>HYPERLINK("https://booking.roadsurfer.com/es/rally/pick?pickup_date=2026-04-23&amp;return_date=2026-04-30&amp;currency=EUR&amp;startStation=77&amp;endStation=65",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2026-04-04</t>
        </is>
      </c>
      <c r="F207" t="inlineStr">
        <is>
          <t>2026-04-11</t>
        </is>
      </c>
      <c r="G207" t="inlineStr">
        <is>
          <t xml:space="preserve"> - Surfer Suite - Road House</t>
        </is>
      </c>
      <c r="H207">
        <f>HYPERLINK("https://booking.roadsurfer.com/es/rally/pick?pickup_date=2026-04-04&amp;return_date=2026-04-11&amp;currency=EUR&amp;startStation=77&amp;endStation=55",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2026-04-02</t>
        </is>
      </c>
      <c r="F208" t="inlineStr">
        <is>
          <t>2026-04-09</t>
        </is>
      </c>
      <c r="G208" t="inlineStr">
        <is>
          <t xml:space="preserve"> - Surfer Suite</t>
        </is>
      </c>
      <c r="H208">
        <f>HYPERLINK("https://booking.roadsurfer.com/es/rally/pick?pickup_date=2026-04-02&amp;return_date=2026-04-09&amp;currency=EUR&amp;startStation=77&amp;endStation=55",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2026-04-07</t>
        </is>
      </c>
      <c r="F209" t="inlineStr">
        <is>
          <t>2026-04-14</t>
        </is>
      </c>
      <c r="G209" t="inlineStr">
        <is>
          <t xml:space="preserve"> - Family Finca</t>
        </is>
      </c>
      <c r="H209">
        <f>HYPERLINK("https://booking.roadsurfer.com/es/rally/pick?pickup_date=2026-04-07&amp;return_date=2026-04-14&amp;currency=EUR&amp;startStation=77&amp;endStation=55",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2026-04-08</t>
        </is>
      </c>
      <c r="F210" t="inlineStr">
        <is>
          <t>2026-04-15</t>
        </is>
      </c>
      <c r="G210" t="inlineStr">
        <is>
          <t xml:space="preserve"> - Beach Hostel</t>
        </is>
      </c>
      <c r="H210">
        <f>HYPERLINK("https://booking.roadsurfer.com/es/rally/pick?pickup_date=2026-04-08&amp;return_date=2026-04-15&amp;currency=EUR&amp;startStation=77&amp;endStation=22",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2026-04-02</t>
        </is>
      </c>
      <c r="F211" t="inlineStr">
        <is>
          <t>2026-04-09</t>
        </is>
      </c>
      <c r="G211" t="inlineStr">
        <is>
          <t xml:space="preserve"> - Surfer Suite - Beach Hostel</t>
        </is>
      </c>
      <c r="H211">
        <f>HYPERLINK("https://booking.roadsurfer.com/es/rally/pick?pickup_date=2026-04-02&amp;return_date=2026-04-09&amp;currency=EUR&amp;startStation=77&amp;endStation=22",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2026-04-04</t>
        </is>
      </c>
      <c r="F212" t="inlineStr">
        <is>
          <t>2026-04-11</t>
        </is>
      </c>
      <c r="G212" t="inlineStr">
        <is>
          <t xml:space="preserve"> - No hay coche</t>
        </is>
      </c>
      <c r="H212">
        <f>HYPERLINK("https://booking.roadsurfer.com/es/rally/pick?pickup_date=2026-04-04&amp;return_date=2026-04-11&amp;currency=EUR&amp;startStation=77&amp;endStation=22",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Maguncia</t>
        </is>
      </c>
      <c r="E213" t="inlineStr">
        <is>
          <t>2026-03-28</t>
        </is>
      </c>
      <c r="F213" t="inlineStr">
        <is>
          <t>2026-04-04</t>
        </is>
      </c>
      <c r="G213" t="inlineStr">
        <is>
          <t xml:space="preserve"> - Camper Castle</t>
        </is>
      </c>
      <c r="H213">
        <f>HYPERLINK("https://booking.roadsurfer.com/es/rally/pick?pickup_date=2026-03-28&amp;return_date=2026-04-04&amp;currency=EUR&amp;startStation=77&amp;endStation=54",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Maguncia</t>
        </is>
      </c>
      <c r="E214" t="inlineStr">
        <is>
          <t>2026-03-31</t>
        </is>
      </c>
      <c r="F214" t="inlineStr">
        <is>
          <t>2026-04-07</t>
        </is>
      </c>
      <c r="G214" t="inlineStr">
        <is>
          <t xml:space="preserve"> - Surfer Suite</t>
        </is>
      </c>
      <c r="H214">
        <f>HYPERLINK("https://booking.roadsurfer.com/es/rally/pick?pickup_date=2026-03-31&amp;return_date=2026-04-07&amp;currency=EUR&amp;startStation=77&amp;endStation=54",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Kiel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Surfer Suite</t>
        </is>
      </c>
      <c r="H215">
        <f>HYPERLINK("https://booking.roadsurfer.com/es/rally/pick?pickup_date=2026-04-13&amp;return_date=2026-04-20&amp;currency=EUR&amp;startStation=77&amp;endStation=111",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2026-04-08</t>
        </is>
      </c>
      <c r="F216" t="inlineStr">
        <is>
          <t>2026-04-15</t>
        </is>
      </c>
      <c r="G216" t="inlineStr">
        <is>
          <t xml:space="preserve"> - Beach Hostel</t>
        </is>
      </c>
      <c r="H216">
        <f>HYPERLINK("https://booking.roadsurfer.com/es/rally/pick?pickup_date=2026-04-08&amp;return_date=2026-04-15&amp;currency=EUR&amp;startStation=77&amp;endStation=91",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2026-04-04</t>
        </is>
      </c>
      <c r="F217" t="inlineStr">
        <is>
          <t>2026-04-11</t>
        </is>
      </c>
      <c r="G217" t="inlineStr">
        <is>
          <t xml:space="preserve"> - Sunrise Suite</t>
        </is>
      </c>
      <c r="H217">
        <f>HYPERLINK("https://booking.roadsurfer.com/es/rally/pick?pickup_date=2026-04-04&amp;return_date=2026-04-11&amp;currency=EUR&amp;startStation=77&amp;endStation=91",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2026-04-01</t>
        </is>
      </c>
      <c r="F218" t="inlineStr">
        <is>
          <t>2026-04-08</t>
        </is>
      </c>
      <c r="G218" t="inlineStr">
        <is>
          <t xml:space="preserve"> - Surfer Suite</t>
        </is>
      </c>
      <c r="H218">
        <f>HYPERLINK("https://booking.roadsurfer.com/es/rally/pick?pickup_date=2026-04-01&amp;return_date=2026-04-08&amp;currency=EUR&amp;startStation=77&amp;endStation=91",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2026-04-07</t>
        </is>
      </c>
      <c r="F219" t="inlineStr">
        <is>
          <t>2026-04-14</t>
        </is>
      </c>
      <c r="G219" t="inlineStr">
        <is>
          <t xml:space="preserve"> - Camper Castle</t>
        </is>
      </c>
      <c r="H219">
        <f>HYPERLINK("https://booking.roadsurfer.com/es/rally/pick?pickup_date=2026-04-07&amp;return_date=2026-04-14&amp;currency=EUR&amp;startStation=77&amp;endStation=91",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2026-04-14</t>
        </is>
      </c>
      <c r="F220" t="inlineStr">
        <is>
          <t>2026-04-21</t>
        </is>
      </c>
      <c r="G220" t="inlineStr">
        <is>
          <t xml:space="preserve"> - Sunrise Suite</t>
        </is>
      </c>
      <c r="H220">
        <f>HYPERLINK("https://booking.roadsurfer.com/es/rally/pick?pickup_date=2026-04-14&amp;return_date=2026-04-21&amp;currency=EUR&amp;startStation=77&amp;endStation=91",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Erfurt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Road House</t>
        </is>
      </c>
      <c r="H221">
        <f>HYPERLINK("https://booking.roadsurfer.com/es/rally/pick?pickup_date=2026-04-14&amp;return_date=2026-04-21&amp;currency=EUR&amp;startStation=77&amp;endStation=90",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2026-04-22</t>
        </is>
      </c>
      <c r="F222" t="inlineStr">
        <is>
          <t>2026-04-29</t>
        </is>
      </c>
      <c r="G222" t="inlineStr">
        <is>
          <t xml:space="preserve"> - Family Finca</t>
        </is>
      </c>
      <c r="H222">
        <f>HYPERLINK("https://booking.roadsurfer.com/es/rally/pick?pickup_date=2026-04-22&amp;return_date=2026-04-29&amp;currency=EUR&amp;startStation=77&amp;endStation=90",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Karlsruhe</t>
        </is>
      </c>
      <c r="E223" t="inlineStr">
        <is>
          <t>2026-04-15</t>
        </is>
      </c>
      <c r="F223" t="inlineStr">
        <is>
          <t>2026-04-22</t>
        </is>
      </c>
      <c r="G223" t="inlineStr">
        <is>
          <t xml:space="preserve"> - Camper Castle</t>
        </is>
      </c>
      <c r="H223">
        <f>HYPERLINK("https://booking.roadsurfer.com/es/rally/pick?pickup_date=2026-04-15&amp;return_date=2026-04-22&amp;currency=EUR&amp;startStation=77&amp;endStation=110",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2026-04-04</t>
        </is>
      </c>
      <c r="F224" t="inlineStr">
        <is>
          <t>2026-04-11</t>
        </is>
      </c>
      <c r="G224" t="inlineStr">
        <is>
          <t xml:space="preserve"> - Camper Castle</t>
        </is>
      </c>
      <c r="H224">
        <f>HYPERLINK("https://booking.roadsurfer.com/es/rally/pick?pickup_date=2026-04-04&amp;return_date=2026-04-11&amp;currency=EUR&amp;startStation=77&amp;endStation=6",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2026-04-24</t>
        </is>
      </c>
      <c r="F225" t="inlineStr">
        <is>
          <t>2026-05-01</t>
        </is>
      </c>
      <c r="G225" t="inlineStr">
        <is>
          <t xml:space="preserve"> - No hay coche</t>
        </is>
      </c>
      <c r="H225">
        <f>HYPERLINK("https://booking.roadsurfer.com/es/rally/pick?pickup_date=2026-04-24&amp;return_date=2026-05-01&amp;currency=EUR&amp;startStation=77&amp;endStation=6",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2026-04-08</t>
        </is>
      </c>
      <c r="F226" t="inlineStr">
        <is>
          <t>2026-04-15</t>
        </is>
      </c>
      <c r="G226" t="inlineStr">
        <is>
          <t xml:space="preserve"> - Camper Castle</t>
        </is>
      </c>
      <c r="H226">
        <f>HYPERLINK("https://booking.roadsurfer.com/es/rally/pick?pickup_date=2026-04-08&amp;return_date=2026-04-15&amp;currency=EUR&amp;startStation=77&amp;endStation=6", "Clic para verlo en la web de RoadSurfer")</f>
        <v/>
      </c>
    </row>
    <row r="227">
      <c r="A227" t="inlineStr">
        <is>
          <t>Austria</t>
        </is>
      </c>
      <c r="B227" t="inlineStr">
        <is>
          <t>Graz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2026-04-08</t>
        </is>
      </c>
      <c r="F227" t="inlineStr">
        <is>
          <t>2026-04-15</t>
        </is>
      </c>
      <c r="G227" t="inlineStr">
        <is>
          <t xml:space="preserve"> - Surfer Suite</t>
        </is>
      </c>
      <c r="H227">
        <f>HYPERLINK("https://booking.roadsurfer.com/es/rally/pick?pickup_date=2026-04-08&amp;return_date=2026-04-15&amp;currency=EUR&amp;startStation=37&amp;endStation=90", "Clic para verlo en la web de RoadSurfer")</f>
        <v/>
      </c>
    </row>
    <row r="228">
      <c r="A228" t="inlineStr">
        <is>
          <t>Austria</t>
        </is>
      </c>
      <c r="B228" t="inlineStr">
        <is>
          <t>Graz</t>
        </is>
      </c>
      <c r="C228" t="inlineStr">
        <is>
          <t>Alemania</t>
        </is>
      </c>
      <c r="D228" t="inlineStr">
        <is>
          <t>Ratisbona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HYPERLINK("https://booking.roadsurfer.com/es/rally/pick?pickup_date=2026-04-27&amp;return_date=2026-05-04&amp;currency=EUR&amp;startStation=37&amp;endStation=89", "Clic para verlo en la web de RoadSurfer")</f>
        <v/>
      </c>
    </row>
    <row r="229">
      <c r="A229" t="inlineStr">
        <is>
          <t>Austria</t>
        </is>
      </c>
      <c r="B229" t="inlineStr">
        <is>
          <t>Graz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2026-04-14</t>
        </is>
      </c>
      <c r="F229" t="inlineStr">
        <is>
          <t>2026-04-21</t>
        </is>
      </c>
      <c r="G229" t="inlineStr">
        <is>
          <t xml:space="preserve"> - Road House</t>
        </is>
      </c>
      <c r="H229">
        <f>HYPERLINK("https://booking.roadsurfer.com/es/rally/pick?pickup_date=2026-04-14&amp;return_date=2026-04-21&amp;currency=EUR&amp;startStation=37&amp;endStation=56", "Clic para verlo en la web de RoadSurfer")</f>
        <v/>
      </c>
    </row>
    <row r="230">
      <c r="A230" t="inlineStr">
        <is>
          <t>Austria</t>
        </is>
      </c>
      <c r="B230" t="inlineStr">
        <is>
          <t>Graz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2026-04-15</t>
        </is>
      </c>
      <c r="F230" t="inlineStr">
        <is>
          <t>2026-04-22</t>
        </is>
      </c>
      <c r="G230" t="inlineStr">
        <is>
          <t xml:space="preserve"> - Family Finca</t>
        </is>
      </c>
      <c r="H230">
        <f>HYPERLINK("https://booking.roadsurfer.com/es/rally/pick?pickup_date=2026-04-15&amp;return_date=2026-04-22&amp;currency=EUR&amp;startStation=37&amp;endStation=56", "Clic para verlo en la web de RoadSurfer")</f>
        <v/>
      </c>
    </row>
    <row r="231">
      <c r="A231" t="inlineStr">
        <is>
          <t>Austria</t>
        </is>
      </c>
      <c r="B231" t="inlineStr">
        <is>
          <t>Graz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Camper Castle</t>
        </is>
      </c>
      <c r="H231">
        <f>HYPERLINK("https://booking.roadsurfer.com/es/rally/pick?pickup_date=2026-04-04&amp;return_date=2026-04-11&amp;currency=EUR&amp;startStation=37&amp;endStation=56", "Clic para verlo en la web de RoadSurfer")</f>
        <v/>
      </c>
    </row>
    <row r="232">
      <c r="A232" t="inlineStr">
        <is>
          <t>Austria</t>
        </is>
      </c>
      <c r="B232" t="inlineStr">
        <is>
          <t>Graz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2026-04-07</t>
        </is>
      </c>
      <c r="F232" t="inlineStr">
        <is>
          <t>2026-04-14</t>
        </is>
      </c>
      <c r="G232" t="inlineStr">
        <is>
          <t xml:space="preserve"> - CAMPER CASTLE</t>
        </is>
      </c>
      <c r="H232">
        <f>HYPERLINK("https://booking.roadsurfer.com/es/rally/pick?pickup_date=2026-04-07&amp;return_date=2026-04-14&amp;currency=EUR&amp;startStation=37&amp;endStation=3",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2026-04-04</t>
        </is>
      </c>
      <c r="F233" t="inlineStr">
        <is>
          <t>2026-04-11</t>
        </is>
      </c>
      <c r="G233" t="inlineStr">
        <is>
          <t xml:space="preserve"> - Surfer Suite</t>
        </is>
      </c>
      <c r="H233">
        <f>HYPERLINK("https://booking.roadsurfer.com/es/rally/pick?pickup_date=2026-04-04&amp;return_date=2026-04-11&amp;currency=EUR&amp;startStation=3&amp;endStation=59",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2026-04-07</t>
        </is>
      </c>
      <c r="F234" t="inlineStr">
        <is>
          <t>2026-04-14</t>
        </is>
      </c>
      <c r="G234" t="inlineStr">
        <is>
          <t xml:space="preserve"> - Surfer Suite</t>
        </is>
      </c>
      <c r="H234">
        <f>HYPERLINK("https://booking.roadsurfer.com/es/rally/pick?pickup_date=2026-04-07&amp;return_date=2026-04-14&amp;currency=EUR&amp;startStation=3&amp;endStation=59",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2026-04-04</t>
        </is>
      </c>
      <c r="F235" t="inlineStr">
        <is>
          <t>2026-04-11</t>
        </is>
      </c>
      <c r="G235" t="inlineStr">
        <is>
          <t xml:space="preserve"> - Beach Hostel</t>
        </is>
      </c>
      <c r="H235">
        <f>HYPERLINK("https://booking.roadsurfer.com/es/rally/pick?pickup_date=2026-04-04&amp;return_date=2026-04-11&amp;currency=EUR&amp;startStation=3&amp;endStation=40",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2026-05-01</t>
        </is>
      </c>
      <c r="F236" t="inlineStr">
        <is>
          <t>2026-05-08</t>
        </is>
      </c>
      <c r="G236" t="inlineStr">
        <is>
          <t xml:space="preserve"> - No hay coche</t>
        </is>
      </c>
      <c r="H236">
        <f>HYPERLINK("https://booking.roadsurfer.com/es/rally/pick?pickup_date=2026-05-01&amp;return_date=2026-05-08&amp;currency=EUR&amp;startStation=3&amp;endStation=77",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Sunrise Suite</t>
        </is>
      </c>
      <c r="H237">
        <f>HYPERLINK("https://booking.roadsurfer.com/es/rally/pick?pickup_date=2026-05-04&amp;return_date=2026-05-11&amp;currency=EUR&amp;startStation=3&amp;endStation=4",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Alemania</t>
        </is>
      </c>
      <c r="D238" t="inlineStr">
        <is>
          <t>Flensburgo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Surfer Suite</t>
        </is>
      </c>
      <c r="H238">
        <f>HYPERLINK("https://booking.roadsurfer.com/es/rally/pick?pickup_date=2026-04-27&amp;return_date=2026-05-04&amp;currency=EUR&amp;startStation=7&amp;endStation=130",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Alemania</t>
        </is>
      </c>
      <c r="D239" t="inlineStr">
        <is>
          <t>Aquisgrán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Beach Hostel</t>
        </is>
      </c>
      <c r="H239">
        <f>HYPERLINK("https://booking.roadsurfer.com/es/rally/pick?pickup_date=2026-04-20&amp;return_date=2026-04-27&amp;currency=EUR&amp;startStation=7&amp;endStation=114",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Family Finca</t>
        </is>
      </c>
      <c r="H240">
        <f>HYPERLINK("https://booking.roadsurfer.com/es/rally/pick?pickup_date=2026-04-23&amp;return_date=2026-04-30&amp;currency=EUR&amp;startStation=7&amp;endStation=12", "Clic para verlo en la web de RoadSurfer")</f>
        <v/>
      </c>
    </row>
    <row r="241">
      <c r="A241" t="inlineStr">
        <is>
          <t>Alemania</t>
        </is>
      </c>
      <c r="B241" t="inlineStr">
        <is>
          <t>Hannover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Couple Cottage</t>
        </is>
      </c>
      <c r="H241">
        <f>HYPERLINK("https://booking.roadsurfer.com/es/rally/pick?pickup_date=2026-04-09&amp;return_date=2026-04-16&amp;currency=EUR&amp;startStation=7&amp;endStation=59", "Clic para verlo en la web de RoadSurfer")</f>
        <v/>
      </c>
    </row>
    <row r="242">
      <c r="A242" t="inlineStr">
        <is>
          <t>Alemania</t>
        </is>
      </c>
      <c r="B242" t="inlineStr">
        <is>
          <t>Heidelberg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2026-04-08</t>
        </is>
      </c>
      <c r="F242" t="inlineStr">
        <is>
          <t>2026-04-15</t>
        </is>
      </c>
      <c r="G242" t="inlineStr">
        <is>
          <t xml:space="preserve"> - Surfer Suite</t>
        </is>
      </c>
      <c r="H242">
        <f>HYPERLINK("https://booking.roadsurfer.com/es/rally/pick?pickup_date=2026-04-08&amp;return_date=2026-04-15&amp;currency=EUR&amp;startStation=79&amp;endStation=40", "Clic para verlo en la web de RoadSurfer")</f>
        <v/>
      </c>
    </row>
    <row r="243">
      <c r="A243" t="inlineStr">
        <is>
          <t>Alemania</t>
        </is>
      </c>
      <c r="B243" t="inlineStr">
        <is>
          <t>Heidelberg</t>
        </is>
      </c>
      <c r="C243" t="inlineStr">
        <is>
          <t>Italia</t>
        </is>
      </c>
      <c r="D243" t="inlineStr">
        <is>
          <t>Roma Aeropuerto Fiumicino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Beach Hostel</t>
        </is>
      </c>
      <c r="H243">
        <f>HYPERLINK("https://booking.roadsurfer.com/es/rally/pick?pickup_date=2026-04-27&amp;return_date=2026-05-04&amp;currency=EUR&amp;startStation=79&amp;endStation=35", "Clic para verlo en la web de RoadSurfer")</f>
        <v/>
      </c>
    </row>
    <row r="244">
      <c r="A244" t="inlineStr">
        <is>
          <t>Alemania</t>
        </is>
      </c>
      <c r="B244" t="inlineStr">
        <is>
          <t>Heidelberg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2026-04-28</t>
        </is>
      </c>
      <c r="F244" t="inlineStr">
        <is>
          <t>2026-05-05</t>
        </is>
      </c>
      <c r="G244" t="inlineStr">
        <is>
          <t xml:space="preserve"> - Beach Hostel</t>
        </is>
      </c>
      <c r="H244">
        <f>HYPERLINK("https://booking.roadsurfer.com/es/rally/pick?pickup_date=2026-04-28&amp;return_date=2026-05-05&amp;currency=EUR&amp;startStation=79&amp;endStation=15",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2026-04-18</t>
        </is>
      </c>
      <c r="F245" t="inlineStr">
        <is>
          <t>2026-04-25</t>
        </is>
      </c>
      <c r="G245" t="inlineStr">
        <is>
          <t xml:space="preserve"> - Camper Castle</t>
        </is>
      </c>
      <c r="H245">
        <f>HYPERLINK("https://booking.roadsurfer.com/es/rally/pick?pickup_date=2026-04-18&amp;return_date=2026-04-25&amp;currency=EUR&amp;startStation=110&amp;endStation=31",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Road House</t>
        </is>
      </c>
      <c r="H246">
        <f>HYPERLINK("https://booking.roadsurfer.com/es/rally/pick?pickup_date=2026-04-07&amp;return_date=2026-04-14&amp;currency=EUR&amp;startStation=110&amp;endStation=31",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2026-04-01</t>
        </is>
      </c>
      <c r="F247" t="inlineStr">
        <is>
          <t>2026-04-08</t>
        </is>
      </c>
      <c r="G247" t="inlineStr">
        <is>
          <t xml:space="preserve"> - Surfer Suite - Family Finca</t>
        </is>
      </c>
      <c r="H247">
        <f>HYPERLINK("https://booking.roadsurfer.com/es/rally/pick?pickup_date=2026-04-01&amp;return_date=2026-04-08&amp;currency=EUR&amp;startStation=110&amp;endStation=31", "Clic para verlo en la web de RoadSurfer")</f>
        <v/>
      </c>
    </row>
    <row r="248">
      <c r="A248" t="inlineStr">
        <is>
          <t>EE.UU.</t>
        </is>
      </c>
      <c r="B248" t="inlineStr">
        <is>
          <t>Las Vegas</t>
        </is>
      </c>
      <c r="C248" t="inlineStr">
        <is>
          <t>EE.UU.</t>
        </is>
      </c>
      <c r="D248" t="inlineStr">
        <is>
          <t>Seattle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Family Freedom</t>
        </is>
      </c>
      <c r="H248">
        <f>HYPERLINK("https://booking.roadsurfer.com/es/rally/pick?pickup_date=2026-04-13&amp;return_date=2026-04-20&amp;currency=EUR&amp;startStation=76&amp;endStation=107", "Clic para verlo en la web de RoadSurfer")</f>
        <v/>
      </c>
    </row>
    <row r="249">
      <c r="A249" t="inlineStr">
        <is>
          <t>EE.UU.</t>
        </is>
      </c>
      <c r="B249" t="inlineStr">
        <is>
          <t>Las Vegas</t>
        </is>
      </c>
      <c r="C249" t="inlineStr">
        <is>
          <t>EE.UU.</t>
        </is>
      </c>
      <c r="D249" t="inlineStr">
        <is>
          <t>Seattle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Family Freedom</t>
        </is>
      </c>
      <c r="H249">
        <f>HYPERLINK("https://booking.roadsurfer.com/es/rally/pick?pickup_date=2026-04-23&amp;return_date=2026-04-30&amp;currency=EUR&amp;startStation=76&amp;endStation=107", "Clic para verlo en la web de RoadSurfer")</f>
        <v/>
      </c>
    </row>
    <row r="250">
      <c r="A250" t="inlineStr">
        <is>
          <t>EE.UU.</t>
        </is>
      </c>
      <c r="B250" t="inlineStr">
        <is>
          <t>Las Vegas</t>
        </is>
      </c>
      <c r="C250" t="inlineStr">
        <is>
          <t>EE.UU.</t>
        </is>
      </c>
      <c r="D250" t="inlineStr">
        <is>
          <t>Seattle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Family Freedom</t>
        </is>
      </c>
      <c r="H250">
        <f>HYPERLINK("https://booking.roadsurfer.com/es/rally/pick?pickup_date=2026-04-16&amp;return_date=2026-04-23&amp;currency=EUR&amp;startStation=76&amp;endStation=107", "Clic para verlo en la web de RoadSurfer")</f>
        <v/>
      </c>
    </row>
    <row r="251">
      <c r="A251" t="inlineStr">
        <is>
          <t>EE.UU.</t>
        </is>
      </c>
      <c r="B251" t="inlineStr">
        <is>
          <t>Las Vegas</t>
        </is>
      </c>
      <c r="C251" t="inlineStr">
        <is>
          <t>EE.UU.</t>
        </is>
      </c>
      <c r="D251" t="inlineStr">
        <is>
          <t>Denver</t>
        </is>
      </c>
      <c r="E251" t="inlineStr">
        <is>
          <t>2026-04-29</t>
        </is>
      </c>
      <c r="F251" t="inlineStr">
        <is>
          <t>2026-05-06</t>
        </is>
      </c>
      <c r="G251" t="inlineStr">
        <is>
          <t xml:space="preserve"> - Family Freedom</t>
        </is>
      </c>
      <c r="H251">
        <f>HYPERLINK("https://booking.roadsurfer.com/es/rally/pick?pickup_date=2026-04-29&amp;return_date=2026-05-06&amp;currency=EUR&amp;startStation=76&amp;endStation=104", "Clic para verlo en la web de RoadSurfer")</f>
        <v/>
      </c>
    </row>
    <row r="252">
      <c r="A252" t="inlineStr">
        <is>
          <t>EE.UU.</t>
        </is>
      </c>
      <c r="B252" t="inlineStr">
        <is>
          <t>Las Vegas</t>
        </is>
      </c>
      <c r="C252" t="inlineStr">
        <is>
          <t>EE.UU.</t>
        </is>
      </c>
      <c r="D252" t="inlineStr">
        <is>
          <t>Denver</t>
        </is>
      </c>
      <c r="E252" t="inlineStr">
        <is>
          <t>2026-04-23</t>
        </is>
      </c>
      <c r="F252" t="inlineStr">
        <is>
          <t>2026-04-30</t>
        </is>
      </c>
      <c r="G252" t="inlineStr">
        <is>
          <t xml:space="preserve"> - Family Freedom</t>
        </is>
      </c>
      <c r="H252">
        <f>HYPERLINK("https://booking.roadsurfer.com/es/rally/pick?pickup_date=2026-04-23&amp;return_date=2026-04-30&amp;currency=EUR&amp;startStation=76&amp;endStation=104",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Alemania</t>
        </is>
      </c>
      <c r="D253" t="inlineStr">
        <is>
          <t>Dresde</t>
        </is>
      </c>
      <c r="E253" t="inlineStr">
        <is>
          <t>2026-04-13</t>
        </is>
      </c>
      <c r="F253" t="inlineStr">
        <is>
          <t>2026-04-20</t>
        </is>
      </c>
      <c r="G253" t="inlineStr">
        <is>
          <t xml:space="preserve"> - Surfer Suite</t>
        </is>
      </c>
      <c r="H253">
        <f>HYPERLINK("https://booking.roadsurfer.com/es/rally/pick?pickup_date=2026-04-13&amp;return_date=2026-04-20&amp;currency=EUR&amp;startStation=8&amp;endStation=56",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2026-04-04</t>
        </is>
      </c>
      <c r="F254" t="inlineStr">
        <is>
          <t>2026-04-11</t>
        </is>
      </c>
      <c r="G254" t="inlineStr">
        <is>
          <t xml:space="preserve"> - Road House</t>
        </is>
      </c>
      <c r="H254">
        <f>HYPERLINK("https://booking.roadsurfer.com/es/rally/pick?pickup_date=2026-04-04&amp;return_date=2026-04-11&amp;currency=EUR&amp;startStation=8&amp;endStation=33",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2026-04-02</t>
        </is>
      </c>
      <c r="F255" t="inlineStr">
        <is>
          <t>2026-04-09</t>
        </is>
      </c>
      <c r="G255" t="inlineStr">
        <is>
          <t xml:space="preserve"> - Road House</t>
        </is>
      </c>
      <c r="H255">
        <f>HYPERLINK("https://booking.roadsurfer.com/es/rally/pick?pickup_date=2026-04-02&amp;return_date=2026-04-09&amp;currency=EUR&amp;startStation=8&amp;endStation=45",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2026-04-04</t>
        </is>
      </c>
      <c r="F256" t="inlineStr">
        <is>
          <t>2026-04-11</t>
        </is>
      </c>
      <c r="G256" t="inlineStr">
        <is>
          <t xml:space="preserve"> - Camper Cabin Deluxe</t>
        </is>
      </c>
      <c r="H256">
        <f>HYPERLINK("https://booking.roadsurfer.com/es/rally/pick?pickup_date=2026-04-04&amp;return_date=2026-04-11&amp;currency=EUR&amp;startStation=8&amp;endStation=32",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2026-04-13</t>
        </is>
      </c>
      <c r="F257" t="inlineStr">
        <is>
          <t>2026-04-20</t>
        </is>
      </c>
      <c r="G257" t="inlineStr">
        <is>
          <t xml:space="preserve"> - No hay coche</t>
        </is>
      </c>
      <c r="H257">
        <f>HYPERLINK("https://booking.roadsurfer.com/es/rally/pick?pickup_date=2026-04-13&amp;return_date=2026-04-20&amp;currency=EUR&amp;startStation=8&amp;endStation=32",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Francia</t>
        </is>
      </c>
      <c r="D258" t="inlineStr">
        <is>
          <t>Lille</t>
        </is>
      </c>
      <c r="E258" t="inlineStr">
        <is>
          <t>2026-04-04</t>
        </is>
      </c>
      <c r="F258" t="inlineStr">
        <is>
          <t>2026-04-11</t>
        </is>
      </c>
      <c r="G258" t="inlineStr">
        <is>
          <t xml:space="preserve"> - Family Finca</t>
        </is>
      </c>
      <c r="H258">
        <f>HYPERLINK("https://booking.roadsurfer.com/es/rally/pick?pickup_date=2026-04-04&amp;return_date=2026-04-11&amp;currency=EUR&amp;startStation=8&amp;endStation=87",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Francia</t>
        </is>
      </c>
      <c r="D259" t="inlineStr">
        <is>
          <t>Lille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Road House</t>
        </is>
      </c>
      <c r="H259">
        <f>HYPERLINK("https://booking.roadsurfer.com/es/rally/pick?pickup_date=2026-04-02&amp;return_date=2026-04-09&amp;currency=EUR&amp;startStation=8&amp;endStation=87",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2026-04-09</t>
        </is>
      </c>
      <c r="F260" t="inlineStr">
        <is>
          <t>2026-04-16</t>
        </is>
      </c>
      <c r="G260" t="inlineStr">
        <is>
          <t xml:space="preserve"> - Road House</t>
        </is>
      </c>
      <c r="H260">
        <f>HYPERLINK("https://booking.roadsurfer.com/es/rally/pick?pickup_date=2026-04-09&amp;return_date=2026-04-16&amp;currency=EUR&amp;startStation=8&amp;endStation=94",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Austria</t>
        </is>
      </c>
      <c r="D261" t="inlineStr">
        <is>
          <t>Linz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Camper Castle</t>
        </is>
      </c>
      <c r="H261">
        <f>HYPERLINK("https://booking.roadsurfer.com/es/rally/pick?pickup_date=2026-04-20&amp;return_date=2026-04-27&amp;currency=EUR&amp;startStation=8&amp;endStation=116",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2026-05-13</t>
        </is>
      </c>
      <c r="F262" t="inlineStr">
        <is>
          <t>2026-05-20</t>
        </is>
      </c>
      <c r="G262" t="inlineStr">
        <is>
          <t xml:space="preserve"> - Family Finca</t>
        </is>
      </c>
      <c r="H262">
        <f>HYPERLINK("https://booking.roadsurfer.com/es/rally/pick?pickup_date=2026-05-13&amp;return_date=2026-05-20&amp;currency=EUR&amp;startStation=8&amp;endStation=77", "Clic para verlo en la web de RoadSurfer")</f>
        <v/>
      </c>
    </row>
    <row r="263">
      <c r="A263" t="inlineStr">
        <is>
          <t>Francia</t>
        </is>
      </c>
      <c r="B263" t="inlineStr">
        <is>
          <t>Lille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2026-04-02</t>
        </is>
      </c>
      <c r="F263" t="inlineStr">
        <is>
          <t>2026-04-09</t>
        </is>
      </c>
      <c r="G263" t="inlineStr">
        <is>
          <t xml:space="preserve"> - Surfer Suite</t>
        </is>
      </c>
      <c r="H263">
        <f>HYPERLINK("https://booking.roadsurfer.com/es/rally/pick?pickup_date=2026-04-02&amp;return_date=2026-04-09&amp;currency=EUR&amp;startStation=87&amp;endStation=56", "Clic para verlo en la web de RoadSurfer")</f>
        <v/>
      </c>
    </row>
    <row r="264">
      <c r="A264" t="inlineStr">
        <is>
          <t>Francia</t>
        </is>
      </c>
      <c r="B264" t="inlineStr">
        <is>
          <t>Lille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Surfer Suite</t>
        </is>
      </c>
      <c r="H264">
        <f>HYPERLINK("https://booking.roadsurfer.com/es/rally/pick?pickup_date=2026-04-07&amp;return_date=2026-04-14&amp;currency=EUR&amp;startStation=87&amp;endStation=56",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2026-04-02</t>
        </is>
      </c>
      <c r="F265" t="inlineStr">
        <is>
          <t>2026-04-09</t>
        </is>
      </c>
      <c r="G265" t="inlineStr">
        <is>
          <t xml:space="preserve"> - Road House</t>
        </is>
      </c>
      <c r="H265">
        <f>HYPERLINK("https://booking.roadsurfer.com/es/rally/pick?pickup_date=2026-04-02&amp;return_date=2026-04-09&amp;currency=EUR&amp;startStation=117&amp;endStation=13",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Alemania</t>
        </is>
      </c>
      <c r="D266" t="inlineStr">
        <is>
          <t>Berlín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Cozy Cottage</t>
        </is>
      </c>
      <c r="H266">
        <f>HYPERLINK("https://booking.roadsurfer.com/es/rally/pick?pickup_date=2026-04-27&amp;return_date=2026-05-04&amp;currency=EUR&amp;startStation=117&amp;endStation=6",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Italia</t>
        </is>
      </c>
      <c r="D267" t="inlineStr">
        <is>
          <t>Bolonia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Surfer Suite</t>
        </is>
      </c>
      <c r="H267">
        <f>HYPERLINK("https://booking.roadsurfer.com/es/rally/pick?pickup_date=2026-04-07&amp;return_date=2026-04-14&amp;currency=EUR&amp;startStation=117&amp;endStation=57", "Clic para verlo en la web de RoadSurfer")</f>
        <v/>
      </c>
    </row>
    <row r="268">
      <c r="A268" t="inlineStr">
        <is>
          <t>Alemania</t>
        </is>
      </c>
      <c r="B268" t="inlineStr">
        <is>
          <t>Lübeck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2026-04-27</t>
        </is>
      </c>
      <c r="F268" t="inlineStr">
        <is>
          <t>2026-05-04</t>
        </is>
      </c>
      <c r="G268" t="inlineStr">
        <is>
          <t xml:space="preserve"> - Surfer Suite</t>
        </is>
      </c>
      <c r="H268">
        <f>HYPERLINK("https://booking.roadsurfer.com/es/rally/pick?pickup_date=2026-04-27&amp;return_date=2026-05-04&amp;currency=EUR&amp;startStation=109&amp;endStation=40", "Clic para verlo en la web de RoadSurfer")</f>
        <v/>
      </c>
    </row>
    <row r="269">
      <c r="A269" t="inlineStr">
        <is>
          <t>Alemania</t>
        </is>
      </c>
      <c r="B269" t="inlineStr">
        <is>
          <t>Lübeck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Surfer Suite</t>
        </is>
      </c>
      <c r="H269">
        <f>HYPERLINK("https://booking.roadsurfer.com/es/rally/pick?pickup_date=2026-04-27&amp;return_date=2026-05-04&amp;currency=EUR&amp;startStation=109&amp;endStation=34", "Clic para verlo en la web de RoadSurfer")</f>
        <v/>
      </c>
    </row>
    <row r="270">
      <c r="A270" t="inlineStr">
        <is>
          <t>Francia</t>
        </is>
      </c>
      <c r="B270" t="inlineStr">
        <is>
          <t>Lyon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2026-04-09</t>
        </is>
      </c>
      <c r="F270" t="inlineStr">
        <is>
          <t>2026-04-16</t>
        </is>
      </c>
      <c r="G270" t="inlineStr">
        <is>
          <t xml:space="preserve"> - Beach Hostel</t>
        </is>
      </c>
      <c r="H270">
        <f>HYPERLINK("https://booking.roadsurfer.com/es/rally/pick?pickup_date=2026-04-09&amp;return_date=2026-04-16&amp;currency=EUR&amp;startStation=15&amp;endStation=22", "Clic para verlo en la web de RoadSurfer")</f>
        <v/>
      </c>
    </row>
    <row r="271">
      <c r="A271" t="inlineStr">
        <is>
          <t>Francia</t>
        </is>
      </c>
      <c r="B271" t="inlineStr">
        <is>
          <t>Lyon</t>
        </is>
      </c>
      <c r="C271" t="inlineStr">
        <is>
          <t>Alemania</t>
        </is>
      </c>
      <c r="D271" t="inlineStr">
        <is>
          <t>Heidelberg</t>
        </is>
      </c>
      <c r="E271" t="inlineStr">
        <is>
          <t>2026-04-15</t>
        </is>
      </c>
      <c r="F271" t="inlineStr">
        <is>
          <t>2026-04-22</t>
        </is>
      </c>
      <c r="G271" t="inlineStr">
        <is>
          <t xml:space="preserve"> - Beach Hostel</t>
        </is>
      </c>
      <c r="H271">
        <f>HYPERLINK("https://booking.roadsurfer.com/es/rally/pick?pickup_date=2026-04-15&amp;return_date=2026-04-22&amp;currency=EUR&amp;startStation=15&amp;endStation=79", "Clic para verlo en la web de RoadSurfer")</f>
        <v/>
      </c>
    </row>
    <row r="272">
      <c r="A272" t="inlineStr">
        <is>
          <t>Francia</t>
        </is>
      </c>
      <c r="B272" t="inlineStr">
        <is>
          <t>Lyon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2026-04-21</t>
        </is>
      </c>
      <c r="F272" t="inlineStr">
        <is>
          <t>2026-04-28</t>
        </is>
      </c>
      <c r="G272" t="inlineStr">
        <is>
          <t xml:space="preserve"> - Camper Cabin</t>
        </is>
      </c>
      <c r="H272">
        <f>HYPERLINK("https://booking.roadsurfer.com/es/rally/pick?pickup_date=2026-04-21&amp;return_date=2026-04-28&amp;currency=EUR&amp;startStation=15&amp;endStation=1", "Clic para verlo en la web de RoadSurfer")</f>
        <v/>
      </c>
    </row>
    <row r="273">
      <c r="A273" t="inlineStr">
        <is>
          <t>Francia</t>
        </is>
      </c>
      <c r="B273" t="inlineStr">
        <is>
          <t>Lyon</t>
        </is>
      </c>
      <c r="C273" t="inlineStr">
        <is>
          <t>Alemania</t>
        </is>
      </c>
      <c r="D273" t="inlineStr">
        <is>
          <t>Constanza (Aach)</t>
        </is>
      </c>
      <c r="E273" t="inlineStr">
        <is>
          <t>2026-04-07</t>
        </is>
      </c>
      <c r="F273" t="inlineStr">
        <is>
          <t>2026-04-14</t>
        </is>
      </c>
      <c r="G273" t="inlineStr">
        <is>
          <t xml:space="preserve"> - Family Finca</t>
        </is>
      </c>
      <c r="H273">
        <f>HYPERLINK("https://booking.roadsurfer.com/es/rally/pick?pickup_date=2026-04-07&amp;return_date=2026-04-14&amp;currency=EUR&amp;startStation=15&amp;endStation=10", "Clic para verlo en la web de RoadSurfer")</f>
        <v/>
      </c>
    </row>
    <row r="274">
      <c r="A274" t="inlineStr">
        <is>
          <t>España</t>
        </is>
      </c>
      <c r="B274" t="inlineStr">
        <is>
          <t>Madrid</t>
        </is>
      </c>
      <c r="C274" t="inlineStr">
        <is>
          <t>Alemania</t>
        </is>
      </c>
      <c r="D274" t="inlineStr">
        <is>
          <t>Friburgo-Basilea (Alemania)</t>
        </is>
      </c>
      <c r="E274" t="inlineStr">
        <is>
          <t>2026-04-15</t>
        </is>
      </c>
      <c r="F274" t="inlineStr">
        <is>
          <t>2026-04-22</t>
        </is>
      </c>
      <c r="G274" t="inlineStr">
        <is>
          <t xml:space="preserve"> - Surfer Suite - Couple Cottage</t>
        </is>
      </c>
      <c r="H274">
        <f>HYPERLINK("https://booking.roadsurfer.com/es/rally/pick?pickup_date=2026-04-15&amp;return_date=2026-04-22&amp;currency=EUR&amp;startStation=20&amp;endStation=9", "Clic para verlo en la web de RoadSurfer")</f>
        <v/>
      </c>
    </row>
    <row r="275">
      <c r="A275" t="inlineStr">
        <is>
          <t>España</t>
        </is>
      </c>
      <c r="B275" t="inlineStr">
        <is>
          <t>Madrid</t>
        </is>
      </c>
      <c r="C275" t="inlineStr">
        <is>
          <t>Alemania</t>
        </is>
      </c>
      <c r="D275" t="inlineStr">
        <is>
          <t>Karlsruhe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No hay coche</t>
        </is>
      </c>
      <c r="H275">
        <f>HYPERLINK("https://booking.roadsurfer.com/es/rally/pick?pickup_date=2026-05-04&amp;return_date=2026-05-11&amp;currency=EUR&amp;startStation=20&amp;endStation=110", "Clic para verlo en la web de RoadSurfer")</f>
        <v/>
      </c>
    </row>
    <row r="276">
      <c r="A276" t="inlineStr">
        <is>
          <t>España</t>
        </is>
      </c>
      <c r="B276" t="inlineStr">
        <is>
          <t>Madrid</t>
        </is>
      </c>
      <c r="C276" t="inlineStr">
        <is>
          <t>Alemania</t>
        </is>
      </c>
      <c r="D276" t="inlineStr">
        <is>
          <t>Lindau-Wangen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Family Finca</t>
        </is>
      </c>
      <c r="H276">
        <f>HYPERLINK("https://booking.roadsurfer.com/es/rally/pick?pickup_date=2026-04-23&amp;return_date=2026-04-30&amp;currency=EUR&amp;startStation=20&amp;endStation=117", "Clic para verlo en la web de RoadSurfer")</f>
        <v/>
      </c>
    </row>
    <row r="277">
      <c r="A277" t="inlineStr">
        <is>
          <t>España</t>
        </is>
      </c>
      <c r="B277" t="inlineStr">
        <is>
          <t>Madrid</t>
        </is>
      </c>
      <c r="C277" t="inlineStr">
        <is>
          <t>Alemania</t>
        </is>
      </c>
      <c r="D277" t="inlineStr">
        <is>
          <t>Maguncia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Couple Cottage</t>
        </is>
      </c>
      <c r="H277">
        <f>HYPERLINK("https://booking.roadsurfer.com/es/rally/pick?pickup_date=2026-05-04&amp;return_date=2026-05-11&amp;currency=EUR&amp;startStation=20&amp;endStation=54", "Clic para verlo en la web de RoadSurfer")</f>
        <v/>
      </c>
    </row>
    <row r="278">
      <c r="A278" t="inlineStr">
        <is>
          <t>Alemania</t>
        </is>
      </c>
      <c r="B278" t="inlineStr">
        <is>
          <t>Maguncia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2026-04-13</t>
        </is>
      </c>
      <c r="F278" t="inlineStr">
        <is>
          <t>2026-04-20</t>
        </is>
      </c>
      <c r="G278" t="inlineStr">
        <is>
          <t xml:space="preserve"> - Camper Cabin Deluxe</t>
        </is>
      </c>
      <c r="H278">
        <f>HYPERLINK("https://booking.roadsurfer.com/es/rally/pick?pickup_date=2026-04-13&amp;return_date=2026-04-20&amp;currency=EUR&amp;startStation=54&amp;endStation=29", "Clic para verlo en la web de RoadSurfer")</f>
        <v/>
      </c>
    </row>
    <row r="279">
      <c r="A279" t="inlineStr">
        <is>
          <t>Alemania</t>
        </is>
      </c>
      <c r="B279" t="inlineStr">
        <is>
          <t>Maguncia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2026-04-08</t>
        </is>
      </c>
      <c r="F279" t="inlineStr">
        <is>
          <t>2026-04-15</t>
        </is>
      </c>
      <c r="G279" t="inlineStr">
        <is>
          <t xml:space="preserve"> - Camper Castle</t>
        </is>
      </c>
      <c r="H279">
        <f>HYPERLINK("https://booking.roadsurfer.com/es/rally/pick?pickup_date=2026-04-08&amp;return_date=2026-04-15&amp;currency=EUR&amp;startStation=54&amp;endStation=60", "Clic para verlo en la web de RoadSurfer")</f>
        <v/>
      </c>
    </row>
    <row r="280">
      <c r="A280" t="inlineStr">
        <is>
          <t>Alemania</t>
        </is>
      </c>
      <c r="B280" t="inlineStr">
        <is>
          <t>Maguncia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2026-04-09</t>
        </is>
      </c>
      <c r="F280" t="inlineStr">
        <is>
          <t>2026-04-16</t>
        </is>
      </c>
      <c r="G280" t="inlineStr">
        <is>
          <t xml:space="preserve"> - Family Finca</t>
        </is>
      </c>
      <c r="H280">
        <f>HYPERLINK("https://booking.roadsurfer.com/es/rally/pick?pickup_date=2026-04-09&amp;return_date=2026-04-16&amp;currency=EUR&amp;startStation=54&amp;endStation=30", "Clic para verlo en la web de RoadSurfer")</f>
        <v/>
      </c>
    </row>
    <row r="281">
      <c r="A281" t="inlineStr">
        <is>
          <t>España</t>
        </is>
      </c>
      <c r="B281" t="inlineStr">
        <is>
          <t>Málaga</t>
        </is>
      </c>
      <c r="C281" t="inlineStr">
        <is>
          <t>Alemania</t>
        </is>
      </c>
      <c r="D281" t="inlineStr">
        <is>
          <t>Berlín-Schönefeld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Travel Home</t>
        </is>
      </c>
      <c r="H281">
        <f>HYPERLINK("https://booking.roadsurfer.com/es/rally/pick?pickup_date=2026-04-09&amp;return_date=2026-04-16&amp;currency=EUR&amp;startStation=21&amp;endStation=51",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Road House</t>
        </is>
      </c>
      <c r="H282">
        <f>HYPERLINK("https://booking.roadsurfer.com/es/rally/pick?pickup_date=2026-04-14&amp;return_date=2026-04-21&amp;currency=EUR&amp;startStation=60&amp;endStation=55",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Bremen</t>
        </is>
      </c>
      <c r="E283" t="inlineStr">
        <is>
          <t>2026-04-01</t>
        </is>
      </c>
      <c r="F283" t="inlineStr">
        <is>
          <t>2026-04-08</t>
        </is>
      </c>
      <c r="G283" t="inlineStr">
        <is>
          <t xml:space="preserve"> - Road House</t>
        </is>
      </c>
      <c r="H283">
        <f>HYPERLINK("https://booking.roadsurfer.com/es/rally/pick?pickup_date=2026-04-01&amp;return_date=2026-04-08&amp;currency=EUR&amp;startStation=60&amp;endStation=55",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2026-04-04</t>
        </is>
      </c>
      <c r="F284" t="inlineStr">
        <is>
          <t>2026-04-11</t>
        </is>
      </c>
      <c r="G284" t="inlineStr">
        <is>
          <t xml:space="preserve"> - Surfer Suite</t>
        </is>
      </c>
      <c r="H284">
        <f>HYPERLINK("https://booking.roadsurfer.com/es/rally/pick?pickup_date=2026-04-04&amp;return_date=2026-04-11&amp;currency=EUR&amp;startStation=60&amp;endStation=55",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Surfer Suite - Cozy Cottage</t>
        </is>
      </c>
      <c r="H285">
        <f>HYPERLINK("https://booking.roadsurfer.com/es/rally/pick?pickup_date=2026-04-16&amp;return_date=2026-04-23&amp;currency=EUR&amp;startStation=60&amp;endStation=55",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Hannover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Surfer Suite</t>
        </is>
      </c>
      <c r="H286">
        <f>HYPERLINK("https://booking.roadsurfer.com/es/rally/pick?pickup_date=2026-04-13&amp;return_date=2026-04-20&amp;currency=EUR&amp;startStation=60&amp;endStation=7",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Hannover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Surfer Suite</t>
        </is>
      </c>
      <c r="H287">
        <f>HYPERLINK("https://booking.roadsurfer.com/es/rally/pick?pickup_date=2026-04-09&amp;return_date=2026-04-16&amp;currency=EUR&amp;startStation=60&amp;endStation=7",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Colonia-Bonn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Surfer Suite</t>
        </is>
      </c>
      <c r="H288">
        <f>HYPERLINK("https://booking.roadsurfer.com/es/rally/pick?pickup_date=2026-04-07&amp;return_date=2026-04-14&amp;currency=EUR&amp;startStation=60&amp;endStation=52",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Maguncia</t>
        </is>
      </c>
      <c r="E289" t="inlineStr">
        <is>
          <t>2026-04-01</t>
        </is>
      </c>
      <c r="F289" t="inlineStr">
        <is>
          <t>2026-04-08</t>
        </is>
      </c>
      <c r="G289" t="inlineStr">
        <is>
          <t xml:space="preserve"> - Surfer Suite</t>
        </is>
      </c>
      <c r="H289">
        <f>HYPERLINK("https://booking.roadsurfer.com/es/rally/pick?pickup_date=2026-04-01&amp;return_date=2026-04-08&amp;currency=EUR&amp;startStation=60&amp;endStation=54",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Surfer Suite - Family Finca</t>
        </is>
      </c>
      <c r="H290">
        <f>HYPERLINK("https://booking.roadsurfer.com/es/rally/pick?pickup_date=2026-04-14&amp;return_date=2026-04-21&amp;currency=EUR&amp;startStation=60&amp;endStation=91",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SURFER SUITE</t>
        </is>
      </c>
      <c r="H291">
        <f>HYPERLINK("https://booking.roadsurfer.com/es/rally/pick?pickup_date=2026-04-08&amp;return_date=2026-04-15&amp;currency=EUR&amp;startStation=60&amp;endStation=22",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2026-04-09</t>
        </is>
      </c>
      <c r="F292" t="inlineStr">
        <is>
          <t>2026-04-16</t>
        </is>
      </c>
      <c r="G292" t="inlineStr">
        <is>
          <t xml:space="preserve"> - Road House</t>
        </is>
      </c>
      <c r="H292">
        <f>HYPERLINK("https://booking.roadsurfer.com/es/rally/pick?pickup_date=2026-04-09&amp;return_date=2026-04-16&amp;currency=EUR&amp;startStation=60&amp;endStation=22",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Alemania</t>
        </is>
      </c>
      <c r="D293" t="inlineStr">
        <is>
          <t>Hamburgo</t>
        </is>
      </c>
      <c r="E293" t="inlineStr">
        <is>
          <t>2026-04-04</t>
        </is>
      </c>
      <c r="F293" t="inlineStr">
        <is>
          <t>2026-04-11</t>
        </is>
      </c>
      <c r="G293" t="inlineStr">
        <is>
          <t xml:space="preserve"> - CAMPER CABIN DELUXE</t>
        </is>
      </c>
      <c r="H293">
        <f>HYPERLINK("https://booking.roadsurfer.com/es/rally/pick?pickup_date=2026-04-04&amp;return_date=2026-04-11&amp;currency=EUR&amp;startStation=60&amp;endStation=3", "Clic para verlo en la web de RoadSurfer")</f>
        <v/>
      </c>
    </row>
    <row r="294">
      <c r="A294" t="inlineStr">
        <is>
          <t>Suecia</t>
        </is>
      </c>
      <c r="B294" t="inlineStr">
        <is>
          <t>Malmö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Camper Castle</t>
        </is>
      </c>
      <c r="H294">
        <f>HYPERLINK("https://booking.roadsurfer.com/es/rally/pick?pickup_date=2026-04-20&amp;return_date=2026-04-27&amp;currency=EUR&amp;startStation=60&amp;endStation=5", "Clic para verlo en la web de RoadSurfer")</f>
        <v/>
      </c>
    </row>
    <row r="295">
      <c r="A295" t="inlineStr">
        <is>
          <t>Suecia</t>
        </is>
      </c>
      <c r="B295" t="inlineStr">
        <is>
          <t>Malmö</t>
        </is>
      </c>
      <c r="C295" t="inlineStr">
        <is>
          <t>Alemania</t>
        </is>
      </c>
      <c r="D295" t="inlineStr">
        <is>
          <t>Augsburgo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Camper Castle</t>
        </is>
      </c>
      <c r="H295">
        <f>HYPERLINK("https://booking.roadsurfer.com/es/rally/pick?pickup_date=2026-04-09&amp;return_date=2026-04-16&amp;currency=EUR&amp;startStation=60&amp;endStation=108",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Alemania</t>
        </is>
      </c>
      <c r="D296" t="inlineStr">
        <is>
          <t>Tréveris</t>
        </is>
      </c>
      <c r="E296" t="inlineStr">
        <is>
          <t>2026-03-31</t>
        </is>
      </c>
      <c r="F296" t="inlineStr">
        <is>
          <t>2026-04-07</t>
        </is>
      </c>
      <c r="G296" t="inlineStr">
        <is>
          <t xml:space="preserve"> - Camper Castle</t>
        </is>
      </c>
      <c r="H296">
        <f>HYPERLINK("https://booking.roadsurfer.com/es/rally/pick?pickup_date=2026-03-31&amp;return_date=2026-04-07&amp;currency=EUR&amp;startStation=60&amp;endStation=28", "Clic para verlo en la web de RoadSurfer")</f>
        <v/>
      </c>
    </row>
    <row r="297">
      <c r="A297" t="inlineStr">
        <is>
          <t>Suecia</t>
        </is>
      </c>
      <c r="B297" t="inlineStr">
        <is>
          <t>Malmö</t>
        </is>
      </c>
      <c r="C297" t="inlineStr">
        <is>
          <t>Alemania</t>
        </is>
      </c>
      <c r="D297" t="inlineStr">
        <is>
          <t>Berlín-Schönefeld</t>
        </is>
      </c>
      <c r="E297" t="inlineStr">
        <is>
          <t>2026-04-15</t>
        </is>
      </c>
      <c r="F297" t="inlineStr">
        <is>
          <t>2026-04-22</t>
        </is>
      </c>
      <c r="G297" t="inlineStr">
        <is>
          <t xml:space="preserve"> - Family Finca</t>
        </is>
      </c>
      <c r="H297">
        <f>HYPERLINK("https://booking.roadsurfer.com/es/rally/pick?pickup_date=2026-04-15&amp;return_date=2026-04-22&amp;currency=EUR&amp;startStation=60&amp;endStation=51", "Clic para verlo en la web de RoadSurfer")</f>
        <v/>
      </c>
    </row>
    <row r="298">
      <c r="A298" t="inlineStr">
        <is>
          <t>Suecia</t>
        </is>
      </c>
      <c r="B298" t="inlineStr">
        <is>
          <t>Malmö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2026-04-07</t>
        </is>
      </c>
      <c r="F298" t="inlineStr">
        <is>
          <t>2026-04-14</t>
        </is>
      </c>
      <c r="G298" t="inlineStr">
        <is>
          <t xml:space="preserve"> - COZY COTTAGE</t>
        </is>
      </c>
      <c r="H298">
        <f>HYPERLINK("https://booking.roadsurfer.com/es/rally/pick?pickup_date=2026-04-07&amp;return_date=2026-04-14&amp;currency=EUR&amp;startStation=60&amp;endStation=90", "Clic para verlo en la web de RoadSurfer")</f>
        <v/>
      </c>
    </row>
    <row r="299">
      <c r="A299" t="inlineStr">
        <is>
          <t>Reino Unido</t>
        </is>
      </c>
      <c r="B299" t="inlineStr">
        <is>
          <t>Mánchester</t>
        </is>
      </c>
      <c r="C299" t="inlineStr">
        <is>
          <t>Reino Unido</t>
        </is>
      </c>
      <c r="D299" t="inlineStr">
        <is>
          <t>Edimburgo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Surfer Suite</t>
        </is>
      </c>
      <c r="H299">
        <f>HYPERLINK("https://booking.roadsurfer.com/es/rally/pick?pickup_date=2026-04-09&amp;return_date=2026-04-16&amp;currency=EUR&amp;startStation=99&amp;endStation=64",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2026-04-29</t>
        </is>
      </c>
      <c r="F300" t="inlineStr">
        <is>
          <t>2026-05-06</t>
        </is>
      </c>
      <c r="G300" t="inlineStr">
        <is>
          <t xml:space="preserve"> - Surfer Suite</t>
        </is>
      </c>
      <c r="H300">
        <f>HYPERLINK("https://booking.roadsurfer.com/es/rally/pick?pickup_date=2026-04-29&amp;return_date=2026-05-06&amp;currency=EUR&amp;startStation=22&amp;endStation=13",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2026-04-10</t>
        </is>
      </c>
      <c r="F301" t="inlineStr">
        <is>
          <t>2026-04-17</t>
        </is>
      </c>
      <c r="G301" t="inlineStr">
        <is>
          <t xml:space="preserve"> - Camper Cabin</t>
        </is>
      </c>
      <c r="H301">
        <f>HYPERLINK("https://booking.roadsurfer.com/es/rally/pick?pickup_date=2026-04-10&amp;return_date=2026-04-17&amp;currency=EUR&amp;startStation=22&amp;endStation=13",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2026-04-02</t>
        </is>
      </c>
      <c r="F302" t="inlineStr">
        <is>
          <t>2026-04-09</t>
        </is>
      </c>
      <c r="G302" t="inlineStr">
        <is>
          <t xml:space="preserve"> - Surfer Suite</t>
        </is>
      </c>
      <c r="H302">
        <f>HYPERLINK("https://booking.roadsurfer.com/es/rally/pick?pickup_date=2026-04-02&amp;return_date=2026-04-09&amp;currency=EUR&amp;startStation=22&amp;endStation=15",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2026-04-06</t>
        </is>
      </c>
      <c r="F303" t="inlineStr">
        <is>
          <t>2026-04-13</t>
        </is>
      </c>
      <c r="G303" t="inlineStr">
        <is>
          <t xml:space="preserve"> - No hay coche</t>
        </is>
      </c>
      <c r="H303">
        <f>HYPERLINK("https://booking.roadsurfer.com/es/rally/pick?pickup_date=2026-04-06&amp;return_date=2026-04-13&amp;currency=EUR&amp;startStation=22&amp;endStation=15",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2026-04-07</t>
        </is>
      </c>
      <c r="F304" t="inlineStr">
        <is>
          <t>2026-04-14</t>
        </is>
      </c>
      <c r="G304" t="inlineStr">
        <is>
          <t xml:space="preserve"> - Surfer Suite</t>
        </is>
      </c>
      <c r="H304">
        <f>HYPERLINK("https://booking.roadsurfer.com/es/rally/pick?pickup_date=2026-04-07&amp;return_date=2026-04-14&amp;currency=EUR&amp;startStation=22&amp;endStation=15",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Beach Hostel</t>
        </is>
      </c>
      <c r="H305">
        <f>HYPERLINK("https://booking.roadsurfer.com/es/rally/pick?pickup_date=2026-05-11&amp;return_date=2026-05-18&amp;currency=EUR&amp;startStation=22&amp;endStation=15",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Aix-Marsella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Surfer Suite</t>
        </is>
      </c>
      <c r="H306">
        <f>HYPERLINK("https://booking.roadsurfer.com/es/rally/pick?pickup_date=2026-04-13&amp;return_date=2026-04-20&amp;currency=EUR&amp;startStation=22&amp;endStation=16",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Surfer Suite</t>
        </is>
      </c>
      <c r="H307">
        <f>HYPERLINK("https://booking.roadsurfer.com/es/rally/pick?pickup_date=2026-04-14&amp;return_date=2026-04-21&amp;currency=EUR&amp;startStation=22&amp;endStation=16",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2026-04-03</t>
        </is>
      </c>
      <c r="F308" t="inlineStr">
        <is>
          <t>2026-04-10</t>
        </is>
      </c>
      <c r="G308" t="inlineStr">
        <is>
          <t xml:space="preserve"> - Surfer Suite</t>
        </is>
      </c>
      <c r="H308">
        <f>HYPERLINK("https://booking.roadsurfer.com/es/rally/pick?pickup_date=2026-04-03&amp;return_date=2026-04-10&amp;currency=EUR&amp;startStation=22&amp;endStation=29",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2026-04-07</t>
        </is>
      </c>
      <c r="F309" t="inlineStr">
        <is>
          <t>2026-04-14</t>
        </is>
      </c>
      <c r="G309" t="inlineStr">
        <is>
          <t xml:space="preserve"> - Surfer Suite</t>
        </is>
      </c>
      <c r="H309">
        <f>HYPERLINK("https://booking.roadsurfer.com/es/rally/pick?pickup_date=2026-04-07&amp;return_date=2026-04-14&amp;currency=EUR&amp;startStation=22&amp;endStation=29",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Surfer Suite</t>
        </is>
      </c>
      <c r="H310">
        <f>HYPERLINK("https://booking.roadsurfer.com/es/rally/pick?pickup_date=2026-04-08&amp;return_date=2026-04-15&amp;currency=EUR&amp;startStation=22&amp;endStation=29",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2026-04-06</t>
        </is>
      </c>
      <c r="F311" t="inlineStr">
        <is>
          <t>2026-04-13</t>
        </is>
      </c>
      <c r="G311" t="inlineStr">
        <is>
          <t xml:space="preserve"> - Surfer Suite</t>
        </is>
      </c>
      <c r="H311">
        <f>HYPERLINK("https://booking.roadsurfer.com/es/rally/pick?pickup_date=2026-04-06&amp;return_date=2026-04-13&amp;currency=EUR&amp;startStation=22&amp;endStation=59",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2026-04-07</t>
        </is>
      </c>
      <c r="F312" t="inlineStr">
        <is>
          <t>2026-04-14</t>
        </is>
      </c>
      <c r="G312" t="inlineStr">
        <is>
          <t xml:space="preserve"> - Surfer Suite - Beach Hostel</t>
        </is>
      </c>
      <c r="H312">
        <f>HYPERLINK("https://booking.roadsurfer.com/es/rally/pick?pickup_date=2026-04-07&amp;return_date=2026-04-14&amp;currency=EUR&amp;startStation=22&amp;endStation=59",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Surfer Suite</t>
        </is>
      </c>
      <c r="H313">
        <f>HYPERLINK("https://booking.roadsurfer.com/es/rally/pick?pickup_date=2026-04-14&amp;return_date=2026-04-21&amp;currency=EUR&amp;startStation=22&amp;endStation=59",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2026-04-01</t>
        </is>
      </c>
      <c r="F314" t="inlineStr">
        <is>
          <t>2026-04-08</t>
        </is>
      </c>
      <c r="G314" t="inlineStr">
        <is>
          <t xml:space="preserve"> - Surfer Suite - Beach Hostel</t>
        </is>
      </c>
      <c r="H314">
        <f>HYPERLINK("https://booking.roadsurfer.com/es/rally/pick?pickup_date=2026-04-01&amp;return_date=2026-04-08&amp;currency=EUR&amp;startStation=22&amp;endStation=59",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2026-04-30</t>
        </is>
      </c>
      <c r="F315" t="inlineStr">
        <is>
          <t>2026-05-07</t>
        </is>
      </c>
      <c r="G315" t="inlineStr">
        <is>
          <t xml:space="preserve"> - Surfer Suite - Camper Castle</t>
        </is>
      </c>
      <c r="H315">
        <f>HYPERLINK("https://booking.roadsurfer.com/es/rally/pick?pickup_date=2026-04-30&amp;return_date=2026-05-07&amp;currency=EUR&amp;startStation=22&amp;endStation=59",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2026-04-10</t>
        </is>
      </c>
      <c r="F316" t="inlineStr">
        <is>
          <t>2026-04-17</t>
        </is>
      </c>
      <c r="G316" t="inlineStr">
        <is>
          <t xml:space="preserve"> - Road House</t>
        </is>
      </c>
      <c r="H316">
        <f>HYPERLINK("https://booking.roadsurfer.com/es/rally/pick?pickup_date=2026-04-10&amp;return_date=2026-04-17&amp;currency=EUR&amp;startStation=22&amp;endStation=59",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Road House</t>
        </is>
      </c>
      <c r="H317">
        <f>HYPERLINK("https://booking.roadsurfer.com/es/rally/pick?pickup_date=2026-04-16&amp;return_date=2026-04-23&amp;currency=EUR&amp;startStation=22&amp;endStation=59",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Camper Castle</t>
        </is>
      </c>
      <c r="H318">
        <f>HYPERLINK("https://booking.roadsurfer.com/es/rally/pick?pickup_date=2026-05-18&amp;return_date=2026-05-25&amp;currency=EUR&amp;startStation=22&amp;endStation=59",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2026-04-27</t>
        </is>
      </c>
      <c r="F319" t="inlineStr">
        <is>
          <t>2026-05-04</t>
        </is>
      </c>
      <c r="G319" t="inlineStr">
        <is>
          <t xml:space="preserve"> - Family Finca</t>
        </is>
      </c>
      <c r="H319">
        <f>HYPERLINK("https://booking.roadsurfer.com/es/rally/pick?pickup_date=2026-04-27&amp;return_date=2026-05-04&amp;currency=EUR&amp;startStation=22&amp;endStation=59",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2026-04-07</t>
        </is>
      </c>
      <c r="F320" t="inlineStr">
        <is>
          <t>2026-04-14</t>
        </is>
      </c>
      <c r="G320" t="inlineStr">
        <is>
          <t xml:space="preserve"> - Surfer Suite</t>
        </is>
      </c>
      <c r="H320">
        <f>HYPERLINK("https://booking.roadsurfer.com/es/rally/pick?pickup_date=2026-04-07&amp;return_date=2026-04-14&amp;currency=EUR&amp;startStation=22&amp;endStation=31",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2026-04-30</t>
        </is>
      </c>
      <c r="F321" t="inlineStr">
        <is>
          <t>2026-05-07</t>
        </is>
      </c>
      <c r="G321" t="inlineStr">
        <is>
          <t xml:space="preserve"> - Surfer Suite</t>
        </is>
      </c>
      <c r="H321">
        <f>HYPERLINK("https://booking.roadsurfer.com/es/rally/pick?pickup_date=2026-04-30&amp;return_date=2026-05-07&amp;currency=EUR&amp;startStation=22&amp;endStation=31",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Nantes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Surfer Suite</t>
        </is>
      </c>
      <c r="H322">
        <f>HYPERLINK("https://booking.roadsurfer.com/es/rally/pick?pickup_date=2026-04-20&amp;return_date=2026-04-27&amp;currency=EUR&amp;startStation=22&amp;endStation=31",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2026-04-02</t>
        </is>
      </c>
      <c r="F323" t="inlineStr">
        <is>
          <t>2026-04-09</t>
        </is>
      </c>
      <c r="G323" t="inlineStr">
        <is>
          <t xml:space="preserve"> - Surfer Suite</t>
        </is>
      </c>
      <c r="H323">
        <f>HYPERLINK("https://booking.roadsurfer.com/es/rally/pick?pickup_date=2026-04-02&amp;return_date=2026-04-09&amp;currency=EUR&amp;startStation=22&amp;endStation=31",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No hay coche</t>
        </is>
      </c>
      <c r="H324">
        <f>HYPERLINK("https://booking.roadsurfer.com/es/rally/pick?pickup_date=2026-04-13&amp;return_date=2026-04-20&amp;currency=EUR&amp;startStation=22&amp;endStation=31",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2026-04-04</t>
        </is>
      </c>
      <c r="F325" t="inlineStr">
        <is>
          <t>2026-04-11</t>
        </is>
      </c>
      <c r="G325" t="inlineStr">
        <is>
          <t xml:space="preserve"> - No hay coche</t>
        </is>
      </c>
      <c r="H325">
        <f>HYPERLINK("https://booking.roadsurfer.com/es/rally/pick?pickup_date=2026-04-04&amp;return_date=2026-04-11&amp;currency=EUR&amp;startStation=22&amp;endStation=31",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2026-05-02</t>
        </is>
      </c>
      <c r="F326" t="inlineStr">
        <is>
          <t>2026-05-09</t>
        </is>
      </c>
      <c r="G326" t="inlineStr">
        <is>
          <t xml:space="preserve"> - No hay coche</t>
        </is>
      </c>
      <c r="H326">
        <f>HYPERLINK("https://booking.roadsurfer.com/es/rally/pick?pickup_date=2026-05-02&amp;return_date=2026-05-09&amp;currency=EUR&amp;startStation=22&amp;endStation=31",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Surfer Suite</t>
        </is>
      </c>
      <c r="H327">
        <f>HYPERLINK("https://booking.roadsurfer.com/es/rally/pick?pickup_date=2026-04-30&amp;return_date=2026-05-07&amp;currency=EUR&amp;startStation=22&amp;endStation=12",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2026-04-02</t>
        </is>
      </c>
      <c r="F328" t="inlineStr">
        <is>
          <t>2026-04-09</t>
        </is>
      </c>
      <c r="G328" t="inlineStr">
        <is>
          <t xml:space="preserve"> - Surfer Suite</t>
        </is>
      </c>
      <c r="H328">
        <f>HYPERLINK("https://booking.roadsurfer.com/es/rally/pick?pickup_date=2026-04-02&amp;return_date=2026-04-09&amp;currency=EUR&amp;startStation=22&amp;endStation=12",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2026-04-23</t>
        </is>
      </c>
      <c r="F329" t="inlineStr">
        <is>
          <t>2026-04-30</t>
        </is>
      </c>
      <c r="G329" t="inlineStr">
        <is>
          <t xml:space="preserve"> - No hay coche</t>
        </is>
      </c>
      <c r="H329">
        <f>HYPERLINK("https://booking.roadsurfer.com/es/rally/pick?pickup_date=2026-04-23&amp;return_date=2026-04-30&amp;currency=EUR&amp;startStation=22&amp;endStation=12",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2026-04-25</t>
        </is>
      </c>
      <c r="F330" t="inlineStr">
        <is>
          <t>2026-05-02</t>
        </is>
      </c>
      <c r="G330" t="inlineStr">
        <is>
          <t xml:space="preserve"> - No hay coche</t>
        </is>
      </c>
      <c r="H330">
        <f>HYPERLINK("https://booking.roadsurfer.com/es/rally/pick?pickup_date=2026-04-25&amp;return_date=2026-05-02&amp;currency=EUR&amp;startStation=22&amp;endStation=17",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España</t>
        </is>
      </c>
      <c r="D331" t="inlineStr">
        <is>
          <t>Barcelona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Beach Hostel</t>
        </is>
      </c>
      <c r="H331">
        <f>HYPERLINK("https://booking.roadsurfer.com/es/rally/pick?pickup_date=2026-05-06&amp;return_date=2026-05-13&amp;currency=EUR&amp;startStation=22&amp;endStation=17",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Camper Cabin</t>
        </is>
      </c>
      <c r="H332">
        <f>HYPERLINK("https://booking.roadsurfer.com/es/rally/pick?pickup_date=2026-04-09&amp;return_date=2026-04-16&amp;currency=EUR&amp;startStation=22&amp;endStation=17",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2026-04-12</t>
        </is>
      </c>
      <c r="F333" t="inlineStr">
        <is>
          <t>2026-04-19</t>
        </is>
      </c>
      <c r="G333" t="inlineStr">
        <is>
          <t xml:space="preserve"> - No hay coche</t>
        </is>
      </c>
      <c r="H333">
        <f>HYPERLINK("https://booking.roadsurfer.com/es/rally/pick?pickup_date=2026-04-12&amp;return_date=2026-04-19&amp;currency=EUR&amp;startStation=22&amp;endStation=17",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Sunrise Suite</t>
        </is>
      </c>
      <c r="H334">
        <f>HYPERLINK("https://booking.roadsurfer.com/es/rally/pick?pickup_date=2026-04-13&amp;return_date=2026-04-20&amp;currency=EUR&amp;startStation=22&amp;endStation=17",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Toulouse</t>
        </is>
      </c>
      <c r="E335" t="inlineStr">
        <is>
          <t>2026-04-07</t>
        </is>
      </c>
      <c r="F335" t="inlineStr">
        <is>
          <t>2026-04-14</t>
        </is>
      </c>
      <c r="G335" t="inlineStr">
        <is>
          <t xml:space="preserve"> - Surfer Suite - Beach Hostel</t>
        </is>
      </c>
      <c r="H335">
        <f>HYPERLINK("https://booking.roadsurfer.com/es/rally/pick?pickup_date=2026-04-07&amp;return_date=2026-04-14&amp;currency=EUR&amp;startStation=22&amp;endStation=30",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2026-04-02</t>
        </is>
      </c>
      <c r="F336" t="inlineStr">
        <is>
          <t>2026-04-09</t>
        </is>
      </c>
      <c r="G336" t="inlineStr">
        <is>
          <t xml:space="preserve"> - Surfer Suite</t>
        </is>
      </c>
      <c r="H336">
        <f>HYPERLINK("https://booking.roadsurfer.com/es/rally/pick?pickup_date=2026-04-02&amp;return_date=2026-04-09&amp;currency=EUR&amp;startStation=22&amp;endStation=30",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2026-04-08</t>
        </is>
      </c>
      <c r="F337" t="inlineStr">
        <is>
          <t>2026-04-15</t>
        </is>
      </c>
      <c r="G337" t="inlineStr">
        <is>
          <t xml:space="preserve"> - FAMILY FINCA</t>
        </is>
      </c>
      <c r="H337">
        <f>HYPERLINK("https://booking.roadsurfer.com/es/rally/pick?pickup_date=2026-04-08&amp;return_date=2026-04-15&amp;currency=EUR&amp;startStation=22&amp;endStation=30",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Países Bajos</t>
        </is>
      </c>
      <c r="D338" t="inlineStr">
        <is>
          <t>Róterdam</t>
        </is>
      </c>
      <c r="E338" t="inlineStr">
        <is>
          <t>2026-04-06</t>
        </is>
      </c>
      <c r="F338" t="inlineStr">
        <is>
          <t>2026-04-13</t>
        </is>
      </c>
      <c r="G338" t="inlineStr">
        <is>
          <t xml:space="preserve"> - No hay coche</t>
        </is>
      </c>
      <c r="H338">
        <f>HYPERLINK("https://booking.roadsurfer.com/es/rally/pick?pickup_date=2026-04-06&amp;return_date=2026-04-13&amp;currency=EUR&amp;startStation=22&amp;endStation=33",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2026-04-17</t>
        </is>
      </c>
      <c r="F339" t="inlineStr">
        <is>
          <t>2026-04-24</t>
        </is>
      </c>
      <c r="G339" t="inlineStr">
        <is>
          <t xml:space="preserve"> - Camper Cabin</t>
        </is>
      </c>
      <c r="H339">
        <f>HYPERLINK("https://booking.roadsurfer.com/es/rally/pick?pickup_date=2026-04-17&amp;return_date=2026-04-24&amp;currency=EUR&amp;startStation=22&amp;endStation=33",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Roma Aeropuerto Fiumicino</t>
        </is>
      </c>
      <c r="E340" t="inlineStr">
        <is>
          <t>2026-04-02</t>
        </is>
      </c>
      <c r="F340" t="inlineStr">
        <is>
          <t>2026-04-09</t>
        </is>
      </c>
      <c r="G340" t="inlineStr">
        <is>
          <t xml:space="preserve"> - Surfer Suite</t>
        </is>
      </c>
      <c r="H340">
        <f>HYPERLINK("https://booking.roadsurfer.com/es/rally/pick?pickup_date=2026-04-02&amp;return_date=2026-04-09&amp;currency=EUR&amp;startStation=22&amp;endStation=35",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2026-04-22</t>
        </is>
      </c>
      <c r="F341" t="inlineStr">
        <is>
          <t>2026-04-29</t>
        </is>
      </c>
      <c r="G341" t="inlineStr">
        <is>
          <t xml:space="preserve"> - Surfer Suite</t>
        </is>
      </c>
      <c r="H341">
        <f>HYPERLINK("https://booking.roadsurfer.com/es/rally/pick?pickup_date=2026-04-22&amp;return_date=2026-04-29&amp;currency=EUR&amp;startStation=22&amp;endStation=47",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Surfer Suite</t>
        </is>
      </c>
      <c r="H342">
        <f>HYPERLINK("https://booking.roadsurfer.com/es/rally/pick?pickup_date=2026-04-14&amp;return_date=2026-04-21&amp;currency=EUR&amp;startStation=22&amp;endStation=47",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Family Finca</t>
        </is>
      </c>
      <c r="H343">
        <f>HYPERLINK("https://booking.roadsurfer.com/es/rally/pick?pickup_date=2026-04-16&amp;return_date=2026-04-23&amp;currency=EUR&amp;startStation=22&amp;endStation=47",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2026-04-08</t>
        </is>
      </c>
      <c r="F344" t="inlineStr">
        <is>
          <t>2026-04-15</t>
        </is>
      </c>
      <c r="G344" t="inlineStr">
        <is>
          <t xml:space="preserve"> - Surfer Suite</t>
        </is>
      </c>
      <c r="H344">
        <f>HYPERLINK("https://booking.roadsurfer.com/es/rally/pick?pickup_date=2026-04-08&amp;return_date=2026-04-15&amp;currency=EUR&amp;startStation=22&amp;endStation=48",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España</t>
        </is>
      </c>
      <c r="D345" t="inlineStr">
        <is>
          <t>Bilbao</t>
        </is>
      </c>
      <c r="E345" t="inlineStr">
        <is>
          <t>2026-04-06</t>
        </is>
      </c>
      <c r="F345" t="inlineStr">
        <is>
          <t>2026-04-13</t>
        </is>
      </c>
      <c r="G345" t="inlineStr">
        <is>
          <t xml:space="preserve"> - Surfer Suite</t>
        </is>
      </c>
      <c r="H345">
        <f>HYPERLINK("https://booking.roadsurfer.com/es/rally/pick?pickup_date=2026-04-06&amp;return_date=2026-04-13&amp;currency=EUR&amp;startStation=22&amp;endStation=40",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España</t>
        </is>
      </c>
      <c r="D346" t="inlineStr">
        <is>
          <t>Bilbao</t>
        </is>
      </c>
      <c r="E346" t="inlineStr">
        <is>
          <t>2026-04-10</t>
        </is>
      </c>
      <c r="F346" t="inlineStr">
        <is>
          <t>2026-04-17</t>
        </is>
      </c>
      <c r="G346" t="inlineStr">
        <is>
          <t xml:space="preserve"> - Surfer Suite</t>
        </is>
      </c>
      <c r="H346">
        <f>HYPERLINK("https://booking.roadsurfer.com/es/rally/pick?pickup_date=2026-04-10&amp;return_date=2026-04-17&amp;currency=EUR&amp;startStation=22&amp;endStation=40",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Bélgica</t>
        </is>
      </c>
      <c r="D347" t="inlineStr">
        <is>
          <t>Bruselas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Surfer Suite</t>
        </is>
      </c>
      <c r="H347">
        <f>HYPERLINK("https://booking.roadsurfer.com/es/rally/pick?pickup_date=2026-04-14&amp;return_date=2026-04-21&amp;currency=EUR&amp;startStation=22&amp;endStation=42",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2026-04-23</t>
        </is>
      </c>
      <c r="F348" t="inlineStr">
        <is>
          <t>2026-04-30</t>
        </is>
      </c>
      <c r="G348" t="inlineStr">
        <is>
          <t xml:space="preserve"> - Family Finca</t>
        </is>
      </c>
      <c r="H348">
        <f>HYPERLINK("https://booking.roadsurfer.com/es/rally/pick?pickup_date=2026-04-23&amp;return_date=2026-04-30&amp;currency=EUR&amp;startStation=22&amp;endStation=42",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2026-04-28</t>
        </is>
      </c>
      <c r="F349" t="inlineStr">
        <is>
          <t>2026-05-05</t>
        </is>
      </c>
      <c r="G349" t="inlineStr">
        <is>
          <t xml:space="preserve"> - Surfer Suite</t>
        </is>
      </c>
      <c r="H349">
        <f>HYPERLINK("https://booking.roadsurfer.com/es/rally/pick?pickup_date=2026-04-28&amp;return_date=2026-05-05&amp;currency=EUR&amp;startStation=22&amp;endStation=34",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2026-04-25</t>
        </is>
      </c>
      <c r="F350" t="inlineStr">
        <is>
          <t>2026-05-02</t>
        </is>
      </c>
      <c r="G350" t="inlineStr">
        <is>
          <t xml:space="preserve"> - No hay coche</t>
        </is>
      </c>
      <c r="H350">
        <f>HYPERLINK("https://booking.roadsurfer.com/es/rally/pick?pickup_date=2026-04-25&amp;return_date=2026-05-02&amp;currency=EUR&amp;startStation=22&amp;endStation=34",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2026-04-07</t>
        </is>
      </c>
      <c r="F351" t="inlineStr">
        <is>
          <t>2026-04-14</t>
        </is>
      </c>
      <c r="G351" t="inlineStr">
        <is>
          <t xml:space="preserve"> - Beach Hostel</t>
        </is>
      </c>
      <c r="H351">
        <f>HYPERLINK("https://booking.roadsurfer.com/es/rally/pick?pickup_date=2026-04-07&amp;return_date=2026-04-14&amp;currency=EUR&amp;startStation=22&amp;endStation=34",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Alemania</t>
        </is>
      </c>
      <c r="D352" t="inlineStr">
        <is>
          <t>Bochum</t>
        </is>
      </c>
      <c r="E352" t="inlineStr">
        <is>
          <t>2026-04-06</t>
        </is>
      </c>
      <c r="F352" t="inlineStr">
        <is>
          <t>2026-04-13</t>
        </is>
      </c>
      <c r="G352" t="inlineStr">
        <is>
          <t xml:space="preserve"> - Surfer Suite</t>
        </is>
      </c>
      <c r="H352">
        <f>HYPERLINK("https://booking.roadsurfer.com/es/rally/pick?pickup_date=2026-04-06&amp;return_date=2026-04-13&amp;currency=EUR&amp;startStation=22&amp;endStation=24",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Italia</t>
        </is>
      </c>
      <c r="D353" t="inlineStr">
        <is>
          <t>Bérgamo</t>
        </is>
      </c>
      <c r="E353" t="inlineStr">
        <is>
          <t>2026-04-08</t>
        </is>
      </c>
      <c r="F353" t="inlineStr">
        <is>
          <t>2026-04-15</t>
        </is>
      </c>
      <c r="G353" t="inlineStr">
        <is>
          <t xml:space="preserve"> - Beach Hostel</t>
        </is>
      </c>
      <c r="H353">
        <f>HYPERLINK("https://booking.roadsurfer.com/es/rally/pick?pickup_date=2026-04-08&amp;return_date=2026-04-15&amp;currency=EUR&amp;startStation=22&amp;endStation=94",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Italia</t>
        </is>
      </c>
      <c r="D354" t="inlineStr">
        <is>
          <t>Bérgamo</t>
        </is>
      </c>
      <c r="E354" t="inlineStr">
        <is>
          <t>2026-04-09</t>
        </is>
      </c>
      <c r="F354" t="inlineStr">
        <is>
          <t>2026-04-16</t>
        </is>
      </c>
      <c r="G354" t="inlineStr">
        <is>
          <t xml:space="preserve"> - Surfer Suite</t>
        </is>
      </c>
      <c r="H354">
        <f>HYPERLINK("https://booking.roadsurfer.com/es/rally/pick?pickup_date=2026-04-09&amp;return_date=2026-04-16&amp;currency=EUR&amp;startStation=22&amp;endStation=94",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Italia</t>
        </is>
      </c>
      <c r="D355" t="inlineStr">
        <is>
          <t>Bérgamo</t>
        </is>
      </c>
      <c r="E355" t="inlineStr">
        <is>
          <t>2026-04-07</t>
        </is>
      </c>
      <c r="F355" t="inlineStr">
        <is>
          <t>2026-04-14</t>
        </is>
      </c>
      <c r="G355" t="inlineStr">
        <is>
          <t xml:space="preserve"> - Surfer Suite</t>
        </is>
      </c>
      <c r="H355">
        <f>HYPERLINK("https://booking.roadsurfer.com/es/rally/pick?pickup_date=2026-04-07&amp;return_date=2026-04-14&amp;currency=EUR&amp;startStation=22&amp;endStation=94",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Italia</t>
        </is>
      </c>
      <c r="D356" t="inlineStr">
        <is>
          <t>Bérgamo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Surfer Suite</t>
        </is>
      </c>
      <c r="H356">
        <f>HYPERLINK("https://booking.roadsurfer.com/es/rally/pick?pickup_date=2026-04-14&amp;return_date=2026-04-21&amp;currency=EUR&amp;startStation=22&amp;endStation=94",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Surfer Suite - Beach Hostel</t>
        </is>
      </c>
      <c r="H357">
        <f>HYPERLINK("https://booking.roadsurfer.com/es/rally/pick?pickup_date=2026-04-30&amp;return_date=2026-05-07&amp;currency=EUR&amp;startStation=22&amp;endStation=77",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2026-04-02</t>
        </is>
      </c>
      <c r="F358" t="inlineStr">
        <is>
          <t>2026-04-09</t>
        </is>
      </c>
      <c r="G358" t="inlineStr">
        <is>
          <t xml:space="preserve"> - SURFER SUITE</t>
        </is>
      </c>
      <c r="H358">
        <f>HYPERLINK("https://booking.roadsurfer.com/es/rally/pick?pickup_date=2026-04-02&amp;return_date=2026-04-09&amp;currency=EUR&amp;startStation=22&amp;endStation=77",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Beach Hostel</t>
        </is>
      </c>
      <c r="H359">
        <f>HYPERLINK("https://booking.roadsurfer.com/es/rally/pick?pickup_date=2026-05-06&amp;return_date=2026-05-13&amp;currency=EUR&amp;startStation=22&amp;endStation=77",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2026-05-02</t>
        </is>
      </c>
      <c r="F360" t="inlineStr">
        <is>
          <t>2026-05-09</t>
        </is>
      </c>
      <c r="G360" t="inlineStr">
        <is>
          <t xml:space="preserve"> - No hay coche</t>
        </is>
      </c>
      <c r="H360">
        <f>HYPERLINK("https://booking.roadsurfer.com/es/rally/pick?pickup_date=2026-05-02&amp;return_date=2026-05-09&amp;currency=EUR&amp;startStation=22&amp;endStation=77",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2026-04-07</t>
        </is>
      </c>
      <c r="F361" t="inlineStr">
        <is>
          <t>2026-04-14</t>
        </is>
      </c>
      <c r="G361" t="inlineStr">
        <is>
          <t xml:space="preserve"> - CAMPER CASTLE</t>
        </is>
      </c>
      <c r="H361">
        <f>HYPERLINK("https://booking.roadsurfer.com/es/rally/pick?pickup_date=2026-04-07&amp;return_date=2026-04-14&amp;currency=EUR&amp;startStation=22&amp;endStation=77",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2026-04-01</t>
        </is>
      </c>
      <c r="F362" t="inlineStr">
        <is>
          <t>2026-04-08</t>
        </is>
      </c>
      <c r="G362" t="inlineStr">
        <is>
          <t xml:space="preserve"> - Surfer Suite</t>
        </is>
      </c>
      <c r="H362">
        <f>HYPERLINK("https://booking.roadsurfer.com/es/rally/pick?pickup_date=2026-04-01&amp;return_date=2026-04-08&amp;currency=EUR&amp;startStation=22&amp;endStation=60",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2026-04-08</t>
        </is>
      </c>
      <c r="F363" t="inlineStr">
        <is>
          <t>2026-04-15</t>
        </is>
      </c>
      <c r="G363" t="inlineStr">
        <is>
          <t xml:space="preserve"> - Surfer Suite - Beach Hostel</t>
        </is>
      </c>
      <c r="H363">
        <f>HYPERLINK("https://booking.roadsurfer.com/es/rally/pick?pickup_date=2026-04-08&amp;return_date=2026-04-15&amp;currency=EUR&amp;startStation=22&amp;endStation=60",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2026-04-02</t>
        </is>
      </c>
      <c r="F364" t="inlineStr">
        <is>
          <t>2026-04-09</t>
        </is>
      </c>
      <c r="G364" t="inlineStr">
        <is>
          <t xml:space="preserve"> - Surfer Suite - SURFER SUITE - Family Finca</t>
        </is>
      </c>
      <c r="H364">
        <f>HYPERLINK("https://booking.roadsurfer.com/es/rally/pick?pickup_date=2026-04-02&amp;return_date=2026-04-09&amp;currency=EUR&amp;startStation=22&amp;endStation=60",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2026-04-06</t>
        </is>
      </c>
      <c r="F365" t="inlineStr">
        <is>
          <t>2026-04-13</t>
        </is>
      </c>
      <c r="G365" t="inlineStr">
        <is>
          <t xml:space="preserve"> - Beach Hostel</t>
        </is>
      </c>
      <c r="H365">
        <f>HYPERLINK("https://booking.roadsurfer.com/es/rally/pick?pickup_date=2026-04-06&amp;return_date=2026-04-13&amp;currency=EUR&amp;startStation=22&amp;endStation=60",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Austria</t>
        </is>
      </c>
      <c r="D366" t="inlineStr">
        <is>
          <t>Viena</t>
        </is>
      </c>
      <c r="E366" t="inlineStr">
        <is>
          <t>2026-04-01</t>
        </is>
      </c>
      <c r="F366" t="inlineStr">
        <is>
          <t>2026-04-08</t>
        </is>
      </c>
      <c r="G366" t="inlineStr">
        <is>
          <t xml:space="preserve"> - Surfer Suite</t>
        </is>
      </c>
      <c r="H366">
        <f>HYPERLINK("https://booking.roadsurfer.com/es/rally/pick?pickup_date=2026-04-01&amp;return_date=2026-04-08&amp;currency=EUR&amp;startStation=22&amp;endStation=36",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Austria</t>
        </is>
      </c>
      <c r="D367" t="inlineStr">
        <is>
          <t>Viena</t>
        </is>
      </c>
      <c r="E367" t="inlineStr">
        <is>
          <t>2026-04-08</t>
        </is>
      </c>
      <c r="F367" t="inlineStr">
        <is>
          <t>2026-04-15</t>
        </is>
      </c>
      <c r="G367" t="inlineStr">
        <is>
          <t xml:space="preserve"> - BEACH HOSTEL</t>
        </is>
      </c>
      <c r="H367">
        <f>HYPERLINK("https://booking.roadsurfer.com/es/rally/pick?pickup_date=2026-04-08&amp;return_date=2026-04-15&amp;currency=EUR&amp;startStation=22&amp;endStation=36",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2026-04-07</t>
        </is>
      </c>
      <c r="F368" t="inlineStr">
        <is>
          <t>2026-04-14</t>
        </is>
      </c>
      <c r="G368" t="inlineStr">
        <is>
          <t xml:space="preserve"> - CAMPER CABIN</t>
        </is>
      </c>
      <c r="H368">
        <f>HYPERLINK("https://booking.roadsurfer.com/es/rally/pick?pickup_date=2026-04-07&amp;return_date=2026-04-14&amp;currency=EUR&amp;startStation=22&amp;endStation=36",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Austria</t>
        </is>
      </c>
      <c r="D369" t="inlineStr">
        <is>
          <t>Viena Sur</t>
        </is>
      </c>
      <c r="E369" t="inlineStr">
        <is>
          <t>2026-04-08</t>
        </is>
      </c>
      <c r="F369" t="inlineStr">
        <is>
          <t>2026-04-15</t>
        </is>
      </c>
      <c r="G369" t="inlineStr">
        <is>
          <t xml:space="preserve"> - Surfer Suite</t>
        </is>
      </c>
      <c r="H369">
        <f>HYPERLINK("https://booking.roadsurfer.com/es/rally/pick?pickup_date=2026-04-08&amp;return_date=2026-04-15&amp;currency=EUR&amp;startStation=22&amp;endStation=45",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Austria</t>
        </is>
      </c>
      <c r="D370" t="inlineStr">
        <is>
          <t>Viena Sur</t>
        </is>
      </c>
      <c r="E370" t="inlineStr">
        <is>
          <t>2026-05-06</t>
        </is>
      </c>
      <c r="F370" t="inlineStr">
        <is>
          <t>2026-05-13</t>
        </is>
      </c>
      <c r="G370" t="inlineStr">
        <is>
          <t xml:space="preserve"> - Surfer Suite</t>
        </is>
      </c>
      <c r="H370">
        <f>HYPERLINK("https://booking.roadsurfer.com/es/rally/pick?pickup_date=2026-05-06&amp;return_date=2026-05-13&amp;currency=EUR&amp;startStation=22&amp;endStation=45",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Italia</t>
        </is>
      </c>
      <c r="D371" t="inlineStr">
        <is>
          <t>Bolonia</t>
        </is>
      </c>
      <c r="E371" t="inlineStr">
        <is>
          <t>2026-04-02</t>
        </is>
      </c>
      <c r="F371" t="inlineStr">
        <is>
          <t>2026-04-09</t>
        </is>
      </c>
      <c r="G371" t="inlineStr">
        <is>
          <t xml:space="preserve"> - Surfer Suite</t>
        </is>
      </c>
      <c r="H371">
        <f>HYPERLINK("https://booking.roadsurfer.com/es/rally/pick?pickup_date=2026-04-02&amp;return_date=2026-04-09&amp;currency=EUR&amp;startStation=22&amp;endStation=57",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Florencia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Road House</t>
        </is>
      </c>
      <c r="H372">
        <f>HYPERLINK("https://booking.roadsurfer.com/es/rally/pick?pickup_date=2026-04-30&amp;return_date=2026-05-07&amp;currency=EUR&amp;startStation=22&amp;endStation=80",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Italia</t>
        </is>
      </c>
      <c r="D373" t="inlineStr">
        <is>
          <t>Florencia</t>
        </is>
      </c>
      <c r="E373" t="inlineStr">
        <is>
          <t>2026-04-06</t>
        </is>
      </c>
      <c r="F373" t="inlineStr">
        <is>
          <t>2026-04-13</t>
        </is>
      </c>
      <c r="G373" t="inlineStr">
        <is>
          <t xml:space="preserve"> - Beach Hostel</t>
        </is>
      </c>
      <c r="H373">
        <f>HYPERLINK("https://booking.roadsurfer.com/es/rally/pick?pickup_date=2026-04-06&amp;return_date=2026-04-13&amp;currency=EUR&amp;startStation=22&amp;endStation=80",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Italia</t>
        </is>
      </c>
      <c r="D374" t="inlineStr">
        <is>
          <t>Turín</t>
        </is>
      </c>
      <c r="E374" t="inlineStr">
        <is>
          <t>2026-04-11</t>
        </is>
      </c>
      <c r="F374" t="inlineStr">
        <is>
          <t>2026-04-18</t>
        </is>
      </c>
      <c r="G374" t="inlineStr">
        <is>
          <t xml:space="preserve"> - No hay coche</t>
        </is>
      </c>
      <c r="H374">
        <f>HYPERLINK("https://booking.roadsurfer.com/es/rally/pick?pickup_date=2026-04-11&amp;return_date=2026-04-18&amp;currency=EUR&amp;startStation=22&amp;endStation=58",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Italia</t>
        </is>
      </c>
      <c r="D375" t="inlineStr">
        <is>
          <t>Turín</t>
        </is>
      </c>
      <c r="E375" t="inlineStr">
        <is>
          <t>2026-04-10</t>
        </is>
      </c>
      <c r="F375" t="inlineStr">
        <is>
          <t>2026-04-17</t>
        </is>
      </c>
      <c r="G375" t="inlineStr">
        <is>
          <t xml:space="preserve"> - Road House</t>
        </is>
      </c>
      <c r="H375">
        <f>HYPERLINK("https://booking.roadsurfer.com/es/rally/pick?pickup_date=2026-04-10&amp;return_date=2026-04-17&amp;currency=EUR&amp;startStation=22&amp;endStation=58",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Italia</t>
        </is>
      </c>
      <c r="D376" t="inlineStr">
        <is>
          <t>Venecia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Beach Hostel</t>
        </is>
      </c>
      <c r="H376">
        <f>HYPERLINK("https://booking.roadsurfer.com/es/rally/pick?pickup_date=2026-04-27&amp;return_date=2026-05-04&amp;currency=EUR&amp;startStation=22&amp;endStation=78",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Venecia</t>
        </is>
      </c>
      <c r="E377" t="inlineStr">
        <is>
          <t>2026-04-07</t>
        </is>
      </c>
      <c r="F377" t="inlineStr">
        <is>
          <t>2026-04-14</t>
        </is>
      </c>
      <c r="G377" t="inlineStr">
        <is>
          <t xml:space="preserve"> - Couple Cottage</t>
        </is>
      </c>
      <c r="H377">
        <f>HYPERLINK("https://booking.roadsurfer.com/es/rally/pick?pickup_date=2026-04-07&amp;return_date=2026-04-14&amp;currency=EUR&amp;startStation=22&amp;endStation=78",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2026-06-02</t>
        </is>
      </c>
      <c r="F378" t="inlineStr">
        <is>
          <t>2026-06-09</t>
        </is>
      </c>
      <c r="G378" t="inlineStr">
        <is>
          <t xml:space="preserve"> - Sunrise Suite</t>
        </is>
      </c>
      <c r="H378">
        <f>HYPERLINK("https://booking.roadsurfer.com/es/rally/pick?pickup_date=2026-06-02&amp;return_date=2026-06-09&amp;currency=EUR&amp;startStation=22&amp;endStation=78",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Lille</t>
        </is>
      </c>
      <c r="E379" t="inlineStr">
        <is>
          <t>2026-04-07</t>
        </is>
      </c>
      <c r="F379" t="inlineStr">
        <is>
          <t>2026-04-14</t>
        </is>
      </c>
      <c r="G379" t="inlineStr">
        <is>
          <t xml:space="preserve"> - Beach Hostel</t>
        </is>
      </c>
      <c r="H379">
        <f>HYPERLINK("https://booking.roadsurfer.com/es/rally/pick?pickup_date=2026-04-07&amp;return_date=2026-04-14&amp;currency=EUR&amp;startStation=22&amp;endStation=87",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Lille</t>
        </is>
      </c>
      <c r="E380" t="inlineStr">
        <is>
          <t>2026-04-01</t>
        </is>
      </c>
      <c r="F380" t="inlineStr">
        <is>
          <t>2026-04-08</t>
        </is>
      </c>
      <c r="G380" t="inlineStr">
        <is>
          <t xml:space="preserve"> - Beach Hostel</t>
        </is>
      </c>
      <c r="H380">
        <f>HYPERLINK("https://booking.roadsurfer.com/es/rally/pick?pickup_date=2026-04-01&amp;return_date=2026-04-08&amp;currency=EUR&amp;startStation=22&amp;endStation=87",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España</t>
        </is>
      </c>
      <c r="D381" t="inlineStr">
        <is>
          <t>Sevilla</t>
        </is>
      </c>
      <c r="E381" t="inlineStr">
        <is>
          <t>2026-04-09</t>
        </is>
      </c>
      <c r="F381" t="inlineStr">
        <is>
          <t>2026-04-16</t>
        </is>
      </c>
      <c r="G381" t="inlineStr">
        <is>
          <t xml:space="preserve"> - Road House</t>
        </is>
      </c>
      <c r="H381">
        <f>HYPERLINK("https://booking.roadsurfer.com/es/rally/pick?pickup_date=2026-04-09&amp;return_date=2026-04-16&amp;currency=EUR&amp;startStation=22&amp;endStation=39", "Clic para verlo en la web de RoadSurfer")</f>
        <v/>
      </c>
    </row>
    <row r="382">
      <c r="A382" t="inlineStr">
        <is>
          <t>Italia</t>
        </is>
      </c>
      <c r="B382" t="inlineStr">
        <is>
          <t>Milán</t>
        </is>
      </c>
      <c r="C382" t="inlineStr">
        <is>
          <t>Alemania</t>
        </is>
      </c>
      <c r="D382" t="inlineStr">
        <is>
          <t>Wurzburgo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No hay coche</t>
        </is>
      </c>
      <c r="H382">
        <f>HYPERLINK("https://booking.roadsurfer.com/es/rally/pick?pickup_date=2026-05-04&amp;return_date=2026-05-11&amp;currency=EUR&amp;startStation=34&amp;endStation=115",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Surfer Suite</t>
        </is>
      </c>
      <c r="H383">
        <f>HYPERLINK("https://booking.roadsurfer.com/es/rally/pick?pickup_date=2026-04-13&amp;return_date=2026-04-20&amp;currency=EUR&amp;startStation=1&amp;endStation=37",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Francia</t>
        </is>
      </c>
      <c r="D384" t="inlineStr">
        <is>
          <t>Niza</t>
        </is>
      </c>
      <c r="E384" t="inlineStr">
        <is>
          <t>2026-04-23</t>
        </is>
      </c>
      <c r="F384" t="inlineStr">
        <is>
          <t>2026-04-30</t>
        </is>
      </c>
      <c r="G384" t="inlineStr">
        <is>
          <t xml:space="preserve"> - Surfer Suite</t>
        </is>
      </c>
      <c r="H384">
        <f>HYPERLINK("https://booking.roadsurfer.com/es/rally/pick?pickup_date=2026-04-23&amp;return_date=2026-04-30&amp;currency=EUR&amp;startStation=1&amp;endStation=88",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2026-04-15</t>
        </is>
      </c>
      <c r="F385" t="inlineStr">
        <is>
          <t>2026-04-22</t>
        </is>
      </c>
      <c r="G385" t="inlineStr">
        <is>
          <t xml:space="preserve"> - Camper Cabin</t>
        </is>
      </c>
      <c r="H385">
        <f>HYPERLINK("https://booking.roadsurfer.com/es/rally/pick?pickup_date=2026-04-15&amp;return_date=2026-04-22&amp;currency=EUR&amp;startStation=1&amp;endStation=40",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2026-03-31</t>
        </is>
      </c>
      <c r="F386" t="inlineStr">
        <is>
          <t>2026-04-07</t>
        </is>
      </c>
      <c r="G386" t="inlineStr">
        <is>
          <t xml:space="preserve"> - Road House</t>
        </is>
      </c>
      <c r="H386">
        <f>HYPERLINK("https://booking.roadsurfer.com/es/rally/pick?pickup_date=2026-03-31&amp;return_date=2026-04-07&amp;currency=EUR&amp;startStation=1&amp;endStation=20",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2026-04-16</t>
        </is>
      </c>
      <c r="F387" t="inlineStr">
        <is>
          <t>2026-04-23</t>
        </is>
      </c>
      <c r="G387" t="inlineStr">
        <is>
          <t xml:space="preserve"> - Camper Castle</t>
        </is>
      </c>
      <c r="H387">
        <f>HYPERLINK("https://booking.roadsurfer.com/es/rally/pick?pickup_date=2026-04-16&amp;return_date=2026-04-23&amp;currency=EUR&amp;startStation=1&amp;endStation=31", "Clic para verlo en la web de RoadSurfer")</f>
        <v/>
      </c>
    </row>
    <row r="388">
      <c r="A388" t="inlineStr">
        <is>
          <t>Alemania</t>
        </is>
      </c>
      <c r="B388" t="inlineStr">
        <is>
          <t>Múnich</t>
        </is>
      </c>
      <c r="C388" t="inlineStr">
        <is>
          <t>Austria</t>
        </is>
      </c>
      <c r="D388" t="inlineStr">
        <is>
          <t>Viena Sur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Camper Castle</t>
        </is>
      </c>
      <c r="H388">
        <f>HYPERLINK("https://booking.roadsurfer.com/es/rally/pick?pickup_date=2026-04-13&amp;return_date=2026-04-20&amp;currency=EUR&amp;startStation=1&amp;endStation=45", "Clic para verlo en la web de RoadSurfer")</f>
        <v/>
      </c>
    </row>
    <row r="389">
      <c r="A389" t="inlineStr">
        <is>
          <t>Alemania</t>
        </is>
      </c>
      <c r="B389" t="inlineStr">
        <is>
          <t>Múnich</t>
        </is>
      </c>
      <c r="C389" t="inlineStr">
        <is>
          <t>Francia</t>
        </is>
      </c>
      <c r="D389" t="inlineStr">
        <is>
          <t>Lille</t>
        </is>
      </c>
      <c r="E389" t="inlineStr">
        <is>
          <t>2026-04-09</t>
        </is>
      </c>
      <c r="F389" t="inlineStr">
        <is>
          <t>2026-04-16</t>
        </is>
      </c>
      <c r="G389" t="inlineStr">
        <is>
          <t xml:space="preserve"> - COZY COTTAGE</t>
        </is>
      </c>
      <c r="H389">
        <f>HYPERLINK("https://booking.roadsurfer.com/es/rally/pick?pickup_date=2026-04-09&amp;return_date=2026-04-16&amp;currency=EUR&amp;startStation=1&amp;endStation=87", "Clic para verlo en la web de RoadSurfer")</f>
        <v/>
      </c>
    </row>
    <row r="390">
      <c r="A390" t="inlineStr">
        <is>
          <t>Alemania</t>
        </is>
      </c>
      <c r="B390" t="inlineStr">
        <is>
          <t>Múnich</t>
        </is>
      </c>
      <c r="C390" t="inlineStr">
        <is>
          <t>Francia</t>
        </is>
      </c>
      <c r="D390" t="inlineStr">
        <is>
          <t>Lille</t>
        </is>
      </c>
      <c r="E390" t="inlineStr">
        <is>
          <t>2026-04-27</t>
        </is>
      </c>
      <c r="F390" t="inlineStr">
        <is>
          <t>2026-05-04</t>
        </is>
      </c>
      <c r="G390" t="inlineStr">
        <is>
          <t xml:space="preserve"> - Family Finca</t>
        </is>
      </c>
      <c r="H390">
        <f>HYPERLINK("https://booking.roadsurfer.com/es/rally/pick?pickup_date=2026-04-27&amp;return_date=2026-05-04&amp;currency=EUR&amp;startStation=1&amp;endStation=87", "Clic para verlo en la web de RoadSurfer")</f>
        <v/>
      </c>
    </row>
    <row r="391">
      <c r="A391" t="inlineStr">
        <is>
          <t>Alemania</t>
        </is>
      </c>
      <c r="B391" t="inlineStr">
        <is>
          <t>Múnich</t>
        </is>
      </c>
      <c r="C391" t="inlineStr">
        <is>
          <t>Francia</t>
        </is>
      </c>
      <c r="D391" t="inlineStr">
        <is>
          <t>París Sur (Orly)</t>
        </is>
      </c>
      <c r="E391" t="inlineStr">
        <is>
          <t>2026-04-08</t>
        </is>
      </c>
      <c r="F391" t="inlineStr">
        <is>
          <t>2026-04-15</t>
        </is>
      </c>
      <c r="G391" t="inlineStr">
        <is>
          <t xml:space="preserve"> - Family Finca</t>
        </is>
      </c>
      <c r="H391">
        <f>HYPERLINK("https://booking.roadsurfer.com/es/rally/pick?pickup_date=2026-04-08&amp;return_date=2026-04-15&amp;currency=EUR&amp;startStation=1&amp;endStation=12", "Clic para verlo en la web de RoadSurfer")</f>
        <v/>
      </c>
    </row>
    <row r="392">
      <c r="A392" t="inlineStr">
        <is>
          <t>Alemania</t>
        </is>
      </c>
      <c r="B392" t="inlineStr">
        <is>
          <t>Múnich</t>
        </is>
      </c>
      <c r="C392" t="inlineStr">
        <is>
          <t>Francia</t>
        </is>
      </c>
      <c r="D392" t="inlineStr">
        <is>
          <t>París Sur (Orly)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Sunrise Suite</t>
        </is>
      </c>
      <c r="H392">
        <f>HYPERLINK("https://booking.roadsurfer.com/es/rally/pick?pickup_date=2026-04-20&amp;return_date=2026-04-27&amp;currency=EUR&amp;startStation=1&amp;endStation=12", "Clic para verlo en la web de RoadSurfer")</f>
        <v/>
      </c>
    </row>
    <row r="393">
      <c r="A393" t="inlineStr">
        <is>
          <t>Alemania</t>
        </is>
      </c>
      <c r="B393" t="inlineStr">
        <is>
          <t>Múnich</t>
        </is>
      </c>
      <c r="C393" t="inlineStr">
        <is>
          <t>Bélgica</t>
        </is>
      </c>
      <c r="D393" t="inlineStr">
        <is>
          <t>Bruselas</t>
        </is>
      </c>
      <c r="E393" t="inlineStr">
        <is>
          <t>2026-04-27</t>
        </is>
      </c>
      <c r="F393" t="inlineStr">
        <is>
          <t>2026-05-04</t>
        </is>
      </c>
      <c r="G393" t="inlineStr">
        <is>
          <t xml:space="preserve"> - Family Finca</t>
        </is>
      </c>
      <c r="H393">
        <f>HYPERLINK("https://booking.roadsurfer.com/es/rally/pick?pickup_date=2026-04-27&amp;return_date=2026-05-04&amp;currency=EUR&amp;startStation=1&amp;endStation=42", "Clic para verlo en la web de RoadSurfer")</f>
        <v/>
      </c>
    </row>
    <row r="394">
      <c r="A394" t="inlineStr">
        <is>
          <t>Alemania</t>
        </is>
      </c>
      <c r="B394" t="inlineStr">
        <is>
          <t>Múnich</t>
        </is>
      </c>
      <c r="C394" t="inlineStr">
        <is>
          <t>Francia</t>
        </is>
      </c>
      <c r="D394" t="inlineStr">
        <is>
          <t>Burdeos</t>
        </is>
      </c>
      <c r="E394" t="inlineStr">
        <is>
          <t>2026-04-17</t>
        </is>
      </c>
      <c r="F394" t="inlineStr">
        <is>
          <t>2026-04-24</t>
        </is>
      </c>
      <c r="G394" t="inlineStr">
        <is>
          <t xml:space="preserve"> - Sunrise Suite</t>
        </is>
      </c>
      <c r="H394">
        <f>HYPERLINK("https://booking.roadsurfer.com/es/rally/pick?pickup_date=2026-04-17&amp;return_date=2026-04-24&amp;currency=EUR&amp;startStation=1&amp;endStation=13", "Clic para verlo en la web de RoadSurfer")</f>
        <v/>
      </c>
    </row>
    <row r="395">
      <c r="A395" t="inlineStr">
        <is>
          <t>Francia</t>
        </is>
      </c>
      <c r="B395" t="inlineStr">
        <is>
          <t>Nantes</t>
        </is>
      </c>
      <c r="C395" t="inlineStr">
        <is>
          <t>Alemania</t>
        </is>
      </c>
      <c r="D395" t="inlineStr">
        <is>
          <t>Colonia-Düsseldorf</t>
        </is>
      </c>
      <c r="E395" t="inlineStr">
        <is>
          <t>2026-04-04</t>
        </is>
      </c>
      <c r="F395" t="inlineStr">
        <is>
          <t>2026-04-11</t>
        </is>
      </c>
      <c r="G395" t="inlineStr">
        <is>
          <t xml:space="preserve"> - Surfer Suite</t>
        </is>
      </c>
      <c r="H395">
        <f>HYPERLINK("https://booking.roadsurfer.com/es/rally/pick?pickup_date=2026-04-04&amp;return_date=2026-04-11&amp;currency=EUR&amp;startStation=31&amp;endStation=4", "Clic para verlo en la web de RoadSurfer")</f>
        <v/>
      </c>
    </row>
    <row r="396">
      <c r="A396" t="inlineStr">
        <is>
          <t>Francia</t>
        </is>
      </c>
      <c r="B396" t="inlineStr">
        <is>
          <t>Nantes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2026-04-04</t>
        </is>
      </c>
      <c r="F396" t="inlineStr">
        <is>
          <t>2026-04-11</t>
        </is>
      </c>
      <c r="G396" t="inlineStr">
        <is>
          <t xml:space="preserve"> - No hay coche</t>
        </is>
      </c>
      <c r="H396">
        <f>HYPERLINK("https://booking.roadsurfer.com/es/rally/pick?pickup_date=2026-04-04&amp;return_date=2026-04-11&amp;currency=EUR&amp;startStation=31&amp;endStation=22", "Clic para verlo en la web de RoadSurfer")</f>
        <v/>
      </c>
    </row>
    <row r="397">
      <c r="A397" t="inlineStr">
        <is>
          <t>Francia</t>
        </is>
      </c>
      <c r="B397" t="inlineStr">
        <is>
          <t>Nantes</t>
        </is>
      </c>
      <c r="C397" t="inlineStr">
        <is>
          <t>Alemania</t>
        </is>
      </c>
      <c r="D397" t="inlineStr">
        <is>
          <t>Bielefeld</t>
        </is>
      </c>
      <c r="E397" t="inlineStr">
        <is>
          <t>2026-04-07</t>
        </is>
      </c>
      <c r="F397" t="inlineStr">
        <is>
          <t>2026-04-14</t>
        </is>
      </c>
      <c r="G397" t="inlineStr">
        <is>
          <t xml:space="preserve"> - Beach Hostel</t>
        </is>
      </c>
      <c r="H397">
        <f>HYPERLINK("https://booking.roadsurfer.com/es/rally/pick?pickup_date=2026-04-07&amp;return_date=2026-04-14&amp;currency=EUR&amp;startStation=31&amp;endStation=91", "Clic para verlo en la web de RoadSurfer")</f>
        <v/>
      </c>
    </row>
    <row r="398">
      <c r="A398" t="inlineStr">
        <is>
          <t>Francia</t>
        </is>
      </c>
      <c r="B398" t="inlineStr">
        <is>
          <t>Nantes</t>
        </is>
      </c>
      <c r="C398" t="inlineStr">
        <is>
          <t>Alemania</t>
        </is>
      </c>
      <c r="D398" t="inlineStr">
        <is>
          <t>Ulm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Beach Hostel</t>
        </is>
      </c>
      <c r="H398">
        <f>HYPERLINK("https://booking.roadsurfer.com/es/rally/pick?pickup_date=2026-04-14&amp;return_date=2026-04-21&amp;currency=EUR&amp;startStation=31&amp;endStation=112", "Clic para verlo en la web de RoadSurfer")</f>
        <v/>
      </c>
    </row>
    <row r="399">
      <c r="A399" t="inlineStr">
        <is>
          <t>Francia</t>
        </is>
      </c>
      <c r="B399" t="inlineStr">
        <is>
          <t>Nantes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2026-04-10</t>
        </is>
      </c>
      <c r="F399" t="inlineStr">
        <is>
          <t>2026-04-17</t>
        </is>
      </c>
      <c r="G399" t="inlineStr">
        <is>
          <t xml:space="preserve"> - Beach Hostel</t>
        </is>
      </c>
      <c r="H399">
        <f>HYPERLINK("https://booking.roadsurfer.com/es/rally/pick?pickup_date=2026-04-10&amp;return_date=2026-04-17&amp;currency=EUR&amp;startStation=31&amp;endStation=5", "Clic para verlo en la web de RoadSurfer")</f>
        <v/>
      </c>
    </row>
    <row r="400">
      <c r="A400" t="inlineStr">
        <is>
          <t>Francia</t>
        </is>
      </c>
      <c r="B400" t="inlineStr">
        <is>
          <t>Nantes</t>
        </is>
      </c>
      <c r="C400" t="inlineStr">
        <is>
          <t>Alemania</t>
        </is>
      </c>
      <c r="D400" t="inlineStr">
        <is>
          <t>Kiel</t>
        </is>
      </c>
      <c r="E400" t="inlineStr">
        <is>
          <t>2026-04-04</t>
        </is>
      </c>
      <c r="F400" t="inlineStr">
        <is>
          <t>2026-04-11</t>
        </is>
      </c>
      <c r="G400" t="inlineStr">
        <is>
          <t xml:space="preserve"> - Camper Cabin</t>
        </is>
      </c>
      <c r="H400">
        <f>HYPERLINK("https://booking.roadsurfer.com/es/rally/pick?pickup_date=2026-04-04&amp;return_date=2026-04-11&amp;currency=EUR&amp;startStation=31&amp;endStation=111", "Clic para verlo en la web de RoadSurfer")</f>
        <v/>
      </c>
    </row>
    <row r="401">
      <c r="A401" t="inlineStr">
        <is>
          <t>Francia</t>
        </is>
      </c>
      <c r="B401" t="inlineStr">
        <is>
          <t>Niza</t>
        </is>
      </c>
      <c r="C401" t="inlineStr">
        <is>
          <t>Alemania</t>
        </is>
      </c>
      <c r="D401" t="inlineStr">
        <is>
          <t>Tréveris</t>
        </is>
      </c>
      <c r="E401" t="inlineStr">
        <is>
          <t>2026-04-23</t>
        </is>
      </c>
      <c r="F401" t="inlineStr">
        <is>
          <t>2026-04-30</t>
        </is>
      </c>
      <c r="G401" t="inlineStr">
        <is>
          <t xml:space="preserve"> - Road House</t>
        </is>
      </c>
      <c r="H401">
        <f>HYPERLINK("https://booking.roadsurfer.com/es/rally/pick?pickup_date=2026-04-23&amp;return_date=2026-04-30&amp;currency=EUR&amp;startStation=88&amp;endStation=28", "Clic para verlo en la web de RoadSurfer")</f>
        <v/>
      </c>
    </row>
    <row r="402">
      <c r="A402" t="inlineStr">
        <is>
          <t>Alemania</t>
        </is>
      </c>
      <c r="B402" t="inlineStr">
        <is>
          <t>Núremberg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Surfer Suite</t>
        </is>
      </c>
      <c r="H402">
        <f>HYPERLINK("https://booking.roadsurfer.com/es/rally/pick?pickup_date=2026-04-13&amp;return_date=2026-04-20&amp;currency=EUR&amp;startStation=11&amp;endStation=116", "Clic para verlo en la web de RoadSurfer")</f>
        <v/>
      </c>
    </row>
    <row r="403">
      <c r="A403" t="inlineStr">
        <is>
          <t>Alemania</t>
        </is>
      </c>
      <c r="B403" t="inlineStr">
        <is>
          <t>Núremberg</t>
        </is>
      </c>
      <c r="C403" t="inlineStr">
        <is>
          <t>Francia</t>
        </is>
      </c>
      <c r="D403" t="inlineStr">
        <is>
          <t>Toulouse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Camper Castle</t>
        </is>
      </c>
      <c r="H403">
        <f>HYPERLINK("https://booking.roadsurfer.com/es/rally/pick?pickup_date=2026-04-20&amp;return_date=2026-04-27&amp;currency=EUR&amp;startStation=11&amp;endStation=30", "Clic para verlo en la web de RoadSurfer")</f>
        <v/>
      </c>
    </row>
    <row r="404">
      <c r="A404" t="inlineStr">
        <is>
          <t>Francia</t>
        </is>
      </c>
      <c r="B404" t="inlineStr">
        <is>
          <t>París Sur (Orly)</t>
        </is>
      </c>
      <c r="C404" t="inlineStr">
        <is>
          <t>Alemania</t>
        </is>
      </c>
      <c r="D404" t="inlineStr">
        <is>
          <t>Berlín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Surfer Suite</t>
        </is>
      </c>
      <c r="H404">
        <f>HYPERLINK("https://booking.roadsurfer.com/es/rally/pick?pickup_date=2026-04-20&amp;return_date=2026-04-27&amp;currency=EUR&amp;startStation=12&amp;endStation=6", "Clic para verlo en la web de RoadSurfer")</f>
        <v/>
      </c>
    </row>
    <row r="405">
      <c r="A405" t="inlineStr">
        <is>
          <t>Francia</t>
        </is>
      </c>
      <c r="B405" t="inlineStr">
        <is>
          <t>París Sur (Orly)</t>
        </is>
      </c>
      <c r="C405" t="inlineStr">
        <is>
          <t>Alemania</t>
        </is>
      </c>
      <c r="D405" t="inlineStr">
        <is>
          <t>Aquisgrán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Cabin</t>
        </is>
      </c>
      <c r="H405">
        <f>HYPERLINK("https://booking.roadsurfer.com/es/rally/pick?pickup_date=2026-05-04&amp;return_date=2026-05-11&amp;currency=EUR&amp;startStation=12&amp;endStation=114", "Clic para verlo en la web de RoadSurfer")</f>
        <v/>
      </c>
    </row>
    <row r="406">
      <c r="A406" t="inlineStr">
        <is>
          <t>Francia</t>
        </is>
      </c>
      <c r="B406" t="inlineStr">
        <is>
          <t>París Sur (Orly)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Camper Cabin</t>
        </is>
      </c>
      <c r="H406">
        <f>HYPERLINK("https://booking.roadsurfer.com/es/rally/pick?pickup_date=2026-05-04&amp;return_date=2026-05-11&amp;currency=EUR&amp;startStation=12&amp;endStation=110", "Clic para verlo en la web de RoadSurfer")</f>
        <v/>
      </c>
    </row>
    <row r="407">
      <c r="A407" t="inlineStr">
        <is>
          <t>Francia</t>
        </is>
      </c>
      <c r="B407" t="inlineStr">
        <is>
          <t>París Aeropuerto CDG</t>
        </is>
      </c>
      <c r="C407" t="inlineStr">
        <is>
          <t>Alemania</t>
        </is>
      </c>
      <c r="D407" t="inlineStr">
        <is>
          <t>Aquisgrán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HYPERLINK("https://booking.roadsurfer.com/es/rally/pick?pickup_date=2026-05-04&amp;return_date=2026-05-11&amp;currency=EUR&amp;startStation=48&amp;endStation=114", "Clic para verlo en la web de RoadSurfer")</f>
        <v/>
      </c>
    </row>
    <row r="408">
      <c r="A408" t="inlineStr">
        <is>
          <t>Francia</t>
        </is>
      </c>
      <c r="B408" t="inlineStr">
        <is>
          <t>París Aeropuerto CDG</t>
        </is>
      </c>
      <c r="C408" t="inlineStr">
        <is>
          <t>Francia</t>
        </is>
      </c>
      <c r="D408" t="inlineStr">
        <is>
          <t>Aix-Marsella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Couple Cottage</t>
        </is>
      </c>
      <c r="H408">
        <f>HYPERLINK("https://booking.roadsurfer.com/es/rally/pick?pickup_date=2026-04-20&amp;return_date=2026-04-27&amp;currency=EUR&amp;startStation=48&amp;endStation=16", "Clic para verlo en la web de RoadSurfer")</f>
        <v/>
      </c>
    </row>
    <row r="409">
      <c r="A409" t="inlineStr">
        <is>
          <t>Alemania</t>
        </is>
      </c>
      <c r="B409" t="inlineStr">
        <is>
          <t>Ratisbona</t>
        </is>
      </c>
      <c r="C409" t="inlineStr">
        <is>
          <t>Alemania</t>
        </is>
      </c>
      <c r="D409" t="inlineStr">
        <is>
          <t>Karlsruhe</t>
        </is>
      </c>
      <c r="E409" t="inlineStr">
        <is>
          <t>2026-04-27</t>
        </is>
      </c>
      <c r="F409" t="inlineStr">
        <is>
          <t>2026-05-04</t>
        </is>
      </c>
      <c r="G409" t="inlineStr">
        <is>
          <t xml:space="preserve"> - Surfer Suite</t>
        </is>
      </c>
      <c r="H409">
        <f>HYPERLINK("https://booking.roadsurfer.com/es/rally/pick?pickup_date=2026-04-27&amp;return_date=2026-05-04&amp;currency=EUR&amp;startStation=89&amp;endStation=110", "Clic para verlo en la web de RoadSurfer")</f>
        <v/>
      </c>
    </row>
    <row r="410">
      <c r="A410" t="inlineStr">
        <is>
          <t>Austria</t>
        </is>
      </c>
      <c r="B410" t="inlineStr">
        <is>
          <t>Salzburgo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2026-04-09</t>
        </is>
      </c>
      <c r="F410" t="inlineStr">
        <is>
          <t>2026-04-16</t>
        </is>
      </c>
      <c r="G410" t="inlineStr">
        <is>
          <t xml:space="preserve"> - Cozy Cottage</t>
        </is>
      </c>
      <c r="H410">
        <f>HYPERLINK("https://booking.roadsurfer.com/es/rally/pick?pickup_date=2026-04-09&amp;return_date=2026-04-16&amp;currency=EUR&amp;startStation=85&amp;endStation=52",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Karlsruhe</t>
        </is>
      </c>
      <c r="E411" t="inlineStr">
        <is>
          <t>2026-04-14</t>
        </is>
      </c>
      <c r="F411" t="inlineStr">
        <is>
          <t>2026-04-21</t>
        </is>
      </c>
      <c r="G411" t="inlineStr">
        <is>
          <t xml:space="preserve"> - Camper Castle</t>
        </is>
      </c>
      <c r="H411">
        <f>HYPERLINK("https://booking.roadsurfer.com/es/rally/pick?pickup_date=2026-04-14&amp;return_date=2026-04-21&amp;currency=EUR&amp;startStation=59&amp;endStation=110",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Karlsruhe</t>
        </is>
      </c>
      <c r="E412" t="inlineStr">
        <is>
          <t>2026-04-01</t>
        </is>
      </c>
      <c r="F412" t="inlineStr">
        <is>
          <t>2026-04-08</t>
        </is>
      </c>
      <c r="G412" t="inlineStr">
        <is>
          <t xml:space="preserve"> - Camper Castle</t>
        </is>
      </c>
      <c r="H412">
        <f>HYPERLINK("https://booking.roadsurfer.com/es/rally/pick?pickup_date=2026-04-01&amp;return_date=2026-04-08&amp;currency=EUR&amp;startStation=59&amp;endStation=110",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2026-03-31</t>
        </is>
      </c>
      <c r="F413" t="inlineStr">
        <is>
          <t>2026-04-07</t>
        </is>
      </c>
      <c r="G413" t="inlineStr">
        <is>
          <t xml:space="preserve"> - Surfer Suite</t>
        </is>
      </c>
      <c r="H413">
        <f>HYPERLINK("https://booking.roadsurfer.com/es/rally/pick?pickup_date=2026-03-31&amp;return_date=2026-04-07&amp;currency=EUR&amp;startStation=59&amp;endStation=110",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Bochum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</t>
        </is>
      </c>
      <c r="H414">
        <f>HYPERLINK("https://booking.roadsurfer.com/es/rally/pick?pickup_date=2026-04-02&amp;return_date=2026-04-09&amp;currency=EUR&amp;startStation=59&amp;endStation=24",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2026-04-08</t>
        </is>
      </c>
      <c r="F415" t="inlineStr">
        <is>
          <t>2026-04-15</t>
        </is>
      </c>
      <c r="G415" t="inlineStr">
        <is>
          <t xml:space="preserve"> - Beach Hostel</t>
        </is>
      </c>
      <c r="H415">
        <f>HYPERLINK("https://booking.roadsurfer.com/es/rally/pick?pickup_date=2026-04-08&amp;return_date=2026-04-15&amp;currency=EUR&amp;startStation=59&amp;endStation=6",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2026-04-10</t>
        </is>
      </c>
      <c r="F416" t="inlineStr">
        <is>
          <t>2026-04-17</t>
        </is>
      </c>
      <c r="G416" t="inlineStr">
        <is>
          <t xml:space="preserve"> - Surfer Suite</t>
        </is>
      </c>
      <c r="H416">
        <f>HYPERLINK("https://booking.roadsurfer.com/es/rally/pick?pickup_date=2026-04-10&amp;return_date=2026-04-17&amp;currency=EUR&amp;startStation=59&amp;endStation=6",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Ratisbona</t>
        </is>
      </c>
      <c r="E417" t="inlineStr">
        <is>
          <t>2026-04-08</t>
        </is>
      </c>
      <c r="F417" t="inlineStr">
        <is>
          <t>2026-04-15</t>
        </is>
      </c>
      <c r="G417" t="inlineStr">
        <is>
          <t xml:space="preserve"> - No hay coche</t>
        </is>
      </c>
      <c r="H417">
        <f>HYPERLINK("https://booking.roadsurfer.com/es/rally/pick?pickup_date=2026-04-08&amp;return_date=2026-04-15&amp;currency=EUR&amp;startStation=59&amp;endStation=89",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Ratisbona</t>
        </is>
      </c>
      <c r="E418" t="inlineStr">
        <is>
          <t>2026-04-07</t>
        </is>
      </c>
      <c r="F418" t="inlineStr">
        <is>
          <t>2026-04-14</t>
        </is>
      </c>
      <c r="G418" t="inlineStr">
        <is>
          <t xml:space="preserve"> - Surfer Suite</t>
        </is>
      </c>
      <c r="H418">
        <f>HYPERLINK("https://booking.roadsurfer.com/es/rally/pick?pickup_date=2026-04-07&amp;return_date=2026-04-14&amp;currency=EUR&amp;startStation=59&amp;endStation=89",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2026-04-13</t>
        </is>
      </c>
      <c r="F419" t="inlineStr">
        <is>
          <t>2026-04-20</t>
        </is>
      </c>
      <c r="G419" t="inlineStr">
        <is>
          <t xml:space="preserve"> - Surfer Suite</t>
        </is>
      </c>
      <c r="H419">
        <f>HYPERLINK("https://booking.roadsurfer.com/es/rally/pick?pickup_date=2026-04-13&amp;return_date=2026-04-20&amp;currency=EUR&amp;startStation=59&amp;endStation=54",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2026-04-02</t>
        </is>
      </c>
      <c r="F420" t="inlineStr">
        <is>
          <t>2026-04-09</t>
        </is>
      </c>
      <c r="G420" t="inlineStr">
        <is>
          <t xml:space="preserve"> - Surfer Suite - Camper Castle</t>
        </is>
      </c>
      <c r="H420">
        <f>HYPERLINK("https://booking.roadsurfer.com/es/rally/pick?pickup_date=2026-04-02&amp;return_date=2026-04-09&amp;currency=EUR&amp;startStation=59&amp;endStation=22",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Núremberg</t>
        </is>
      </c>
      <c r="E421" t="inlineStr">
        <is>
          <t>2026-04-02</t>
        </is>
      </c>
      <c r="F421" t="inlineStr">
        <is>
          <t>2026-04-09</t>
        </is>
      </c>
      <c r="G421" t="inlineStr">
        <is>
          <t xml:space="preserve"> - Surfer Suite</t>
        </is>
      </c>
      <c r="H421">
        <f>HYPERLINK("https://booking.roadsurfer.com/es/rally/pick?pickup_date=2026-04-02&amp;return_date=2026-04-09&amp;currency=EUR&amp;startStation=59&amp;endStation=11",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2026-04-07</t>
        </is>
      </c>
      <c r="F422" t="inlineStr">
        <is>
          <t>2026-04-14</t>
        </is>
      </c>
      <c r="G422" t="inlineStr">
        <is>
          <t xml:space="preserve"> - Surfer Suite</t>
        </is>
      </c>
      <c r="H422">
        <f>HYPERLINK("https://booking.roadsurfer.com/es/rally/pick?pickup_date=2026-04-07&amp;return_date=2026-04-14&amp;currency=EUR&amp;startStation=59&amp;endStation=11",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Couple Cottage</t>
        </is>
      </c>
      <c r="H423">
        <f>HYPERLINK("https://booking.roadsurfer.com/es/rally/pick?pickup_date=2026-04-14&amp;return_date=2026-04-21&amp;currency=EUR&amp;startStation=59&amp;endStation=90",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2026-04-02</t>
        </is>
      </c>
      <c r="F424" t="inlineStr">
        <is>
          <t>2026-04-09</t>
        </is>
      </c>
      <c r="G424" t="inlineStr">
        <is>
          <t xml:space="preserve"> - Sunrise Suite</t>
        </is>
      </c>
      <c r="H424">
        <f>HYPERLINK("https://booking.roadsurfer.com/es/rally/pick?pickup_date=2026-04-02&amp;return_date=2026-04-09&amp;currency=EUR&amp;startStation=59&amp;endStation=90",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2026-04-16</t>
        </is>
      </c>
      <c r="F425" t="inlineStr">
        <is>
          <t>2026-04-23</t>
        </is>
      </c>
      <c r="G425" t="inlineStr">
        <is>
          <t xml:space="preserve"> - Road House</t>
        </is>
      </c>
      <c r="H425">
        <f>HYPERLINK("https://booking.roadsurfer.com/es/rally/pick?pickup_date=2026-04-16&amp;return_date=2026-04-23&amp;currency=EUR&amp;startStation=59&amp;endStation=90",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2026-04-08</t>
        </is>
      </c>
      <c r="F426" t="inlineStr">
        <is>
          <t>2026-04-15</t>
        </is>
      </c>
      <c r="G426" t="inlineStr">
        <is>
          <t xml:space="preserve"> - Road House</t>
        </is>
      </c>
      <c r="H426">
        <f>HYPERLINK("https://booking.roadsurfer.com/es/rally/pick?pickup_date=2026-04-08&amp;return_date=2026-04-15&amp;currency=EUR&amp;startStation=59&amp;endStation=90",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2026-04-09</t>
        </is>
      </c>
      <c r="F427" t="inlineStr">
        <is>
          <t>2026-04-16</t>
        </is>
      </c>
      <c r="G427" t="inlineStr">
        <is>
          <t xml:space="preserve"> - Surfer Suite</t>
        </is>
      </c>
      <c r="H427">
        <f>HYPERLINK("https://booking.roadsurfer.com/es/rally/pick?pickup_date=2026-04-09&amp;return_date=2026-04-16&amp;currency=EUR&amp;startStation=59&amp;endStation=90",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Bielefeld</t>
        </is>
      </c>
      <c r="E428" t="inlineStr">
        <is>
          <t>2026-04-14</t>
        </is>
      </c>
      <c r="F428" t="inlineStr">
        <is>
          <t>2026-04-21</t>
        </is>
      </c>
      <c r="G428" t="inlineStr">
        <is>
          <t xml:space="preserve"> - Road House</t>
        </is>
      </c>
      <c r="H428">
        <f>HYPERLINK("https://booking.roadsurfer.com/es/rally/pick?pickup_date=2026-04-14&amp;return_date=2026-04-21&amp;currency=EUR&amp;startStation=59&amp;endStation=91",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2026-04-22</t>
        </is>
      </c>
      <c r="F429" t="inlineStr">
        <is>
          <t>2026-04-29</t>
        </is>
      </c>
      <c r="G429" t="inlineStr">
        <is>
          <t xml:space="preserve"> - Beach Hostel</t>
        </is>
      </c>
      <c r="H429">
        <f>HYPERLINK("https://booking.roadsurfer.com/es/rally/pick?pickup_date=2026-04-22&amp;return_date=2026-04-29&amp;currency=EUR&amp;startStation=59&amp;endStation=91",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Sunrise Suite</t>
        </is>
      </c>
      <c r="H430">
        <f>HYPERLINK("https://booking.roadsurfer.com/es/rally/pick?pickup_date=2026-05-04&amp;return_date=2026-05-11&amp;currency=EUR&amp;startStation=59&amp;endStation=91",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2026-04-06</t>
        </is>
      </c>
      <c r="F431" t="inlineStr">
        <is>
          <t>2026-04-13</t>
        </is>
      </c>
      <c r="G431" t="inlineStr">
        <is>
          <t xml:space="preserve"> - No hay coche</t>
        </is>
      </c>
      <c r="H431">
        <f>HYPERLINK("https://booking.roadsurfer.com/es/rally/pick?pickup_date=2026-04-06&amp;return_date=2026-04-13&amp;currency=EUR&amp;startStation=59&amp;endStation=91",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2026-04-13</t>
        </is>
      </c>
      <c r="F432" t="inlineStr">
        <is>
          <t>2026-04-20</t>
        </is>
      </c>
      <c r="G432" t="inlineStr">
        <is>
          <t xml:space="preserve"> - Road House</t>
        </is>
      </c>
      <c r="H432">
        <f>HYPERLINK("https://booking.roadsurfer.com/es/rally/pick?pickup_date=2026-04-13&amp;return_date=2026-04-20&amp;currency=EUR&amp;startStation=59&amp;endStation=91",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2026-04-15</t>
        </is>
      </c>
      <c r="F433" t="inlineStr">
        <is>
          <t>2026-04-22</t>
        </is>
      </c>
      <c r="G433" t="inlineStr">
        <is>
          <t xml:space="preserve"> - BEACH HOSTEL</t>
        </is>
      </c>
      <c r="H433">
        <f>HYPERLINK("https://booking.roadsurfer.com/es/rally/pick?pickup_date=2026-04-15&amp;return_date=2026-04-22&amp;currency=EUR&amp;startStation=59&amp;endStation=55",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2026-03-31</t>
        </is>
      </c>
      <c r="F434" t="inlineStr">
        <is>
          <t>2026-04-07</t>
        </is>
      </c>
      <c r="G434" t="inlineStr">
        <is>
          <t xml:space="preserve"> - Road House</t>
        </is>
      </c>
      <c r="H434">
        <f>HYPERLINK("https://booking.roadsurfer.com/es/rally/pick?pickup_date=2026-03-31&amp;return_date=2026-04-07&amp;currency=EUR&amp;startStation=59&amp;endStation=56",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2026-04-09</t>
        </is>
      </c>
      <c r="F435" t="inlineStr">
        <is>
          <t>2026-04-16</t>
        </is>
      </c>
      <c r="G435" t="inlineStr">
        <is>
          <t xml:space="preserve"> - Road House</t>
        </is>
      </c>
      <c r="H435">
        <f>HYPERLINK("https://booking.roadsurfer.com/es/rally/pick?pickup_date=2026-04-09&amp;return_date=2026-04-16&amp;currency=EUR&amp;startStation=59&amp;endStation=56",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2026-04-02</t>
        </is>
      </c>
      <c r="F436" t="inlineStr">
        <is>
          <t>2026-04-09</t>
        </is>
      </c>
      <c r="G436" t="inlineStr">
        <is>
          <t xml:space="preserve"> - Road House</t>
        </is>
      </c>
      <c r="H436">
        <f>HYPERLINK("https://booking.roadsurfer.com/es/rally/pick?pickup_date=2026-04-02&amp;return_date=2026-04-09&amp;currency=EUR&amp;startStation=59&amp;endStation=56",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Colonia-Bonn</t>
        </is>
      </c>
      <c r="E437" t="inlineStr">
        <is>
          <t>2026-04-06</t>
        </is>
      </c>
      <c r="F437" t="inlineStr">
        <is>
          <t>2026-04-13</t>
        </is>
      </c>
      <c r="G437" t="inlineStr">
        <is>
          <t xml:space="preserve"> - No hay coche</t>
        </is>
      </c>
      <c r="H437">
        <f>HYPERLINK("https://booking.roadsurfer.com/es/rally/pick?pickup_date=2026-04-06&amp;return_date=2026-04-13&amp;currency=EUR&amp;startStation=59&amp;endStation=52",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Augsburgo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Camper Castle</t>
        </is>
      </c>
      <c r="H438">
        <f>HYPERLINK("https://booking.roadsurfer.com/es/rally/pick?pickup_date=2026-04-15&amp;return_date=2026-04-22&amp;currency=EUR&amp;startStation=59&amp;endStation=108",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Lindau-Wangen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Camper Castle</t>
        </is>
      </c>
      <c r="H439">
        <f>HYPERLINK("https://booking.roadsurfer.com/es/rally/pick?pickup_date=2026-04-15&amp;return_date=2026-04-22&amp;currency=EUR&amp;startStation=59&amp;endStation=117",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Berlín-Schönefeld</t>
        </is>
      </c>
      <c r="E440" t="inlineStr">
        <is>
          <t>2026-04-14</t>
        </is>
      </c>
      <c r="F440" t="inlineStr">
        <is>
          <t>2026-04-21</t>
        </is>
      </c>
      <c r="G440" t="inlineStr">
        <is>
          <t xml:space="preserve"> - Family Finca</t>
        </is>
      </c>
      <c r="H440">
        <f>HYPERLINK("https://booking.roadsurfer.com/es/rally/pick?pickup_date=2026-04-14&amp;return_date=2026-04-21&amp;currency=EUR&amp;startStation=59&amp;endStation=51",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2026-04-04</t>
        </is>
      </c>
      <c r="F441" t="inlineStr">
        <is>
          <t>2026-04-11</t>
        </is>
      </c>
      <c r="G441" t="inlineStr">
        <is>
          <t xml:space="preserve"> - Sunrise Suite</t>
        </is>
      </c>
      <c r="H441">
        <f>HYPERLINK("https://booking.roadsurfer.com/es/rally/pick?pickup_date=2026-04-04&amp;return_date=2026-04-11&amp;currency=EUR&amp;startStation=59&amp;endStation=51",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Hamburgo</t>
        </is>
      </c>
      <c r="E442" t="inlineStr">
        <is>
          <t>2026-04-01</t>
        </is>
      </c>
      <c r="F442" t="inlineStr">
        <is>
          <t>2026-04-08</t>
        </is>
      </c>
      <c r="G442" t="inlineStr">
        <is>
          <t xml:space="preserve"> - Cozy Cottage</t>
        </is>
      </c>
      <c r="H442">
        <f>HYPERLINK("https://booking.roadsurfer.com/es/rally/pick?pickup_date=2026-04-01&amp;return_date=2026-04-08&amp;currency=EUR&amp;startStation=59&amp;endStation=3",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Hamburgo</t>
        </is>
      </c>
      <c r="E443" t="inlineStr">
        <is>
          <t>2026-04-27</t>
        </is>
      </c>
      <c r="F443" t="inlineStr">
        <is>
          <t>2026-05-04</t>
        </is>
      </c>
      <c r="G443" t="inlineStr">
        <is>
          <t xml:space="preserve"> - Family Finca</t>
        </is>
      </c>
      <c r="H443">
        <f>HYPERLINK("https://booking.roadsurfer.com/es/rally/pick?pickup_date=2026-04-27&amp;return_date=2026-05-04&amp;currency=EUR&amp;startStation=59&amp;endStation=3",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Fráncfort</t>
        </is>
      </c>
      <c r="E444" t="inlineStr">
        <is>
          <t>2026-03-31</t>
        </is>
      </c>
      <c r="F444" t="inlineStr">
        <is>
          <t>2026-04-07</t>
        </is>
      </c>
      <c r="G444" t="inlineStr">
        <is>
          <t xml:space="preserve"> - Sunrise Suite</t>
        </is>
      </c>
      <c r="H444">
        <f>HYPERLINK("https://booking.roadsurfer.com/es/rally/pick?pickup_date=2026-03-31&amp;return_date=2026-04-07&amp;currency=EUR&amp;startStation=59&amp;endStation=2",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Francia</t>
        </is>
      </c>
      <c r="D445" t="inlineStr">
        <is>
          <t>Nantes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Family Finca</t>
        </is>
      </c>
      <c r="H445">
        <f>HYPERLINK("https://booking.roadsurfer.com/es/rally/pick?pickup_date=2026-04-15&amp;return_date=2026-04-22&amp;currency=EUR&amp;startStation=5&amp;endStation=31",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Francia</t>
        </is>
      </c>
      <c r="D446" t="inlineStr">
        <is>
          <t>Nantes</t>
        </is>
      </c>
      <c r="E446" t="inlineStr">
        <is>
          <t>2026-04-13</t>
        </is>
      </c>
      <c r="F446" t="inlineStr">
        <is>
          <t>2026-04-20</t>
        </is>
      </c>
      <c r="G446" t="inlineStr">
        <is>
          <t xml:space="preserve"> - Camper Cabin</t>
        </is>
      </c>
      <c r="H446">
        <f>HYPERLINK("https://booking.roadsurfer.com/es/rally/pick?pickup_date=2026-04-13&amp;return_date=2026-04-20&amp;currency=EUR&amp;startStation=5&amp;endStation=31",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2026-04-08</t>
        </is>
      </c>
      <c r="F447" t="inlineStr">
        <is>
          <t>2026-04-15</t>
        </is>
      </c>
      <c r="G447" t="inlineStr">
        <is>
          <t xml:space="preserve"> - Camper Cabin</t>
        </is>
      </c>
      <c r="H447">
        <f>HYPERLINK("https://booking.roadsurfer.com/es/rally/pick?pickup_date=2026-04-08&amp;return_date=2026-04-15&amp;currency=EUR&amp;startStation=5&amp;endStation=31",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2026-04-23</t>
        </is>
      </c>
      <c r="F448" t="inlineStr">
        <is>
          <t>2026-04-30</t>
        </is>
      </c>
      <c r="G448" t="inlineStr">
        <is>
          <t xml:space="preserve"> - SURFER SUITE</t>
        </is>
      </c>
      <c r="H448">
        <f>HYPERLINK("https://booking.roadsurfer.com/es/rally/pick?pickup_date=2026-04-23&amp;return_date=2026-04-30&amp;currency=EUR&amp;startStation=5&amp;endStation=31", "Clic para verlo en la web de RoadSurfer")</f>
        <v/>
      </c>
    </row>
    <row r="449">
      <c r="A449" t="inlineStr">
        <is>
          <t>Alemania</t>
        </is>
      </c>
      <c r="B449" t="inlineStr">
        <is>
          <t>Stuttgart</t>
        </is>
      </c>
      <c r="C449" t="inlineStr">
        <is>
          <t>España</t>
        </is>
      </c>
      <c r="D449" t="inlineStr">
        <is>
          <t>Bilbao</t>
        </is>
      </c>
      <c r="E449" t="inlineStr">
        <is>
          <t>2026-04-13</t>
        </is>
      </c>
      <c r="F449" t="inlineStr">
        <is>
          <t>2026-04-20</t>
        </is>
      </c>
      <c r="G449" t="inlineStr">
        <is>
          <t xml:space="preserve"> - No hay coche</t>
        </is>
      </c>
      <c r="H449">
        <f>HYPERLINK("https://booking.roadsurfer.com/es/rally/pick?pickup_date=2026-04-13&amp;return_date=2026-04-20&amp;currency=EUR&amp;startStation=5&amp;endStation=40", "Clic para verlo en la web de RoadSurfer")</f>
        <v/>
      </c>
    </row>
    <row r="450">
      <c r="A450" t="inlineStr">
        <is>
          <t>Alemania</t>
        </is>
      </c>
      <c r="B450" t="inlineStr">
        <is>
          <t>Stuttgart</t>
        </is>
      </c>
      <c r="C450" t="inlineStr">
        <is>
          <t>Austria</t>
        </is>
      </c>
      <c r="D450" t="inlineStr">
        <is>
          <t>Graz</t>
        </is>
      </c>
      <c r="E450" t="inlineStr">
        <is>
          <t>2026-03-31</t>
        </is>
      </c>
      <c r="F450" t="inlineStr">
        <is>
          <t>2026-04-07</t>
        </is>
      </c>
      <c r="G450" t="inlineStr">
        <is>
          <t xml:space="preserve"> - Road House</t>
        </is>
      </c>
      <c r="H450">
        <f>HYPERLINK("https://booking.roadsurfer.com/es/rally/pick?pickup_date=2026-03-31&amp;return_date=2026-04-07&amp;currency=EUR&amp;startStation=5&amp;endStation=37", "Clic para verlo en la web de RoadSurfer")</f>
        <v/>
      </c>
    </row>
    <row r="451">
      <c r="A451" t="inlineStr">
        <is>
          <t>Alemania</t>
        </is>
      </c>
      <c r="B451" t="inlineStr">
        <is>
          <t>Stuttgart</t>
        </is>
      </c>
      <c r="C451" t="inlineStr">
        <is>
          <t>Austria</t>
        </is>
      </c>
      <c r="D451" t="inlineStr">
        <is>
          <t>Graz</t>
        </is>
      </c>
      <c r="E451" t="inlineStr">
        <is>
          <t>2026-03-30</t>
        </is>
      </c>
      <c r="F451" t="inlineStr">
        <is>
          <t>2026-04-06</t>
        </is>
      </c>
      <c r="G451" t="inlineStr">
        <is>
          <t xml:space="preserve"> - No hay coche</t>
        </is>
      </c>
      <c r="H451">
        <f>HYPERLINK("https://booking.roadsurfer.com/es/rally/pick?pickup_date=2026-03-30&amp;return_date=2026-04-06&amp;currency=EUR&amp;startStation=5&amp;endStation=37", "Clic para verlo en la web de RoadSurfer")</f>
        <v/>
      </c>
    </row>
    <row r="452">
      <c r="A452" t="inlineStr">
        <is>
          <t>Alemania</t>
        </is>
      </c>
      <c r="B452" t="inlineStr">
        <is>
          <t>Stuttgart</t>
        </is>
      </c>
      <c r="C452" t="inlineStr">
        <is>
          <t>España</t>
        </is>
      </c>
      <c r="D452" t="inlineStr">
        <is>
          <t>Barcelona</t>
        </is>
      </c>
      <c r="E452" t="inlineStr">
        <is>
          <t>2026-04-10</t>
        </is>
      </c>
      <c r="F452" t="inlineStr">
        <is>
          <t>2026-04-17</t>
        </is>
      </c>
      <c r="G452" t="inlineStr">
        <is>
          <t xml:space="preserve"> - Road House</t>
        </is>
      </c>
      <c r="H452">
        <f>HYPERLINK("https://booking.roadsurfer.com/es/rally/pick?pickup_date=2026-04-10&amp;return_date=2026-04-17&amp;currency=EUR&amp;startStation=5&amp;endStation=17", "Clic para verlo en la web de RoadSurfer")</f>
        <v/>
      </c>
    </row>
    <row r="453">
      <c r="A453" t="inlineStr">
        <is>
          <t>Alemania</t>
        </is>
      </c>
      <c r="B453" t="inlineStr">
        <is>
          <t>Stuttgart</t>
        </is>
      </c>
      <c r="C453" t="inlineStr">
        <is>
          <t>España</t>
        </is>
      </c>
      <c r="D453" t="inlineStr">
        <is>
          <t>Málaga</t>
        </is>
      </c>
      <c r="E453" t="inlineStr">
        <is>
          <t>2026-04-09</t>
        </is>
      </c>
      <c r="F453" t="inlineStr">
        <is>
          <t>2026-04-16</t>
        </is>
      </c>
      <c r="G453" t="inlineStr">
        <is>
          <t xml:space="preserve"> - Road House</t>
        </is>
      </c>
      <c r="H453">
        <f>HYPERLINK("https://booking.roadsurfer.com/es/rally/pick?pickup_date=2026-04-09&amp;return_date=2026-04-16&amp;currency=EUR&amp;startStation=5&amp;endStation=21", "Clic para verlo en la web de RoadSurfer")</f>
        <v/>
      </c>
    </row>
    <row r="454">
      <c r="A454" t="inlineStr">
        <is>
          <t>Alemania</t>
        </is>
      </c>
      <c r="B454" t="inlineStr">
        <is>
          <t>Stuttgart</t>
        </is>
      </c>
      <c r="C454" t="inlineStr">
        <is>
          <t>Alemania</t>
        </is>
      </c>
      <c r="D454" t="inlineStr">
        <is>
          <t>Aquisgrán</t>
        </is>
      </c>
      <c r="E454" t="inlineStr">
        <is>
          <t>2026-04-23</t>
        </is>
      </c>
      <c r="F454" t="inlineStr">
        <is>
          <t>2026-04-30</t>
        </is>
      </c>
      <c r="G454" t="inlineStr">
        <is>
          <t xml:space="preserve"> - No hay coche</t>
        </is>
      </c>
      <c r="H454">
        <f>HYPERLINK("https://booking.roadsurfer.com/es/rally/pick?pickup_date=2026-04-23&amp;return_date=2026-04-30&amp;currency=EUR&amp;startStation=5&amp;endStation=114", "Clic para verlo en la web de RoadSurfer")</f>
        <v/>
      </c>
    </row>
    <row r="455">
      <c r="A455" t="inlineStr">
        <is>
          <t>Alemania</t>
        </is>
      </c>
      <c r="B455" t="inlineStr">
        <is>
          <t>Stuttgart</t>
        </is>
      </c>
      <c r="C455" t="inlineStr">
        <is>
          <t>Austria</t>
        </is>
      </c>
      <c r="D455" t="inlineStr">
        <is>
          <t>Viena Sur</t>
        </is>
      </c>
      <c r="E455" t="inlineStr">
        <is>
          <t>2026-04-15</t>
        </is>
      </c>
      <c r="F455" t="inlineStr">
        <is>
          <t>2026-04-22</t>
        </is>
      </c>
      <c r="G455" t="inlineStr">
        <is>
          <t xml:space="preserve"> - Family Finca</t>
        </is>
      </c>
      <c r="H455">
        <f>HYPERLINK("https://booking.roadsurfer.com/es/rally/pick?pickup_date=2026-04-15&amp;return_date=2026-04-22&amp;currency=EUR&amp;startStation=5&amp;endStation=45", "Clic para verlo en la web de RoadSurfer")</f>
        <v/>
      </c>
    </row>
    <row r="456">
      <c r="A456" t="inlineStr">
        <is>
          <t>Alemania</t>
        </is>
      </c>
      <c r="B456" t="inlineStr">
        <is>
          <t>Stuttgart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2026-04-14</t>
        </is>
      </c>
      <c r="F456" t="inlineStr">
        <is>
          <t>2026-04-21</t>
        </is>
      </c>
      <c r="G456" t="inlineStr">
        <is>
          <t xml:space="preserve"> - Couple Cottage</t>
        </is>
      </c>
      <c r="H456">
        <f>HYPERLINK("https://booking.roadsurfer.com/es/rally/pick?pickup_date=2026-04-14&amp;return_date=2026-04-21&amp;currency=EUR&amp;startStation=5&amp;endStation=34", "Clic para verlo en la web de RoadSurfer")</f>
        <v/>
      </c>
    </row>
    <row r="457">
      <c r="A457" t="inlineStr">
        <is>
          <t>Alemania</t>
        </is>
      </c>
      <c r="B457" t="inlineStr">
        <is>
          <t>Stuttgart</t>
        </is>
      </c>
      <c r="C457" t="inlineStr">
        <is>
          <t>Francia</t>
        </is>
      </c>
      <c r="D457" t="inlineStr">
        <is>
          <t>Lille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Cozy Cottage</t>
        </is>
      </c>
      <c r="H457">
        <f>HYPERLINK("https://booking.roadsurfer.com/es/rally/pick?pickup_date=2026-04-20&amp;return_date=2026-04-27&amp;currency=EUR&amp;startStation=5&amp;endStation=87", "Clic para verlo en la web de RoadSurfer")</f>
        <v/>
      </c>
    </row>
    <row r="458">
      <c r="A458" t="inlineStr">
        <is>
          <t>EE.UU.</t>
        </is>
      </c>
      <c r="B458" t="inlineStr">
        <is>
          <t>Thor Industries, Elkhart</t>
        </is>
      </c>
      <c r="C458" t="inlineStr">
        <is>
          <t>EE.UU.</t>
        </is>
      </c>
      <c r="D458" t="inlineStr">
        <is>
          <t>Salt Lake City</t>
        </is>
      </c>
      <c r="E458" t="inlineStr">
        <is>
          <t>2026-04-20</t>
        </is>
      </c>
      <c r="F458" t="inlineStr">
        <is>
          <t>2026-05-08</t>
        </is>
      </c>
      <c r="G458" t="inlineStr">
        <is>
          <t xml:space="preserve"> - Family Freedom</t>
        </is>
      </c>
      <c r="H458">
        <f>HYPERLINK("https://booking.roadsurfer.com/es/rally/pick?pickup_date=2026-04-20&amp;return_date=2026-05-08&amp;currency=EUR&amp;startStation=74&amp;endStation=106", "Clic para verlo en la web de RoadSurfer")</f>
        <v/>
      </c>
    </row>
    <row r="459">
      <c r="A459" t="inlineStr">
        <is>
          <t>EE.UU.</t>
        </is>
      </c>
      <c r="B459" t="inlineStr">
        <is>
          <t>Thor Industries, Elkhart</t>
        </is>
      </c>
      <c r="C459" t="inlineStr">
        <is>
          <t>EE.UU.</t>
        </is>
      </c>
      <c r="D459" t="inlineStr">
        <is>
          <t>Salt Lake City</t>
        </is>
      </c>
      <c r="E459" t="inlineStr">
        <is>
          <t>2026-04-20</t>
        </is>
      </c>
      <c r="F459" t="inlineStr">
        <is>
          <t>2026-05-04</t>
        </is>
      </c>
      <c r="G459" t="inlineStr">
        <is>
          <t xml:space="preserve"> - Family Freedom</t>
        </is>
      </c>
      <c r="H459">
        <f>HYPERLINK("https://booking.roadsurfer.com/es/rally/pick?pickup_date=2026-04-20&amp;return_date=2026-05-04&amp;currency=EUR&amp;startStation=74&amp;endStation=106", "Clic para verlo en la web de RoadSurfer")</f>
        <v/>
      </c>
    </row>
    <row r="460">
      <c r="A460" t="inlineStr">
        <is>
          <t>EE.UU.</t>
        </is>
      </c>
      <c r="B460" t="inlineStr">
        <is>
          <t>Thor Industries, Elkhart</t>
        </is>
      </c>
      <c r="C460" t="inlineStr">
        <is>
          <t>EE.UU.</t>
        </is>
      </c>
      <c r="D460" t="inlineStr">
        <is>
          <t>Seattle</t>
        </is>
      </c>
      <c r="E460" t="inlineStr">
        <is>
          <t>2026-04-20</t>
        </is>
      </c>
      <c r="F460" t="inlineStr">
        <is>
          <t>2026-05-08</t>
        </is>
      </c>
      <c r="G460" t="inlineStr">
        <is>
          <t xml:space="preserve"> - Family Freedom</t>
        </is>
      </c>
      <c r="H460">
        <f>HYPERLINK("https://booking.roadsurfer.com/es/rally/pick?pickup_date=2026-04-20&amp;return_date=2026-05-08&amp;currency=EUR&amp;startStation=74&amp;endStation=107", "Clic para verlo en la web de RoadSurfer")</f>
        <v/>
      </c>
    </row>
    <row r="461">
      <c r="A461" t="inlineStr">
        <is>
          <t>EE.UU.</t>
        </is>
      </c>
      <c r="B461" t="inlineStr">
        <is>
          <t>Thor Industries, Elkhart</t>
        </is>
      </c>
      <c r="C461" t="inlineStr">
        <is>
          <t>EE.UU.</t>
        </is>
      </c>
      <c r="D461" t="inlineStr">
        <is>
          <t>Seattle</t>
        </is>
      </c>
      <c r="E461" t="inlineStr">
        <is>
          <t>2026-04-23</t>
        </is>
      </c>
      <c r="F461" t="inlineStr">
        <is>
          <t>2026-05-07</t>
        </is>
      </c>
      <c r="G461" t="inlineStr">
        <is>
          <t xml:space="preserve"> - Family Freedom</t>
        </is>
      </c>
      <c r="H461">
        <f>HYPERLINK("https://booking.roadsurfer.com/es/rally/pick?pickup_date=2026-04-23&amp;return_date=2026-05-07&amp;currency=EUR&amp;startStation=74&amp;endStation=107", "Clic para verlo en la web de RoadSurfer")</f>
        <v/>
      </c>
    </row>
    <row r="462">
      <c r="A462" t="inlineStr">
        <is>
          <t>EE.UU.</t>
        </is>
      </c>
      <c r="B462" t="inlineStr">
        <is>
          <t>Thor Industries, Elkhart</t>
        </is>
      </c>
      <c r="C462" t="inlineStr">
        <is>
          <t>EE.UU.</t>
        </is>
      </c>
      <c r="D462" t="inlineStr">
        <is>
          <t>Denver</t>
        </is>
      </c>
      <c r="E462" t="inlineStr">
        <is>
          <t>2026-04-20</t>
        </is>
      </c>
      <c r="F462" t="inlineStr">
        <is>
          <t>2026-05-04</t>
        </is>
      </c>
      <c r="G462" t="inlineStr">
        <is>
          <t xml:space="preserve"> - Family Freedom</t>
        </is>
      </c>
      <c r="H462">
        <f>HYPERLINK("https://booking.roadsurfer.com/es/rally/pick?pickup_date=2026-04-20&amp;return_date=2026-05-04&amp;currency=EUR&amp;startStation=74&amp;endStation=104", "Clic para verlo en la web de RoadSurfer")</f>
        <v/>
      </c>
    </row>
    <row r="463">
      <c r="A463" t="inlineStr">
        <is>
          <t>EE.UU.</t>
        </is>
      </c>
      <c r="B463" t="inlineStr">
        <is>
          <t>Thor Industries, Elkhart</t>
        </is>
      </c>
      <c r="C463" t="inlineStr">
        <is>
          <t>EE.UU.</t>
        </is>
      </c>
      <c r="D463" t="inlineStr">
        <is>
          <t>Denver</t>
        </is>
      </c>
      <c r="E463" t="inlineStr">
        <is>
          <t>2026-04-21</t>
        </is>
      </c>
      <c r="F463" t="inlineStr">
        <is>
          <t>2026-05-05</t>
        </is>
      </c>
      <c r="G463" t="inlineStr">
        <is>
          <t xml:space="preserve"> - Family Freedom</t>
        </is>
      </c>
      <c r="H463">
        <f>HYPERLINK("https://booking.roadsurfer.com/es/rally/pick?pickup_date=2026-04-21&amp;return_date=2026-05-05&amp;currency=EUR&amp;startStation=74&amp;endStation=104", "Clic para verlo en la web de RoadSurfer")</f>
        <v/>
      </c>
    </row>
    <row r="464">
      <c r="A464" t="inlineStr">
        <is>
          <t>EE.UU.</t>
        </is>
      </c>
      <c r="B464" t="inlineStr">
        <is>
          <t>Thor Industries, Elkhart</t>
        </is>
      </c>
      <c r="C464" t="inlineStr">
        <is>
          <t>EE.UU.</t>
        </is>
      </c>
      <c r="D464" t="inlineStr">
        <is>
          <t>Denver</t>
        </is>
      </c>
      <c r="E464" t="inlineStr">
        <is>
          <t>2026-04-22</t>
        </is>
      </c>
      <c r="F464" t="inlineStr">
        <is>
          <t>2026-05-06</t>
        </is>
      </c>
      <c r="G464" t="inlineStr">
        <is>
          <t xml:space="preserve"> - Family Freedom</t>
        </is>
      </c>
      <c r="H464">
        <f>HYPERLINK("https://booking.roadsurfer.com/es/rally/pick?pickup_date=2026-04-22&amp;return_date=2026-05-06&amp;currency=EUR&amp;startStation=74&amp;endStation=104", "Clic para verlo en la web de RoadSurfer")</f>
        <v/>
      </c>
    </row>
    <row r="465">
      <c r="A465" t="inlineStr">
        <is>
          <t>EE.UU.</t>
        </is>
      </c>
      <c r="B465" t="inlineStr">
        <is>
          <t>Thor Industries, Elkhart</t>
        </is>
      </c>
      <c r="C465" t="inlineStr">
        <is>
          <t>EE.UU.</t>
        </is>
      </c>
      <c r="D465" t="inlineStr">
        <is>
          <t>Denver</t>
        </is>
      </c>
      <c r="E465" t="inlineStr">
        <is>
          <t>2026-04-20</t>
        </is>
      </c>
      <c r="F465" t="inlineStr">
        <is>
          <t>2026-05-08</t>
        </is>
      </c>
      <c r="G465" t="inlineStr">
        <is>
          <t xml:space="preserve"> - Family Freedom</t>
        </is>
      </c>
      <c r="H465">
        <f>HYPERLINK("https://booking.roadsurfer.com/es/rally/pick?pickup_date=2026-04-20&amp;return_date=2026-05-08&amp;currency=EUR&amp;startStation=74&amp;endStation=104", "Clic para verlo en la web de RoadSurfer")</f>
        <v/>
      </c>
    </row>
    <row r="466">
      <c r="A466" t="inlineStr">
        <is>
          <t>EE.UU.</t>
        </is>
      </c>
      <c r="B466" t="inlineStr">
        <is>
          <t>Thor Industries, Elkhart</t>
        </is>
      </c>
      <c r="C466" t="inlineStr">
        <is>
          <t>EE.UU.</t>
        </is>
      </c>
      <c r="D466" t="inlineStr">
        <is>
          <t>Dallas</t>
        </is>
      </c>
      <c r="E466" t="inlineStr">
        <is>
          <t>2026-04-20</t>
        </is>
      </c>
      <c r="F466" t="inlineStr">
        <is>
          <t>2026-05-04</t>
        </is>
      </c>
      <c r="G466" t="inlineStr">
        <is>
          <t xml:space="preserve"> - Family Freedom</t>
        </is>
      </c>
      <c r="H466">
        <f>HYPERLINK("https://booking.roadsurfer.com/es/rally/pick?pickup_date=2026-04-20&amp;return_date=2026-05-04&amp;currency=EUR&amp;startStation=74&amp;endStation=125", "Clic para verlo en la web de RoadSurfer")</f>
        <v/>
      </c>
    </row>
    <row r="467">
      <c r="A467" t="inlineStr">
        <is>
          <t>EE.UU.</t>
        </is>
      </c>
      <c r="B467" t="inlineStr">
        <is>
          <t>Thor Industries, Elkhart</t>
        </is>
      </c>
      <c r="C467" t="inlineStr">
        <is>
          <t>EE.UU.</t>
        </is>
      </c>
      <c r="D467" t="inlineStr">
        <is>
          <t>San Francisco</t>
        </is>
      </c>
      <c r="E467" t="inlineStr">
        <is>
          <t>2026-04-21</t>
        </is>
      </c>
      <c r="F467" t="inlineStr">
        <is>
          <t>2026-05-05</t>
        </is>
      </c>
      <c r="G467" t="inlineStr">
        <is>
          <t xml:space="preserve"> - Family Freedom</t>
        </is>
      </c>
      <c r="H467">
        <f>HYPERLINK("https://booking.roadsurfer.com/es/rally/pick?pickup_date=2026-04-21&amp;return_date=2026-05-05&amp;currency=EUR&amp;startStation=74&amp;endStation=75", "Clic para verlo en la web de RoadSurfer")</f>
        <v/>
      </c>
    </row>
    <row r="468">
      <c r="A468" t="inlineStr">
        <is>
          <t>Francia</t>
        </is>
      </c>
      <c r="B468" t="inlineStr">
        <is>
          <t>Toulouse</t>
        </is>
      </c>
      <c r="C468" t="inlineStr">
        <is>
          <t>Alemania</t>
        </is>
      </c>
      <c r="D468" t="inlineStr">
        <is>
          <t>Berlín</t>
        </is>
      </c>
      <c r="E468" t="inlineStr">
        <is>
          <t>2026-04-04</t>
        </is>
      </c>
      <c r="F468" t="inlineStr">
        <is>
          <t>2026-04-11</t>
        </is>
      </c>
      <c r="G468" t="inlineStr">
        <is>
          <t xml:space="preserve"> - Surfer Suite</t>
        </is>
      </c>
      <c r="H468">
        <f>HYPERLINK("https://booking.roadsurfer.com/es/rally/pick?pickup_date=2026-04-04&amp;return_date=2026-04-11&amp;currency=EUR&amp;startStation=30&amp;endStation=6", "Clic para verlo en la web de RoadSurfer")</f>
        <v/>
      </c>
    </row>
    <row r="469">
      <c r="A469" t="inlineStr">
        <is>
          <t>Francia</t>
        </is>
      </c>
      <c r="B469" t="inlineStr">
        <is>
          <t>Toulouse</t>
        </is>
      </c>
      <c r="C469" t="inlineStr">
        <is>
          <t>Alemania</t>
        </is>
      </c>
      <c r="D469" t="inlineStr">
        <is>
          <t>Constanza (Aach)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Surfer Suite</t>
        </is>
      </c>
      <c r="H469">
        <f>HYPERLINK("https://booking.roadsurfer.com/es/rally/pick?pickup_date=2026-05-04&amp;return_date=2026-05-11&amp;currency=EUR&amp;startStation=30&amp;endStation=10", "Clic para verlo en la web de RoadSurfer")</f>
        <v/>
      </c>
    </row>
    <row r="470">
      <c r="A470" t="inlineStr">
        <is>
          <t>Francia</t>
        </is>
      </c>
      <c r="B470" t="inlineStr">
        <is>
          <t>Toulouse</t>
        </is>
      </c>
      <c r="C470" t="inlineStr">
        <is>
          <t>Francia</t>
        </is>
      </c>
      <c r="D470" t="inlineStr">
        <is>
          <t>Lille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Beach Hostel</t>
        </is>
      </c>
      <c r="H470">
        <f>HYPERLINK("https://booking.roadsurfer.com/es/rally/pick?pickup_date=2026-04-27&amp;return_date=2026-05-04&amp;currency=EUR&amp;startStation=30&amp;endStation=87", "Clic para verlo en la web de RoadSurfer")</f>
        <v/>
      </c>
    </row>
    <row r="471">
      <c r="A471" t="inlineStr">
        <is>
          <t>Francia</t>
        </is>
      </c>
      <c r="B471" t="inlineStr">
        <is>
          <t>Toulouse</t>
        </is>
      </c>
      <c r="C471" t="inlineStr">
        <is>
          <t>Alemania</t>
        </is>
      </c>
      <c r="D471" t="inlineStr">
        <is>
          <t>Erfurt</t>
        </is>
      </c>
      <c r="E471" t="inlineStr">
        <is>
          <t>2026-04-13</t>
        </is>
      </c>
      <c r="F471" t="inlineStr">
        <is>
          <t>2026-04-20</t>
        </is>
      </c>
      <c r="G471" t="inlineStr">
        <is>
          <t xml:space="preserve"> - Camper Castle</t>
        </is>
      </c>
      <c r="H471">
        <f>HYPERLINK("https://booking.roadsurfer.com/es/rally/pick?pickup_date=2026-04-13&amp;return_date=2026-04-20&amp;currency=EUR&amp;startStation=30&amp;endStation=90", "Clic para verlo en la web de RoadSurfer")</f>
        <v/>
      </c>
    </row>
    <row r="472">
      <c r="A472" t="inlineStr">
        <is>
          <t>Francia</t>
        </is>
      </c>
      <c r="B472" t="inlineStr">
        <is>
          <t>Toulouse</t>
        </is>
      </c>
      <c r="C472" t="inlineStr">
        <is>
          <t>Alemania</t>
        </is>
      </c>
      <c r="D472" t="inlineStr">
        <is>
          <t>Kassel</t>
        </is>
      </c>
      <c r="E472" t="inlineStr">
        <is>
          <t>2026-04-04</t>
        </is>
      </c>
      <c r="F472" t="inlineStr">
        <is>
          <t>2026-04-11</t>
        </is>
      </c>
      <c r="G472" t="inlineStr">
        <is>
          <t xml:space="preserve"> - Family Finca</t>
        </is>
      </c>
      <c r="H472">
        <f>HYPERLINK("https://booking.roadsurfer.com/es/rally/pick?pickup_date=2026-04-04&amp;return_date=2026-04-11&amp;currency=EUR&amp;startStation=30&amp;endStation=92", "Clic para verlo en la web de RoadSurfer")</f>
        <v/>
      </c>
    </row>
    <row r="473">
      <c r="A473" t="inlineStr">
        <is>
          <t>Francia</t>
        </is>
      </c>
      <c r="B473" t="inlineStr">
        <is>
          <t>Toulouse</t>
        </is>
      </c>
      <c r="C473" t="inlineStr">
        <is>
          <t>Alemania</t>
        </is>
      </c>
      <c r="D473" t="inlineStr">
        <is>
          <t>Kassel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Family Finca</t>
        </is>
      </c>
      <c r="H473">
        <f>HYPERLINK("https://booking.roadsurfer.com/es/rally/pick?pickup_date=2026-04-27&amp;return_date=2026-05-04&amp;currency=EUR&amp;startStation=30&amp;endStation=92", "Clic para verlo en la web de RoadSurfer")</f>
        <v/>
      </c>
    </row>
    <row r="474">
      <c r="A474" t="inlineStr">
        <is>
          <t>Italia</t>
        </is>
      </c>
      <c r="B474" t="inlineStr">
        <is>
          <t>Turín</t>
        </is>
      </c>
      <c r="C474" t="inlineStr">
        <is>
          <t>Alemania</t>
        </is>
      </c>
      <c r="D474" t="inlineStr">
        <is>
          <t>Núremberg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Road House</t>
        </is>
      </c>
      <c r="H474">
        <f>HYPERLINK("https://booking.roadsurfer.com/es/rally/pick?pickup_date=2026-04-16&amp;return_date=2026-04-23&amp;currency=EUR&amp;startStation=58&amp;endStation=11", "Clic para verlo en la web de RoadSurfer")</f>
        <v/>
      </c>
    </row>
    <row r="475">
      <c r="A475" t="inlineStr">
        <is>
          <t>Italia</t>
        </is>
      </c>
      <c r="B475" t="inlineStr">
        <is>
          <t>Turín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Family Finca</t>
        </is>
      </c>
      <c r="H475">
        <f>HYPERLINK("https://booking.roadsurfer.com/es/rally/pick?pickup_date=2026-04-20&amp;return_date=2026-04-27&amp;currency=EUR&amp;startStation=58&amp;endStation=56", "Clic para verlo en la web de RoadSurfer")</f>
        <v/>
      </c>
    </row>
    <row r="476">
      <c r="A476" t="inlineStr">
        <is>
          <t>Alemania</t>
        </is>
      </c>
      <c r="B476" t="inlineStr">
        <is>
          <t>Ulm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2026-04-15</t>
        </is>
      </c>
      <c r="F476" t="inlineStr">
        <is>
          <t>2026-04-22</t>
        </is>
      </c>
      <c r="G476" t="inlineStr">
        <is>
          <t xml:space="preserve"> - Couple Cottage</t>
        </is>
      </c>
      <c r="H476">
        <f>HYPERLINK("https://booking.roadsurfer.com/es/rally/pick?pickup_date=2026-04-15&amp;return_date=2026-04-22&amp;currency=EUR&amp;startStation=112&amp;endStation=94", "Clic para verlo en la web de RoadSurfer")</f>
        <v/>
      </c>
    </row>
    <row r="477">
      <c r="A477" t="inlineStr">
        <is>
          <t>Alemania</t>
        </is>
      </c>
      <c r="B477" t="inlineStr">
        <is>
          <t>Ulm</t>
        </is>
      </c>
      <c r="C477" t="inlineStr">
        <is>
          <t>Suecia</t>
        </is>
      </c>
      <c r="D477" t="inlineStr">
        <is>
          <t>Gotemburgo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Family Finca</t>
        </is>
      </c>
      <c r="H477">
        <f>HYPERLINK("https://booking.roadsurfer.com/es/rally/pick?pickup_date=2026-04-27&amp;return_date=2026-05-04&amp;currency=EUR&amp;startStation=112&amp;endStation=77", "Clic para verlo en la web de RoadSurfer")</f>
        <v/>
      </c>
    </row>
    <row r="478">
      <c r="A478" t="inlineStr">
        <is>
          <t>España</t>
        </is>
      </c>
      <c r="B478" t="inlineStr">
        <is>
          <t>Valencia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2026-04-17</t>
        </is>
      </c>
      <c r="F478" t="inlineStr">
        <is>
          <t>2026-04-21</t>
        </is>
      </c>
      <c r="G478" t="inlineStr">
        <is>
          <t xml:space="preserve"> - Road House</t>
        </is>
      </c>
      <c r="H478">
        <f>HYPERLINK("https://booking.roadsurfer.com/es/rally/pick?pickup_date=2026-04-17&amp;return_date=2026-04-21&amp;currency=EUR&amp;startStation=38&amp;endStation=11", "Clic para verlo en la web de RoadSurfer")</f>
        <v/>
      </c>
    </row>
    <row r="479">
      <c r="A479" t="inlineStr">
        <is>
          <t>España</t>
        </is>
      </c>
      <c r="B479" t="inlineStr">
        <is>
          <t>Valencia</t>
        </is>
      </c>
      <c r="C479" t="inlineStr">
        <is>
          <t>Alemania</t>
        </is>
      </c>
      <c r="D479" t="inlineStr">
        <is>
          <t>Colonia-Bonn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Couple Cottage</t>
        </is>
      </c>
      <c r="H479">
        <f>HYPERLINK("https://booking.roadsurfer.com/es/rally/pick?pickup_date=2026-04-14&amp;return_date=2026-04-21&amp;currency=EUR&amp;startStation=38&amp;endStation=52", "Clic para verlo en la web de RoadSurfer")</f>
        <v/>
      </c>
    </row>
    <row r="480">
      <c r="A480" t="inlineStr">
        <is>
          <t>Italia</t>
        </is>
      </c>
      <c r="B480" t="inlineStr">
        <is>
          <t>Venecia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2026-04-16</t>
        </is>
      </c>
      <c r="F480" t="inlineStr">
        <is>
          <t>2026-04-23</t>
        </is>
      </c>
      <c r="G480" t="inlineStr">
        <is>
          <t xml:space="preserve"> - Surfer Suite</t>
        </is>
      </c>
      <c r="H480">
        <f>HYPERLINK("https://booking.roadsurfer.com/es/rally/pick?pickup_date=2026-04-16&amp;return_date=2026-04-23&amp;currency=EUR&amp;startStation=78&amp;endStation=94", "Clic para verlo en la web de RoadSurfer")</f>
        <v/>
      </c>
    </row>
    <row r="481">
      <c r="A481" t="inlineStr">
        <is>
          <t>Italia</t>
        </is>
      </c>
      <c r="B481" t="inlineStr">
        <is>
          <t>Venecia</t>
        </is>
      </c>
      <c r="C481" t="inlineStr">
        <is>
          <t>Alemania</t>
        </is>
      </c>
      <c r="D481" t="inlineStr">
        <is>
          <t>Maguncia</t>
        </is>
      </c>
      <c r="E481" t="inlineStr">
        <is>
          <t>2026-04-14</t>
        </is>
      </c>
      <c r="F481" t="inlineStr">
        <is>
          <t>2026-04-21</t>
        </is>
      </c>
      <c r="G481" t="inlineStr">
        <is>
          <t xml:space="preserve"> - Beach Hostel</t>
        </is>
      </c>
      <c r="H481">
        <f>HYPERLINK("https://booking.roadsurfer.com/es/rally/pick?pickup_date=2026-04-14&amp;return_date=2026-04-21&amp;currency=EUR&amp;startStation=78&amp;endStation=54", "Clic para verlo en la web de RoadSurfer")</f>
        <v/>
      </c>
    </row>
    <row r="482">
      <c r="A482" t="inlineStr">
        <is>
          <t>Italia</t>
        </is>
      </c>
      <c r="B482" t="inlineStr">
        <is>
          <t>Venecia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Sunrise Suite</t>
        </is>
      </c>
      <c r="H482">
        <f>HYPERLINK("https://booking.roadsurfer.com/es/rally/pick?pickup_date=2026-05-04&amp;return_date=2026-05-11&amp;currency=EUR&amp;startStation=78&amp;endStation=22", "Clic para verlo en la web de RoadSurfer")</f>
        <v/>
      </c>
    </row>
    <row r="483">
      <c r="A483" t="inlineStr">
        <is>
          <t>Austria</t>
        </is>
      </c>
      <c r="B483" t="inlineStr">
        <is>
          <t>Viena</t>
        </is>
      </c>
      <c r="C483" t="inlineStr">
        <is>
          <t>Alemania</t>
        </is>
      </c>
      <c r="D483" t="inlineStr">
        <is>
          <t>Leipzig</t>
        </is>
      </c>
      <c r="E483" t="inlineStr">
        <is>
          <t>2026-04-14</t>
        </is>
      </c>
      <c r="F483" t="inlineStr">
        <is>
          <t>2026-04-21</t>
        </is>
      </c>
      <c r="G483" t="inlineStr">
        <is>
          <t xml:space="preserve"> - Cozy Cottage</t>
        </is>
      </c>
      <c r="H483">
        <f>HYPERLINK("https://booking.roadsurfer.com/es/rally/pick?pickup_date=2026-04-14&amp;return_date=2026-04-21&amp;currency=EUR&amp;startStation=36&amp;endStation=8", "Clic para verlo en la web de RoadSurfer")</f>
        <v/>
      </c>
    </row>
    <row r="484">
      <c r="A484" t="inlineStr">
        <is>
          <t>Austria</t>
        </is>
      </c>
      <c r="B484" t="inlineStr">
        <is>
          <t>Viena</t>
        </is>
      </c>
      <c r="C484" t="inlineStr">
        <is>
          <t>Alemania</t>
        </is>
      </c>
      <c r="D484" t="inlineStr">
        <is>
          <t>Leipzig</t>
        </is>
      </c>
      <c r="E484" t="inlineStr">
        <is>
          <t>2026-04-18</t>
        </is>
      </c>
      <c r="F484" t="inlineStr">
        <is>
          <t>2026-04-25</t>
        </is>
      </c>
      <c r="G484" t="inlineStr">
        <is>
          <t xml:space="preserve"> - Camper Cabin</t>
        </is>
      </c>
      <c r="H484">
        <f>HYPERLINK("https://booking.roadsurfer.com/es/rally/pick?pickup_date=2026-04-18&amp;return_date=2026-04-25&amp;currency=EUR&amp;startStation=36&amp;endStation=8", "Clic para verlo en la web de RoadSurfer")</f>
        <v/>
      </c>
    </row>
    <row r="485">
      <c r="A485" t="inlineStr">
        <is>
          <t>Austria</t>
        </is>
      </c>
      <c r="B485" t="inlineStr">
        <is>
          <t>Viena Sur</t>
        </is>
      </c>
      <c r="C485" t="inlineStr">
        <is>
          <t>Alemania</t>
        </is>
      </c>
      <c r="D485" t="inlineStr">
        <is>
          <t>Augsburgo</t>
        </is>
      </c>
      <c r="E485" t="inlineStr">
        <is>
          <t>2026-04-18</t>
        </is>
      </c>
      <c r="F485" t="inlineStr">
        <is>
          <t>2026-04-25</t>
        </is>
      </c>
      <c r="G485" t="inlineStr">
        <is>
          <t xml:space="preserve"> - Camper Cabin</t>
        </is>
      </c>
      <c r="H485">
        <f>HYPERLINK("https://booking.roadsurfer.com/es/rally/pick?pickup_date=2026-04-18&amp;return_date=2026-04-25&amp;currency=EUR&amp;startStation=45&amp;endStation=108", "Clic para verlo en la web de RoadSurfer")</f>
        <v/>
      </c>
    </row>
    <row r="486">
      <c r="A486" t="inlineStr">
        <is>
          <t>Austria</t>
        </is>
      </c>
      <c r="B486" t="inlineStr">
        <is>
          <t>Viena Sur</t>
        </is>
      </c>
      <c r="C486" t="inlineStr">
        <is>
          <t>Alemania</t>
        </is>
      </c>
      <c r="D486" t="inlineStr">
        <is>
          <t>Leipzig</t>
        </is>
      </c>
      <c r="E486" t="inlineStr">
        <is>
          <t>2026-04-13</t>
        </is>
      </c>
      <c r="F486" t="inlineStr">
        <is>
          <t>2026-04-20</t>
        </is>
      </c>
      <c r="G486" t="inlineStr">
        <is>
          <t xml:space="preserve"> - Family Finca</t>
        </is>
      </c>
      <c r="H486">
        <f>HYPERLINK("https://booking.roadsurfer.com/es/rally/pick?pickup_date=2026-04-13&amp;return_date=2026-04-20&amp;currency=EUR&amp;startStation=45&amp;endStation=8", "Clic para verlo en la web de RoadSurfer")</f>
        <v/>
      </c>
    </row>
    <row r="487">
      <c r="A487" t="inlineStr">
        <is>
          <t>Austria</t>
        </is>
      </c>
      <c r="B487" t="inlineStr">
        <is>
          <t>Viena Sur</t>
        </is>
      </c>
      <c r="C487" t="inlineStr">
        <is>
          <t>Alemania</t>
        </is>
      </c>
      <c r="D487" t="inlineStr">
        <is>
          <t>Leipzig</t>
        </is>
      </c>
      <c r="E487" t="inlineStr">
        <is>
          <t>2026-04-14</t>
        </is>
      </c>
      <c r="F487" t="inlineStr">
        <is>
          <t>2026-04-21</t>
        </is>
      </c>
      <c r="G487" t="inlineStr">
        <is>
          <t xml:space="preserve"> - Family Finca</t>
        </is>
      </c>
      <c r="H487">
        <f>HYPERLINK("https://booking.roadsurfer.com/es/rally/pick?pickup_date=2026-04-14&amp;return_date=2026-04-21&amp;currency=EUR&amp;startStation=45&amp;endStation=8", "Clic para verlo en la web de RoadSurfer")</f>
        <v/>
      </c>
    </row>
    <row r="488">
      <c r="A488" t="inlineStr">
        <is>
          <t>Austria</t>
        </is>
      </c>
      <c r="B488" t="inlineStr">
        <is>
          <t>Viena Sur</t>
        </is>
      </c>
      <c r="C488" t="inlineStr">
        <is>
          <t>Alemania</t>
        </is>
      </c>
      <c r="D488" t="inlineStr">
        <is>
          <t>Núremberg</t>
        </is>
      </c>
      <c r="E488" t="inlineStr">
        <is>
          <t>2026-04-15</t>
        </is>
      </c>
      <c r="F488" t="inlineStr">
        <is>
          <t>2026-04-22</t>
        </is>
      </c>
      <c r="G488" t="inlineStr">
        <is>
          <t xml:space="preserve"> - Cozy Cottage</t>
        </is>
      </c>
      <c r="H488">
        <f>HYPERLINK("https://booking.roadsurfer.com/es/rally/pick?pickup_date=2026-04-15&amp;return_date=2026-04-22&amp;currency=EUR&amp;startStation=45&amp;endStation=11", "Clic para verlo en la web de RoadSurfer")</f>
        <v/>
      </c>
    </row>
    <row r="489">
      <c r="A489" t="inlineStr">
        <is>
          <t>EE.UU.</t>
        </is>
      </c>
      <c r="B489" t="inlineStr">
        <is>
          <t>Winnebago Industries</t>
        </is>
      </c>
      <c r="C489" t="inlineStr">
        <is>
          <t>EE.UU.</t>
        </is>
      </c>
      <c r="D489" t="inlineStr">
        <is>
          <t>Denver</t>
        </is>
      </c>
      <c r="E489" t="inlineStr">
        <is>
          <t>2026-04-13</t>
        </is>
      </c>
      <c r="F489" t="inlineStr">
        <is>
          <t>2026-04-27</t>
        </is>
      </c>
      <c r="G489" t="inlineStr">
        <is>
          <t xml:space="preserve"> - Liberty Lodge</t>
        </is>
      </c>
      <c r="H489">
        <f>HYPERLINK("https://booking.roadsurfer.com/es/rally/pick?pickup_date=2026-04-13&amp;return_date=2026-04-27&amp;currency=EUR&amp;startStation=81&amp;endStation=104", "Clic para verlo en la web de RoadSurfer")</f>
        <v/>
      </c>
    </row>
    <row r="490">
      <c r="A490" t="inlineStr">
        <is>
          <t>EE.UU.</t>
        </is>
      </c>
      <c r="B490" t="inlineStr">
        <is>
          <t>Winnebago Industries</t>
        </is>
      </c>
      <c r="C490" t="inlineStr">
        <is>
          <t>EE.UU.</t>
        </is>
      </c>
      <c r="D490" t="inlineStr">
        <is>
          <t>Denver</t>
        </is>
      </c>
      <c r="E490" t="inlineStr">
        <is>
          <t>2026-04-08</t>
        </is>
      </c>
      <c r="F490" t="inlineStr">
        <is>
          <t>2026-04-22</t>
        </is>
      </c>
      <c r="G490" t="inlineStr">
        <is>
          <t xml:space="preserve"> - Liberty Lodge</t>
        </is>
      </c>
      <c r="H490">
        <f>HYPERLINK("https://booking.roadsurfer.com/es/rally/pick?pickup_date=2026-04-08&amp;return_date=2026-04-22&amp;currency=EUR&amp;startStation=81&amp;endStation=104",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Denver</t>
        </is>
      </c>
      <c r="E491" t="inlineStr">
        <is>
          <t>2026-04-10</t>
        </is>
      </c>
      <c r="F491" t="inlineStr">
        <is>
          <t>2026-04-24</t>
        </is>
      </c>
      <c r="G491" t="inlineStr">
        <is>
          <t xml:space="preserve"> - Liberty Lodge - Couple Condo</t>
        </is>
      </c>
      <c r="H491">
        <f>HYPERLINK("https://booking.roadsurfer.com/es/rally/pick?pickup_date=2026-04-10&amp;return_date=2026-04-24&amp;currency=EUR&amp;startStation=81&amp;endStation=104",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Denver</t>
        </is>
      </c>
      <c r="E492" t="inlineStr">
        <is>
          <t>2026-03-31</t>
        </is>
      </c>
      <c r="F492" t="inlineStr">
        <is>
          <t>2026-04-14</t>
        </is>
      </c>
      <c r="G492" t="inlineStr">
        <is>
          <t xml:space="preserve"> - Couple Condo</t>
        </is>
      </c>
      <c r="H492">
        <f>HYPERLINK("https://booking.roadsurfer.com/es/rally/pick?pickup_date=2026-03-31&amp;return_date=2026-04-14&amp;currency=EUR&amp;startStation=81&amp;endStation=104",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Denver</t>
        </is>
      </c>
      <c r="E493" t="inlineStr">
        <is>
          <t>2026-03-27</t>
        </is>
      </c>
      <c r="F493" t="inlineStr">
        <is>
          <t>2026-04-10</t>
        </is>
      </c>
      <c r="G493" t="inlineStr">
        <is>
          <t xml:space="preserve"> - Liberty Lodge</t>
        </is>
      </c>
      <c r="H493">
        <f>HYPERLINK("https://booking.roadsurfer.com/es/rally/pick?pickup_date=2026-03-27&amp;return_date=2026-04-10&amp;currency=EUR&amp;startStation=81&amp;endStation=104",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Denver</t>
        </is>
      </c>
      <c r="E494" t="inlineStr">
        <is>
          <t>2026-04-15</t>
        </is>
      </c>
      <c r="F494" t="inlineStr">
        <is>
          <t>2026-04-29</t>
        </is>
      </c>
      <c r="G494" t="inlineStr">
        <is>
          <t xml:space="preserve"> - Couple Condo</t>
        </is>
      </c>
      <c r="H494">
        <f>HYPERLINK("https://booking.roadsurfer.com/es/rally/pick?pickup_date=2026-04-15&amp;return_date=2026-04-29&amp;currency=EUR&amp;startStation=81&amp;endStation=104",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Denver</t>
        </is>
      </c>
      <c r="E495" t="inlineStr">
        <is>
          <t>2026-04-09</t>
        </is>
      </c>
      <c r="F495" t="inlineStr">
        <is>
          <t>2026-04-23</t>
        </is>
      </c>
      <c r="G495" t="inlineStr">
        <is>
          <t xml:space="preserve"> - Liberty Lodge</t>
        </is>
      </c>
      <c r="H495">
        <f>HYPERLINK("https://booking.roadsurfer.com/es/rally/pick?pickup_date=2026-04-09&amp;return_date=2026-04-23&amp;currency=EUR&amp;startStation=81&amp;endStation=104",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San Francisco</t>
        </is>
      </c>
      <c r="E496" t="inlineStr">
        <is>
          <t>2026-04-13</t>
        </is>
      </c>
      <c r="F496" t="inlineStr">
        <is>
          <t>2026-04-27</t>
        </is>
      </c>
      <c r="G496" t="inlineStr">
        <is>
          <t xml:space="preserve"> - Liberty Lodge</t>
        </is>
      </c>
      <c r="H496">
        <f>HYPERLINK("https://booking.roadsurfer.com/es/rally/pick?pickup_date=2026-04-13&amp;return_date=2026-04-27&amp;currency=EUR&amp;startStation=81&amp;endStation=75",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San Francisco</t>
        </is>
      </c>
      <c r="E497" t="inlineStr">
        <is>
          <t>2026-04-09</t>
        </is>
      </c>
      <c r="F497" t="inlineStr">
        <is>
          <t>2026-04-23</t>
        </is>
      </c>
      <c r="G497" t="inlineStr">
        <is>
          <t xml:space="preserve"> - Liberty Lodge - Couple Condo</t>
        </is>
      </c>
      <c r="H497">
        <f>HYPERLINK("https://booking.roadsurfer.com/es/rally/pick?pickup_date=2026-04-09&amp;return_date=2026-04-23&amp;currency=EUR&amp;startStation=81&amp;endStation=75",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San Francisco</t>
        </is>
      </c>
      <c r="E498" t="inlineStr">
        <is>
          <t>2026-04-08</t>
        </is>
      </c>
      <c r="F498" t="inlineStr">
        <is>
          <t>2026-04-22</t>
        </is>
      </c>
      <c r="G498" t="inlineStr">
        <is>
          <t xml:space="preserve"> - Liberty Lodge - Couple Condo</t>
        </is>
      </c>
      <c r="H498">
        <f>HYPERLINK("https://booking.roadsurfer.com/es/rally/pick?pickup_date=2026-04-08&amp;return_date=2026-04-22&amp;currency=EUR&amp;startStation=81&amp;endStation=75",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San Francisco</t>
        </is>
      </c>
      <c r="E499" t="inlineStr">
        <is>
          <t>2026-04-07</t>
        </is>
      </c>
      <c r="F499" t="inlineStr">
        <is>
          <t>2026-04-22</t>
        </is>
      </c>
      <c r="G499" t="inlineStr">
        <is>
          <t xml:space="preserve"> - Couple Condo</t>
        </is>
      </c>
      <c r="H499">
        <f>HYPERLINK("https://booking.roadsurfer.com/es/rally/pick?pickup_date=2026-04-07&amp;return_date=2026-04-22&amp;currency=EUR&amp;startStation=81&amp;endStation=75",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San Francisco</t>
        </is>
      </c>
      <c r="E500" t="inlineStr">
        <is>
          <t>2026-04-10</t>
        </is>
      </c>
      <c r="F500" t="inlineStr">
        <is>
          <t>2026-04-24</t>
        </is>
      </c>
      <c r="G500" t="inlineStr">
        <is>
          <t xml:space="preserve"> - Couple Condo</t>
        </is>
      </c>
      <c r="H500">
        <f>HYPERLINK("https://booking.roadsurfer.com/es/rally/pick?pickup_date=2026-04-10&amp;return_date=2026-04-24&amp;currency=EUR&amp;startStation=81&amp;endStation=75",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San Francisco</t>
        </is>
      </c>
      <c r="E501" t="inlineStr">
        <is>
          <t>2026-03-27</t>
        </is>
      </c>
      <c r="F501" t="inlineStr">
        <is>
          <t>2026-04-10</t>
        </is>
      </c>
      <c r="G501" t="inlineStr">
        <is>
          <t xml:space="preserve"> - Couple Condo</t>
        </is>
      </c>
      <c r="H501">
        <f>HYPERLINK("https://booking.roadsurfer.com/es/rally/pick?pickup_date=2026-03-27&amp;return_date=2026-04-10&amp;currency=EUR&amp;startStation=81&amp;endStation=75",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San Francisco</t>
        </is>
      </c>
      <c r="E502" t="inlineStr">
        <is>
          <t>2026-04-01</t>
        </is>
      </c>
      <c r="F502" t="inlineStr">
        <is>
          <t>2026-04-15</t>
        </is>
      </c>
      <c r="G502" t="inlineStr">
        <is>
          <t xml:space="preserve"> - Couple Condo</t>
        </is>
      </c>
      <c r="H502">
        <f>HYPERLINK("https://booking.roadsurfer.com/es/rally/pick?pickup_date=2026-04-01&amp;return_date=2026-04-15&amp;currency=EUR&amp;startStation=81&amp;endStation=75",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San Francisco</t>
        </is>
      </c>
      <c r="E503" t="inlineStr">
        <is>
          <t>2026-04-02</t>
        </is>
      </c>
      <c r="F503" t="inlineStr">
        <is>
          <t>2026-04-16</t>
        </is>
      </c>
      <c r="G503" t="inlineStr">
        <is>
          <t xml:space="preserve"> - Couple Condo</t>
        </is>
      </c>
      <c r="H503">
        <f>HYPERLINK("https://booking.roadsurfer.com/es/rally/pick?pickup_date=2026-04-02&amp;return_date=2026-04-16&amp;currency=EUR&amp;startStation=81&amp;endStation=75",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Las Vegas</t>
        </is>
      </c>
      <c r="E504" t="inlineStr">
        <is>
          <t>2026-03-27</t>
        </is>
      </c>
      <c r="F504" t="inlineStr">
        <is>
          <t>2026-04-10</t>
        </is>
      </c>
      <c r="G504" t="inlineStr">
        <is>
          <t xml:space="preserve"> - Liberty Lodge</t>
        </is>
      </c>
      <c r="H504">
        <f>HYPERLINK("https://booking.roadsurfer.com/es/rally/pick?pickup_date=2026-03-27&amp;return_date=2026-04-10&amp;currency=EUR&amp;startStation=81&amp;endStation=76",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Las Vegas</t>
        </is>
      </c>
      <c r="E505" t="inlineStr">
        <is>
          <t>2026-04-13</t>
        </is>
      </c>
      <c r="F505" t="inlineStr">
        <is>
          <t>2026-04-27</t>
        </is>
      </c>
      <c r="G505" t="inlineStr">
        <is>
          <t xml:space="preserve"> - Liberty Lodge</t>
        </is>
      </c>
      <c r="H505">
        <f>HYPERLINK("https://booking.roadsurfer.com/es/rally/pick?pickup_date=2026-04-13&amp;return_date=2026-04-27&amp;currency=EUR&amp;startStation=81&amp;endStation=76",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Las Vegas</t>
        </is>
      </c>
      <c r="E506" t="inlineStr">
        <is>
          <t>2026-04-14</t>
        </is>
      </c>
      <c r="F506" t="inlineStr">
        <is>
          <t>2026-04-28</t>
        </is>
      </c>
      <c r="G506" t="inlineStr">
        <is>
          <t xml:space="preserve"> - Liberty Lodge</t>
        </is>
      </c>
      <c r="H506">
        <f>HYPERLINK("https://booking.roadsurfer.com/es/rally/pick?pickup_date=2026-04-14&amp;return_date=2026-04-28&amp;currency=EUR&amp;startStation=81&amp;endStation=76",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Las Vegas</t>
        </is>
      </c>
      <c r="E507" t="inlineStr">
        <is>
          <t>2026-04-08</t>
        </is>
      </c>
      <c r="F507" t="inlineStr">
        <is>
          <t>2026-04-22</t>
        </is>
      </c>
      <c r="G507" t="inlineStr">
        <is>
          <t xml:space="preserve"> - Liberty Lodge</t>
        </is>
      </c>
      <c r="H507">
        <f>HYPERLINK("https://booking.roadsurfer.com/es/rally/pick?pickup_date=2026-04-08&amp;return_date=2026-04-22&amp;currency=EUR&amp;startStation=81&amp;endStation=76", "Clic para verlo en la web de RoadSurfer")</f>
        <v/>
      </c>
    </row>
    <row r="508">
      <c r="A508" t="inlineStr">
        <is>
          <t>EE.UU.</t>
        </is>
      </c>
      <c r="B508" t="inlineStr">
        <is>
          <t>Winnebago Industries</t>
        </is>
      </c>
      <c r="C508" t="inlineStr">
        <is>
          <t>EE.UU.</t>
        </is>
      </c>
      <c r="D508" t="inlineStr">
        <is>
          <t>Salt Lake City</t>
        </is>
      </c>
      <c r="E508" t="inlineStr">
        <is>
          <t>2026-04-10</t>
        </is>
      </c>
      <c r="F508" t="inlineStr">
        <is>
          <t>2026-04-24</t>
        </is>
      </c>
      <c r="G508" t="inlineStr">
        <is>
          <t xml:space="preserve"> - Liberty Lodge</t>
        </is>
      </c>
      <c r="H508">
        <f>HYPERLINK("https://booking.roadsurfer.com/es/rally/pick?pickup_date=2026-04-10&amp;return_date=2026-04-24&amp;currency=EUR&amp;startStation=81&amp;endStation=106", "Clic para verlo en la web de RoadSurfer")</f>
        <v/>
      </c>
    </row>
    <row r="509">
      <c r="A509" t="inlineStr">
        <is>
          <t>EE.UU.</t>
        </is>
      </c>
      <c r="B509" t="inlineStr">
        <is>
          <t>Winnebago Industries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2026-04-01</t>
        </is>
      </c>
      <c r="F509" t="inlineStr">
        <is>
          <t>2026-04-15</t>
        </is>
      </c>
      <c r="G509" t="inlineStr">
        <is>
          <t xml:space="preserve"> - Liberty Lodge</t>
        </is>
      </c>
      <c r="H509">
        <f>HYPERLINK("https://booking.roadsurfer.com/es/rally/pick?pickup_date=2026-04-01&amp;return_date=2026-04-15&amp;currency=EUR&amp;startStation=81&amp;endStation=107", "Clic para verlo en la web de RoadSurfer")</f>
        <v/>
      </c>
    </row>
    <row r="510">
      <c r="A510" t="inlineStr">
        <is>
          <t>EE.UU.</t>
        </is>
      </c>
      <c r="B510" t="inlineStr">
        <is>
          <t>Winnebago Industries</t>
        </is>
      </c>
      <c r="C510" t="inlineStr">
        <is>
          <t>EE.UU.</t>
        </is>
      </c>
      <c r="D510" t="inlineStr">
        <is>
          <t>Seattle</t>
        </is>
      </c>
      <c r="E510" t="inlineStr">
        <is>
          <t>2026-04-14</t>
        </is>
      </c>
      <c r="F510" t="inlineStr">
        <is>
          <t>2026-04-28</t>
        </is>
      </c>
      <c r="G510" t="inlineStr">
        <is>
          <t xml:space="preserve"> - Liberty Lodge</t>
        </is>
      </c>
      <c r="H510">
        <f>HYPERLINK("https://booking.roadsurfer.com/es/rally/pick?pickup_date=2026-04-14&amp;return_date=2026-04-28&amp;currency=EUR&amp;startStation=81&amp;endStation=107", "Clic para verlo en la web de RoadSurfer")</f>
        <v/>
      </c>
    </row>
    <row r="511">
      <c r="A511" t="inlineStr">
        <is>
          <t>EE.UU.</t>
        </is>
      </c>
      <c r="B511" t="inlineStr">
        <is>
          <t>Winnebago Industries</t>
        </is>
      </c>
      <c r="C511" t="inlineStr">
        <is>
          <t>EE.UU.</t>
        </is>
      </c>
      <c r="D511" t="inlineStr">
        <is>
          <t>Seattle</t>
        </is>
      </c>
      <c r="E511" t="inlineStr">
        <is>
          <t>2026-04-15</t>
        </is>
      </c>
      <c r="F511" t="inlineStr">
        <is>
          <t>2026-04-29</t>
        </is>
      </c>
      <c r="G511" t="inlineStr">
        <is>
          <t xml:space="preserve"> - Liberty Lodge</t>
        </is>
      </c>
      <c r="H511">
        <f>HYPERLINK("https://booking.roadsurfer.com/es/rally/pick?pickup_date=2026-04-15&amp;return_date=2026-04-29&amp;currency=EUR&amp;startStation=81&amp;endStation=107", "Clic para verlo en la web de RoadSurfer")</f>
        <v/>
      </c>
    </row>
    <row r="512">
      <c r="A512" t="inlineStr">
        <is>
          <t>EE.UU.</t>
        </is>
      </c>
      <c r="B512" t="inlineStr">
        <is>
          <t>Winnebago Industries</t>
        </is>
      </c>
      <c r="C512" t="inlineStr">
        <is>
          <t>EE.UU.</t>
        </is>
      </c>
      <c r="D512" t="inlineStr">
        <is>
          <t>Seattle</t>
        </is>
      </c>
      <c r="E512" t="inlineStr">
        <is>
          <t>2026-04-09</t>
        </is>
      </c>
      <c r="F512" t="inlineStr">
        <is>
          <t>2026-04-23</t>
        </is>
      </c>
      <c r="G512" t="inlineStr">
        <is>
          <t xml:space="preserve"> - Liberty Lodge</t>
        </is>
      </c>
      <c r="H512">
        <f>HYPERLINK("https://booking.roadsurfer.com/es/rally/pick?pickup_date=2026-04-09&amp;return_date=2026-04-23&amp;currency=EUR&amp;startStation=81&amp;endStation=107", "Clic para verlo en la web de RoadSurfer")</f>
        <v/>
      </c>
    </row>
    <row r="513">
      <c r="A513" t="inlineStr">
        <is>
          <t>EE.UU.</t>
        </is>
      </c>
      <c r="B513" t="inlineStr">
        <is>
          <t>Winnebago Industries</t>
        </is>
      </c>
      <c r="C513" t="inlineStr">
        <is>
          <t>EE.UU.</t>
        </is>
      </c>
      <c r="D513" t="inlineStr">
        <is>
          <t>Seattle</t>
        </is>
      </c>
      <c r="E513" t="inlineStr">
        <is>
          <t>2026-04-10</t>
        </is>
      </c>
      <c r="F513" t="inlineStr">
        <is>
          <t>2026-04-24</t>
        </is>
      </c>
      <c r="G513" t="inlineStr">
        <is>
          <t xml:space="preserve"> - Liberty Lodge</t>
        </is>
      </c>
      <c r="H513">
        <f>HYPERLINK("https://booking.roadsurfer.com/es/rally/pick?pickup_date=2026-04-10&amp;return_date=2026-04-24&amp;currency=EUR&amp;startStation=81&amp;endStation=107", "Clic para verlo en la web de RoadSurfer")</f>
        <v/>
      </c>
    </row>
    <row r="514">
      <c r="A514" t="inlineStr">
        <is>
          <t>EE.UU.</t>
        </is>
      </c>
      <c r="B514" t="inlineStr">
        <is>
          <t>Winnebago Industries</t>
        </is>
      </c>
      <c r="C514" t="inlineStr">
        <is>
          <t>EE.UU.</t>
        </is>
      </c>
      <c r="D514" t="inlineStr">
        <is>
          <t>Seattle</t>
        </is>
      </c>
      <c r="E514" t="inlineStr">
        <is>
          <t>2026-03-27</t>
        </is>
      </c>
      <c r="F514" t="inlineStr">
        <is>
          <t>2026-04-10</t>
        </is>
      </c>
      <c r="G514" t="inlineStr">
        <is>
          <t xml:space="preserve"> - Couple Condo</t>
        </is>
      </c>
      <c r="H514">
        <f>HYPERLINK("https://booking.roadsurfer.com/es/rally/pick?pickup_date=2026-03-27&amp;return_date=2026-04-10&amp;currency=EUR&amp;startStation=81&amp;endStation=107", "Clic para verlo en la web de RoadSurfer")</f>
        <v/>
      </c>
    </row>
    <row r="515">
      <c r="A515" t="inlineStr">
        <is>
          <t>EE.UU.</t>
        </is>
      </c>
      <c r="B515" t="inlineStr">
        <is>
          <t>Winnebago Industries</t>
        </is>
      </c>
      <c r="C515" t="inlineStr">
        <is>
          <t>EE.UU.</t>
        </is>
      </c>
      <c r="D515" t="inlineStr">
        <is>
          <t>Phoenix</t>
        </is>
      </c>
      <c r="E515" t="inlineStr">
        <is>
          <t>2026-04-07</t>
        </is>
      </c>
      <c r="F515" t="inlineStr">
        <is>
          <t>2026-04-21</t>
        </is>
      </c>
      <c r="G515" t="inlineStr">
        <is>
          <t xml:space="preserve"> - Liberty Lodge - Couple Condo</t>
        </is>
      </c>
      <c r="H515">
        <f>HYPERLINK("https://booking.roadsurfer.com/es/rally/pick?pickup_date=2026-04-07&amp;return_date=2026-04-21&amp;currency=EUR&amp;startStation=81&amp;endStation=105", "Clic para verlo en la web de RoadSurfer")</f>
        <v/>
      </c>
    </row>
    <row r="516">
      <c r="A516" t="inlineStr">
        <is>
          <t>EE.UU.</t>
        </is>
      </c>
      <c r="B516" t="inlineStr">
        <is>
          <t>Winnebago Industries</t>
        </is>
      </c>
      <c r="C516" t="inlineStr">
        <is>
          <t>EE.UU.</t>
        </is>
      </c>
      <c r="D516" t="inlineStr">
        <is>
          <t>Phoenix</t>
        </is>
      </c>
      <c r="E516" t="inlineStr">
        <is>
          <t>2026-04-08</t>
        </is>
      </c>
      <c r="F516" t="inlineStr">
        <is>
          <t>2026-04-22</t>
        </is>
      </c>
      <c r="G516" t="inlineStr">
        <is>
          <t xml:space="preserve"> - Couple Condo</t>
        </is>
      </c>
      <c r="H516">
        <f>HYPERLINK("https://booking.roadsurfer.com/es/rally/pick?pickup_date=2026-04-08&amp;return_date=2026-04-22&amp;currency=EUR&amp;startStation=81&amp;endStation=105", "Clic para verlo en la web de RoadSurfer")</f>
        <v/>
      </c>
    </row>
    <row r="517">
      <c r="A517" t="inlineStr">
        <is>
          <t>EE.UU.</t>
        </is>
      </c>
      <c r="B517" t="inlineStr">
        <is>
          <t>Winnebago Industries</t>
        </is>
      </c>
      <c r="C517" t="inlineStr">
        <is>
          <t>EE.UU.</t>
        </is>
      </c>
      <c r="D517" t="inlineStr">
        <is>
          <t>Phoenix</t>
        </is>
      </c>
      <c r="E517" t="inlineStr">
        <is>
          <t>2026-04-13</t>
        </is>
      </c>
      <c r="F517" t="inlineStr">
        <is>
          <t>2026-04-27</t>
        </is>
      </c>
      <c r="G517" t="inlineStr">
        <is>
          <t xml:space="preserve"> - Liberty Lodge</t>
        </is>
      </c>
      <c r="H517">
        <f>HYPERLINK("https://booking.roadsurfer.com/es/rally/pick?pickup_date=2026-04-13&amp;return_date=2026-04-27&amp;currency=EUR&amp;startStation=81&amp;endStation=105", "Clic para verlo en la web de RoadSurfer")</f>
        <v/>
      </c>
    </row>
    <row r="518">
      <c r="A518" t="inlineStr">
        <is>
          <t>EE.UU.</t>
        </is>
      </c>
      <c r="B518" t="inlineStr">
        <is>
          <t>Winnebago Industries</t>
        </is>
      </c>
      <c r="C518" t="inlineStr">
        <is>
          <t>EE.UU.</t>
        </is>
      </c>
      <c r="D518" t="inlineStr">
        <is>
          <t>Phoenix</t>
        </is>
      </c>
      <c r="E518" t="inlineStr">
        <is>
          <t>2026-04-15</t>
        </is>
      </c>
      <c r="F518" t="inlineStr">
        <is>
          <t>2026-04-29</t>
        </is>
      </c>
      <c r="G518" t="inlineStr">
        <is>
          <t xml:space="preserve"> - Liberty Lodge</t>
        </is>
      </c>
      <c r="H518">
        <f>HYPERLINK("https://booking.roadsurfer.com/es/rally/pick?pickup_date=2026-04-15&amp;return_date=2026-04-29&amp;currency=EUR&amp;startStation=81&amp;endStation=105", "Clic para verlo en la web de RoadSurfer")</f>
        <v/>
      </c>
    </row>
    <row r="519">
      <c r="A519" t="inlineStr">
        <is>
          <t>EE.UU.</t>
        </is>
      </c>
      <c r="B519" t="inlineStr">
        <is>
          <t>Winnebago Industries</t>
        </is>
      </c>
      <c r="C519" t="inlineStr">
        <is>
          <t>EE.UU.</t>
        </is>
      </c>
      <c r="D519" t="inlineStr">
        <is>
          <t>Phoenix</t>
        </is>
      </c>
      <c r="E519" t="inlineStr">
        <is>
          <t>2026-04-10</t>
        </is>
      </c>
      <c r="F519" t="inlineStr">
        <is>
          <t>2026-04-24</t>
        </is>
      </c>
      <c r="G519" t="inlineStr">
        <is>
          <t xml:space="preserve"> - Liberty Lodge</t>
        </is>
      </c>
      <c r="H519">
        <f>HYPERLINK("https://booking.roadsurfer.com/es/rally/pick?pickup_date=2026-04-10&amp;return_date=2026-04-24&amp;currency=EUR&amp;startStation=81&amp;endStation=105", "Clic para verlo en la web de RoadSurfer")</f>
        <v/>
      </c>
    </row>
    <row r="520">
      <c r="A520" t="inlineStr">
        <is>
          <t>EE.UU.</t>
        </is>
      </c>
      <c r="B520" t="inlineStr">
        <is>
          <t>Winnebago Industries</t>
        </is>
      </c>
      <c r="C520" t="inlineStr">
        <is>
          <t>EE.UU.</t>
        </is>
      </c>
      <c r="D520" t="inlineStr">
        <is>
          <t>Phoenix</t>
        </is>
      </c>
      <c r="E520" t="inlineStr">
        <is>
          <t>2026-04-09</t>
        </is>
      </c>
      <c r="F520" t="inlineStr">
        <is>
          <t>2026-04-23</t>
        </is>
      </c>
      <c r="G520" t="inlineStr">
        <is>
          <t xml:space="preserve"> - Liberty Lodge</t>
        </is>
      </c>
      <c r="H520">
        <f>HYPERLINK("https://booking.roadsurfer.com/es/rally/pick?pickup_date=2026-04-09&amp;return_date=2026-04-23&amp;currency=EUR&amp;startStation=81&amp;endStation=105", "Clic para verlo en la web de RoadSurfer")</f>
        <v/>
      </c>
    </row>
    <row r="521">
      <c r="A521" t="inlineStr">
        <is>
          <t>Alemania</t>
        </is>
      </c>
      <c r="B521" t="inlineStr">
        <is>
          <t>Wurzburgo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Road House</t>
        </is>
      </c>
      <c r="H521">
        <f>HYPERLINK("https://booking.roadsurfer.com/es/rally/pick?pickup_date=2026-04-20&amp;return_date=2026-04-27&amp;currency=EUR&amp;startStation=115&amp;endStation=34", "Clic para verlo en la web de RoadSurfer")</f>
        <v/>
      </c>
    </row>
    <row r="522">
      <c r="A522" t="inlineStr">
        <is>
          <t>Alemania</t>
        </is>
      </c>
      <c r="B522" t="inlineStr">
        <is>
          <t>Wurzburgo</t>
        </is>
      </c>
      <c r="C522" t="inlineStr">
        <is>
          <t>España</t>
        </is>
      </c>
      <c r="D522" t="inlineStr">
        <is>
          <t>Barcelona</t>
        </is>
      </c>
      <c r="E522" t="inlineStr">
        <is>
          <t>2026-04-18</t>
        </is>
      </c>
      <c r="F522" t="inlineStr">
        <is>
          <t>2026-04-25</t>
        </is>
      </c>
      <c r="G522" t="inlineStr">
        <is>
          <t xml:space="preserve"> - Road House</t>
        </is>
      </c>
      <c r="H522">
        <f>HYPERLINK("https://booking.roadsurfer.com/es/rally/pick?pickup_date=2026-04-18&amp;return_date=2026-04-25&amp;currency=EUR&amp;startStation=115&amp;endStation=17",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2026-03-27T20:46:29Z</dcterms:created>
  <dcterms:modified xsi:type="dcterms:W3CDTF">2026-03-27T20:46:29Z</dcterms:modified>
</cp:coreProperties>
</file>