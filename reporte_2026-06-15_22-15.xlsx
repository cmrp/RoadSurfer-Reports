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No hay coche</t>
        </is>
      </c>
      <c r="H3">
        <f>HYPERLINK("https://booking.roadsurfer.com/es/rally/pick?pickup_date=2026-06-18&amp;return_date=2026-06-25&amp;currency=EUR&amp;startStation=91&amp;endStation=87",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Sunrise Suite</t>
        </is>
      </c>
      <c r="H5">
        <f>HYPERLINK("https://booking.roadsurfer.com/es/rally/pick?pickup_date=2026-06-23&amp;return_date=2026-06-30&amp;currency=EUR&amp;startStation=91&amp;endStation=12",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Couple Cottage</t>
        </is>
      </c>
      <c r="H6">
        <f>HYPERLINK("https://booking.roadsurfer.com/es/rally/pick?pickup_date=2026-06-23&amp;return_date=2026-06-30&amp;currency=EUR&amp;startStation=24&amp;endStation=29",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Lyon</t>
        </is>
      </c>
      <c r="E7" t="inlineStr">
        <is>
          <t>2026-06-22</t>
        </is>
      </c>
      <c r="F7" t="inlineStr">
        <is>
          <t>2026-06-29</t>
        </is>
      </c>
      <c r="G7" t="inlineStr">
        <is>
          <t xml:space="preserve"> - Family Finca</t>
        </is>
      </c>
      <c r="H7">
        <f>HYPERLINK("https://booking.roadsurfer.com/es/rally/pick?pickup_date=2026-06-22&amp;return_date=2026-06-29&amp;currency=EUR&amp;startStation=24&amp;endStation=15",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2026-06-19</t>
        </is>
      </c>
      <c r="F8" t="inlineStr">
        <is>
          <t>2026-06-26</t>
        </is>
      </c>
      <c r="G8" t="inlineStr">
        <is>
          <t xml:space="preserve"> - Couple Cottage</t>
        </is>
      </c>
      <c r="H8">
        <f>HYPERLINK("https://booking.roadsurfer.com/es/rally/pick?pickup_date=2026-06-19&amp;return_date=2026-06-26&amp;currency=EUR&amp;startStation=24&amp;endStation=48",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Surfer Suite</t>
        </is>
      </c>
      <c r="H9">
        <f>HYPERLINK("https://booking.roadsurfer.com/es/rally/pick?pickup_date=2026-06-24&amp;return_date=2026-07-01&amp;currency=EUR&amp;startStation=13&amp;endStation=22",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 - Sunrise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2026-06-20</t>
        </is>
      </c>
      <c r="F11" t="inlineStr">
        <is>
          <t>2026-06-27</t>
        </is>
      </c>
      <c r="G11" t="inlineStr">
        <is>
          <t xml:space="preserve"> - Beach Hostel</t>
        </is>
      </c>
      <c r="H11">
        <f>HYPERLINK("https://booking.roadsurfer.com/es/rally/pick?pickup_date=2026-06-20&amp;return_date=2026-06-27&amp;currency=EUR&amp;startStation=55&amp;endStation=87",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Países Bajos</t>
        </is>
      </c>
      <c r="D12" t="inlineStr">
        <is>
          <t>Ámsterdam</t>
        </is>
      </c>
      <c r="E12" t="inlineStr">
        <is>
          <t>2026-06-22</t>
        </is>
      </c>
      <c r="F12" t="inlineStr">
        <is>
          <t>2026-06-29</t>
        </is>
      </c>
      <c r="G12" t="inlineStr">
        <is>
          <t xml:space="preserve"> - Road House</t>
        </is>
      </c>
      <c r="H12">
        <f>HYPERLINK("https://booking.roadsurfer.com/es/rally/pick?pickup_date=2026-06-22&amp;return_date=2026-06-29&amp;currency=EUR&amp;startStation=55&amp;endStation=32",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Couple Cottage</t>
        </is>
      </c>
      <c r="H13">
        <f>HYPERLINK("https://booking.roadsurfer.com/es/rally/pick?pickup_date=2026-06-23&amp;return_date=2026-06-30&amp;currency=EUR&amp;startStation=55&amp;endStation=15",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Couple Cottage</t>
        </is>
      </c>
      <c r="H14">
        <f>HYPERLINK("https://booking.roadsurfer.com/es/rally/pick?pickup_date=2026-06-23&amp;return_date=2026-06-30&amp;currency=EUR&amp;startStation=55&amp;endStation=48",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Camper Cabin</t>
        </is>
      </c>
      <c r="H15">
        <f>HYPERLINK("https://booking.roadsurfer.com/es/rally/pick?pickup_date=2026-06-24&amp;return_date=2026-07-01&amp;currency=EUR&amp;startStation=55&amp;endStation=42", "Clic para verlo en la web de RoadSurfer")</f>
        <v/>
      </c>
    </row>
    <row r="16">
      <c r="A16" t="inlineStr">
        <is>
          <t>Reino Unido</t>
        </is>
      </c>
      <c r="B16" t="inlineStr">
        <is>
          <t>Bristol</t>
        </is>
      </c>
      <c r="C16" t="inlineStr">
        <is>
          <t>Reino Unido</t>
        </is>
      </c>
      <c r="D16" t="inlineStr">
        <is>
          <t>Edimburgo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No hay coche</t>
        </is>
      </c>
      <c r="H16">
        <f>HYPERLINK("https://booking.roadsurfer.com/es/rally/pick?pickup_date=2026-06-22&amp;return_date=2026-06-29&amp;currency=EUR&amp;startStation=98&amp;endStation=64",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2026-06-22</t>
        </is>
      </c>
      <c r="F17" t="inlineStr">
        <is>
          <t>2026-06-29</t>
        </is>
      </c>
      <c r="G17" t="inlineStr"/>
      <c r="H17">
        <f>HYPERLINK("https://booking.roadsurfer.com/es/rally/pick?pickup_date=2026-06-22&amp;return_date=2026-06-29&amp;currency=EUR&amp;startStation=42&amp;endStation=29", "Clic para verlo en la web de RoadSurfer")</f>
        <v/>
      </c>
    </row>
    <row r="18">
      <c r="A18" t="inlineStr">
        <is>
          <t>Canadá</t>
        </is>
      </c>
      <c r="B18" t="inlineStr">
        <is>
          <t>Calgary</t>
        </is>
      </c>
      <c r="C18" t="inlineStr">
        <is>
          <t>Canadá</t>
        </is>
      </c>
      <c r="D18" t="inlineStr">
        <is>
          <t>Vancouver</t>
        </is>
      </c>
      <c r="E18" t="inlineStr">
        <is>
          <t>2026-07-03</t>
        </is>
      </c>
      <c r="F18" t="inlineStr">
        <is>
          <t>2026-07-10</t>
        </is>
      </c>
      <c r="G18" t="inlineStr">
        <is>
          <t xml:space="preserve"> - Liberty Lodge</t>
        </is>
      </c>
      <c r="H18">
        <f>HYPERLINK("https://booking.roadsurfer.com/es/rally/pick?pickup_date=2026-07-03&amp;return_date=2026-07-10&amp;currency=EUR&amp;startStation=84&amp;endStation=83", "Clic para verlo en la web de RoadSurfer")</f>
        <v/>
      </c>
    </row>
    <row r="19">
      <c r="A19" t="inlineStr">
        <is>
          <t>Alemania</t>
        </is>
      </c>
      <c r="B19" t="inlineStr">
        <is>
          <t>Colonia-Bonn</t>
        </is>
      </c>
      <c r="C19" t="inlineStr">
        <is>
          <t>España</t>
        </is>
      </c>
      <c r="D19" t="inlineStr">
        <is>
          <t>Bilbao</t>
        </is>
      </c>
      <c r="E19" t="inlineStr">
        <is>
          <t>2026-06-24</t>
        </is>
      </c>
      <c r="F19" t="inlineStr">
        <is>
          <t>2026-07-01</t>
        </is>
      </c>
      <c r="G19" t="inlineStr">
        <is>
          <t xml:space="preserve"> - Sunrise Suite</t>
        </is>
      </c>
      <c r="H19">
        <f>HYPERLINK("https://booking.roadsurfer.com/es/rally/pick?pickup_date=2026-06-24&amp;return_date=2026-07-01&amp;currency=EUR&amp;startStation=52&amp;endStation=40", "Clic para verlo en la web de RoadSurfer")</f>
        <v/>
      </c>
    </row>
    <row r="20">
      <c r="A20" t="inlineStr">
        <is>
          <t>Alemania</t>
        </is>
      </c>
      <c r="B20" t="inlineStr">
        <is>
          <t>Colonia-Düsseldorf</t>
        </is>
      </c>
      <c r="C20" t="inlineStr">
        <is>
          <t>Francia</t>
        </is>
      </c>
      <c r="D20" t="inlineStr">
        <is>
          <t>Toulouse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Family Finca</t>
        </is>
      </c>
      <c r="H20">
        <f>HYPERLINK("https://booking.roadsurfer.com/es/rally/pick?pickup_date=2026-06-25&amp;return_date=2026-07-02&amp;currency=EUR&amp;startStation=4&amp;endStation=30",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Sunrise Suite</t>
        </is>
      </c>
      <c r="H21">
        <f>HYPERLINK("https://booking.roadsurfer.com/es/rally/pick?pickup_date=2026-06-23&amp;return_date=2026-06-30&amp;currency=EUR&amp;startStation=4&amp;endStation=13",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2026-06-26</t>
        </is>
      </c>
      <c r="F22" t="inlineStr">
        <is>
          <t>2026-07-03</t>
        </is>
      </c>
      <c r="G22" t="inlineStr"/>
      <c r="H22">
        <f>HYPERLINK("https://booking.roadsurfer.com/es/rally/pick?pickup_date=2026-06-26&amp;return_date=2026-07-03&amp;currency=EUR&amp;startStation=56&amp;endStation=15",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Camper Castle</t>
        </is>
      </c>
      <c r="H23">
        <f>HYPERLINK("https://booking.roadsurfer.com/es/rally/pick?pickup_date=2026-06-23&amp;return_date=2026-06-30&amp;currency=EUR&amp;startStation=56&amp;endStation=59",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Camper Castle</t>
        </is>
      </c>
      <c r="H24">
        <f>HYPERLINK("https://booking.roadsurfer.com/es/rally/pick?pickup_date=2026-06-22&amp;return_date=2026-06-29&amp;currency=EUR&amp;startStation=56&amp;endStation=59",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2026-06-20</t>
        </is>
      </c>
      <c r="F25" t="inlineStr">
        <is>
          <t>2026-06-27</t>
        </is>
      </c>
      <c r="G25" t="inlineStr">
        <is>
          <t xml:space="preserve"> - Beach Hostel</t>
        </is>
      </c>
      <c r="H25">
        <f>HYPERLINK("https://booking.roadsurfer.com/es/rally/pick?pickup_date=2026-06-20&amp;return_date=2026-06-27&amp;currency=EUR&amp;startStation=56&amp;endStation=59",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2026-06-19</t>
        </is>
      </c>
      <c r="F26" t="inlineStr">
        <is>
          <t>2026-06-26</t>
        </is>
      </c>
      <c r="G26" t="inlineStr">
        <is>
          <t xml:space="preserve"> - No hay coche</t>
        </is>
      </c>
      <c r="H26">
        <f>HYPERLINK("https://booking.roadsurfer.com/es/rally/pick?pickup_date=2026-06-19&amp;return_date=2026-06-26&amp;currency=EUR&amp;startStation=56&amp;endStation=12", "Clic para verlo en la web de RoadSurfer")</f>
        <v/>
      </c>
    </row>
    <row r="27">
      <c r="A27" t="inlineStr">
        <is>
          <t>Alemania</t>
        </is>
      </c>
      <c r="B27" t="inlineStr">
        <is>
          <t>Erfurt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2026-06-25</t>
        </is>
      </c>
      <c r="F27" t="inlineStr">
        <is>
          <t>2026-07-02</t>
        </is>
      </c>
      <c r="G27" t="inlineStr">
        <is>
          <t xml:space="preserve"> - Surfer Suite</t>
        </is>
      </c>
      <c r="H27">
        <f>HYPERLINK("https://booking.roadsurfer.com/es/rally/pick?pickup_date=2026-06-25&amp;return_date=2026-07-02&amp;currency=EUR&amp;startStation=90&amp;endStation=42",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2026-06-24</t>
        </is>
      </c>
      <c r="F28" t="inlineStr">
        <is>
          <t>2026-07-01</t>
        </is>
      </c>
      <c r="G28" t="inlineStr">
        <is>
          <t xml:space="preserve"> - No hay coche</t>
        </is>
      </c>
      <c r="H28">
        <f>HYPERLINK("https://booking.roadsurfer.com/es/rally/pick?pickup_date=2026-06-24&amp;return_date=2026-07-01&amp;currency=EUR&amp;startStation=90&amp;endStation=60",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Cabin</t>
        </is>
      </c>
      <c r="H29">
        <f>HYPERLINK("https://booking.roadsurfer.com/es/rally/pick?pickup_date=2026-06-29&amp;return_date=2026-07-06&amp;currency=EUR&amp;startStation=90&amp;endStation=15", "Clic para verlo en la web de RoadSurfer")</f>
        <v/>
      </c>
    </row>
    <row r="30">
      <c r="A30" t="inlineStr">
        <is>
          <t>Alemania</t>
        </is>
      </c>
      <c r="B30" t="inlineStr">
        <is>
          <t>Friburgo-Basilea (Alemania)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2026-06-25</t>
        </is>
      </c>
      <c r="F30" t="inlineStr">
        <is>
          <t>2026-07-02</t>
        </is>
      </c>
      <c r="G30" t="inlineStr">
        <is>
          <t xml:space="preserve"> - Road House</t>
        </is>
      </c>
      <c r="H30">
        <f>HYPERLINK("https://booking.roadsurfer.com/es/rally/pick?pickup_date=2026-06-25&amp;return_date=2026-07-02&amp;currency=EUR&amp;startStation=9&amp;endStation=40", "Clic para verlo en la web de RoadSurfer")</f>
        <v/>
      </c>
    </row>
    <row r="31">
      <c r="A31" t="inlineStr">
        <is>
          <t>Alemania</t>
        </is>
      </c>
      <c r="B31" t="inlineStr">
        <is>
          <t>Hamburgo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No hay coche</t>
        </is>
      </c>
      <c r="H31">
        <f>HYPERLINK("https://booking.roadsurfer.com/es/rally/pick?pickup_date=2026-06-22&amp;return_date=2026-06-29&amp;currency=EUR&amp;startStation=3&amp;endStation=13", "Clic para verlo en la web de RoadSurfer")</f>
        <v/>
      </c>
    </row>
    <row r="32">
      <c r="A32" t="inlineStr">
        <is>
          <t>Alemania</t>
        </is>
      </c>
      <c r="B32" t="inlineStr">
        <is>
          <t>Hannover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Travel Home</t>
        </is>
      </c>
      <c r="H32">
        <f>HYPERLINK("https://booking.roadsurfer.com/es/rally/pick?pickup_date=2026-06-22&amp;return_date=2026-06-29&amp;currency=EUR&amp;startStation=7&amp;endStation=12", "Clic para verlo en la web de RoadSurfer")</f>
        <v/>
      </c>
    </row>
    <row r="33">
      <c r="A33" t="inlineStr">
        <is>
          <t>Alemania</t>
        </is>
      </c>
      <c r="B33" t="inlineStr">
        <is>
          <t>Hannover</t>
        </is>
      </c>
      <c r="C33" t="inlineStr">
        <is>
          <t>Francia</t>
        </is>
      </c>
      <c r="D33" t="inlineStr">
        <is>
          <t>Toulouse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Surfer Suite</t>
        </is>
      </c>
      <c r="H33">
        <f>HYPERLINK("https://booking.roadsurfer.com/es/rally/pick?pickup_date=2026-06-25&amp;return_date=2026-07-02&amp;currency=EUR&amp;startStation=7&amp;endStation=30", "Clic para verlo en la web de RoadSurfer")</f>
        <v/>
      </c>
    </row>
    <row r="34">
      <c r="A34" t="inlineStr">
        <is>
          <t>Alemania</t>
        </is>
      </c>
      <c r="B34" t="inlineStr">
        <is>
          <t>Hannover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2026-06-24</t>
        </is>
      </c>
      <c r="F34" t="inlineStr">
        <is>
          <t>2026-07-01</t>
        </is>
      </c>
      <c r="G34" t="inlineStr">
        <is>
          <t xml:space="preserve"> - Sunrise Suite</t>
        </is>
      </c>
      <c r="H34">
        <f>HYPERLINK("https://booking.roadsurfer.com/es/rally/pick?pickup_date=2026-06-24&amp;return_date=2026-07-01&amp;currency=EUR&amp;startStation=7&amp;endStation=42", "Clic para verlo en la web de RoadSurfer")</f>
        <v/>
      </c>
    </row>
    <row r="35">
      <c r="A35" t="inlineStr">
        <is>
          <t>Alemania</t>
        </is>
      </c>
      <c r="B35" t="inlineStr">
        <is>
          <t>Heidelberg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2026-06-24</t>
        </is>
      </c>
      <c r="F35" t="inlineStr">
        <is>
          <t>2026-07-01</t>
        </is>
      </c>
      <c r="G35" t="inlineStr">
        <is>
          <t xml:space="preserve"> - Surfer Suite</t>
        </is>
      </c>
      <c r="H35">
        <f>HYPERLINK("https://booking.roadsurfer.com/es/rally/pick?pickup_date=2026-06-24&amp;return_date=2026-07-01&amp;currency=EUR&amp;startStation=79&amp;endStation=20",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HYPERLINK("https://booking.roadsurfer.com/es/rally/pick?pickup_date=2026-06-22&amp;return_date=2026-06-29&amp;currency=EUR&amp;startStation=79&amp;endStation=130", "Clic para verlo en la web de RoadSurfer")</f>
        <v/>
      </c>
    </row>
    <row r="37">
      <c r="A37" t="inlineStr">
        <is>
          <t>Alemania</t>
        </is>
      </c>
      <c r="B37" t="inlineStr">
        <is>
          <t>Kassel</t>
        </is>
      </c>
      <c r="C37" t="inlineStr">
        <is>
          <t>Francia</t>
        </is>
      </c>
      <c r="D37" t="inlineStr">
        <is>
          <t>Toulouse</t>
        </is>
      </c>
      <c r="E37" t="inlineStr">
        <is>
          <t>2026-06-24</t>
        </is>
      </c>
      <c r="F37" t="inlineStr">
        <is>
          <t>2026-07-01</t>
        </is>
      </c>
      <c r="G37" t="inlineStr">
        <is>
          <t xml:space="preserve"> - Surfer Suite</t>
        </is>
      </c>
      <c r="H37">
        <f>HYPERLINK("https://booking.roadsurfer.com/es/rally/pick?pickup_date=2026-06-24&amp;return_date=2026-07-01&amp;currency=EUR&amp;startStation=92&amp;endStation=30", "Clic para verlo en la web de RoadSurfer")</f>
        <v/>
      </c>
    </row>
    <row r="38">
      <c r="A38" t="inlineStr">
        <is>
          <t>Alemania</t>
        </is>
      </c>
      <c r="B38" t="inlineStr">
        <is>
          <t>Kassel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2026-06-19</t>
        </is>
      </c>
      <c r="F38" t="inlineStr">
        <is>
          <t>2026-06-26</t>
        </is>
      </c>
      <c r="G38" t="inlineStr">
        <is>
          <t xml:space="preserve"> - Beach Hostel</t>
        </is>
      </c>
      <c r="H38">
        <f>HYPERLINK("https://booking.roadsurfer.com/es/rally/pick?pickup_date=2026-06-19&amp;return_date=2026-06-26&amp;currency=EUR&amp;startStation=92&amp;endStation=13", "Clic para verlo en la web de RoadSurfer")</f>
        <v/>
      </c>
    </row>
    <row r="39">
      <c r="A39" t="inlineStr">
        <is>
          <t>Alemania</t>
        </is>
      </c>
      <c r="B39" t="inlineStr">
        <is>
          <t>Kassel</t>
        </is>
      </c>
      <c r="C39" t="inlineStr">
        <is>
          <t>Italia</t>
        </is>
      </c>
      <c r="D39" t="inlineStr">
        <is>
          <t>Bérgamo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Surfer Suite</t>
        </is>
      </c>
      <c r="H39">
        <f>HYPERLINK("https://booking.roadsurfer.com/es/rally/pick?pickup_date=2026-06-22&amp;return_date=2026-06-29&amp;currency=EUR&amp;startStation=92&amp;endStation=94", "Clic para verlo en la web de RoadSurfer")</f>
        <v/>
      </c>
    </row>
    <row r="40">
      <c r="A40" t="inlineStr">
        <is>
          <t>Alemania</t>
        </is>
      </c>
      <c r="B40" t="inlineStr">
        <is>
          <t>Kiel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2026-06-17</t>
        </is>
      </c>
      <c r="F40" t="inlineStr">
        <is>
          <t>2026-06-24</t>
        </is>
      </c>
      <c r="G40" t="inlineStr">
        <is>
          <t xml:space="preserve"> - Sunrise Suite</t>
        </is>
      </c>
      <c r="H40">
        <f>HYPERLINK("https://booking.roadsurfer.com/es/rally/pick?pickup_date=2026-06-17&amp;return_date=2026-06-24&amp;currency=EUR&amp;startStation=111&amp;endStation=29", "Clic para verlo en la web de RoadSurfer")</f>
        <v/>
      </c>
    </row>
    <row r="41">
      <c r="A41" t="inlineStr">
        <is>
          <t>EE.UU.</t>
        </is>
      </c>
      <c r="B41" t="inlineStr">
        <is>
          <t>Las Vegas</t>
        </is>
      </c>
      <c r="C41" t="inlineStr">
        <is>
          <t>EE.UU.</t>
        </is>
      </c>
      <c r="D41" t="inlineStr">
        <is>
          <t>Dallas</t>
        </is>
      </c>
      <c r="E41" t="inlineStr">
        <is>
          <t>2026-07-06</t>
        </is>
      </c>
      <c r="F41" t="inlineStr">
        <is>
          <t>2026-07-13</t>
        </is>
      </c>
      <c r="G41" t="inlineStr">
        <is>
          <t xml:space="preserve"> - Liberty Lodge - Couple Condo</t>
        </is>
      </c>
      <c r="H41">
        <f>HYPERLINK("https://booking.roadsurfer.com/es/rally/pick?pickup_date=2026-07-06&amp;return_date=2026-07-13&amp;currency=EUR&amp;startStation=76&amp;endStation=125", "Clic para verlo en la web de RoadSurfer")</f>
        <v/>
      </c>
    </row>
    <row r="42">
      <c r="A42" t="inlineStr">
        <is>
          <t>Alemania</t>
        </is>
      </c>
      <c r="B42" t="inlineStr">
        <is>
          <t>Leipzig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2026-06-25</t>
        </is>
      </c>
      <c r="F42" t="inlineStr">
        <is>
          <t>2026-07-02</t>
        </is>
      </c>
      <c r="G42" t="inlineStr">
        <is>
          <t xml:space="preserve"> - No hay coche</t>
        </is>
      </c>
      <c r="H42">
        <f>HYPERLINK("https://booking.roadsurfer.com/es/rally/pick?pickup_date=2026-06-25&amp;return_date=2026-07-02&amp;currency=EUR&amp;startStation=8&amp;endStation=13", "Clic para verlo en la web de RoadSurfer")</f>
        <v/>
      </c>
    </row>
    <row r="43">
      <c r="A43" t="inlineStr">
        <is>
          <t>Alemania</t>
        </is>
      </c>
      <c r="B43" t="inlineStr">
        <is>
          <t>Leipzig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2026-06-24</t>
        </is>
      </c>
      <c r="F43" t="inlineStr">
        <is>
          <t>2026-07-01</t>
        </is>
      </c>
      <c r="G43" t="inlineStr">
        <is>
          <t xml:space="preserve"> - Road House</t>
        </is>
      </c>
      <c r="H43">
        <f>HYPERLINK("https://booking.roadsurfer.com/es/rally/pick?pickup_date=2026-06-24&amp;return_date=2026-07-01&amp;currency=EUR&amp;startStation=8&amp;endStation=13", "Clic para verlo en la web de RoadSurfer")</f>
        <v/>
      </c>
    </row>
    <row r="44">
      <c r="A44" t="inlineStr">
        <is>
          <t>Alemania</t>
        </is>
      </c>
      <c r="B44" t="inlineStr">
        <is>
          <t>Leipzig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HYPERLINK("https://booking.roadsurfer.com/es/rally/pick?pickup_date=2026-06-22&amp;return_date=2026-06-29&amp;currency=EUR&amp;startStation=8&amp;endStation=60", "Clic para verlo en la web de RoadSurfer")</f>
        <v/>
      </c>
    </row>
    <row r="45">
      <c r="A45" t="inlineStr">
        <is>
          <t>Alemania</t>
        </is>
      </c>
      <c r="B45" t="inlineStr">
        <is>
          <t>Lindau-Wangen</t>
        </is>
      </c>
      <c r="C45" t="inlineStr">
        <is>
          <t>Francia</t>
        </is>
      </c>
      <c r="D45" t="inlineStr">
        <is>
          <t>Nantes</t>
        </is>
      </c>
      <c r="E45" t="inlineStr">
        <is>
          <t>2026-06-25</t>
        </is>
      </c>
      <c r="F45" t="inlineStr">
        <is>
          <t>2026-07-02</t>
        </is>
      </c>
      <c r="G45" t="inlineStr">
        <is>
          <t xml:space="preserve"> - Surfer Suite</t>
        </is>
      </c>
      <c r="H45">
        <f>HYPERLINK("https://booking.roadsurfer.com/es/rally/pick?pickup_date=2026-06-25&amp;return_date=2026-07-02&amp;currency=EUR&amp;startStation=117&amp;endStation=31", "Clic para verlo en la web de RoadSurfer")</f>
        <v/>
      </c>
    </row>
    <row r="46">
      <c r="A46" t="inlineStr">
        <is>
          <t>Alemania</t>
        </is>
      </c>
      <c r="B46" t="inlineStr">
        <is>
          <t>Lindau-Wangen</t>
        </is>
      </c>
      <c r="C46" t="inlineStr">
        <is>
          <t>Francia</t>
        </is>
      </c>
      <c r="D46" t="inlineStr">
        <is>
          <t>Toulouse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Travel Home</t>
        </is>
      </c>
      <c r="H46">
        <f>HYPERLINK("https://booking.roadsurfer.com/es/rally/pick?pickup_date=2026-06-22&amp;return_date=2026-06-29&amp;currency=EUR&amp;startStation=117&amp;endStation=30", "Clic para verlo en la web de RoadSurfer")</f>
        <v/>
      </c>
    </row>
    <row r="47">
      <c r="A47" t="inlineStr">
        <is>
          <t>Alemania</t>
        </is>
      </c>
      <c r="B47" t="inlineStr">
        <is>
          <t>Lindau-Wangen</t>
        </is>
      </c>
      <c r="C47" t="inlineStr">
        <is>
          <t>Francia</t>
        </is>
      </c>
      <c r="D47" t="inlineStr">
        <is>
          <t>Toulouse</t>
        </is>
      </c>
      <c r="E47" t="inlineStr">
        <is>
          <t>2026-06-29</t>
        </is>
      </c>
      <c r="F47" t="inlineStr">
        <is>
          <t>2026-07-06</t>
        </is>
      </c>
      <c r="G47" t="inlineStr">
        <is>
          <t xml:space="preserve"> - No hay coche</t>
        </is>
      </c>
      <c r="H47">
        <f>HYPERLINK("https://booking.roadsurfer.com/es/rally/pick?pickup_date=2026-06-29&amp;return_date=2026-07-06&amp;currency=EUR&amp;startStation=117&amp;endStation=30", "Clic para verlo en la web de RoadSurfer")</f>
        <v/>
      </c>
    </row>
    <row r="48">
      <c r="A48" t="inlineStr">
        <is>
          <t>Reino Unido</t>
        </is>
      </c>
      <c r="B48" t="inlineStr">
        <is>
          <t>Londres</t>
        </is>
      </c>
      <c r="C48" t="inlineStr">
        <is>
          <t>Reino Unido</t>
        </is>
      </c>
      <c r="D48" t="inlineStr">
        <is>
          <t>Mánchester</t>
        </is>
      </c>
      <c r="E48" t="inlineStr">
        <is>
          <t>2026-06-29</t>
        </is>
      </c>
      <c r="F48" t="inlineStr">
        <is>
          <t>2026-07-06</t>
        </is>
      </c>
      <c r="G48" t="inlineStr">
        <is>
          <t xml:space="preserve"> - No hay coche</t>
        </is>
      </c>
      <c r="H48">
        <f>HYPERLINK("https://booking.roadsurfer.com/es/rally/pick?pickup_date=2026-06-29&amp;return_date=2026-07-06&amp;currency=EUR&amp;startStation=63&amp;endStation=99", "Clic para verlo en la web de RoadSurfer")</f>
        <v/>
      </c>
    </row>
    <row r="49">
      <c r="A49" t="inlineStr">
        <is>
          <t>Reino Unido</t>
        </is>
      </c>
      <c r="B49" t="inlineStr">
        <is>
          <t>Londres</t>
        </is>
      </c>
      <c r="C49" t="inlineStr">
        <is>
          <t>Reino Unido</t>
        </is>
      </c>
      <c r="D49" t="inlineStr">
        <is>
          <t>Edimburgo</t>
        </is>
      </c>
      <c r="E49" t="inlineStr">
        <is>
          <t>2026-06-24</t>
        </is>
      </c>
      <c r="F49" t="inlineStr">
        <is>
          <t>2026-07-01</t>
        </is>
      </c>
      <c r="G49" t="inlineStr">
        <is>
          <t xml:space="preserve"> - No hay coche</t>
        </is>
      </c>
      <c r="H49">
        <f>HYPERLINK("https://booking.roadsurfer.com/es/rally/pick?pickup_date=2026-06-24&amp;return_date=2026-07-01&amp;currency=EUR&amp;startStation=63&amp;endStation=64", "Clic para verlo en la web de RoadSurfer")</f>
        <v/>
      </c>
    </row>
    <row r="50">
      <c r="A50" t="inlineStr">
        <is>
          <t>Alemania</t>
        </is>
      </c>
      <c r="B50" t="inlineStr">
        <is>
          <t>Maguncia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2026-06-25</t>
        </is>
      </c>
      <c r="F50" t="inlineStr">
        <is>
          <t>2026-07-02</t>
        </is>
      </c>
      <c r="G50" t="inlineStr">
        <is>
          <t xml:space="preserve"> - Beach Hostel</t>
        </is>
      </c>
      <c r="H50">
        <f>HYPERLINK("https://booking.roadsurfer.com/es/rally/pick?pickup_date=2026-06-25&amp;return_date=2026-07-02&amp;currency=EUR&amp;startStation=54&amp;endStation=48", "Clic para verlo en la web de RoadSurfer")</f>
        <v/>
      </c>
    </row>
    <row r="51">
      <c r="A51" t="inlineStr">
        <is>
          <t>Alemania</t>
        </is>
      </c>
      <c r="B51" t="inlineStr">
        <is>
          <t>Maguncia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2026-06-24</t>
        </is>
      </c>
      <c r="F51" t="inlineStr">
        <is>
          <t>2026-07-01</t>
        </is>
      </c>
      <c r="G51" t="inlineStr">
        <is>
          <t xml:space="preserve"> - Surfer Suite</t>
        </is>
      </c>
      <c r="H51">
        <f>HYPERLINK("https://booking.roadsurfer.com/es/rally/pick?pickup_date=2026-06-24&amp;return_date=2026-07-01&amp;currency=EUR&amp;startStation=54&amp;endStation=59", "Clic para verlo en la web de RoadSurfer")</f>
        <v/>
      </c>
    </row>
    <row r="52">
      <c r="A52" t="inlineStr">
        <is>
          <t>Alemania</t>
        </is>
      </c>
      <c r="B52" t="inlineStr">
        <is>
          <t>Maguncia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Sunrise Suite</t>
        </is>
      </c>
      <c r="H52">
        <f>HYPERLINK("https://booking.roadsurfer.com/es/rally/pick?pickup_date=2026-06-22&amp;return_date=2026-06-29&amp;currency=EUR&amp;startStation=54&amp;endStation=13", "Clic para verlo en la web de RoadSurfer")</f>
        <v/>
      </c>
    </row>
    <row r="53">
      <c r="A53" t="inlineStr">
        <is>
          <t>Alemania</t>
        </is>
      </c>
      <c r="B53" t="inlineStr">
        <is>
          <t>Maguncia</t>
        </is>
      </c>
      <c r="C53" t="inlineStr">
        <is>
          <t>España</t>
        </is>
      </c>
      <c r="D53" t="inlineStr">
        <is>
          <t>Madrid</t>
        </is>
      </c>
      <c r="E53" t="inlineStr">
        <is>
          <t>2026-06-17</t>
        </is>
      </c>
      <c r="F53" t="inlineStr">
        <is>
          <t>2026-06-24</t>
        </is>
      </c>
      <c r="G53" t="inlineStr">
        <is>
          <t xml:space="preserve"> - Camper Castle</t>
        </is>
      </c>
      <c r="H53">
        <f>HYPERLINK("https://booking.roadsurfer.com/es/rally/pick?pickup_date=2026-06-17&amp;return_date=2026-06-24&amp;currency=EUR&amp;startStation=54&amp;endStation=20", "Clic para verlo en la web de RoadSurfer")</f>
        <v/>
      </c>
    </row>
    <row r="54">
      <c r="A54" t="inlineStr">
        <is>
          <t>España</t>
        </is>
      </c>
      <c r="B54" t="inlineStr">
        <is>
          <t>Málaga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2026-06-29</t>
        </is>
      </c>
      <c r="F54" t="inlineStr">
        <is>
          <t>2026-07-06</t>
        </is>
      </c>
      <c r="G54" t="inlineStr">
        <is>
          <t xml:space="preserve"> - Surfer Suite</t>
        </is>
      </c>
      <c r="H54">
        <f>HYPERLINK("https://booking.roadsurfer.com/es/rally/pick?pickup_date=2026-06-29&amp;return_date=2026-07-06&amp;currency=EUR&amp;startStation=21&amp;endStation=78", "Clic para verlo en la web de RoadSurfer")</f>
        <v/>
      </c>
    </row>
    <row r="55">
      <c r="A55" t="inlineStr">
        <is>
          <t>España</t>
        </is>
      </c>
      <c r="B55" t="inlineStr">
        <is>
          <t>Málaga</t>
        </is>
      </c>
      <c r="C55" t="inlineStr">
        <is>
          <t>Italia</t>
        </is>
      </c>
      <c r="D55" t="inlineStr">
        <is>
          <t>Bérgamo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Surfer Suite</t>
        </is>
      </c>
      <c r="H55">
        <f>HYPERLINK("https://booking.roadsurfer.com/es/rally/pick?pickup_date=2026-06-22&amp;return_date=2026-06-29&amp;currency=EUR&amp;startStation=21&amp;endStation=94", "Clic para verlo en la web de RoadSurfer")</f>
        <v/>
      </c>
    </row>
    <row r="56">
      <c r="A56" t="inlineStr">
        <is>
          <t>España</t>
        </is>
      </c>
      <c r="B56" t="inlineStr">
        <is>
          <t>Málaga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2026-06-29</t>
        </is>
      </c>
      <c r="F56" t="inlineStr">
        <is>
          <t>2026-07-06</t>
        </is>
      </c>
      <c r="G56" t="inlineStr">
        <is>
          <t xml:space="preserve"> - No hay coche</t>
        </is>
      </c>
      <c r="H56">
        <f>HYPERLINK("https://booking.roadsurfer.com/es/rally/pick?pickup_date=2026-06-29&amp;return_date=2026-07-06&amp;currency=EUR&amp;startStation=21&amp;endStation=5", "Clic para verlo en la web de RoadSurfer")</f>
        <v/>
      </c>
    </row>
    <row r="57">
      <c r="A57" t="inlineStr">
        <is>
          <t>Suecia</t>
        </is>
      </c>
      <c r="B57" t="inlineStr">
        <is>
          <t>Malmö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No hay coche</t>
        </is>
      </c>
      <c r="H57">
        <f>HYPERLINK("https://booking.roadsurfer.com/es/rally/pick?pickup_date=2026-06-22&amp;return_date=2026-06-29&amp;currency=EUR&amp;startStation=60&amp;endStation=77", "Clic para verlo en la web de RoadSurfer")</f>
        <v/>
      </c>
    </row>
    <row r="58">
      <c r="A58" t="inlineStr">
        <is>
          <t>Reino Unido</t>
        </is>
      </c>
      <c r="B58" t="inlineStr">
        <is>
          <t>Mánchester</t>
        </is>
      </c>
      <c r="C58" t="inlineStr">
        <is>
          <t>Reino Unido</t>
        </is>
      </c>
      <c r="D58" t="inlineStr">
        <is>
          <t>Londres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No hay coche</t>
        </is>
      </c>
      <c r="H58">
        <f>HYPERLINK("https://booking.roadsurfer.com/es/rally/pick?pickup_date=2026-06-22&amp;return_date=2026-06-29&amp;currency=EUR&amp;startStation=99&amp;endStation=63",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2026-06-19</t>
        </is>
      </c>
      <c r="F59" t="inlineStr">
        <is>
          <t>2026-06-26</t>
        </is>
      </c>
      <c r="G59" t="inlineStr">
        <is>
          <t xml:space="preserve"> - Surfer Suite</t>
        </is>
      </c>
      <c r="H59">
        <f>HYPERLINK("https://booking.roadsurfer.com/es/rally/pick?pickup_date=2026-06-19&amp;return_date=2026-06-26&amp;currency=EUR&amp;startStation=22&amp;endStation=59",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Surfer Suite</t>
        </is>
      </c>
      <c r="H60">
        <f>HYPERLINK("https://booking.roadsurfer.com/es/rally/pick?pickup_date=2026-06-22&amp;return_date=2026-06-29&amp;currency=EUR&amp;startStation=22&amp;endStation=59",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Francia</t>
        </is>
      </c>
      <c r="D61" t="inlineStr">
        <is>
          <t>Ginebra-Pays de Gex (Francia)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Travel Home</t>
        </is>
      </c>
      <c r="H61">
        <f>HYPERLINK("https://booking.roadsurfer.com/es/rally/pick?pickup_date=2026-06-22&amp;return_date=2026-06-29&amp;currency=EUR&amp;startStation=22&amp;endStation=29",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2026-06-23</t>
        </is>
      </c>
      <c r="F62" t="inlineStr">
        <is>
          <t>2026-06-30</t>
        </is>
      </c>
      <c r="G62" t="inlineStr">
        <is>
          <t xml:space="preserve"> - Surfer Suite</t>
        </is>
      </c>
      <c r="H62">
        <f>HYPERLINK("https://booking.roadsurfer.com/es/rally/pick?pickup_date=2026-06-23&amp;return_date=2026-06-30&amp;currency=EUR&amp;startStation=22&amp;endStation=29",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2026-06-25</t>
        </is>
      </c>
      <c r="F63" t="inlineStr">
        <is>
          <t>2026-07-02</t>
        </is>
      </c>
      <c r="G63" t="inlineStr">
        <is>
          <t xml:space="preserve"> - Sunrise Suite</t>
        </is>
      </c>
      <c r="H63">
        <f>HYPERLINK("https://booking.roadsurfer.com/es/rally/pick?pickup_date=2026-06-25&amp;return_date=2026-07-02&amp;currency=EUR&amp;startStation=22&amp;endStation=29", "Clic para verlo en la web de RoadSurfer")</f>
        <v/>
      </c>
    </row>
    <row r="64">
      <c r="A64" t="inlineStr">
        <is>
          <t>Alemania</t>
        </is>
      </c>
      <c r="B64" t="inlineStr">
        <is>
          <t>Marburg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2026-06-19</t>
        </is>
      </c>
      <c r="F64" t="inlineStr">
        <is>
          <t>2026-06-26</t>
        </is>
      </c>
      <c r="G64" t="inlineStr">
        <is>
          <t xml:space="preserve"> - Camper Cabin</t>
        </is>
      </c>
      <c r="H64">
        <f>HYPERLINK("https://booking.roadsurfer.com/es/rally/pick?pickup_date=2026-06-19&amp;return_date=2026-06-26&amp;currency=EUR&amp;startStation=22&amp;endStation=13",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2026-07-22</t>
        </is>
      </c>
      <c r="F65" t="inlineStr">
        <is>
          <t>2026-07-29</t>
        </is>
      </c>
      <c r="G65" t="inlineStr">
        <is>
          <t xml:space="preserve"> - Surfer Suite</t>
        </is>
      </c>
      <c r="H65">
        <f>HYPERLINK("https://booking.roadsurfer.com/es/rally/pick?pickup_date=2026-07-22&amp;return_date=2026-07-29&amp;currency=EUR&amp;startStation=22&amp;endStation=13", "Clic para verlo en la web de RoadSurfer")</f>
        <v/>
      </c>
    </row>
    <row r="66">
      <c r="A66" t="inlineStr">
        <is>
          <t>Alemania</t>
        </is>
      </c>
      <c r="B66" t="inlineStr">
        <is>
          <t>Marburg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Surfer Suite</t>
        </is>
      </c>
      <c r="H66">
        <f>HYPERLINK("https://booking.roadsurfer.com/es/rally/pick?pickup_date=2026-06-23&amp;return_date=2026-06-30&amp;currency=EUR&amp;startStation=22&amp;endStation=13", "Clic para verlo en la web de RoadSurfer")</f>
        <v/>
      </c>
    </row>
    <row r="67">
      <c r="A67" t="inlineStr">
        <is>
          <t>Alemania</t>
        </is>
      </c>
      <c r="B67" t="inlineStr">
        <is>
          <t>Marburg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2026-06-25</t>
        </is>
      </c>
      <c r="F67" t="inlineStr">
        <is>
          <t>2026-07-02</t>
        </is>
      </c>
      <c r="G67" t="inlineStr">
        <is>
          <t xml:space="preserve"> - Camper Cabin</t>
        </is>
      </c>
      <c r="H67">
        <f>HYPERLINK("https://booking.roadsurfer.com/es/rally/pick?pickup_date=2026-06-25&amp;return_date=2026-07-02&amp;currency=EUR&amp;startStation=22&amp;endStation=13", "Clic para verlo en la web de RoadSurfer")</f>
        <v/>
      </c>
    </row>
    <row r="68">
      <c r="A68" t="inlineStr">
        <is>
          <t>Alemania</t>
        </is>
      </c>
      <c r="B68" t="inlineStr">
        <is>
          <t>Marburg</t>
        </is>
      </c>
      <c r="C68" t="inlineStr">
        <is>
          <t>Francia</t>
        </is>
      </c>
      <c r="D68" t="inlineStr">
        <is>
          <t>Lyon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Surfer Suite</t>
        </is>
      </c>
      <c r="H68">
        <f>HYPERLINK("https://booking.roadsurfer.com/es/rally/pick?pickup_date=2026-06-22&amp;return_date=2026-06-29&amp;currency=EUR&amp;startStation=22&amp;endStation=15", "Clic para verlo en la web de RoadSurfer")</f>
        <v/>
      </c>
    </row>
    <row r="69">
      <c r="A69" t="inlineStr">
        <is>
          <t>Alemania</t>
        </is>
      </c>
      <c r="B69" t="inlineStr">
        <is>
          <t>Marburg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2026-06-24</t>
        </is>
      </c>
      <c r="F69" t="inlineStr">
        <is>
          <t>2026-07-01</t>
        </is>
      </c>
      <c r="G69" t="inlineStr">
        <is>
          <t xml:space="preserve"> - Couple Cottage</t>
        </is>
      </c>
      <c r="H69">
        <f>HYPERLINK("https://booking.roadsurfer.com/es/rally/pick?pickup_date=2026-06-24&amp;return_date=2026-07-01&amp;currency=EUR&amp;startStation=22&amp;endStation=17", "Clic para verlo en la web de RoadSurfer")</f>
        <v/>
      </c>
    </row>
    <row r="70">
      <c r="A70" t="inlineStr">
        <is>
          <t>Alemania</t>
        </is>
      </c>
      <c r="B70" t="inlineStr">
        <is>
          <t>Marburg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2026-06-23</t>
        </is>
      </c>
      <c r="F70" t="inlineStr">
        <is>
          <t>2026-06-30</t>
        </is>
      </c>
      <c r="G70" t="inlineStr">
        <is>
          <t xml:space="preserve"> - Camper Castle</t>
        </is>
      </c>
      <c r="H70">
        <f>HYPERLINK("https://booking.roadsurfer.com/es/rally/pick?pickup_date=2026-06-23&amp;return_date=2026-06-30&amp;currency=EUR&amp;startStation=22&amp;endStation=47", "Clic para verlo en la web de RoadSurfer")</f>
        <v/>
      </c>
    </row>
    <row r="71">
      <c r="A71" t="inlineStr">
        <is>
          <t>Alemania</t>
        </is>
      </c>
      <c r="B71" t="inlineStr">
        <is>
          <t>Múnich</t>
        </is>
      </c>
      <c r="C71" t="inlineStr">
        <is>
          <t>España</t>
        </is>
      </c>
      <c r="D71" t="inlineStr">
        <is>
          <t>Málaga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Surfer Suite</t>
        </is>
      </c>
      <c r="H71">
        <f>HYPERLINK("https://booking.roadsurfer.com/es/rally/pick?pickup_date=2026-06-22&amp;return_date=2026-06-29&amp;currency=EUR&amp;startStation=1&amp;endStation=21",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Francia</t>
        </is>
      </c>
      <c r="D72" t="inlineStr">
        <is>
          <t>Lyon</t>
        </is>
      </c>
      <c r="E72" t="inlineStr">
        <is>
          <t>2026-06-19</t>
        </is>
      </c>
      <c r="F72" t="inlineStr">
        <is>
          <t>2026-06-26</t>
        </is>
      </c>
      <c r="G72" t="inlineStr">
        <is>
          <t xml:space="preserve"> - Travel Home</t>
        </is>
      </c>
      <c r="H72">
        <f>HYPERLINK("https://booking.roadsurfer.com/es/rally/pick?pickup_date=2026-06-19&amp;return_date=2026-06-26&amp;currency=EUR&amp;startStation=31&amp;endStation=15", "Clic para verlo en la web de RoadSurfer")</f>
        <v/>
      </c>
    </row>
    <row r="73">
      <c r="A73" t="inlineStr">
        <is>
          <t>Francia</t>
        </is>
      </c>
      <c r="B73" t="inlineStr">
        <is>
          <t>Nantes</t>
        </is>
      </c>
      <c r="C73" t="inlineStr">
        <is>
          <t>Francia</t>
        </is>
      </c>
      <c r="D73" t="inlineStr">
        <is>
          <t>Estrasburgo</t>
        </is>
      </c>
      <c r="E73" t="inlineStr">
        <is>
          <t>2026-07-02</t>
        </is>
      </c>
      <c r="F73" t="inlineStr">
        <is>
          <t>2026-07-09</t>
        </is>
      </c>
      <c r="G73" t="inlineStr">
        <is>
          <t xml:space="preserve"> - Road House</t>
        </is>
      </c>
      <c r="H73">
        <f>HYPERLINK("https://booking.roadsurfer.com/es/rally/pick?pickup_date=2026-07-02&amp;return_date=2026-07-09&amp;currency=EUR&amp;startStation=31&amp;endStation=49", "Clic para verlo en la web de RoadSurfer")</f>
        <v/>
      </c>
    </row>
    <row r="74">
      <c r="A74" t="inlineStr">
        <is>
          <t>Alemania</t>
        </is>
      </c>
      <c r="B74" t="inlineStr">
        <is>
          <t>Núremberg</t>
        </is>
      </c>
      <c r="C74" t="inlineStr">
        <is>
          <t>España</t>
        </is>
      </c>
      <c r="D74" t="inlineStr">
        <is>
          <t>Madrid</t>
        </is>
      </c>
      <c r="E74" t="inlineStr">
        <is>
          <t>2026-06-25</t>
        </is>
      </c>
      <c r="F74" t="inlineStr">
        <is>
          <t>2026-07-02</t>
        </is>
      </c>
      <c r="G74" t="inlineStr">
        <is>
          <t xml:space="preserve"> - Sunrise Suite</t>
        </is>
      </c>
      <c r="H74">
        <f>HYPERLINK("https://booking.roadsurfer.com/es/rally/pick?pickup_date=2026-06-25&amp;return_date=2026-07-02&amp;currency=EUR&amp;startStation=11&amp;endStation=20", "Clic para verlo en la web de RoadSurfer")</f>
        <v/>
      </c>
    </row>
    <row r="75">
      <c r="A75" t="inlineStr">
        <is>
          <t>Alemania</t>
        </is>
      </c>
      <c r="B75" t="inlineStr">
        <is>
          <t>Núremberg</t>
        </is>
      </c>
      <c r="C75" t="inlineStr">
        <is>
          <t>España</t>
        </is>
      </c>
      <c r="D75" t="inlineStr">
        <is>
          <t>Madrid</t>
        </is>
      </c>
      <c r="E75" t="inlineStr">
        <is>
          <t>2026-07-06</t>
        </is>
      </c>
      <c r="F75" t="inlineStr">
        <is>
          <t>2026-07-13</t>
        </is>
      </c>
      <c r="G75" t="inlineStr">
        <is>
          <t xml:space="preserve"> - No hay coche</t>
        </is>
      </c>
      <c r="H75">
        <f>HYPERLINK("https://booking.roadsurfer.com/es/rally/pick?pickup_date=2026-07-06&amp;return_date=2026-07-13&amp;currency=EUR&amp;startStation=11&amp;endStation=20", "Clic para verlo en la web de RoadSurfer")</f>
        <v/>
      </c>
    </row>
    <row r="76">
      <c r="A76" t="inlineStr">
        <is>
          <t>Alemania</t>
        </is>
      </c>
      <c r="B76" t="inlineStr">
        <is>
          <t>Núremberg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2026-07-04</t>
        </is>
      </c>
      <c r="F76" t="inlineStr">
        <is>
          <t>2026-07-11</t>
        </is>
      </c>
      <c r="G76" t="inlineStr">
        <is>
          <t xml:space="preserve"> - Road House</t>
        </is>
      </c>
      <c r="H76">
        <f>HYPERLINK("https://booking.roadsurfer.com/es/rally/pick?pickup_date=2026-07-04&amp;return_date=2026-07-11&amp;currency=EUR&amp;startStation=11&amp;endStation=31", "Clic para verlo en la web de RoadSurfer")</f>
        <v/>
      </c>
    </row>
    <row r="77">
      <c r="A77" t="inlineStr">
        <is>
          <t>EE.UU.</t>
        </is>
      </c>
      <c r="B77" t="inlineStr">
        <is>
          <t>Seattle</t>
        </is>
      </c>
      <c r="C77" t="inlineStr">
        <is>
          <t>EE.UU.</t>
        </is>
      </c>
      <c r="D77" t="inlineStr">
        <is>
          <t>Phoenix</t>
        </is>
      </c>
      <c r="E77" t="inlineStr">
        <is>
          <t>2026-07-06</t>
        </is>
      </c>
      <c r="F77" t="inlineStr">
        <is>
          <t>2026-07-13</t>
        </is>
      </c>
      <c r="G77" t="inlineStr">
        <is>
          <t xml:space="preserve"> - Couple Condo</t>
        </is>
      </c>
      <c r="H77">
        <f>HYPERLINK("https://booking.roadsurfer.com/es/rally/pick?pickup_date=2026-07-06&amp;return_date=2026-07-13&amp;currency=EUR&amp;startStation=107&amp;endStation=105", "Clic para verlo en la web de RoadSurfer")</f>
        <v/>
      </c>
    </row>
    <row r="78">
      <c r="A78" t="inlineStr">
        <is>
          <t>España</t>
        </is>
      </c>
      <c r="B78" t="inlineStr">
        <is>
          <t>Sevilla</t>
        </is>
      </c>
      <c r="C78" t="inlineStr">
        <is>
          <t>España</t>
        </is>
      </c>
      <c r="D78" t="inlineStr">
        <is>
          <t>Barcelona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Surfer Suite</t>
        </is>
      </c>
      <c r="H78">
        <f>HYPERLINK("https://booking.roadsurfer.com/es/rally/pick?pickup_date=2026-06-22&amp;return_date=2026-06-29&amp;currency=EUR&amp;startStation=39&amp;endStation=17", "Clic para verlo en la web de RoadSurfer")</f>
        <v/>
      </c>
    </row>
    <row r="79">
      <c r="A79" t="inlineStr">
        <is>
          <t>España</t>
        </is>
      </c>
      <c r="B79" t="inlineStr">
        <is>
          <t>Sevilla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2026-06-19</t>
        </is>
      </c>
      <c r="F79" t="inlineStr">
        <is>
          <t>2026-06-26</t>
        </is>
      </c>
      <c r="G79" t="inlineStr">
        <is>
          <t xml:space="preserve"> - Surfer Suite</t>
        </is>
      </c>
      <c r="H79">
        <f>HYPERLINK("https://booking.roadsurfer.com/es/rally/pick?pickup_date=2026-06-19&amp;return_date=2026-06-26&amp;currency=EUR&amp;startStation=39&amp;endStation=28", "Clic para verlo en la web de RoadSurfer")</f>
        <v/>
      </c>
    </row>
    <row r="80">
      <c r="A80" t="inlineStr">
        <is>
          <t>España</t>
        </is>
      </c>
      <c r="B80" t="inlineStr">
        <is>
          <t>Sevilla</t>
        </is>
      </c>
      <c r="C80" t="inlineStr">
        <is>
          <t>Italia</t>
        </is>
      </c>
      <c r="D80" t="inlineStr">
        <is>
          <t>Turín</t>
        </is>
      </c>
      <c r="E80" t="inlineStr">
        <is>
          <t>2026-06-25</t>
        </is>
      </c>
      <c r="F80" t="inlineStr">
        <is>
          <t>2026-07-02</t>
        </is>
      </c>
      <c r="G80" t="inlineStr">
        <is>
          <t xml:space="preserve"> - Road House</t>
        </is>
      </c>
      <c r="H80">
        <f>HYPERLINK("https://booking.roadsurfer.com/es/rally/pick?pickup_date=2026-06-25&amp;return_date=2026-07-02&amp;currency=EUR&amp;startStation=39&amp;endStation=58", "Clic para verlo en la web de RoadSurfer")</f>
        <v/>
      </c>
    </row>
    <row r="81">
      <c r="A81" t="inlineStr">
        <is>
          <t>Suecia</t>
        </is>
      </c>
      <c r="B81" t="inlineStr">
        <is>
          <t>Estocolmo</t>
        </is>
      </c>
      <c r="C81" t="inlineStr">
        <is>
          <t>Alemania</t>
        </is>
      </c>
      <c r="D81" t="inlineStr">
        <is>
          <t>Ratisbona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Surfer Suite</t>
        </is>
      </c>
      <c r="H81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2026-06-15T22:15:48Z</dcterms:created>
  <dcterms:modified xsi:type="dcterms:W3CDTF">2026-06-15T22:15:48Z</dcterms:modified>
</cp:coreProperties>
</file>