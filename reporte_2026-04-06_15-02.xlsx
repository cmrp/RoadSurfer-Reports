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Bélgica</t>
        </is>
      </c>
      <c r="D4" t="inlineStr">
        <is>
          <t>Amberes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HYPERLINK("https://booking.roadsurfer.com/es/rally/pick?pickup_date=2026-04-27&amp;return_date=2026-05-04&amp;currency=EUR&amp;startStation=16&amp;endStation=47",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BEACH HOSTEL</t>
        </is>
      </c>
      <c r="H6">
        <f>HYPERLINK("https://booking.roadsurfer.com/es/rally/pick?pickup_date=2026-04-20&amp;return_date=2026-04-27&amp;currency=EUR&amp;startStation=16&amp;endStation=2",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Aquisgrán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Camper Cabin</t>
        </is>
      </c>
      <c r="H13">
        <f>HYPERLINK("https://booking.roadsurfer.com/es/rally/pick?pickup_date=2026-05-04&amp;return_date=2026-05-11&amp;currency=EUR&amp;startStation=47&amp;endStation=114",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Aquisgrán</t>
        </is>
      </c>
      <c r="E14" t="inlineStr">
        <is>
          <t>2026-05-11</t>
        </is>
      </c>
      <c r="F14" t="inlineStr">
        <is>
          <t>2026-05-18</t>
        </is>
      </c>
      <c r="G14" t="inlineStr">
        <is>
          <t xml:space="preserve"> - Family Finca</t>
        </is>
      </c>
      <c r="H14">
        <f>HYPERLINK("https://booking.roadsurfer.com/es/rally/pick?pickup_date=2026-05-11&amp;return_date=2026-05-18&amp;currency=EUR&amp;startStation=47&amp;endStation=114",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 - Camper Castle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Colonia-Düsseldorf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Couple Cottage</t>
        </is>
      </c>
      <c r="H17">
        <f>HYPERLINK("https://booking.roadsurfer.com/es/rally/pick?pickup_date=2026-05-04&amp;return_date=2026-05-11&amp;currency=EUR&amp;startStation=47&amp;endStation=4",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Camper Castle</t>
        </is>
      </c>
      <c r="H18">
        <f>HYPERLINK("https://booking.roadsurfer.com/es/rally/pick?pickup_date=2026-05-26&amp;return_date=2026-06-02&amp;currency=EUR&amp;startStation=47&amp;endStation=22",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2026-05-06</t>
        </is>
      </c>
      <c r="F19" t="inlineStr">
        <is>
          <t>2026-05-13</t>
        </is>
      </c>
      <c r="G19" t="inlineStr">
        <is>
          <t xml:space="preserve"> - Camper Castle</t>
        </is>
      </c>
      <c r="H19">
        <f>HYPERLINK("https://booking.roadsurfer.com/es/rally/pick?pickup_date=2026-05-06&amp;return_date=2026-05-13&amp;currency=EUR&amp;startStation=47&amp;endStation=22",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No hay coche</t>
        </is>
      </c>
      <c r="H20">
        <f>HYPERLINK("https://booking.roadsurfer.com/es/rally/pick?pickup_date=2026-05-16&amp;return_date=2026-05-23&amp;currency=EUR&amp;startStation=47&amp;endStation=22",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HYPERLINK("https://booking.roadsurfer.com/es/rally/pick?pickup_date=2026-05-04&amp;return_date=2026-05-11&amp;currency=EUR&amp;startStation=47&amp;endStation=56",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2026-04-20</t>
        </is>
      </c>
      <c r="F22" t="inlineStr">
        <is>
          <t>2026-04-27</t>
        </is>
      </c>
      <c r="G22" t="inlineStr">
        <is>
          <t xml:space="preserve"> - Camper Cabin Deluxe</t>
        </is>
      </c>
      <c r="H22">
        <f>HYPERLINK("https://booking.roadsurfer.com/es/rally/pick?pickup_date=2026-04-20&amp;return_date=2026-04-27&amp;currency=EUR&amp;startStation=108&amp;endStation=12",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2026-05-12</t>
        </is>
      </c>
      <c r="F24" t="inlineStr">
        <is>
          <t>2026-05-19</t>
        </is>
      </c>
      <c r="G24" t="inlineStr">
        <is>
          <t xml:space="preserve"> - No hay coche</t>
        </is>
      </c>
      <c r="H24">
        <f>HYPERLINK("https://booking.roadsurfer.com/es/rally/pick?pickup_date=2026-05-12&amp;return_date=2026-05-19&amp;currency=EUR&amp;startStation=17&amp;endStation=22",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2026-05-13</t>
        </is>
      </c>
      <c r="F25" t="inlineStr">
        <is>
          <t>2026-05-20</t>
        </is>
      </c>
      <c r="G25" t="inlineStr">
        <is>
          <t xml:space="preserve"> - Camper Cabin</t>
        </is>
      </c>
      <c r="H25">
        <f>HYPERLINK("https://booking.roadsurfer.com/es/rally/pick?pickup_date=2026-05-13&amp;return_date=2026-05-20&amp;currency=EUR&amp;startStation=17&amp;endStation=22",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2026-04-13</t>
        </is>
      </c>
      <c r="F26" t="inlineStr">
        <is>
          <t>2026-04-20</t>
        </is>
      </c>
      <c r="G26" t="inlineStr">
        <is>
          <t xml:space="preserve"> - Family Finca</t>
        </is>
      </c>
      <c r="H26">
        <f>HYPERLINK("https://booking.roadsurfer.com/es/rally/pick?pickup_date=2026-04-13&amp;return_date=2026-04-20&amp;currency=EUR&amp;startStation=17&amp;endStation=22",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Road House</t>
        </is>
      </c>
      <c r="H27">
        <f>HYPERLINK("https://booking.roadsurfer.com/es/rally/pick?pickup_date=2026-04-21&amp;return_date=2026-04-28&amp;currency=EUR&amp;startStation=17&amp;endStation=22",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2026-05-07</t>
        </is>
      </c>
      <c r="F28" t="inlineStr">
        <is>
          <t>2026-05-14</t>
        </is>
      </c>
      <c r="G28" t="inlineStr">
        <is>
          <t xml:space="preserve"> - No hay coche</t>
        </is>
      </c>
      <c r="H28">
        <f>HYPERLINK("https://booking.roadsurfer.com/es/rally/pick?pickup_date=2026-05-07&amp;return_date=2026-05-14&amp;currency=EUR&amp;startStation=17&amp;endStation=10",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Couple Cottage</t>
        </is>
      </c>
      <c r="H29">
        <f>HYPERLINK("https://booking.roadsurfer.com/es/rally/pick?pickup_date=2026-05-13&amp;return_date=2026-05-20&amp;currency=EUR&amp;startStation=17&amp;endStation=10",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2026-05-15</t>
        </is>
      </c>
      <c r="F30" t="inlineStr">
        <is>
          <t>2026-05-22</t>
        </is>
      </c>
      <c r="G30" t="inlineStr">
        <is>
          <t xml:space="preserve"> - Road House</t>
        </is>
      </c>
      <c r="H30">
        <f>HYPERLINK("https://booking.roadsurfer.com/es/rally/pick?pickup_date=2026-05-15&amp;return_date=2026-05-22&amp;currency=EUR&amp;startStation=17&amp;endStation=117",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2026-05-08</t>
        </is>
      </c>
      <c r="F32" t="inlineStr">
        <is>
          <t>2026-05-15</t>
        </is>
      </c>
      <c r="G32" t="inlineStr">
        <is>
          <t xml:space="preserve"> - Family Finca</t>
        </is>
      </c>
      <c r="H32">
        <f>HYPERLINK("https://booking.roadsurfer.com/es/rally/pick?pickup_date=2026-05-08&amp;return_date=2026-05-15&amp;currency=EUR&amp;startStation=17&amp;endStation=5",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No hay coche</t>
        </is>
      </c>
      <c r="H33">
        <f>HYPERLINK("https://booking.roadsurfer.com/es/rally/pick?pickup_date=2026-05-04&amp;return_date=2026-05-11&amp;currency=EUR&amp;startStation=17&amp;endStation=5",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Family Finca</t>
        </is>
      </c>
      <c r="H34">
        <f>HYPERLINK("https://booking.roadsurfer.com/es/rally/pick?pickup_date=2026-05-06&amp;return_date=2026-05-13&amp;currency=EUR&amp;startStation=17&amp;endStation=115",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2026-05-22</t>
        </is>
      </c>
      <c r="F35" t="inlineStr">
        <is>
          <t>2026-05-29</t>
        </is>
      </c>
      <c r="G35" t="inlineStr">
        <is>
          <t xml:space="preserve"> - Couple Cottage</t>
        </is>
      </c>
      <c r="H35">
        <f>HYPERLINK("https://booking.roadsurfer.com/es/rally/pick?pickup_date=2026-05-22&amp;return_date=2026-05-29&amp;currency=EUR&amp;startStation=17&amp;endStation=115",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Couple Cottage</t>
        </is>
      </c>
      <c r="H36">
        <f>HYPERLINK("https://booking.roadsurfer.com/es/rally/pick?pickup_date=2026-05-11&amp;return_date=2026-05-18&amp;currency=EUR&amp;startStation=17&amp;endStation=1",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Couple Cottage</t>
        </is>
      </c>
      <c r="H37">
        <f>HYPERLINK("https://booking.roadsurfer.com/es/rally/pick?pickup_date=2026-05-12&amp;return_date=2026-05-19&amp;currency=EUR&amp;startStation=17&amp;endStation=1",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Karlsruhe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Couple Cottage</t>
        </is>
      </c>
      <c r="H38">
        <f>HYPERLINK("https://booking.roadsurfer.com/es/rally/pick?pickup_date=2026-05-04&amp;return_date=2026-05-11&amp;currency=EUR&amp;startStation=17&amp;endStation=110",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2026-04-08</t>
        </is>
      </c>
      <c r="F39" t="inlineStr">
        <is>
          <t>2026-04-15</t>
        </is>
      </c>
      <c r="G39" t="inlineStr">
        <is>
          <t xml:space="preserve"> - Beach Hostel</t>
        </is>
      </c>
      <c r="H39">
        <f>HYPERLINK("https://booking.roadsurfer.com/es/rally/pick?pickup_date=2026-04-08&amp;return_date=2026-04-15&amp;currency=EUR&amp;startStation=94&amp;endStation=90",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HYPERLINK("https://booking.roadsurfer.com/es/rally/pick?pickup_date=2026-05-06&amp;return_date=2026-05-13&amp;currency=EUR&amp;startStation=94&amp;endStation=115",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2026-05-15</t>
        </is>
      </c>
      <c r="F41" t="inlineStr">
        <is>
          <t>2026-05-22</t>
        </is>
      </c>
      <c r="G41" t="inlineStr">
        <is>
          <t xml:space="preserve"> - Road House</t>
        </is>
      </c>
      <c r="H41">
        <f>HYPERLINK("https://booking.roadsurfer.com/es/rally/pick?pickup_date=2026-05-15&amp;return_date=2026-05-22&amp;currency=EUR&amp;startStation=94&amp;endStation=115",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2026-04-11</t>
        </is>
      </c>
      <c r="F42" t="inlineStr">
        <is>
          <t>2026-04-18</t>
        </is>
      </c>
      <c r="G42" t="inlineStr">
        <is>
          <t xml:space="preserve"> - Camper Castle</t>
        </is>
      </c>
      <c r="H42">
        <f>HYPERLINK("https://booking.roadsurfer.com/es/rally/pick?pickup_date=2026-04-11&amp;return_date=2026-04-18&amp;currency=EUR&amp;startStation=94&amp;endStation=115",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Núremberg</t>
        </is>
      </c>
      <c r="E43" t="inlineStr">
        <is>
          <t>2026-05-14</t>
        </is>
      </c>
      <c r="F43" t="inlineStr">
        <is>
          <t>2026-05-21</t>
        </is>
      </c>
      <c r="G43" t="inlineStr">
        <is>
          <t xml:space="preserve"> - Couple Cottage</t>
        </is>
      </c>
      <c r="H43">
        <f>HYPERLINK("https://booking.roadsurfer.com/es/rally/pick?pickup_date=2026-05-14&amp;return_date=2026-05-21&amp;currency=EUR&amp;startStation=94&amp;endStation=11",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Núremberg</t>
        </is>
      </c>
      <c r="E44" t="inlineStr">
        <is>
          <t>2026-05-18</t>
        </is>
      </c>
      <c r="F44" t="inlineStr">
        <is>
          <t>2026-05-25</t>
        </is>
      </c>
      <c r="G44" t="inlineStr">
        <is>
          <t xml:space="preserve"> - No hay coche</t>
        </is>
      </c>
      <c r="H44">
        <f>HYPERLINK("https://booking.roadsurfer.com/es/rally/pick?pickup_date=2026-05-18&amp;return_date=2026-05-25&amp;currency=EUR&amp;startStation=94&amp;endStation=11",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Road House</t>
        </is>
      </c>
      <c r="H45">
        <f>HYPERLINK("https://booking.roadsurfer.com/es/rally/pick?pickup_date=2026-05-12&amp;return_date=2026-05-19&amp;currency=EUR&amp;startStation=94&amp;endStation=22",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HYPERLINK("https://booking.roadsurfer.com/es/rally/pick?pickup_date=2026-05-06&amp;return_date=2026-05-13&amp;currency=EUR&amp;startStation=94&amp;endStation=22",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2026-04-09</t>
        </is>
      </c>
      <c r="F47" t="inlineStr">
        <is>
          <t>2026-04-16</t>
        </is>
      </c>
      <c r="G47" t="inlineStr">
        <is>
          <t xml:space="preserve"> - Road House</t>
        </is>
      </c>
      <c r="H47">
        <f>HYPERLINK("https://booking.roadsurfer.com/es/rally/pick?pickup_date=2026-04-09&amp;return_date=2026-04-16&amp;currency=EUR&amp;startStation=94&amp;endStation=9",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2026-04-21</t>
        </is>
      </c>
      <c r="F48" t="inlineStr">
        <is>
          <t>2026-04-28</t>
        </is>
      </c>
      <c r="G48" t="inlineStr">
        <is>
          <t xml:space="preserve"> - Camper Castle</t>
        </is>
      </c>
      <c r="H48">
        <f>HYPERLINK("https://booking.roadsurfer.com/es/rally/pick?pickup_date=2026-04-21&amp;return_date=2026-04-28&amp;currency=EUR&amp;startStation=94&amp;endStation=10",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Kiel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Camper Castle</t>
        </is>
      </c>
      <c r="H49">
        <f>HYPERLINK("https://booking.roadsurfer.com/es/rally/pick?pickup_date=2026-05-04&amp;return_date=2026-05-11&amp;currency=EUR&amp;startStation=94&amp;endStation=111",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Couple Cottage</t>
        </is>
      </c>
      <c r="H50">
        <f>HYPERLINK("https://booking.roadsurfer.com/es/rally/pick?pickup_date=2026-05-06&amp;return_date=2026-05-13&amp;currency=EUR&amp;startStation=94&amp;endStation=8",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Couple Cottage</t>
        </is>
      </c>
      <c r="H51">
        <f>HYPERLINK("https://booking.roadsurfer.com/es/rally/pick?pickup_date=2026-05-11&amp;return_date=2026-05-18&amp;currency=EUR&amp;startStation=94&amp;endStation=8",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Cozy Cottage</t>
        </is>
      </c>
      <c r="H52">
        <f>HYPERLINK("https://booking.roadsurfer.com/es/rally/pick?pickup_date=2026-04-16&amp;return_date=2026-04-23&amp;currency=EUR&amp;startStation=94&amp;endStation=91",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Austria</t>
        </is>
      </c>
      <c r="D53" t="inlineStr">
        <is>
          <t>Innsbruck-Wiesing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Camper Cabin</t>
        </is>
      </c>
      <c r="H53">
        <f>HYPERLINK("https://booking.roadsurfer.com/es/rally/pick?pickup_date=2026-04-27&amp;return_date=2026-05-04&amp;currency=EUR&amp;startStation=6&amp;endStation=46",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Alemania</t>
        </is>
      </c>
      <c r="D54" t="inlineStr">
        <is>
          <t>Aquisgrán</t>
        </is>
      </c>
      <c r="E54" t="inlineStr">
        <is>
          <t>2026-04-30</t>
        </is>
      </c>
      <c r="F54" t="inlineStr">
        <is>
          <t>2026-05-07</t>
        </is>
      </c>
      <c r="G54" t="inlineStr">
        <is>
          <t xml:space="preserve"> - Camper Cabin</t>
        </is>
      </c>
      <c r="H54">
        <f>HYPERLINK("https://booking.roadsurfer.com/es/rally/pick?pickup_date=2026-04-30&amp;return_date=2026-05-07&amp;currency=EUR&amp;startStation=6&amp;endStation=114",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Camper Cabin</t>
        </is>
      </c>
      <c r="H55">
        <f>HYPERLINK("https://booking.roadsurfer.com/es/rally/pick?pickup_date=2026-04-27&amp;return_date=2026-05-04&amp;currency=EUR&amp;startStation=6&amp;endStation=7",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2026-05-07</t>
        </is>
      </c>
      <c r="F56" t="inlineStr">
        <is>
          <t>2026-05-14</t>
        </is>
      </c>
      <c r="G56" t="inlineStr">
        <is>
          <t xml:space="preserve"> - No hay coche</t>
        </is>
      </c>
      <c r="H56">
        <f>HYPERLINK("https://booking.roadsurfer.com/es/rally/pick?pickup_date=2026-05-07&amp;return_date=2026-05-14&amp;currency=EUR&amp;startStation=6&amp;endStation=77",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Cozy Cottage</t>
        </is>
      </c>
      <c r="H57">
        <f>HYPERLINK("https://booking.roadsurfer.com/es/rally/pick?pickup_date=2026-05-15&amp;return_date=2026-05-22&amp;currency=EUR&amp;startStation=6&amp;endStation=60",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Flensburgo</t>
        </is>
      </c>
      <c r="E58" t="inlineStr">
        <is>
          <t>2026-04-27</t>
        </is>
      </c>
      <c r="F58" t="inlineStr">
        <is>
          <t>2026-05-04</t>
        </is>
      </c>
      <c r="G58" t="inlineStr">
        <is>
          <t xml:space="preserve"> - Surfer Suite</t>
        </is>
      </c>
      <c r="H58">
        <f>HYPERLINK("https://booking.roadsurfer.com/es/rally/pick?pickup_date=2026-04-27&amp;return_date=2026-05-04&amp;currency=EUR&amp;startStation=51&amp;endStation=130",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2026-04-08</t>
        </is>
      </c>
      <c r="F59" t="inlineStr">
        <is>
          <t>2026-04-15</t>
        </is>
      </c>
      <c r="G59" t="inlineStr">
        <is>
          <t xml:space="preserve"> - Road House</t>
        </is>
      </c>
      <c r="H59">
        <f>HYPERLINK("https://booking.roadsurfer.com/es/rally/pick?pickup_date=2026-04-08&amp;return_date=2026-04-15&amp;currency=EUR&amp;startStation=51&amp;endStation=59",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Sunrise Suite</t>
        </is>
      </c>
      <c r="H60">
        <f>HYPERLINK("https://booking.roadsurfer.com/es/rally/pick?pickup_date=2026-04-15&amp;return_date=2026-04-22&amp;currency=EUR&amp;startStation=51&amp;endStation=59",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Road House</t>
        </is>
      </c>
      <c r="H61">
        <f>HYPERLINK("https://booking.roadsurfer.com/es/rally/pick?pickup_date=2026-04-20&amp;return_date=2026-04-27&amp;currency=EUR&amp;startStation=51&amp;endStation=55",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Camper Cabin Deluxe</t>
        </is>
      </c>
      <c r="H62">
        <f>HYPERLINK("https://booking.roadsurfer.com/es/rally/pick?pickup_date=2026-04-27&amp;return_date=2026-05-04&amp;currency=EUR&amp;startStation=51&amp;endStation=37",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Alemania</t>
        </is>
      </c>
      <c r="D63" t="inlineStr">
        <is>
          <t>Colonia-Bonn</t>
        </is>
      </c>
      <c r="E63" t="inlineStr">
        <is>
          <t>2026-04-11</t>
        </is>
      </c>
      <c r="F63" t="inlineStr">
        <is>
          <t>2026-04-18</t>
        </is>
      </c>
      <c r="G63" t="inlineStr">
        <is>
          <t xml:space="preserve"> - Couple Cottage</t>
        </is>
      </c>
      <c r="H63">
        <f>HYPERLINK("https://booking.roadsurfer.com/es/rally/pick?pickup_date=2026-04-11&amp;return_date=2026-04-18&amp;currency=EUR&amp;startStation=51&amp;endStation=52",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2026-04-07</t>
        </is>
      </c>
      <c r="F64" t="inlineStr">
        <is>
          <t>2026-04-14</t>
        </is>
      </c>
      <c r="G64" t="inlineStr">
        <is>
          <t xml:space="preserve"> - Surfer Suite</t>
        </is>
      </c>
      <c r="H64">
        <f>HYPERLINK("https://booking.roadsurfer.com/es/rally/pick?pickup_date=2026-04-07&amp;return_date=2026-04-14&amp;currency=EUR&amp;startStation=91&amp;endStation=47",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2026-04-08</t>
        </is>
      </c>
      <c r="F65" t="inlineStr">
        <is>
          <t>2026-04-15</t>
        </is>
      </c>
      <c r="G65" t="inlineStr">
        <is>
          <t xml:space="preserve"> - Surfer Suite</t>
        </is>
      </c>
      <c r="H65">
        <f>HYPERLINK("https://booking.roadsurfer.com/es/rally/pick?pickup_date=2026-04-08&amp;return_date=2026-04-15&amp;currency=EUR&amp;startStation=91&amp;endStation=47",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2026-04-11</t>
        </is>
      </c>
      <c r="F66" t="inlineStr">
        <is>
          <t>2026-04-18</t>
        </is>
      </c>
      <c r="G66" t="inlineStr">
        <is>
          <t xml:space="preserve"> - Camper Castle</t>
        </is>
      </c>
      <c r="H66">
        <f>HYPERLINK("https://booking.roadsurfer.com/es/rally/pick?pickup_date=2026-04-11&amp;return_date=2026-04-18&amp;currency=EUR&amp;startStation=91&amp;endStation=47",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2026-04-09</t>
        </is>
      </c>
      <c r="F67" t="inlineStr">
        <is>
          <t>2026-04-16</t>
        </is>
      </c>
      <c r="G67" t="inlineStr">
        <is>
          <t xml:space="preserve"> - Road House</t>
        </is>
      </c>
      <c r="H67">
        <f>HYPERLINK("https://booking.roadsurfer.com/es/rally/pick?pickup_date=2026-04-09&amp;return_date=2026-04-16&amp;currency=EUR&amp;startStation=91&amp;endStation=12",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2026-05-16</t>
        </is>
      </c>
      <c r="F68" t="inlineStr">
        <is>
          <t>2026-05-23</t>
        </is>
      </c>
      <c r="G68" t="inlineStr">
        <is>
          <t xml:space="preserve"> - Surfer Suite</t>
        </is>
      </c>
      <c r="H68">
        <f>HYPERLINK("https://booking.roadsurfer.com/es/rally/pick?pickup_date=2026-05-16&amp;return_date=2026-05-23&amp;currency=EUR&amp;startStation=91&amp;endStation=12",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Road House</t>
        </is>
      </c>
      <c r="H69">
        <f>HYPERLINK("https://booking.roadsurfer.com/es/rally/pick?pickup_date=2026-04-15&amp;return_date=2026-04-22&amp;currency=EUR&amp;startStation=91&amp;endStation=12",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Surfer Suite - Beach Hostel</t>
        </is>
      </c>
      <c r="H70">
        <f>HYPERLINK("https://booking.roadsurfer.com/es/rally/pick?pickup_date=2026-05-06&amp;return_date=2026-05-13&amp;currency=EUR&amp;startStation=91&amp;endStation=77",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2026-05-07</t>
        </is>
      </c>
      <c r="F71" t="inlineStr">
        <is>
          <t>2026-05-14</t>
        </is>
      </c>
      <c r="G71" t="inlineStr">
        <is>
          <t xml:space="preserve"> - No hay coche</t>
        </is>
      </c>
      <c r="H71">
        <f>HYPERLINK("https://booking.roadsurfer.com/es/rally/pick?pickup_date=2026-05-07&amp;return_date=2026-05-14&amp;currency=EUR&amp;startStation=91&amp;endStation=77",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2026-04-29</t>
        </is>
      </c>
      <c r="F72" t="inlineStr">
        <is>
          <t>2026-05-06</t>
        </is>
      </c>
      <c r="G72" t="inlineStr">
        <is>
          <t xml:space="preserve"> - Family Finca</t>
        </is>
      </c>
      <c r="H72">
        <f>HYPERLINK("https://booking.roadsurfer.com/es/rally/pick?pickup_date=2026-04-29&amp;return_date=2026-05-06&amp;currency=EUR&amp;startStation=91&amp;endStation=77",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2026-05-12</t>
        </is>
      </c>
      <c r="F73" t="inlineStr">
        <is>
          <t>2026-05-19</t>
        </is>
      </c>
      <c r="G73" t="inlineStr">
        <is>
          <t xml:space="preserve"> - Surfer Suite</t>
        </is>
      </c>
      <c r="H73">
        <f>HYPERLINK("https://booking.roadsurfer.com/es/rally/pick?pickup_date=2026-05-12&amp;return_date=2026-05-19&amp;currency=EUR&amp;startStation=91&amp;endStation=60",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2026-04-09</t>
        </is>
      </c>
      <c r="F74" t="inlineStr">
        <is>
          <t>2026-04-16</t>
        </is>
      </c>
      <c r="G74" t="inlineStr">
        <is>
          <t xml:space="preserve"> - Surfer Suite - Road House</t>
        </is>
      </c>
      <c r="H74">
        <f>HYPERLINK("https://booking.roadsurfer.com/es/rally/pick?pickup_date=2026-04-09&amp;return_date=2026-04-16&amp;currency=EUR&amp;startStation=91&amp;endStation=48",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España</t>
        </is>
      </c>
      <c r="D75" t="inlineStr">
        <is>
          <t>Bilbao</t>
        </is>
      </c>
      <c r="E75" t="inlineStr">
        <is>
          <t>2026-04-07</t>
        </is>
      </c>
      <c r="F75" t="inlineStr">
        <is>
          <t>2026-04-14</t>
        </is>
      </c>
      <c r="G75" t="inlineStr">
        <is>
          <t xml:space="preserve"> - Surfer Suite</t>
        </is>
      </c>
      <c r="H75">
        <f>HYPERLINK("https://booking.roadsurfer.com/es/rally/pick?pickup_date=2026-04-07&amp;return_date=2026-04-14&amp;currency=EUR&amp;startStation=91&amp;endStation=40",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No hay coche</t>
        </is>
      </c>
      <c r="H76">
        <f>HYPERLINK("https://booking.roadsurfer.com/es/rally/pick?pickup_date=2026-05-06&amp;return_date=2026-05-13&amp;currency=EUR&amp;startStation=91&amp;endStation=31",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2026-04-10</t>
        </is>
      </c>
      <c r="F77" t="inlineStr">
        <is>
          <t>2026-04-17</t>
        </is>
      </c>
      <c r="G77" t="inlineStr">
        <is>
          <t xml:space="preserve"> - No hay coche</t>
        </is>
      </c>
      <c r="H77">
        <f>HYPERLINK("https://booking.roadsurfer.com/es/rally/pick?pickup_date=2026-04-10&amp;return_date=2026-04-17&amp;currency=EUR&amp;startStation=91&amp;endStation=33",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Family Finca</t>
        </is>
      </c>
      <c r="H78">
        <f>HYPERLINK("https://booking.roadsurfer.com/es/rally/pick?pickup_date=2026-04-15&amp;return_date=2026-04-22&amp;currency=EUR&amp;startStation=91&amp;endStation=34",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Cozy Cottage</t>
        </is>
      </c>
      <c r="H79">
        <f>HYPERLINK("https://booking.roadsurfer.com/es/rally/pick?pickup_date=2026-05-04&amp;return_date=2026-05-11&amp;currency=EUR&amp;startStation=91&amp;endStation=34",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Países Bajos</t>
        </is>
      </c>
      <c r="D80" t="inlineStr">
        <is>
          <t>Ámsterdam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Couple Cottage</t>
        </is>
      </c>
      <c r="H80">
        <f>HYPERLINK("https://booking.roadsurfer.com/es/rally/pick?pickup_date=2026-04-13&amp;return_date=2026-04-20&amp;currency=EUR&amp;startStation=91&amp;endStation=32",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2026-04-07</t>
        </is>
      </c>
      <c r="F81" t="inlineStr">
        <is>
          <t>2026-04-14</t>
        </is>
      </c>
      <c r="G81" t="inlineStr">
        <is>
          <t xml:space="preserve"> - Sunrise Suite</t>
        </is>
      </c>
      <c r="H81">
        <f>HYPERLINK("https://booking.roadsurfer.com/es/rally/pick?pickup_date=2026-04-07&amp;return_date=2026-04-14&amp;currency=EUR&amp;startStation=91&amp;endStation=42",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2026-04-17</t>
        </is>
      </c>
      <c r="F82" t="inlineStr">
        <is>
          <t>2026-04-24</t>
        </is>
      </c>
      <c r="G82" t="inlineStr">
        <is>
          <t xml:space="preserve"> - Surfer Suite</t>
        </is>
      </c>
      <c r="H82">
        <f>HYPERLINK("https://booking.roadsurfer.com/es/rally/pick?pickup_date=2026-04-17&amp;return_date=2026-04-24&amp;currency=EUR&amp;startStation=40&amp;endStation=2",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Fráncfort</t>
        </is>
      </c>
      <c r="E83" t="inlineStr">
        <is>
          <t>2026-04-08</t>
        </is>
      </c>
      <c r="F83" t="inlineStr">
        <is>
          <t>2026-04-15</t>
        </is>
      </c>
      <c r="G83" t="inlineStr">
        <is>
          <t xml:space="preserve"> - Surfer Suite</t>
        </is>
      </c>
      <c r="H83">
        <f>HYPERLINK("https://booking.roadsurfer.com/es/rally/pick?pickup_date=2026-04-08&amp;return_date=2026-04-15&amp;currency=EUR&amp;startStation=40&amp;endStation=2",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Maguncia</t>
        </is>
      </c>
      <c r="E84" t="inlineStr">
        <is>
          <t>2026-05-29</t>
        </is>
      </c>
      <c r="F84" t="inlineStr">
        <is>
          <t>2026-06-05</t>
        </is>
      </c>
      <c r="G84" t="inlineStr">
        <is>
          <t xml:space="preserve"> - Sunrise Suite</t>
        </is>
      </c>
      <c r="H84">
        <f>HYPERLINK("https://booking.roadsurfer.com/es/rally/pick?pickup_date=2026-05-29&amp;return_date=2026-06-05&amp;currency=EUR&amp;startStation=40&amp;endStation=54",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Maguncia</t>
        </is>
      </c>
      <c r="E85" t="inlineStr">
        <is>
          <t>2026-05-15</t>
        </is>
      </c>
      <c r="F85" t="inlineStr">
        <is>
          <t>2026-05-22</t>
        </is>
      </c>
      <c r="G85" t="inlineStr">
        <is>
          <t xml:space="preserve"> - Surfer Suite</t>
        </is>
      </c>
      <c r="H85">
        <f>HYPERLINK("https://booking.roadsurfer.com/es/rally/pick?pickup_date=2026-05-15&amp;return_date=2026-05-22&amp;currency=EUR&amp;startStation=40&amp;endStation=54",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Camper Cabin - Camper Castle</t>
        </is>
      </c>
      <c r="H86">
        <f>HYPERLINK("https://booking.roadsurfer.com/es/rally/pick?pickup_date=2026-05-11&amp;return_date=2026-05-18&amp;currency=EUR&amp;startStation=40&amp;endStation=4",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2026-05-08</t>
        </is>
      </c>
      <c r="F87" t="inlineStr">
        <is>
          <t>2026-05-15</t>
        </is>
      </c>
      <c r="G87" t="inlineStr">
        <is>
          <t xml:space="preserve"> - COUPLE COTTAGE</t>
        </is>
      </c>
      <c r="H87">
        <f>HYPERLINK("https://booking.roadsurfer.com/es/rally/pick?pickup_date=2026-05-08&amp;return_date=2026-05-15&amp;currency=EUR&amp;startStation=40&amp;endStation=4",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2026-05-06</t>
        </is>
      </c>
      <c r="F88" t="inlineStr">
        <is>
          <t>2026-05-13</t>
        </is>
      </c>
      <c r="G88" t="inlineStr">
        <is>
          <t xml:space="preserve"> - Surfer Suite</t>
        </is>
      </c>
      <c r="H88">
        <f>HYPERLINK("https://booking.roadsurfer.com/es/rally/pick?pickup_date=2026-05-06&amp;return_date=2026-05-13&amp;currency=EUR&amp;startStation=40&amp;endStation=4",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2026-05-15</t>
        </is>
      </c>
      <c r="F89" t="inlineStr">
        <is>
          <t>2026-05-22</t>
        </is>
      </c>
      <c r="G89" t="inlineStr">
        <is>
          <t xml:space="preserve"> - No hay coche</t>
        </is>
      </c>
      <c r="H89">
        <f>HYPERLINK("https://booking.roadsurfer.com/es/rally/pick?pickup_date=2026-05-15&amp;return_date=2026-05-22&amp;currency=EUR&amp;startStation=40&amp;endStation=4",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</t>
        </is>
      </c>
      <c r="H90">
        <f>HYPERLINK("https://booking.roadsurfer.com/es/rally/pick?pickup_date=2026-05-11&amp;return_date=2026-05-18&amp;currency=EUR&amp;startStation=40&amp;endStation=22",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Sunrise Suite</t>
        </is>
      </c>
      <c r="H91">
        <f>HYPERLINK("https://booking.roadsurfer.com/es/rally/pick?pickup_date=2026-05-06&amp;return_date=2026-05-13&amp;currency=EUR&amp;startStation=40&amp;endStation=22",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2026-05-15</t>
        </is>
      </c>
      <c r="F92" t="inlineStr">
        <is>
          <t>2026-05-22</t>
        </is>
      </c>
      <c r="G92" t="inlineStr">
        <is>
          <t xml:space="preserve"> - Beach Hostel</t>
        </is>
      </c>
      <c r="H92">
        <f>HYPERLINK("https://booking.roadsurfer.com/es/rally/pick?pickup_date=2026-05-15&amp;return_date=2026-05-22&amp;currency=EUR&amp;startStation=40&amp;endStation=22",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Couple Cottage</t>
        </is>
      </c>
      <c r="H93">
        <f>HYPERLINK("https://booking.roadsurfer.com/es/rally/pick?pickup_date=2026-05-19&amp;return_date=2026-05-26&amp;currency=EUR&amp;startStation=40&amp;endStation=22",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2026-04-22</t>
        </is>
      </c>
      <c r="F94" t="inlineStr">
        <is>
          <t>2026-04-29</t>
        </is>
      </c>
      <c r="G94" t="inlineStr">
        <is>
          <t xml:space="preserve"> - Sunrise Suite</t>
        </is>
      </c>
      <c r="H94">
        <f>HYPERLINK("https://booking.roadsurfer.com/es/rally/pick?pickup_date=2026-04-22&amp;return_date=2026-04-29&amp;currency=EUR&amp;startStation=40&amp;endStation=22",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Sunrise Suite</t>
        </is>
      </c>
      <c r="H95">
        <f>HYPERLINK("https://booking.roadsurfer.com/es/rally/pick?pickup_date=2026-04-20&amp;return_date=2026-04-27&amp;currency=EUR&amp;startStation=40&amp;endStation=22",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2026-04-15</t>
        </is>
      </c>
      <c r="F96" t="inlineStr">
        <is>
          <t>2026-04-22</t>
        </is>
      </c>
      <c r="G96" t="inlineStr">
        <is>
          <t xml:space="preserve"> - Couple Cottage</t>
        </is>
      </c>
      <c r="H96">
        <f>HYPERLINK("https://booking.roadsurfer.com/es/rally/pick?pickup_date=2026-04-15&amp;return_date=2026-04-22&amp;currency=EUR&amp;startStation=40&amp;endStation=22",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Couple Cottage</t>
        </is>
      </c>
      <c r="H97">
        <f>HYPERLINK("https://booking.roadsurfer.com/es/rally/pick?pickup_date=2026-04-13&amp;return_date=2026-04-20&amp;currency=EUR&amp;startStation=40&amp;endStation=22",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2026-04-14</t>
        </is>
      </c>
      <c r="F98" t="inlineStr">
        <is>
          <t>2026-04-21</t>
        </is>
      </c>
      <c r="G98" t="inlineStr">
        <is>
          <t xml:space="preserve"> - Couple Cottage</t>
        </is>
      </c>
      <c r="H98">
        <f>HYPERLINK("https://booking.roadsurfer.com/es/rally/pick?pickup_date=2026-04-14&amp;return_date=2026-04-21&amp;currency=EUR&amp;startStation=40&amp;endStation=22",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2026-05-02</t>
        </is>
      </c>
      <c r="F99" t="inlineStr">
        <is>
          <t>2026-05-09</t>
        </is>
      </c>
      <c r="G99" t="inlineStr">
        <is>
          <t xml:space="preserve"> - TRAVEL HOME</t>
        </is>
      </c>
      <c r="H99">
        <f>HYPERLINK("https://booking.roadsurfer.com/es/rally/pick?pickup_date=2026-05-02&amp;return_date=2026-05-09&amp;currency=EUR&amp;startStation=40&amp;endStation=92",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Bielefeld</t>
        </is>
      </c>
      <c r="E100" t="inlineStr">
        <is>
          <t>2026-05-08</t>
        </is>
      </c>
      <c r="F100" t="inlineStr">
        <is>
          <t>2026-05-15</t>
        </is>
      </c>
      <c r="G100" t="inlineStr">
        <is>
          <t xml:space="preserve"> - Camper Cabin</t>
        </is>
      </c>
      <c r="H100">
        <f>HYPERLINK("https://booking.roadsurfer.com/es/rally/pick?pickup_date=2026-05-08&amp;return_date=2026-05-15&amp;currency=EUR&amp;startStation=40&amp;endStation=91",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Bielefeld</t>
        </is>
      </c>
      <c r="E101" t="inlineStr">
        <is>
          <t>2026-05-13</t>
        </is>
      </c>
      <c r="F101" t="inlineStr">
        <is>
          <t>2026-05-20</t>
        </is>
      </c>
      <c r="G101" t="inlineStr">
        <is>
          <t xml:space="preserve"> - Road House - Camper Castle</t>
        </is>
      </c>
      <c r="H101">
        <f>HYPERLINK("https://booking.roadsurfer.com/es/rally/pick?pickup_date=2026-05-13&amp;return_date=2026-05-20&amp;currency=EUR&amp;startStation=40&amp;endStation=91",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Camper Castle</t>
        </is>
      </c>
      <c r="H102">
        <f>HYPERLINK("https://booking.roadsurfer.com/es/rally/pick?pickup_date=2026-05-04&amp;return_date=2026-05-11&amp;currency=EUR&amp;startStation=40&amp;endStation=28",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Camper Cabin</t>
        </is>
      </c>
      <c r="H103">
        <f>HYPERLINK("https://booking.roadsurfer.com/es/rally/pick?pickup_date=2026-05-11&amp;return_date=2026-05-18&amp;currency=EUR&amp;startStation=40&amp;endStation=28",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2026-05-14</t>
        </is>
      </c>
      <c r="F104" t="inlineStr">
        <is>
          <t>2026-05-21</t>
        </is>
      </c>
      <c r="G104" t="inlineStr">
        <is>
          <t xml:space="preserve"> - Sunrise Suite</t>
        </is>
      </c>
      <c r="H104">
        <f>HYPERLINK("https://booking.roadsurfer.com/es/rally/pick?pickup_date=2026-05-14&amp;return_date=2026-05-21&amp;currency=EUR&amp;startStation=40&amp;endStation=28",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2026-05-16</t>
        </is>
      </c>
      <c r="F105" t="inlineStr">
        <is>
          <t>2026-05-23</t>
        </is>
      </c>
      <c r="G105" t="inlineStr">
        <is>
          <t xml:space="preserve"> - Camper Castle</t>
        </is>
      </c>
      <c r="H105">
        <f>HYPERLINK("https://booking.roadsurfer.com/es/rally/pick?pickup_date=2026-05-16&amp;return_date=2026-05-23&amp;currency=EUR&amp;startStation=40&amp;endStation=28",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Road House</t>
        </is>
      </c>
      <c r="H106">
        <f>HYPERLINK("https://booking.roadsurfer.com/es/rally/pick?pickup_date=2026-05-04&amp;return_date=2026-05-11&amp;currency=EUR&amp;startStation=40&amp;endStation=90",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2026-05-07</t>
        </is>
      </c>
      <c r="F107" t="inlineStr">
        <is>
          <t>2026-05-14</t>
        </is>
      </c>
      <c r="G107" t="inlineStr">
        <is>
          <t xml:space="preserve"> - No hay coche</t>
        </is>
      </c>
      <c r="H107">
        <f>HYPERLINK("https://booking.roadsurfer.com/es/rally/pick?pickup_date=2026-05-07&amp;return_date=2026-05-14&amp;currency=EUR&amp;startStation=40&amp;endStation=90",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Road House</t>
        </is>
      </c>
      <c r="H108">
        <f>HYPERLINK("https://booking.roadsurfer.com/es/rally/pick?pickup_date=2026-05-11&amp;return_date=2026-05-18&amp;currency=EUR&amp;startStation=40&amp;endStation=90",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Road House - Camper Castle</t>
        </is>
      </c>
      <c r="H109">
        <f>HYPERLINK("https://booking.roadsurfer.com/es/rally/pick?pickup_date=2026-04-13&amp;return_date=2026-04-20&amp;currency=EUR&amp;startStation=40&amp;endStation=5",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Stuttgart</t>
        </is>
      </c>
      <c r="E110" t="inlineStr">
        <is>
          <t>2026-05-05</t>
        </is>
      </c>
      <c r="F110" t="inlineStr">
        <is>
          <t>2026-05-12</t>
        </is>
      </c>
      <c r="G110" t="inlineStr">
        <is>
          <t xml:space="preserve"> - Couple Cottage</t>
        </is>
      </c>
      <c r="H110">
        <f>HYPERLINK("https://booking.roadsurfer.com/es/rally/pick?pickup_date=2026-05-05&amp;return_date=2026-05-12&amp;currency=EUR&amp;startStation=40&amp;endStation=5",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2026-04-09</t>
        </is>
      </c>
      <c r="F111" t="inlineStr">
        <is>
          <t>2026-04-16</t>
        </is>
      </c>
      <c r="G111" t="inlineStr">
        <is>
          <t xml:space="preserve"> - Family Finca</t>
        </is>
      </c>
      <c r="H111">
        <f>HYPERLINK("https://booking.roadsurfer.com/es/rally/pick?pickup_date=2026-04-09&amp;return_date=2026-04-16&amp;currency=EUR&amp;startStation=40&amp;endStation=52",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Colonia-Bonn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Road House</t>
        </is>
      </c>
      <c r="H112">
        <f>HYPERLINK("https://booking.roadsurfer.com/es/rally/pick?pickup_date=2026-05-04&amp;return_date=2026-05-11&amp;currency=EUR&amp;startStation=40&amp;endStation=52",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2026-04-07</t>
        </is>
      </c>
      <c r="F113" t="inlineStr">
        <is>
          <t>2026-04-14</t>
        </is>
      </c>
      <c r="G113" t="inlineStr">
        <is>
          <t xml:space="preserve"> - No hay coche</t>
        </is>
      </c>
      <c r="H113">
        <f>HYPERLINK("https://booking.roadsurfer.com/es/rally/pick?pickup_date=2026-04-07&amp;return_date=2026-04-14&amp;currency=EUR&amp;startStation=40&amp;endStation=10",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2026-04-20</t>
        </is>
      </c>
      <c r="F114" t="inlineStr">
        <is>
          <t>2026-04-27</t>
        </is>
      </c>
      <c r="G114" t="inlineStr">
        <is>
          <t xml:space="preserve"> - No hay coche</t>
        </is>
      </c>
      <c r="H114">
        <f>HYPERLINK("https://booking.roadsurfer.com/es/rally/pick?pickup_date=2026-04-20&amp;return_date=2026-04-27&amp;currency=EUR&amp;startStation=24&amp;endStation=32", "Clic para verlo en la web de RoadSurfer")</f>
        <v/>
      </c>
    </row>
    <row r="115">
      <c r="A115" t="inlineStr">
        <is>
          <t>Alemania</t>
        </is>
      </c>
      <c r="B115" t="inlineStr">
        <is>
          <t>Bochum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2026-04-22</t>
        </is>
      </c>
      <c r="F115" t="inlineStr">
        <is>
          <t>2026-04-29</t>
        </is>
      </c>
      <c r="G115" t="inlineStr">
        <is>
          <t xml:space="preserve"> - Surfer Suite</t>
        </is>
      </c>
      <c r="H115">
        <f>HYPERLINK("https://booking.roadsurfer.com/es/rally/pick?pickup_date=2026-04-22&amp;return_date=2026-04-29&amp;currency=EUR&amp;startStation=24&amp;endStation=32",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2026-04-08</t>
        </is>
      </c>
      <c r="F116" t="inlineStr">
        <is>
          <t>2026-04-15</t>
        </is>
      </c>
      <c r="G116" t="inlineStr">
        <is>
          <t xml:space="preserve"> - Surfer Suite</t>
        </is>
      </c>
      <c r="H116">
        <f>HYPERLINK("https://booking.roadsurfer.com/es/rally/pick?pickup_date=2026-04-08&amp;return_date=2026-04-15&amp;currency=EUR&amp;startStation=57&amp;endStation=56",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Colonia-Bonn</t>
        </is>
      </c>
      <c r="E117" t="inlineStr">
        <is>
          <t>2026-05-05</t>
        </is>
      </c>
      <c r="F117" t="inlineStr">
        <is>
          <t>2026-05-12</t>
        </is>
      </c>
      <c r="G117" t="inlineStr">
        <is>
          <t xml:space="preserve"> - Road House</t>
        </is>
      </c>
      <c r="H117">
        <f>HYPERLINK("https://booking.roadsurfer.com/es/rally/pick?pickup_date=2026-05-05&amp;return_date=2026-05-12&amp;currency=EUR&amp;startStation=57&amp;endStation=52",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2026-05-19</t>
        </is>
      </c>
      <c r="F118" t="inlineStr">
        <is>
          <t>2026-05-26</t>
        </is>
      </c>
      <c r="G118" t="inlineStr">
        <is>
          <t xml:space="preserve"> - Couple Cottage</t>
        </is>
      </c>
      <c r="H118">
        <f>HYPERLINK("https://booking.roadsurfer.com/es/rally/pick?pickup_date=2026-05-19&amp;return_date=2026-05-26&amp;currency=EUR&amp;startStation=57&amp;endStation=22",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Couple Cottage</t>
        </is>
      </c>
      <c r="H119">
        <f>HYPERLINK("https://booking.roadsurfer.com/es/rally/pick?pickup_date=2026-05-06&amp;return_date=2026-05-13&amp;currency=EUR&amp;startStation=57&amp;endStation=22",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2026-05-15</t>
        </is>
      </c>
      <c r="F120" t="inlineStr">
        <is>
          <t>2026-05-22</t>
        </is>
      </c>
      <c r="G120" t="inlineStr">
        <is>
          <t xml:space="preserve"> - Camper Castle</t>
        </is>
      </c>
      <c r="H120">
        <f>HYPERLINK("https://booking.roadsurfer.com/es/rally/pick?pickup_date=2026-05-15&amp;return_date=2026-05-22&amp;currency=EUR&amp;startStation=57&amp;endStation=22",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Family Finca</t>
        </is>
      </c>
      <c r="H121">
        <f>HYPERLINK("https://booking.roadsurfer.com/es/rally/pick?pickup_date=2026-05-06&amp;return_date=2026-05-13&amp;currency=EUR&amp;startStation=57&amp;endStation=8",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2026-05-07</t>
        </is>
      </c>
      <c r="F122" t="inlineStr">
        <is>
          <t>2026-05-14</t>
        </is>
      </c>
      <c r="G122" t="inlineStr">
        <is>
          <t xml:space="preserve"> - No hay coche</t>
        </is>
      </c>
      <c r="H122">
        <f>HYPERLINK("https://booking.roadsurfer.com/es/rally/pick?pickup_date=2026-05-07&amp;return_date=2026-05-14&amp;currency=EUR&amp;startStation=57&amp;endStation=1",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2026-04-08</t>
        </is>
      </c>
      <c r="F123" t="inlineStr">
        <is>
          <t>2026-04-15</t>
        </is>
      </c>
      <c r="G123" t="inlineStr">
        <is>
          <t xml:space="preserve"> - Surfer Suite - Couple Cottage</t>
        </is>
      </c>
      <c r="H123">
        <f>HYPERLINK("https://booking.roadsurfer.com/es/rally/pick?pickup_date=2026-04-08&amp;return_date=2026-04-15&amp;currency=EUR&amp;startStation=13&amp;endStation=22",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2026-05-08</t>
        </is>
      </c>
      <c r="F124" t="inlineStr">
        <is>
          <t>2026-05-15</t>
        </is>
      </c>
      <c r="G124" t="inlineStr">
        <is>
          <t xml:space="preserve"> - No hay coche</t>
        </is>
      </c>
      <c r="H124">
        <f>HYPERLINK("https://booking.roadsurfer.com/es/rally/pick?pickup_date=2026-05-08&amp;return_date=2026-05-15&amp;currency=EUR&amp;startStation=13&amp;endStation=22",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Couple Cottage</t>
        </is>
      </c>
      <c r="H125">
        <f>HYPERLINK("https://booking.roadsurfer.com/es/rally/pick?pickup_date=2026-05-11&amp;return_date=2026-05-18&amp;currency=EUR&amp;startStation=13&amp;endStation=22",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2026-05-15</t>
        </is>
      </c>
      <c r="F126" t="inlineStr">
        <is>
          <t>2026-05-22</t>
        </is>
      </c>
      <c r="G126" t="inlineStr">
        <is>
          <t xml:space="preserve"> - No hay coche</t>
        </is>
      </c>
      <c r="H126">
        <f>HYPERLINK("https://booking.roadsurfer.com/es/rally/pick?pickup_date=2026-05-15&amp;return_date=2026-05-22&amp;currency=EUR&amp;startStation=13&amp;endStation=22",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Camper Cabin</t>
        </is>
      </c>
      <c r="H127">
        <f>HYPERLINK("https://booking.roadsurfer.com/es/rally/pick?pickup_date=2026-05-13&amp;return_date=2026-05-20&amp;currency=EUR&amp;startStation=13&amp;endStation=22",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No hay coche</t>
        </is>
      </c>
      <c r="H128">
        <f>HYPERLINK("https://booking.roadsurfer.com/es/rally/pick?pickup_date=2026-05-04&amp;return_date=2026-05-11&amp;currency=EUR&amp;startStation=13&amp;endStation=22",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2026-04-10</t>
        </is>
      </c>
      <c r="F129" t="inlineStr">
        <is>
          <t>2026-04-17</t>
        </is>
      </c>
      <c r="G129" t="inlineStr">
        <is>
          <t xml:space="preserve"> - Camper Cabin</t>
        </is>
      </c>
      <c r="H129">
        <f>HYPERLINK("https://booking.roadsurfer.com/es/rally/pick?pickup_date=2026-04-10&amp;return_date=2026-04-17&amp;currency=EUR&amp;startStation=13&amp;endStation=22",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Camper Cabin</t>
        </is>
      </c>
      <c r="H130">
        <f>HYPERLINK("https://booking.roadsurfer.com/es/rally/pick?pickup_date=2026-04-13&amp;return_date=2026-04-20&amp;currency=EUR&amp;startStation=13&amp;endStation=22",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Road House</t>
        </is>
      </c>
      <c r="H131">
        <f>HYPERLINK("https://booking.roadsurfer.com/es/rally/pick?pickup_date=2026-05-04&amp;return_date=2026-05-11&amp;currency=EUR&amp;startStation=13&amp;endStation=56",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No hay coche</t>
        </is>
      </c>
      <c r="H132">
        <f>HYPERLINK("https://booking.roadsurfer.com/es/rally/pick?pickup_date=2026-05-08&amp;return_date=2026-05-15&amp;currency=EUR&amp;startStation=13&amp;endStation=56",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Surfer Suite - Road House</t>
        </is>
      </c>
      <c r="H133">
        <f>HYPERLINK("https://booking.roadsurfer.com/es/rally/pick?pickup_date=2026-05-11&amp;return_date=2026-05-18&amp;currency=EUR&amp;startStation=13&amp;endStation=56",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Surfer Suite</t>
        </is>
      </c>
      <c r="H134">
        <f>HYPERLINK("https://booking.roadsurfer.com/es/rally/pick?pickup_date=2026-05-26&amp;return_date=2026-06-02&amp;currency=EUR&amp;startStation=13&amp;endStation=56",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Travel Home - Sunrise Suite</t>
        </is>
      </c>
      <c r="H136">
        <f>HYPERLINK("https://booking.roadsurfer.com/es/rally/pick?pickup_date=2026-04-13&amp;return_date=2026-04-20&amp;currency=EUR&amp;startStation=13&amp;endStation=90",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2026-05-16</t>
        </is>
      </c>
      <c r="F137" t="inlineStr">
        <is>
          <t>2026-05-23</t>
        </is>
      </c>
      <c r="G137" t="inlineStr">
        <is>
          <t xml:space="preserve"> - Surfer Suite</t>
        </is>
      </c>
      <c r="H137">
        <f>HYPERLINK("https://booking.roadsurfer.com/es/rally/pick?pickup_date=2026-05-16&amp;return_date=2026-05-23&amp;currency=EUR&amp;startStation=13&amp;endStation=90",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2026-05-21</t>
        </is>
      </c>
      <c r="F138" t="inlineStr">
        <is>
          <t>2026-05-28</t>
        </is>
      </c>
      <c r="G138" t="inlineStr">
        <is>
          <t xml:space="preserve"> - Beach Hostel</t>
        </is>
      </c>
      <c r="H138">
        <f>HYPERLINK("https://booking.roadsurfer.com/es/rally/pick?pickup_date=2026-05-21&amp;return_date=2026-05-28&amp;currency=EUR&amp;startStation=13&amp;endStation=90",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2026-04-16</t>
        </is>
      </c>
      <c r="F139" t="inlineStr">
        <is>
          <t>2026-04-23</t>
        </is>
      </c>
      <c r="G139" t="inlineStr">
        <is>
          <t xml:space="preserve"> - Surfer Suite</t>
        </is>
      </c>
      <c r="H139">
        <f>HYPERLINK("https://booking.roadsurfer.com/es/rally/pick?pickup_date=2026-04-16&amp;return_date=2026-04-23&amp;currency=EUR&amp;startStation=13&amp;endStation=29",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Camper Castle</t>
        </is>
      </c>
      <c r="H140">
        <f>HYPERLINK("https://booking.roadsurfer.com/es/rally/pick?pickup_date=2026-05-06&amp;return_date=2026-05-13&amp;currency=EUR&amp;startStation=13&amp;endStation=8",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Road House</t>
        </is>
      </c>
      <c r="H141">
        <f>HYPERLINK("https://booking.roadsurfer.com/es/rally/pick?pickup_date=2026-05-13&amp;return_date=2026-05-20&amp;currency=EUR&amp;startStation=13&amp;endStation=8",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2026-05-14</t>
        </is>
      </c>
      <c r="F142" t="inlineStr">
        <is>
          <t>2026-05-21</t>
        </is>
      </c>
      <c r="G142" t="inlineStr">
        <is>
          <t xml:space="preserve"> - No hay coche</t>
        </is>
      </c>
      <c r="H142">
        <f>HYPERLINK("https://booking.roadsurfer.com/es/rally/pick?pickup_date=2026-05-14&amp;return_date=2026-05-21&amp;currency=EUR&amp;startStation=13&amp;endStation=8",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Lübeck</t>
        </is>
      </c>
      <c r="E143" t="inlineStr">
        <is>
          <t>2026-04-07</t>
        </is>
      </c>
      <c r="F143" t="inlineStr">
        <is>
          <t>2026-04-14</t>
        </is>
      </c>
      <c r="G143" t="inlineStr">
        <is>
          <t xml:space="preserve"> - Camper Cabin</t>
        </is>
      </c>
      <c r="H143">
        <f>HYPERLINK("https://booking.roadsurfer.com/es/rally/pick?pickup_date=2026-04-07&amp;return_date=2026-04-14&amp;currency=EUR&amp;startStation=13&amp;endStation=109",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Lübeck</t>
        </is>
      </c>
      <c r="E144" t="inlineStr">
        <is>
          <t>2026-04-09</t>
        </is>
      </c>
      <c r="F144" t="inlineStr">
        <is>
          <t>2026-04-16</t>
        </is>
      </c>
      <c r="G144" t="inlineStr">
        <is>
          <t xml:space="preserve"> - Beach Hostel</t>
        </is>
      </c>
      <c r="H144">
        <f>HYPERLINK("https://booking.roadsurfer.com/es/rally/pick?pickup_date=2026-04-09&amp;return_date=2026-04-16&amp;currency=EUR&amp;startStation=13&amp;endStation=109",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2026-04-08</t>
        </is>
      </c>
      <c r="F145" t="inlineStr">
        <is>
          <t>2026-04-15</t>
        </is>
      </c>
      <c r="G145" t="inlineStr">
        <is>
          <t xml:space="preserve"> - Beach Hostel</t>
        </is>
      </c>
      <c r="H145">
        <f>HYPERLINK("https://booking.roadsurfer.com/es/rally/pick?pickup_date=2026-04-08&amp;return_date=2026-04-15&amp;currency=EUR&amp;startStation=13&amp;endStation=11",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Hamburgo</t>
        </is>
      </c>
      <c r="E146" t="inlineStr">
        <is>
          <t>2026-04-09</t>
        </is>
      </c>
      <c r="F146" t="inlineStr">
        <is>
          <t>2026-04-16</t>
        </is>
      </c>
      <c r="G146" t="inlineStr">
        <is>
          <t xml:space="preserve"> - BEACH HOSTEL</t>
        </is>
      </c>
      <c r="H146">
        <f>HYPERLINK("https://booking.roadsurfer.com/es/rally/pick?pickup_date=2026-04-09&amp;return_date=2026-04-16&amp;currency=EUR&amp;startStation=13&amp;endStation=3",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2026-04-09</t>
        </is>
      </c>
      <c r="F147" t="inlineStr">
        <is>
          <t>2026-04-16</t>
        </is>
      </c>
      <c r="G147" t="inlineStr">
        <is>
          <t xml:space="preserve"> - Travel Home</t>
        </is>
      </c>
      <c r="H147">
        <f>HYPERLINK("https://booking.roadsurfer.com/es/rally/pick?pickup_date=2026-04-09&amp;return_date=2026-04-16&amp;currency=EUR&amp;startStation=13&amp;endStation=52",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Family Finca</t>
        </is>
      </c>
      <c r="H148">
        <f>HYPERLINK("https://booking.roadsurfer.com/es/rally/pick?pickup_date=2026-04-15&amp;return_date=2026-04-22&amp;currency=EUR&amp;startStation=13&amp;endStation=4",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Sunrise Suite</t>
        </is>
      </c>
      <c r="H149">
        <f>HYPERLINK("https://booking.roadsurfer.com/es/rally/pick?pickup_date=2026-05-04&amp;return_date=2026-05-11&amp;currency=EUR&amp;startStation=13&amp;endStation=4",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2026-05-11</t>
        </is>
      </c>
      <c r="F150" t="inlineStr">
        <is>
          <t>2026-05-18</t>
        </is>
      </c>
      <c r="G150" t="inlineStr">
        <is>
          <t xml:space="preserve"> - Camper Cabin - Sunrise Suite</t>
        </is>
      </c>
      <c r="H150">
        <f>HYPERLINK("https://booking.roadsurfer.com/es/rally/pick?pickup_date=2026-05-11&amp;return_date=2026-05-18&amp;currency=EUR&amp;startStation=13&amp;endStation=4",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2026-05-13</t>
        </is>
      </c>
      <c r="F151" t="inlineStr">
        <is>
          <t>2026-05-20</t>
        </is>
      </c>
      <c r="G151" t="inlineStr">
        <is>
          <t xml:space="preserve"> - No hay coche</t>
        </is>
      </c>
      <c r="H151">
        <f>HYPERLINK("https://booking.roadsurfer.com/es/rally/pick?pickup_date=2026-05-13&amp;return_date=2026-05-20&amp;currency=EUR&amp;startStation=13&amp;endStation=4",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Sunrise Suite</t>
        </is>
      </c>
      <c r="H152">
        <f>HYPERLINK("https://booking.roadsurfer.com/es/rally/pick?pickup_date=2026-05-26&amp;return_date=2026-06-02&amp;currency=EUR&amp;startStation=13&amp;endStation=4",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Ratisbona</t>
        </is>
      </c>
      <c r="E153" t="inlineStr">
        <is>
          <t>2026-04-07</t>
        </is>
      </c>
      <c r="F153" t="inlineStr">
        <is>
          <t>2026-04-14</t>
        </is>
      </c>
      <c r="G153" t="inlineStr">
        <is>
          <t xml:space="preserve"> - Road House</t>
        </is>
      </c>
      <c r="H153">
        <f>HYPERLINK("https://booking.roadsurfer.com/es/rally/pick?pickup_date=2026-04-07&amp;return_date=2026-04-14&amp;currency=EUR&amp;startStation=13&amp;endStation=89",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Ulm</t>
        </is>
      </c>
      <c r="E154" t="inlineStr">
        <is>
          <t>2026-04-16</t>
        </is>
      </c>
      <c r="F154" t="inlineStr">
        <is>
          <t>2026-04-23</t>
        </is>
      </c>
      <c r="G154" t="inlineStr">
        <is>
          <t xml:space="preserve"> - Road House</t>
        </is>
      </c>
      <c r="H154">
        <f>HYPERLINK("https://booking.roadsurfer.com/es/rally/pick?pickup_date=2026-04-16&amp;return_date=2026-04-23&amp;currency=EUR&amp;startStation=13&amp;endStation=112",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Lindau-Wangen</t>
        </is>
      </c>
      <c r="E155" t="inlineStr">
        <is>
          <t>2026-04-16</t>
        </is>
      </c>
      <c r="F155" t="inlineStr">
        <is>
          <t>2026-04-23</t>
        </is>
      </c>
      <c r="G155" t="inlineStr">
        <is>
          <t xml:space="preserve"> - Road House</t>
        </is>
      </c>
      <c r="H155">
        <f>HYPERLINK("https://booking.roadsurfer.com/es/rally/pick?pickup_date=2026-04-16&amp;return_date=2026-04-23&amp;currency=EUR&amp;startStation=13&amp;endStation=117",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Karlsruhe</t>
        </is>
      </c>
      <c r="E156" t="inlineStr">
        <is>
          <t>2026-05-02</t>
        </is>
      </c>
      <c r="F156" t="inlineStr">
        <is>
          <t>2026-05-09</t>
        </is>
      </c>
      <c r="G156" t="inlineStr">
        <is>
          <t xml:space="preserve"> - Couple Cottage</t>
        </is>
      </c>
      <c r="H156">
        <f>HYPERLINK("https://booking.roadsurfer.com/es/rally/pick?pickup_date=2026-05-02&amp;return_date=2026-05-09&amp;currency=EUR&amp;startStation=13&amp;endStation=110",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2026-04-15</t>
        </is>
      </c>
      <c r="F157" t="inlineStr">
        <is>
          <t>2026-04-22</t>
        </is>
      </c>
      <c r="G157" t="inlineStr">
        <is>
          <t xml:space="preserve"> - Cozy Cottage</t>
        </is>
      </c>
      <c r="H157">
        <f>HYPERLINK("https://booking.roadsurfer.com/es/rally/pick?pickup_date=2026-04-15&amp;return_date=2026-04-22&amp;currency=EUR&amp;startStation=55&amp;endStation=77",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No hay coche</t>
        </is>
      </c>
      <c r="H158">
        <f>HYPERLINK("https://booking.roadsurfer.com/es/rally/pick?pickup_date=2026-05-06&amp;return_date=2026-05-13&amp;currency=EUR&amp;startStation=55&amp;endStation=77",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2026-04-09</t>
        </is>
      </c>
      <c r="F159" t="inlineStr">
        <is>
          <t>2026-04-16</t>
        </is>
      </c>
      <c r="G159" t="inlineStr">
        <is>
          <t xml:space="preserve"> - Surfer Suite</t>
        </is>
      </c>
      <c r="H159">
        <f>HYPERLINK("https://booking.roadsurfer.com/es/rally/pick?pickup_date=2026-04-09&amp;return_date=2026-04-16&amp;currency=EUR&amp;startStation=55&amp;endStation=59",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Camper Castle</t>
        </is>
      </c>
      <c r="H160">
        <f>HYPERLINK("https://booking.roadsurfer.com/es/rally/pick?pickup_date=2026-04-13&amp;return_date=2026-04-20&amp;currency=EUR&amp;startStation=55&amp;endStation=59",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Surfer Suite</t>
        </is>
      </c>
      <c r="H161">
        <f>HYPERLINK("https://booking.roadsurfer.com/es/rally/pick?pickup_date=2026-04-20&amp;return_date=2026-04-27&amp;currency=EUR&amp;startStation=55&amp;endStation=114",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Road House</t>
        </is>
      </c>
      <c r="H162">
        <f>HYPERLINK("https://booking.roadsurfer.com/es/rally/pick?pickup_date=2026-05-06&amp;return_date=2026-05-13&amp;currency=EUR&amp;startStation=55&amp;endStation=60",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Cozy Cottage</t>
        </is>
      </c>
      <c r="H163">
        <f>HYPERLINK("https://booking.roadsurfer.com/es/rally/pick?pickup_date=2026-04-13&amp;return_date=2026-04-20&amp;currency=EUR&amp;startStation=55&amp;endStation=60",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España</t>
        </is>
      </c>
      <c r="D164" t="inlineStr">
        <is>
          <t>Málaga</t>
        </is>
      </c>
      <c r="E164" t="inlineStr">
        <is>
          <t>2026-04-09</t>
        </is>
      </c>
      <c r="F164" t="inlineStr">
        <is>
          <t>2026-04-16</t>
        </is>
      </c>
      <c r="G164" t="inlineStr">
        <is>
          <t xml:space="preserve"> - Camper Castle</t>
        </is>
      </c>
      <c r="H164">
        <f>HYPERLINK("https://booking.roadsurfer.com/es/rally/pick?pickup_date=2026-04-09&amp;return_date=2026-04-16&amp;currency=EUR&amp;startStation=55&amp;endStation=21",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Couple Cottage</t>
        </is>
      </c>
      <c r="H165">
        <f>HYPERLINK("https://booking.roadsurfer.com/es/rally/pick?pickup_date=2026-04-13&amp;return_date=2026-04-20&amp;currency=EUR&amp;startStation=55&amp;endStation=32",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Surfer Suite - Camper Castle</t>
        </is>
      </c>
      <c r="H166">
        <f>HYPERLINK("https://booking.roadsurfer.com/es/rally/pick?pickup_date=2026-05-04&amp;return_date=2026-05-11&amp;currency=EUR&amp;startStation=42&amp;endStation=6",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Berlín</t>
        </is>
      </c>
      <c r="E167" t="inlineStr">
        <is>
          <t>2026-05-15</t>
        </is>
      </c>
      <c r="F167" t="inlineStr">
        <is>
          <t>2026-05-22</t>
        </is>
      </c>
      <c r="G167" t="inlineStr">
        <is>
          <t xml:space="preserve"> - Camper Castle</t>
        </is>
      </c>
      <c r="H167">
        <f>HYPERLINK("https://booking.roadsurfer.com/es/rally/pick?pickup_date=2026-05-15&amp;return_date=2026-05-22&amp;currency=EUR&amp;startStation=42&amp;endStation=6",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Berlín</t>
        </is>
      </c>
      <c r="E168" t="inlineStr">
        <is>
          <t>2026-05-23</t>
        </is>
      </c>
      <c r="F168" t="inlineStr">
        <is>
          <t>2026-05-30</t>
        </is>
      </c>
      <c r="G168" t="inlineStr">
        <is>
          <t xml:space="preserve"> - Camper Castle</t>
        </is>
      </c>
      <c r="H168">
        <f>HYPERLINK("https://booking.roadsurfer.com/es/rally/pick?pickup_date=2026-05-23&amp;return_date=2026-05-30&amp;currency=EUR&amp;startStation=42&amp;endStation=6",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Bochum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Surfer Suite - Sunrise Suite</t>
        </is>
      </c>
      <c r="H169">
        <f>HYPERLINK("https://booking.roadsurfer.com/es/rally/pick?pickup_date=2026-05-11&amp;return_date=2026-05-18&amp;currency=EUR&amp;startStation=42&amp;endStation=24",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Bochum</t>
        </is>
      </c>
      <c r="E170" t="inlineStr">
        <is>
          <t>2026-05-12</t>
        </is>
      </c>
      <c r="F170" t="inlineStr">
        <is>
          <t>2026-05-19</t>
        </is>
      </c>
      <c r="G170" t="inlineStr">
        <is>
          <t xml:space="preserve"> - Camper Cabin</t>
        </is>
      </c>
      <c r="H170">
        <f>HYPERLINK("https://booking.roadsurfer.com/es/rally/pick?pickup_date=2026-05-12&amp;return_date=2026-05-19&amp;currency=EUR&amp;startStation=42&amp;endStation=24",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Bochum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Camper Cabin</t>
        </is>
      </c>
      <c r="H171">
        <f>HYPERLINK("https://booking.roadsurfer.com/es/rally/pick?pickup_date=2026-05-15&amp;return_date=2026-05-22&amp;currency=EUR&amp;startStation=42&amp;endStation=24",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2026-04-22</t>
        </is>
      </c>
      <c r="F172" t="inlineStr">
        <is>
          <t>2026-04-29</t>
        </is>
      </c>
      <c r="G172" t="inlineStr">
        <is>
          <t xml:space="preserve"> - Beach Hostel</t>
        </is>
      </c>
      <c r="H172">
        <f>HYPERLINK("https://booking.roadsurfer.com/es/rally/pick?pickup_date=2026-04-22&amp;return_date=2026-04-29&amp;currency=EUR&amp;startStation=42&amp;endStation=48",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Aquisgrán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Couple Cottage</t>
        </is>
      </c>
      <c r="H173">
        <f>HYPERLINK("https://booking.roadsurfer.com/es/rally/pick?pickup_date=2026-05-04&amp;return_date=2026-05-11&amp;currency=EUR&amp;startStation=42&amp;endStation=114",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Aquisgrán</t>
        </is>
      </c>
      <c r="E174" t="inlineStr">
        <is>
          <t>2026-05-11</t>
        </is>
      </c>
      <c r="F174" t="inlineStr">
        <is>
          <t>2026-05-18</t>
        </is>
      </c>
      <c r="G174" t="inlineStr">
        <is>
          <t xml:space="preserve"> - Camper Cabin - Couple Cottage</t>
        </is>
      </c>
      <c r="H174">
        <f>HYPERLINK("https://booking.roadsurfer.com/es/rally/pick?pickup_date=2026-05-11&amp;return_date=2026-05-18&amp;currency=EUR&amp;startStation=42&amp;endStation=114",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2026-05-12</t>
        </is>
      </c>
      <c r="F175" t="inlineStr">
        <is>
          <t>2026-05-19</t>
        </is>
      </c>
      <c r="G175" t="inlineStr">
        <is>
          <t xml:space="preserve"> - Couple Cottage</t>
        </is>
      </c>
      <c r="H175">
        <f>HYPERLINK("https://booking.roadsurfer.com/es/rally/pick?pickup_date=2026-05-12&amp;return_date=2026-05-19&amp;currency=EUR&amp;startStation=42&amp;endStation=55",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2026-05-15</t>
        </is>
      </c>
      <c r="F176" t="inlineStr">
        <is>
          <t>2026-05-22</t>
        </is>
      </c>
      <c r="G176" t="inlineStr">
        <is>
          <t xml:space="preserve"> - Camper Castle</t>
        </is>
      </c>
      <c r="H176">
        <f>HYPERLINK("https://booking.roadsurfer.com/es/rally/pick?pickup_date=2026-05-15&amp;return_date=2026-05-22&amp;currency=EUR&amp;startStation=42&amp;endStation=55",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2026-05-06</t>
        </is>
      </c>
      <c r="F177" t="inlineStr">
        <is>
          <t>2026-05-13</t>
        </is>
      </c>
      <c r="G177" t="inlineStr">
        <is>
          <t xml:space="preserve"> - No hay coche</t>
        </is>
      </c>
      <c r="H177">
        <f>HYPERLINK("https://booking.roadsurfer.com/es/rally/pick?pickup_date=2026-05-06&amp;return_date=2026-05-13&amp;currency=EUR&amp;startStation=42&amp;endStation=55",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Bremen</t>
        </is>
      </c>
      <c r="E178" t="inlineStr">
        <is>
          <t>2026-05-26</t>
        </is>
      </c>
      <c r="F178" t="inlineStr">
        <is>
          <t>2026-06-02</t>
        </is>
      </c>
      <c r="G178" t="inlineStr">
        <is>
          <t xml:space="preserve"> - Sunrise Suite</t>
        </is>
      </c>
      <c r="H178">
        <f>HYPERLINK("https://booking.roadsurfer.com/es/rally/pick?pickup_date=2026-05-26&amp;return_date=2026-06-02&amp;currency=EUR&amp;startStation=42&amp;endStation=55",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Camper Castle</t>
        </is>
      </c>
      <c r="H179">
        <f>HYPERLINK("https://booking.roadsurfer.com/es/rally/pick?pickup_date=2026-05-04&amp;return_date=2026-05-11&amp;currency=EUR&amp;startStation=42&amp;endStation=91",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2026-05-06</t>
        </is>
      </c>
      <c r="F180" t="inlineStr">
        <is>
          <t>2026-05-13</t>
        </is>
      </c>
      <c r="G180" t="inlineStr">
        <is>
          <t xml:space="preserve"> - Road House</t>
        </is>
      </c>
      <c r="H180">
        <f>HYPERLINK("https://booking.roadsurfer.com/es/rally/pick?pickup_date=2026-05-06&amp;return_date=2026-05-13&amp;currency=EUR&amp;startStation=42&amp;endStation=91",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2026-05-15</t>
        </is>
      </c>
      <c r="F181" t="inlineStr">
        <is>
          <t>2026-05-22</t>
        </is>
      </c>
      <c r="G181" t="inlineStr">
        <is>
          <t xml:space="preserve"> - Sunrise Suite</t>
        </is>
      </c>
      <c r="H181">
        <f>HYPERLINK("https://booking.roadsurfer.com/es/rally/pick?pickup_date=2026-05-15&amp;return_date=2026-05-22&amp;currency=EUR&amp;startStation=42&amp;endStation=91",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2026-05-21</t>
        </is>
      </c>
      <c r="F182" t="inlineStr">
        <is>
          <t>2026-05-28</t>
        </is>
      </c>
      <c r="G182" t="inlineStr">
        <is>
          <t xml:space="preserve"> - Camper Castle</t>
        </is>
      </c>
      <c r="H182">
        <f>HYPERLINK("https://booking.roadsurfer.com/es/rally/pick?pickup_date=2026-05-21&amp;return_date=2026-05-28&amp;currency=EUR&amp;startStation=42&amp;endStation=91",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2026-04-09</t>
        </is>
      </c>
      <c r="F183" t="inlineStr">
        <is>
          <t>2026-04-16</t>
        </is>
      </c>
      <c r="G183" t="inlineStr">
        <is>
          <t xml:space="preserve"> - Road House</t>
        </is>
      </c>
      <c r="H183">
        <f>HYPERLINK("https://booking.roadsurfer.com/es/rally/pick?pickup_date=2026-04-09&amp;return_date=2026-04-16&amp;currency=EUR&amp;startStation=42&amp;endStation=56",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Couple Cottage</t>
        </is>
      </c>
      <c r="H184">
        <f>HYPERLINK("https://booking.roadsurfer.com/es/rally/pick?pickup_date=2026-05-04&amp;return_date=2026-05-11&amp;currency=EUR&amp;startStation=42&amp;endStation=90",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2026-04-13</t>
        </is>
      </c>
      <c r="F185" t="inlineStr">
        <is>
          <t>2026-04-20</t>
        </is>
      </c>
      <c r="G185" t="inlineStr">
        <is>
          <t xml:space="preserve"> - Couple Cottage</t>
        </is>
      </c>
      <c r="H185">
        <f>HYPERLINK("https://booking.roadsurfer.com/es/rally/pick?pickup_date=2026-04-13&amp;return_date=2026-04-20&amp;currency=EUR&amp;startStation=42&amp;endStation=22",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2026-04-09</t>
        </is>
      </c>
      <c r="F186" t="inlineStr">
        <is>
          <t>2026-04-16</t>
        </is>
      </c>
      <c r="G186" t="inlineStr">
        <is>
          <t xml:space="preserve"> - Road House</t>
        </is>
      </c>
      <c r="H186">
        <f>HYPERLINK("https://booking.roadsurfer.com/es/rally/pick?pickup_date=2026-04-09&amp;return_date=2026-04-16&amp;currency=EUR&amp;startStation=52&amp;endStation=42",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2026-04-13</t>
        </is>
      </c>
      <c r="F187" t="inlineStr">
        <is>
          <t>2026-04-20</t>
        </is>
      </c>
      <c r="G187" t="inlineStr">
        <is>
          <t xml:space="preserve"> - Family Finca</t>
        </is>
      </c>
      <c r="H187">
        <f>HYPERLINK("https://booking.roadsurfer.com/es/rally/pick?pickup_date=2026-04-13&amp;return_date=2026-04-20&amp;currency=EUR&amp;startStation=52&amp;endStation=42",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2026-04-10</t>
        </is>
      </c>
      <c r="F188" t="inlineStr">
        <is>
          <t>2026-04-17</t>
        </is>
      </c>
      <c r="G188" t="inlineStr">
        <is>
          <t xml:space="preserve"> - Sunrise Suite</t>
        </is>
      </c>
      <c r="H188">
        <f>HYPERLINK("https://booking.roadsurfer.com/es/rally/pick?pickup_date=2026-04-10&amp;return_date=2026-04-17&amp;currency=EUR&amp;startStation=52&amp;endStation=42",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2026-04-18</t>
        </is>
      </c>
      <c r="F189" t="inlineStr">
        <is>
          <t>2026-04-25</t>
        </is>
      </c>
      <c r="G189" t="inlineStr">
        <is>
          <t xml:space="preserve"> - No hay coche</t>
        </is>
      </c>
      <c r="H189">
        <f>HYPERLINK("https://booking.roadsurfer.com/es/rally/pick?pickup_date=2026-04-18&amp;return_date=2026-04-25&amp;currency=EUR&amp;startStation=52&amp;endStation=42",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Surfer Suite</t>
        </is>
      </c>
      <c r="H190">
        <f>HYPERLINK("https://booking.roadsurfer.com/es/rally/pick?pickup_date=2026-04-20&amp;return_date=2026-04-27&amp;currency=EUR&amp;startStation=52&amp;endStation=42",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España</t>
        </is>
      </c>
      <c r="D191" t="inlineStr">
        <is>
          <t>Sevilla</t>
        </is>
      </c>
      <c r="E191" t="inlineStr">
        <is>
          <t>2026-04-14</t>
        </is>
      </c>
      <c r="F191" t="inlineStr">
        <is>
          <t>2026-04-21</t>
        </is>
      </c>
      <c r="G191" t="inlineStr">
        <is>
          <t xml:space="preserve"> - Surfer Suite</t>
        </is>
      </c>
      <c r="H191">
        <f>HYPERLINK("https://booking.roadsurfer.com/es/rally/pick?pickup_date=2026-04-14&amp;return_date=2026-04-21&amp;currency=EUR&amp;startStation=52&amp;endStation=39",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2026-04-28</t>
        </is>
      </c>
      <c r="F192" t="inlineStr">
        <is>
          <t>2026-05-05</t>
        </is>
      </c>
      <c r="G192" t="inlineStr">
        <is>
          <t xml:space="preserve"> - Beach Hostel</t>
        </is>
      </c>
      <c r="H192">
        <f>HYPERLINK("https://booking.roadsurfer.com/es/rally/pick?pickup_date=2026-04-28&amp;return_date=2026-05-05&amp;currency=EUR&amp;startStation=52&amp;endStation=29",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2026-05-07</t>
        </is>
      </c>
      <c r="F193" t="inlineStr">
        <is>
          <t>2026-05-14</t>
        </is>
      </c>
      <c r="G193" t="inlineStr">
        <is>
          <t xml:space="preserve"> - No hay coche</t>
        </is>
      </c>
      <c r="H193">
        <f>HYPERLINK("https://booking.roadsurfer.com/es/rally/pick?pickup_date=2026-05-07&amp;return_date=2026-05-14&amp;currency=EUR&amp;startStation=52&amp;endStation=29",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2026-04-15</t>
        </is>
      </c>
      <c r="F194" t="inlineStr">
        <is>
          <t>2026-04-22</t>
        </is>
      </c>
      <c r="G194" t="inlineStr">
        <is>
          <t xml:space="preserve"> - Surfer Suite</t>
        </is>
      </c>
      <c r="H194">
        <f>HYPERLINK("https://booking.roadsurfer.com/es/rally/pick?pickup_date=2026-04-15&amp;return_date=2026-04-22&amp;currency=EUR&amp;startStation=52&amp;endStation=29",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Surfer Suite</t>
        </is>
      </c>
      <c r="H195">
        <f>HYPERLINK("https://booking.roadsurfer.com/es/rally/pick?pickup_date=2026-04-20&amp;return_date=2026-04-27&amp;currency=EUR&amp;startStation=52&amp;endStation=31",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2026-04-11</t>
        </is>
      </c>
      <c r="F196" t="inlineStr">
        <is>
          <t>2026-04-18</t>
        </is>
      </c>
      <c r="G196" t="inlineStr">
        <is>
          <t xml:space="preserve"> - Family Finca</t>
        </is>
      </c>
      <c r="H196">
        <f>HYPERLINK("https://booking.roadsurfer.com/es/rally/pick?pickup_date=2026-04-11&amp;return_date=2026-04-18&amp;currency=EUR&amp;startStation=52&amp;endStation=31",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Camper Cabin</t>
        </is>
      </c>
      <c r="H197">
        <f>HYPERLINK("https://booking.roadsurfer.com/es/rally/pick?pickup_date=2026-04-13&amp;return_date=2026-04-20&amp;currency=EUR&amp;startStation=52&amp;endStation=13",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2026-04-10</t>
        </is>
      </c>
      <c r="F198" t="inlineStr">
        <is>
          <t>2026-04-17</t>
        </is>
      </c>
      <c r="G198" t="inlineStr">
        <is>
          <t xml:space="preserve"> - Camper Cabin</t>
        </is>
      </c>
      <c r="H198">
        <f>HYPERLINK("https://booking.roadsurfer.com/es/rally/pick?pickup_date=2026-04-10&amp;return_date=2026-04-17&amp;currency=EUR&amp;startStation=52&amp;endStation=47",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Alemania</t>
        </is>
      </c>
      <c r="D199" t="inlineStr">
        <is>
          <t>Flensburgo</t>
        </is>
      </c>
      <c r="E199" t="inlineStr">
        <is>
          <t>2026-04-16</t>
        </is>
      </c>
      <c r="F199" t="inlineStr">
        <is>
          <t>2026-04-23</t>
        </is>
      </c>
      <c r="G199" t="inlineStr">
        <is>
          <t xml:space="preserve"> - No hay coche</t>
        </is>
      </c>
      <c r="H199">
        <f>HYPERLINK("https://booking.roadsurfer.com/es/rally/pick?pickup_date=2026-04-16&amp;return_date=2026-04-23&amp;currency=EUR&amp;startStation=52&amp;endStation=130",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París Sur (Orly)</t>
        </is>
      </c>
      <c r="E200" t="inlineStr">
        <is>
          <t>2026-04-17</t>
        </is>
      </c>
      <c r="F200" t="inlineStr">
        <is>
          <t>2026-04-24</t>
        </is>
      </c>
      <c r="G200" t="inlineStr">
        <is>
          <t xml:space="preserve"> - Road House - Camper Cabin Deluxe</t>
        </is>
      </c>
      <c r="H200">
        <f>HYPERLINK("https://booking.roadsurfer.com/es/rally/pick?pickup_date=2026-04-17&amp;return_date=2026-04-24&amp;currency=EUR&amp;startStation=52&amp;endStation=12",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Austria</t>
        </is>
      </c>
      <c r="D201" t="inlineStr">
        <is>
          <t>Graz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Road House</t>
        </is>
      </c>
      <c r="H201">
        <f>HYPERLINK("https://booking.roadsurfer.com/es/rally/pick?pickup_date=2026-04-20&amp;return_date=2026-04-27&amp;currency=EUR&amp;startStation=52&amp;endStation=37",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España</t>
        </is>
      </c>
      <c r="D202" t="inlineStr">
        <is>
          <t>Valencia</t>
        </is>
      </c>
      <c r="E202" t="inlineStr">
        <is>
          <t>2026-04-09</t>
        </is>
      </c>
      <c r="F202" t="inlineStr">
        <is>
          <t>2026-04-16</t>
        </is>
      </c>
      <c r="G202" t="inlineStr">
        <is>
          <t xml:space="preserve"> - Road House</t>
        </is>
      </c>
      <c r="H202">
        <f>HYPERLINK("https://booking.roadsurfer.com/es/rally/pick?pickup_date=2026-04-09&amp;return_date=2026-04-16&amp;currency=EUR&amp;startStation=52&amp;endStation=38",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Aix-Marsella</t>
        </is>
      </c>
      <c r="E203" t="inlineStr">
        <is>
          <t>2026-04-28</t>
        </is>
      </c>
      <c r="F203" t="inlineStr">
        <is>
          <t>2026-05-05</t>
        </is>
      </c>
      <c r="G203" t="inlineStr">
        <is>
          <t xml:space="preserve"> - Road House</t>
        </is>
      </c>
      <c r="H203">
        <f>HYPERLINK("https://booking.roadsurfer.com/es/rally/pick?pickup_date=2026-04-28&amp;return_date=2026-05-05&amp;currency=EUR&amp;startStation=52&amp;endStation=16",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Austria</t>
        </is>
      </c>
      <c r="D204" t="inlineStr">
        <is>
          <t>Linz</t>
        </is>
      </c>
      <c r="E204" t="inlineStr">
        <is>
          <t>2026-04-16</t>
        </is>
      </c>
      <c r="F204" t="inlineStr">
        <is>
          <t>2026-04-23</t>
        </is>
      </c>
      <c r="G204" t="inlineStr">
        <is>
          <t xml:space="preserve"> - Road House</t>
        </is>
      </c>
      <c r="H204">
        <f>HYPERLINK("https://booking.roadsurfer.com/es/rally/pick?pickup_date=2026-04-16&amp;return_date=2026-04-23&amp;currency=EUR&amp;startStation=52&amp;endStation=116",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España</t>
        </is>
      </c>
      <c r="D205" t="inlineStr">
        <is>
          <t>Madrid</t>
        </is>
      </c>
      <c r="E205" t="inlineStr">
        <is>
          <t>2026-05-12</t>
        </is>
      </c>
      <c r="F205" t="inlineStr">
        <is>
          <t>2026-05-19</t>
        </is>
      </c>
      <c r="G205" t="inlineStr">
        <is>
          <t xml:space="preserve"> - Road House</t>
        </is>
      </c>
      <c r="H205">
        <f>HYPERLINK("https://booking.roadsurfer.com/es/rally/pick?pickup_date=2026-05-12&amp;return_date=2026-05-19&amp;currency=EUR&amp;startStation=52&amp;endStation=20",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2026-04-17</t>
        </is>
      </c>
      <c r="F206" t="inlineStr">
        <is>
          <t>2026-04-24</t>
        </is>
      </c>
      <c r="G206" t="inlineStr">
        <is>
          <t xml:space="preserve"> - COUPLE COTTAGE</t>
        </is>
      </c>
      <c r="H206">
        <f>HYPERLINK("https://booking.roadsurfer.com/es/rally/pick?pickup_date=2026-04-17&amp;return_date=2026-04-24&amp;currency=EUR&amp;startStation=52&amp;endStation=48",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2026-04-25</t>
        </is>
      </c>
      <c r="F207" t="inlineStr">
        <is>
          <t>2026-05-02</t>
        </is>
      </c>
      <c r="G207" t="inlineStr">
        <is>
          <t xml:space="preserve"> - Surfer Suite</t>
        </is>
      </c>
      <c r="H207">
        <f>HYPERLINK("https://booking.roadsurfer.com/es/rally/pick?pickup_date=2026-04-25&amp;return_date=2026-05-02&amp;currency=EUR&amp;startStation=4&amp;endStation=12",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2026-05-11</t>
        </is>
      </c>
      <c r="F208" t="inlineStr">
        <is>
          <t>2026-05-18</t>
        </is>
      </c>
      <c r="G208" t="inlineStr">
        <is>
          <t xml:space="preserve"> - Surfer Suite</t>
        </is>
      </c>
      <c r="H208">
        <f>HYPERLINK("https://booking.roadsurfer.com/es/rally/pick?pickup_date=2026-05-11&amp;return_date=2026-05-18&amp;currency=EUR&amp;startStation=4&amp;endStation=31",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2026-04-10</t>
        </is>
      </c>
      <c r="F209" t="inlineStr">
        <is>
          <t>2026-04-17</t>
        </is>
      </c>
      <c r="G209" t="inlineStr">
        <is>
          <t xml:space="preserve"> - Surfer Suite</t>
        </is>
      </c>
      <c r="H209">
        <f>HYPERLINK("https://booking.roadsurfer.com/es/rally/pick?pickup_date=2026-04-10&amp;return_date=2026-04-17&amp;currency=EUR&amp;startStation=4&amp;endStation=31",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Italia</t>
        </is>
      </c>
      <c r="D210" t="inlineStr">
        <is>
          <t>Venecia</t>
        </is>
      </c>
      <c r="E210" t="inlineStr">
        <is>
          <t>2026-04-30</t>
        </is>
      </c>
      <c r="F210" t="inlineStr">
        <is>
          <t>2026-05-07</t>
        </is>
      </c>
      <c r="G210" t="inlineStr">
        <is>
          <t xml:space="preserve"> - Beach Hostel</t>
        </is>
      </c>
      <c r="H210">
        <f>HYPERLINK("https://booking.roadsurfer.com/es/rally/pick?pickup_date=2026-04-30&amp;return_date=2026-05-07&amp;currency=EUR&amp;startStation=4&amp;endStation=78",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Travel Home</t>
        </is>
      </c>
      <c r="H211">
        <f>HYPERLINK("https://booking.roadsurfer.com/es/rally/pick?pickup_date=2026-05-04&amp;return_date=2026-05-11&amp;currency=EUR&amp;startStation=4&amp;endStation=13",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Austria</t>
        </is>
      </c>
      <c r="D212" t="inlineStr">
        <is>
          <t>Salzburgo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Road House</t>
        </is>
      </c>
      <c r="H212">
        <f>HYPERLINK("https://booking.roadsurfer.com/es/rally/pick?pickup_date=2026-04-20&amp;return_date=2026-04-27&amp;currency=EUR&amp;startStation=4&amp;endStation=85",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2026-04-17</t>
        </is>
      </c>
      <c r="F213" t="inlineStr">
        <is>
          <t>2026-04-24</t>
        </is>
      </c>
      <c r="G213" t="inlineStr">
        <is>
          <t xml:space="preserve"> - Family Finca</t>
        </is>
      </c>
      <c r="H213">
        <f>HYPERLINK("https://booking.roadsurfer.com/es/rally/pick?pickup_date=2026-04-17&amp;return_date=2026-04-24&amp;currency=EUR&amp;startStation=4&amp;endStation=29",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2026-04-22</t>
        </is>
      </c>
      <c r="F214" t="inlineStr">
        <is>
          <t>2026-04-29</t>
        </is>
      </c>
      <c r="G214" t="inlineStr">
        <is>
          <t xml:space="preserve"> - SURFER SUITE</t>
        </is>
      </c>
      <c r="H214">
        <f>HYPERLINK("https://booking.roadsurfer.com/es/rally/pick?pickup_date=2026-04-22&amp;return_date=2026-04-29&amp;currency=EUR&amp;startStation=10&amp;endStation=15",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Alemania</t>
        </is>
      </c>
      <c r="D215" t="inlineStr">
        <is>
          <t>Tréveris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Road House</t>
        </is>
      </c>
      <c r="H215">
        <f>HYPERLINK("https://booking.roadsurfer.com/es/rally/pick?pickup_date=2026-04-13&amp;return_date=2026-04-20&amp;currency=EUR&amp;startStation=10&amp;endStation=28", "Clic para verlo en la web de RoadSurfer")</f>
        <v/>
      </c>
    </row>
    <row r="216">
      <c r="A216" t="inlineStr">
        <is>
          <t>Alemania</t>
        </is>
      </c>
      <c r="B216" t="inlineStr">
        <is>
          <t>Constanza (Aach)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2026-04-29</t>
        </is>
      </c>
      <c r="F216" t="inlineStr">
        <is>
          <t>2026-05-06</t>
        </is>
      </c>
      <c r="G216" t="inlineStr">
        <is>
          <t xml:space="preserve"> - Road House</t>
        </is>
      </c>
      <c r="H216">
        <f>HYPERLINK("https://booking.roadsurfer.com/es/rally/pick?pickup_date=2026-04-29&amp;return_date=2026-05-06&amp;currency=EUR&amp;startStation=10&amp;endStation=37",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2026-04-13</t>
        </is>
      </c>
      <c r="F217" t="inlineStr">
        <is>
          <t>2026-04-20</t>
        </is>
      </c>
      <c r="G217" t="inlineStr">
        <is>
          <t xml:space="preserve"> - Camper Castle</t>
        </is>
      </c>
      <c r="H217">
        <f>HYPERLINK("https://booking.roadsurfer.com/es/rally/pick?pickup_date=2026-04-13&amp;return_date=2026-04-20&amp;currency=EUR&amp;startStation=10&amp;endStation=36",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Austria</t>
        </is>
      </c>
      <c r="D218" t="inlineStr">
        <is>
          <t>Viena Sur</t>
        </is>
      </c>
      <c r="E218" t="inlineStr">
        <is>
          <t>2026-04-11</t>
        </is>
      </c>
      <c r="F218" t="inlineStr">
        <is>
          <t>2026-04-18</t>
        </is>
      </c>
      <c r="G218" t="inlineStr">
        <is>
          <t xml:space="preserve"> - Camper Castle</t>
        </is>
      </c>
      <c r="H218">
        <f>HYPERLINK("https://booking.roadsurfer.com/es/rally/pick?pickup_date=2026-04-11&amp;return_date=2026-04-18&amp;currency=EUR&amp;startStation=10&amp;endStation=45",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2026-04-30</t>
        </is>
      </c>
      <c r="F219" t="inlineStr">
        <is>
          <t>2026-05-07</t>
        </is>
      </c>
      <c r="G219" t="inlineStr">
        <is>
          <t xml:space="preserve"> - Camper Castle</t>
        </is>
      </c>
      <c r="H219">
        <f>HYPERLINK("https://booking.roadsurfer.com/es/rally/pick?pickup_date=2026-04-30&amp;return_date=2026-05-07&amp;currency=EUR&amp;startStation=10&amp;endStation=34",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2026-05-05</t>
        </is>
      </c>
      <c r="F220" t="inlineStr">
        <is>
          <t>2026-05-12</t>
        </is>
      </c>
      <c r="G220" t="inlineStr">
        <is>
          <t xml:space="preserve"> - Family Finca</t>
        </is>
      </c>
      <c r="H220">
        <f>HYPERLINK("https://booking.roadsurfer.com/es/rally/pick?pickup_date=2026-05-05&amp;return_date=2026-05-12&amp;currency=EUR&amp;startStation=10&amp;endStation=40",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Lille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Surfer Suite</t>
        </is>
      </c>
      <c r="H221">
        <f>HYPERLINK("https://booking.roadsurfer.com/es/rally/pick?pickup_date=2026-04-30&amp;return_date=2026-05-07&amp;currency=EUR&amp;startStation=56&amp;endStation=87",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Países Bajos</t>
        </is>
      </c>
      <c r="D222" t="inlineStr">
        <is>
          <t>Róterdam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Surfer Suite</t>
        </is>
      </c>
      <c r="H222">
        <f>HYPERLINK("https://booking.roadsurfer.com/es/rally/pick?pickup_date=2026-04-27&amp;return_date=2026-05-04&amp;currency=EUR&amp;startStation=56&amp;endStation=33",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Beach Hostel</t>
        </is>
      </c>
      <c r="H223">
        <f>HYPERLINK("https://booking.roadsurfer.com/es/rally/pick?pickup_date=2026-04-16&amp;return_date=2026-04-23&amp;currency=EUR&amp;startStation=56&amp;endStation=47",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2026-04-11</t>
        </is>
      </c>
      <c r="F224" t="inlineStr">
        <is>
          <t>2026-04-18</t>
        </is>
      </c>
      <c r="G224" t="inlineStr">
        <is>
          <t xml:space="preserve"> - Sunrise Suite</t>
        </is>
      </c>
      <c r="H224">
        <f>HYPERLINK("https://booking.roadsurfer.com/es/rally/pick?pickup_date=2026-04-11&amp;return_date=2026-04-18&amp;currency=EUR&amp;startStation=56&amp;endStation=47",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2026-04-30</t>
        </is>
      </c>
      <c r="F225" t="inlineStr">
        <is>
          <t>2026-05-07</t>
        </is>
      </c>
      <c r="G225" t="inlineStr">
        <is>
          <t xml:space="preserve"> - Road House</t>
        </is>
      </c>
      <c r="H225">
        <f>HYPERLINK("https://booking.roadsurfer.com/es/rally/pick?pickup_date=2026-04-30&amp;return_date=2026-05-07&amp;currency=EUR&amp;startStation=56&amp;endStation=47",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2026-05-06</t>
        </is>
      </c>
      <c r="F226" t="inlineStr">
        <is>
          <t>2026-05-13</t>
        </is>
      </c>
      <c r="G226" t="inlineStr">
        <is>
          <t xml:space="preserve"> - No hay coche</t>
        </is>
      </c>
      <c r="H226">
        <f>HYPERLINK("https://booking.roadsurfer.com/es/rally/pick?pickup_date=2026-05-06&amp;return_date=2026-05-13&amp;currency=EUR&amp;startStation=56&amp;endStation=59",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2026-05-07</t>
        </is>
      </c>
      <c r="F227" t="inlineStr">
        <is>
          <t>2026-05-14</t>
        </is>
      </c>
      <c r="G227" t="inlineStr">
        <is>
          <t xml:space="preserve"> - No hay coche</t>
        </is>
      </c>
      <c r="H227">
        <f>HYPERLINK("https://booking.roadsurfer.com/es/rally/pick?pickup_date=2026-05-07&amp;return_date=2026-05-14&amp;currency=EUR&amp;startStation=56&amp;endStation=59",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2026-05-08</t>
        </is>
      </c>
      <c r="F228" t="inlineStr">
        <is>
          <t>2026-05-15</t>
        </is>
      </c>
      <c r="G228" t="inlineStr">
        <is>
          <t xml:space="preserve"> - Beach Hostel</t>
        </is>
      </c>
      <c r="H228">
        <f>HYPERLINK("https://booking.roadsurfer.com/es/rally/pick?pickup_date=2026-05-08&amp;return_date=2026-05-15&amp;currency=EUR&amp;startStation=56&amp;endStation=59",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2026-04-20</t>
        </is>
      </c>
      <c r="F229" t="inlineStr">
        <is>
          <t>2026-04-27</t>
        </is>
      </c>
      <c r="G229" t="inlineStr">
        <is>
          <t xml:space="preserve"> - Family Finca</t>
        </is>
      </c>
      <c r="H229">
        <f>HYPERLINK("https://booking.roadsurfer.com/es/rally/pick?pickup_date=2026-04-20&amp;return_date=2026-04-27&amp;currency=EUR&amp;startStation=56&amp;endStation=77",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2026-04-09</t>
        </is>
      </c>
      <c r="F230" t="inlineStr">
        <is>
          <t>2026-04-16</t>
        </is>
      </c>
      <c r="G230" t="inlineStr">
        <is>
          <t xml:space="preserve"> - Road House</t>
        </is>
      </c>
      <c r="H230">
        <f>HYPERLINK("https://booking.roadsurfer.com/es/rally/pick?pickup_date=2026-04-09&amp;return_date=2026-04-16&amp;currency=EUR&amp;startStation=56&amp;endStation=77",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2026-04-15</t>
        </is>
      </c>
      <c r="F231" t="inlineStr">
        <is>
          <t>2026-04-22</t>
        </is>
      </c>
      <c r="G231" t="inlineStr">
        <is>
          <t xml:space="preserve"> - Road House</t>
        </is>
      </c>
      <c r="H231">
        <f>HYPERLINK("https://booking.roadsurfer.com/es/rally/pick?pickup_date=2026-04-15&amp;return_date=2026-04-22&amp;currency=EUR&amp;startStation=56&amp;endStation=37",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2026-04-22</t>
        </is>
      </c>
      <c r="F232" t="inlineStr">
        <is>
          <t>2026-04-29</t>
        </is>
      </c>
      <c r="G232" t="inlineStr">
        <is>
          <t xml:space="preserve"> - Family Finca</t>
        </is>
      </c>
      <c r="H232">
        <f>HYPERLINK("https://booking.roadsurfer.com/es/rally/pick?pickup_date=2026-04-22&amp;return_date=2026-04-29&amp;currency=EUR&amp;startStation=56&amp;endStation=34",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2026-04-28</t>
        </is>
      </c>
      <c r="F233" t="inlineStr">
        <is>
          <t>2026-05-05</t>
        </is>
      </c>
      <c r="G233" t="inlineStr">
        <is>
          <t xml:space="preserve"> - CAMPER CASTLE</t>
        </is>
      </c>
      <c r="H233">
        <f>HYPERLINK("https://booking.roadsurfer.com/es/rally/pick?pickup_date=2026-04-28&amp;return_date=2026-05-05&amp;currency=EUR&amp;startStation=56&amp;endStation=31",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Italia</t>
        </is>
      </c>
      <c r="D234" t="inlineStr">
        <is>
          <t>Milán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Surfer Suite</t>
        </is>
      </c>
      <c r="H234">
        <f>HYPERLINK("https://booking.roadsurfer.com/es/rally/pick?pickup_date=2026-04-20&amp;return_date=2026-04-27&amp;currency=EUR&amp;startStation=113&amp;endStation=34", "Clic para verlo en la web de RoadSurfer")</f>
        <v/>
      </c>
    </row>
    <row r="235">
      <c r="A235" t="inlineStr">
        <is>
          <t>Alemania</t>
        </is>
      </c>
      <c r="B235" t="inlineStr">
        <is>
          <t>Duisburgo</t>
        </is>
      </c>
      <c r="C235" t="inlineStr">
        <is>
          <t>Italia</t>
        </is>
      </c>
      <c r="D235" t="inlineStr">
        <is>
          <t>Milán</t>
        </is>
      </c>
      <c r="E235" t="inlineStr">
        <is>
          <t>2026-04-23</t>
        </is>
      </c>
      <c r="F235" t="inlineStr">
        <is>
          <t>2026-04-30</t>
        </is>
      </c>
      <c r="G235" t="inlineStr">
        <is>
          <t xml:space="preserve"> - No hay coche</t>
        </is>
      </c>
      <c r="H235">
        <f>HYPERLINK("https://booking.roadsurfer.com/es/rally/pick?pickup_date=2026-04-23&amp;return_date=2026-04-30&amp;currency=EUR&amp;startStation=113&amp;endStation=34", "Clic para verlo en la web de RoadSurfer")</f>
        <v/>
      </c>
    </row>
    <row r="236">
      <c r="A236" t="inlineStr">
        <is>
          <t>Alemania</t>
        </is>
      </c>
      <c r="B236" t="inlineStr">
        <is>
          <t>Duisburgo</t>
        </is>
      </c>
      <c r="C236" t="inlineStr">
        <is>
          <t>Italia</t>
        </is>
      </c>
      <c r="D236" t="inlineStr">
        <is>
          <t>Bérgamo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Surfer Suite</t>
        </is>
      </c>
      <c r="H236">
        <f>HYPERLINK("https://booking.roadsurfer.com/es/rally/pick?pickup_date=2026-04-23&amp;return_date=2026-04-30&amp;currency=EUR&amp;startStation=113&amp;endStation=94", "Clic para verlo en la web de RoadSurfer")</f>
        <v/>
      </c>
    </row>
    <row r="237">
      <c r="A237" t="inlineStr">
        <is>
          <t>Alemania</t>
        </is>
      </c>
      <c r="B237" t="inlineStr">
        <is>
          <t>Duisburgo</t>
        </is>
      </c>
      <c r="C237" t="inlineStr">
        <is>
          <t>Países Bajos</t>
        </is>
      </c>
      <c r="D237" t="inlineStr">
        <is>
          <t>Ámsterdam</t>
        </is>
      </c>
      <c r="E237" t="inlineStr">
        <is>
          <t>2026-04-20</t>
        </is>
      </c>
      <c r="F237" t="inlineStr">
        <is>
          <t>2026-04-27</t>
        </is>
      </c>
      <c r="G237" t="inlineStr">
        <is>
          <t xml:space="preserve"> - No hay coche</t>
        </is>
      </c>
      <c r="H237">
        <f>HYPERLINK("https://booking.roadsurfer.com/es/rally/pick?pickup_date=2026-04-20&amp;return_date=2026-04-27&amp;currency=EUR&amp;startStation=113&amp;endStation=32", "Clic para verlo en la web de RoadSurfer")</f>
        <v/>
      </c>
    </row>
    <row r="238">
      <c r="A238" t="inlineStr">
        <is>
          <t>Alemania</t>
        </is>
      </c>
      <c r="B238" t="inlineStr">
        <is>
          <t>Duisburgo</t>
        </is>
      </c>
      <c r="C238" t="inlineStr">
        <is>
          <t>Francia</t>
        </is>
      </c>
      <c r="D238" t="inlineStr">
        <is>
          <t>Lille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Beach Hostel</t>
        </is>
      </c>
      <c r="H238">
        <f>HYPERLINK("https://booking.roadsurfer.com/es/rally/pick?pickup_date=2026-04-23&amp;return_date=2026-04-30&amp;currency=EUR&amp;startStation=113&amp;endStation=87",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2026-04-08</t>
        </is>
      </c>
      <c r="F239" t="inlineStr">
        <is>
          <t>2026-04-15</t>
        </is>
      </c>
      <c r="G239" t="inlineStr">
        <is>
          <t xml:space="preserve"> - Family Finca</t>
        </is>
      </c>
      <c r="H239">
        <f>HYPERLINK("https://booking.roadsurfer.com/es/rally/pick?pickup_date=2026-04-08&amp;return_date=2026-04-15&amp;currency=EUR&amp;startStation=90&amp;endStation=47",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2026-04-13</t>
        </is>
      </c>
      <c r="F240" t="inlineStr">
        <is>
          <t>2026-04-20</t>
        </is>
      </c>
      <c r="G240" t="inlineStr">
        <is>
          <t xml:space="preserve"> - Surfer Suite</t>
        </is>
      </c>
      <c r="H240">
        <f>HYPERLINK("https://booking.roadsurfer.com/es/rally/pick?pickup_date=2026-04-13&amp;return_date=2026-04-20&amp;currency=EUR&amp;startStation=90&amp;endStation=47",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Road House</t>
        </is>
      </c>
      <c r="H241">
        <f>HYPERLINK("https://booking.roadsurfer.com/es/rally/pick?pickup_date=2026-05-04&amp;return_date=2026-05-11&amp;currency=EUR&amp;startStation=90&amp;endStation=47",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2026-04-21</t>
        </is>
      </c>
      <c r="F242" t="inlineStr">
        <is>
          <t>2026-04-28</t>
        </is>
      </c>
      <c r="G242" t="inlineStr">
        <is>
          <t xml:space="preserve"> - Surfer Suite</t>
        </is>
      </c>
      <c r="H242">
        <f>HYPERLINK("https://booking.roadsurfer.com/es/rally/pick?pickup_date=2026-04-21&amp;return_date=2026-04-28&amp;currency=EUR&amp;startStation=90&amp;endStation=12",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2026-04-18</t>
        </is>
      </c>
      <c r="F243" t="inlineStr">
        <is>
          <t>2026-04-25</t>
        </is>
      </c>
      <c r="G243" t="inlineStr">
        <is>
          <t xml:space="preserve"> - Family Finca</t>
        </is>
      </c>
      <c r="H243">
        <f>HYPERLINK("https://booking.roadsurfer.com/es/rally/pick?pickup_date=2026-04-18&amp;return_date=2026-04-25&amp;currency=EUR&amp;startStation=90&amp;endStation=12",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Road House</t>
        </is>
      </c>
      <c r="H244">
        <f>HYPERLINK("https://booking.roadsurfer.com/es/rally/pick?pickup_date=2026-04-09&amp;return_date=2026-04-16&amp;currency=EUR&amp;startStation=90&amp;endStation=12",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Linz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Surfer Suite</t>
        </is>
      </c>
      <c r="H245">
        <f>HYPERLINK("https://booking.roadsurfer.com/es/rally/pick?pickup_date=2026-04-09&amp;return_date=2026-04-16&amp;currency=EUR&amp;startStation=90&amp;endStation=116",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Surfer Suite</t>
        </is>
      </c>
      <c r="H246">
        <f>HYPERLINK("https://booking.roadsurfer.com/es/rally/pick?pickup_date=2026-04-09&amp;return_date=2026-04-16&amp;currency=EUR&amp;startStation=90&amp;endStation=37",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Graz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Surfer Suite</t>
        </is>
      </c>
      <c r="H247">
        <f>HYPERLINK("https://booking.roadsurfer.com/es/rally/pick?pickup_date=2026-05-06&amp;return_date=2026-05-13&amp;currency=EUR&amp;startStation=90&amp;endStation=37",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2026-04-07</t>
        </is>
      </c>
      <c r="F248" t="inlineStr">
        <is>
          <t>2026-04-14</t>
        </is>
      </c>
      <c r="G248" t="inlineStr">
        <is>
          <t xml:space="preserve"> - Surfer Suite</t>
        </is>
      </c>
      <c r="H248">
        <f>HYPERLINK("https://booking.roadsurfer.com/es/rally/pick?pickup_date=2026-04-07&amp;return_date=2026-04-14&amp;currency=EUR&amp;startStation=90&amp;endStation=48",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2026-04-09</t>
        </is>
      </c>
      <c r="F249" t="inlineStr">
        <is>
          <t>2026-04-16</t>
        </is>
      </c>
      <c r="G249" t="inlineStr">
        <is>
          <t xml:space="preserve"> - Beach Hostel</t>
        </is>
      </c>
      <c r="H249">
        <f>HYPERLINK("https://booking.roadsurfer.com/es/rally/pick?pickup_date=2026-04-09&amp;return_date=2026-04-16&amp;currency=EUR&amp;startStation=90&amp;endStation=48",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2026-05-14</t>
        </is>
      </c>
      <c r="F250" t="inlineStr">
        <is>
          <t>2026-05-21</t>
        </is>
      </c>
      <c r="G250" t="inlineStr">
        <is>
          <t xml:space="preserve"> - No hay coche</t>
        </is>
      </c>
      <c r="H250">
        <f>HYPERLINK("https://booking.roadsurfer.com/es/rally/pick?pickup_date=2026-05-14&amp;return_date=2026-05-21&amp;currency=EUR&amp;startStation=90&amp;endStation=34",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2026-04-18</t>
        </is>
      </c>
      <c r="F251" t="inlineStr">
        <is>
          <t>2026-04-25</t>
        </is>
      </c>
      <c r="G251" t="inlineStr">
        <is>
          <t xml:space="preserve"> - No hay coche</t>
        </is>
      </c>
      <c r="H251">
        <f>HYPERLINK("https://booking.roadsurfer.com/es/rally/pick?pickup_date=2026-04-18&amp;return_date=2026-04-25&amp;currency=EUR&amp;startStation=90&amp;endStation=34",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Bélgica</t>
        </is>
      </c>
      <c r="D252" t="inlineStr">
        <is>
          <t>Bruselas</t>
        </is>
      </c>
      <c r="E252" t="inlineStr">
        <is>
          <t>2026-04-08</t>
        </is>
      </c>
      <c r="F252" t="inlineStr">
        <is>
          <t>2026-04-15</t>
        </is>
      </c>
      <c r="G252" t="inlineStr">
        <is>
          <t xml:space="preserve"> - SURFER SUITE</t>
        </is>
      </c>
      <c r="H252">
        <f>HYPERLINK("https://booking.roadsurfer.com/es/rally/pick?pickup_date=2026-04-08&amp;return_date=2026-04-15&amp;currency=EUR&amp;startStation=90&amp;endStation=42",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Bélgica</t>
        </is>
      </c>
      <c r="D253" t="inlineStr">
        <is>
          <t>Bruselas</t>
        </is>
      </c>
      <c r="E253" t="inlineStr">
        <is>
          <t>2026-04-23</t>
        </is>
      </c>
      <c r="F253" t="inlineStr">
        <is>
          <t>2026-04-30</t>
        </is>
      </c>
      <c r="G253" t="inlineStr">
        <is>
          <t xml:space="preserve"> - Beach Hostel</t>
        </is>
      </c>
      <c r="H253">
        <f>HYPERLINK("https://booking.roadsurfer.com/es/rally/pick?pickup_date=2026-04-23&amp;return_date=2026-04-30&amp;currency=EUR&amp;startStation=90&amp;endStation=42",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2026-05-07</t>
        </is>
      </c>
      <c r="F254" t="inlineStr">
        <is>
          <t>2026-05-14</t>
        </is>
      </c>
      <c r="G254" t="inlineStr">
        <is>
          <t xml:space="preserve"> - No hay coche</t>
        </is>
      </c>
      <c r="H254">
        <f>HYPERLINK("https://booking.roadsurfer.com/es/rally/pick?pickup_date=2026-05-07&amp;return_date=2026-05-14&amp;currency=EUR&amp;startStation=90&amp;endStation=59",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2026-04-14</t>
        </is>
      </c>
      <c r="F255" t="inlineStr">
        <is>
          <t>2026-04-21</t>
        </is>
      </c>
      <c r="G255" t="inlineStr">
        <is>
          <t xml:space="preserve"> - Beach Hostel</t>
        </is>
      </c>
      <c r="H255">
        <f>HYPERLINK("https://booking.roadsurfer.com/es/rally/pick?pickup_date=2026-04-14&amp;return_date=2026-04-21&amp;currency=EUR&amp;startStation=90&amp;endStation=59",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Road House</t>
        </is>
      </c>
      <c r="H256">
        <f>HYPERLINK("https://booking.roadsurfer.com/es/rally/pick?pickup_date=2026-05-06&amp;return_date=2026-05-13&amp;currency=EUR&amp;startStation=90&amp;endStation=59",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Estrasburgo</t>
        </is>
      </c>
      <c r="E257" t="inlineStr">
        <is>
          <t>2026-05-08</t>
        </is>
      </c>
      <c r="F257" t="inlineStr">
        <is>
          <t>2026-05-15</t>
        </is>
      </c>
      <c r="G257" t="inlineStr">
        <is>
          <t xml:space="preserve"> - Beach Hostel</t>
        </is>
      </c>
      <c r="H257">
        <f>HYPERLINK("https://booking.roadsurfer.com/es/rally/pick?pickup_date=2026-05-08&amp;return_date=2026-05-15&amp;currency=EUR&amp;startStation=90&amp;endStation=49",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2026-04-18</t>
        </is>
      </c>
      <c r="F258" t="inlineStr">
        <is>
          <t>2026-04-25</t>
        </is>
      </c>
      <c r="G258" t="inlineStr">
        <is>
          <t xml:space="preserve"> - Beach Hostel</t>
        </is>
      </c>
      <c r="H258">
        <f>HYPERLINK("https://booking.roadsurfer.com/es/rally/pick?pickup_date=2026-04-18&amp;return_date=2026-04-25&amp;currency=EUR&amp;startStation=90&amp;endStation=15",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Austria</t>
        </is>
      </c>
      <c r="D259" t="inlineStr">
        <is>
          <t>Salzburgo</t>
        </is>
      </c>
      <c r="E259" t="inlineStr">
        <is>
          <t>2026-05-21</t>
        </is>
      </c>
      <c r="F259" t="inlineStr">
        <is>
          <t>2026-05-28</t>
        </is>
      </c>
      <c r="G259" t="inlineStr">
        <is>
          <t xml:space="preserve"> - Beach Hostel</t>
        </is>
      </c>
      <c r="H259">
        <f>HYPERLINK("https://booking.roadsurfer.com/es/rally/pick?pickup_date=2026-05-21&amp;return_date=2026-05-28&amp;currency=EUR&amp;startStation=90&amp;endStation=85",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Burdeos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Travel Home</t>
        </is>
      </c>
      <c r="H260">
        <f>HYPERLINK("https://booking.roadsurfer.com/es/rally/pick?pickup_date=2026-05-06&amp;return_date=2026-05-13&amp;currency=EUR&amp;startStation=90&amp;endStation=13",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2026-04-14</t>
        </is>
      </c>
      <c r="F261" t="inlineStr">
        <is>
          <t>2026-04-21</t>
        </is>
      </c>
      <c r="G261" t="inlineStr">
        <is>
          <t xml:space="preserve"> - Road House</t>
        </is>
      </c>
      <c r="H261">
        <f>HYPERLINK("https://booking.roadsurfer.com/es/rally/pick?pickup_date=2026-04-14&amp;return_date=2026-04-21&amp;currency=EUR&amp;startStation=90&amp;endStation=77",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Toulouse</t>
        </is>
      </c>
      <c r="E262" t="inlineStr">
        <is>
          <t>2026-04-15</t>
        </is>
      </c>
      <c r="F262" t="inlineStr">
        <is>
          <t>2026-04-22</t>
        </is>
      </c>
      <c r="G262" t="inlineStr">
        <is>
          <t xml:space="preserve"> - Family Finca</t>
        </is>
      </c>
      <c r="H262">
        <f>HYPERLINK("https://booking.roadsurfer.com/es/rally/pick?pickup_date=2026-04-15&amp;return_date=2026-04-22&amp;currency=EUR&amp;startStation=90&amp;endStation=30",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Couple Cottage</t>
        </is>
      </c>
      <c r="H263">
        <f>HYPERLINK("https://booking.roadsurfer.com/es/rally/pick?pickup_date=2026-04-23&amp;return_date=2026-04-30&amp;currency=EUR&amp;startStation=90&amp;endStation=29",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Italia</t>
        </is>
      </c>
      <c r="D264" t="inlineStr">
        <is>
          <t>Venecia</t>
        </is>
      </c>
      <c r="E264" t="inlineStr">
        <is>
          <t>2026-04-22</t>
        </is>
      </c>
      <c r="F264" t="inlineStr">
        <is>
          <t>2026-04-29</t>
        </is>
      </c>
      <c r="G264" t="inlineStr">
        <is>
          <t xml:space="preserve"> - Sunrise Suite</t>
        </is>
      </c>
      <c r="H264">
        <f>HYPERLINK("https://booking.roadsurfer.com/es/rally/pick?pickup_date=2026-04-22&amp;return_date=2026-04-29&amp;currency=EUR&amp;startStation=90&amp;endStation=78", "Clic para verlo en la web de RoadSurfer")</f>
        <v/>
      </c>
    </row>
    <row r="265">
      <c r="A265" t="inlineStr">
        <is>
          <t>Italia</t>
        </is>
      </c>
      <c r="B265" t="inlineStr">
        <is>
          <t>Florencia</t>
        </is>
      </c>
      <c r="C265" t="inlineStr">
        <is>
          <t>Alemania</t>
        </is>
      </c>
      <c r="D265" t="inlineStr">
        <is>
          <t>Bochum</t>
        </is>
      </c>
      <c r="E265" t="inlineStr">
        <is>
          <t>2026-04-09</t>
        </is>
      </c>
      <c r="F265" t="inlineStr">
        <is>
          <t>2026-04-16</t>
        </is>
      </c>
      <c r="G265" t="inlineStr">
        <is>
          <t xml:space="preserve"> - Surfer Suite</t>
        </is>
      </c>
      <c r="H265">
        <f>HYPERLINK("https://booking.roadsurfer.com/es/rally/pick?pickup_date=2026-04-09&amp;return_date=2026-04-16&amp;currency=EUR&amp;startStation=80&amp;endStation=24", "Clic para verlo en la web de RoadSurfer")</f>
        <v/>
      </c>
    </row>
    <row r="266">
      <c r="A266" t="inlineStr">
        <is>
          <t>Italia</t>
        </is>
      </c>
      <c r="B266" t="inlineStr">
        <is>
          <t>Florencia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Couple Cottage</t>
        </is>
      </c>
      <c r="H266">
        <f>HYPERLINK("https://booking.roadsurfer.com/es/rally/pick?pickup_date=2026-05-08&amp;return_date=2026-05-15&amp;currency=EUR&amp;startStation=80&amp;endStation=5", "Clic para verlo en la web de RoadSurfer")</f>
        <v/>
      </c>
    </row>
    <row r="267">
      <c r="A267" t="inlineStr">
        <is>
          <t>Italia</t>
        </is>
      </c>
      <c r="B267" t="inlineStr">
        <is>
          <t>Florencia</t>
        </is>
      </c>
      <c r="C267" t="inlineStr">
        <is>
          <t>Alemania</t>
        </is>
      </c>
      <c r="D267" t="inlineStr">
        <is>
          <t>Stuttgart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Beach Hostel - Road House</t>
        </is>
      </c>
      <c r="H267">
        <f>HYPERLINK("https://booking.roadsurfer.com/es/rally/pick?pickup_date=2026-05-11&amp;return_date=2026-05-18&amp;currency=EUR&amp;startStation=80&amp;endStation=5", "Clic para verlo en la web de RoadSurfer")</f>
        <v/>
      </c>
    </row>
    <row r="268">
      <c r="A268" t="inlineStr">
        <is>
          <t>Italia</t>
        </is>
      </c>
      <c r="B268" t="inlineStr">
        <is>
          <t>Florencia</t>
        </is>
      </c>
      <c r="C268" t="inlineStr">
        <is>
          <t>Alemania</t>
        </is>
      </c>
      <c r="D268" t="inlineStr">
        <is>
          <t>Stuttgart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Couple Cottage</t>
        </is>
      </c>
      <c r="H268">
        <f>HYPERLINK("https://booking.roadsurfer.com/es/rally/pick?pickup_date=2026-05-06&amp;return_date=2026-05-13&amp;currency=EUR&amp;startStation=80&amp;endStation=5", "Clic para verlo en la web de RoadSurfer")</f>
        <v/>
      </c>
    </row>
    <row r="269">
      <c r="A269" t="inlineStr">
        <is>
          <t>Italia</t>
        </is>
      </c>
      <c r="B269" t="inlineStr">
        <is>
          <t>Florencia</t>
        </is>
      </c>
      <c r="C269" t="inlineStr">
        <is>
          <t>Alemania</t>
        </is>
      </c>
      <c r="D269" t="inlineStr">
        <is>
          <t>Augsburgo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Road House - Family Finca</t>
        </is>
      </c>
      <c r="H269">
        <f>HYPERLINK("https://booking.roadsurfer.com/es/rally/pick?pickup_date=2026-05-15&amp;return_date=2026-05-22&amp;currency=EUR&amp;startStation=80&amp;endStation=108", "Clic para verlo en la web de RoadSurfer")</f>
        <v/>
      </c>
    </row>
    <row r="270">
      <c r="A270" t="inlineStr">
        <is>
          <t>Italia</t>
        </is>
      </c>
      <c r="B270" t="inlineStr">
        <is>
          <t>Florencia</t>
        </is>
      </c>
      <c r="C270" t="inlineStr">
        <is>
          <t>Alemania</t>
        </is>
      </c>
      <c r="D270" t="inlineStr">
        <is>
          <t>Augsburgo</t>
        </is>
      </c>
      <c r="E270" t="inlineStr">
        <is>
          <t>2026-05-11</t>
        </is>
      </c>
      <c r="F270" t="inlineStr">
        <is>
          <t>2026-05-18</t>
        </is>
      </c>
      <c r="G270" t="inlineStr">
        <is>
          <t xml:space="preserve"> - Couple Cottage</t>
        </is>
      </c>
      <c r="H270">
        <f>HYPERLINK("https://booking.roadsurfer.com/es/rally/pick?pickup_date=2026-05-11&amp;return_date=2026-05-18&amp;currency=EUR&amp;startStation=80&amp;endStation=108",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No hay coche</t>
        </is>
      </c>
      <c r="H271">
        <f>HYPERLINK("https://booking.roadsurfer.com/es/rally/pick?pickup_date=2026-04-23&amp;return_date=2026-04-30&amp;currency=EUR&amp;startStation=2&amp;endStation=40",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Surfer Suite</t>
        </is>
      </c>
      <c r="H272">
        <f>HYPERLINK("https://booking.roadsurfer.com/es/rally/pick?pickup_date=2026-05-06&amp;return_date=2026-05-13&amp;currency=EUR&amp;startStation=2&amp;endStation=40",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2026-04-08</t>
        </is>
      </c>
      <c r="F273" t="inlineStr">
        <is>
          <t>2026-04-15</t>
        </is>
      </c>
      <c r="G273" t="inlineStr">
        <is>
          <t xml:space="preserve"> - Family Finca</t>
        </is>
      </c>
      <c r="H273">
        <f>HYPERLINK("https://booking.roadsurfer.com/es/rally/pick?pickup_date=2026-04-08&amp;return_date=2026-04-15&amp;currency=EUR&amp;startStation=2&amp;endStation=40",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Málaga</t>
        </is>
      </c>
      <c r="E274" t="inlineStr">
        <is>
          <t>2026-04-21</t>
        </is>
      </c>
      <c r="F274" t="inlineStr">
        <is>
          <t>2026-04-28</t>
        </is>
      </c>
      <c r="G274" t="inlineStr">
        <is>
          <t xml:space="preserve"> - Surfer Suite</t>
        </is>
      </c>
      <c r="H274">
        <f>HYPERLINK("https://booking.roadsurfer.com/es/rally/pick?pickup_date=2026-04-21&amp;return_date=2026-04-28&amp;currency=EUR&amp;startStation=2&amp;endStation=21",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Surfer Suite</t>
        </is>
      </c>
      <c r="H275">
        <f>HYPERLINK("https://booking.roadsurfer.com/es/rally/pick?pickup_date=2026-04-23&amp;return_date=2026-04-30&amp;currency=EUR&amp;startStation=2&amp;endStation=20",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Madrid</t>
        </is>
      </c>
      <c r="E276" t="inlineStr">
        <is>
          <t>2026-04-08</t>
        </is>
      </c>
      <c r="F276" t="inlineStr">
        <is>
          <t>2026-04-15</t>
        </is>
      </c>
      <c r="G276" t="inlineStr">
        <is>
          <t xml:space="preserve"> - Road House - Camper Castle</t>
        </is>
      </c>
      <c r="H276">
        <f>HYPERLINK("https://booking.roadsurfer.com/es/rally/pick?pickup_date=2026-04-08&amp;return_date=2026-04-15&amp;currency=EUR&amp;startStation=2&amp;endStation=20",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París Aeropuerto CDG</t>
        </is>
      </c>
      <c r="E277" t="inlineStr">
        <is>
          <t>2026-04-17</t>
        </is>
      </c>
      <c r="F277" t="inlineStr">
        <is>
          <t>2026-04-24</t>
        </is>
      </c>
      <c r="G277" t="inlineStr">
        <is>
          <t xml:space="preserve"> - Surfer Suite</t>
        </is>
      </c>
      <c r="H277">
        <f>HYPERLINK("https://booking.roadsurfer.com/es/rally/pick?pickup_date=2026-04-17&amp;return_date=2026-04-24&amp;currency=EUR&amp;startStation=2&amp;endStation=48",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París Aeropuerto CDG</t>
        </is>
      </c>
      <c r="E278" t="inlineStr">
        <is>
          <t>2026-04-14</t>
        </is>
      </c>
      <c r="F278" t="inlineStr">
        <is>
          <t>2026-04-21</t>
        </is>
      </c>
      <c r="G278" t="inlineStr">
        <is>
          <t xml:space="preserve"> - Surfer Suite</t>
        </is>
      </c>
      <c r="H278">
        <f>HYPERLINK("https://booking.roadsurfer.com/es/rally/pick?pickup_date=2026-04-14&amp;return_date=2026-04-21&amp;currency=EUR&amp;startStation=2&amp;endStation=48",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2026-04-11</t>
        </is>
      </c>
      <c r="F279" t="inlineStr">
        <is>
          <t>2026-04-18</t>
        </is>
      </c>
      <c r="G279" t="inlineStr">
        <is>
          <t xml:space="preserve"> - Sunrise Suite</t>
        </is>
      </c>
      <c r="H279">
        <f>HYPERLINK("https://booking.roadsurfer.com/es/rally/pick?pickup_date=2026-04-11&amp;return_date=2026-04-18&amp;currency=EUR&amp;startStation=2&amp;endStation=29",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2026-04-13</t>
        </is>
      </c>
      <c r="F280" t="inlineStr">
        <is>
          <t>2026-04-20</t>
        </is>
      </c>
      <c r="G280" t="inlineStr">
        <is>
          <t xml:space="preserve"> - Sunrise Suite</t>
        </is>
      </c>
      <c r="H280">
        <f>HYPERLINK("https://booking.roadsurfer.com/es/rally/pick?pickup_date=2026-04-13&amp;return_date=2026-04-20&amp;currency=EUR&amp;startStation=2&amp;endStation=29",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2026-04-14</t>
        </is>
      </c>
      <c r="F281" t="inlineStr">
        <is>
          <t>2026-04-21</t>
        </is>
      </c>
      <c r="G281" t="inlineStr">
        <is>
          <t xml:space="preserve"> - Sunrise Suite</t>
        </is>
      </c>
      <c r="H281">
        <f>HYPERLINK("https://booking.roadsurfer.com/es/rally/pick?pickup_date=2026-04-14&amp;return_date=2026-04-21&amp;currency=EUR&amp;startStation=2&amp;endStation=29",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2026-04-20</t>
        </is>
      </c>
      <c r="F282" t="inlineStr">
        <is>
          <t>2026-04-27</t>
        </is>
      </c>
      <c r="G282" t="inlineStr">
        <is>
          <t xml:space="preserve"> - Surfer Suite</t>
        </is>
      </c>
      <c r="H282">
        <f>HYPERLINK("https://booking.roadsurfer.com/es/rally/pick?pickup_date=2026-04-20&amp;return_date=2026-04-27&amp;currency=EUR&amp;startStation=2&amp;endStation=29",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2026-04-17</t>
        </is>
      </c>
      <c r="F283" t="inlineStr">
        <is>
          <t>2026-04-24</t>
        </is>
      </c>
      <c r="G283" t="inlineStr">
        <is>
          <t xml:space="preserve"> - Family Finca</t>
        </is>
      </c>
      <c r="H283">
        <f>HYPERLINK("https://booking.roadsurfer.com/es/rally/pick?pickup_date=2026-04-17&amp;return_date=2026-04-24&amp;currency=EUR&amp;startStation=2&amp;endStation=29",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Ginebra-Pays de Gex (Francia)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Cozy Cottage</t>
        </is>
      </c>
      <c r="H284">
        <f>HYPERLINK("https://booking.roadsurfer.com/es/rally/pick?pickup_date=2026-05-11&amp;return_date=2026-05-18&amp;currency=EUR&amp;startStation=2&amp;endStation=29",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Estrasburgo</t>
        </is>
      </c>
      <c r="E285" t="inlineStr">
        <is>
          <t>2026-04-18</t>
        </is>
      </c>
      <c r="F285" t="inlineStr">
        <is>
          <t>2026-04-25</t>
        </is>
      </c>
      <c r="G285" t="inlineStr">
        <is>
          <t xml:space="preserve"> - Beach Hostel</t>
        </is>
      </c>
      <c r="H285">
        <f>HYPERLINK("https://booking.roadsurfer.com/es/rally/pick?pickup_date=2026-04-18&amp;return_date=2026-04-25&amp;currency=EUR&amp;startStation=2&amp;endStation=49",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2026-04-13</t>
        </is>
      </c>
      <c r="F286" t="inlineStr">
        <is>
          <t>2026-04-20</t>
        </is>
      </c>
      <c r="G286" t="inlineStr">
        <is>
          <t xml:space="preserve"> - Beach Hostel</t>
        </is>
      </c>
      <c r="H286">
        <f>HYPERLINK("https://booking.roadsurfer.com/es/rally/pick?pickup_date=2026-04-13&amp;return_date=2026-04-20&amp;currency=EUR&amp;startStation=2&amp;endStation=56",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2026-05-18</t>
        </is>
      </c>
      <c r="F287" t="inlineStr">
        <is>
          <t>2026-05-25</t>
        </is>
      </c>
      <c r="G287" t="inlineStr">
        <is>
          <t xml:space="preserve"> - No hay coche</t>
        </is>
      </c>
      <c r="H287">
        <f>HYPERLINK("https://booking.roadsurfer.com/es/rally/pick?pickup_date=2026-05-18&amp;return_date=2026-05-25&amp;currency=EUR&amp;startStation=2&amp;endStation=15",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2026-04-09</t>
        </is>
      </c>
      <c r="F288" t="inlineStr">
        <is>
          <t>2026-04-16</t>
        </is>
      </c>
      <c r="G288" t="inlineStr">
        <is>
          <t xml:space="preserve"> - Couple Cottage</t>
        </is>
      </c>
      <c r="H288">
        <f>HYPERLINK("https://booking.roadsurfer.com/es/rally/pick?pickup_date=2026-04-09&amp;return_date=2026-04-16&amp;currency=EUR&amp;startStation=2&amp;endStation=15",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Burdeos</t>
        </is>
      </c>
      <c r="E289" t="inlineStr">
        <is>
          <t>2026-04-28</t>
        </is>
      </c>
      <c r="F289" t="inlineStr">
        <is>
          <t>2026-05-05</t>
        </is>
      </c>
      <c r="G289" t="inlineStr">
        <is>
          <t xml:space="preserve"> - Travel Home</t>
        </is>
      </c>
      <c r="H289">
        <f>HYPERLINK("https://booking.roadsurfer.com/es/rally/pick?pickup_date=2026-04-28&amp;return_date=2026-05-05&amp;currency=EUR&amp;startStation=2&amp;endStation=13",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Italia</t>
        </is>
      </c>
      <c r="D290" t="inlineStr">
        <is>
          <t>Bérgamo</t>
        </is>
      </c>
      <c r="E290" t="inlineStr">
        <is>
          <t>2026-04-15</t>
        </is>
      </c>
      <c r="F290" t="inlineStr">
        <is>
          <t>2026-04-22</t>
        </is>
      </c>
      <c r="G290" t="inlineStr">
        <is>
          <t xml:space="preserve"> - Camper Castle</t>
        </is>
      </c>
      <c r="H290">
        <f>HYPERLINK("https://booking.roadsurfer.com/es/rally/pick?pickup_date=2026-04-15&amp;return_date=2026-04-22&amp;currency=EUR&amp;startStation=2&amp;endStation=94",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Alemania</t>
        </is>
      </c>
      <c r="D291" t="inlineStr">
        <is>
          <t>Braunschweig</t>
        </is>
      </c>
      <c r="E291" t="inlineStr">
        <is>
          <t>2026-04-20</t>
        </is>
      </c>
      <c r="F291" t="inlineStr">
        <is>
          <t>2026-04-27</t>
        </is>
      </c>
      <c r="G291" t="inlineStr">
        <is>
          <t xml:space="preserve"> - No hay coche</t>
        </is>
      </c>
      <c r="H291">
        <f>HYPERLINK("https://booking.roadsurfer.com/es/rally/pick?pickup_date=2026-04-20&amp;return_date=2026-04-27&amp;currency=EUR&amp;startStation=2&amp;endStation=128",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Toulouse</t>
        </is>
      </c>
      <c r="E292" t="inlineStr">
        <is>
          <t>2026-04-07</t>
        </is>
      </c>
      <c r="F292" t="inlineStr">
        <is>
          <t>2026-04-14</t>
        </is>
      </c>
      <c r="G292" t="inlineStr">
        <is>
          <t xml:space="preserve"> - No hay coche</t>
        </is>
      </c>
      <c r="H292">
        <f>HYPERLINK("https://booking.roadsurfer.com/es/rally/pick?pickup_date=2026-04-07&amp;return_date=2026-04-14&amp;currency=EUR&amp;startStation=2&amp;endStation=30",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2026-04-16</t>
        </is>
      </c>
      <c r="F293" t="inlineStr">
        <is>
          <t>2026-04-23</t>
        </is>
      </c>
      <c r="G293" t="inlineStr">
        <is>
          <t xml:space="preserve"> - Couple Cottage</t>
        </is>
      </c>
      <c r="H293">
        <f>HYPERLINK("https://booking.roadsurfer.com/es/rally/pick?pickup_date=2026-04-16&amp;return_date=2026-04-23&amp;currency=EUR&amp;startStation=2&amp;endStation=12",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2026-04-30</t>
        </is>
      </c>
      <c r="F294" t="inlineStr">
        <is>
          <t>2026-05-07</t>
        </is>
      </c>
      <c r="G294" t="inlineStr">
        <is>
          <t xml:space="preserve"> - Cozy Cottage</t>
        </is>
      </c>
      <c r="H294">
        <f>HYPERLINK("https://booking.roadsurfer.com/es/rally/pick?pickup_date=2026-04-30&amp;return_date=2026-05-07&amp;currency=EUR&amp;startStation=2&amp;endStation=77",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2026-05-05</t>
        </is>
      </c>
      <c r="F295" t="inlineStr">
        <is>
          <t>2026-05-12</t>
        </is>
      </c>
      <c r="G295" t="inlineStr">
        <is>
          <t xml:space="preserve"> - Sunrise Suite</t>
        </is>
      </c>
      <c r="H295">
        <f>HYPERLINK("https://booking.roadsurfer.com/es/rally/pick?pickup_date=2026-05-05&amp;return_date=2026-05-12&amp;currency=EUR&amp;startStation=2&amp;endStation=59",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2026-04-28</t>
        </is>
      </c>
      <c r="F296" t="inlineStr">
        <is>
          <t>2026-05-05</t>
        </is>
      </c>
      <c r="G296" t="inlineStr">
        <is>
          <t xml:space="preserve"> - Surfer Suite</t>
        </is>
      </c>
      <c r="H296">
        <f>HYPERLINK("https://booking.roadsurfer.com/es/rally/pick?pickup_date=2026-04-28&amp;return_date=2026-05-05&amp;currency=EUR&amp;startStation=9&amp;endStation=15",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2026-04-20</t>
        </is>
      </c>
      <c r="F297" t="inlineStr">
        <is>
          <t>2026-04-27</t>
        </is>
      </c>
      <c r="G297" t="inlineStr">
        <is>
          <t xml:space="preserve"> - No hay coche</t>
        </is>
      </c>
      <c r="H297">
        <f>HYPERLINK("https://booking.roadsurfer.com/es/rally/pick?pickup_date=2026-04-20&amp;return_date=2026-04-27&amp;currency=EUR&amp;startStation=9&amp;endStation=15",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2026-04-17</t>
        </is>
      </c>
      <c r="F298" t="inlineStr">
        <is>
          <t>2026-04-24</t>
        </is>
      </c>
      <c r="G298" t="inlineStr">
        <is>
          <t xml:space="preserve"> - Surfer Suite</t>
        </is>
      </c>
      <c r="H298">
        <f>HYPERLINK("https://booking.roadsurfer.com/es/rally/pick?pickup_date=2026-04-17&amp;return_date=2026-04-24&amp;currency=EUR&amp;startStation=9&amp;endStation=15",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Surfer Suite - Camper Cabin</t>
        </is>
      </c>
      <c r="H299">
        <f>HYPERLINK("https://booking.roadsurfer.com/es/rally/pick?pickup_date=2026-04-13&amp;return_date=2026-04-20&amp;currency=EUR&amp;startStation=9&amp;endStation=40",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Surfer Suite</t>
        </is>
      </c>
      <c r="H300">
        <f>HYPERLINK("https://booking.roadsurfer.com/es/rally/pick?pickup_date=2026-04-09&amp;return_date=2026-04-16&amp;currency=EUR&amp;startStation=9&amp;endStation=40",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Family Finca</t>
        </is>
      </c>
      <c r="H301">
        <f>HYPERLINK("https://booking.roadsurfer.com/es/rally/pick?pickup_date=2026-05-11&amp;return_date=2026-05-18&amp;currency=EUR&amp;startStation=9&amp;endStation=40",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Bielefeld</t>
        </is>
      </c>
      <c r="E302" t="inlineStr">
        <is>
          <t>2026-04-23</t>
        </is>
      </c>
      <c r="F302" t="inlineStr">
        <is>
          <t>2026-04-30</t>
        </is>
      </c>
      <c r="G302" t="inlineStr">
        <is>
          <t xml:space="preserve"> - Surfer Suite</t>
        </is>
      </c>
      <c r="H302">
        <f>HYPERLINK("https://booking.roadsurfer.com/es/rally/pick?pickup_date=2026-04-23&amp;return_date=2026-04-30&amp;currency=EUR&amp;startStation=9&amp;endStation=91",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2026-04-14</t>
        </is>
      </c>
      <c r="F303" t="inlineStr">
        <is>
          <t>2026-04-21</t>
        </is>
      </c>
      <c r="G303" t="inlineStr">
        <is>
          <t xml:space="preserve"> - Surfer Suite</t>
        </is>
      </c>
      <c r="H303">
        <f>HYPERLINK("https://booking.roadsurfer.com/es/rally/pick?pickup_date=2026-04-14&amp;return_date=2026-04-21&amp;currency=EUR&amp;startStation=9&amp;endStation=20",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Alemania</t>
        </is>
      </c>
      <c r="D304" t="inlineStr">
        <is>
          <t>Aquisgrán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Surfer Suite</t>
        </is>
      </c>
      <c r="H304">
        <f>HYPERLINK("https://booking.roadsurfer.com/es/rally/pick?pickup_date=2026-04-20&amp;return_date=2026-04-27&amp;currency=EUR&amp;startStation=9&amp;endStation=114",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Alemania</t>
        </is>
      </c>
      <c r="D305" t="inlineStr">
        <is>
          <t>Aquisgrán</t>
        </is>
      </c>
      <c r="E305" t="inlineStr">
        <is>
          <t>2026-04-23</t>
        </is>
      </c>
      <c r="F305" t="inlineStr">
        <is>
          <t>2026-04-30</t>
        </is>
      </c>
      <c r="G305" t="inlineStr">
        <is>
          <t xml:space="preserve"> - Surfer Suite</t>
        </is>
      </c>
      <c r="H305">
        <f>HYPERLINK("https://booking.roadsurfer.com/es/rally/pick?pickup_date=2026-04-23&amp;return_date=2026-04-30&amp;currency=EUR&amp;startStation=9&amp;endStation=114",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Francia</t>
        </is>
      </c>
      <c r="D306" t="inlineStr">
        <is>
          <t>Ginebra-Pays de Gex (Francia)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Surfer Suite</t>
        </is>
      </c>
      <c r="H306">
        <f>HYPERLINK("https://booking.roadsurfer.com/es/rally/pick?pickup_date=2026-04-13&amp;return_date=2026-04-20&amp;currency=EUR&amp;startStation=9&amp;endStation=29",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Francia</t>
        </is>
      </c>
      <c r="D307" t="inlineStr">
        <is>
          <t>Ginebra-Pays de Gex (Francia)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Surfer Suite</t>
        </is>
      </c>
      <c r="H307">
        <f>HYPERLINK("https://booking.roadsurfer.com/es/rally/pick?pickup_date=2026-04-14&amp;return_date=2026-04-21&amp;currency=EUR&amp;startStation=9&amp;endStation=29",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Surfer Suite</t>
        </is>
      </c>
      <c r="H308">
        <f>HYPERLINK("https://booking.roadsurfer.com/es/rally/pick?pickup_date=2026-04-20&amp;return_date=2026-04-27&amp;currency=EUR&amp;startStation=9&amp;endStation=17",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2026-04-16</t>
        </is>
      </c>
      <c r="F309" t="inlineStr">
        <is>
          <t>2026-04-23</t>
        </is>
      </c>
      <c r="G309" t="inlineStr">
        <is>
          <t xml:space="preserve"> - Camper Cabin</t>
        </is>
      </c>
      <c r="H309">
        <f>HYPERLINK("https://booking.roadsurfer.com/es/rally/pick?pickup_date=2026-04-16&amp;return_date=2026-04-23&amp;currency=EUR&amp;startStation=9&amp;endStation=1",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Alemania</t>
        </is>
      </c>
      <c r="D310" t="inlineStr">
        <is>
          <t>Tréveris</t>
        </is>
      </c>
      <c r="E310" t="inlineStr">
        <is>
          <t>2026-05-21</t>
        </is>
      </c>
      <c r="F310" t="inlineStr">
        <is>
          <t>2026-05-28</t>
        </is>
      </c>
      <c r="G310" t="inlineStr">
        <is>
          <t xml:space="preserve"> - Camper Cabin</t>
        </is>
      </c>
      <c r="H310">
        <f>HYPERLINK("https://booking.roadsurfer.com/es/rally/pick?pickup_date=2026-05-21&amp;return_date=2026-05-28&amp;currency=EUR&amp;startStation=9&amp;endStation=28",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2026-04-22</t>
        </is>
      </c>
      <c r="F311" t="inlineStr">
        <is>
          <t>2026-04-29</t>
        </is>
      </c>
      <c r="G311" t="inlineStr">
        <is>
          <t xml:space="preserve"> - CAMPER CABIN</t>
        </is>
      </c>
      <c r="H311">
        <f>HYPERLINK("https://booking.roadsurfer.com/es/rally/pick?pickup_date=2026-04-22&amp;return_date=2026-04-29&amp;currency=EUR&amp;startStation=9&amp;endStation=31",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Kassel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Camper Cabin</t>
        </is>
      </c>
      <c r="H312">
        <f>HYPERLINK("https://booking.roadsurfer.com/es/rally/pick?pickup_date=2026-05-04&amp;return_date=2026-05-11&amp;currency=EUR&amp;startStation=29&amp;endStation=92",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Kassel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Surfer Suite</t>
        </is>
      </c>
      <c r="H313">
        <f>HYPERLINK("https://booking.roadsurfer.com/es/rally/pick?pickup_date=2026-05-06&amp;return_date=2026-05-13&amp;currency=EUR&amp;startStation=29&amp;endStation=92",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2026-05-15</t>
        </is>
      </c>
      <c r="F314" t="inlineStr">
        <is>
          <t>2026-05-22</t>
        </is>
      </c>
      <c r="G314" t="inlineStr">
        <is>
          <t xml:space="preserve"> - CAMPER CABIN</t>
        </is>
      </c>
      <c r="H314">
        <f>HYPERLINK("https://booking.roadsurfer.com/es/rally/pick?pickup_date=2026-05-15&amp;return_date=2026-05-22&amp;currency=EUR&amp;startStation=29&amp;endStation=90",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2026-05-13</t>
        </is>
      </c>
      <c r="F315" t="inlineStr">
        <is>
          <t>2026-05-20</t>
        </is>
      </c>
      <c r="G315" t="inlineStr">
        <is>
          <t xml:space="preserve"> - Camper Cabin</t>
        </is>
      </c>
      <c r="H315">
        <f>HYPERLINK("https://booking.roadsurfer.com/es/rally/pick?pickup_date=2026-05-13&amp;return_date=2026-05-20&amp;currency=EUR&amp;startStation=29&amp;endStation=90",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Surfer Suite</t>
        </is>
      </c>
      <c r="H316">
        <f>HYPERLINK("https://booking.roadsurfer.com/es/rally/pick?pickup_date=2026-05-11&amp;return_date=2026-05-18&amp;currency=EUR&amp;startStation=29&amp;endStation=90",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2026-05-26</t>
        </is>
      </c>
      <c r="F317" t="inlineStr">
        <is>
          <t>2026-06-02</t>
        </is>
      </c>
      <c r="G317" t="inlineStr">
        <is>
          <t xml:space="preserve"> - Cozy Cottage</t>
        </is>
      </c>
      <c r="H317">
        <f>HYPERLINK("https://booking.roadsurfer.com/es/rally/pick?pickup_date=2026-05-26&amp;return_date=2026-06-02&amp;currency=EUR&amp;startStation=29&amp;endStation=90",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Constanza (Aach)</t>
        </is>
      </c>
      <c r="E318" t="inlineStr">
        <is>
          <t>2026-05-23</t>
        </is>
      </c>
      <c r="F318" t="inlineStr">
        <is>
          <t>2026-05-30</t>
        </is>
      </c>
      <c r="G318" t="inlineStr">
        <is>
          <t xml:space="preserve"> - Surfer Suite</t>
        </is>
      </c>
      <c r="H318">
        <f>HYPERLINK("https://booking.roadsurfer.com/es/rally/pick?pickup_date=2026-05-23&amp;return_date=2026-05-30&amp;currency=EUR&amp;startStation=29&amp;endStation=10",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Friburgo-Basilea (Alemania)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Surfer Suite</t>
        </is>
      </c>
      <c r="H319">
        <f>HYPERLINK("https://booking.roadsurfer.com/es/rally/pick?pickup_date=2026-04-14&amp;return_date=2026-04-21&amp;currency=EUR&amp;startStation=29&amp;endStation=9",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2026-05-20</t>
        </is>
      </c>
      <c r="F320" t="inlineStr">
        <is>
          <t>2026-05-27</t>
        </is>
      </c>
      <c r="G320" t="inlineStr">
        <is>
          <t xml:space="preserve"> - Camper Castle</t>
        </is>
      </c>
      <c r="H320">
        <f>HYPERLINK("https://booking.roadsurfer.com/es/rally/pick?pickup_date=2026-05-20&amp;return_date=2026-05-27&amp;currency=EUR&amp;startStation=29&amp;endStation=22",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Travel Home</t>
        </is>
      </c>
      <c r="H321">
        <f>HYPERLINK("https://booking.roadsurfer.com/es/rally/pick?pickup_date=2026-05-06&amp;return_date=2026-05-13&amp;currency=EUR&amp;startStation=29&amp;endStation=22",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Camper Cabin</t>
        </is>
      </c>
      <c r="H322">
        <f>HYPERLINK("https://booking.roadsurfer.com/es/rally/pick?pickup_date=2026-05-04&amp;return_date=2026-05-11&amp;currency=EUR&amp;startStation=29&amp;endStation=22",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2026-05-08</t>
        </is>
      </c>
      <c r="F323" t="inlineStr">
        <is>
          <t>2026-05-15</t>
        </is>
      </c>
      <c r="G323" t="inlineStr">
        <is>
          <t xml:space="preserve"> - No hay coche</t>
        </is>
      </c>
      <c r="H323">
        <f>HYPERLINK("https://booking.roadsurfer.com/es/rally/pick?pickup_date=2026-05-08&amp;return_date=2026-05-15&amp;currency=EUR&amp;startStation=29&amp;endStation=22",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2026-04-16</t>
        </is>
      </c>
      <c r="F324" t="inlineStr">
        <is>
          <t>2026-04-23</t>
        </is>
      </c>
      <c r="G324" t="inlineStr">
        <is>
          <t xml:space="preserve"> - Couple Cottage</t>
        </is>
      </c>
      <c r="H324">
        <f>HYPERLINK("https://booking.roadsurfer.com/es/rally/pick?pickup_date=2026-04-16&amp;return_date=2026-04-23&amp;currency=EUR&amp;startStation=29&amp;endStation=22",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Lindau-Wangen</t>
        </is>
      </c>
      <c r="E325" t="inlineStr">
        <is>
          <t>2026-05-18</t>
        </is>
      </c>
      <c r="F325" t="inlineStr">
        <is>
          <t>2026-05-25</t>
        </is>
      </c>
      <c r="G325" t="inlineStr">
        <is>
          <t xml:space="preserve"> - No hay coche</t>
        </is>
      </c>
      <c r="H325">
        <f>HYPERLINK("https://booking.roadsurfer.com/es/rally/pick?pickup_date=2026-05-18&amp;return_date=2026-05-25&amp;currency=EUR&amp;startStation=29&amp;endStation=117",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Road House</t>
        </is>
      </c>
      <c r="H326">
        <f>HYPERLINK("https://booking.roadsurfer.com/es/rally/pick?pickup_date=2026-05-04&amp;return_date=2026-05-11&amp;currency=EUR&amp;startStation=29&amp;endStation=56",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Camper Cabin</t>
        </is>
      </c>
      <c r="H327">
        <f>HYPERLINK("https://booking.roadsurfer.com/es/rally/pick?pickup_date=2026-05-11&amp;return_date=2026-05-18&amp;currency=EUR&amp;startStation=29&amp;endStation=56",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2026-05-08</t>
        </is>
      </c>
      <c r="F328" t="inlineStr">
        <is>
          <t>2026-05-15</t>
        </is>
      </c>
      <c r="G328" t="inlineStr">
        <is>
          <t xml:space="preserve"> - No hay coche</t>
        </is>
      </c>
      <c r="H328">
        <f>HYPERLINK("https://booking.roadsurfer.com/es/rally/pick?pickup_date=2026-05-08&amp;return_date=2026-05-15&amp;currency=EUR&amp;startStation=29&amp;endStation=56",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2026-05-15</t>
        </is>
      </c>
      <c r="F329" t="inlineStr">
        <is>
          <t>2026-05-22</t>
        </is>
      </c>
      <c r="G329" t="inlineStr">
        <is>
          <t xml:space="preserve"> - Sunrise Suite</t>
        </is>
      </c>
      <c r="H329">
        <f>HYPERLINK("https://booking.roadsurfer.com/es/rally/pick?pickup_date=2026-05-15&amp;return_date=2026-05-22&amp;currency=EUR&amp;startStation=29&amp;endStation=56",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Wurzburgo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Road House</t>
        </is>
      </c>
      <c r="H330">
        <f>HYPERLINK("https://booking.roadsurfer.com/es/rally/pick?pickup_date=2026-05-04&amp;return_date=2026-05-11&amp;currency=EUR&amp;startStation=29&amp;endStation=115",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Wurzburgo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CAMPER CASTLE</t>
        </is>
      </c>
      <c r="H331">
        <f>HYPERLINK("https://booking.roadsurfer.com/es/rally/pick?pickup_date=2026-05-06&amp;return_date=2026-05-13&amp;currency=EUR&amp;startStation=29&amp;endStation=115",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Francia</t>
        </is>
      </c>
      <c r="D332" t="inlineStr">
        <is>
          <t>Nantes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Family Finca</t>
        </is>
      </c>
      <c r="H332">
        <f>HYPERLINK("https://booking.roadsurfer.com/es/rally/pick?pickup_date=2026-04-23&amp;return_date=2026-04-30&amp;currency=EUR&amp;startStation=29&amp;endStation=31",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Bochum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Couple Cottage</t>
        </is>
      </c>
      <c r="H333">
        <f>HYPERLINK("https://booking.roadsurfer.com/es/rally/pick?pickup_date=2026-05-11&amp;return_date=2026-05-18&amp;currency=EUR&amp;startStation=29&amp;endStation=24",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Berlín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Sunrise Suite</t>
        </is>
      </c>
      <c r="H334">
        <f>HYPERLINK("https://booking.roadsurfer.com/es/rally/pick?pickup_date=2026-05-11&amp;return_date=2026-05-18&amp;currency=EUR&amp;startStation=29&amp;endStation=6",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Hamburgo Aeropuerto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Surfer Suite</t>
        </is>
      </c>
      <c r="H335">
        <f>HYPERLINK("https://booking.roadsurfer.com/es/rally/pick?pickup_date=2026-04-23&amp;return_date=2026-04-30&amp;currency=EUR&amp;startStation=77&amp;endStation=65",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Bremen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Surfer Suite</t>
        </is>
      </c>
      <c r="H336">
        <f>HYPERLINK("https://booking.roadsurfer.com/es/rally/pick?pickup_date=2026-04-13&amp;return_date=2026-04-20&amp;currency=EUR&amp;startStation=77&amp;endStation=55",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Bremen</t>
        </is>
      </c>
      <c r="E337" t="inlineStr">
        <is>
          <t>2026-04-08</t>
        </is>
      </c>
      <c r="F337" t="inlineStr">
        <is>
          <t>2026-04-15</t>
        </is>
      </c>
      <c r="G337" t="inlineStr">
        <is>
          <t xml:space="preserve"> - Surfer Suite</t>
        </is>
      </c>
      <c r="H337">
        <f>HYPERLINK("https://booking.roadsurfer.com/es/rally/pick?pickup_date=2026-04-08&amp;return_date=2026-04-15&amp;currency=EUR&amp;startStation=77&amp;endStation=55",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Bremen</t>
        </is>
      </c>
      <c r="E338" t="inlineStr">
        <is>
          <t>2026-04-07</t>
        </is>
      </c>
      <c r="F338" t="inlineStr">
        <is>
          <t>2026-04-14</t>
        </is>
      </c>
      <c r="G338" t="inlineStr">
        <is>
          <t xml:space="preserve"> - Family Finca</t>
        </is>
      </c>
      <c r="H338">
        <f>HYPERLINK("https://booking.roadsurfer.com/es/rally/pick?pickup_date=2026-04-07&amp;return_date=2026-04-14&amp;currency=EUR&amp;startStation=77&amp;endStation=55",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Kiel</t>
        </is>
      </c>
      <c r="E339" t="inlineStr">
        <is>
          <t>2026-05-15</t>
        </is>
      </c>
      <c r="F339" t="inlineStr">
        <is>
          <t>2026-05-22</t>
        </is>
      </c>
      <c r="G339" t="inlineStr">
        <is>
          <t xml:space="preserve"> - SURFER SUITE</t>
        </is>
      </c>
      <c r="H339">
        <f>HYPERLINK("https://booking.roadsurfer.com/es/rally/pick?pickup_date=2026-05-15&amp;return_date=2026-05-22&amp;currency=EUR&amp;startStation=77&amp;endStation=111",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Kiel</t>
        </is>
      </c>
      <c r="E340" t="inlineStr">
        <is>
          <t>2026-04-13</t>
        </is>
      </c>
      <c r="F340" t="inlineStr">
        <is>
          <t>2026-04-20</t>
        </is>
      </c>
      <c r="G340" t="inlineStr">
        <is>
          <t xml:space="preserve"> - Surfer Suite</t>
        </is>
      </c>
      <c r="H340">
        <f>HYPERLINK("https://booking.roadsurfer.com/es/rally/pick?pickup_date=2026-04-13&amp;return_date=2026-04-20&amp;currency=EUR&amp;startStation=77&amp;endStation=111",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2026-04-08</t>
        </is>
      </c>
      <c r="F341" t="inlineStr">
        <is>
          <t>2026-04-15</t>
        </is>
      </c>
      <c r="G341" t="inlineStr">
        <is>
          <t xml:space="preserve"> - Surfer Suite - Beach Hostel</t>
        </is>
      </c>
      <c r="H341">
        <f>HYPERLINK("https://booking.roadsurfer.com/es/rally/pick?pickup_date=2026-04-08&amp;return_date=2026-04-15&amp;currency=EUR&amp;startStation=77&amp;endStation=91",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2026-04-07</t>
        </is>
      </c>
      <c r="F342" t="inlineStr">
        <is>
          <t>2026-04-14</t>
        </is>
      </c>
      <c r="G342" t="inlineStr">
        <is>
          <t xml:space="preserve"> - Camper Castle - Sunrise Suite</t>
        </is>
      </c>
      <c r="H342">
        <f>HYPERLINK("https://booking.roadsurfer.com/es/rally/pick?pickup_date=2026-04-07&amp;return_date=2026-04-14&amp;currency=EUR&amp;startStation=77&amp;endStation=91",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2026-05-06</t>
        </is>
      </c>
      <c r="F343" t="inlineStr">
        <is>
          <t>2026-05-13</t>
        </is>
      </c>
      <c r="G343" t="inlineStr">
        <is>
          <t xml:space="preserve"> - Road House - Sunrise Suite</t>
        </is>
      </c>
      <c r="H343">
        <f>HYPERLINK("https://booking.roadsurfer.com/es/rally/pick?pickup_date=2026-05-06&amp;return_date=2026-05-13&amp;currency=EUR&amp;startStation=77&amp;endStation=91",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Couple Cottage</t>
        </is>
      </c>
      <c r="H344">
        <f>HYPERLINK("https://booking.roadsurfer.com/es/rally/pick?pickup_date=2026-05-15&amp;return_date=2026-05-22&amp;currency=EUR&amp;startStation=77&amp;endStation=91",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Bielefeld</t>
        </is>
      </c>
      <c r="E345" t="inlineStr">
        <is>
          <t>2026-05-13</t>
        </is>
      </c>
      <c r="F345" t="inlineStr">
        <is>
          <t>2026-05-20</t>
        </is>
      </c>
      <c r="G345" t="inlineStr">
        <is>
          <t xml:space="preserve"> - Couple Cottage</t>
        </is>
      </c>
      <c r="H345">
        <f>HYPERLINK("https://booking.roadsurfer.com/es/rally/pick?pickup_date=2026-05-13&amp;return_date=2026-05-20&amp;currency=EUR&amp;startStation=77&amp;endStation=91",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2026-05-08</t>
        </is>
      </c>
      <c r="F346" t="inlineStr">
        <is>
          <t>2026-05-15</t>
        </is>
      </c>
      <c r="G346" t="inlineStr">
        <is>
          <t xml:space="preserve"> - Couple Cottage</t>
        </is>
      </c>
      <c r="H346">
        <f>HYPERLINK("https://booking.roadsurfer.com/es/rally/pick?pickup_date=2026-05-08&amp;return_date=2026-05-15&amp;currency=EUR&amp;startStation=77&amp;endStation=91",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Sunrise Suite</t>
        </is>
      </c>
      <c r="H347">
        <f>HYPERLINK("https://booking.roadsurfer.com/es/rally/pick?pickup_date=2026-04-14&amp;return_date=2026-04-21&amp;currency=EUR&amp;startStation=77&amp;endStation=91",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Heidelberg</t>
        </is>
      </c>
      <c r="E348" t="inlineStr">
        <is>
          <t>2026-04-15</t>
        </is>
      </c>
      <c r="F348" t="inlineStr">
        <is>
          <t>2026-04-22</t>
        </is>
      </c>
      <c r="G348" t="inlineStr">
        <is>
          <t xml:space="preserve"> - Surfer Suite</t>
        </is>
      </c>
      <c r="H348">
        <f>HYPERLINK("https://booking.roadsurfer.com/es/rally/pick?pickup_date=2026-04-15&amp;return_date=2026-04-22&amp;currency=EUR&amp;startStation=77&amp;endStation=79",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2026-04-08</t>
        </is>
      </c>
      <c r="F349" t="inlineStr">
        <is>
          <t>2026-04-15</t>
        </is>
      </c>
      <c r="G349" t="inlineStr">
        <is>
          <t xml:space="preserve"> - Beach Hostel</t>
        </is>
      </c>
      <c r="H349">
        <f>HYPERLINK("https://booking.roadsurfer.com/es/rally/pick?pickup_date=2026-04-08&amp;return_date=2026-04-15&amp;currency=EUR&amp;startStation=77&amp;endStation=22",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Couple Cottage</t>
        </is>
      </c>
      <c r="H350">
        <f>HYPERLINK("https://booking.roadsurfer.com/es/rally/pick?pickup_date=2026-04-13&amp;return_date=2026-04-20&amp;currency=EUR&amp;startStation=77&amp;endStation=22",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Couple Cottage</t>
        </is>
      </c>
      <c r="H351">
        <f>HYPERLINK("https://booking.roadsurfer.com/es/rally/pick?pickup_date=2026-04-14&amp;return_date=2026-04-21&amp;currency=EUR&amp;startStation=77&amp;endStation=22",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Camper Castle</t>
        </is>
      </c>
      <c r="H352">
        <f>HYPERLINK("https://booking.roadsurfer.com/es/rally/pick?pickup_date=2026-04-23&amp;return_date=2026-04-30&amp;currency=EUR&amp;startStation=77&amp;endStation=22",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2026-04-09</t>
        </is>
      </c>
      <c r="F353" t="inlineStr">
        <is>
          <t>2026-04-16</t>
        </is>
      </c>
      <c r="G353" t="inlineStr">
        <is>
          <t xml:space="preserve"> - Camper Castle</t>
        </is>
      </c>
      <c r="H353">
        <f>HYPERLINK("https://booking.roadsurfer.com/es/rally/pick?pickup_date=2026-04-09&amp;return_date=2026-04-16&amp;currency=EUR&amp;startStation=77&amp;endStation=6",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Berlín</t>
        </is>
      </c>
      <c r="E354" t="inlineStr">
        <is>
          <t>2026-05-08</t>
        </is>
      </c>
      <c r="F354" t="inlineStr">
        <is>
          <t>2026-05-15</t>
        </is>
      </c>
      <c r="G354" t="inlineStr">
        <is>
          <t xml:space="preserve"> - Beach Hostel</t>
        </is>
      </c>
      <c r="H354">
        <f>HYPERLINK("https://booking.roadsurfer.com/es/rally/pick?pickup_date=2026-05-08&amp;return_date=2026-05-15&amp;currency=EUR&amp;startStation=77&amp;endStation=6",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Berlín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Sunrise Suite</t>
        </is>
      </c>
      <c r="H355">
        <f>HYPERLINK("https://booking.roadsurfer.com/es/rally/pick?pickup_date=2026-05-11&amp;return_date=2026-05-18&amp;currency=EUR&amp;startStation=77&amp;endStation=6",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2026-04-08</t>
        </is>
      </c>
      <c r="F356" t="inlineStr">
        <is>
          <t>2026-04-15</t>
        </is>
      </c>
      <c r="G356" t="inlineStr">
        <is>
          <t xml:space="preserve"> - Camper Castle</t>
        </is>
      </c>
      <c r="H356">
        <f>HYPERLINK("https://booking.roadsurfer.com/es/rally/pick?pickup_date=2026-04-08&amp;return_date=2026-04-15&amp;currency=EUR&amp;startStation=77&amp;endStation=6",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2026-04-14</t>
        </is>
      </c>
      <c r="F357" t="inlineStr">
        <is>
          <t>2026-04-21</t>
        </is>
      </c>
      <c r="G357" t="inlineStr">
        <is>
          <t xml:space="preserve"> - Road House</t>
        </is>
      </c>
      <c r="H357">
        <f>HYPERLINK("https://booking.roadsurfer.com/es/rally/pick?pickup_date=2026-04-14&amp;return_date=2026-04-21&amp;currency=EUR&amp;startStation=77&amp;endStation=90",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2026-04-22</t>
        </is>
      </c>
      <c r="F358" t="inlineStr">
        <is>
          <t>2026-04-29</t>
        </is>
      </c>
      <c r="G358" t="inlineStr">
        <is>
          <t xml:space="preserve"> - Family Finca</t>
        </is>
      </c>
      <c r="H358">
        <f>HYPERLINK("https://booking.roadsurfer.com/es/rally/pick?pickup_date=2026-04-22&amp;return_date=2026-04-29&amp;currency=EUR&amp;startStation=77&amp;endStation=90",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Karlsruhe</t>
        </is>
      </c>
      <c r="E359" t="inlineStr">
        <is>
          <t>2026-04-15</t>
        </is>
      </c>
      <c r="F359" t="inlineStr">
        <is>
          <t>2026-04-22</t>
        </is>
      </c>
      <c r="G359" t="inlineStr">
        <is>
          <t xml:space="preserve"> - Camper Castle</t>
        </is>
      </c>
      <c r="H359">
        <f>HYPERLINK("https://booking.roadsurfer.com/es/rally/pick?pickup_date=2026-04-15&amp;return_date=2026-04-22&amp;currency=EUR&amp;startStation=77&amp;endStation=110", "Clic para verlo en la web de RoadSurfer")</f>
        <v/>
      </c>
    </row>
    <row r="360">
      <c r="A360" t="inlineStr">
        <is>
          <t>Austria</t>
        </is>
      </c>
      <c r="B360" t="inlineStr">
        <is>
          <t>Graz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2026-04-08</t>
        </is>
      </c>
      <c r="F360" t="inlineStr">
        <is>
          <t>2026-04-15</t>
        </is>
      </c>
      <c r="G360" t="inlineStr">
        <is>
          <t xml:space="preserve"> - Surfer Suite</t>
        </is>
      </c>
      <c r="H360">
        <f>HYPERLINK("https://booking.roadsurfer.com/es/rally/pick?pickup_date=2026-04-08&amp;return_date=2026-04-15&amp;currency=EUR&amp;startStation=37&amp;endStation=90", "Clic para verlo en la web de RoadSurfer")</f>
        <v/>
      </c>
    </row>
    <row r="361">
      <c r="A361" t="inlineStr">
        <is>
          <t>Austria</t>
        </is>
      </c>
      <c r="B361" t="inlineStr">
        <is>
          <t>Graz</t>
        </is>
      </c>
      <c r="C361" t="inlineStr">
        <is>
          <t>Alemania</t>
        </is>
      </c>
      <c r="D361" t="inlineStr">
        <is>
          <t>Leipzig</t>
        </is>
      </c>
      <c r="E361" t="inlineStr">
        <is>
          <t>2026-04-15</t>
        </is>
      </c>
      <c r="F361" t="inlineStr">
        <is>
          <t>2026-04-22</t>
        </is>
      </c>
      <c r="G361" t="inlineStr">
        <is>
          <t xml:space="preserve"> - SURFER SUITE</t>
        </is>
      </c>
      <c r="H361">
        <f>HYPERLINK("https://booking.roadsurfer.com/es/rally/pick?pickup_date=2026-04-15&amp;return_date=2026-04-22&amp;currency=EUR&amp;startStation=37&amp;endStation=8", "Clic para verlo en la web de RoadSurfer")</f>
        <v/>
      </c>
    </row>
    <row r="362">
      <c r="A362" t="inlineStr">
        <is>
          <t>Austria</t>
        </is>
      </c>
      <c r="B362" t="inlineStr">
        <is>
          <t>Graz</t>
        </is>
      </c>
      <c r="C362" t="inlineStr">
        <is>
          <t>Alemania</t>
        </is>
      </c>
      <c r="D362" t="inlineStr">
        <is>
          <t>Leipzig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SURFER SUITE</t>
        </is>
      </c>
      <c r="H362">
        <f>HYPERLINK("https://booking.roadsurfer.com/es/rally/pick?pickup_date=2026-05-04&amp;return_date=2026-05-11&amp;currency=EUR&amp;startStation=37&amp;endStation=8", "Clic para verlo en la web de RoadSurfer")</f>
        <v/>
      </c>
    </row>
    <row r="363">
      <c r="A363" t="inlineStr">
        <is>
          <t>Austria</t>
        </is>
      </c>
      <c r="B363" t="inlineStr">
        <is>
          <t>Graz</t>
        </is>
      </c>
      <c r="C363" t="inlineStr">
        <is>
          <t>Alemania</t>
        </is>
      </c>
      <c r="D363" t="inlineStr">
        <is>
          <t>Leipzig</t>
        </is>
      </c>
      <c r="E363" t="inlineStr">
        <is>
          <t>2026-05-14</t>
        </is>
      </c>
      <c r="F363" t="inlineStr">
        <is>
          <t>2026-05-21</t>
        </is>
      </c>
      <c r="G363" t="inlineStr">
        <is>
          <t xml:space="preserve"> - No hay coche</t>
        </is>
      </c>
      <c r="H363">
        <f>HYPERLINK("https://booking.roadsurfer.com/es/rally/pick?pickup_date=2026-05-14&amp;return_date=2026-05-21&amp;currency=EUR&amp;startStation=37&amp;endStation=8", "Clic para verlo en la web de RoadSurfer")</f>
        <v/>
      </c>
    </row>
    <row r="364">
      <c r="A364" t="inlineStr">
        <is>
          <t>Austria</t>
        </is>
      </c>
      <c r="B364" t="inlineStr">
        <is>
          <t>Graz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2026-05-20</t>
        </is>
      </c>
      <c r="F364" t="inlineStr">
        <is>
          <t>2026-05-27</t>
        </is>
      </c>
      <c r="G364" t="inlineStr">
        <is>
          <t xml:space="preserve"> - Surfer Suite</t>
        </is>
      </c>
      <c r="H364">
        <f>HYPERLINK("https://booking.roadsurfer.com/es/rally/pick?pickup_date=2026-05-20&amp;return_date=2026-05-27&amp;currency=EUR&amp;startStation=37&amp;endStation=8", "Clic para verlo en la web de RoadSurfer")</f>
        <v/>
      </c>
    </row>
    <row r="365">
      <c r="A365" t="inlineStr">
        <is>
          <t>Austria</t>
        </is>
      </c>
      <c r="B365" t="inlineStr">
        <is>
          <t>Graz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2026-05-19</t>
        </is>
      </c>
      <c r="F365" t="inlineStr">
        <is>
          <t>2026-05-26</t>
        </is>
      </c>
      <c r="G365" t="inlineStr">
        <is>
          <t xml:space="preserve"> - Road House</t>
        </is>
      </c>
      <c r="H365">
        <f>HYPERLINK("https://booking.roadsurfer.com/es/rally/pick?pickup_date=2026-05-19&amp;return_date=2026-05-26&amp;currency=EUR&amp;startStation=37&amp;endStation=8", "Clic para verlo en la web de RoadSurfer")</f>
        <v/>
      </c>
    </row>
    <row r="366">
      <c r="A366" t="inlineStr">
        <is>
          <t>Austria</t>
        </is>
      </c>
      <c r="B366" t="inlineStr">
        <is>
          <t>Graz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Camper Castle - Family Finca</t>
        </is>
      </c>
      <c r="H366">
        <f>HYPERLINK("https://booking.roadsurfer.com/es/rally/pick?pickup_date=2026-05-04&amp;return_date=2026-05-11&amp;currency=EUR&amp;startStation=37&amp;endStation=56", "Clic para verlo en la web de RoadSurfer")</f>
        <v/>
      </c>
    </row>
    <row r="367">
      <c r="A367" t="inlineStr">
        <is>
          <t>Austria</t>
        </is>
      </c>
      <c r="B367" t="inlineStr">
        <is>
          <t>Graz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2026-05-06</t>
        </is>
      </c>
      <c r="F367" t="inlineStr">
        <is>
          <t>2026-05-13</t>
        </is>
      </c>
      <c r="G367" t="inlineStr">
        <is>
          <t xml:space="preserve"> - Couple Cottage</t>
        </is>
      </c>
      <c r="H367">
        <f>HYPERLINK("https://booking.roadsurfer.com/es/rally/pick?pickup_date=2026-05-06&amp;return_date=2026-05-13&amp;currency=EUR&amp;startStation=37&amp;endStation=56", "Clic para verlo en la web de RoadSurfer")</f>
        <v/>
      </c>
    </row>
    <row r="368">
      <c r="A368" t="inlineStr">
        <is>
          <t>Austria</t>
        </is>
      </c>
      <c r="B368" t="inlineStr">
        <is>
          <t>Graz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2026-05-08</t>
        </is>
      </c>
      <c r="F368" t="inlineStr">
        <is>
          <t>2026-05-15</t>
        </is>
      </c>
      <c r="G368" t="inlineStr">
        <is>
          <t xml:space="preserve"> - CAMPER CABIN</t>
        </is>
      </c>
      <c r="H368">
        <f>HYPERLINK("https://booking.roadsurfer.com/es/rally/pick?pickup_date=2026-05-08&amp;return_date=2026-05-15&amp;currency=EUR&amp;startStation=37&amp;endStation=56", "Clic para verlo en la web de RoadSurfer")</f>
        <v/>
      </c>
    </row>
    <row r="369">
      <c r="A369" t="inlineStr">
        <is>
          <t>Austria</t>
        </is>
      </c>
      <c r="B369" t="inlineStr">
        <is>
          <t>Graz</t>
        </is>
      </c>
      <c r="C369" t="inlineStr">
        <is>
          <t>Alemania</t>
        </is>
      </c>
      <c r="D369" t="inlineStr">
        <is>
          <t>Hamburgo</t>
        </is>
      </c>
      <c r="E369" t="inlineStr">
        <is>
          <t>2026-04-07</t>
        </is>
      </c>
      <c r="F369" t="inlineStr">
        <is>
          <t>2026-04-14</t>
        </is>
      </c>
      <c r="G369" t="inlineStr">
        <is>
          <t xml:space="preserve"> - CAMPER CASTLE</t>
        </is>
      </c>
      <c r="H369">
        <f>HYPERLINK("https://booking.roadsurfer.com/es/rally/pick?pickup_date=2026-04-07&amp;return_date=2026-04-14&amp;currency=EUR&amp;startStation=37&amp;endStation=3",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Cozy Cottage</t>
        </is>
      </c>
      <c r="H370">
        <f>HYPERLINK("https://booking.roadsurfer.com/es/rally/pick?pickup_date=2026-04-27&amp;return_date=2026-05-04&amp;currency=EUR&amp;startStation=3&amp;endStation=77", "Clic para verlo en la web de RoadSurfer")</f>
        <v/>
      </c>
    </row>
    <row r="371">
      <c r="A371" t="inlineStr">
        <is>
          <t>Alemania</t>
        </is>
      </c>
      <c r="B371" t="inlineStr">
        <is>
          <t>Hamburgo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2026-04-11</t>
        </is>
      </c>
      <c r="F371" t="inlineStr">
        <is>
          <t>2026-04-18</t>
        </is>
      </c>
      <c r="G371" t="inlineStr">
        <is>
          <t xml:space="preserve"> - SURFER SUITE</t>
        </is>
      </c>
      <c r="H371">
        <f>HYPERLINK("https://booking.roadsurfer.com/es/rally/pick?pickup_date=2026-04-11&amp;return_date=2026-04-18&amp;currency=EUR&amp;startStation=3&amp;endStation=77", "Clic para verlo en la web de RoadSurfer")</f>
        <v/>
      </c>
    </row>
    <row r="372">
      <c r="A372" t="inlineStr">
        <is>
          <t>Alemania</t>
        </is>
      </c>
      <c r="B372" t="inlineStr">
        <is>
          <t>Hamburgo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2026-04-30</t>
        </is>
      </c>
      <c r="F372" t="inlineStr">
        <is>
          <t>2026-05-07</t>
        </is>
      </c>
      <c r="G372" t="inlineStr">
        <is>
          <t xml:space="preserve"> - COZY COTTAGE</t>
        </is>
      </c>
      <c r="H372">
        <f>HYPERLINK("https://booking.roadsurfer.com/es/rally/pick?pickup_date=2026-04-30&amp;return_date=2026-05-07&amp;currency=EUR&amp;startStation=3&amp;endStation=77", "Clic para verlo en la web de RoadSurfer")</f>
        <v/>
      </c>
    </row>
    <row r="373">
      <c r="A373" t="inlineStr">
        <is>
          <t>Alemania</t>
        </is>
      </c>
      <c r="B373" t="inlineStr">
        <is>
          <t>Hamburgo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2026-04-07</t>
        </is>
      </c>
      <c r="F373" t="inlineStr">
        <is>
          <t>2026-04-14</t>
        </is>
      </c>
      <c r="G373" t="inlineStr">
        <is>
          <t xml:space="preserve"> - Beach Hostel</t>
        </is>
      </c>
      <c r="H373">
        <f>HYPERLINK("https://booking.roadsurfer.com/es/rally/pick?pickup_date=2026-04-07&amp;return_date=2026-04-14&amp;currency=EUR&amp;startStation=3&amp;endStation=40", "Clic para verlo en la web de RoadSurfer")</f>
        <v/>
      </c>
    </row>
    <row r="374">
      <c r="A374" t="inlineStr">
        <is>
          <t>Alemania</t>
        </is>
      </c>
      <c r="B374" t="inlineStr">
        <is>
          <t>Hamburgo</t>
        </is>
      </c>
      <c r="C374" t="inlineStr">
        <is>
          <t>Austria</t>
        </is>
      </c>
      <c r="D374" t="inlineStr">
        <is>
          <t>Viena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BEACH HOSTEL</t>
        </is>
      </c>
      <c r="H374">
        <f>HYPERLINK("https://booking.roadsurfer.com/es/rally/pick?pickup_date=2026-05-04&amp;return_date=2026-05-11&amp;currency=EUR&amp;startStation=3&amp;endStation=36", "Clic para verlo en la web de RoadSurfer")</f>
        <v/>
      </c>
    </row>
    <row r="375">
      <c r="A375" t="inlineStr">
        <is>
          <t>Alemania</t>
        </is>
      </c>
      <c r="B375" t="inlineStr">
        <is>
          <t>Hamburgo</t>
        </is>
      </c>
      <c r="C375" t="inlineStr">
        <is>
          <t>Alemania</t>
        </is>
      </c>
      <c r="D375" t="inlineStr">
        <is>
          <t>Aquisgrán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Road House</t>
        </is>
      </c>
      <c r="H375">
        <f>HYPERLINK("https://booking.roadsurfer.com/es/rally/pick?pickup_date=2026-04-20&amp;return_date=2026-04-27&amp;currency=EUR&amp;startStation=3&amp;endStation=114", "Clic para verlo en la web de RoadSurfer")</f>
        <v/>
      </c>
    </row>
    <row r="376">
      <c r="A376" t="inlineStr">
        <is>
          <t>Alemania</t>
        </is>
      </c>
      <c r="B376" t="inlineStr">
        <is>
          <t>Hamburgo</t>
        </is>
      </c>
      <c r="C376" t="inlineStr">
        <is>
          <t>Italia</t>
        </is>
      </c>
      <c r="D376" t="inlineStr">
        <is>
          <t>Bérgamo</t>
        </is>
      </c>
      <c r="E376" t="inlineStr">
        <is>
          <t>2026-04-10</t>
        </is>
      </c>
      <c r="F376" t="inlineStr">
        <is>
          <t>2026-04-17</t>
        </is>
      </c>
      <c r="G376" t="inlineStr">
        <is>
          <t xml:space="preserve"> - Family Finca</t>
        </is>
      </c>
      <c r="H376">
        <f>HYPERLINK("https://booking.roadsurfer.com/es/rally/pick?pickup_date=2026-04-10&amp;return_date=2026-04-17&amp;currency=EUR&amp;startStation=3&amp;endStation=94", "Clic para verlo en la web de RoadSurfer")</f>
        <v/>
      </c>
    </row>
    <row r="377">
      <c r="A377" t="inlineStr">
        <is>
          <t>Alemania</t>
        </is>
      </c>
      <c r="B377" t="inlineStr">
        <is>
          <t>Hamburgo</t>
        </is>
      </c>
      <c r="C377" t="inlineStr">
        <is>
          <t>Austria</t>
        </is>
      </c>
      <c r="D377" t="inlineStr">
        <is>
          <t>Graz</t>
        </is>
      </c>
      <c r="E377" t="inlineStr">
        <is>
          <t>2026-04-23</t>
        </is>
      </c>
      <c r="F377" t="inlineStr">
        <is>
          <t>2026-04-30</t>
        </is>
      </c>
      <c r="G377" t="inlineStr">
        <is>
          <t xml:space="preserve"> - CAMPER CASTLE</t>
        </is>
      </c>
      <c r="H377">
        <f>HYPERLINK("https://booking.roadsurfer.com/es/rally/pick?pickup_date=2026-04-23&amp;return_date=2026-04-30&amp;currency=EUR&amp;startStation=3&amp;endStation=37", "Clic para verlo en la web de RoadSurfer")</f>
        <v/>
      </c>
    </row>
    <row r="378">
      <c r="A378" t="inlineStr">
        <is>
          <t>Alemania</t>
        </is>
      </c>
      <c r="B378" t="inlineStr">
        <is>
          <t>Hannover</t>
        </is>
      </c>
      <c r="C378" t="inlineStr">
        <is>
          <t>Suecia</t>
        </is>
      </c>
      <c r="D378" t="inlineStr">
        <is>
          <t>Estocolmo</t>
        </is>
      </c>
      <c r="E378" t="inlineStr">
        <is>
          <t>2026-04-09</t>
        </is>
      </c>
      <c r="F378" t="inlineStr">
        <is>
          <t>2026-04-16</t>
        </is>
      </c>
      <c r="G378" t="inlineStr">
        <is>
          <t xml:space="preserve"> - Couple Cottage</t>
        </is>
      </c>
      <c r="H378">
        <f>HYPERLINK("https://booking.roadsurfer.com/es/rally/pick?pickup_date=2026-04-09&amp;return_date=2026-04-16&amp;currency=EUR&amp;startStation=7&amp;endStation=59", "Clic para verlo en la web de RoadSurfer")</f>
        <v/>
      </c>
    </row>
    <row r="379">
      <c r="A379" t="inlineStr">
        <is>
          <t>Alemania</t>
        </is>
      </c>
      <c r="B379" t="inlineStr">
        <is>
          <t>Hannover</t>
        </is>
      </c>
      <c r="C379" t="inlineStr">
        <is>
          <t>Suecia</t>
        </is>
      </c>
      <c r="D379" t="inlineStr">
        <is>
          <t>Estocolmo</t>
        </is>
      </c>
      <c r="E379" t="inlineStr">
        <is>
          <t>2026-04-13</t>
        </is>
      </c>
      <c r="F379" t="inlineStr">
        <is>
          <t>2026-04-20</t>
        </is>
      </c>
      <c r="G379" t="inlineStr">
        <is>
          <t xml:space="preserve"> - Surfer Suite</t>
        </is>
      </c>
      <c r="H379">
        <f>HYPERLINK("https://booking.roadsurfer.com/es/rally/pick?pickup_date=2026-04-13&amp;return_date=2026-04-20&amp;currency=EUR&amp;startStation=7&amp;endStation=59", "Clic para verlo en la web de RoadSurfer")</f>
        <v/>
      </c>
    </row>
    <row r="380">
      <c r="A380" t="inlineStr">
        <is>
          <t>Alemania</t>
        </is>
      </c>
      <c r="B380" t="inlineStr">
        <is>
          <t>Hannover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2026-04-20</t>
        </is>
      </c>
      <c r="F380" t="inlineStr">
        <is>
          <t>2026-04-27</t>
        </is>
      </c>
      <c r="G380" t="inlineStr">
        <is>
          <t xml:space="preserve"> - Beach Hostel</t>
        </is>
      </c>
      <c r="H380">
        <f>HYPERLINK("https://booking.roadsurfer.com/es/rally/pick?pickup_date=2026-04-20&amp;return_date=2026-04-27&amp;currency=EUR&amp;startStation=7&amp;endStation=114", "Clic para verlo en la web de RoadSurfer")</f>
        <v/>
      </c>
    </row>
    <row r="381">
      <c r="A381" t="inlineStr">
        <is>
          <t>Alemania</t>
        </is>
      </c>
      <c r="B381" t="inlineStr">
        <is>
          <t>Hannover</t>
        </is>
      </c>
      <c r="C381" t="inlineStr">
        <is>
          <t>Austria</t>
        </is>
      </c>
      <c r="D381" t="inlineStr">
        <is>
          <t>Viena Sur</t>
        </is>
      </c>
      <c r="E381" t="inlineStr">
        <is>
          <t>2026-05-21</t>
        </is>
      </c>
      <c r="F381" t="inlineStr">
        <is>
          <t>2026-05-28</t>
        </is>
      </c>
      <c r="G381" t="inlineStr">
        <is>
          <t xml:space="preserve"> - Camper Cabin Deluxe</t>
        </is>
      </c>
      <c r="H381">
        <f>HYPERLINK("https://booking.roadsurfer.com/es/rally/pick?pickup_date=2026-05-21&amp;return_date=2026-05-28&amp;currency=EUR&amp;startStation=7&amp;endStation=45", "Clic para verlo en la web de RoadSurfer")</f>
        <v/>
      </c>
    </row>
    <row r="382">
      <c r="A382" t="inlineStr">
        <is>
          <t>Alemania</t>
        </is>
      </c>
      <c r="B382" t="inlineStr">
        <is>
          <t>Hannover</t>
        </is>
      </c>
      <c r="C382" t="inlineStr">
        <is>
          <t>España</t>
        </is>
      </c>
      <c r="D382" t="inlineStr">
        <is>
          <t>Valencia</t>
        </is>
      </c>
      <c r="E382" t="inlineStr">
        <is>
          <t>2026-04-27</t>
        </is>
      </c>
      <c r="F382" t="inlineStr">
        <is>
          <t>2026-05-04</t>
        </is>
      </c>
      <c r="G382" t="inlineStr">
        <is>
          <t xml:space="preserve"> - Camper Castle</t>
        </is>
      </c>
      <c r="H382">
        <f>HYPERLINK("https://booking.roadsurfer.com/es/rally/pick?pickup_date=2026-04-27&amp;return_date=2026-05-04&amp;currency=EUR&amp;startStation=7&amp;endStation=38", "Clic para verlo en la web de RoadSurfer")</f>
        <v/>
      </c>
    </row>
    <row r="383">
      <c r="A383" t="inlineStr">
        <is>
          <t>Alemania</t>
        </is>
      </c>
      <c r="B383" t="inlineStr">
        <is>
          <t>Hannover</t>
        </is>
      </c>
      <c r="C383" t="inlineStr">
        <is>
          <t>Francia</t>
        </is>
      </c>
      <c r="D383" t="inlineStr">
        <is>
          <t>París Sur (Orly)</t>
        </is>
      </c>
      <c r="E383" t="inlineStr">
        <is>
          <t>2026-04-23</t>
        </is>
      </c>
      <c r="F383" t="inlineStr">
        <is>
          <t>2026-04-30</t>
        </is>
      </c>
      <c r="G383" t="inlineStr">
        <is>
          <t xml:space="preserve"> - Family Finca</t>
        </is>
      </c>
      <c r="H383">
        <f>HYPERLINK("https://booking.roadsurfer.com/es/rally/pick?pickup_date=2026-04-23&amp;return_date=2026-04-30&amp;currency=EUR&amp;startStation=7&amp;endStation=12", "Clic para verlo en la web de RoadSurfer")</f>
        <v/>
      </c>
    </row>
    <row r="384">
      <c r="A384" t="inlineStr">
        <is>
          <t>Alemania</t>
        </is>
      </c>
      <c r="B384" t="inlineStr">
        <is>
          <t>Hannover</t>
        </is>
      </c>
      <c r="C384" t="inlineStr">
        <is>
          <t>España</t>
        </is>
      </c>
      <c r="D384" t="inlineStr">
        <is>
          <t>Sevilla</t>
        </is>
      </c>
      <c r="E384" t="inlineStr">
        <is>
          <t>2026-04-13</t>
        </is>
      </c>
      <c r="F384" t="inlineStr">
        <is>
          <t>2026-04-20</t>
        </is>
      </c>
      <c r="G384" t="inlineStr">
        <is>
          <t xml:space="preserve"> - Couple Cottage</t>
        </is>
      </c>
      <c r="H384">
        <f>HYPERLINK("https://booking.roadsurfer.com/es/rally/pick?pickup_date=2026-04-13&amp;return_date=2026-04-20&amp;currency=EUR&amp;startStation=7&amp;endStation=39", "Clic para verlo en la web de RoadSurfer")</f>
        <v/>
      </c>
    </row>
    <row r="385">
      <c r="A385" t="inlineStr">
        <is>
          <t>Alemania</t>
        </is>
      </c>
      <c r="B385" t="inlineStr">
        <is>
          <t>Heidelberg</t>
        </is>
      </c>
      <c r="C385" t="inlineStr">
        <is>
          <t>Suecia</t>
        </is>
      </c>
      <c r="D385" t="inlineStr">
        <is>
          <t>Gotemburgo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Surfer Suite</t>
        </is>
      </c>
      <c r="H385">
        <f>HYPERLINK("https://booking.roadsurfer.com/es/rally/pick?pickup_date=2026-04-30&amp;return_date=2026-05-07&amp;currency=EUR&amp;startStation=79&amp;endStation=77", "Clic para verlo en la web de RoadSurfer")</f>
        <v/>
      </c>
    </row>
    <row r="386">
      <c r="A386" t="inlineStr">
        <is>
          <t>Alemania</t>
        </is>
      </c>
      <c r="B386" t="inlineStr">
        <is>
          <t>Heidelberg</t>
        </is>
      </c>
      <c r="C386" t="inlineStr">
        <is>
          <t>Austria</t>
        </is>
      </c>
      <c r="D386" t="inlineStr">
        <is>
          <t>Viena</t>
        </is>
      </c>
      <c r="E386" t="inlineStr">
        <is>
          <t>2026-04-08</t>
        </is>
      </c>
      <c r="F386" t="inlineStr">
        <is>
          <t>2026-04-15</t>
        </is>
      </c>
      <c r="G386" t="inlineStr">
        <is>
          <t xml:space="preserve"> - Camper Castle</t>
        </is>
      </c>
      <c r="H386">
        <f>HYPERLINK("https://booking.roadsurfer.com/es/rally/pick?pickup_date=2026-04-08&amp;return_date=2026-04-15&amp;currency=EUR&amp;startStation=79&amp;endStation=36", "Clic para verlo en la web de RoadSurfer")</f>
        <v/>
      </c>
    </row>
    <row r="387">
      <c r="A387" t="inlineStr">
        <is>
          <t>Austria</t>
        </is>
      </c>
      <c r="B387" t="inlineStr">
        <is>
          <t>Innsbruck-Wiesing</t>
        </is>
      </c>
      <c r="C387" t="inlineStr">
        <is>
          <t>Alemania</t>
        </is>
      </c>
      <c r="D387" t="inlineStr">
        <is>
          <t>Aquisgrán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Camper Cabin</t>
        </is>
      </c>
      <c r="H387">
        <f>HYPERLINK("https://booking.roadsurfer.com/es/rally/pick?pickup_date=2026-04-13&amp;return_date=2026-04-20&amp;currency=EUR&amp;startStation=46&amp;endStation=114", "Clic para verlo en la web de RoadSurfer")</f>
        <v/>
      </c>
    </row>
    <row r="388">
      <c r="A388" t="inlineStr">
        <is>
          <t>Alemania</t>
        </is>
      </c>
      <c r="B388" t="inlineStr">
        <is>
          <t>Karlsruhe</t>
        </is>
      </c>
      <c r="C388" t="inlineStr">
        <is>
          <t>Francia</t>
        </is>
      </c>
      <c r="D388" t="inlineStr">
        <is>
          <t>Nantes</t>
        </is>
      </c>
      <c r="E388" t="inlineStr">
        <is>
          <t>2026-04-18</t>
        </is>
      </c>
      <c r="F388" t="inlineStr">
        <is>
          <t>2026-04-25</t>
        </is>
      </c>
      <c r="G388" t="inlineStr">
        <is>
          <t xml:space="preserve"> - Camper Castle</t>
        </is>
      </c>
      <c r="H388">
        <f>HYPERLINK("https://booking.roadsurfer.com/es/rally/pick?pickup_date=2026-04-18&amp;return_date=2026-04-25&amp;currency=EUR&amp;startStation=110&amp;endStation=31", "Clic para verlo en la web de RoadSurfer")</f>
        <v/>
      </c>
    </row>
    <row r="389">
      <c r="A389" t="inlineStr">
        <is>
          <t>EE.UU.</t>
        </is>
      </c>
      <c r="B389" t="inlineStr">
        <is>
          <t>Las Vegas</t>
        </is>
      </c>
      <c r="C389" t="inlineStr">
        <is>
          <t>EE.UU.</t>
        </is>
      </c>
      <c r="D389" t="inlineStr">
        <is>
          <t>Seattle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Family Freedom</t>
        </is>
      </c>
      <c r="H389">
        <f>HYPERLINK("https://booking.roadsurfer.com/es/rally/pick?pickup_date=2026-04-13&amp;return_date=2026-04-20&amp;currency=EUR&amp;startStation=76&amp;endStation=107", "Clic para verlo en la web de RoadSurfer")</f>
        <v/>
      </c>
    </row>
    <row r="390">
      <c r="A390" t="inlineStr">
        <is>
          <t>EE.UU.</t>
        </is>
      </c>
      <c r="B390" t="inlineStr">
        <is>
          <t>Las Vegas</t>
        </is>
      </c>
      <c r="C390" t="inlineStr">
        <is>
          <t>EE.UU.</t>
        </is>
      </c>
      <c r="D390" t="inlineStr">
        <is>
          <t>Seattle</t>
        </is>
      </c>
      <c r="E390" t="inlineStr">
        <is>
          <t>2026-04-23</t>
        </is>
      </c>
      <c r="F390" t="inlineStr">
        <is>
          <t>2026-04-30</t>
        </is>
      </c>
      <c r="G390" t="inlineStr">
        <is>
          <t xml:space="preserve"> - Family Freedom</t>
        </is>
      </c>
      <c r="H390">
        <f>HYPERLINK("https://booking.roadsurfer.com/es/rally/pick?pickup_date=2026-04-23&amp;return_date=2026-04-30&amp;currency=EUR&amp;startStation=76&amp;endStation=107", "Clic para verlo en la web de RoadSurfer")</f>
        <v/>
      </c>
    </row>
    <row r="391">
      <c r="A391" t="inlineStr">
        <is>
          <t>EE.UU.</t>
        </is>
      </c>
      <c r="B391" t="inlineStr">
        <is>
          <t>Las Vegas</t>
        </is>
      </c>
      <c r="C391" t="inlineStr">
        <is>
          <t>EE.UU.</t>
        </is>
      </c>
      <c r="D391" t="inlineStr">
        <is>
          <t>Seattle</t>
        </is>
      </c>
      <c r="E391" t="inlineStr">
        <is>
          <t>2026-04-16</t>
        </is>
      </c>
      <c r="F391" t="inlineStr">
        <is>
          <t>2026-04-23</t>
        </is>
      </c>
      <c r="G391" t="inlineStr">
        <is>
          <t xml:space="preserve"> - Family Freedom</t>
        </is>
      </c>
      <c r="H391">
        <f>HYPERLINK("https://booking.roadsurfer.com/es/rally/pick?pickup_date=2026-04-16&amp;return_date=2026-04-23&amp;currency=EUR&amp;startStation=76&amp;endStation=107", "Clic para verlo en la web de RoadSurfer")</f>
        <v/>
      </c>
    </row>
    <row r="392">
      <c r="A392" t="inlineStr">
        <is>
          <t>EE.UU.</t>
        </is>
      </c>
      <c r="B392" t="inlineStr">
        <is>
          <t>Las Vegas</t>
        </is>
      </c>
      <c r="C392" t="inlineStr">
        <is>
          <t>EE.UU.</t>
        </is>
      </c>
      <c r="D392" t="inlineStr">
        <is>
          <t>Dallas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Couple Condo</t>
        </is>
      </c>
      <c r="H392">
        <f>HYPERLINK("https://booking.roadsurfer.com/es/rally/pick?pickup_date=2026-04-27&amp;return_date=2026-05-04&amp;currency=EUR&amp;startStation=76&amp;endStation=125", "Clic para verlo en la web de RoadSurfer")</f>
        <v/>
      </c>
    </row>
    <row r="393">
      <c r="A393" t="inlineStr">
        <is>
          <t>EE.UU.</t>
        </is>
      </c>
      <c r="B393" t="inlineStr">
        <is>
          <t>Las Vegas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2026-04-29</t>
        </is>
      </c>
      <c r="F393" t="inlineStr">
        <is>
          <t>2026-05-06</t>
        </is>
      </c>
      <c r="G393" t="inlineStr">
        <is>
          <t xml:space="preserve"> - No hay coche</t>
        </is>
      </c>
      <c r="H393">
        <f>HYPERLINK("https://booking.roadsurfer.com/es/rally/pick?pickup_date=2026-04-29&amp;return_date=2026-05-06&amp;currency=EUR&amp;startStation=76&amp;endStation=104",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Graz</t>
        </is>
      </c>
      <c r="E394" t="inlineStr">
        <is>
          <t>2026-05-07</t>
        </is>
      </c>
      <c r="F394" t="inlineStr">
        <is>
          <t>2026-05-14</t>
        </is>
      </c>
      <c r="G394" t="inlineStr">
        <is>
          <t xml:space="preserve"> - No hay coche</t>
        </is>
      </c>
      <c r="H394">
        <f>HYPERLINK("https://booking.roadsurfer.com/es/rally/pick?pickup_date=2026-05-07&amp;return_date=2026-05-14&amp;currency=EUR&amp;startStation=8&amp;endStation=37",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Alemania</t>
        </is>
      </c>
      <c r="D395" t="inlineStr">
        <is>
          <t>Wurzburgo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Beach Hostel</t>
        </is>
      </c>
      <c r="H395">
        <f>HYPERLINK("https://booking.roadsurfer.com/es/rally/pick?pickup_date=2026-04-13&amp;return_date=2026-04-20&amp;currency=EUR&amp;startStation=8&amp;endStation=115",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Viena Sur</t>
        </is>
      </c>
      <c r="E396" t="inlineStr">
        <is>
          <t>2026-04-10</t>
        </is>
      </c>
      <c r="F396" t="inlineStr">
        <is>
          <t>2026-04-11</t>
        </is>
      </c>
      <c r="G396" t="inlineStr">
        <is>
          <t xml:space="preserve"> - Road House</t>
        </is>
      </c>
      <c r="H396">
        <f>HYPERLINK("https://booking.roadsurfer.com/es/rally/pick?pickup_date=2026-04-10&amp;return_date=2026-04-11&amp;currency=EUR&amp;startStation=8&amp;endStation=45",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Países Bajos</t>
        </is>
      </c>
      <c r="D397" t="inlineStr">
        <is>
          <t>Ámsterdam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No hay coche</t>
        </is>
      </c>
      <c r="H397">
        <f>HYPERLINK("https://booking.roadsurfer.com/es/rally/pick?pickup_date=2026-04-13&amp;return_date=2026-04-20&amp;currency=EUR&amp;startStation=8&amp;endStation=32",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Austria</t>
        </is>
      </c>
      <c r="D398" t="inlineStr">
        <is>
          <t>Linz</t>
        </is>
      </c>
      <c r="E398" t="inlineStr">
        <is>
          <t>2026-04-20</t>
        </is>
      </c>
      <c r="F398" t="inlineStr">
        <is>
          <t>2026-04-27</t>
        </is>
      </c>
      <c r="G398" t="inlineStr">
        <is>
          <t xml:space="preserve"> - Camper Castle</t>
        </is>
      </c>
      <c r="H398">
        <f>HYPERLINK("https://booking.roadsurfer.com/es/rally/pick?pickup_date=2026-04-20&amp;return_date=2026-04-27&amp;currency=EUR&amp;startStation=8&amp;endStation=116",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Suecia</t>
        </is>
      </c>
      <c r="D399" t="inlineStr">
        <is>
          <t>Gotemburgo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Family Finca</t>
        </is>
      </c>
      <c r="H399">
        <f>HYPERLINK("https://booking.roadsurfer.com/es/rally/pick?pickup_date=2026-05-13&amp;return_date=2026-05-20&amp;currency=EUR&amp;startStation=8&amp;endStation=77",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Países Bajos</t>
        </is>
      </c>
      <c r="D400" t="inlineStr">
        <is>
          <t>Róterdam</t>
        </is>
      </c>
      <c r="E400" t="inlineStr">
        <is>
          <t>2026-04-21</t>
        </is>
      </c>
      <c r="F400" t="inlineStr">
        <is>
          <t>2026-04-28</t>
        </is>
      </c>
      <c r="G400" t="inlineStr">
        <is>
          <t xml:space="preserve"> - Couple Cottage</t>
        </is>
      </c>
      <c r="H400">
        <f>HYPERLINK("https://booking.roadsurfer.com/es/rally/pick?pickup_date=2026-04-21&amp;return_date=2026-04-28&amp;currency=EUR&amp;startStation=8&amp;endStation=33",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Austria</t>
        </is>
      </c>
      <c r="D401" t="inlineStr">
        <is>
          <t>Viena</t>
        </is>
      </c>
      <c r="E401" t="inlineStr">
        <is>
          <t>2026-04-20</t>
        </is>
      </c>
      <c r="F401" t="inlineStr">
        <is>
          <t>2026-04-27</t>
        </is>
      </c>
      <c r="G401" t="inlineStr">
        <is>
          <t xml:space="preserve"> - Couple Cottage</t>
        </is>
      </c>
      <c r="H401">
        <f>HYPERLINK("https://booking.roadsurfer.com/es/rally/pick?pickup_date=2026-04-20&amp;return_date=2026-04-27&amp;currency=EUR&amp;startStation=8&amp;endStation=36",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2026-04-11</t>
        </is>
      </c>
      <c r="F402" t="inlineStr">
        <is>
          <t>2026-04-18</t>
        </is>
      </c>
      <c r="G402" t="inlineStr">
        <is>
          <t xml:space="preserve"> - Cozy Cottage</t>
        </is>
      </c>
      <c r="H402">
        <f>HYPERLINK("https://booking.roadsurfer.com/es/rally/pick?pickup_date=2026-04-11&amp;return_date=2026-04-18&amp;currency=EUR&amp;startStation=8&amp;endStation=59",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Italia</t>
        </is>
      </c>
      <c r="D403" t="inlineStr">
        <is>
          <t>Milán</t>
        </is>
      </c>
      <c r="E403" t="inlineStr">
        <is>
          <t>2026-05-12</t>
        </is>
      </c>
      <c r="F403" t="inlineStr">
        <is>
          <t>2026-05-19</t>
        </is>
      </c>
      <c r="G403" t="inlineStr">
        <is>
          <t xml:space="preserve"> - Sunrise Suite</t>
        </is>
      </c>
      <c r="H403">
        <f>HYPERLINK("https://booking.roadsurfer.com/es/rally/pick?pickup_date=2026-05-12&amp;return_date=2026-05-19&amp;currency=EUR&amp;startStation=8&amp;endStation=34",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Francia</t>
        </is>
      </c>
      <c r="D404" t="inlineStr">
        <is>
          <t>Burdeos</t>
        </is>
      </c>
      <c r="E404" t="inlineStr">
        <is>
          <t>2026-04-09</t>
        </is>
      </c>
      <c r="F404" t="inlineStr">
        <is>
          <t>2026-04-16</t>
        </is>
      </c>
      <c r="G404" t="inlineStr">
        <is>
          <t xml:space="preserve"> - Road House</t>
        </is>
      </c>
      <c r="H404">
        <f>HYPERLINK("https://booking.roadsurfer.com/es/rally/pick?pickup_date=2026-04-09&amp;return_date=2026-04-16&amp;currency=EUR&amp;startStation=117&amp;endStation=13",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España</t>
        </is>
      </c>
      <c r="D405" t="inlineStr">
        <is>
          <t>Madrid</t>
        </is>
      </c>
      <c r="E405" t="inlineStr">
        <is>
          <t>2026-04-21</t>
        </is>
      </c>
      <c r="F405" t="inlineStr">
        <is>
          <t>2026-04-28</t>
        </is>
      </c>
      <c r="G405" t="inlineStr">
        <is>
          <t xml:space="preserve"> - Family Finca</t>
        </is>
      </c>
      <c r="H405">
        <f>HYPERLINK("https://booking.roadsurfer.com/es/rally/pick?pickup_date=2026-04-21&amp;return_date=2026-04-28&amp;currency=EUR&amp;startStation=117&amp;endStation=20",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Alemania</t>
        </is>
      </c>
      <c r="D406" t="inlineStr">
        <is>
          <t>Berlín</t>
        </is>
      </c>
      <c r="E406" t="inlineStr">
        <is>
          <t>2026-04-30</t>
        </is>
      </c>
      <c r="F406" t="inlineStr">
        <is>
          <t>2026-05-07</t>
        </is>
      </c>
      <c r="G406" t="inlineStr">
        <is>
          <t xml:space="preserve"> - Beach Hostel</t>
        </is>
      </c>
      <c r="H406">
        <f>HYPERLINK("https://booking.roadsurfer.com/es/rally/pick?pickup_date=2026-04-30&amp;return_date=2026-05-07&amp;currency=EUR&amp;startStation=117&amp;endStation=6",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Alemania</t>
        </is>
      </c>
      <c r="D407" t="inlineStr">
        <is>
          <t>Bochum</t>
        </is>
      </c>
      <c r="E407" t="inlineStr">
        <is>
          <t>2026-04-27</t>
        </is>
      </c>
      <c r="F407" t="inlineStr">
        <is>
          <t>2026-05-04</t>
        </is>
      </c>
      <c r="G407" t="inlineStr">
        <is>
          <t xml:space="preserve"> - Beach Hostel</t>
        </is>
      </c>
      <c r="H407">
        <f>HYPERLINK("https://booking.roadsurfer.com/es/rally/pick?pickup_date=2026-04-27&amp;return_date=2026-05-04&amp;currency=EUR&amp;startStation=117&amp;endStation=24", "Clic para verlo en la web de RoadSurfer")</f>
        <v/>
      </c>
    </row>
    <row r="408">
      <c r="A408" t="inlineStr">
        <is>
          <t>Alemania</t>
        </is>
      </c>
      <c r="B408" t="inlineStr">
        <is>
          <t>Lübeck</t>
        </is>
      </c>
      <c r="C408" t="inlineStr">
        <is>
          <t>Suecia</t>
        </is>
      </c>
      <c r="D408" t="inlineStr">
        <is>
          <t>Gotemburgo</t>
        </is>
      </c>
      <c r="E408" t="inlineStr">
        <is>
          <t>2026-04-27</t>
        </is>
      </c>
      <c r="F408" t="inlineStr">
        <is>
          <t>2026-05-04</t>
        </is>
      </c>
      <c r="G408" t="inlineStr">
        <is>
          <t xml:space="preserve"> - No hay coche</t>
        </is>
      </c>
      <c r="H408">
        <f>HYPERLINK("https://booking.roadsurfer.com/es/rally/pick?pickup_date=2026-04-27&amp;return_date=2026-05-04&amp;currency=EUR&amp;startStation=109&amp;endStation=77", "Clic para verlo en la web de RoadSurfer")</f>
        <v/>
      </c>
    </row>
    <row r="409">
      <c r="A409" t="inlineStr">
        <is>
          <t>Alemania</t>
        </is>
      </c>
      <c r="B409" t="inlineStr">
        <is>
          <t>Lübeck</t>
        </is>
      </c>
      <c r="C409" t="inlineStr">
        <is>
          <t>España</t>
        </is>
      </c>
      <c r="D409" t="inlineStr">
        <is>
          <t>Bilbao</t>
        </is>
      </c>
      <c r="E409" t="inlineStr">
        <is>
          <t>2026-04-27</t>
        </is>
      </c>
      <c r="F409" t="inlineStr">
        <is>
          <t>2026-05-04</t>
        </is>
      </c>
      <c r="G409" t="inlineStr">
        <is>
          <t xml:space="preserve"> - Surfer Suite</t>
        </is>
      </c>
      <c r="H409">
        <f>HYPERLINK("https://booking.roadsurfer.com/es/rally/pick?pickup_date=2026-04-27&amp;return_date=2026-05-04&amp;currency=EUR&amp;startStation=109&amp;endStation=40", "Clic para verlo en la web de RoadSurfer")</f>
        <v/>
      </c>
    </row>
    <row r="410">
      <c r="A410" t="inlineStr">
        <is>
          <t>Alemania</t>
        </is>
      </c>
      <c r="B410" t="inlineStr">
        <is>
          <t>Lübeck</t>
        </is>
      </c>
      <c r="C410" t="inlineStr">
        <is>
          <t>Italia</t>
        </is>
      </c>
      <c r="D410" t="inlineStr">
        <is>
          <t>Milán</t>
        </is>
      </c>
      <c r="E410" t="inlineStr">
        <is>
          <t>2026-04-27</t>
        </is>
      </c>
      <c r="F410" t="inlineStr">
        <is>
          <t>2026-05-04</t>
        </is>
      </c>
      <c r="G410" t="inlineStr">
        <is>
          <t xml:space="preserve"> - Surfer Suite</t>
        </is>
      </c>
      <c r="H410">
        <f>HYPERLINK("https://booking.roadsurfer.com/es/rally/pick?pickup_date=2026-04-27&amp;return_date=2026-05-04&amp;currency=EUR&amp;startStation=109&amp;endStation=34", "Clic para verlo en la web de RoadSurfer")</f>
        <v/>
      </c>
    </row>
    <row r="411">
      <c r="A411" t="inlineStr">
        <is>
          <t>Alemania</t>
        </is>
      </c>
      <c r="B411" t="inlineStr">
        <is>
          <t>Lübeck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2026-04-09</t>
        </is>
      </c>
      <c r="F411" t="inlineStr">
        <is>
          <t>2026-04-16</t>
        </is>
      </c>
      <c r="G411" t="inlineStr">
        <is>
          <t xml:space="preserve"> - Road House</t>
        </is>
      </c>
      <c r="H411">
        <f>HYPERLINK("https://booking.roadsurfer.com/es/rally/pick?pickup_date=2026-04-09&amp;return_date=2026-04-16&amp;currency=EUR&amp;startStation=109&amp;endStation=29",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Road House</t>
        </is>
      </c>
      <c r="H412">
        <f>HYPERLINK("https://booking.roadsurfer.com/es/rally/pick?pickup_date=2026-05-11&amp;return_date=2026-05-18&amp;currency=EUR&amp;startStation=15&amp;endStation=22",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2026-05-20</t>
        </is>
      </c>
      <c r="F413" t="inlineStr">
        <is>
          <t>2026-05-27</t>
        </is>
      </c>
      <c r="G413" t="inlineStr">
        <is>
          <t xml:space="preserve"> - Surfer Suite</t>
        </is>
      </c>
      <c r="H413">
        <f>HYPERLINK("https://booking.roadsurfer.com/es/rally/pick?pickup_date=2026-05-20&amp;return_date=2026-05-27&amp;currency=EUR&amp;startStation=15&amp;endStation=22",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2026-05-23</t>
        </is>
      </c>
      <c r="F414" t="inlineStr">
        <is>
          <t>2026-05-30</t>
        </is>
      </c>
      <c r="G414" t="inlineStr">
        <is>
          <t xml:space="preserve"> - No hay coche</t>
        </is>
      </c>
      <c r="H414">
        <f>HYPERLINK("https://booking.roadsurfer.com/es/rally/pick?pickup_date=2026-05-23&amp;return_date=2026-05-30&amp;currency=EUR&amp;startStation=15&amp;endStation=22",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Camper Cabin</t>
        </is>
      </c>
      <c r="H415">
        <f>HYPERLINK("https://booking.roadsurfer.com/es/rally/pick?pickup_date=2026-05-04&amp;return_date=2026-05-11&amp;currency=EUR&amp;startStation=15&amp;endStation=90",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2026-05-11</t>
        </is>
      </c>
      <c r="F416" t="inlineStr">
        <is>
          <t>2026-05-18</t>
        </is>
      </c>
      <c r="G416" t="inlineStr">
        <is>
          <t xml:space="preserve"> - Beach Hostel - Road House</t>
        </is>
      </c>
      <c r="H416">
        <f>HYPERLINK("https://booking.roadsurfer.com/es/rally/pick?pickup_date=2026-05-11&amp;return_date=2026-05-18&amp;currency=EUR&amp;startStation=15&amp;endStation=90",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2026-05-06</t>
        </is>
      </c>
      <c r="F417" t="inlineStr">
        <is>
          <t>2026-05-13</t>
        </is>
      </c>
      <c r="G417" t="inlineStr">
        <is>
          <t xml:space="preserve"> - Road House - Couple Cottage</t>
        </is>
      </c>
      <c r="H417">
        <f>HYPERLINK("https://booking.roadsurfer.com/es/rally/pick?pickup_date=2026-05-06&amp;return_date=2026-05-13&amp;currency=EUR&amp;startStation=15&amp;endStation=90",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2026-05-19</t>
        </is>
      </c>
      <c r="F418" t="inlineStr">
        <is>
          <t>2026-05-26</t>
        </is>
      </c>
      <c r="G418" t="inlineStr">
        <is>
          <t xml:space="preserve"> - Couple Cottage</t>
        </is>
      </c>
      <c r="H418">
        <f>HYPERLINK("https://booking.roadsurfer.com/es/rally/pick?pickup_date=2026-05-19&amp;return_date=2026-05-26&amp;currency=EUR&amp;startStation=15&amp;endStation=90",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2026-05-07</t>
        </is>
      </c>
      <c r="F419" t="inlineStr">
        <is>
          <t>2026-05-14</t>
        </is>
      </c>
      <c r="G419" t="inlineStr">
        <is>
          <t xml:space="preserve"> - No hay coche</t>
        </is>
      </c>
      <c r="H419">
        <f>HYPERLINK("https://booking.roadsurfer.com/es/rally/pick?pickup_date=2026-05-07&amp;return_date=2026-05-14&amp;currency=EUR&amp;startStation=15&amp;endStation=90",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Leipzig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Road House</t>
        </is>
      </c>
      <c r="H420">
        <f>HYPERLINK("https://booking.roadsurfer.com/es/rally/pick?pickup_date=2026-05-04&amp;return_date=2026-05-11&amp;currency=EUR&amp;startStation=15&amp;endStation=8",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Surfer Suite</t>
        </is>
      </c>
      <c r="H421">
        <f>HYPERLINK("https://booking.roadsurfer.com/es/rally/pick?pickup_date=2026-05-11&amp;return_date=2026-05-18&amp;currency=EUR&amp;startStation=15&amp;endStation=8",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SURFER SUITE</t>
        </is>
      </c>
      <c r="H422">
        <f>HYPERLINK("https://booking.roadsurfer.com/es/rally/pick?pickup_date=2026-05-11&amp;return_date=2026-05-18&amp;currency=EUR&amp;startStation=15&amp;endStation=56",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2026-05-16</t>
        </is>
      </c>
      <c r="F423" t="inlineStr">
        <is>
          <t>2026-05-23</t>
        </is>
      </c>
      <c r="G423" t="inlineStr">
        <is>
          <t xml:space="preserve"> - Road House</t>
        </is>
      </c>
      <c r="H423">
        <f>HYPERLINK("https://booking.roadsurfer.com/es/rally/pick?pickup_date=2026-05-16&amp;return_date=2026-05-23&amp;currency=EUR&amp;startStation=15&amp;endStation=56",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2026-05-08</t>
        </is>
      </c>
      <c r="F424" t="inlineStr">
        <is>
          <t>2026-05-15</t>
        </is>
      </c>
      <c r="G424" t="inlineStr">
        <is>
          <t xml:space="preserve"> - No hay coche</t>
        </is>
      </c>
      <c r="H424">
        <f>HYPERLINK("https://booking.roadsurfer.com/es/rally/pick?pickup_date=2026-05-08&amp;return_date=2026-05-15&amp;currency=EUR&amp;startStation=15&amp;endStation=4",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Camper Cabin</t>
        </is>
      </c>
      <c r="H425">
        <f>HYPERLINK("https://booking.roadsurfer.com/es/rally/pick?pickup_date=2026-05-11&amp;return_date=2026-05-18&amp;currency=EUR&amp;startStation=15&amp;endStation=4",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Colonia-Düsseldorf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Camper Cabin</t>
        </is>
      </c>
      <c r="H426">
        <f>HYPERLINK("https://booking.roadsurfer.com/es/rally/pick?pickup_date=2026-05-15&amp;return_date=2026-05-22&amp;currency=EUR&amp;startStation=15&amp;endStation=4",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Berlín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Road House</t>
        </is>
      </c>
      <c r="H427">
        <f>HYPERLINK("https://booking.roadsurfer.com/es/rally/pick?pickup_date=2026-05-04&amp;return_date=2026-05-11&amp;currency=EUR&amp;startStation=15&amp;endStation=6",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Berlín</t>
        </is>
      </c>
      <c r="E428" t="inlineStr">
        <is>
          <t>2026-05-06</t>
        </is>
      </c>
      <c r="F428" t="inlineStr">
        <is>
          <t>2026-05-13</t>
        </is>
      </c>
      <c r="G428" t="inlineStr">
        <is>
          <t xml:space="preserve"> - Road House</t>
        </is>
      </c>
      <c r="H428">
        <f>HYPERLINK("https://booking.roadsurfer.com/es/rally/pick?pickup_date=2026-05-06&amp;return_date=2026-05-13&amp;currency=EUR&amp;startStation=15&amp;endStation=6",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Berlín</t>
        </is>
      </c>
      <c r="E429" t="inlineStr">
        <is>
          <t>2026-04-18</t>
        </is>
      </c>
      <c r="F429" t="inlineStr">
        <is>
          <t>2026-04-25</t>
        </is>
      </c>
      <c r="G429" t="inlineStr">
        <is>
          <t xml:space="preserve"> - Camper Cabin</t>
        </is>
      </c>
      <c r="H429">
        <f>HYPERLINK("https://booking.roadsurfer.com/es/rally/pick?pickup_date=2026-04-18&amp;return_date=2026-04-25&amp;currency=EUR&amp;startStation=15&amp;endStation=6",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Múnich</t>
        </is>
      </c>
      <c r="E430" t="inlineStr">
        <is>
          <t>2026-05-07</t>
        </is>
      </c>
      <c r="F430" t="inlineStr">
        <is>
          <t>2026-05-14</t>
        </is>
      </c>
      <c r="G430" t="inlineStr">
        <is>
          <t xml:space="preserve"> - No hay coche</t>
        </is>
      </c>
      <c r="H430">
        <f>HYPERLINK("https://booking.roadsurfer.com/es/rally/pick?pickup_date=2026-05-07&amp;return_date=2026-05-14&amp;currency=EUR&amp;startStation=15&amp;endStation=1",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2026-05-21</t>
        </is>
      </c>
      <c r="F431" t="inlineStr">
        <is>
          <t>2026-05-28</t>
        </is>
      </c>
      <c r="G431" t="inlineStr">
        <is>
          <t xml:space="preserve"> - Camper Cabin</t>
        </is>
      </c>
      <c r="H431">
        <f>HYPERLINK("https://booking.roadsurfer.com/es/rally/pick?pickup_date=2026-05-21&amp;return_date=2026-05-28&amp;currency=EUR&amp;startStation=15&amp;endStation=1",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Múnich</t>
        </is>
      </c>
      <c r="E432" t="inlineStr">
        <is>
          <t>2026-05-14</t>
        </is>
      </c>
      <c r="F432" t="inlineStr">
        <is>
          <t>2026-05-21</t>
        </is>
      </c>
      <c r="G432" t="inlineStr">
        <is>
          <t xml:space="preserve"> - No hay coche</t>
        </is>
      </c>
      <c r="H432">
        <f>HYPERLINK("https://booking.roadsurfer.com/es/rally/pick?pickup_date=2026-05-14&amp;return_date=2026-05-21&amp;currency=EUR&amp;startStation=15&amp;endStation=1",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Múnich</t>
        </is>
      </c>
      <c r="E433" t="inlineStr">
        <is>
          <t>2026-05-20</t>
        </is>
      </c>
      <c r="F433" t="inlineStr">
        <is>
          <t>2026-05-27</t>
        </is>
      </c>
      <c r="G433" t="inlineStr">
        <is>
          <t xml:space="preserve"> - Camper Cabin Deluxe</t>
        </is>
      </c>
      <c r="H433">
        <f>HYPERLINK("https://booking.roadsurfer.com/es/rally/pick?pickup_date=2026-05-20&amp;return_date=2026-05-27&amp;currency=EUR&amp;startStation=15&amp;endStation=1",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Múnich</t>
        </is>
      </c>
      <c r="E434" t="inlineStr">
        <is>
          <t>2026-04-21</t>
        </is>
      </c>
      <c r="F434" t="inlineStr">
        <is>
          <t>2026-04-28</t>
        </is>
      </c>
      <c r="G434" t="inlineStr">
        <is>
          <t xml:space="preserve"> - Camper Cabin</t>
        </is>
      </c>
      <c r="H434">
        <f>HYPERLINK("https://booking.roadsurfer.com/es/rally/pick?pickup_date=2026-04-21&amp;return_date=2026-04-28&amp;currency=EUR&amp;startStation=15&amp;endStation=1",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Francia</t>
        </is>
      </c>
      <c r="D435" t="inlineStr">
        <is>
          <t>París Aeropuerto CDG</t>
        </is>
      </c>
      <c r="E435" t="inlineStr">
        <is>
          <t>2026-04-30</t>
        </is>
      </c>
      <c r="F435" t="inlineStr">
        <is>
          <t>2026-05-07</t>
        </is>
      </c>
      <c r="G435" t="inlineStr">
        <is>
          <t xml:space="preserve"> - Camper Castle</t>
        </is>
      </c>
      <c r="H435">
        <f>HYPERLINK("https://booking.roadsurfer.com/es/rally/pick?pickup_date=2026-04-30&amp;return_date=2026-05-07&amp;currency=EUR&amp;startStation=15&amp;endStation=48",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Bremen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Family Finca</t>
        </is>
      </c>
      <c r="H436">
        <f>HYPERLINK("https://booking.roadsurfer.com/es/rally/pick?pickup_date=2026-05-04&amp;return_date=2026-05-11&amp;currency=EUR&amp;startStation=15&amp;endStation=55",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Francia</t>
        </is>
      </c>
      <c r="D437" t="inlineStr">
        <is>
          <t>Ginebra-Pays de Gex (Francia)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Cozy Cottage</t>
        </is>
      </c>
      <c r="H437">
        <f>HYPERLINK("https://booking.roadsurfer.com/es/rally/pick?pickup_date=2026-04-27&amp;return_date=2026-05-04&amp;currency=EUR&amp;startStation=15&amp;endStation=29",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Road House - Sunrise Suite</t>
        </is>
      </c>
      <c r="H438">
        <f>HYPERLINK("https://booking.roadsurfer.com/es/rally/pick?pickup_date=2026-05-11&amp;return_date=2026-05-18&amp;currency=EUR&amp;startStation=20&amp;endStation=11",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Núremberg</t>
        </is>
      </c>
      <c r="E439" t="inlineStr">
        <is>
          <t>2026-05-14</t>
        </is>
      </c>
      <c r="F439" t="inlineStr">
        <is>
          <t>2026-05-21</t>
        </is>
      </c>
      <c r="G439" t="inlineStr">
        <is>
          <t xml:space="preserve"> - Surfer Suite</t>
        </is>
      </c>
      <c r="H439">
        <f>HYPERLINK("https://booking.roadsurfer.com/es/rally/pick?pickup_date=2026-05-14&amp;return_date=2026-05-21&amp;currency=EUR&amp;startStation=20&amp;endStation=11",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Núremberg</t>
        </is>
      </c>
      <c r="E440" t="inlineStr">
        <is>
          <t>2026-05-25</t>
        </is>
      </c>
      <c r="F440" t="inlineStr">
        <is>
          <t>2026-06-01</t>
        </is>
      </c>
      <c r="G440" t="inlineStr">
        <is>
          <t xml:space="preserve"> - Couple Cottage</t>
        </is>
      </c>
      <c r="H440">
        <f>HYPERLINK("https://booking.roadsurfer.com/es/rally/pick?pickup_date=2026-05-25&amp;return_date=2026-06-01&amp;currency=EUR&amp;startStation=20&amp;endStation=11",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Núremberg</t>
        </is>
      </c>
      <c r="E441" t="inlineStr">
        <is>
          <t>2026-05-22</t>
        </is>
      </c>
      <c r="F441" t="inlineStr">
        <is>
          <t>2026-05-29</t>
        </is>
      </c>
      <c r="G441" t="inlineStr">
        <is>
          <t xml:space="preserve"> - Road House</t>
        </is>
      </c>
      <c r="H441">
        <f>HYPERLINK("https://booking.roadsurfer.com/es/rally/pick?pickup_date=2026-05-22&amp;return_date=2026-05-29&amp;currency=EUR&amp;startStation=20&amp;endStation=11",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Stuttgart</t>
        </is>
      </c>
      <c r="E442" t="inlineStr">
        <is>
          <t>2026-05-04</t>
        </is>
      </c>
      <c r="F442" t="inlineStr">
        <is>
          <t>2026-05-11</t>
        </is>
      </c>
      <c r="G442" t="inlineStr">
        <is>
          <t xml:space="preserve"> - Family Finca</t>
        </is>
      </c>
      <c r="H442">
        <f>HYPERLINK("https://booking.roadsurfer.com/es/rally/pick?pickup_date=2026-05-04&amp;return_date=2026-05-11&amp;currency=EUR&amp;startStation=20&amp;endStation=5",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Stuttgart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Camper Cabin</t>
        </is>
      </c>
      <c r="H443">
        <f>HYPERLINK("https://booking.roadsurfer.com/es/rally/pick?pickup_date=2026-05-06&amp;return_date=2026-05-13&amp;currency=EUR&amp;startStation=20&amp;endStation=5",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Stuttgart</t>
        </is>
      </c>
      <c r="E444" t="inlineStr">
        <is>
          <t>2026-05-08</t>
        </is>
      </c>
      <c r="F444" t="inlineStr">
        <is>
          <t>2026-05-15</t>
        </is>
      </c>
      <c r="G444" t="inlineStr">
        <is>
          <t xml:space="preserve"> - Surfer Suite</t>
        </is>
      </c>
      <c r="H444">
        <f>HYPERLINK("https://booking.roadsurfer.com/es/rally/pick?pickup_date=2026-05-08&amp;return_date=2026-05-15&amp;currency=EUR&amp;startStation=20&amp;endStation=5",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Stuttgart</t>
        </is>
      </c>
      <c r="E445" t="inlineStr">
        <is>
          <t>2026-05-22</t>
        </is>
      </c>
      <c r="F445" t="inlineStr">
        <is>
          <t>2026-05-29</t>
        </is>
      </c>
      <c r="G445" t="inlineStr">
        <is>
          <t xml:space="preserve"> - Road House</t>
        </is>
      </c>
      <c r="H445">
        <f>HYPERLINK("https://booking.roadsurfer.com/es/rally/pick?pickup_date=2026-05-22&amp;return_date=2026-05-29&amp;currency=EUR&amp;startStation=20&amp;endStation=5",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Friburgo-Basilea (Alemania)</t>
        </is>
      </c>
      <c r="E446" t="inlineStr">
        <is>
          <t>2026-04-15</t>
        </is>
      </c>
      <c r="F446" t="inlineStr">
        <is>
          <t>2026-04-22</t>
        </is>
      </c>
      <c r="G446" t="inlineStr">
        <is>
          <t xml:space="preserve"> - Surfer Suite - Couple Cottage</t>
        </is>
      </c>
      <c r="H446">
        <f>HYPERLINK("https://booking.roadsurfer.com/es/rally/pick?pickup_date=2026-04-15&amp;return_date=2026-04-22&amp;currency=EUR&amp;startStation=20&amp;endStation=9",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Couple Cottage</t>
        </is>
      </c>
      <c r="H447">
        <f>HYPERLINK("https://booking.roadsurfer.com/es/rally/pick?pickup_date=2026-05-04&amp;return_date=2026-05-11&amp;currency=EUR&amp;startStation=20&amp;endStation=54",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Maguncia</t>
        </is>
      </c>
      <c r="E448" t="inlineStr">
        <is>
          <t>2026-04-13</t>
        </is>
      </c>
      <c r="F448" t="inlineStr">
        <is>
          <t>2026-04-20</t>
        </is>
      </c>
      <c r="G448" t="inlineStr">
        <is>
          <t xml:space="preserve"> - Sunrise Suite</t>
        </is>
      </c>
      <c r="H448">
        <f>HYPERLINK("https://booking.roadsurfer.com/es/rally/pick?pickup_date=2026-04-13&amp;return_date=2026-04-20&amp;currency=EUR&amp;startStation=20&amp;endStation=54",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Maguncia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Camper Castle</t>
        </is>
      </c>
      <c r="H449">
        <f>HYPERLINK("https://booking.roadsurfer.com/es/rally/pick?pickup_date=2026-05-11&amp;return_date=2026-05-18&amp;currency=EUR&amp;startStation=20&amp;endStation=54",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Maguncia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Family Finca</t>
        </is>
      </c>
      <c r="H450">
        <f>HYPERLINK("https://booking.roadsurfer.com/es/rally/pick?pickup_date=2026-05-13&amp;return_date=2026-05-20&amp;currency=EUR&amp;startStation=20&amp;endStation=54",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Maguncia</t>
        </is>
      </c>
      <c r="E451" t="inlineStr">
        <is>
          <t>2026-05-15</t>
        </is>
      </c>
      <c r="F451" t="inlineStr">
        <is>
          <t>2026-05-22</t>
        </is>
      </c>
      <c r="G451" t="inlineStr">
        <is>
          <t xml:space="preserve"> - No hay coche</t>
        </is>
      </c>
      <c r="H451">
        <f>HYPERLINK("https://booking.roadsurfer.com/es/rally/pick?pickup_date=2026-05-15&amp;return_date=2026-05-22&amp;currency=EUR&amp;startStation=20&amp;endStation=54",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Heidelberg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Road House</t>
        </is>
      </c>
      <c r="H452">
        <f>HYPERLINK("https://booking.roadsurfer.com/es/rally/pick?pickup_date=2026-05-11&amp;return_date=2026-05-18&amp;currency=EUR&amp;startStation=20&amp;endStation=79",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Karlsruhe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No hay coche</t>
        </is>
      </c>
      <c r="H453">
        <f>HYPERLINK("https://booking.roadsurfer.com/es/rally/pick?pickup_date=2026-05-04&amp;return_date=2026-05-11&amp;currency=EUR&amp;startStation=20&amp;endStation=110",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Karlsruhe</t>
        </is>
      </c>
      <c r="E454" t="inlineStr">
        <is>
          <t>2026-05-13</t>
        </is>
      </c>
      <c r="F454" t="inlineStr">
        <is>
          <t>2026-05-20</t>
        </is>
      </c>
      <c r="G454" t="inlineStr">
        <is>
          <t xml:space="preserve"> - Sunrise Suite</t>
        </is>
      </c>
      <c r="H454">
        <f>HYPERLINK("https://booking.roadsurfer.com/es/rally/pick?pickup_date=2026-05-13&amp;return_date=2026-05-20&amp;currency=EUR&amp;startStation=20&amp;endStation=110",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Karlsruhe</t>
        </is>
      </c>
      <c r="E455" t="inlineStr">
        <is>
          <t>2026-05-15</t>
        </is>
      </c>
      <c r="F455" t="inlineStr">
        <is>
          <t>2026-05-22</t>
        </is>
      </c>
      <c r="G455" t="inlineStr">
        <is>
          <t xml:space="preserve"> - No hay coche</t>
        </is>
      </c>
      <c r="H455">
        <f>HYPERLINK("https://booking.roadsurfer.com/es/rally/pick?pickup_date=2026-05-15&amp;return_date=2026-05-22&amp;currency=EUR&amp;startStation=20&amp;endStation=110",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Wurzburgo</t>
        </is>
      </c>
      <c r="E456" t="inlineStr">
        <is>
          <t>2026-05-15</t>
        </is>
      </c>
      <c r="F456" t="inlineStr">
        <is>
          <t>2026-05-22</t>
        </is>
      </c>
      <c r="G456" t="inlineStr">
        <is>
          <t xml:space="preserve"> - No hay coche</t>
        </is>
      </c>
      <c r="H456">
        <f>HYPERLINK("https://booking.roadsurfer.com/es/rally/pick?pickup_date=2026-05-15&amp;return_date=2026-05-22&amp;currency=EUR&amp;startStation=20&amp;endStation=115",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Wurzburgo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Family Finca</t>
        </is>
      </c>
      <c r="H457">
        <f>HYPERLINK("https://booking.roadsurfer.com/es/rally/pick?pickup_date=2026-05-04&amp;return_date=2026-05-11&amp;currency=EUR&amp;startStation=20&amp;endStation=115",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Lindau-Wangen</t>
        </is>
      </c>
      <c r="E458" t="inlineStr">
        <is>
          <t>2026-05-18</t>
        </is>
      </c>
      <c r="F458" t="inlineStr">
        <is>
          <t>2026-05-25</t>
        </is>
      </c>
      <c r="G458" t="inlineStr">
        <is>
          <t xml:space="preserve"> - No hay coche</t>
        </is>
      </c>
      <c r="H458">
        <f>HYPERLINK("https://booking.roadsurfer.com/es/rally/pick?pickup_date=2026-05-18&amp;return_date=2026-05-25&amp;currency=EUR&amp;startStation=20&amp;endStation=117",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Lindau-Wangen</t>
        </is>
      </c>
      <c r="E459" t="inlineStr">
        <is>
          <t>2026-05-25</t>
        </is>
      </c>
      <c r="F459" t="inlineStr">
        <is>
          <t>2026-06-01</t>
        </is>
      </c>
      <c r="G459" t="inlineStr">
        <is>
          <t xml:space="preserve"> - Couple Cottage</t>
        </is>
      </c>
      <c r="H459">
        <f>HYPERLINK("https://booking.roadsurfer.com/es/rally/pick?pickup_date=2026-05-25&amp;return_date=2026-06-01&amp;currency=EUR&amp;startStation=20&amp;endStation=117",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Lindau-Wangen</t>
        </is>
      </c>
      <c r="E460" t="inlineStr">
        <is>
          <t>2026-04-23</t>
        </is>
      </c>
      <c r="F460" t="inlineStr">
        <is>
          <t>2026-04-30</t>
        </is>
      </c>
      <c r="G460" t="inlineStr">
        <is>
          <t xml:space="preserve"> - Family Finca</t>
        </is>
      </c>
      <c r="H460">
        <f>HYPERLINK("https://booking.roadsurfer.com/es/rally/pick?pickup_date=2026-04-23&amp;return_date=2026-04-30&amp;currency=EUR&amp;startStation=20&amp;endStation=117",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2026-04-13</t>
        </is>
      </c>
      <c r="F461" t="inlineStr">
        <is>
          <t>2026-04-20</t>
        </is>
      </c>
      <c r="G461" t="inlineStr">
        <is>
          <t xml:space="preserve"> - Sunrise Suite</t>
        </is>
      </c>
      <c r="H461">
        <f>HYPERLINK("https://booking.roadsurfer.com/es/rally/pick?pickup_date=2026-04-13&amp;return_date=2026-04-20&amp;currency=EUR&amp;startStation=20&amp;endStation=22", "Clic para verlo en la web de RoadSurfer")</f>
        <v/>
      </c>
    </row>
    <row r="462">
      <c r="A462" t="inlineStr">
        <is>
          <t>Alemania</t>
        </is>
      </c>
      <c r="B462" t="inlineStr">
        <is>
          <t>Maguncia</t>
        </is>
      </c>
      <c r="C462" t="inlineStr">
        <is>
          <t>Francia</t>
        </is>
      </c>
      <c r="D462" t="inlineStr">
        <is>
          <t>Ginebra-Pays de Gex (Francia)</t>
        </is>
      </c>
      <c r="E462" t="inlineStr">
        <is>
          <t>2026-04-13</t>
        </is>
      </c>
      <c r="F462" t="inlineStr">
        <is>
          <t>2026-04-20</t>
        </is>
      </c>
      <c r="G462" t="inlineStr">
        <is>
          <t xml:space="preserve"> - Camper Cabin Deluxe</t>
        </is>
      </c>
      <c r="H462">
        <f>HYPERLINK("https://booking.roadsurfer.com/es/rally/pick?pickup_date=2026-04-13&amp;return_date=2026-04-20&amp;currency=EUR&amp;startStation=54&amp;endStation=29", "Clic para verlo en la web de RoadSurfer")</f>
        <v/>
      </c>
    </row>
    <row r="463">
      <c r="A463" t="inlineStr">
        <is>
          <t>Alemania</t>
        </is>
      </c>
      <c r="B463" t="inlineStr">
        <is>
          <t>Maguncia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2026-04-08</t>
        </is>
      </c>
      <c r="F463" t="inlineStr">
        <is>
          <t>2026-04-15</t>
        </is>
      </c>
      <c r="G463" t="inlineStr">
        <is>
          <t xml:space="preserve"> - Camper Castle</t>
        </is>
      </c>
      <c r="H463">
        <f>HYPERLINK("https://booking.roadsurfer.com/es/rally/pick?pickup_date=2026-04-08&amp;return_date=2026-04-15&amp;currency=EUR&amp;startStation=54&amp;endStation=60", "Clic para verlo en la web de RoadSurfer")</f>
        <v/>
      </c>
    </row>
    <row r="464">
      <c r="A464" t="inlineStr">
        <is>
          <t>España</t>
        </is>
      </c>
      <c r="B464" t="inlineStr">
        <is>
          <t>Málaga</t>
        </is>
      </c>
      <c r="C464" t="inlineStr">
        <is>
          <t>Alemania</t>
        </is>
      </c>
      <c r="D464" t="inlineStr">
        <is>
          <t>Múnich</t>
        </is>
      </c>
      <c r="E464" t="inlineStr">
        <is>
          <t>2026-05-11</t>
        </is>
      </c>
      <c r="F464" t="inlineStr">
        <is>
          <t>2026-05-18</t>
        </is>
      </c>
      <c r="G464" t="inlineStr">
        <is>
          <t xml:space="preserve"> - Road House</t>
        </is>
      </c>
      <c r="H464">
        <f>HYPERLINK("https://booking.roadsurfer.com/es/rally/pick?pickup_date=2026-05-11&amp;return_date=2026-05-18&amp;currency=EUR&amp;startStation=21&amp;endStation=1", "Clic para verlo en la web de RoadSurfer")</f>
        <v/>
      </c>
    </row>
    <row r="465">
      <c r="A465" t="inlineStr">
        <is>
          <t>España</t>
        </is>
      </c>
      <c r="B465" t="inlineStr">
        <is>
          <t>Málaga</t>
        </is>
      </c>
      <c r="C465" t="inlineStr">
        <is>
          <t>Alemania</t>
        </is>
      </c>
      <c r="D465" t="inlineStr">
        <is>
          <t>Múnich</t>
        </is>
      </c>
      <c r="E465" t="inlineStr">
        <is>
          <t>2026-04-09</t>
        </is>
      </c>
      <c r="F465" t="inlineStr">
        <is>
          <t>2026-04-16</t>
        </is>
      </c>
      <c r="G465" t="inlineStr">
        <is>
          <t xml:space="preserve"> - Surfer Suite</t>
        </is>
      </c>
      <c r="H465">
        <f>HYPERLINK("https://booking.roadsurfer.com/es/rally/pick?pickup_date=2026-04-09&amp;return_date=2026-04-16&amp;currency=EUR&amp;startStation=21&amp;endStation=1", "Clic para verlo en la web de RoadSurfer")</f>
        <v/>
      </c>
    </row>
    <row r="466">
      <c r="A466" t="inlineStr">
        <is>
          <t>España</t>
        </is>
      </c>
      <c r="B466" t="inlineStr">
        <is>
          <t>Málaga</t>
        </is>
      </c>
      <c r="C466" t="inlineStr">
        <is>
          <t>Alemania</t>
        </is>
      </c>
      <c r="D466" t="inlineStr">
        <is>
          <t>Kiel</t>
        </is>
      </c>
      <c r="E466" t="inlineStr">
        <is>
          <t>2026-04-27</t>
        </is>
      </c>
      <c r="F466" t="inlineStr">
        <is>
          <t>2026-05-04</t>
        </is>
      </c>
      <c r="G466" t="inlineStr">
        <is>
          <t xml:space="preserve"> - Beach Hostel</t>
        </is>
      </c>
      <c r="H466">
        <f>HYPERLINK("https://booking.roadsurfer.com/es/rally/pick?pickup_date=2026-04-27&amp;return_date=2026-05-04&amp;currency=EUR&amp;startStation=21&amp;endStation=111", "Clic para verlo en la web de RoadSurfer")</f>
        <v/>
      </c>
    </row>
    <row r="467">
      <c r="A467" t="inlineStr">
        <is>
          <t>España</t>
        </is>
      </c>
      <c r="B467" t="inlineStr">
        <is>
          <t>Málaga</t>
        </is>
      </c>
      <c r="C467" t="inlineStr">
        <is>
          <t>Alemania</t>
        </is>
      </c>
      <c r="D467" t="inlineStr">
        <is>
          <t>Maguncia</t>
        </is>
      </c>
      <c r="E467" t="inlineStr">
        <is>
          <t>2026-05-14</t>
        </is>
      </c>
      <c r="F467" t="inlineStr">
        <is>
          <t>2026-05-21</t>
        </is>
      </c>
      <c r="G467" t="inlineStr">
        <is>
          <t xml:space="preserve"> - Road House</t>
        </is>
      </c>
      <c r="H467">
        <f>HYPERLINK("https://booking.roadsurfer.com/es/rally/pick?pickup_date=2026-05-14&amp;return_date=2026-05-21&amp;currency=EUR&amp;startStation=21&amp;endStation=54", "Clic para verlo en la web de RoadSurfer")</f>
        <v/>
      </c>
    </row>
    <row r="468">
      <c r="A468" t="inlineStr">
        <is>
          <t>España</t>
        </is>
      </c>
      <c r="B468" t="inlineStr">
        <is>
          <t>Málaga</t>
        </is>
      </c>
      <c r="C468" t="inlineStr">
        <is>
          <t>Alemania</t>
        </is>
      </c>
      <c r="D468" t="inlineStr">
        <is>
          <t>Colonia-Düsseldorf</t>
        </is>
      </c>
      <c r="E468" t="inlineStr">
        <is>
          <t>2026-04-18</t>
        </is>
      </c>
      <c r="F468" t="inlineStr">
        <is>
          <t>2026-04-25</t>
        </is>
      </c>
      <c r="G468" t="inlineStr">
        <is>
          <t xml:space="preserve"> - Family Finca</t>
        </is>
      </c>
      <c r="H468">
        <f>HYPERLINK("https://booking.roadsurfer.com/es/rally/pick?pickup_date=2026-04-18&amp;return_date=2026-04-25&amp;currency=EUR&amp;startStation=21&amp;endStation=4",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Bremen</t>
        </is>
      </c>
      <c r="E469" t="inlineStr">
        <is>
          <t>2026-04-14</t>
        </is>
      </c>
      <c r="F469" t="inlineStr">
        <is>
          <t>2026-04-21</t>
        </is>
      </c>
      <c r="G469" t="inlineStr">
        <is>
          <t xml:space="preserve"> - Road House</t>
        </is>
      </c>
      <c r="H469">
        <f>HYPERLINK("https://booking.roadsurfer.com/es/rally/pick?pickup_date=2026-04-14&amp;return_date=2026-04-21&amp;currency=EUR&amp;startStation=60&amp;endStation=55",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Bremen</t>
        </is>
      </c>
      <c r="E470" t="inlineStr">
        <is>
          <t>2026-04-08</t>
        </is>
      </c>
      <c r="F470" t="inlineStr">
        <is>
          <t>2026-04-15</t>
        </is>
      </c>
      <c r="G470" t="inlineStr">
        <is>
          <t xml:space="preserve"> - Road House</t>
        </is>
      </c>
      <c r="H470">
        <f>HYPERLINK("https://booking.roadsurfer.com/es/rally/pick?pickup_date=2026-04-08&amp;return_date=2026-04-15&amp;currency=EUR&amp;startStation=60&amp;endStation=55",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Bremen</t>
        </is>
      </c>
      <c r="E471" t="inlineStr">
        <is>
          <t>2026-04-07</t>
        </is>
      </c>
      <c r="F471" t="inlineStr">
        <is>
          <t>2026-04-14</t>
        </is>
      </c>
      <c r="G471" t="inlineStr">
        <is>
          <t xml:space="preserve"> - Surfer Suite</t>
        </is>
      </c>
      <c r="H471">
        <f>HYPERLINK("https://booking.roadsurfer.com/es/rally/pick?pickup_date=2026-04-07&amp;return_date=2026-04-14&amp;currency=EUR&amp;startStation=60&amp;endStation=55",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Bremen</t>
        </is>
      </c>
      <c r="E472" t="inlineStr">
        <is>
          <t>2026-04-16</t>
        </is>
      </c>
      <c r="F472" t="inlineStr">
        <is>
          <t>2026-04-23</t>
        </is>
      </c>
      <c r="G472" t="inlineStr">
        <is>
          <t xml:space="preserve"> - Surfer Suite</t>
        </is>
      </c>
      <c r="H472">
        <f>HYPERLINK("https://booking.roadsurfer.com/es/rally/pick?pickup_date=2026-04-16&amp;return_date=2026-04-23&amp;currency=EUR&amp;startStation=60&amp;endStation=55",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Bremen</t>
        </is>
      </c>
      <c r="E473" t="inlineStr">
        <is>
          <t>2026-05-06</t>
        </is>
      </c>
      <c r="F473" t="inlineStr">
        <is>
          <t>2026-05-13</t>
        </is>
      </c>
      <c r="G473" t="inlineStr">
        <is>
          <t xml:space="preserve"> - ROAD HOUSE</t>
        </is>
      </c>
      <c r="H473">
        <f>HYPERLINK("https://booking.roadsurfer.com/es/rally/pick?pickup_date=2026-05-06&amp;return_date=2026-05-13&amp;currency=EUR&amp;startStation=60&amp;endStation=55",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Hannover</t>
        </is>
      </c>
      <c r="E474" t="inlineStr">
        <is>
          <t>2026-04-13</t>
        </is>
      </c>
      <c r="F474" t="inlineStr">
        <is>
          <t>2026-04-20</t>
        </is>
      </c>
      <c r="G474" t="inlineStr">
        <is>
          <t xml:space="preserve"> - Surfer Suite</t>
        </is>
      </c>
      <c r="H474">
        <f>HYPERLINK("https://booking.roadsurfer.com/es/rally/pick?pickup_date=2026-04-13&amp;return_date=2026-04-20&amp;currency=EUR&amp;startStation=60&amp;endStation=7",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Núremberg</t>
        </is>
      </c>
      <c r="E475" t="inlineStr">
        <is>
          <t>2026-04-09</t>
        </is>
      </c>
      <c r="F475" t="inlineStr">
        <is>
          <t>2026-04-16</t>
        </is>
      </c>
      <c r="G475" t="inlineStr">
        <is>
          <t xml:space="preserve"> - Surfer Suite</t>
        </is>
      </c>
      <c r="H475">
        <f>HYPERLINK("https://booking.roadsurfer.com/es/rally/pick?pickup_date=2026-04-09&amp;return_date=2026-04-16&amp;currency=EUR&amp;startStation=60&amp;endStation=11",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Colonia-Bonn</t>
        </is>
      </c>
      <c r="E476" t="inlineStr">
        <is>
          <t>2026-04-16</t>
        </is>
      </c>
      <c r="F476" t="inlineStr">
        <is>
          <t>2026-04-23</t>
        </is>
      </c>
      <c r="G476" t="inlineStr">
        <is>
          <t xml:space="preserve"> - Surfer Suite</t>
        </is>
      </c>
      <c r="H476">
        <f>HYPERLINK("https://booking.roadsurfer.com/es/rally/pick?pickup_date=2026-04-16&amp;return_date=2026-04-23&amp;currency=EUR&amp;startStation=60&amp;endStation=52",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Maguncia</t>
        </is>
      </c>
      <c r="E477" t="inlineStr">
        <is>
          <t>2026-04-08</t>
        </is>
      </c>
      <c r="F477" t="inlineStr">
        <is>
          <t>2026-04-15</t>
        </is>
      </c>
      <c r="G477" t="inlineStr">
        <is>
          <t xml:space="preserve"> - Surfer Suite</t>
        </is>
      </c>
      <c r="H477">
        <f>HYPERLINK("https://booking.roadsurfer.com/es/rally/pick?pickup_date=2026-04-08&amp;return_date=2026-04-15&amp;currency=EUR&amp;startStation=60&amp;endStation=54",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Bielefeld</t>
        </is>
      </c>
      <c r="E478" t="inlineStr">
        <is>
          <t>2026-04-14</t>
        </is>
      </c>
      <c r="F478" t="inlineStr">
        <is>
          <t>2026-04-21</t>
        </is>
      </c>
      <c r="G478" t="inlineStr">
        <is>
          <t xml:space="preserve"> - Family Finca</t>
        </is>
      </c>
      <c r="H478">
        <f>HYPERLINK("https://booking.roadsurfer.com/es/rally/pick?pickup_date=2026-04-14&amp;return_date=2026-04-21&amp;currency=EUR&amp;startStation=60&amp;endStation=91",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2026-04-08</t>
        </is>
      </c>
      <c r="F479" t="inlineStr">
        <is>
          <t>2026-04-15</t>
        </is>
      </c>
      <c r="G479" t="inlineStr">
        <is>
          <t xml:space="preserve"> - SURFER SUITE - Road House</t>
        </is>
      </c>
      <c r="H479">
        <f>HYPERLINK("https://booking.roadsurfer.com/es/rally/pick?pickup_date=2026-04-08&amp;return_date=2026-04-15&amp;currency=EUR&amp;startStation=60&amp;endStation=22",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2026-04-22</t>
        </is>
      </c>
      <c r="F480" t="inlineStr">
        <is>
          <t>2026-04-29</t>
        </is>
      </c>
      <c r="G480" t="inlineStr">
        <is>
          <t xml:space="preserve"> - Camper Castle - Cozy Cottage</t>
        </is>
      </c>
      <c r="H480">
        <f>HYPERLINK("https://booking.roadsurfer.com/es/rally/pick?pickup_date=2026-04-22&amp;return_date=2026-04-29&amp;currency=EUR&amp;startStation=60&amp;endStation=22",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2026-04-09</t>
        </is>
      </c>
      <c r="F481" t="inlineStr">
        <is>
          <t>2026-04-16</t>
        </is>
      </c>
      <c r="G481" t="inlineStr">
        <is>
          <t xml:space="preserve"> - Road House - Family Finca</t>
        </is>
      </c>
      <c r="H481">
        <f>HYPERLINK("https://booking.roadsurfer.com/es/rally/pick?pickup_date=2026-04-09&amp;return_date=2026-04-16&amp;currency=EUR&amp;startStation=60&amp;endStation=22",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2026-04-13</t>
        </is>
      </c>
      <c r="F482" t="inlineStr">
        <is>
          <t>2026-04-20</t>
        </is>
      </c>
      <c r="G482" t="inlineStr">
        <is>
          <t xml:space="preserve"> - CAMPER CASTLE</t>
        </is>
      </c>
      <c r="H482">
        <f>HYPERLINK("https://booking.roadsurfer.com/es/rally/pick?pickup_date=2026-04-13&amp;return_date=2026-04-20&amp;currency=EUR&amp;startStation=60&amp;endStation=22",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2026-04-07</t>
        </is>
      </c>
      <c r="F483" t="inlineStr">
        <is>
          <t>2026-04-14</t>
        </is>
      </c>
      <c r="G483" t="inlineStr">
        <is>
          <t xml:space="preserve"> - Couple Cottage</t>
        </is>
      </c>
      <c r="H483">
        <f>HYPERLINK("https://booking.roadsurfer.com/es/rally/pick?pickup_date=2026-04-07&amp;return_date=2026-04-14&amp;currency=EUR&amp;startStation=60&amp;endStation=22",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2026-04-14</t>
        </is>
      </c>
      <c r="F484" t="inlineStr">
        <is>
          <t>2026-04-21</t>
        </is>
      </c>
      <c r="G484" t="inlineStr">
        <is>
          <t xml:space="preserve"> - Couple Cottage</t>
        </is>
      </c>
      <c r="H484">
        <f>HYPERLINK("https://booking.roadsurfer.com/es/rally/pick?pickup_date=2026-04-14&amp;return_date=2026-04-21&amp;currency=EUR&amp;startStation=60&amp;endStation=22",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2026-04-21</t>
        </is>
      </c>
      <c r="F485" t="inlineStr">
        <is>
          <t>2026-04-28</t>
        </is>
      </c>
      <c r="G485" t="inlineStr">
        <is>
          <t xml:space="preserve"> - Camper Castle</t>
        </is>
      </c>
      <c r="H485">
        <f>HYPERLINK("https://booking.roadsurfer.com/es/rally/pick?pickup_date=2026-04-21&amp;return_date=2026-04-28&amp;currency=EUR&amp;startStation=60&amp;endStation=22",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Lübeck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Road House</t>
        </is>
      </c>
      <c r="H486">
        <f>HYPERLINK("https://booking.roadsurfer.com/es/rally/pick?pickup_date=2026-05-04&amp;return_date=2026-05-11&amp;currency=EUR&amp;startStation=60&amp;endStation=109",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Lübeck</t>
        </is>
      </c>
      <c r="E487" t="inlineStr">
        <is>
          <t>2026-05-06</t>
        </is>
      </c>
      <c r="F487" t="inlineStr">
        <is>
          <t>2026-05-13</t>
        </is>
      </c>
      <c r="G487" t="inlineStr">
        <is>
          <t xml:space="preserve"> - Road House</t>
        </is>
      </c>
      <c r="H487">
        <f>HYPERLINK("https://booking.roadsurfer.com/es/rally/pick?pickup_date=2026-05-06&amp;return_date=2026-05-13&amp;currency=EUR&amp;startStation=60&amp;endStation=109",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Lübeck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Cozy Cottage</t>
        </is>
      </c>
      <c r="H488">
        <f>HYPERLINK("https://booking.roadsurfer.com/es/rally/pick?pickup_date=2026-04-20&amp;return_date=2026-04-27&amp;currency=EUR&amp;startStation=60&amp;endStation=109",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Hamburgo</t>
        </is>
      </c>
      <c r="E489" t="inlineStr">
        <is>
          <t>2026-04-07</t>
        </is>
      </c>
      <c r="F489" t="inlineStr">
        <is>
          <t>2026-04-14</t>
        </is>
      </c>
      <c r="G489" t="inlineStr">
        <is>
          <t xml:space="preserve"> - CAMPER CABIN DELUXE</t>
        </is>
      </c>
      <c r="H489">
        <f>HYPERLINK("https://booking.roadsurfer.com/es/rally/pick?pickup_date=2026-04-07&amp;return_date=2026-04-14&amp;currency=EUR&amp;startStation=60&amp;endStation=3",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Stuttgart</t>
        </is>
      </c>
      <c r="E490" t="inlineStr">
        <is>
          <t>2026-04-20</t>
        </is>
      </c>
      <c r="F490" t="inlineStr">
        <is>
          <t>2026-04-27</t>
        </is>
      </c>
      <c r="G490" t="inlineStr">
        <is>
          <t xml:space="preserve"> - Camper Castle</t>
        </is>
      </c>
      <c r="H490">
        <f>HYPERLINK("https://booking.roadsurfer.com/es/rally/pick?pickup_date=2026-04-20&amp;return_date=2026-04-27&amp;currency=EUR&amp;startStation=60&amp;endStation=5",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Augsburgo</t>
        </is>
      </c>
      <c r="E491" t="inlineStr">
        <is>
          <t>2026-04-09</t>
        </is>
      </c>
      <c r="F491" t="inlineStr">
        <is>
          <t>2026-04-16</t>
        </is>
      </c>
      <c r="G491" t="inlineStr">
        <is>
          <t xml:space="preserve"> - Camper Castle</t>
        </is>
      </c>
      <c r="H491">
        <f>HYPERLINK("https://booking.roadsurfer.com/es/rally/pick?pickup_date=2026-04-09&amp;return_date=2026-04-16&amp;currency=EUR&amp;startStation=60&amp;endStation=108",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Augsburgo</t>
        </is>
      </c>
      <c r="E492" t="inlineStr">
        <is>
          <t>2026-04-13</t>
        </is>
      </c>
      <c r="F492" t="inlineStr">
        <is>
          <t>2026-04-20</t>
        </is>
      </c>
      <c r="G492" t="inlineStr">
        <is>
          <t xml:space="preserve"> - Couple Cottage</t>
        </is>
      </c>
      <c r="H492">
        <f>HYPERLINK("https://booking.roadsurfer.com/es/rally/pick?pickup_date=2026-04-13&amp;return_date=2026-04-20&amp;currency=EUR&amp;startStation=60&amp;endStation=108",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Berlín</t>
        </is>
      </c>
      <c r="E493" t="inlineStr">
        <is>
          <t>2026-05-14</t>
        </is>
      </c>
      <c r="F493" t="inlineStr">
        <is>
          <t>2026-05-21</t>
        </is>
      </c>
      <c r="G493" t="inlineStr">
        <is>
          <t xml:space="preserve"> - No hay coche</t>
        </is>
      </c>
      <c r="H493">
        <f>HYPERLINK("https://booking.roadsurfer.com/es/rally/pick?pickup_date=2026-05-14&amp;return_date=2026-05-21&amp;currency=EUR&amp;startStation=60&amp;endStation=6",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Berlín</t>
        </is>
      </c>
      <c r="E494" t="inlineStr">
        <is>
          <t>2026-05-23</t>
        </is>
      </c>
      <c r="F494" t="inlineStr">
        <is>
          <t>2026-05-30</t>
        </is>
      </c>
      <c r="G494" t="inlineStr">
        <is>
          <t xml:space="preserve"> - Camper Castle</t>
        </is>
      </c>
      <c r="H494">
        <f>HYPERLINK("https://booking.roadsurfer.com/es/rally/pick?pickup_date=2026-05-23&amp;return_date=2026-05-30&amp;currency=EUR&amp;startStation=60&amp;endStation=6",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Berlín</t>
        </is>
      </c>
      <c r="E495" t="inlineStr">
        <is>
          <t>2026-04-20</t>
        </is>
      </c>
      <c r="F495" t="inlineStr">
        <is>
          <t>2026-04-27</t>
        </is>
      </c>
      <c r="G495" t="inlineStr">
        <is>
          <t xml:space="preserve"> - Cozy Cottage</t>
        </is>
      </c>
      <c r="H495">
        <f>HYPERLINK("https://booking.roadsurfer.com/es/rally/pick?pickup_date=2026-04-20&amp;return_date=2026-04-27&amp;currency=EUR&amp;startStation=60&amp;endStation=6",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Kiel</t>
        </is>
      </c>
      <c r="E496" t="inlineStr">
        <is>
          <t>2026-04-09</t>
        </is>
      </c>
      <c r="F496" t="inlineStr">
        <is>
          <t>2026-04-16</t>
        </is>
      </c>
      <c r="G496" t="inlineStr">
        <is>
          <t xml:space="preserve"> - Camper Castle</t>
        </is>
      </c>
      <c r="H496">
        <f>HYPERLINK("https://booking.roadsurfer.com/es/rally/pick?pickup_date=2026-04-09&amp;return_date=2026-04-16&amp;currency=EUR&amp;startStation=60&amp;endStation=111",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Berlín-Schönefeld</t>
        </is>
      </c>
      <c r="E497" t="inlineStr">
        <is>
          <t>2026-04-15</t>
        </is>
      </c>
      <c r="F497" t="inlineStr">
        <is>
          <t>2026-04-22</t>
        </is>
      </c>
      <c r="G497" t="inlineStr">
        <is>
          <t xml:space="preserve"> - Family Finca</t>
        </is>
      </c>
      <c r="H497">
        <f>HYPERLINK("https://booking.roadsurfer.com/es/rally/pick?pickup_date=2026-04-15&amp;return_date=2026-04-22&amp;currency=EUR&amp;startStation=60&amp;endStation=51",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Karlsruhe</t>
        </is>
      </c>
      <c r="E498" t="inlineStr">
        <is>
          <t>2026-04-09</t>
        </is>
      </c>
      <c r="F498" t="inlineStr">
        <is>
          <t>2026-04-16</t>
        </is>
      </c>
      <c r="G498" t="inlineStr">
        <is>
          <t xml:space="preserve"> - Couple Cottage</t>
        </is>
      </c>
      <c r="H498">
        <f>HYPERLINK("https://booking.roadsurfer.com/es/rally/pick?pickup_date=2026-04-09&amp;return_date=2026-04-16&amp;currency=EUR&amp;startStation=60&amp;endStation=110",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2026-04-08</t>
        </is>
      </c>
      <c r="F499" t="inlineStr">
        <is>
          <t>2026-04-14</t>
        </is>
      </c>
      <c r="G499" t="inlineStr">
        <is>
          <t xml:space="preserve"> - COZY COTTAGE</t>
        </is>
      </c>
      <c r="H499">
        <f>HYPERLINK("https://booking.roadsurfer.com/es/rally/pick?pickup_date=2026-04-08&amp;return_date=2026-04-14&amp;currency=EUR&amp;startStation=60&amp;endStation=90",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Burdeos</t>
        </is>
      </c>
      <c r="E500" t="inlineStr">
        <is>
          <t>2026-05-06</t>
        </is>
      </c>
      <c r="F500" t="inlineStr">
        <is>
          <t>2026-05-13</t>
        </is>
      </c>
      <c r="G500" t="inlineStr">
        <is>
          <t xml:space="preserve"> - No hay coche</t>
        </is>
      </c>
      <c r="H500">
        <f>HYPERLINK("https://booking.roadsurfer.com/es/rally/pick?pickup_date=2026-05-06&amp;return_date=2026-05-13&amp;currency=EUR&amp;startStation=22&amp;endStation=13",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Burdeos</t>
        </is>
      </c>
      <c r="E501" t="inlineStr">
        <is>
          <t>2026-04-08</t>
        </is>
      </c>
      <c r="F501" t="inlineStr">
        <is>
          <t>2026-04-15</t>
        </is>
      </c>
      <c r="G501" t="inlineStr">
        <is>
          <t xml:space="preserve"> - Beach Hostel</t>
        </is>
      </c>
      <c r="H501">
        <f>HYPERLINK("https://booking.roadsurfer.com/es/rally/pick?pickup_date=2026-04-08&amp;return_date=2026-04-15&amp;currency=EUR&amp;startStation=22&amp;endStation=13",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Burdeos</t>
        </is>
      </c>
      <c r="E502" t="inlineStr">
        <is>
          <t>2026-04-07</t>
        </is>
      </c>
      <c r="F502" t="inlineStr">
        <is>
          <t>2026-04-14</t>
        </is>
      </c>
      <c r="G502" t="inlineStr">
        <is>
          <t xml:space="preserve"> - Couple Cottage</t>
        </is>
      </c>
      <c r="H502">
        <f>HYPERLINK("https://booking.roadsurfer.com/es/rally/pick?pickup_date=2026-04-07&amp;return_date=2026-04-14&amp;currency=EUR&amp;startStation=22&amp;endStation=13",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Lyon</t>
        </is>
      </c>
      <c r="E503" t="inlineStr">
        <is>
          <t>2026-04-07</t>
        </is>
      </c>
      <c r="F503" t="inlineStr">
        <is>
          <t>2026-04-14</t>
        </is>
      </c>
      <c r="G503" t="inlineStr">
        <is>
          <t xml:space="preserve"> - Surfer Suite</t>
        </is>
      </c>
      <c r="H503">
        <f>HYPERLINK("https://booking.roadsurfer.com/es/rally/pick?pickup_date=2026-04-07&amp;return_date=2026-04-14&amp;currency=EUR&amp;startStation=22&amp;endStation=15",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Lyon</t>
        </is>
      </c>
      <c r="E504" t="inlineStr">
        <is>
          <t>2026-04-09</t>
        </is>
      </c>
      <c r="F504" t="inlineStr">
        <is>
          <t>2026-04-16</t>
        </is>
      </c>
      <c r="G504" t="inlineStr">
        <is>
          <t xml:space="preserve"> - Surfer Suite</t>
        </is>
      </c>
      <c r="H504">
        <f>HYPERLINK("https://booking.roadsurfer.com/es/rally/pick?pickup_date=2026-04-09&amp;return_date=2026-04-16&amp;currency=EUR&amp;startStation=22&amp;endStation=15",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Lyon</t>
        </is>
      </c>
      <c r="E505" t="inlineStr">
        <is>
          <t>2026-04-16</t>
        </is>
      </c>
      <c r="F505" t="inlineStr">
        <is>
          <t>2026-04-23</t>
        </is>
      </c>
      <c r="G505" t="inlineStr">
        <is>
          <t xml:space="preserve"> - Surfer Suite</t>
        </is>
      </c>
      <c r="H505">
        <f>HYPERLINK("https://booking.roadsurfer.com/es/rally/pick?pickup_date=2026-04-16&amp;return_date=2026-04-23&amp;currency=EUR&amp;startStation=22&amp;endStation=15",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Países Bajos</t>
        </is>
      </c>
      <c r="D506" t="inlineStr">
        <is>
          <t>Róterdam</t>
        </is>
      </c>
      <c r="E506" t="inlineStr">
        <is>
          <t>2026-04-23</t>
        </is>
      </c>
      <c r="F506" t="inlineStr">
        <is>
          <t>2026-04-30</t>
        </is>
      </c>
      <c r="G506" t="inlineStr">
        <is>
          <t xml:space="preserve"> - Surfer Suite</t>
        </is>
      </c>
      <c r="H506">
        <f>HYPERLINK("https://booking.roadsurfer.com/es/rally/pick?pickup_date=2026-04-23&amp;return_date=2026-04-30&amp;currency=EUR&amp;startStation=22&amp;endStation=33",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Países Bajos</t>
        </is>
      </c>
      <c r="D507" t="inlineStr">
        <is>
          <t>Róterdam</t>
        </is>
      </c>
      <c r="E507" t="inlineStr">
        <is>
          <t>2026-04-20</t>
        </is>
      </c>
      <c r="F507" t="inlineStr">
        <is>
          <t>2026-04-27</t>
        </is>
      </c>
      <c r="G507" t="inlineStr">
        <is>
          <t xml:space="preserve"> - No hay coche</t>
        </is>
      </c>
      <c r="H507">
        <f>HYPERLINK("https://booking.roadsurfer.com/es/rally/pick?pickup_date=2026-04-20&amp;return_date=2026-04-27&amp;currency=EUR&amp;startStation=22&amp;endStation=33",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Países Bajos</t>
        </is>
      </c>
      <c r="D508" t="inlineStr">
        <is>
          <t>Róterdam</t>
        </is>
      </c>
      <c r="E508" t="inlineStr">
        <is>
          <t>2026-04-17</t>
        </is>
      </c>
      <c r="F508" t="inlineStr">
        <is>
          <t>2026-04-24</t>
        </is>
      </c>
      <c r="G508" t="inlineStr">
        <is>
          <t xml:space="preserve"> - Camper Cabin</t>
        </is>
      </c>
      <c r="H508">
        <f>HYPERLINK("https://booking.roadsurfer.com/es/rally/pick?pickup_date=2026-04-17&amp;return_date=2026-04-24&amp;currency=EUR&amp;startStation=22&amp;endStation=33",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2026-04-08</t>
        </is>
      </c>
      <c r="F509" t="inlineStr">
        <is>
          <t>2026-04-15</t>
        </is>
      </c>
      <c r="G509" t="inlineStr">
        <is>
          <t xml:space="preserve"> - Surfer Suite</t>
        </is>
      </c>
      <c r="H509">
        <f>HYPERLINK("https://booking.roadsurfer.com/es/rally/pick?pickup_date=2026-04-08&amp;return_date=2026-04-15&amp;currency=EUR&amp;startStation=22&amp;endStation=29",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Ginebra-Pays de Gex (Francia)</t>
        </is>
      </c>
      <c r="E510" t="inlineStr">
        <is>
          <t>2026-04-09</t>
        </is>
      </c>
      <c r="F510" t="inlineStr">
        <is>
          <t>2026-04-16</t>
        </is>
      </c>
      <c r="G510" t="inlineStr">
        <is>
          <t xml:space="preserve"> - Surfer Suite</t>
        </is>
      </c>
      <c r="H510">
        <f>HYPERLINK("https://booking.roadsurfer.com/es/rally/pick?pickup_date=2026-04-09&amp;return_date=2026-04-16&amp;currency=EUR&amp;startStation=22&amp;endStation=29",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Ginebra-Pays de Gex (Francia)</t>
        </is>
      </c>
      <c r="E511" t="inlineStr">
        <is>
          <t>2026-04-24</t>
        </is>
      </c>
      <c r="F511" t="inlineStr">
        <is>
          <t>2026-05-01</t>
        </is>
      </c>
      <c r="G511" t="inlineStr">
        <is>
          <t xml:space="preserve"> - No hay coche</t>
        </is>
      </c>
      <c r="H511">
        <f>HYPERLINK("https://booking.roadsurfer.com/es/rally/pick?pickup_date=2026-04-24&amp;return_date=2026-05-01&amp;currency=EUR&amp;startStation=22&amp;endStation=29",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Ginebra-Pays de Gex (Francia)</t>
        </is>
      </c>
      <c r="E512" t="inlineStr">
        <is>
          <t>2026-04-15</t>
        </is>
      </c>
      <c r="F512" t="inlineStr">
        <is>
          <t>2026-04-22</t>
        </is>
      </c>
      <c r="G512" t="inlineStr">
        <is>
          <t xml:space="preserve"> - Surfer Suite</t>
        </is>
      </c>
      <c r="H512">
        <f>HYPERLINK("https://booking.roadsurfer.com/es/rally/pick?pickup_date=2026-04-15&amp;return_date=2026-04-22&amp;currency=EUR&amp;startStation=22&amp;endStation=29",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Ginebra-Pays de Gex (Francia)</t>
        </is>
      </c>
      <c r="E513" t="inlineStr">
        <is>
          <t>2026-04-16</t>
        </is>
      </c>
      <c r="F513" t="inlineStr">
        <is>
          <t>2026-04-23</t>
        </is>
      </c>
      <c r="G513" t="inlineStr">
        <is>
          <t xml:space="preserve"> - Surfer Suite - Couple Cottage</t>
        </is>
      </c>
      <c r="H513">
        <f>HYPERLINK("https://booking.roadsurfer.com/es/rally/pick?pickup_date=2026-04-16&amp;return_date=2026-04-23&amp;currency=EUR&amp;startStation=22&amp;endStation=29",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Ginebra-Pays de Gex (Francia)</t>
        </is>
      </c>
      <c r="E514" t="inlineStr">
        <is>
          <t>2026-04-05</t>
        </is>
      </c>
      <c r="F514" t="inlineStr">
        <is>
          <t>2026-04-06</t>
        </is>
      </c>
      <c r="G514" t="inlineStr">
        <is>
          <t xml:space="preserve"> - No hay coche</t>
        </is>
      </c>
      <c r="H514">
        <f>HYPERLINK("https://booking.roadsurfer.com/es/rally/pick?pickup_date=2026-04-05&amp;return_date=2026-04-06&amp;currency=EUR&amp;startStation=22&amp;endStation=29",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Estocolmo</t>
        </is>
      </c>
      <c r="E515" t="inlineStr">
        <is>
          <t>2026-04-09</t>
        </is>
      </c>
      <c r="F515" t="inlineStr">
        <is>
          <t>2026-04-16</t>
        </is>
      </c>
      <c r="G515" t="inlineStr">
        <is>
          <t xml:space="preserve"> - Surfer Suite</t>
        </is>
      </c>
      <c r="H515">
        <f>HYPERLINK("https://booking.roadsurfer.com/es/rally/pick?pickup_date=2026-04-09&amp;return_date=2026-04-16&amp;currency=EUR&amp;startStation=22&amp;endStation=59",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2026-04-07</t>
        </is>
      </c>
      <c r="F516" t="inlineStr">
        <is>
          <t>2026-04-14</t>
        </is>
      </c>
      <c r="G516" t="inlineStr">
        <is>
          <t xml:space="preserve"> - Surfer Suite</t>
        </is>
      </c>
      <c r="H516">
        <f>HYPERLINK("https://booking.roadsurfer.com/es/rally/pick?pickup_date=2026-04-07&amp;return_date=2026-04-14&amp;currency=EUR&amp;startStation=22&amp;endStation=59",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Estocolmo</t>
        </is>
      </c>
      <c r="E517" t="inlineStr">
        <is>
          <t>2026-04-14</t>
        </is>
      </c>
      <c r="F517" t="inlineStr">
        <is>
          <t>2026-04-21</t>
        </is>
      </c>
      <c r="G517" t="inlineStr">
        <is>
          <t xml:space="preserve"> - Surfer Suite</t>
        </is>
      </c>
      <c r="H517">
        <f>HYPERLINK("https://booking.roadsurfer.com/es/rally/pick?pickup_date=2026-04-14&amp;return_date=2026-04-21&amp;currency=EUR&amp;startStation=22&amp;endStation=59",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2026-04-08</t>
        </is>
      </c>
      <c r="F518" t="inlineStr">
        <is>
          <t>2026-04-15</t>
        </is>
      </c>
      <c r="G518" t="inlineStr">
        <is>
          <t xml:space="preserve"> - Surfer Suite - Beach Hostel</t>
        </is>
      </c>
      <c r="H518">
        <f>HYPERLINK("https://booking.roadsurfer.com/es/rally/pick?pickup_date=2026-04-08&amp;return_date=2026-04-15&amp;currency=EUR&amp;startStation=22&amp;endStation=59",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2026-04-30</t>
        </is>
      </c>
      <c r="F519" t="inlineStr">
        <is>
          <t>2026-05-07</t>
        </is>
      </c>
      <c r="G519" t="inlineStr">
        <is>
          <t xml:space="preserve"> - Surfer Suite</t>
        </is>
      </c>
      <c r="H519">
        <f>HYPERLINK("https://booking.roadsurfer.com/es/rally/pick?pickup_date=2026-04-30&amp;return_date=2026-05-07&amp;currency=EUR&amp;startStation=22&amp;endStation=59",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2026-04-10</t>
        </is>
      </c>
      <c r="F520" t="inlineStr">
        <is>
          <t>2026-04-17</t>
        </is>
      </c>
      <c r="G520" t="inlineStr">
        <is>
          <t xml:space="preserve"> - Beach Hostel - Road House</t>
        </is>
      </c>
      <c r="H520">
        <f>HYPERLINK("https://booking.roadsurfer.com/es/rally/pick?pickup_date=2026-04-10&amp;return_date=2026-04-17&amp;currency=EUR&amp;startStation=22&amp;endStation=59",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2026-04-21</t>
        </is>
      </c>
      <c r="F521" t="inlineStr">
        <is>
          <t>2026-04-28</t>
        </is>
      </c>
      <c r="G521" t="inlineStr">
        <is>
          <t xml:space="preserve"> - Road House</t>
        </is>
      </c>
      <c r="H521">
        <f>HYPERLINK("https://booking.roadsurfer.com/es/rally/pick?pickup_date=2026-04-21&amp;return_date=2026-04-28&amp;currency=EUR&amp;startStation=22&amp;endStation=59",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2026-05-07</t>
        </is>
      </c>
      <c r="F522" t="inlineStr">
        <is>
          <t>2026-05-14</t>
        </is>
      </c>
      <c r="G522" t="inlineStr">
        <is>
          <t xml:space="preserve"> - No hay coche</t>
        </is>
      </c>
      <c r="H522">
        <f>HYPERLINK("https://booking.roadsurfer.com/es/rally/pick?pickup_date=2026-05-07&amp;return_date=2026-05-14&amp;currency=EUR&amp;startStation=22&amp;endStation=59",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2026-05-18</t>
        </is>
      </c>
      <c r="F523" t="inlineStr">
        <is>
          <t>2026-05-25</t>
        </is>
      </c>
      <c r="G523" t="inlineStr">
        <is>
          <t xml:space="preserve"> - Camper Castle</t>
        </is>
      </c>
      <c r="H523">
        <f>HYPERLINK("https://booking.roadsurfer.com/es/rally/pick?pickup_date=2026-05-18&amp;return_date=2026-05-25&amp;currency=EUR&amp;startStation=22&amp;endStation=59",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Family Finca</t>
        </is>
      </c>
      <c r="H524">
        <f>HYPERLINK("https://booking.roadsurfer.com/es/rally/pick?pickup_date=2026-04-27&amp;return_date=2026-05-04&amp;currency=EUR&amp;startStation=22&amp;endStation=59",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2026-04-30</t>
        </is>
      </c>
      <c r="F525" t="inlineStr">
        <is>
          <t>2026-05-07</t>
        </is>
      </c>
      <c r="G525" t="inlineStr">
        <is>
          <t xml:space="preserve"> - Surfer Suite</t>
        </is>
      </c>
      <c r="H525">
        <f>HYPERLINK("https://booking.roadsurfer.com/es/rally/pick?pickup_date=2026-04-30&amp;return_date=2026-05-07&amp;currency=EUR&amp;startStation=22&amp;endStation=31",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2026-04-08</t>
        </is>
      </c>
      <c r="F526" t="inlineStr">
        <is>
          <t>2026-04-15</t>
        </is>
      </c>
      <c r="G526" t="inlineStr">
        <is>
          <t xml:space="preserve"> - Surfer Suite</t>
        </is>
      </c>
      <c r="H526">
        <f>HYPERLINK("https://booking.roadsurfer.com/es/rally/pick?pickup_date=2026-04-08&amp;return_date=2026-04-15&amp;currency=EUR&amp;startStation=22&amp;endStation=31",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2026-04-20</t>
        </is>
      </c>
      <c r="F527" t="inlineStr">
        <is>
          <t>2026-04-27</t>
        </is>
      </c>
      <c r="G527" t="inlineStr">
        <is>
          <t xml:space="preserve"> - Surfer Suite</t>
        </is>
      </c>
      <c r="H527">
        <f>HYPERLINK("https://booking.roadsurfer.com/es/rally/pick?pickup_date=2026-04-20&amp;return_date=2026-04-27&amp;currency=EUR&amp;startStation=22&amp;endStation=31",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Nantes</t>
        </is>
      </c>
      <c r="E528" t="inlineStr">
        <is>
          <t>2026-05-23</t>
        </is>
      </c>
      <c r="F528" t="inlineStr">
        <is>
          <t>2026-05-30</t>
        </is>
      </c>
      <c r="G528" t="inlineStr">
        <is>
          <t xml:space="preserve"> - No hay coche</t>
        </is>
      </c>
      <c r="H528">
        <f>HYPERLINK("https://booking.roadsurfer.com/es/rally/pick?pickup_date=2026-05-23&amp;return_date=2026-05-30&amp;currency=EUR&amp;startStation=22&amp;endStation=31",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Nantes</t>
        </is>
      </c>
      <c r="E529" t="inlineStr">
        <is>
          <t>2026-04-07</t>
        </is>
      </c>
      <c r="F529" t="inlineStr">
        <is>
          <t>2026-04-14</t>
        </is>
      </c>
      <c r="G529" t="inlineStr">
        <is>
          <t xml:space="preserve"> - Surfer Suite - BEACH HOSTEL</t>
        </is>
      </c>
      <c r="H529">
        <f>HYPERLINK("https://booking.roadsurfer.com/es/rally/pick?pickup_date=2026-04-07&amp;return_date=2026-04-14&amp;currency=EUR&amp;startStation=22&amp;endStation=31",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Nantes</t>
        </is>
      </c>
      <c r="E530" t="inlineStr">
        <is>
          <t>2026-05-02</t>
        </is>
      </c>
      <c r="F530" t="inlineStr">
        <is>
          <t>2026-05-09</t>
        </is>
      </c>
      <c r="G530" t="inlineStr">
        <is>
          <t xml:space="preserve"> - No hay coche</t>
        </is>
      </c>
      <c r="H530">
        <f>HYPERLINK("https://booking.roadsurfer.com/es/rally/pick?pickup_date=2026-05-02&amp;return_date=2026-05-09&amp;currency=EUR&amp;startStation=22&amp;endStation=31",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Nantes</t>
        </is>
      </c>
      <c r="E531" t="inlineStr">
        <is>
          <t>2026-05-14</t>
        </is>
      </c>
      <c r="F531" t="inlineStr">
        <is>
          <t>2026-05-21</t>
        </is>
      </c>
      <c r="G531" t="inlineStr">
        <is>
          <t xml:space="preserve"> - Camper Castle</t>
        </is>
      </c>
      <c r="H531">
        <f>HYPERLINK("https://booking.roadsurfer.com/es/rally/pick?pickup_date=2026-05-14&amp;return_date=2026-05-21&amp;currency=EUR&amp;startStation=22&amp;endStation=31",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Nantes</t>
        </is>
      </c>
      <c r="E532" t="inlineStr">
        <is>
          <t>2026-06-03</t>
        </is>
      </c>
      <c r="F532" t="inlineStr">
        <is>
          <t>2026-06-10</t>
        </is>
      </c>
      <c r="G532" t="inlineStr">
        <is>
          <t xml:space="preserve"> - Family Finca</t>
        </is>
      </c>
      <c r="H532">
        <f>HYPERLINK("https://booking.roadsurfer.com/es/rally/pick?pickup_date=2026-06-03&amp;return_date=2026-06-10&amp;currency=EUR&amp;startStation=22&amp;endStation=31",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Surfer Suite</t>
        </is>
      </c>
      <c r="H533">
        <f>HYPERLINK("https://booking.roadsurfer.com/es/rally/pick?pickup_date=2026-05-06&amp;return_date=2026-05-13&amp;currency=EUR&amp;startStation=22&amp;endStation=12",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París Sur (Orly)</t>
        </is>
      </c>
      <c r="E534" t="inlineStr">
        <is>
          <t>2026-04-10</t>
        </is>
      </c>
      <c r="F534" t="inlineStr">
        <is>
          <t>2026-04-11</t>
        </is>
      </c>
      <c r="G534" t="inlineStr">
        <is>
          <t xml:space="preserve"> - Surfer Suite</t>
        </is>
      </c>
      <c r="H534">
        <f>HYPERLINK("https://booking.roadsurfer.com/es/rally/pick?pickup_date=2026-04-10&amp;return_date=2026-04-11&amp;currency=EUR&amp;startStation=22&amp;endStation=12",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París Sur (Orly)</t>
        </is>
      </c>
      <c r="E535" t="inlineStr">
        <is>
          <t>2026-04-20</t>
        </is>
      </c>
      <c r="F535" t="inlineStr">
        <is>
          <t>2026-04-27</t>
        </is>
      </c>
      <c r="G535" t="inlineStr">
        <is>
          <t xml:space="preserve"> - Travel Home</t>
        </is>
      </c>
      <c r="H535">
        <f>HYPERLINK("https://booking.roadsurfer.com/es/rally/pick?pickup_date=2026-04-20&amp;return_date=2026-04-27&amp;currency=EUR&amp;startStation=22&amp;endStation=12",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Roma Aeropuerto Fiumicino</t>
        </is>
      </c>
      <c r="E536" t="inlineStr">
        <is>
          <t>2026-04-20</t>
        </is>
      </c>
      <c r="F536" t="inlineStr">
        <is>
          <t>2026-04-27</t>
        </is>
      </c>
      <c r="G536" t="inlineStr">
        <is>
          <t xml:space="preserve"> - Surfer Suite</t>
        </is>
      </c>
      <c r="H536">
        <f>HYPERLINK("https://booking.roadsurfer.com/es/rally/pick?pickup_date=2026-04-20&amp;return_date=2026-04-27&amp;currency=EUR&amp;startStation=22&amp;endStation=35",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Roma Aeropuerto Fiumicino</t>
        </is>
      </c>
      <c r="E537" t="inlineStr">
        <is>
          <t>2026-04-09</t>
        </is>
      </c>
      <c r="F537" t="inlineStr">
        <is>
          <t>2026-04-16</t>
        </is>
      </c>
      <c r="G537" t="inlineStr">
        <is>
          <t xml:space="preserve"> - Surfer Suite</t>
        </is>
      </c>
      <c r="H537">
        <f>HYPERLINK("https://booking.roadsurfer.com/es/rally/pick?pickup_date=2026-04-09&amp;return_date=2026-04-16&amp;currency=EUR&amp;startStation=22&amp;endStation=35",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España</t>
        </is>
      </c>
      <c r="D538" t="inlineStr">
        <is>
          <t>Barcelona</t>
        </is>
      </c>
      <c r="E538" t="inlineStr">
        <is>
          <t>2026-04-25</t>
        </is>
      </c>
      <c r="F538" t="inlineStr">
        <is>
          <t>2026-05-02</t>
        </is>
      </c>
      <c r="G538" t="inlineStr">
        <is>
          <t xml:space="preserve"> - No hay coche</t>
        </is>
      </c>
      <c r="H538">
        <f>HYPERLINK("https://booking.roadsurfer.com/es/rally/pick?pickup_date=2026-04-25&amp;return_date=2026-05-02&amp;currency=EUR&amp;startStation=22&amp;endStation=17",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España</t>
        </is>
      </c>
      <c r="D539" t="inlineStr">
        <is>
          <t>Barcelona</t>
        </is>
      </c>
      <c r="E539" t="inlineStr">
        <is>
          <t>2026-05-06</t>
        </is>
      </c>
      <c r="F539" t="inlineStr">
        <is>
          <t>2026-05-13</t>
        </is>
      </c>
      <c r="G539" t="inlineStr">
        <is>
          <t xml:space="preserve"> - Beach Hostel</t>
        </is>
      </c>
      <c r="H539">
        <f>HYPERLINK("https://booking.roadsurfer.com/es/rally/pick?pickup_date=2026-05-06&amp;return_date=2026-05-13&amp;currency=EUR&amp;startStation=22&amp;endStation=17",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España</t>
        </is>
      </c>
      <c r="D540" t="inlineStr">
        <is>
          <t>Barcelona</t>
        </is>
      </c>
      <c r="E540" t="inlineStr">
        <is>
          <t>2026-04-09</t>
        </is>
      </c>
      <c r="F540" t="inlineStr">
        <is>
          <t>2026-04-16</t>
        </is>
      </c>
      <c r="G540" t="inlineStr">
        <is>
          <t xml:space="preserve"> - Camper Cabin</t>
        </is>
      </c>
      <c r="H540">
        <f>HYPERLINK("https://booking.roadsurfer.com/es/rally/pick?pickup_date=2026-04-09&amp;return_date=2026-04-16&amp;currency=EUR&amp;startStation=22&amp;endStation=17",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España</t>
        </is>
      </c>
      <c r="D541" t="inlineStr">
        <is>
          <t>Barcelona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Road House</t>
        </is>
      </c>
      <c r="H541">
        <f>HYPERLINK("https://booking.roadsurfer.com/es/rally/pick?pickup_date=2026-05-04&amp;return_date=2026-05-11&amp;currency=EUR&amp;startStation=22&amp;endStation=17",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Barcelona</t>
        </is>
      </c>
      <c r="E542" t="inlineStr">
        <is>
          <t>2026-04-12</t>
        </is>
      </c>
      <c r="F542" t="inlineStr">
        <is>
          <t>2026-04-19</t>
        </is>
      </c>
      <c r="G542" t="inlineStr">
        <is>
          <t xml:space="preserve"> - No hay coche</t>
        </is>
      </c>
      <c r="H542">
        <f>HYPERLINK("https://booking.roadsurfer.com/es/rally/pick?pickup_date=2026-04-12&amp;return_date=2026-04-19&amp;currency=EUR&amp;startStation=22&amp;endStation=17",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Toulouse</t>
        </is>
      </c>
      <c r="E543" t="inlineStr">
        <is>
          <t>2026-04-07</t>
        </is>
      </c>
      <c r="F543" t="inlineStr">
        <is>
          <t>2026-04-14</t>
        </is>
      </c>
      <c r="G543" t="inlineStr">
        <is>
          <t xml:space="preserve"> - Surfer Suite - Beach Hostel</t>
        </is>
      </c>
      <c r="H543">
        <f>HYPERLINK("https://booking.roadsurfer.com/es/rally/pick?pickup_date=2026-04-07&amp;return_date=2026-04-14&amp;currency=EUR&amp;startStation=22&amp;endStation=30",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Toulouse</t>
        </is>
      </c>
      <c r="E544" t="inlineStr">
        <is>
          <t>2026-04-09</t>
        </is>
      </c>
      <c r="F544" t="inlineStr">
        <is>
          <t>2026-04-16</t>
        </is>
      </c>
      <c r="G544" t="inlineStr">
        <is>
          <t xml:space="preserve"> - Surfer Suite</t>
        </is>
      </c>
      <c r="H544">
        <f>HYPERLINK("https://booking.roadsurfer.com/es/rally/pick?pickup_date=2026-04-09&amp;return_date=2026-04-16&amp;currency=EUR&amp;startStation=22&amp;endStation=30",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Toulouse</t>
        </is>
      </c>
      <c r="E545" t="inlineStr">
        <is>
          <t>2026-04-08</t>
        </is>
      </c>
      <c r="F545" t="inlineStr">
        <is>
          <t>2026-04-15</t>
        </is>
      </c>
      <c r="G545" t="inlineStr">
        <is>
          <t xml:space="preserve"> - Surfer Suite - SURFER SUITE - FAMILY FINCA</t>
        </is>
      </c>
      <c r="H545">
        <f>HYPERLINK("https://booking.roadsurfer.com/es/rally/pick?pickup_date=2026-04-08&amp;return_date=2026-04-15&amp;currency=EUR&amp;startStation=22&amp;endStation=30",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Toulouse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Travel Home</t>
        </is>
      </c>
      <c r="H546">
        <f>HYPERLINK("https://booking.roadsurfer.com/es/rally/pick?pickup_date=2026-04-20&amp;return_date=2026-04-27&amp;currency=EUR&amp;startStation=22&amp;endStation=30",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Gotemburgo</t>
        </is>
      </c>
      <c r="E547" t="inlineStr">
        <is>
          <t>2026-04-10</t>
        </is>
      </c>
      <c r="F547" t="inlineStr">
        <is>
          <t>2026-04-17</t>
        </is>
      </c>
      <c r="G547" t="inlineStr">
        <is>
          <t xml:space="preserve"> - Surfer Suite</t>
        </is>
      </c>
      <c r="H547">
        <f>HYPERLINK("https://booking.roadsurfer.com/es/rally/pick?pickup_date=2026-04-10&amp;return_date=2026-04-17&amp;currency=EUR&amp;startStation=22&amp;endStation=77",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Gotemburgo</t>
        </is>
      </c>
      <c r="E548" t="inlineStr">
        <is>
          <t>2026-04-25</t>
        </is>
      </c>
      <c r="F548" t="inlineStr">
        <is>
          <t>2026-05-02</t>
        </is>
      </c>
      <c r="G548" t="inlineStr">
        <is>
          <t xml:space="preserve"> - No hay coche</t>
        </is>
      </c>
      <c r="H548">
        <f>HYPERLINK("https://booking.roadsurfer.com/es/rally/pick?pickup_date=2026-04-25&amp;return_date=2026-05-02&amp;currency=EUR&amp;startStation=22&amp;endStation=77",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Beach Hostel</t>
        </is>
      </c>
      <c r="H549">
        <f>HYPERLINK("https://booking.roadsurfer.com/es/rally/pick?pickup_date=2026-05-06&amp;return_date=2026-05-13&amp;currency=EUR&amp;startStation=22&amp;endStation=77",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Gotemburgo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ROAD HOUSE</t>
        </is>
      </c>
      <c r="H550">
        <f>HYPERLINK("https://booking.roadsurfer.com/es/rally/pick?pickup_date=2026-04-27&amp;return_date=2026-05-04&amp;currency=EUR&amp;startStation=22&amp;endStation=77",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No hay coche</t>
        </is>
      </c>
      <c r="H551">
        <f>HYPERLINK("https://booking.roadsurfer.com/es/rally/pick?pickup_date=2026-05-11&amp;return_date=2026-05-18&amp;currency=EUR&amp;startStation=22&amp;endStation=77",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Bélgica</t>
        </is>
      </c>
      <c r="D552" t="inlineStr">
        <is>
          <t>Amberes</t>
        </is>
      </c>
      <c r="E552" t="inlineStr">
        <is>
          <t>2026-04-22</t>
        </is>
      </c>
      <c r="F552" t="inlineStr">
        <is>
          <t>2026-04-29</t>
        </is>
      </c>
      <c r="G552" t="inlineStr">
        <is>
          <t xml:space="preserve"> - Surfer Suite</t>
        </is>
      </c>
      <c r="H552">
        <f>HYPERLINK("https://booking.roadsurfer.com/es/rally/pick?pickup_date=2026-04-22&amp;return_date=2026-04-29&amp;currency=EUR&amp;startStation=22&amp;endStation=47",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Bélgica</t>
        </is>
      </c>
      <c r="D553" t="inlineStr">
        <is>
          <t>Amberes</t>
        </is>
      </c>
      <c r="E553" t="inlineStr">
        <is>
          <t>2026-04-14</t>
        </is>
      </c>
      <c r="F553" t="inlineStr">
        <is>
          <t>2026-04-21</t>
        </is>
      </c>
      <c r="G553" t="inlineStr">
        <is>
          <t xml:space="preserve"> - Surfer Suite</t>
        </is>
      </c>
      <c r="H553">
        <f>HYPERLINK("https://booking.roadsurfer.com/es/rally/pick?pickup_date=2026-04-14&amp;return_date=2026-04-21&amp;currency=EUR&amp;startStation=22&amp;endStation=47",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Amberes</t>
        </is>
      </c>
      <c r="E554" t="inlineStr">
        <is>
          <t>2026-04-08</t>
        </is>
      </c>
      <c r="F554" t="inlineStr">
        <is>
          <t>2026-04-15</t>
        </is>
      </c>
      <c r="G554" t="inlineStr">
        <is>
          <t xml:space="preserve"> - Camper Cabin</t>
        </is>
      </c>
      <c r="H554">
        <f>HYPERLINK("https://booking.roadsurfer.com/es/rally/pick?pickup_date=2026-04-08&amp;return_date=2026-04-15&amp;currency=EUR&amp;startStation=22&amp;endStation=47",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Bélgica</t>
        </is>
      </c>
      <c r="D555" t="inlineStr">
        <is>
          <t>Amberes</t>
        </is>
      </c>
      <c r="E555" t="inlineStr">
        <is>
          <t>2026-04-16</t>
        </is>
      </c>
      <c r="F555" t="inlineStr">
        <is>
          <t>2026-04-23</t>
        </is>
      </c>
      <c r="G555" t="inlineStr">
        <is>
          <t xml:space="preserve"> - Family Finca</t>
        </is>
      </c>
      <c r="H555">
        <f>HYPERLINK("https://booking.roadsurfer.com/es/rally/pick?pickup_date=2026-04-16&amp;return_date=2026-04-23&amp;currency=EUR&amp;startStation=22&amp;endStation=47",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París Aeropuerto CDG</t>
        </is>
      </c>
      <c r="E556" t="inlineStr">
        <is>
          <t>2026-04-08</t>
        </is>
      </c>
      <c r="F556" t="inlineStr">
        <is>
          <t>2026-04-15</t>
        </is>
      </c>
      <c r="G556" t="inlineStr">
        <is>
          <t xml:space="preserve"> - Surfer Suite</t>
        </is>
      </c>
      <c r="H556">
        <f>HYPERLINK("https://booking.roadsurfer.com/es/rally/pick?pickup_date=2026-04-08&amp;return_date=2026-04-15&amp;currency=EUR&amp;startStation=22&amp;endStation=48",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España</t>
        </is>
      </c>
      <c r="D557" t="inlineStr">
        <is>
          <t>Bilbao</t>
        </is>
      </c>
      <c r="E557" t="inlineStr">
        <is>
          <t>2026-04-09</t>
        </is>
      </c>
      <c r="F557" t="inlineStr">
        <is>
          <t>2026-04-16</t>
        </is>
      </c>
      <c r="G557" t="inlineStr">
        <is>
          <t xml:space="preserve"> - Surfer Suite</t>
        </is>
      </c>
      <c r="H557">
        <f>HYPERLINK("https://booking.roadsurfer.com/es/rally/pick?pickup_date=2026-04-09&amp;return_date=2026-04-16&amp;currency=EUR&amp;startStation=22&amp;endStation=40",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España</t>
        </is>
      </c>
      <c r="D558" t="inlineStr">
        <is>
          <t>Bilbao</t>
        </is>
      </c>
      <c r="E558" t="inlineStr">
        <is>
          <t>2026-04-10</t>
        </is>
      </c>
      <c r="F558" t="inlineStr">
        <is>
          <t>2026-04-17</t>
        </is>
      </c>
      <c r="G558" t="inlineStr">
        <is>
          <t xml:space="preserve"> - Surfer Suite</t>
        </is>
      </c>
      <c r="H558">
        <f>HYPERLINK("https://booking.roadsurfer.com/es/rally/pick?pickup_date=2026-04-10&amp;return_date=2026-04-17&amp;currency=EUR&amp;startStation=22&amp;endStation=40",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Bilbao</t>
        </is>
      </c>
      <c r="E559" t="inlineStr">
        <is>
          <t>2026-04-27</t>
        </is>
      </c>
      <c r="F559" t="inlineStr">
        <is>
          <t>2026-05-04</t>
        </is>
      </c>
      <c r="G559" t="inlineStr">
        <is>
          <t xml:space="preserve"> - Surfer Suite</t>
        </is>
      </c>
      <c r="H559">
        <f>HYPERLINK("https://booking.roadsurfer.com/es/rally/pick?pickup_date=2026-04-27&amp;return_date=2026-05-04&amp;currency=EUR&amp;startStation=22&amp;endStation=40",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Bélgica</t>
        </is>
      </c>
      <c r="D560" t="inlineStr">
        <is>
          <t>Bruselas</t>
        </is>
      </c>
      <c r="E560" t="inlineStr">
        <is>
          <t>2026-04-14</t>
        </is>
      </c>
      <c r="F560" t="inlineStr">
        <is>
          <t>2026-04-21</t>
        </is>
      </c>
      <c r="G560" t="inlineStr">
        <is>
          <t xml:space="preserve"> - Surfer Suite</t>
        </is>
      </c>
      <c r="H560">
        <f>HYPERLINK("https://booking.roadsurfer.com/es/rally/pick?pickup_date=2026-04-14&amp;return_date=2026-04-21&amp;currency=EUR&amp;startStation=22&amp;endStation=42",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Málaga</t>
        </is>
      </c>
      <c r="E561" t="inlineStr">
        <is>
          <t>2026-04-08</t>
        </is>
      </c>
      <c r="F561" t="inlineStr">
        <is>
          <t>2026-04-15</t>
        </is>
      </c>
      <c r="G561" t="inlineStr">
        <is>
          <t xml:space="preserve"> - Surfer Suite</t>
        </is>
      </c>
      <c r="H561">
        <f>HYPERLINK("https://booking.roadsurfer.com/es/rally/pick?pickup_date=2026-04-08&amp;return_date=2026-04-15&amp;currency=EUR&amp;startStation=22&amp;endStation=21",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Málaga</t>
        </is>
      </c>
      <c r="E562" t="inlineStr">
        <is>
          <t>2026-04-10</t>
        </is>
      </c>
      <c r="F562" t="inlineStr">
        <is>
          <t>2026-04-17</t>
        </is>
      </c>
      <c r="G562" t="inlineStr">
        <is>
          <t xml:space="preserve"> - Couple Cottage</t>
        </is>
      </c>
      <c r="H562">
        <f>HYPERLINK("https://booking.roadsurfer.com/es/rally/pick?pickup_date=2026-04-10&amp;return_date=2026-04-17&amp;currency=EUR&amp;startStation=22&amp;endStation=21",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Turín</t>
        </is>
      </c>
      <c r="E563" t="inlineStr">
        <is>
          <t>2026-04-07</t>
        </is>
      </c>
      <c r="F563" t="inlineStr">
        <is>
          <t>2026-04-14</t>
        </is>
      </c>
      <c r="G563" t="inlineStr">
        <is>
          <t xml:space="preserve"> - Surfer Suite</t>
        </is>
      </c>
      <c r="H563">
        <f>HYPERLINK("https://booking.roadsurfer.com/es/rally/pick?pickup_date=2026-04-07&amp;return_date=2026-04-14&amp;currency=EUR&amp;startStation=22&amp;endStation=58",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Turín</t>
        </is>
      </c>
      <c r="E564" t="inlineStr">
        <is>
          <t>2026-04-09</t>
        </is>
      </c>
      <c r="F564" t="inlineStr">
        <is>
          <t>2026-04-16</t>
        </is>
      </c>
      <c r="G564" t="inlineStr">
        <is>
          <t xml:space="preserve"> - Surfer Suite</t>
        </is>
      </c>
      <c r="H564">
        <f>HYPERLINK("https://booking.roadsurfer.com/es/rally/pick?pickup_date=2026-04-09&amp;return_date=2026-04-16&amp;currency=EUR&amp;startStation=22&amp;endStation=58",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Turín</t>
        </is>
      </c>
      <c r="E565" t="inlineStr">
        <is>
          <t>2026-04-11</t>
        </is>
      </c>
      <c r="F565" t="inlineStr">
        <is>
          <t>2026-04-18</t>
        </is>
      </c>
      <c r="G565" t="inlineStr">
        <is>
          <t xml:space="preserve"> - No hay coche</t>
        </is>
      </c>
      <c r="H565">
        <f>HYPERLINK("https://booking.roadsurfer.com/es/rally/pick?pickup_date=2026-04-11&amp;return_date=2026-04-18&amp;currency=EUR&amp;startStation=22&amp;endStation=58",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Turín</t>
        </is>
      </c>
      <c r="E566" t="inlineStr">
        <is>
          <t>2026-04-10</t>
        </is>
      </c>
      <c r="F566" t="inlineStr">
        <is>
          <t>2026-04-17</t>
        </is>
      </c>
      <c r="G566" t="inlineStr">
        <is>
          <t xml:space="preserve"> - Road House</t>
        </is>
      </c>
      <c r="H566">
        <f>HYPERLINK("https://booking.roadsurfer.com/es/rally/pick?pickup_date=2026-04-10&amp;return_date=2026-04-17&amp;currency=EUR&amp;startStation=22&amp;endStation=58",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Turín</t>
        </is>
      </c>
      <c r="E567" t="inlineStr">
        <is>
          <t>2026-04-08</t>
        </is>
      </c>
      <c r="F567" t="inlineStr">
        <is>
          <t>2026-04-15</t>
        </is>
      </c>
      <c r="G567" t="inlineStr">
        <is>
          <t xml:space="preserve"> - Family Finca</t>
        </is>
      </c>
      <c r="H567">
        <f>HYPERLINK("https://booking.roadsurfer.com/es/rally/pick?pickup_date=2026-04-08&amp;return_date=2026-04-15&amp;currency=EUR&amp;startStation=22&amp;endStation=58",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Países Bajos</t>
        </is>
      </c>
      <c r="D568" t="inlineStr">
        <is>
          <t>Ámsterdam</t>
        </is>
      </c>
      <c r="E568" t="inlineStr">
        <is>
          <t>2026-04-08</t>
        </is>
      </c>
      <c r="F568" t="inlineStr">
        <is>
          <t>2026-04-15</t>
        </is>
      </c>
      <c r="G568" t="inlineStr">
        <is>
          <t xml:space="preserve"> - Surfer Suite</t>
        </is>
      </c>
      <c r="H568">
        <f>HYPERLINK("https://booking.roadsurfer.com/es/rally/pick?pickup_date=2026-04-08&amp;return_date=2026-04-15&amp;currency=EUR&amp;startStation=22&amp;endStation=32",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Países Bajos</t>
        </is>
      </c>
      <c r="D569" t="inlineStr">
        <is>
          <t>Ámsterdam</t>
        </is>
      </c>
      <c r="E569" t="inlineStr">
        <is>
          <t>2026-04-07</t>
        </is>
      </c>
      <c r="F569" t="inlineStr">
        <is>
          <t>2026-04-14</t>
        </is>
      </c>
      <c r="G569" t="inlineStr">
        <is>
          <t xml:space="preserve"> - Road House - Camper Cabin Deluxe</t>
        </is>
      </c>
      <c r="H569">
        <f>HYPERLINK("https://booking.roadsurfer.com/es/rally/pick?pickup_date=2026-04-07&amp;return_date=2026-04-14&amp;currency=EUR&amp;startStation=22&amp;endStation=32",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2026-04-25</t>
        </is>
      </c>
      <c r="F570" t="inlineStr">
        <is>
          <t>2026-05-02</t>
        </is>
      </c>
      <c r="G570" t="inlineStr">
        <is>
          <t xml:space="preserve"> - No hay coche</t>
        </is>
      </c>
      <c r="H570">
        <f>HYPERLINK("https://booking.roadsurfer.com/es/rally/pick?pickup_date=2026-04-25&amp;return_date=2026-05-02&amp;currency=EUR&amp;startStation=22&amp;endStation=34",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2026-04-13</t>
        </is>
      </c>
      <c r="F571" t="inlineStr">
        <is>
          <t>2026-04-20</t>
        </is>
      </c>
      <c r="G571" t="inlineStr">
        <is>
          <t xml:space="preserve"> - Surfer Suite</t>
        </is>
      </c>
      <c r="H571">
        <f>HYPERLINK("https://booking.roadsurfer.com/es/rally/pick?pickup_date=2026-04-13&amp;return_date=2026-04-20&amp;currency=EUR&amp;startStation=22&amp;endStation=34",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2026-04-20</t>
        </is>
      </c>
      <c r="F572" t="inlineStr">
        <is>
          <t>2026-04-27</t>
        </is>
      </c>
      <c r="G572" t="inlineStr">
        <is>
          <t xml:space="preserve"> - Beach Hostel</t>
        </is>
      </c>
      <c r="H572">
        <f>HYPERLINK("https://booking.roadsurfer.com/es/rally/pick?pickup_date=2026-04-20&amp;return_date=2026-04-27&amp;currency=EUR&amp;startStation=22&amp;endStation=34",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Bérgamo</t>
        </is>
      </c>
      <c r="E573" t="inlineStr">
        <is>
          <t>2026-04-09</t>
        </is>
      </c>
      <c r="F573" t="inlineStr">
        <is>
          <t>2026-04-16</t>
        </is>
      </c>
      <c r="G573" t="inlineStr">
        <is>
          <t xml:space="preserve"> - Surfer Suite</t>
        </is>
      </c>
      <c r="H573">
        <f>HYPERLINK("https://booking.roadsurfer.com/es/rally/pick?pickup_date=2026-04-09&amp;return_date=2026-04-16&amp;currency=EUR&amp;startStation=22&amp;endStation=94",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Bérgamo</t>
        </is>
      </c>
      <c r="E574" t="inlineStr">
        <is>
          <t>2026-04-14</t>
        </is>
      </c>
      <c r="F574" t="inlineStr">
        <is>
          <t>2026-04-21</t>
        </is>
      </c>
      <c r="G574" t="inlineStr">
        <is>
          <t xml:space="preserve"> - Surfer Suite</t>
        </is>
      </c>
      <c r="H574">
        <f>HYPERLINK("https://booking.roadsurfer.com/es/rally/pick?pickup_date=2026-04-14&amp;return_date=2026-04-21&amp;currency=EUR&amp;startStation=22&amp;endStation=94",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Bérgamo</t>
        </is>
      </c>
      <c r="E575" t="inlineStr">
        <is>
          <t>2026-04-17</t>
        </is>
      </c>
      <c r="F575" t="inlineStr">
        <is>
          <t>2026-04-24</t>
        </is>
      </c>
      <c r="G575" t="inlineStr">
        <is>
          <t xml:space="preserve"> - No hay coche</t>
        </is>
      </c>
      <c r="H575">
        <f>HYPERLINK("https://booking.roadsurfer.com/es/rally/pick?pickup_date=2026-04-17&amp;return_date=2026-04-24&amp;currency=EUR&amp;startStation=22&amp;endStation=94",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Bérgamo</t>
        </is>
      </c>
      <c r="E576" t="inlineStr">
        <is>
          <t>2026-05-14</t>
        </is>
      </c>
      <c r="F576" t="inlineStr">
        <is>
          <t>2026-05-21</t>
        </is>
      </c>
      <c r="G576" t="inlineStr">
        <is>
          <t xml:space="preserve"> - Cozy Cottage</t>
        </is>
      </c>
      <c r="H576">
        <f>HYPERLINK("https://booking.roadsurfer.com/es/rally/pick?pickup_date=2026-05-14&amp;return_date=2026-05-21&amp;currency=EUR&amp;startStation=22&amp;endStation=94",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Suecia</t>
        </is>
      </c>
      <c r="D577" t="inlineStr">
        <is>
          <t>Malmö</t>
        </is>
      </c>
      <c r="E577" t="inlineStr">
        <is>
          <t>2026-04-08</t>
        </is>
      </c>
      <c r="F577" t="inlineStr">
        <is>
          <t>2026-04-15</t>
        </is>
      </c>
      <c r="G577" t="inlineStr">
        <is>
          <t xml:space="preserve"> - Surfer Suite - Beach Hostel - Family Finca</t>
        </is>
      </c>
      <c r="H577">
        <f>HYPERLINK("https://booking.roadsurfer.com/es/rally/pick?pickup_date=2026-04-08&amp;return_date=2026-04-15&amp;currency=EUR&amp;startStation=22&amp;endStation=60",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Suecia</t>
        </is>
      </c>
      <c r="D578" t="inlineStr">
        <is>
          <t>Malmö</t>
        </is>
      </c>
      <c r="E578" t="inlineStr">
        <is>
          <t>2026-04-14</t>
        </is>
      </c>
      <c r="F578" t="inlineStr">
        <is>
          <t>2026-04-14</t>
        </is>
      </c>
      <c r="G578" t="inlineStr"/>
      <c r="H578">
        <f>HYPERLINK("https://booking.roadsurfer.com/es/rally/pick?pickup_date=2026-04-14&amp;return_date=2026-04-14&amp;currency=EUR&amp;startStation=22&amp;endStation=60",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Austria</t>
        </is>
      </c>
      <c r="D579" t="inlineStr">
        <is>
          <t>Viena Sur</t>
        </is>
      </c>
      <c r="E579" t="inlineStr">
        <is>
          <t>2026-04-08</t>
        </is>
      </c>
      <c r="F579" t="inlineStr">
        <is>
          <t>2026-04-15</t>
        </is>
      </c>
      <c r="G579" t="inlineStr">
        <is>
          <t xml:space="preserve"> - Surfer Suite</t>
        </is>
      </c>
      <c r="H579">
        <f>HYPERLINK("https://booking.roadsurfer.com/es/rally/pick?pickup_date=2026-04-08&amp;return_date=2026-04-15&amp;currency=EUR&amp;startStation=22&amp;endStation=45",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Austria</t>
        </is>
      </c>
      <c r="D580" t="inlineStr">
        <is>
          <t>Salzburgo</t>
        </is>
      </c>
      <c r="E580" t="inlineStr">
        <is>
          <t>2026-04-09</t>
        </is>
      </c>
      <c r="F580" t="inlineStr">
        <is>
          <t>2026-04-16</t>
        </is>
      </c>
      <c r="G580" t="inlineStr">
        <is>
          <t xml:space="preserve"> - Surfer Suite</t>
        </is>
      </c>
      <c r="H580">
        <f>HYPERLINK("https://booking.roadsurfer.com/es/rally/pick?pickup_date=2026-04-09&amp;return_date=2026-04-16&amp;currency=EUR&amp;startStation=22&amp;endStation=85",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Bolonia</t>
        </is>
      </c>
      <c r="E581" t="inlineStr">
        <is>
          <t>2026-04-08</t>
        </is>
      </c>
      <c r="F581" t="inlineStr">
        <is>
          <t>2026-04-15</t>
        </is>
      </c>
      <c r="G581" t="inlineStr">
        <is>
          <t xml:space="preserve"> - BEACH HOSTEL</t>
        </is>
      </c>
      <c r="H581">
        <f>HYPERLINK("https://booking.roadsurfer.com/es/rally/pick?pickup_date=2026-04-08&amp;return_date=2026-04-15&amp;currency=EUR&amp;startStation=22&amp;endStation=57",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Bolonia</t>
        </is>
      </c>
      <c r="E582" t="inlineStr">
        <is>
          <t>2026-04-09</t>
        </is>
      </c>
      <c r="F582" t="inlineStr">
        <is>
          <t>2026-04-16</t>
        </is>
      </c>
      <c r="G582" t="inlineStr">
        <is>
          <t xml:space="preserve"> - Surfer Suite</t>
        </is>
      </c>
      <c r="H582">
        <f>HYPERLINK("https://booking.roadsurfer.com/es/rally/pick?pickup_date=2026-04-09&amp;return_date=2026-04-16&amp;currency=EUR&amp;startStation=22&amp;endStation=57",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Bolonia</t>
        </is>
      </c>
      <c r="E583" t="inlineStr">
        <is>
          <t>2026-04-20</t>
        </is>
      </c>
      <c r="F583" t="inlineStr">
        <is>
          <t>2026-04-27</t>
        </is>
      </c>
      <c r="G583" t="inlineStr">
        <is>
          <t xml:space="preserve"> - Beach Hostel</t>
        </is>
      </c>
      <c r="H583">
        <f>HYPERLINK("https://booking.roadsurfer.com/es/rally/pick?pickup_date=2026-04-20&amp;return_date=2026-04-27&amp;currency=EUR&amp;startStation=22&amp;endStation=57",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Lille</t>
        </is>
      </c>
      <c r="E584" t="inlineStr">
        <is>
          <t>2026-04-07</t>
        </is>
      </c>
      <c r="F584" t="inlineStr">
        <is>
          <t>2026-04-14</t>
        </is>
      </c>
      <c r="G584" t="inlineStr">
        <is>
          <t xml:space="preserve"> - Beach Hostel</t>
        </is>
      </c>
      <c r="H584">
        <f>HYPERLINK("https://booking.roadsurfer.com/es/rally/pick?pickup_date=2026-04-07&amp;return_date=2026-04-14&amp;currency=EUR&amp;startStation=22&amp;endStation=87",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Lille</t>
        </is>
      </c>
      <c r="E585" t="inlineStr">
        <is>
          <t>2026-04-08</t>
        </is>
      </c>
      <c r="F585" t="inlineStr">
        <is>
          <t>2026-04-15</t>
        </is>
      </c>
      <c r="G585" t="inlineStr">
        <is>
          <t xml:space="preserve"> - Surfer Suite - Beach Hostel</t>
        </is>
      </c>
      <c r="H585">
        <f>HYPERLINK("https://booking.roadsurfer.com/es/rally/pick?pickup_date=2026-04-08&amp;return_date=2026-04-15&amp;currency=EUR&amp;startStation=22&amp;endStation=87",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Aix-Marsella</t>
        </is>
      </c>
      <c r="E586" t="inlineStr">
        <is>
          <t>2026-04-17</t>
        </is>
      </c>
      <c r="F586" t="inlineStr">
        <is>
          <t>2026-04-24</t>
        </is>
      </c>
      <c r="G586" t="inlineStr">
        <is>
          <t xml:space="preserve"> - SURFER SUITE</t>
        </is>
      </c>
      <c r="H586">
        <f>HYPERLINK("https://booking.roadsurfer.com/es/rally/pick?pickup_date=2026-04-17&amp;return_date=2026-04-24&amp;currency=EUR&amp;startStation=22&amp;endStation=16",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Venecia</t>
        </is>
      </c>
      <c r="E587" t="inlineStr">
        <is>
          <t>2026-04-27</t>
        </is>
      </c>
      <c r="F587" t="inlineStr">
        <is>
          <t>2026-05-04</t>
        </is>
      </c>
      <c r="G587" t="inlineStr">
        <is>
          <t xml:space="preserve"> - No hay coche</t>
        </is>
      </c>
      <c r="H587">
        <f>HYPERLINK("https://booking.roadsurfer.com/es/rally/pick?pickup_date=2026-04-27&amp;return_date=2026-05-04&amp;currency=EUR&amp;startStation=22&amp;endStation=78",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Italia</t>
        </is>
      </c>
      <c r="D588" t="inlineStr">
        <is>
          <t>Venecia</t>
        </is>
      </c>
      <c r="E588" t="inlineStr">
        <is>
          <t>2026-04-09</t>
        </is>
      </c>
      <c r="F588" t="inlineStr">
        <is>
          <t>2026-04-16</t>
        </is>
      </c>
      <c r="G588" t="inlineStr">
        <is>
          <t xml:space="preserve"> - Road House</t>
        </is>
      </c>
      <c r="H588">
        <f>HYPERLINK("https://booking.roadsurfer.com/es/rally/pick?pickup_date=2026-04-09&amp;return_date=2026-04-16&amp;currency=EUR&amp;startStation=22&amp;endStation=78",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Italia</t>
        </is>
      </c>
      <c r="D589" t="inlineStr">
        <is>
          <t>Venecia</t>
        </is>
      </c>
      <c r="E589" t="inlineStr">
        <is>
          <t>2026-06-02</t>
        </is>
      </c>
      <c r="F589" t="inlineStr">
        <is>
          <t>2026-06-09</t>
        </is>
      </c>
      <c r="G589" t="inlineStr">
        <is>
          <t xml:space="preserve"> - Sunrise Suite</t>
        </is>
      </c>
      <c r="H589">
        <f>HYPERLINK("https://booking.roadsurfer.com/es/rally/pick?pickup_date=2026-06-02&amp;return_date=2026-06-09&amp;currency=EUR&amp;startStation=22&amp;endStation=78",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Madrid</t>
        </is>
      </c>
      <c r="E590" t="inlineStr">
        <is>
          <t>2026-04-08</t>
        </is>
      </c>
      <c r="F590" t="inlineStr">
        <is>
          <t>2026-04-15</t>
        </is>
      </c>
      <c r="G590" t="inlineStr">
        <is>
          <t xml:space="preserve"> - Beach Hostel</t>
        </is>
      </c>
      <c r="H590">
        <f>HYPERLINK("https://booking.roadsurfer.com/es/rally/pick?pickup_date=2026-04-08&amp;return_date=2026-04-15&amp;currency=EUR&amp;startStation=22&amp;endStation=20",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Madrid</t>
        </is>
      </c>
      <c r="E591" t="inlineStr">
        <is>
          <t>2026-05-11</t>
        </is>
      </c>
      <c r="F591" t="inlineStr">
        <is>
          <t>2026-05-18</t>
        </is>
      </c>
      <c r="G591" t="inlineStr">
        <is>
          <t xml:space="preserve"> - Sunrise Suite</t>
        </is>
      </c>
      <c r="H591">
        <f>HYPERLINK("https://booking.roadsurfer.com/es/rally/pick?pickup_date=2026-05-11&amp;return_date=2026-05-18&amp;currency=EUR&amp;startStation=22&amp;endStation=20",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Alemania</t>
        </is>
      </c>
      <c r="D592" t="inlineStr">
        <is>
          <t>Berlín-Schönefeld</t>
        </is>
      </c>
      <c r="E592" t="inlineStr">
        <is>
          <t>2026-04-20</t>
        </is>
      </c>
      <c r="F592" t="inlineStr">
        <is>
          <t>2026-04-27</t>
        </is>
      </c>
      <c r="G592" t="inlineStr">
        <is>
          <t xml:space="preserve"> - Beach Hostel</t>
        </is>
      </c>
      <c r="H592">
        <f>HYPERLINK("https://booking.roadsurfer.com/es/rally/pick?pickup_date=2026-04-20&amp;return_date=2026-04-27&amp;currency=EUR&amp;startStation=22&amp;endStation=51",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España</t>
        </is>
      </c>
      <c r="D593" t="inlineStr">
        <is>
          <t>Sevilla</t>
        </is>
      </c>
      <c r="E593" t="inlineStr">
        <is>
          <t>2026-04-09</t>
        </is>
      </c>
      <c r="F593" t="inlineStr">
        <is>
          <t>2026-04-16</t>
        </is>
      </c>
      <c r="G593" t="inlineStr">
        <is>
          <t xml:space="preserve"> - Road House</t>
        </is>
      </c>
      <c r="H593">
        <f>HYPERLINK("https://booking.roadsurfer.com/es/rally/pick?pickup_date=2026-04-09&amp;return_date=2026-04-16&amp;currency=EUR&amp;startStation=22&amp;endStation=39",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Florencia</t>
        </is>
      </c>
      <c r="E594" t="inlineStr">
        <is>
          <t>2026-04-30</t>
        </is>
      </c>
      <c r="F594" t="inlineStr">
        <is>
          <t>2026-05-07</t>
        </is>
      </c>
      <c r="G594" t="inlineStr">
        <is>
          <t xml:space="preserve"> - Road House</t>
        </is>
      </c>
      <c r="H594">
        <f>HYPERLINK("https://booking.roadsurfer.com/es/rally/pick?pickup_date=2026-04-30&amp;return_date=2026-05-07&amp;currency=EUR&amp;startStation=22&amp;endStation=80",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Wurzburgo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No hay coche</t>
        </is>
      </c>
      <c r="H595">
        <f>HYPERLINK("https://booking.roadsurfer.com/es/rally/pick?pickup_date=2026-05-04&amp;return_date=2026-05-11&amp;currency=EUR&amp;startStation=34&amp;endStation=115",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Wurzburgo</t>
        </is>
      </c>
      <c r="E596" t="inlineStr">
        <is>
          <t>2026-05-06</t>
        </is>
      </c>
      <c r="F596" t="inlineStr">
        <is>
          <t>2026-05-13</t>
        </is>
      </c>
      <c r="G596" t="inlineStr">
        <is>
          <t xml:space="preserve"> - Road House</t>
        </is>
      </c>
      <c r="H596">
        <f>HYPERLINK("https://booking.roadsurfer.com/es/rally/pick?pickup_date=2026-05-06&amp;return_date=2026-05-13&amp;currency=EUR&amp;startStation=34&amp;endStation=115",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Wurzburgo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Surfer Suite</t>
        </is>
      </c>
      <c r="H597">
        <f>HYPERLINK("https://booking.roadsurfer.com/es/rally/pick?pickup_date=2026-05-15&amp;return_date=2026-05-22&amp;currency=EUR&amp;startStation=34&amp;endStation=115",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Road House</t>
        </is>
      </c>
      <c r="H598">
        <f>HYPERLINK("https://booking.roadsurfer.com/es/rally/pick?pickup_date=2026-05-06&amp;return_date=2026-05-13&amp;currency=EUR&amp;startStation=34&amp;endStation=22",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2026-05-12</t>
        </is>
      </c>
      <c r="F599" t="inlineStr">
        <is>
          <t>2026-05-19</t>
        </is>
      </c>
      <c r="G599" t="inlineStr">
        <is>
          <t xml:space="preserve"> - Surfer Suite</t>
        </is>
      </c>
      <c r="H599">
        <f>HYPERLINK("https://booking.roadsurfer.com/es/rally/pick?pickup_date=2026-05-12&amp;return_date=2026-05-19&amp;currency=EUR&amp;startStation=34&amp;endStation=22",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2026-04-22</t>
        </is>
      </c>
      <c r="F600" t="inlineStr">
        <is>
          <t>2026-04-29</t>
        </is>
      </c>
      <c r="G600" t="inlineStr">
        <is>
          <t xml:space="preserve"> - Couple Cottage</t>
        </is>
      </c>
      <c r="H600">
        <f>HYPERLINK("https://booking.roadsurfer.com/es/rally/pick?pickup_date=2026-04-22&amp;return_date=2026-04-29&amp;currency=EUR&amp;startStation=34&amp;endStation=22",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Leipzig</t>
        </is>
      </c>
      <c r="E601" t="inlineStr">
        <is>
          <t>2026-05-08</t>
        </is>
      </c>
      <c r="F601" t="inlineStr">
        <is>
          <t>2026-05-15</t>
        </is>
      </c>
      <c r="G601" t="inlineStr">
        <is>
          <t xml:space="preserve"> - Road House</t>
        </is>
      </c>
      <c r="H601">
        <f>HYPERLINK("https://booking.roadsurfer.com/es/rally/pick?pickup_date=2026-05-08&amp;return_date=2026-05-15&amp;currency=EUR&amp;startStation=34&amp;endStation=8",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Leipzig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Couple Cottage</t>
        </is>
      </c>
      <c r="H602">
        <f>HYPERLINK("https://booking.roadsurfer.com/es/rally/pick?pickup_date=2026-05-11&amp;return_date=2026-05-18&amp;currency=EUR&amp;startStation=34&amp;endStation=8",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Leipzig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Surfer Suite</t>
        </is>
      </c>
      <c r="H603">
        <f>HYPERLINK("https://booking.roadsurfer.com/es/rally/pick?pickup_date=2026-05-15&amp;return_date=2026-05-22&amp;currency=EUR&amp;startStation=34&amp;endStation=8",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2026-05-07</t>
        </is>
      </c>
      <c r="F604" t="inlineStr">
        <is>
          <t>2026-05-14</t>
        </is>
      </c>
      <c r="G604" t="inlineStr">
        <is>
          <t xml:space="preserve"> - No hay coche</t>
        </is>
      </c>
      <c r="H604">
        <f>HYPERLINK("https://booking.roadsurfer.com/es/rally/pick?pickup_date=2026-05-07&amp;return_date=2026-05-14&amp;currency=EUR&amp;startStation=34&amp;endStation=90",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Erfurt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Road House</t>
        </is>
      </c>
      <c r="H605">
        <f>HYPERLINK("https://booking.roadsurfer.com/es/rally/pick?pickup_date=2026-05-11&amp;return_date=2026-05-18&amp;currency=EUR&amp;startStation=34&amp;endStation=90",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Erfurt</t>
        </is>
      </c>
      <c r="E606" t="inlineStr">
        <is>
          <t>2026-04-16</t>
        </is>
      </c>
      <c r="F606" t="inlineStr">
        <is>
          <t>2026-04-23</t>
        </is>
      </c>
      <c r="G606" t="inlineStr">
        <is>
          <t xml:space="preserve"> - Sunrise Suite</t>
        </is>
      </c>
      <c r="H606">
        <f>HYPERLINK("https://booking.roadsurfer.com/es/rally/pick?pickup_date=2026-04-16&amp;return_date=2026-04-23&amp;currency=EUR&amp;startStation=34&amp;endStation=90",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Stuttgart</t>
        </is>
      </c>
      <c r="E607" t="inlineStr">
        <is>
          <t>2026-05-04</t>
        </is>
      </c>
      <c r="F607" t="inlineStr">
        <is>
          <t>2026-05-11</t>
        </is>
      </c>
      <c r="G607" t="inlineStr">
        <is>
          <t xml:space="preserve"> - No hay coche</t>
        </is>
      </c>
      <c r="H607">
        <f>HYPERLINK("https://booking.roadsurfer.com/es/rally/pick?pickup_date=2026-05-04&amp;return_date=2026-05-11&amp;currency=EUR&amp;startStation=34&amp;endStation=5",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Stuttgart</t>
        </is>
      </c>
      <c r="E608" t="inlineStr">
        <is>
          <t>2026-05-06</t>
        </is>
      </c>
      <c r="F608" t="inlineStr">
        <is>
          <t>2026-05-13</t>
        </is>
      </c>
      <c r="G608" t="inlineStr">
        <is>
          <t xml:space="preserve"> - Road House</t>
        </is>
      </c>
      <c r="H608">
        <f>HYPERLINK("https://booking.roadsurfer.com/es/rally/pick?pickup_date=2026-05-06&amp;return_date=2026-05-13&amp;currency=EUR&amp;startStation=34&amp;endStation=5",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Stuttgart</t>
        </is>
      </c>
      <c r="E609" t="inlineStr">
        <is>
          <t>2026-05-08</t>
        </is>
      </c>
      <c r="F609" t="inlineStr">
        <is>
          <t>2026-05-15</t>
        </is>
      </c>
      <c r="G609" t="inlineStr">
        <is>
          <t xml:space="preserve"> - No hay coche</t>
        </is>
      </c>
      <c r="H609">
        <f>HYPERLINK("https://booking.roadsurfer.com/es/rally/pick?pickup_date=2026-05-08&amp;return_date=2026-05-15&amp;currency=EUR&amp;startStation=34&amp;endStation=5",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Múnich</t>
        </is>
      </c>
      <c r="E610" t="inlineStr">
        <is>
          <t>2026-05-07</t>
        </is>
      </c>
      <c r="F610" t="inlineStr">
        <is>
          <t>2026-05-14</t>
        </is>
      </c>
      <c r="G610" t="inlineStr">
        <is>
          <t xml:space="preserve"> - No hay coche</t>
        </is>
      </c>
      <c r="H610">
        <f>HYPERLINK("https://booking.roadsurfer.com/es/rally/pick?pickup_date=2026-05-07&amp;return_date=2026-05-14&amp;currency=EUR&amp;startStation=34&amp;endStation=1",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Múnich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Sunrise Suite</t>
        </is>
      </c>
      <c r="H611">
        <f>HYPERLINK("https://booking.roadsurfer.com/es/rally/pick?pickup_date=2026-05-11&amp;return_date=2026-05-18&amp;currency=EUR&amp;startStation=34&amp;endStation=1",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Núremberg</t>
        </is>
      </c>
      <c r="E612" t="inlineStr">
        <is>
          <t>2026-05-11</t>
        </is>
      </c>
      <c r="F612" t="inlineStr">
        <is>
          <t>2026-05-18</t>
        </is>
      </c>
      <c r="G612" t="inlineStr">
        <is>
          <t xml:space="preserve"> - Family Finca</t>
        </is>
      </c>
      <c r="H612">
        <f>HYPERLINK("https://booking.roadsurfer.com/es/rally/pick?pickup_date=2026-05-11&amp;return_date=2026-05-18&amp;currency=EUR&amp;startStation=34&amp;endStation=11",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Núremberg</t>
        </is>
      </c>
      <c r="E613" t="inlineStr">
        <is>
          <t>2026-05-12</t>
        </is>
      </c>
      <c r="F613" t="inlineStr">
        <is>
          <t>2026-05-19</t>
        </is>
      </c>
      <c r="G613" t="inlineStr">
        <is>
          <t xml:space="preserve"> - Camper Castle</t>
        </is>
      </c>
      <c r="H613">
        <f>HYPERLINK("https://booking.roadsurfer.com/es/rally/pick?pickup_date=2026-05-12&amp;return_date=2026-05-19&amp;currency=EUR&amp;startStation=34&amp;endStation=11",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2026-05-04</t>
        </is>
      </c>
      <c r="F614" t="inlineStr">
        <is>
          <t>2026-05-11</t>
        </is>
      </c>
      <c r="G614" t="inlineStr">
        <is>
          <t xml:space="preserve"> - Camper Castle</t>
        </is>
      </c>
      <c r="H614">
        <f>HYPERLINK("https://booking.roadsurfer.com/es/rally/pick?pickup_date=2026-05-04&amp;return_date=2026-05-11&amp;currency=EUR&amp;startStation=34&amp;endStation=56",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2026-05-13</t>
        </is>
      </c>
      <c r="F615" t="inlineStr">
        <is>
          <t>2026-05-20</t>
        </is>
      </c>
      <c r="G615" t="inlineStr">
        <is>
          <t xml:space="preserve"> - No hay coche</t>
        </is>
      </c>
      <c r="H615">
        <f>HYPERLINK("https://booking.roadsurfer.com/es/rally/pick?pickup_date=2026-05-13&amp;return_date=2026-05-20&amp;currency=EUR&amp;startStation=34&amp;endStation=56",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2026-05-07</t>
        </is>
      </c>
      <c r="F616" t="inlineStr">
        <is>
          <t>2026-05-14</t>
        </is>
      </c>
      <c r="G616" t="inlineStr">
        <is>
          <t xml:space="preserve"> - No hay coche</t>
        </is>
      </c>
      <c r="H616">
        <f>HYPERLINK("https://booking.roadsurfer.com/es/rally/pick?pickup_date=2026-05-07&amp;return_date=2026-05-14&amp;currency=EUR&amp;startStation=34&amp;endStation=56",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Alemania</t>
        </is>
      </c>
      <c r="D617" t="inlineStr">
        <is>
          <t>Berlín</t>
        </is>
      </c>
      <c r="E617" t="inlineStr">
        <is>
          <t>2026-04-27</t>
        </is>
      </c>
      <c r="F617" t="inlineStr">
        <is>
          <t>2026-05-04</t>
        </is>
      </c>
      <c r="G617" t="inlineStr">
        <is>
          <t xml:space="preserve"> - Beach Hostel</t>
        </is>
      </c>
      <c r="H617">
        <f>HYPERLINK("https://booking.roadsurfer.com/es/rally/pick?pickup_date=2026-04-27&amp;return_date=2026-05-04&amp;currency=EUR&amp;startStation=1&amp;endStation=6",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Alemania</t>
        </is>
      </c>
      <c r="D618" t="inlineStr">
        <is>
          <t>Berlín-Schönefeld</t>
        </is>
      </c>
      <c r="E618" t="inlineStr">
        <is>
          <t>2026-04-30</t>
        </is>
      </c>
      <c r="F618" t="inlineStr">
        <is>
          <t>2026-05-07</t>
        </is>
      </c>
      <c r="G618" t="inlineStr">
        <is>
          <t xml:space="preserve"> - Beach Hostel</t>
        </is>
      </c>
      <c r="H618">
        <f>HYPERLINK("https://booking.roadsurfer.com/es/rally/pick?pickup_date=2026-04-30&amp;return_date=2026-05-07&amp;currency=EUR&amp;startStation=1&amp;endStation=51",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España</t>
        </is>
      </c>
      <c r="D619" t="inlineStr">
        <is>
          <t>Bilbao</t>
        </is>
      </c>
      <c r="E619" t="inlineStr">
        <is>
          <t>2026-04-15</t>
        </is>
      </c>
      <c r="F619" t="inlineStr">
        <is>
          <t>2026-04-22</t>
        </is>
      </c>
      <c r="G619" t="inlineStr">
        <is>
          <t xml:space="preserve"> - Camper Cabin</t>
        </is>
      </c>
      <c r="H619">
        <f>HYPERLINK("https://booking.roadsurfer.com/es/rally/pick?pickup_date=2026-04-15&amp;return_date=2026-04-22&amp;currency=EUR&amp;startStation=1&amp;endStation=40",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España</t>
        </is>
      </c>
      <c r="D620" t="inlineStr">
        <is>
          <t>Bilbao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Camper Castle</t>
        </is>
      </c>
      <c r="H620">
        <f>HYPERLINK("https://booking.roadsurfer.com/es/rally/pick?pickup_date=2026-05-11&amp;return_date=2026-05-18&amp;currency=EUR&amp;startStation=1&amp;endStation=40",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Francia</t>
        </is>
      </c>
      <c r="D621" t="inlineStr">
        <is>
          <t>Nantes</t>
        </is>
      </c>
      <c r="E621" t="inlineStr">
        <is>
          <t>2026-04-10</t>
        </is>
      </c>
      <c r="F621" t="inlineStr">
        <is>
          <t>2026-04-17</t>
        </is>
      </c>
      <c r="G621" t="inlineStr">
        <is>
          <t xml:space="preserve"> - Camper Castle</t>
        </is>
      </c>
      <c r="H621">
        <f>HYPERLINK("https://booking.roadsurfer.com/es/rally/pick?pickup_date=2026-04-10&amp;return_date=2026-04-17&amp;currency=EUR&amp;startStation=1&amp;endStation=31",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Francia</t>
        </is>
      </c>
      <c r="D622" t="inlineStr">
        <is>
          <t>Lille</t>
        </is>
      </c>
      <c r="E622" t="inlineStr">
        <is>
          <t>2026-04-09</t>
        </is>
      </c>
      <c r="F622" t="inlineStr">
        <is>
          <t>2026-04-16</t>
        </is>
      </c>
      <c r="G622" t="inlineStr">
        <is>
          <t xml:space="preserve"> - COZY COTTAGE</t>
        </is>
      </c>
      <c r="H622">
        <f>HYPERLINK("https://booking.roadsurfer.com/es/rally/pick?pickup_date=2026-04-09&amp;return_date=2026-04-16&amp;currency=EUR&amp;startStation=1&amp;endStation=87",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Francia</t>
        </is>
      </c>
      <c r="D623" t="inlineStr">
        <is>
          <t>Lille</t>
        </is>
      </c>
      <c r="E623" t="inlineStr">
        <is>
          <t>2026-04-27</t>
        </is>
      </c>
      <c r="F623" t="inlineStr">
        <is>
          <t>2026-05-04</t>
        </is>
      </c>
      <c r="G623" t="inlineStr">
        <is>
          <t xml:space="preserve"> - Family Finca</t>
        </is>
      </c>
      <c r="H623">
        <f>HYPERLINK("https://booking.roadsurfer.com/es/rally/pick?pickup_date=2026-04-27&amp;return_date=2026-05-04&amp;currency=EUR&amp;startStation=1&amp;endStation=87",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Francia</t>
        </is>
      </c>
      <c r="D624" t="inlineStr">
        <is>
          <t>Burdeos</t>
        </is>
      </c>
      <c r="E624" t="inlineStr">
        <is>
          <t>2026-04-17</t>
        </is>
      </c>
      <c r="F624" t="inlineStr">
        <is>
          <t>2026-04-24</t>
        </is>
      </c>
      <c r="G624" t="inlineStr">
        <is>
          <t xml:space="preserve"> - Sunrise Suite</t>
        </is>
      </c>
      <c r="H624">
        <f>HYPERLINK("https://booking.roadsurfer.com/es/rally/pick?pickup_date=2026-04-17&amp;return_date=2026-04-24&amp;currency=EUR&amp;startStation=1&amp;endStation=13",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Francia</t>
        </is>
      </c>
      <c r="D625" t="inlineStr">
        <is>
          <t>París Sur (Orly)</t>
        </is>
      </c>
      <c r="E625" t="inlineStr">
        <is>
          <t>2026-04-20</t>
        </is>
      </c>
      <c r="F625" t="inlineStr">
        <is>
          <t>2026-04-27</t>
        </is>
      </c>
      <c r="G625" t="inlineStr">
        <is>
          <t xml:space="preserve"> - Sunrise Suite</t>
        </is>
      </c>
      <c r="H625">
        <f>HYPERLINK("https://booking.roadsurfer.com/es/rally/pick?pickup_date=2026-04-20&amp;return_date=2026-04-27&amp;currency=EUR&amp;startStation=1&amp;endStation=12",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Colonia-Düsseldorf</t>
        </is>
      </c>
      <c r="E626" t="inlineStr">
        <is>
          <t>2026-04-13</t>
        </is>
      </c>
      <c r="F626" t="inlineStr">
        <is>
          <t>2026-04-20</t>
        </is>
      </c>
      <c r="G626" t="inlineStr">
        <is>
          <t xml:space="preserve"> - Surfer Suite</t>
        </is>
      </c>
      <c r="H626">
        <f>HYPERLINK("https://booking.roadsurfer.com/es/rally/pick?pickup_date=2026-04-13&amp;return_date=2026-04-20&amp;currency=EUR&amp;startStation=31&amp;endStation=4",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Colonia-Düsseldorf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Beach Hostel</t>
        </is>
      </c>
      <c r="H627">
        <f>HYPERLINK("https://booking.roadsurfer.com/es/rally/pick?pickup_date=2026-05-15&amp;return_date=2026-05-22&amp;currency=EUR&amp;startStation=31&amp;endStation=4", "Clic para verlo en la web de RoadSurfer")</f>
        <v/>
      </c>
    </row>
    <row r="628">
      <c r="A628" t="inlineStr">
        <is>
          <t>Francia</t>
        </is>
      </c>
      <c r="B628" t="inlineStr">
        <is>
          <t>Nantes</t>
        </is>
      </c>
      <c r="C628" t="inlineStr">
        <is>
          <t>Alemania</t>
        </is>
      </c>
      <c r="D628" t="inlineStr">
        <is>
          <t>Colonia-Düsseldorf</t>
        </is>
      </c>
      <c r="E628" t="inlineStr">
        <is>
          <t>2026-05-12</t>
        </is>
      </c>
      <c r="F628" t="inlineStr">
        <is>
          <t>2026-05-19</t>
        </is>
      </c>
      <c r="G628" t="inlineStr">
        <is>
          <t xml:space="preserve"> - Surfer Suite</t>
        </is>
      </c>
      <c r="H628">
        <f>HYPERLINK("https://booking.roadsurfer.com/es/rally/pick?pickup_date=2026-05-12&amp;return_date=2026-05-19&amp;currency=EUR&amp;startStation=31&amp;endStation=4", "Clic para verlo en la web de RoadSurfer")</f>
        <v/>
      </c>
    </row>
    <row r="629">
      <c r="A629" t="inlineStr">
        <is>
          <t>Francia</t>
        </is>
      </c>
      <c r="B629" t="inlineStr">
        <is>
          <t>Nantes</t>
        </is>
      </c>
      <c r="C629" t="inlineStr">
        <is>
          <t>Alemania</t>
        </is>
      </c>
      <c r="D629" t="inlineStr">
        <is>
          <t>Lindau-Wangen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Surfer Suite</t>
        </is>
      </c>
      <c r="H629">
        <f>HYPERLINK("https://booking.roadsurfer.com/es/rally/pick?pickup_date=2026-05-11&amp;return_date=2026-05-18&amp;currency=EUR&amp;startStation=31&amp;endStation=117", "Clic para verlo en la web de RoadSurfer")</f>
        <v/>
      </c>
    </row>
    <row r="630">
      <c r="A630" t="inlineStr">
        <is>
          <t>Francia</t>
        </is>
      </c>
      <c r="B630" t="inlineStr">
        <is>
          <t>Nantes</t>
        </is>
      </c>
      <c r="C630" t="inlineStr">
        <is>
          <t>Alemania</t>
        </is>
      </c>
      <c r="D630" t="inlineStr">
        <is>
          <t>Lindau-Wangen</t>
        </is>
      </c>
      <c r="E630" t="inlineStr">
        <is>
          <t>2026-05-18</t>
        </is>
      </c>
      <c r="F630" t="inlineStr">
        <is>
          <t>2026-05-25</t>
        </is>
      </c>
      <c r="G630" t="inlineStr">
        <is>
          <t xml:space="preserve"> - No hay coche</t>
        </is>
      </c>
      <c r="H630">
        <f>HYPERLINK("https://booking.roadsurfer.com/es/rally/pick?pickup_date=2026-05-18&amp;return_date=2026-05-25&amp;currency=EUR&amp;startStation=31&amp;endStation=117",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SURFER SUITE</t>
        </is>
      </c>
      <c r="H631">
        <f>HYPERLINK("https://booking.roadsurfer.com/es/rally/pick?pickup_date=2026-05-15&amp;return_date=2026-05-22&amp;currency=EUR&amp;startStation=31&amp;endStation=22",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2026-05-06</t>
        </is>
      </c>
      <c r="F632" t="inlineStr">
        <is>
          <t>2026-05-13</t>
        </is>
      </c>
      <c r="G632" t="inlineStr">
        <is>
          <t xml:space="preserve"> - Camper Cabin - Road House - Family Finca - Couple Cottage</t>
        </is>
      </c>
      <c r="H632">
        <f>HYPERLINK("https://booking.roadsurfer.com/es/rally/pick?pickup_date=2026-05-06&amp;return_date=2026-05-13&amp;currency=EUR&amp;startStation=31&amp;endStation=22",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Couple Cottage</t>
        </is>
      </c>
      <c r="H633">
        <f>HYPERLINK("https://booking.roadsurfer.com/es/rally/pick?pickup_date=2026-05-11&amp;return_date=2026-05-18&amp;currency=EUR&amp;startStation=31&amp;endStation=22",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2026-05-13</t>
        </is>
      </c>
      <c r="F634" t="inlineStr">
        <is>
          <t>2026-05-20</t>
        </is>
      </c>
      <c r="G634" t="inlineStr">
        <is>
          <t xml:space="preserve"> - No hay coche</t>
        </is>
      </c>
      <c r="H634">
        <f>HYPERLINK("https://booking.roadsurfer.com/es/rally/pick?pickup_date=2026-05-13&amp;return_date=2026-05-20&amp;currency=EUR&amp;startStation=31&amp;endStation=22", "Clic para verlo en la web de RoadSurfer")</f>
        <v/>
      </c>
    </row>
    <row r="635">
      <c r="A635" t="inlineStr">
        <is>
          <t>Francia</t>
        </is>
      </c>
      <c r="B635" t="inlineStr">
        <is>
          <t>Nantes</t>
        </is>
      </c>
      <c r="C635" t="inlineStr">
        <is>
          <t>Alemania</t>
        </is>
      </c>
      <c r="D635" t="inlineStr">
        <is>
          <t>Ulm</t>
        </is>
      </c>
      <c r="E635" t="inlineStr">
        <is>
          <t>2026-04-14</t>
        </is>
      </c>
      <c r="F635" t="inlineStr">
        <is>
          <t>2026-04-21</t>
        </is>
      </c>
      <c r="G635" t="inlineStr">
        <is>
          <t xml:space="preserve"> - Beach Hostel</t>
        </is>
      </c>
      <c r="H635">
        <f>HYPERLINK("https://booking.roadsurfer.com/es/rally/pick?pickup_date=2026-04-14&amp;return_date=2026-04-21&amp;currency=EUR&amp;startStation=31&amp;endStation=112",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Kiel</t>
        </is>
      </c>
      <c r="E636" t="inlineStr">
        <is>
          <t>2026-04-09</t>
        </is>
      </c>
      <c r="F636" t="inlineStr">
        <is>
          <t>2026-04-16</t>
        </is>
      </c>
      <c r="G636" t="inlineStr">
        <is>
          <t xml:space="preserve"> - Camper Cabin</t>
        </is>
      </c>
      <c r="H636">
        <f>HYPERLINK("https://booking.roadsurfer.com/es/rally/pick?pickup_date=2026-04-09&amp;return_date=2026-04-16&amp;currency=EUR&amp;startStation=31&amp;endStation=111",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Constanza (Aach)</t>
        </is>
      </c>
      <c r="E637" t="inlineStr">
        <is>
          <t>2026-05-06</t>
        </is>
      </c>
      <c r="F637" t="inlineStr">
        <is>
          <t>2026-05-13</t>
        </is>
      </c>
      <c r="G637" t="inlineStr">
        <is>
          <t xml:space="preserve"> - Couple Cottage</t>
        </is>
      </c>
      <c r="H637">
        <f>HYPERLINK("https://booking.roadsurfer.com/es/rally/pick?pickup_date=2026-05-06&amp;return_date=2026-05-13&amp;currency=EUR&amp;startStation=31&amp;endStation=10",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Constanza (Aach)</t>
        </is>
      </c>
      <c r="E638" t="inlineStr">
        <is>
          <t>2026-05-13</t>
        </is>
      </c>
      <c r="F638" t="inlineStr">
        <is>
          <t>2026-05-20</t>
        </is>
      </c>
      <c r="G638" t="inlineStr">
        <is>
          <t xml:space="preserve"> - Camper Cabin</t>
        </is>
      </c>
      <c r="H638">
        <f>HYPERLINK("https://booking.roadsurfer.com/es/rally/pick?pickup_date=2026-05-13&amp;return_date=2026-05-20&amp;currency=EUR&amp;startStation=31&amp;endStation=10", "Clic para verlo en la web de RoadSurfer")</f>
        <v/>
      </c>
    </row>
    <row r="639">
      <c r="A639" t="inlineStr">
        <is>
          <t>Francia</t>
        </is>
      </c>
      <c r="B639" t="inlineStr">
        <is>
          <t>Niza</t>
        </is>
      </c>
      <c r="C639" t="inlineStr">
        <is>
          <t>Alemania</t>
        </is>
      </c>
      <c r="D639" t="inlineStr">
        <is>
          <t>Tréveris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Road House</t>
        </is>
      </c>
      <c r="H639">
        <f>HYPERLINK("https://booking.roadsurfer.com/es/rally/pick?pickup_date=2026-05-11&amp;return_date=2026-05-18&amp;currency=EUR&amp;startStation=88&amp;endStation=28", "Clic para verlo en la web de RoadSurfer")</f>
        <v/>
      </c>
    </row>
    <row r="640">
      <c r="A640" t="inlineStr">
        <is>
          <t>Francia</t>
        </is>
      </c>
      <c r="B640" t="inlineStr">
        <is>
          <t>Niza</t>
        </is>
      </c>
      <c r="C640" t="inlineStr">
        <is>
          <t>Alemania</t>
        </is>
      </c>
      <c r="D640" t="inlineStr">
        <is>
          <t>Tréveris</t>
        </is>
      </c>
      <c r="E640" t="inlineStr">
        <is>
          <t>2026-05-12</t>
        </is>
      </c>
      <c r="F640" t="inlineStr">
        <is>
          <t>2026-05-19</t>
        </is>
      </c>
      <c r="G640" t="inlineStr">
        <is>
          <t xml:space="preserve"> - Surfer Suite</t>
        </is>
      </c>
      <c r="H640">
        <f>HYPERLINK("https://booking.roadsurfer.com/es/rally/pick?pickup_date=2026-05-12&amp;return_date=2026-05-19&amp;currency=EUR&amp;startStation=88&amp;endStation=28", "Clic para verlo en la web de RoadSurfer")</f>
        <v/>
      </c>
    </row>
    <row r="641">
      <c r="A641" t="inlineStr">
        <is>
          <t>Francia</t>
        </is>
      </c>
      <c r="B641" t="inlineStr">
        <is>
          <t>Niza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2026-04-16</t>
        </is>
      </c>
      <c r="F641" t="inlineStr">
        <is>
          <t>2026-04-23</t>
        </is>
      </c>
      <c r="G641" t="inlineStr">
        <is>
          <t xml:space="preserve"> - Cozy Cottage</t>
        </is>
      </c>
      <c r="H641">
        <f>HYPERLINK("https://booking.roadsurfer.com/es/rally/pick?pickup_date=2026-04-16&amp;return_date=2026-04-23&amp;currency=EUR&amp;startStation=88&amp;endStation=22", "Clic para verlo en la web de RoadSurfer")</f>
        <v/>
      </c>
    </row>
    <row r="642">
      <c r="A642" t="inlineStr">
        <is>
          <t>Alemania</t>
        </is>
      </c>
      <c r="B642" t="inlineStr">
        <is>
          <t>Núremberg</t>
        </is>
      </c>
      <c r="C642" t="inlineStr">
        <is>
          <t>Austria</t>
        </is>
      </c>
      <c r="D642" t="inlineStr">
        <is>
          <t>Linz</t>
        </is>
      </c>
      <c r="E642" t="inlineStr">
        <is>
          <t>2026-04-13</t>
        </is>
      </c>
      <c r="F642" t="inlineStr">
        <is>
          <t>2026-04-20</t>
        </is>
      </c>
      <c r="G642" t="inlineStr">
        <is>
          <t xml:space="preserve"> - Surfer Suite</t>
        </is>
      </c>
      <c r="H642">
        <f>HYPERLINK("https://booking.roadsurfer.com/es/rally/pick?pickup_date=2026-04-13&amp;return_date=2026-04-20&amp;currency=EUR&amp;startStation=11&amp;endStation=116", "Clic para verlo en la web de RoadSurfer")</f>
        <v/>
      </c>
    </row>
    <row r="643">
      <c r="A643" t="inlineStr">
        <is>
          <t>Alemania</t>
        </is>
      </c>
      <c r="B643" t="inlineStr">
        <is>
          <t>Núremberg</t>
        </is>
      </c>
      <c r="C643" t="inlineStr">
        <is>
          <t>Alemania</t>
        </is>
      </c>
      <c r="D643" t="inlineStr">
        <is>
          <t>Maguncia</t>
        </is>
      </c>
      <c r="E643" t="inlineStr">
        <is>
          <t>2026-04-27</t>
        </is>
      </c>
      <c r="F643" t="inlineStr">
        <is>
          <t>2026-05-04</t>
        </is>
      </c>
      <c r="G643" t="inlineStr">
        <is>
          <t xml:space="preserve"> - Beach Hostel</t>
        </is>
      </c>
      <c r="H643">
        <f>HYPERLINK("https://booking.roadsurfer.com/es/rally/pick?pickup_date=2026-04-27&amp;return_date=2026-05-04&amp;currency=EUR&amp;startStation=11&amp;endStation=54", "Clic para verlo en la web de RoadSurfer")</f>
        <v/>
      </c>
    </row>
    <row r="644">
      <c r="A644" t="inlineStr">
        <is>
          <t>Alemania</t>
        </is>
      </c>
      <c r="B644" t="inlineStr">
        <is>
          <t>Núremberg</t>
        </is>
      </c>
      <c r="C644" t="inlineStr">
        <is>
          <t>Francia</t>
        </is>
      </c>
      <c r="D644" t="inlineStr">
        <is>
          <t>Toulouse</t>
        </is>
      </c>
      <c r="E644" t="inlineStr">
        <is>
          <t>2026-04-20</t>
        </is>
      </c>
      <c r="F644" t="inlineStr">
        <is>
          <t>2026-04-27</t>
        </is>
      </c>
      <c r="G644" t="inlineStr">
        <is>
          <t xml:space="preserve"> - Camper Castle</t>
        </is>
      </c>
      <c r="H644">
        <f>HYPERLINK("https://booking.roadsurfer.com/es/rally/pick?pickup_date=2026-04-20&amp;return_date=2026-04-27&amp;currency=EUR&amp;startStation=11&amp;endStation=30", "Clic para verlo en la web de RoadSurfer")</f>
        <v/>
      </c>
    </row>
    <row r="645">
      <c r="A645" t="inlineStr">
        <is>
          <t>Alemania</t>
        </is>
      </c>
      <c r="B645" t="inlineStr">
        <is>
          <t>Núremberg</t>
        </is>
      </c>
      <c r="C645" t="inlineStr">
        <is>
          <t>España</t>
        </is>
      </c>
      <c r="D645" t="inlineStr">
        <is>
          <t>Sevilla</t>
        </is>
      </c>
      <c r="E645" t="inlineStr">
        <is>
          <t>2026-04-23</t>
        </is>
      </c>
      <c r="F645" t="inlineStr">
        <is>
          <t>2026-04-30</t>
        </is>
      </c>
      <c r="G645" t="inlineStr">
        <is>
          <t xml:space="preserve"> - Cozy Cottage</t>
        </is>
      </c>
      <c r="H645">
        <f>HYPERLINK("https://booking.roadsurfer.com/es/rally/pick?pickup_date=2026-04-23&amp;return_date=2026-04-30&amp;currency=EUR&amp;startStation=11&amp;endStation=39",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Berlín</t>
        </is>
      </c>
      <c r="E646" t="inlineStr">
        <is>
          <t>2026-04-20</t>
        </is>
      </c>
      <c r="F646" t="inlineStr">
        <is>
          <t>2026-04-27</t>
        </is>
      </c>
      <c r="G646" t="inlineStr">
        <is>
          <t xml:space="preserve"> - Surfer Suite</t>
        </is>
      </c>
      <c r="H646">
        <f>HYPERLINK("https://booking.roadsurfer.com/es/rally/pick?pickup_date=2026-04-20&amp;return_date=2026-04-27&amp;currency=EUR&amp;startStation=12&amp;endStation=6",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Bochum</t>
        </is>
      </c>
      <c r="E647" t="inlineStr">
        <is>
          <t>2026-05-13</t>
        </is>
      </c>
      <c r="F647" t="inlineStr">
        <is>
          <t>2026-05-20</t>
        </is>
      </c>
      <c r="G647" t="inlineStr">
        <is>
          <t xml:space="preserve"> - Camper Cabin Deluxe</t>
        </is>
      </c>
      <c r="H647">
        <f>HYPERLINK("https://booking.roadsurfer.com/es/rally/pick?pickup_date=2026-05-13&amp;return_date=2026-05-20&amp;currency=EUR&amp;startStation=12&amp;endStation=24",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Bochum</t>
        </is>
      </c>
      <c r="E648" t="inlineStr">
        <is>
          <t>2026-05-12</t>
        </is>
      </c>
      <c r="F648" t="inlineStr">
        <is>
          <t>2026-05-19</t>
        </is>
      </c>
      <c r="G648" t="inlineStr">
        <is>
          <t xml:space="preserve"> - Couple Cottage</t>
        </is>
      </c>
      <c r="H648">
        <f>HYPERLINK("https://booking.roadsurfer.com/es/rally/pick?pickup_date=2026-05-12&amp;return_date=2026-05-19&amp;currency=EUR&amp;startStation=12&amp;endStation=24",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Bochum</t>
        </is>
      </c>
      <c r="E649" t="inlineStr">
        <is>
          <t>2026-05-26</t>
        </is>
      </c>
      <c r="F649" t="inlineStr">
        <is>
          <t>2026-06-02</t>
        </is>
      </c>
      <c r="G649" t="inlineStr">
        <is>
          <t xml:space="preserve"> - Beach Hostel</t>
        </is>
      </c>
      <c r="H649">
        <f>HYPERLINK("https://booking.roadsurfer.com/es/rally/pick?pickup_date=2026-05-26&amp;return_date=2026-06-02&amp;currency=EUR&amp;startStation=12&amp;endStation=24",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Bochum</t>
        </is>
      </c>
      <c r="E650" t="inlineStr">
        <is>
          <t>2026-05-21</t>
        </is>
      </c>
      <c r="F650" t="inlineStr">
        <is>
          <t>2026-05-28</t>
        </is>
      </c>
      <c r="G650" t="inlineStr">
        <is>
          <t xml:space="preserve"> - Couple Cottage</t>
        </is>
      </c>
      <c r="H650">
        <f>HYPERLINK("https://booking.roadsurfer.com/es/rally/pick?pickup_date=2026-05-21&amp;return_date=2026-05-28&amp;currency=EUR&amp;startStation=12&amp;endStation=24",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Bochum</t>
        </is>
      </c>
      <c r="E651" t="inlineStr">
        <is>
          <t>2026-05-20</t>
        </is>
      </c>
      <c r="F651" t="inlineStr">
        <is>
          <t>2026-05-27</t>
        </is>
      </c>
      <c r="G651" t="inlineStr">
        <is>
          <t xml:space="preserve"> - No hay coche</t>
        </is>
      </c>
      <c r="H651">
        <f>HYPERLINK("https://booking.roadsurfer.com/es/rally/pick?pickup_date=2026-05-20&amp;return_date=2026-05-27&amp;currency=EUR&amp;startStation=12&amp;endStation=24",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Aquisgrán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Beach Hostel - Camper Cabin</t>
        </is>
      </c>
      <c r="H652">
        <f>HYPERLINK("https://booking.roadsurfer.com/es/rally/pick?pickup_date=2026-05-04&amp;return_date=2026-05-11&amp;currency=EUR&amp;startStation=12&amp;endStation=114",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2026-05-04</t>
        </is>
      </c>
      <c r="F653" t="inlineStr">
        <is>
          <t>2026-05-11</t>
        </is>
      </c>
      <c r="G653" t="inlineStr">
        <is>
          <t xml:space="preserve"> - Beach Hostel</t>
        </is>
      </c>
      <c r="H653">
        <f>HYPERLINK("https://booking.roadsurfer.com/es/rally/pick?pickup_date=2026-05-04&amp;return_date=2026-05-11&amp;currency=EUR&amp;startStation=12&amp;endStation=91",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2026-05-06</t>
        </is>
      </c>
      <c r="F654" t="inlineStr">
        <is>
          <t>2026-05-13</t>
        </is>
      </c>
      <c r="G654" t="inlineStr">
        <is>
          <t xml:space="preserve"> - Sunrise Suite</t>
        </is>
      </c>
      <c r="H654">
        <f>HYPERLINK("https://booking.roadsurfer.com/es/rally/pick?pickup_date=2026-05-06&amp;return_date=2026-05-13&amp;currency=EUR&amp;startStation=12&amp;endStation=91",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Bielefeld</t>
        </is>
      </c>
      <c r="E655" t="inlineStr">
        <is>
          <t>2026-05-15</t>
        </is>
      </c>
      <c r="F655" t="inlineStr">
        <is>
          <t>2026-05-22</t>
        </is>
      </c>
      <c r="G655" t="inlineStr">
        <is>
          <t xml:space="preserve"> - Sunrise Suite</t>
        </is>
      </c>
      <c r="H655">
        <f>HYPERLINK("https://booking.roadsurfer.com/es/rally/pick?pickup_date=2026-05-15&amp;return_date=2026-05-22&amp;currency=EUR&amp;startStation=12&amp;endStation=91",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2026-05-08</t>
        </is>
      </c>
      <c r="F656" t="inlineStr">
        <is>
          <t>2026-05-15</t>
        </is>
      </c>
      <c r="G656" t="inlineStr">
        <is>
          <t xml:space="preserve"> - No hay coche</t>
        </is>
      </c>
      <c r="H656">
        <f>HYPERLINK("https://booking.roadsurfer.com/es/rally/pick?pickup_date=2026-05-08&amp;return_date=2026-05-15&amp;currency=EUR&amp;startStation=12&amp;endStation=91",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Bielefeld</t>
        </is>
      </c>
      <c r="E657" t="inlineStr">
        <is>
          <t>2026-05-19</t>
        </is>
      </c>
      <c r="F657" t="inlineStr">
        <is>
          <t>2026-05-26</t>
        </is>
      </c>
      <c r="G657" t="inlineStr">
        <is>
          <t xml:space="preserve"> - Sunrise Suite</t>
        </is>
      </c>
      <c r="H657">
        <f>HYPERLINK("https://booking.roadsurfer.com/es/rally/pick?pickup_date=2026-05-19&amp;return_date=2026-05-26&amp;currency=EUR&amp;startStation=12&amp;endStation=91",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2026-04-22</t>
        </is>
      </c>
      <c r="F658" t="inlineStr">
        <is>
          <t>2026-04-29</t>
        </is>
      </c>
      <c r="G658" t="inlineStr">
        <is>
          <t xml:space="preserve"> - Camper Cabin</t>
        </is>
      </c>
      <c r="H658">
        <f>HYPERLINK("https://booking.roadsurfer.com/es/rally/pick?pickup_date=2026-04-22&amp;return_date=2026-04-29&amp;currency=EUR&amp;startStation=12&amp;endStation=22",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Couple Cottage</t>
        </is>
      </c>
      <c r="H659">
        <f>HYPERLINK("https://booking.roadsurfer.com/es/rally/pick?pickup_date=2026-05-04&amp;return_date=2026-05-11&amp;currency=EUR&amp;startStation=12&amp;endStation=56",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Dresde</t>
        </is>
      </c>
      <c r="E660" t="inlineStr">
        <is>
          <t>2026-05-08</t>
        </is>
      </c>
      <c r="F660" t="inlineStr">
        <is>
          <t>2026-05-15</t>
        </is>
      </c>
      <c r="G660" t="inlineStr">
        <is>
          <t xml:space="preserve"> - No hay coche</t>
        </is>
      </c>
      <c r="H660">
        <f>HYPERLINK("https://booking.roadsurfer.com/es/rally/pick?pickup_date=2026-05-08&amp;return_date=2026-05-15&amp;currency=EUR&amp;startStation=12&amp;endStation=56",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Dresde</t>
        </is>
      </c>
      <c r="E661" t="inlineStr">
        <is>
          <t>2026-05-19</t>
        </is>
      </c>
      <c r="F661" t="inlineStr">
        <is>
          <t>2026-05-26</t>
        </is>
      </c>
      <c r="G661" t="inlineStr">
        <is>
          <t xml:space="preserve"> - Camper Cabin</t>
        </is>
      </c>
      <c r="H661">
        <f>HYPERLINK("https://booking.roadsurfer.com/es/rally/pick?pickup_date=2026-05-19&amp;return_date=2026-05-26&amp;currency=EUR&amp;startStation=12&amp;endStation=56",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Dresde</t>
        </is>
      </c>
      <c r="E662" t="inlineStr">
        <is>
          <t>2026-05-07</t>
        </is>
      </c>
      <c r="F662" t="inlineStr">
        <is>
          <t>2026-05-14</t>
        </is>
      </c>
      <c r="G662" t="inlineStr">
        <is>
          <t xml:space="preserve"> - No hay coche</t>
        </is>
      </c>
      <c r="H662">
        <f>HYPERLINK("https://booking.roadsurfer.com/es/rally/pick?pickup_date=2026-05-07&amp;return_date=2026-05-14&amp;currency=EUR&amp;startStation=12&amp;endStation=56",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Dresde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Camper Cabin</t>
        </is>
      </c>
      <c r="H663">
        <f>HYPERLINK("https://booking.roadsurfer.com/es/rally/pick?pickup_date=2026-05-11&amp;return_date=2026-05-18&amp;currency=EUR&amp;startStation=12&amp;endStation=56",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Erfurt</t>
        </is>
      </c>
      <c r="E664" t="inlineStr">
        <is>
          <t>2026-05-04</t>
        </is>
      </c>
      <c r="F664" t="inlineStr">
        <is>
          <t>2026-05-11</t>
        </is>
      </c>
      <c r="G664" t="inlineStr">
        <is>
          <t xml:space="preserve"> - COUPLE COTTAGE</t>
        </is>
      </c>
      <c r="H664">
        <f>HYPERLINK("https://booking.roadsurfer.com/es/rally/pick?pickup_date=2026-05-04&amp;return_date=2026-05-11&amp;currency=EUR&amp;startStation=12&amp;endStation=90",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Erfurt</t>
        </is>
      </c>
      <c r="E665" t="inlineStr">
        <is>
          <t>2026-05-06</t>
        </is>
      </c>
      <c r="F665" t="inlineStr">
        <is>
          <t>2026-05-13</t>
        </is>
      </c>
      <c r="G665" t="inlineStr">
        <is>
          <t xml:space="preserve"> - Camper Cabin</t>
        </is>
      </c>
      <c r="H665">
        <f>HYPERLINK("https://booking.roadsurfer.com/es/rally/pick?pickup_date=2026-05-06&amp;return_date=2026-05-13&amp;currency=EUR&amp;startStation=12&amp;endStation=90",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Karlsruhe</t>
        </is>
      </c>
      <c r="E666" t="inlineStr">
        <is>
          <t>2026-05-04</t>
        </is>
      </c>
      <c r="F666" t="inlineStr">
        <is>
          <t>2026-05-11</t>
        </is>
      </c>
      <c r="G666" t="inlineStr">
        <is>
          <t xml:space="preserve"> - Camper Cabin</t>
        </is>
      </c>
      <c r="H666">
        <f>HYPERLINK("https://booking.roadsurfer.com/es/rally/pick?pickup_date=2026-05-04&amp;return_date=2026-05-11&amp;currency=EUR&amp;startStation=12&amp;endStation=110",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Karlsruhe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No hay coche</t>
        </is>
      </c>
      <c r="H667">
        <f>HYPERLINK("https://booking.roadsurfer.com/es/rally/pick?pickup_date=2026-05-11&amp;return_date=2026-05-18&amp;currency=EUR&amp;startStation=12&amp;endStation=110",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Karlsruhe</t>
        </is>
      </c>
      <c r="E668" t="inlineStr">
        <is>
          <t>2026-05-15</t>
        </is>
      </c>
      <c r="F668" t="inlineStr">
        <is>
          <t>2026-05-22</t>
        </is>
      </c>
      <c r="G668" t="inlineStr">
        <is>
          <t xml:space="preserve"> - Road House</t>
        </is>
      </c>
      <c r="H668">
        <f>HYPERLINK("https://booking.roadsurfer.com/es/rally/pick?pickup_date=2026-05-15&amp;return_date=2026-05-22&amp;currency=EUR&amp;startStation=12&amp;endStation=110",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Tréveris</t>
        </is>
      </c>
      <c r="E669" t="inlineStr">
        <is>
          <t>2026-05-15</t>
        </is>
      </c>
      <c r="F669" t="inlineStr">
        <is>
          <t>2026-05-22</t>
        </is>
      </c>
      <c r="G669" t="inlineStr">
        <is>
          <t xml:space="preserve"> - No hay coche</t>
        </is>
      </c>
      <c r="H669">
        <f>HYPERLINK("https://booking.roadsurfer.com/es/rally/pick?pickup_date=2026-05-15&amp;return_date=2026-05-22&amp;currency=EUR&amp;startStation=12&amp;endStation=28",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Kiel</t>
        </is>
      </c>
      <c r="E670" t="inlineStr">
        <is>
          <t>2026-05-11</t>
        </is>
      </c>
      <c r="F670" t="inlineStr">
        <is>
          <t>2026-05-18</t>
        </is>
      </c>
      <c r="G670" t="inlineStr">
        <is>
          <t xml:space="preserve"> - Couple Cottage</t>
        </is>
      </c>
      <c r="H670">
        <f>HYPERLINK("https://booking.roadsurfer.com/es/rally/pick?pickup_date=2026-05-11&amp;return_date=2026-05-18&amp;currency=EUR&amp;startStation=12&amp;endStation=111",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Berlín-Schönefeld</t>
        </is>
      </c>
      <c r="E671" t="inlineStr">
        <is>
          <t>2026-05-06</t>
        </is>
      </c>
      <c r="F671" t="inlineStr">
        <is>
          <t>2026-05-13</t>
        </is>
      </c>
      <c r="G671" t="inlineStr">
        <is>
          <t xml:space="preserve"> - Sunrise Suite</t>
        </is>
      </c>
      <c r="H671">
        <f>HYPERLINK("https://booking.roadsurfer.com/es/rally/pick?pickup_date=2026-05-06&amp;return_date=2026-05-13&amp;currency=EUR&amp;startStation=12&amp;endStation=51",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Berlín-Schönefeld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Sunrise Suite</t>
        </is>
      </c>
      <c r="H672">
        <f>HYPERLINK("https://booking.roadsurfer.com/es/rally/pick?pickup_date=2026-05-04&amp;return_date=2026-05-11&amp;currency=EUR&amp;startStation=12&amp;endStation=51", "Clic para verlo en la web de RoadSurfer")</f>
        <v/>
      </c>
    </row>
    <row r="673">
      <c r="A673" t="inlineStr">
        <is>
          <t>Francia</t>
        </is>
      </c>
      <c r="B673" t="inlineStr">
        <is>
          <t>París Aeropuerto CDG</t>
        </is>
      </c>
      <c r="C673" t="inlineStr">
        <is>
          <t>Alemania</t>
        </is>
      </c>
      <c r="D673" t="inlineStr">
        <is>
          <t>Berlín</t>
        </is>
      </c>
      <c r="E673" t="inlineStr">
        <is>
          <t>2026-05-15</t>
        </is>
      </c>
      <c r="F673" t="inlineStr">
        <is>
          <t>2026-05-22</t>
        </is>
      </c>
      <c r="G673" t="inlineStr">
        <is>
          <t xml:space="preserve"> - SURFER SUITE</t>
        </is>
      </c>
      <c r="H673">
        <f>HYPERLINK("https://booking.roadsurfer.com/es/rally/pick?pickup_date=2026-05-15&amp;return_date=2026-05-22&amp;currency=EUR&amp;startStation=48&amp;endStation=6", "Clic para verlo en la web de RoadSurfer")</f>
        <v/>
      </c>
    </row>
    <row r="674">
      <c r="A674" t="inlineStr">
        <is>
          <t>Francia</t>
        </is>
      </c>
      <c r="B674" t="inlineStr">
        <is>
          <t>París Aeropuerto CDG</t>
        </is>
      </c>
      <c r="C674" t="inlineStr">
        <is>
          <t>Alemania</t>
        </is>
      </c>
      <c r="D674" t="inlineStr">
        <is>
          <t>Aquisgrán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Beach Hostel</t>
        </is>
      </c>
      <c r="H674">
        <f>HYPERLINK("https://booking.roadsurfer.com/es/rally/pick?pickup_date=2026-05-11&amp;return_date=2026-05-18&amp;currency=EUR&amp;startStation=48&amp;endStation=114", "Clic para verlo en la web de RoadSurfer")</f>
        <v/>
      </c>
    </row>
    <row r="675">
      <c r="A675" t="inlineStr">
        <is>
          <t>Francia</t>
        </is>
      </c>
      <c r="B675" t="inlineStr">
        <is>
          <t>París Aeropuerto CDG</t>
        </is>
      </c>
      <c r="C675" t="inlineStr">
        <is>
          <t>Alemania</t>
        </is>
      </c>
      <c r="D675" t="inlineStr">
        <is>
          <t>Aquisgrán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Road House</t>
        </is>
      </c>
      <c r="H675">
        <f>HYPERLINK("https://booking.roadsurfer.com/es/rally/pick?pickup_date=2026-05-04&amp;return_date=2026-05-11&amp;currency=EUR&amp;startStation=48&amp;endStation=114", "Clic para verlo en la web de RoadSurfer")</f>
        <v/>
      </c>
    </row>
    <row r="676">
      <c r="A676" t="inlineStr">
        <is>
          <t>Francia</t>
        </is>
      </c>
      <c r="B676" t="inlineStr">
        <is>
          <t>París Aeropuerto CDG</t>
        </is>
      </c>
      <c r="C676" t="inlineStr">
        <is>
          <t>Alemania</t>
        </is>
      </c>
      <c r="D676" t="inlineStr">
        <is>
          <t>Aquisgrán</t>
        </is>
      </c>
      <c r="E676" t="inlineStr">
        <is>
          <t>2026-05-26</t>
        </is>
      </c>
      <c r="F676" t="inlineStr">
        <is>
          <t>2026-06-02</t>
        </is>
      </c>
      <c r="G676" t="inlineStr">
        <is>
          <t xml:space="preserve"> - Couple Cottage</t>
        </is>
      </c>
      <c r="H676">
        <f>HYPERLINK("https://booking.roadsurfer.com/es/rally/pick?pickup_date=2026-05-26&amp;return_date=2026-06-02&amp;currency=EUR&amp;startStation=48&amp;endStation=114", "Clic para verlo en la web de RoadSurfer")</f>
        <v/>
      </c>
    </row>
    <row r="677">
      <c r="A677" t="inlineStr">
        <is>
          <t>Francia</t>
        </is>
      </c>
      <c r="B677" t="inlineStr">
        <is>
          <t>París Aeropuerto CDG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2026-05-15</t>
        </is>
      </c>
      <c r="F677" t="inlineStr">
        <is>
          <t>2026-05-22</t>
        </is>
      </c>
      <c r="G677" t="inlineStr">
        <is>
          <t xml:space="preserve"> - Road House</t>
        </is>
      </c>
      <c r="H677">
        <f>HYPERLINK("https://booking.roadsurfer.com/es/rally/pick?pickup_date=2026-05-15&amp;return_date=2026-05-22&amp;currency=EUR&amp;startStation=48&amp;endStation=22",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Colonia-Düsseldorf</t>
        </is>
      </c>
      <c r="E678" t="inlineStr">
        <is>
          <t>2026-05-15</t>
        </is>
      </c>
      <c r="F678" t="inlineStr">
        <is>
          <t>2026-05-22</t>
        </is>
      </c>
      <c r="G678" t="inlineStr">
        <is>
          <t xml:space="preserve"> - Camper Castle</t>
        </is>
      </c>
      <c r="H678">
        <f>HYPERLINK("https://booking.roadsurfer.com/es/rally/pick?pickup_date=2026-05-15&amp;return_date=2026-05-22&amp;currency=EUR&amp;startStation=48&amp;endStation=4",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Colonia-Düsseldorf</t>
        </is>
      </c>
      <c r="E679" t="inlineStr">
        <is>
          <t>2026-05-08</t>
        </is>
      </c>
      <c r="F679" t="inlineStr">
        <is>
          <t>2026-05-15</t>
        </is>
      </c>
      <c r="G679" t="inlineStr">
        <is>
          <t xml:space="preserve"> - No hay coche</t>
        </is>
      </c>
      <c r="H679">
        <f>HYPERLINK("https://booking.roadsurfer.com/es/rally/pick?pickup_date=2026-05-08&amp;return_date=2026-05-15&amp;currency=EUR&amp;startStation=48&amp;endStation=4",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Alemania</t>
        </is>
      </c>
      <c r="D680" t="inlineStr">
        <is>
          <t>Colonia-Düsseldorf</t>
        </is>
      </c>
      <c r="E680" t="inlineStr">
        <is>
          <t>2026-05-04</t>
        </is>
      </c>
      <c r="F680" t="inlineStr">
        <is>
          <t>2026-05-11</t>
        </is>
      </c>
      <c r="G680" t="inlineStr">
        <is>
          <t xml:space="preserve"> - No hay coche</t>
        </is>
      </c>
      <c r="H680">
        <f>HYPERLINK("https://booking.roadsurfer.com/es/rally/pick?pickup_date=2026-05-04&amp;return_date=2026-05-11&amp;currency=EUR&amp;startStation=48&amp;endStation=4",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Bochum</t>
        </is>
      </c>
      <c r="E681" t="inlineStr">
        <is>
          <t>2026-05-13</t>
        </is>
      </c>
      <c r="F681" t="inlineStr">
        <is>
          <t>2026-05-20</t>
        </is>
      </c>
      <c r="G681" t="inlineStr">
        <is>
          <t xml:space="preserve"> - Camper Castle</t>
        </is>
      </c>
      <c r="H681">
        <f>HYPERLINK("https://booking.roadsurfer.com/es/rally/pick?pickup_date=2026-05-13&amp;return_date=2026-05-20&amp;currency=EUR&amp;startStation=48&amp;endStation=24", "Clic para verlo en la web de RoadSurfer")</f>
        <v/>
      </c>
    </row>
    <row r="682">
      <c r="A682" t="inlineStr">
        <is>
          <t>Francia</t>
        </is>
      </c>
      <c r="B682" t="inlineStr">
        <is>
          <t>París Aeropuerto CDG</t>
        </is>
      </c>
      <c r="C682" t="inlineStr">
        <is>
          <t>Alemania</t>
        </is>
      </c>
      <c r="D682" t="inlineStr">
        <is>
          <t>Colonia-Bonn</t>
        </is>
      </c>
      <c r="E682" t="inlineStr">
        <is>
          <t>2026-05-27</t>
        </is>
      </c>
      <c r="F682" t="inlineStr">
        <is>
          <t>2026-06-03</t>
        </is>
      </c>
      <c r="G682" t="inlineStr">
        <is>
          <t xml:space="preserve"> - Couple Cottage</t>
        </is>
      </c>
      <c r="H682">
        <f>HYPERLINK("https://booking.roadsurfer.com/es/rally/pick?pickup_date=2026-05-27&amp;return_date=2026-06-03&amp;currency=EUR&amp;startStation=48&amp;endStation=52", "Clic para verlo en la web de RoadSurfer")</f>
        <v/>
      </c>
    </row>
    <row r="683">
      <c r="A683" t="inlineStr">
        <is>
          <t>Alemania</t>
        </is>
      </c>
      <c r="B683" t="inlineStr">
        <is>
          <t>Ratisbona</t>
        </is>
      </c>
      <c r="C683" t="inlineStr">
        <is>
          <t>Alemania</t>
        </is>
      </c>
      <c r="D683" t="inlineStr">
        <is>
          <t>Karlsruhe</t>
        </is>
      </c>
      <c r="E683" t="inlineStr">
        <is>
          <t>2026-04-23</t>
        </is>
      </c>
      <c r="F683" t="inlineStr">
        <is>
          <t>2026-04-30</t>
        </is>
      </c>
      <c r="G683" t="inlineStr">
        <is>
          <t xml:space="preserve"> - SURFER SUITE</t>
        </is>
      </c>
      <c r="H683">
        <f>HYPERLINK("https://booking.roadsurfer.com/es/rally/pick?pickup_date=2026-04-23&amp;return_date=2026-04-30&amp;currency=EUR&amp;startStation=89&amp;endStation=110", "Clic para verlo en la web de RoadSurfer")</f>
        <v/>
      </c>
    </row>
    <row r="684">
      <c r="A684" t="inlineStr">
        <is>
          <t>Alemania</t>
        </is>
      </c>
      <c r="B684" t="inlineStr">
        <is>
          <t>Ratisbona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2026-04-27</t>
        </is>
      </c>
      <c r="F684" t="inlineStr">
        <is>
          <t>2026-05-04</t>
        </is>
      </c>
      <c r="G684" t="inlineStr">
        <is>
          <t xml:space="preserve"> - Surfer Suite</t>
        </is>
      </c>
      <c r="H684">
        <f>HYPERLINK("https://booking.roadsurfer.com/es/rally/pick?pickup_date=2026-04-27&amp;return_date=2026-05-04&amp;currency=EUR&amp;startStation=89&amp;endStation=110",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Lindau-Wangen</t>
        </is>
      </c>
      <c r="E685" t="inlineStr">
        <is>
          <t>2026-05-18</t>
        </is>
      </c>
      <c r="F685" t="inlineStr">
        <is>
          <t>2026-05-25</t>
        </is>
      </c>
      <c r="G685" t="inlineStr">
        <is>
          <t xml:space="preserve"> - No hay coche</t>
        </is>
      </c>
      <c r="H685">
        <f>HYPERLINK("https://booking.roadsurfer.com/es/rally/pick?pickup_date=2026-05-18&amp;return_date=2026-05-25&amp;currency=EUR&amp;startStation=35&amp;endStation=117",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Lindau-Wangen</t>
        </is>
      </c>
      <c r="E686" t="inlineStr">
        <is>
          <t>2026-05-30</t>
        </is>
      </c>
      <c r="F686" t="inlineStr">
        <is>
          <t>2026-06-06</t>
        </is>
      </c>
      <c r="G686" t="inlineStr">
        <is>
          <t xml:space="preserve"> - Couple Cottage</t>
        </is>
      </c>
      <c r="H686">
        <f>HYPERLINK("https://booking.roadsurfer.com/es/rally/pick?pickup_date=2026-05-30&amp;return_date=2026-06-06&amp;currency=EUR&amp;startStation=35&amp;endStation=117", "Clic para verlo en la web de RoadSurfer")</f>
        <v/>
      </c>
    </row>
    <row r="687">
      <c r="A687" t="inlineStr">
        <is>
          <t>Italia</t>
        </is>
      </c>
      <c r="B687" t="inlineStr">
        <is>
          <t>Roma Aeropuerto Fiumicino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ROAD HOUSE - COUPLE COTTAGE</t>
        </is>
      </c>
      <c r="H687">
        <f>HYPERLINK("https://booking.roadsurfer.com/es/rally/pick?pickup_date=2026-05-11&amp;return_date=2026-05-18&amp;currency=EUR&amp;startStation=35&amp;endStation=115", "Clic para verlo en la web de RoadSurfer")</f>
        <v/>
      </c>
    </row>
    <row r="688">
      <c r="A688" t="inlineStr">
        <is>
          <t>Italia</t>
        </is>
      </c>
      <c r="B688" t="inlineStr">
        <is>
          <t>Roma Aeropuerto Fiumicino</t>
        </is>
      </c>
      <c r="C688" t="inlineStr">
        <is>
          <t>Alemania</t>
        </is>
      </c>
      <c r="D688" t="inlineStr">
        <is>
          <t>Wurzburgo</t>
        </is>
      </c>
      <c r="E688" t="inlineStr">
        <is>
          <t>2026-05-15</t>
        </is>
      </c>
      <c r="F688" t="inlineStr">
        <is>
          <t>2026-05-22</t>
        </is>
      </c>
      <c r="G688" t="inlineStr">
        <is>
          <t xml:space="preserve"> - Beach Hostel</t>
        </is>
      </c>
      <c r="H688">
        <f>HYPERLINK("https://booking.roadsurfer.com/es/rally/pick?pickup_date=2026-05-15&amp;return_date=2026-05-22&amp;currency=EUR&amp;startStation=35&amp;endStation=115", "Clic para verlo en la web de RoadSurfer")</f>
        <v/>
      </c>
    </row>
    <row r="689">
      <c r="A689" t="inlineStr">
        <is>
          <t>Italia</t>
        </is>
      </c>
      <c r="B689" t="inlineStr">
        <is>
          <t>Roma Aeropuerto Fiumicino</t>
        </is>
      </c>
      <c r="C689" t="inlineStr">
        <is>
          <t>Alemania</t>
        </is>
      </c>
      <c r="D689" t="inlineStr">
        <is>
          <t>Augsburgo</t>
        </is>
      </c>
      <c r="E689" t="inlineStr">
        <is>
          <t>2026-05-15</t>
        </is>
      </c>
      <c r="F689" t="inlineStr">
        <is>
          <t>2026-05-22</t>
        </is>
      </c>
      <c r="G689" t="inlineStr">
        <is>
          <t xml:space="preserve"> - Road House</t>
        </is>
      </c>
      <c r="H689">
        <f>HYPERLINK("https://booking.roadsurfer.com/es/rally/pick?pickup_date=2026-05-15&amp;return_date=2026-05-22&amp;currency=EUR&amp;startStation=35&amp;endStation=108", "Clic para verlo en la web de RoadSurfer")</f>
        <v/>
      </c>
    </row>
    <row r="690">
      <c r="A690" t="inlineStr">
        <is>
          <t>Italia</t>
        </is>
      </c>
      <c r="B690" t="inlineStr">
        <is>
          <t>Roma Aeropuerto Fiumicino</t>
        </is>
      </c>
      <c r="C690" t="inlineStr">
        <is>
          <t>Alemania</t>
        </is>
      </c>
      <c r="D690" t="inlineStr">
        <is>
          <t>Augsburgo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Road House</t>
        </is>
      </c>
      <c r="H690">
        <f>HYPERLINK("https://booking.roadsurfer.com/es/rally/pick?pickup_date=2026-05-11&amp;return_date=2026-05-18&amp;currency=EUR&amp;startStation=35&amp;endStation=108", "Clic para verlo en la web de RoadSurfer")</f>
        <v/>
      </c>
    </row>
    <row r="691">
      <c r="A691" t="inlineStr">
        <is>
          <t>Italia</t>
        </is>
      </c>
      <c r="B691" t="inlineStr">
        <is>
          <t>Roma Aeropuerto Fiumicino</t>
        </is>
      </c>
      <c r="C691" t="inlineStr">
        <is>
          <t>Alemania</t>
        </is>
      </c>
      <c r="D691" t="inlineStr">
        <is>
          <t>Múnich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Camper Castle</t>
        </is>
      </c>
      <c r="H691">
        <f>HYPERLINK("https://booking.roadsurfer.com/es/rally/pick?pickup_date=2026-05-15&amp;return_date=2026-05-22&amp;currency=EUR&amp;startStation=35&amp;endStation=1", "Clic para verlo en la web de RoadSurfer")</f>
        <v/>
      </c>
    </row>
    <row r="692">
      <c r="A692" t="inlineStr">
        <is>
          <t>Italia</t>
        </is>
      </c>
      <c r="B692" t="inlineStr">
        <is>
          <t>Roma Aeropuerto Fiumicino</t>
        </is>
      </c>
      <c r="C692" t="inlineStr">
        <is>
          <t>Alemania</t>
        </is>
      </c>
      <c r="D692" t="inlineStr">
        <is>
          <t>Múnich</t>
        </is>
      </c>
      <c r="E692" t="inlineStr">
        <is>
          <t>2026-05-13</t>
        </is>
      </c>
      <c r="F692" t="inlineStr">
        <is>
          <t>2026-05-20</t>
        </is>
      </c>
      <c r="G692" t="inlineStr">
        <is>
          <t xml:space="preserve"> - Road House</t>
        </is>
      </c>
      <c r="H692">
        <f>HYPERLINK("https://booking.roadsurfer.com/es/rally/pick?pickup_date=2026-05-13&amp;return_date=2026-05-20&amp;currency=EUR&amp;startStation=35&amp;endStation=1", "Clic para verlo en la web de RoadSurfer")</f>
        <v/>
      </c>
    </row>
    <row r="693">
      <c r="A693" t="inlineStr">
        <is>
          <t>Italia</t>
        </is>
      </c>
      <c r="B693" t="inlineStr">
        <is>
          <t>Roma Aeropuerto Fiumicino</t>
        </is>
      </c>
      <c r="C693" t="inlineStr">
        <is>
          <t>Alemania</t>
        </is>
      </c>
      <c r="D693" t="inlineStr">
        <is>
          <t>Núremberg</t>
        </is>
      </c>
      <c r="E693" t="inlineStr">
        <is>
          <t>2026-05-18</t>
        </is>
      </c>
      <c r="F693" t="inlineStr">
        <is>
          <t>2026-05-25</t>
        </is>
      </c>
      <c r="G693" t="inlineStr">
        <is>
          <t xml:space="preserve"> - No hay coche</t>
        </is>
      </c>
      <c r="H693">
        <f>HYPERLINK("https://booking.roadsurfer.com/es/rally/pick?pickup_date=2026-05-18&amp;return_date=2026-05-25&amp;currency=EUR&amp;startStation=35&amp;endStation=11", "Clic para verlo en la web de RoadSurfer")</f>
        <v/>
      </c>
    </row>
    <row r="694">
      <c r="A694" t="inlineStr">
        <is>
          <t>Italia</t>
        </is>
      </c>
      <c r="B694" t="inlineStr">
        <is>
          <t>Roma Aeropuerto Fiumicino</t>
        </is>
      </c>
      <c r="C694" t="inlineStr">
        <is>
          <t>Alemania</t>
        </is>
      </c>
      <c r="D694" t="inlineStr">
        <is>
          <t>Núremberg</t>
        </is>
      </c>
      <c r="E694" t="inlineStr">
        <is>
          <t>2026-05-19</t>
        </is>
      </c>
      <c r="F694" t="inlineStr">
        <is>
          <t>2026-05-26</t>
        </is>
      </c>
      <c r="G694" t="inlineStr">
        <is>
          <t xml:space="preserve"> - Camper Castle</t>
        </is>
      </c>
      <c r="H694">
        <f>HYPERLINK("https://booking.roadsurfer.com/es/rally/pick?pickup_date=2026-05-19&amp;return_date=2026-05-26&amp;currency=EUR&amp;startStation=35&amp;endStation=11", "Clic para verlo en la web de RoadSurfer")</f>
        <v/>
      </c>
    </row>
    <row r="695">
      <c r="A695" t="inlineStr">
        <is>
          <t>Italia</t>
        </is>
      </c>
      <c r="B695" t="inlineStr">
        <is>
          <t>Roma Aeropuerto Fiumicino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2026-04-09</t>
        </is>
      </c>
      <c r="F695" t="inlineStr">
        <is>
          <t>2026-04-16</t>
        </is>
      </c>
      <c r="G695" t="inlineStr">
        <is>
          <t xml:space="preserve"> - Couple Cottage</t>
        </is>
      </c>
      <c r="H695">
        <f>HYPERLINK("https://booking.roadsurfer.com/es/rally/pick?pickup_date=2026-04-09&amp;return_date=2026-04-16&amp;currency=EUR&amp;startStation=35&amp;endStation=22", "Clic para verlo en la web de RoadSurfer")</f>
        <v/>
      </c>
    </row>
    <row r="696">
      <c r="A696" t="inlineStr">
        <is>
          <t>Italia</t>
        </is>
      </c>
      <c r="B696" t="inlineStr">
        <is>
          <t>Roma Aeropuerto Fiumicino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2026-04-14</t>
        </is>
      </c>
      <c r="F696" t="inlineStr">
        <is>
          <t>2026-04-21</t>
        </is>
      </c>
      <c r="G696" t="inlineStr">
        <is>
          <t xml:space="preserve"> - No hay coche</t>
        </is>
      </c>
      <c r="H696">
        <f>HYPERLINK("https://booking.roadsurfer.com/es/rally/pick?pickup_date=2026-04-14&amp;return_date=2026-04-21&amp;currency=EUR&amp;startStation=35&amp;endStation=22", "Clic para verlo en la web de RoadSurfer")</f>
        <v/>
      </c>
    </row>
    <row r="697">
      <c r="A697" t="inlineStr">
        <is>
          <t>Austria</t>
        </is>
      </c>
      <c r="B697" t="inlineStr">
        <is>
          <t>Salzburgo</t>
        </is>
      </c>
      <c r="C697" t="inlineStr">
        <is>
          <t>Alemania</t>
        </is>
      </c>
      <c r="D697" t="inlineStr">
        <is>
          <t>Colonia-Bonn</t>
        </is>
      </c>
      <c r="E697" t="inlineStr">
        <is>
          <t>2026-04-10</t>
        </is>
      </c>
      <c r="F697" t="inlineStr">
        <is>
          <t>2026-04-16</t>
        </is>
      </c>
      <c r="G697" t="inlineStr">
        <is>
          <t xml:space="preserve"> - Cozy Cottage</t>
        </is>
      </c>
      <c r="H697">
        <f>HYPERLINK("https://booking.roadsurfer.com/es/rally/pick?pickup_date=2026-04-10&amp;return_date=2026-04-16&amp;currency=EUR&amp;startStation=85&amp;endStation=52", "Clic para verlo en la web de RoadSurfer")</f>
        <v/>
      </c>
    </row>
    <row r="698">
      <c r="A698" t="inlineStr">
        <is>
          <t>España</t>
        </is>
      </c>
      <c r="B698" t="inlineStr">
        <is>
          <t>Sevilla</t>
        </is>
      </c>
      <c r="C698" t="inlineStr">
        <is>
          <t>Alemania</t>
        </is>
      </c>
      <c r="D698" t="inlineStr">
        <is>
          <t>Karlsruhe</t>
        </is>
      </c>
      <c r="E698" t="inlineStr">
        <is>
          <t>2026-04-27</t>
        </is>
      </c>
      <c r="F698" t="inlineStr">
        <is>
          <t>2026-05-04</t>
        </is>
      </c>
      <c r="G698" t="inlineStr">
        <is>
          <t xml:space="preserve"> - Beach Hostel</t>
        </is>
      </c>
      <c r="H698">
        <f>HYPERLINK("https://booking.roadsurfer.com/es/rally/pick?pickup_date=2026-04-27&amp;return_date=2026-05-04&amp;currency=EUR&amp;startStation=39&amp;endStation=110", "Clic para verlo en la web de RoadSurfer")</f>
        <v/>
      </c>
    </row>
    <row r="699">
      <c r="A699" t="inlineStr">
        <is>
          <t>España</t>
        </is>
      </c>
      <c r="B699" t="inlineStr">
        <is>
          <t>Sevilla</t>
        </is>
      </c>
      <c r="C699" t="inlineStr">
        <is>
          <t>Alemania</t>
        </is>
      </c>
      <c r="D699" t="inlineStr">
        <is>
          <t>Stuttgart</t>
        </is>
      </c>
      <c r="E699" t="inlineStr">
        <is>
          <t>2026-05-06</t>
        </is>
      </c>
      <c r="F699" t="inlineStr">
        <is>
          <t>2026-05-13</t>
        </is>
      </c>
      <c r="G699" t="inlineStr">
        <is>
          <t xml:space="preserve"> - Road House</t>
        </is>
      </c>
      <c r="H699">
        <f>HYPERLINK("https://booking.roadsurfer.com/es/rally/pick?pickup_date=2026-05-06&amp;return_date=2026-05-13&amp;currency=EUR&amp;startStation=39&amp;endStation=5", "Clic para verlo en la web de RoadSurfer")</f>
        <v/>
      </c>
    </row>
    <row r="700">
      <c r="A700" t="inlineStr">
        <is>
          <t>España</t>
        </is>
      </c>
      <c r="B700" t="inlineStr">
        <is>
          <t>Sevilla</t>
        </is>
      </c>
      <c r="C700" t="inlineStr">
        <is>
          <t>Alemania</t>
        </is>
      </c>
      <c r="D700" t="inlineStr">
        <is>
          <t>Stuttgart</t>
        </is>
      </c>
      <c r="E700" t="inlineStr">
        <is>
          <t>2026-05-11</t>
        </is>
      </c>
      <c r="F700" t="inlineStr">
        <is>
          <t>2026-05-18</t>
        </is>
      </c>
      <c r="G700" t="inlineStr">
        <is>
          <t xml:space="preserve"> - Camper Castle</t>
        </is>
      </c>
      <c r="H700">
        <f>HYPERLINK("https://booking.roadsurfer.com/es/rally/pick?pickup_date=2026-05-11&amp;return_date=2026-05-18&amp;currency=EUR&amp;startStation=39&amp;endStation=5", "Clic para verlo en la web de RoadSurfer")</f>
        <v/>
      </c>
    </row>
    <row r="701">
      <c r="A701" t="inlineStr">
        <is>
          <t>España</t>
        </is>
      </c>
      <c r="B701" t="inlineStr">
        <is>
          <t>Sevilla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2026-04-18</t>
        </is>
      </c>
      <c r="F701" t="inlineStr">
        <is>
          <t>2026-04-25</t>
        </is>
      </c>
      <c r="G701" t="inlineStr">
        <is>
          <t xml:space="preserve"> - No hay coche</t>
        </is>
      </c>
      <c r="H701">
        <f>HYPERLINK("https://booking.roadsurfer.com/es/rally/pick?pickup_date=2026-04-18&amp;return_date=2026-04-25&amp;currency=EUR&amp;startStation=39&amp;endStation=22", "Clic para verlo en la web de RoadSurfer")</f>
        <v/>
      </c>
    </row>
    <row r="702">
      <c r="A702" t="inlineStr">
        <is>
          <t>España</t>
        </is>
      </c>
      <c r="B702" t="inlineStr">
        <is>
          <t>Sevilla</t>
        </is>
      </c>
      <c r="C702" t="inlineStr">
        <is>
          <t>Alemania</t>
        </is>
      </c>
      <c r="D702" t="inlineStr">
        <is>
          <t>Tréveris</t>
        </is>
      </c>
      <c r="E702" t="inlineStr">
        <is>
          <t>2026-05-15</t>
        </is>
      </c>
      <c r="F702" t="inlineStr">
        <is>
          <t>2026-05-22</t>
        </is>
      </c>
      <c r="G702" t="inlineStr">
        <is>
          <t xml:space="preserve"> - No hay coche</t>
        </is>
      </c>
      <c r="H702">
        <f>HYPERLINK("https://booking.roadsurfer.com/es/rally/pick?pickup_date=2026-05-15&amp;return_date=2026-05-22&amp;currency=EUR&amp;startStation=39&amp;endStation=28", "Clic para verlo en la web de RoadSurfer")</f>
        <v/>
      </c>
    </row>
    <row r="703">
      <c r="A703" t="inlineStr">
        <is>
          <t>España</t>
        </is>
      </c>
      <c r="B703" t="inlineStr">
        <is>
          <t>Sevilla</t>
        </is>
      </c>
      <c r="C703" t="inlineStr">
        <is>
          <t>Alemania</t>
        </is>
      </c>
      <c r="D703" t="inlineStr">
        <is>
          <t>Tréveris</t>
        </is>
      </c>
      <c r="E703" t="inlineStr">
        <is>
          <t>2026-05-16</t>
        </is>
      </c>
      <c r="F703" t="inlineStr">
        <is>
          <t>2026-05-23</t>
        </is>
      </c>
      <c r="G703" t="inlineStr">
        <is>
          <t xml:space="preserve"> - Couple Cottage</t>
        </is>
      </c>
      <c r="H703">
        <f>HYPERLINK("https://booking.roadsurfer.com/es/rally/pick?pickup_date=2026-05-16&amp;return_date=2026-05-23&amp;currency=EUR&amp;startStation=39&amp;endStation=28", "Clic para verlo en la web de RoadSurfer")</f>
        <v/>
      </c>
    </row>
    <row r="704">
      <c r="A704" t="inlineStr">
        <is>
          <t>España</t>
        </is>
      </c>
      <c r="B704" t="inlineStr">
        <is>
          <t>Sevilla</t>
        </is>
      </c>
      <c r="C704" t="inlineStr">
        <is>
          <t>Alemania</t>
        </is>
      </c>
      <c r="D704" t="inlineStr">
        <is>
          <t>Múnich</t>
        </is>
      </c>
      <c r="E704" t="inlineStr">
        <is>
          <t>2026-05-07</t>
        </is>
      </c>
      <c r="F704" t="inlineStr">
        <is>
          <t>2026-05-14</t>
        </is>
      </c>
      <c r="G704" t="inlineStr">
        <is>
          <t xml:space="preserve"> - No hay coche</t>
        </is>
      </c>
      <c r="H704">
        <f>HYPERLINK("https://booking.roadsurfer.com/es/rally/pick?pickup_date=2026-05-07&amp;return_date=2026-05-14&amp;currency=EUR&amp;startStation=39&amp;endStation=1", "Clic para verlo en la web de RoadSurfer")</f>
        <v/>
      </c>
    </row>
    <row r="705">
      <c r="A705" t="inlineStr">
        <is>
          <t>España</t>
        </is>
      </c>
      <c r="B705" t="inlineStr">
        <is>
          <t>Sevilla</t>
        </is>
      </c>
      <c r="C705" t="inlineStr">
        <is>
          <t>Alemania</t>
        </is>
      </c>
      <c r="D705" t="inlineStr">
        <is>
          <t>Berlín-Schönefeld</t>
        </is>
      </c>
      <c r="E705" t="inlineStr">
        <is>
          <t>2026-04-30</t>
        </is>
      </c>
      <c r="F705" t="inlineStr">
        <is>
          <t>2026-05-07</t>
        </is>
      </c>
      <c r="G705" t="inlineStr">
        <is>
          <t xml:space="preserve"> - Cozy Cottage</t>
        </is>
      </c>
      <c r="H705">
        <f>HYPERLINK("https://booking.roadsurfer.com/es/rally/pick?pickup_date=2026-04-30&amp;return_date=2026-05-07&amp;currency=EUR&amp;startStation=39&amp;endStation=51", "Clic para verlo en la web de RoadSurfer")</f>
        <v/>
      </c>
    </row>
    <row r="706">
      <c r="A706" t="inlineStr">
        <is>
          <t>España</t>
        </is>
      </c>
      <c r="B706" t="inlineStr">
        <is>
          <t>Sevilla</t>
        </is>
      </c>
      <c r="C706" t="inlineStr">
        <is>
          <t>Alemania</t>
        </is>
      </c>
      <c r="D706" t="inlineStr">
        <is>
          <t>Fráncfort</t>
        </is>
      </c>
      <c r="E706" t="inlineStr">
        <is>
          <t>2026-04-09</t>
        </is>
      </c>
      <c r="F706" t="inlineStr">
        <is>
          <t>2026-04-16</t>
        </is>
      </c>
      <c r="G706" t="inlineStr">
        <is>
          <t xml:space="preserve"> - Cozy Cottage</t>
        </is>
      </c>
      <c r="H706">
        <f>HYPERLINK("https://booking.roadsurfer.com/es/rally/pick?pickup_date=2026-04-09&amp;return_date=2026-04-16&amp;currency=EUR&amp;startStation=39&amp;endStation=2",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Karlsruhe</t>
        </is>
      </c>
      <c r="E707" t="inlineStr">
        <is>
          <t>2026-04-14</t>
        </is>
      </c>
      <c r="F707" t="inlineStr">
        <is>
          <t>2026-04-21</t>
        </is>
      </c>
      <c r="G707" t="inlineStr">
        <is>
          <t xml:space="preserve"> - Camper Castle</t>
        </is>
      </c>
      <c r="H707">
        <f>HYPERLINK("https://booking.roadsurfer.com/es/rally/pick?pickup_date=2026-04-14&amp;return_date=2026-04-21&amp;currency=EUR&amp;startStation=59&amp;endStation=110",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Karlsruhe</t>
        </is>
      </c>
      <c r="E708" t="inlineStr">
        <is>
          <t>2026-04-08</t>
        </is>
      </c>
      <c r="F708" t="inlineStr">
        <is>
          <t>2026-04-15</t>
        </is>
      </c>
      <c r="G708" t="inlineStr">
        <is>
          <t xml:space="preserve"> - Camper Castle</t>
        </is>
      </c>
      <c r="H708">
        <f>HYPERLINK("https://booking.roadsurfer.com/es/rally/pick?pickup_date=2026-04-08&amp;return_date=2026-04-15&amp;currency=EUR&amp;startStation=59&amp;endStation=110",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Karlsruhe</t>
        </is>
      </c>
      <c r="E709" t="inlineStr">
        <is>
          <t>2026-04-13</t>
        </is>
      </c>
      <c r="F709" t="inlineStr">
        <is>
          <t>2026-04-20</t>
        </is>
      </c>
      <c r="G709" t="inlineStr">
        <is>
          <t xml:space="preserve"> - Surfer Suite</t>
        </is>
      </c>
      <c r="H709">
        <f>HYPERLINK("https://booking.roadsurfer.com/es/rally/pick?pickup_date=2026-04-13&amp;return_date=2026-04-20&amp;currency=EUR&amp;startStation=59&amp;endStation=110",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2026-04-08</t>
        </is>
      </c>
      <c r="F710" t="inlineStr">
        <is>
          <t>2026-04-15</t>
        </is>
      </c>
      <c r="G710" t="inlineStr">
        <is>
          <t xml:space="preserve"> - Surfer Suite</t>
        </is>
      </c>
      <c r="H710">
        <f>HYPERLINK("https://booking.roadsurfer.com/es/rally/pick?pickup_date=2026-04-08&amp;return_date=2026-04-15&amp;currency=EUR&amp;startStation=59&amp;endStation=1",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Bochum</t>
        </is>
      </c>
      <c r="E711" t="inlineStr">
        <is>
          <t>2026-04-07</t>
        </is>
      </c>
      <c r="F711" t="inlineStr">
        <is>
          <t>2026-04-14</t>
        </is>
      </c>
      <c r="G711" t="inlineStr">
        <is>
          <t xml:space="preserve"> - Surfer Suite</t>
        </is>
      </c>
      <c r="H711">
        <f>HYPERLINK("https://booking.roadsurfer.com/es/rally/pick?pickup_date=2026-04-07&amp;return_date=2026-04-14&amp;currency=EUR&amp;startStation=59&amp;endStation=24",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2026-05-06</t>
        </is>
      </c>
      <c r="F712" t="inlineStr">
        <is>
          <t>2026-05-13</t>
        </is>
      </c>
      <c r="G712" t="inlineStr">
        <is>
          <t xml:space="preserve"> - Road House</t>
        </is>
      </c>
      <c r="H712">
        <f>HYPERLINK("https://booking.roadsurfer.com/es/rally/pick?pickup_date=2026-05-06&amp;return_date=2026-05-13&amp;currency=EUR&amp;startStation=59&amp;endStation=6",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Berlín</t>
        </is>
      </c>
      <c r="E713" t="inlineStr">
        <is>
          <t>2026-05-08</t>
        </is>
      </c>
      <c r="F713" t="inlineStr">
        <is>
          <t>2026-05-15</t>
        </is>
      </c>
      <c r="G713" t="inlineStr">
        <is>
          <t xml:space="preserve"> - Cozy Cottage</t>
        </is>
      </c>
      <c r="H713">
        <f>HYPERLINK("https://booking.roadsurfer.com/es/rally/pick?pickup_date=2026-05-08&amp;return_date=2026-05-15&amp;currency=EUR&amp;startStation=59&amp;endStation=6",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Berlín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Sunrise Suite</t>
        </is>
      </c>
      <c r="H714">
        <f>HYPERLINK("https://booking.roadsurfer.com/es/rally/pick?pickup_date=2026-05-11&amp;return_date=2026-05-18&amp;currency=EUR&amp;startStation=59&amp;endStation=6",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Berlín</t>
        </is>
      </c>
      <c r="E715" t="inlineStr">
        <is>
          <t>2026-05-15</t>
        </is>
      </c>
      <c r="F715" t="inlineStr">
        <is>
          <t>2026-05-22</t>
        </is>
      </c>
      <c r="G715" t="inlineStr">
        <is>
          <t xml:space="preserve"> - Cozy Cottage</t>
        </is>
      </c>
      <c r="H715">
        <f>HYPERLINK("https://booking.roadsurfer.com/es/rally/pick?pickup_date=2026-05-15&amp;return_date=2026-05-22&amp;currency=EUR&amp;startStation=59&amp;endStation=6",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Berlín</t>
        </is>
      </c>
      <c r="E716" t="inlineStr">
        <is>
          <t>2026-05-19</t>
        </is>
      </c>
      <c r="F716" t="inlineStr">
        <is>
          <t>2026-05-26</t>
        </is>
      </c>
      <c r="G716" t="inlineStr">
        <is>
          <t xml:space="preserve"> - Family Finca</t>
        </is>
      </c>
      <c r="H716">
        <f>HYPERLINK("https://booking.roadsurfer.com/es/rally/pick?pickup_date=2026-05-19&amp;return_date=2026-05-26&amp;currency=EUR&amp;startStation=59&amp;endStation=6",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Berlín</t>
        </is>
      </c>
      <c r="E717" t="inlineStr">
        <is>
          <t>2026-04-10</t>
        </is>
      </c>
      <c r="F717" t="inlineStr">
        <is>
          <t>2026-04-17</t>
        </is>
      </c>
      <c r="G717" t="inlineStr">
        <is>
          <t xml:space="preserve"> - Surfer Suite</t>
        </is>
      </c>
      <c r="H717">
        <f>HYPERLINK("https://booking.roadsurfer.com/es/rally/pick?pickup_date=2026-04-10&amp;return_date=2026-04-17&amp;currency=EUR&amp;startStation=59&amp;endStation=6",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Ratisbona</t>
        </is>
      </c>
      <c r="E718" t="inlineStr">
        <is>
          <t>2026-04-07</t>
        </is>
      </c>
      <c r="F718" t="inlineStr">
        <is>
          <t>2026-04-14</t>
        </is>
      </c>
      <c r="G718" t="inlineStr">
        <is>
          <t xml:space="preserve"> - Surfer Suite</t>
        </is>
      </c>
      <c r="H718">
        <f>HYPERLINK("https://booking.roadsurfer.com/es/rally/pick?pickup_date=2026-04-07&amp;return_date=2026-04-14&amp;currency=EUR&amp;startStation=59&amp;endStation=89",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Ratisbona</t>
        </is>
      </c>
      <c r="E719" t="inlineStr">
        <is>
          <t>2026-04-14</t>
        </is>
      </c>
      <c r="F719" t="inlineStr">
        <is>
          <t>2026-04-21</t>
        </is>
      </c>
      <c r="G719" t="inlineStr">
        <is>
          <t xml:space="preserve"> - Surfer Suite</t>
        </is>
      </c>
      <c r="H719">
        <f>HYPERLINK("https://booking.roadsurfer.com/es/rally/pick?pickup_date=2026-04-14&amp;return_date=2026-04-21&amp;currency=EUR&amp;startStation=59&amp;endStation=89",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Maguncia</t>
        </is>
      </c>
      <c r="E720" t="inlineStr">
        <is>
          <t>2026-04-13</t>
        </is>
      </c>
      <c r="F720" t="inlineStr">
        <is>
          <t>2026-04-20</t>
        </is>
      </c>
      <c r="G720" t="inlineStr">
        <is>
          <t xml:space="preserve"> - Surfer Suite</t>
        </is>
      </c>
      <c r="H720">
        <f>HYPERLINK("https://booking.roadsurfer.com/es/rally/pick?pickup_date=2026-04-13&amp;return_date=2026-04-20&amp;currency=EUR&amp;startStation=59&amp;endStation=54",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2026-04-09</t>
        </is>
      </c>
      <c r="F721" t="inlineStr">
        <is>
          <t>2026-04-16</t>
        </is>
      </c>
      <c r="G721" t="inlineStr">
        <is>
          <t xml:space="preserve"> - Surfer Suite - Camper Castle</t>
        </is>
      </c>
      <c r="H721">
        <f>HYPERLINK("https://booking.roadsurfer.com/es/rally/pick?pickup_date=2026-04-09&amp;return_date=2026-04-16&amp;currency=EUR&amp;startStation=59&amp;endStation=22",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2026-04-08</t>
        </is>
      </c>
      <c r="F722" t="inlineStr">
        <is>
          <t>2026-04-15</t>
        </is>
      </c>
      <c r="G722" t="inlineStr">
        <is>
          <t xml:space="preserve"> - Sunrise Suite</t>
        </is>
      </c>
      <c r="H722">
        <f>HYPERLINK("https://booking.roadsurfer.com/es/rally/pick?pickup_date=2026-04-08&amp;return_date=2026-04-15&amp;currency=EUR&amp;startStation=59&amp;endStation=22",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2026-04-10</t>
        </is>
      </c>
      <c r="F723" t="inlineStr">
        <is>
          <t>2026-04-17</t>
        </is>
      </c>
      <c r="G723" t="inlineStr">
        <is>
          <t xml:space="preserve"> - Family Finca - Sunrise Suite</t>
        </is>
      </c>
      <c r="H723">
        <f>HYPERLINK("https://booking.roadsurfer.com/es/rally/pick?pickup_date=2026-04-10&amp;return_date=2026-04-17&amp;currency=EUR&amp;startStation=59&amp;endStation=22",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2026-04-20</t>
        </is>
      </c>
      <c r="F724" t="inlineStr">
        <is>
          <t>2026-04-27</t>
        </is>
      </c>
      <c r="G724" t="inlineStr">
        <is>
          <t xml:space="preserve"> - Camper Castle</t>
        </is>
      </c>
      <c r="H724">
        <f>HYPERLINK("https://booking.roadsurfer.com/es/rally/pick?pickup_date=2026-04-20&amp;return_date=2026-04-27&amp;currency=EUR&amp;startStation=59&amp;endStation=22",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2026-04-17</t>
        </is>
      </c>
      <c r="F725" t="inlineStr">
        <is>
          <t>2026-04-24</t>
        </is>
      </c>
      <c r="G725" t="inlineStr">
        <is>
          <t xml:space="preserve"> - Couple Cottage</t>
        </is>
      </c>
      <c r="H725">
        <f>HYPERLINK("https://booking.roadsurfer.com/es/rally/pick?pickup_date=2026-04-17&amp;return_date=2026-04-24&amp;currency=EUR&amp;startStation=59&amp;endStation=22",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Núremberg</t>
        </is>
      </c>
      <c r="E726" t="inlineStr">
        <is>
          <t>2026-04-08</t>
        </is>
      </c>
      <c r="F726" t="inlineStr">
        <is>
          <t>2026-04-15</t>
        </is>
      </c>
      <c r="G726" t="inlineStr">
        <is>
          <t xml:space="preserve"> - Surfer Suite</t>
        </is>
      </c>
      <c r="H726">
        <f>HYPERLINK("https://booking.roadsurfer.com/es/rally/pick?pickup_date=2026-04-08&amp;return_date=2026-04-15&amp;currency=EUR&amp;startStation=59&amp;endStation=11",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Núremberg</t>
        </is>
      </c>
      <c r="E727" t="inlineStr">
        <is>
          <t>2026-04-10</t>
        </is>
      </c>
      <c r="F727" t="inlineStr">
        <is>
          <t>2026-04-17</t>
        </is>
      </c>
      <c r="G727" t="inlineStr">
        <is>
          <t xml:space="preserve"> - Surfer Suite</t>
        </is>
      </c>
      <c r="H727">
        <f>HYPERLINK("https://booking.roadsurfer.com/es/rally/pick?pickup_date=2026-04-10&amp;return_date=2026-04-17&amp;currency=EUR&amp;startStation=59&amp;endStation=11",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Núremberg</t>
        </is>
      </c>
      <c r="E728" t="inlineStr">
        <is>
          <t>2026-04-27</t>
        </is>
      </c>
      <c r="F728" t="inlineStr">
        <is>
          <t>2026-05-04</t>
        </is>
      </c>
      <c r="G728" t="inlineStr">
        <is>
          <t xml:space="preserve"> - Beach Hostel</t>
        </is>
      </c>
      <c r="H728">
        <f>HYPERLINK("https://booking.roadsurfer.com/es/rally/pick?pickup_date=2026-04-27&amp;return_date=2026-05-04&amp;currency=EUR&amp;startStation=59&amp;endStation=11",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Erfurt</t>
        </is>
      </c>
      <c r="E729" t="inlineStr">
        <is>
          <t>2026-04-14</t>
        </is>
      </c>
      <c r="F729" t="inlineStr">
        <is>
          <t>2026-04-21</t>
        </is>
      </c>
      <c r="G729" t="inlineStr">
        <is>
          <t xml:space="preserve"> - Couple Cottage</t>
        </is>
      </c>
      <c r="H729">
        <f>HYPERLINK("https://booking.roadsurfer.com/es/rally/pick?pickup_date=2026-04-14&amp;return_date=2026-04-21&amp;currency=EUR&amp;startStation=59&amp;endStation=90",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Erfurt</t>
        </is>
      </c>
      <c r="E730" t="inlineStr">
        <is>
          <t>2026-04-09</t>
        </is>
      </c>
      <c r="F730" t="inlineStr">
        <is>
          <t>2026-04-16</t>
        </is>
      </c>
      <c r="G730" t="inlineStr">
        <is>
          <t xml:space="preserve"> - Surfer Suite - Sunrise Suite</t>
        </is>
      </c>
      <c r="H730">
        <f>HYPERLINK("https://booking.roadsurfer.com/es/rally/pick?pickup_date=2026-04-09&amp;return_date=2026-04-16&amp;currency=EUR&amp;startStation=59&amp;endStation=90",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2026-04-16</t>
        </is>
      </c>
      <c r="F731" t="inlineStr">
        <is>
          <t>2026-04-23</t>
        </is>
      </c>
      <c r="G731" t="inlineStr">
        <is>
          <t xml:space="preserve"> - Road House</t>
        </is>
      </c>
      <c r="H731">
        <f>HYPERLINK("https://booking.roadsurfer.com/es/rally/pick?pickup_date=2026-04-16&amp;return_date=2026-04-23&amp;currency=EUR&amp;startStation=59&amp;endStation=90",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Erfurt</t>
        </is>
      </c>
      <c r="E732" t="inlineStr">
        <is>
          <t>2026-05-11</t>
        </is>
      </c>
      <c r="F732" t="inlineStr">
        <is>
          <t>2026-05-18</t>
        </is>
      </c>
      <c r="G732" t="inlineStr">
        <is>
          <t xml:space="preserve"> - Sunrise Suite</t>
        </is>
      </c>
      <c r="H732">
        <f>HYPERLINK("https://booking.roadsurfer.com/es/rally/pick?pickup_date=2026-05-11&amp;return_date=2026-05-18&amp;currency=EUR&amp;startStation=59&amp;endStation=90",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Erfurt</t>
        </is>
      </c>
      <c r="E733" t="inlineStr">
        <is>
          <t>2026-05-12</t>
        </is>
      </c>
      <c r="F733" t="inlineStr">
        <is>
          <t>2026-05-19</t>
        </is>
      </c>
      <c r="G733" t="inlineStr">
        <is>
          <t xml:space="preserve"> - Sunrise Suite</t>
        </is>
      </c>
      <c r="H733">
        <f>HYPERLINK("https://booking.roadsurfer.com/es/rally/pick?pickup_date=2026-05-12&amp;return_date=2026-05-19&amp;currency=EUR&amp;startStation=59&amp;endStation=90",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Erfurt</t>
        </is>
      </c>
      <c r="E734" t="inlineStr">
        <is>
          <t>2026-04-08</t>
        </is>
      </c>
      <c r="F734" t="inlineStr">
        <is>
          <t>2026-04-15</t>
        </is>
      </c>
      <c r="G734" t="inlineStr">
        <is>
          <t xml:space="preserve"> - Road House</t>
        </is>
      </c>
      <c r="H734">
        <f>HYPERLINK("https://booking.roadsurfer.com/es/rally/pick?pickup_date=2026-04-08&amp;return_date=2026-04-15&amp;currency=EUR&amp;startStation=59&amp;endStation=90",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Bremen</t>
        </is>
      </c>
      <c r="E735" t="inlineStr">
        <is>
          <t>2026-05-06</t>
        </is>
      </c>
      <c r="F735" t="inlineStr">
        <is>
          <t>2026-05-13</t>
        </is>
      </c>
      <c r="G735" t="inlineStr">
        <is>
          <t xml:space="preserve"> - Family Finca</t>
        </is>
      </c>
      <c r="H735">
        <f>HYPERLINK("https://booking.roadsurfer.com/es/rally/pick?pickup_date=2026-05-06&amp;return_date=2026-05-13&amp;currency=EUR&amp;startStation=59&amp;endStation=55",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Bremen</t>
        </is>
      </c>
      <c r="E736" t="inlineStr">
        <is>
          <t>2026-05-08</t>
        </is>
      </c>
      <c r="F736" t="inlineStr">
        <is>
          <t>2026-05-15</t>
        </is>
      </c>
      <c r="G736" t="inlineStr">
        <is>
          <t xml:space="preserve"> - Family Finca</t>
        </is>
      </c>
      <c r="H736">
        <f>HYPERLINK("https://booking.roadsurfer.com/es/rally/pick?pickup_date=2026-05-08&amp;return_date=2026-05-15&amp;currency=EUR&amp;startStation=59&amp;endStation=55",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Bremen</t>
        </is>
      </c>
      <c r="E737" t="inlineStr">
        <is>
          <t>2026-05-13</t>
        </is>
      </c>
      <c r="F737" t="inlineStr">
        <is>
          <t>2026-05-20</t>
        </is>
      </c>
      <c r="G737" t="inlineStr">
        <is>
          <t xml:space="preserve"> - Sunrise Suite</t>
        </is>
      </c>
      <c r="H737">
        <f>HYPERLINK("https://booking.roadsurfer.com/es/rally/pick?pickup_date=2026-05-13&amp;return_date=2026-05-20&amp;currency=EUR&amp;startStation=59&amp;endStation=55",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Bremen</t>
        </is>
      </c>
      <c r="E738" t="inlineStr">
        <is>
          <t>2026-05-19</t>
        </is>
      </c>
      <c r="F738" t="inlineStr">
        <is>
          <t>2026-05-26</t>
        </is>
      </c>
      <c r="G738" t="inlineStr">
        <is>
          <t xml:space="preserve"> - No hay coche</t>
        </is>
      </c>
      <c r="H738">
        <f>HYPERLINK("https://booking.roadsurfer.com/es/rally/pick?pickup_date=2026-05-19&amp;return_date=2026-05-26&amp;currency=EUR&amp;startStation=59&amp;endStation=55",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Bremen</t>
        </is>
      </c>
      <c r="E739" t="inlineStr">
        <is>
          <t>2026-04-22</t>
        </is>
      </c>
      <c r="F739" t="inlineStr">
        <is>
          <t>2026-04-29</t>
        </is>
      </c>
      <c r="G739" t="inlineStr">
        <is>
          <t xml:space="preserve"> - Beach Hostel</t>
        </is>
      </c>
      <c r="H739">
        <f>HYPERLINK("https://booking.roadsurfer.com/es/rally/pick?pickup_date=2026-04-22&amp;return_date=2026-04-29&amp;currency=EUR&amp;startStation=59&amp;endStation=55",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Dresde</t>
        </is>
      </c>
      <c r="E740" t="inlineStr">
        <is>
          <t>2026-04-09</t>
        </is>
      </c>
      <c r="F740" t="inlineStr">
        <is>
          <t>2026-04-16</t>
        </is>
      </c>
      <c r="G740" t="inlineStr">
        <is>
          <t xml:space="preserve"> - Road House</t>
        </is>
      </c>
      <c r="H740">
        <f>HYPERLINK("https://booking.roadsurfer.com/es/rally/pick?pickup_date=2026-04-09&amp;return_date=2026-04-16&amp;currency=EUR&amp;startStation=59&amp;endStation=56",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Dresde</t>
        </is>
      </c>
      <c r="E741" t="inlineStr">
        <is>
          <t>2026-05-08</t>
        </is>
      </c>
      <c r="F741" t="inlineStr">
        <is>
          <t>2026-05-15</t>
        </is>
      </c>
      <c r="G741" t="inlineStr">
        <is>
          <t xml:space="preserve"> - Camper Castle</t>
        </is>
      </c>
      <c r="H741">
        <f>HYPERLINK("https://booking.roadsurfer.com/es/rally/pick?pickup_date=2026-05-08&amp;return_date=2026-05-15&amp;currency=EUR&amp;startStation=59&amp;endStation=56",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2026-05-13</t>
        </is>
      </c>
      <c r="F742" t="inlineStr">
        <is>
          <t>2026-05-20</t>
        </is>
      </c>
      <c r="G742" t="inlineStr">
        <is>
          <t xml:space="preserve"> - Camper Castle</t>
        </is>
      </c>
      <c r="H742">
        <f>HYPERLINK("https://booking.roadsurfer.com/es/rally/pick?pickup_date=2026-05-13&amp;return_date=2026-05-20&amp;currency=EUR&amp;startStation=59&amp;endStation=56",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Road House</t>
        </is>
      </c>
      <c r="H743">
        <f>HYPERLINK("https://booking.roadsurfer.com/es/rally/pick?pickup_date=2026-05-04&amp;return_date=2026-05-11&amp;currency=EUR&amp;startStation=59&amp;endStation=56",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Kiel</t>
        </is>
      </c>
      <c r="E744" t="inlineStr">
        <is>
          <t>2026-05-15</t>
        </is>
      </c>
      <c r="F744" t="inlineStr">
        <is>
          <t>2026-05-22</t>
        </is>
      </c>
      <c r="G744" t="inlineStr">
        <is>
          <t xml:space="preserve"> - Road House - COUPLE COTTAGE</t>
        </is>
      </c>
      <c r="H744">
        <f>HYPERLINK("https://booking.roadsurfer.com/es/rally/pick?pickup_date=2026-05-15&amp;return_date=2026-05-22&amp;currency=EUR&amp;startStation=59&amp;endStation=111",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Kiel</t>
        </is>
      </c>
      <c r="E745" t="inlineStr">
        <is>
          <t>2026-05-20</t>
        </is>
      </c>
      <c r="F745" t="inlineStr">
        <is>
          <t>2026-05-27</t>
        </is>
      </c>
      <c r="G745" t="inlineStr">
        <is>
          <t xml:space="preserve"> - Couple Cottage</t>
        </is>
      </c>
      <c r="H745">
        <f>HYPERLINK("https://booking.roadsurfer.com/es/rally/pick?pickup_date=2026-05-20&amp;return_date=2026-05-27&amp;currency=EUR&amp;startStation=59&amp;endStation=111",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2026-04-14</t>
        </is>
      </c>
      <c r="F746" t="inlineStr">
        <is>
          <t>2026-04-21</t>
        </is>
      </c>
      <c r="G746" t="inlineStr">
        <is>
          <t xml:space="preserve"> - Road House</t>
        </is>
      </c>
      <c r="H746">
        <f>HYPERLINK("https://booking.roadsurfer.com/es/rally/pick?pickup_date=2026-04-14&amp;return_date=2026-04-21&amp;currency=EUR&amp;startStation=59&amp;endStation=91",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Bielefeld</t>
        </is>
      </c>
      <c r="E747" t="inlineStr">
        <is>
          <t>2026-05-04</t>
        </is>
      </c>
      <c r="F747" t="inlineStr">
        <is>
          <t>2026-05-11</t>
        </is>
      </c>
      <c r="G747" t="inlineStr">
        <is>
          <t xml:space="preserve"> - Sunrise Suite</t>
        </is>
      </c>
      <c r="H747">
        <f>HYPERLINK("https://booking.roadsurfer.com/es/rally/pick?pickup_date=2026-05-04&amp;return_date=2026-05-11&amp;currency=EUR&amp;startStation=59&amp;endStation=91",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Bielefeld</t>
        </is>
      </c>
      <c r="E748" t="inlineStr">
        <is>
          <t>2026-05-06</t>
        </is>
      </c>
      <c r="F748" t="inlineStr">
        <is>
          <t>2026-05-13</t>
        </is>
      </c>
      <c r="G748" t="inlineStr">
        <is>
          <t xml:space="preserve"> - Sunrise Suite</t>
        </is>
      </c>
      <c r="H748">
        <f>HYPERLINK("https://booking.roadsurfer.com/es/rally/pick?pickup_date=2026-05-06&amp;return_date=2026-05-13&amp;currency=EUR&amp;startStation=59&amp;endStation=91",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Bielefeld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No hay coche</t>
        </is>
      </c>
      <c r="H749">
        <f>HYPERLINK("https://booking.roadsurfer.com/es/rally/pick?pickup_date=2026-05-11&amp;return_date=2026-05-18&amp;currency=EUR&amp;startStation=59&amp;endStation=91",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Bielefeld</t>
        </is>
      </c>
      <c r="E750" t="inlineStr">
        <is>
          <t>2026-05-14</t>
        </is>
      </c>
      <c r="F750" t="inlineStr">
        <is>
          <t>2026-05-21</t>
        </is>
      </c>
      <c r="G750" t="inlineStr">
        <is>
          <t xml:space="preserve"> - No hay coche</t>
        </is>
      </c>
      <c r="H750">
        <f>HYPERLINK("https://booking.roadsurfer.com/es/rally/pick?pickup_date=2026-05-14&amp;return_date=2026-05-21&amp;currency=EUR&amp;startStation=59&amp;endStation=91",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Bielefeld</t>
        </is>
      </c>
      <c r="E751" t="inlineStr">
        <is>
          <t>2026-05-15</t>
        </is>
      </c>
      <c r="F751" t="inlineStr">
        <is>
          <t>2026-05-22</t>
        </is>
      </c>
      <c r="G751" t="inlineStr">
        <is>
          <t xml:space="preserve"> - Couple Cottage</t>
        </is>
      </c>
      <c r="H751">
        <f>HYPERLINK("https://booking.roadsurfer.com/es/rally/pick?pickup_date=2026-05-15&amp;return_date=2026-05-22&amp;currency=EUR&amp;startStation=59&amp;endStation=91",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Bielefeld</t>
        </is>
      </c>
      <c r="E752" t="inlineStr">
        <is>
          <t>2026-04-13</t>
        </is>
      </c>
      <c r="F752" t="inlineStr">
        <is>
          <t>2026-04-20</t>
        </is>
      </c>
      <c r="G752" t="inlineStr">
        <is>
          <t xml:space="preserve"> - Road House</t>
        </is>
      </c>
      <c r="H752">
        <f>HYPERLINK("https://booking.roadsurfer.com/es/rally/pick?pickup_date=2026-04-13&amp;return_date=2026-04-20&amp;currency=EUR&amp;startStation=59&amp;endStation=91",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Leipzig</t>
        </is>
      </c>
      <c r="E753" t="inlineStr">
        <is>
          <t>2026-04-16</t>
        </is>
      </c>
      <c r="F753" t="inlineStr">
        <is>
          <t>2026-04-23</t>
        </is>
      </c>
      <c r="G753" t="inlineStr">
        <is>
          <t xml:space="preserve"> - Road House</t>
        </is>
      </c>
      <c r="H753">
        <f>HYPERLINK("https://booking.roadsurfer.com/es/rally/pick?pickup_date=2026-04-16&amp;return_date=2026-04-23&amp;currency=EUR&amp;startStation=59&amp;endStation=8",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Leipzig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Couple Cottage</t>
        </is>
      </c>
      <c r="H754">
        <f>HYPERLINK("https://booking.roadsurfer.com/es/rally/pick?pickup_date=2026-05-06&amp;return_date=2026-05-13&amp;currency=EUR&amp;startStation=59&amp;endStation=8",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Leipzig</t>
        </is>
      </c>
      <c r="E755" t="inlineStr">
        <is>
          <t>2026-05-08</t>
        </is>
      </c>
      <c r="F755" t="inlineStr">
        <is>
          <t>2026-05-15</t>
        </is>
      </c>
      <c r="G755" t="inlineStr">
        <is>
          <t xml:space="preserve"> - Couple Cottage</t>
        </is>
      </c>
      <c r="H755">
        <f>HYPERLINK("https://booking.roadsurfer.com/es/rally/pick?pickup_date=2026-05-08&amp;return_date=2026-05-15&amp;currency=EUR&amp;startStation=59&amp;endStation=8",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Leipzig</t>
        </is>
      </c>
      <c r="E756" t="inlineStr">
        <is>
          <t>2026-05-30</t>
        </is>
      </c>
      <c r="F756" t="inlineStr">
        <is>
          <t>2026-06-06</t>
        </is>
      </c>
      <c r="G756" t="inlineStr">
        <is>
          <t xml:space="preserve"> - Couple Cottage</t>
        </is>
      </c>
      <c r="H756">
        <f>HYPERLINK("https://booking.roadsurfer.com/es/rally/pick?pickup_date=2026-05-30&amp;return_date=2026-06-06&amp;currency=EUR&amp;startStation=59&amp;endStation=8",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Colonia-Bonn</t>
        </is>
      </c>
      <c r="E757" t="inlineStr">
        <is>
          <t>2026-04-14</t>
        </is>
      </c>
      <c r="F757" t="inlineStr">
        <is>
          <t>2026-04-21</t>
        </is>
      </c>
      <c r="G757" t="inlineStr">
        <is>
          <t xml:space="preserve"> - Road House</t>
        </is>
      </c>
      <c r="H757">
        <f>HYPERLINK("https://booking.roadsurfer.com/es/rally/pick?pickup_date=2026-04-14&amp;return_date=2026-04-21&amp;currency=EUR&amp;startStation=59&amp;endStation=52",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Lübeck</t>
        </is>
      </c>
      <c r="E758" t="inlineStr">
        <is>
          <t>2026-05-04</t>
        </is>
      </c>
      <c r="F758" t="inlineStr">
        <is>
          <t>2026-05-11</t>
        </is>
      </c>
      <c r="G758" t="inlineStr">
        <is>
          <t xml:space="preserve"> - Camper Castle</t>
        </is>
      </c>
      <c r="H758">
        <f>HYPERLINK("https://booking.roadsurfer.com/es/rally/pick?pickup_date=2026-05-04&amp;return_date=2026-05-11&amp;currency=EUR&amp;startStation=59&amp;endStation=109",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Lübeck</t>
        </is>
      </c>
      <c r="E759" t="inlineStr">
        <is>
          <t>2026-05-06</t>
        </is>
      </c>
      <c r="F759" t="inlineStr">
        <is>
          <t>2026-05-13</t>
        </is>
      </c>
      <c r="G759" t="inlineStr">
        <is>
          <t xml:space="preserve"> - Sunrise Suite</t>
        </is>
      </c>
      <c r="H759">
        <f>HYPERLINK("https://booking.roadsurfer.com/es/rally/pick?pickup_date=2026-05-06&amp;return_date=2026-05-13&amp;currency=EUR&amp;startStation=59&amp;endStation=109",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Lübeck</t>
        </is>
      </c>
      <c r="E760" t="inlineStr">
        <is>
          <t>2026-05-08</t>
        </is>
      </c>
      <c r="F760" t="inlineStr">
        <is>
          <t>2026-05-15</t>
        </is>
      </c>
      <c r="G760" t="inlineStr">
        <is>
          <t xml:space="preserve"> - Camper Castle</t>
        </is>
      </c>
      <c r="H760">
        <f>HYPERLINK("https://booking.roadsurfer.com/es/rally/pick?pickup_date=2026-05-08&amp;return_date=2026-05-15&amp;currency=EUR&amp;startStation=59&amp;endStation=109",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Lübeck</t>
        </is>
      </c>
      <c r="E761" t="inlineStr">
        <is>
          <t>2026-05-12</t>
        </is>
      </c>
      <c r="F761" t="inlineStr">
        <is>
          <t>2026-05-19</t>
        </is>
      </c>
      <c r="G761" t="inlineStr">
        <is>
          <t xml:space="preserve"> - Camper Castle</t>
        </is>
      </c>
      <c r="H761">
        <f>HYPERLINK("https://booking.roadsurfer.com/es/rally/pick?pickup_date=2026-05-12&amp;return_date=2026-05-19&amp;currency=EUR&amp;startStation=59&amp;endStation=109",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Augsburgo</t>
        </is>
      </c>
      <c r="E762" t="inlineStr">
        <is>
          <t>2026-04-15</t>
        </is>
      </c>
      <c r="F762" t="inlineStr">
        <is>
          <t>2026-04-22</t>
        </is>
      </c>
      <c r="G762" t="inlineStr">
        <is>
          <t xml:space="preserve"> - Camper Castle</t>
        </is>
      </c>
      <c r="H762">
        <f>HYPERLINK("https://booking.roadsurfer.com/es/rally/pick?pickup_date=2026-04-15&amp;return_date=2026-04-22&amp;currency=EUR&amp;startStation=59&amp;endStation=108",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Lindau-Wangen</t>
        </is>
      </c>
      <c r="E763" t="inlineStr">
        <is>
          <t>2026-04-15</t>
        </is>
      </c>
      <c r="F763" t="inlineStr">
        <is>
          <t>2026-04-22</t>
        </is>
      </c>
      <c r="G763" t="inlineStr">
        <is>
          <t xml:space="preserve"> - Camper Castle</t>
        </is>
      </c>
      <c r="H763">
        <f>HYPERLINK("https://booking.roadsurfer.com/es/rally/pick?pickup_date=2026-04-15&amp;return_date=2026-04-22&amp;currency=EUR&amp;startStation=59&amp;endStation=117",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Hannover</t>
        </is>
      </c>
      <c r="E764" t="inlineStr">
        <is>
          <t>2026-04-27</t>
        </is>
      </c>
      <c r="F764" t="inlineStr">
        <is>
          <t>2026-05-04</t>
        </is>
      </c>
      <c r="G764" t="inlineStr">
        <is>
          <t xml:space="preserve"> - Cozy Cottage</t>
        </is>
      </c>
      <c r="H764">
        <f>HYPERLINK("https://booking.roadsurfer.com/es/rally/pick?pickup_date=2026-04-27&amp;return_date=2026-05-04&amp;currency=EUR&amp;startStation=59&amp;endStation=7",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Berlín-Schönefeld</t>
        </is>
      </c>
      <c r="E765" t="inlineStr">
        <is>
          <t>2026-05-08</t>
        </is>
      </c>
      <c r="F765" t="inlineStr">
        <is>
          <t>2026-05-15</t>
        </is>
      </c>
      <c r="G765" t="inlineStr">
        <is>
          <t xml:space="preserve"> - Van Villa</t>
        </is>
      </c>
      <c r="H765">
        <f>HYPERLINK("https://booking.roadsurfer.com/es/rally/pick?pickup_date=2026-05-08&amp;return_date=2026-05-15&amp;currency=EUR&amp;startStation=59&amp;endStation=51",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Berlín-Schönefeld</t>
        </is>
      </c>
      <c r="E766" t="inlineStr">
        <is>
          <t>2026-05-11</t>
        </is>
      </c>
      <c r="F766" t="inlineStr">
        <is>
          <t>2026-05-18</t>
        </is>
      </c>
      <c r="G766" t="inlineStr">
        <is>
          <t xml:space="preserve"> - Van Villa</t>
        </is>
      </c>
      <c r="H766">
        <f>HYPERLINK("https://booking.roadsurfer.com/es/rally/pick?pickup_date=2026-05-11&amp;return_date=2026-05-18&amp;currency=EUR&amp;startStation=59&amp;endStation=51",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Fráncfort</t>
        </is>
      </c>
      <c r="E767" t="inlineStr">
        <is>
          <t>2026-04-07</t>
        </is>
      </c>
      <c r="F767" t="inlineStr">
        <is>
          <t>2026-04-14</t>
        </is>
      </c>
      <c r="G767" t="inlineStr">
        <is>
          <t xml:space="preserve"> - Sunrise Suite</t>
        </is>
      </c>
      <c r="H767">
        <f>HYPERLINK("https://booking.roadsurfer.com/es/rally/pick?pickup_date=2026-04-07&amp;return_date=2026-04-14&amp;currency=EUR&amp;startStation=59&amp;endStation=2",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Austria</t>
        </is>
      </c>
      <c r="D768" t="inlineStr">
        <is>
          <t>Graz</t>
        </is>
      </c>
      <c r="E768" t="inlineStr">
        <is>
          <t>2026-04-13</t>
        </is>
      </c>
      <c r="F768" t="inlineStr">
        <is>
          <t>2026-04-20</t>
        </is>
      </c>
      <c r="G768" t="inlineStr">
        <is>
          <t xml:space="preserve"> - Surfer Suite</t>
        </is>
      </c>
      <c r="H768">
        <f>HYPERLINK("https://booking.roadsurfer.com/es/rally/pick?pickup_date=2026-04-13&amp;return_date=2026-04-20&amp;currency=EUR&amp;startStation=5&amp;endStation=37",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Francia</t>
        </is>
      </c>
      <c r="D769" t="inlineStr">
        <is>
          <t>Nantes</t>
        </is>
      </c>
      <c r="E769" t="inlineStr">
        <is>
          <t>2026-04-15</t>
        </is>
      </c>
      <c r="F769" t="inlineStr">
        <is>
          <t>2026-04-22</t>
        </is>
      </c>
      <c r="G769" t="inlineStr">
        <is>
          <t xml:space="preserve"> - Family Finca</t>
        </is>
      </c>
      <c r="H769">
        <f>HYPERLINK("https://booking.roadsurfer.com/es/rally/pick?pickup_date=2026-04-15&amp;return_date=2026-04-22&amp;currency=EUR&amp;startStation=5&amp;endStation=31",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Francia</t>
        </is>
      </c>
      <c r="D770" t="inlineStr">
        <is>
          <t>Nantes</t>
        </is>
      </c>
      <c r="E770" t="inlineStr">
        <is>
          <t>2026-04-28</t>
        </is>
      </c>
      <c r="F770" t="inlineStr">
        <is>
          <t>2026-05-05</t>
        </is>
      </c>
      <c r="G770" t="inlineStr">
        <is>
          <t xml:space="preserve"> - Surfer Suite</t>
        </is>
      </c>
      <c r="H770">
        <f>HYPERLINK("https://booking.roadsurfer.com/es/rally/pick?pickup_date=2026-04-28&amp;return_date=2026-05-05&amp;currency=EUR&amp;startStation=5&amp;endStation=31",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Francia</t>
        </is>
      </c>
      <c r="D771" t="inlineStr">
        <is>
          <t>Nantes</t>
        </is>
      </c>
      <c r="E771" t="inlineStr">
        <is>
          <t>2026-04-13</t>
        </is>
      </c>
      <c r="F771" t="inlineStr">
        <is>
          <t>2026-04-20</t>
        </is>
      </c>
      <c r="G771" t="inlineStr">
        <is>
          <t xml:space="preserve"> - Camper Cabin</t>
        </is>
      </c>
      <c r="H771">
        <f>HYPERLINK("https://booking.roadsurfer.com/es/rally/pick?pickup_date=2026-04-13&amp;return_date=2026-04-20&amp;currency=EUR&amp;startStation=5&amp;endStation=31",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Francia</t>
        </is>
      </c>
      <c r="D772" t="inlineStr">
        <is>
          <t>Nantes</t>
        </is>
      </c>
      <c r="E772" t="inlineStr">
        <is>
          <t>2026-04-08</t>
        </is>
      </c>
      <c r="F772" t="inlineStr">
        <is>
          <t>2026-04-15</t>
        </is>
      </c>
      <c r="G772" t="inlineStr">
        <is>
          <t xml:space="preserve"> - Camper Cabin</t>
        </is>
      </c>
      <c r="H772">
        <f>HYPERLINK("https://booking.roadsurfer.com/es/rally/pick?pickup_date=2026-04-08&amp;return_date=2026-04-15&amp;currency=EUR&amp;startStation=5&amp;endStation=31",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Francia</t>
        </is>
      </c>
      <c r="D773" t="inlineStr">
        <is>
          <t>Nantes</t>
        </is>
      </c>
      <c r="E773" t="inlineStr">
        <is>
          <t>2026-04-23</t>
        </is>
      </c>
      <c r="F773" t="inlineStr">
        <is>
          <t>2026-04-30</t>
        </is>
      </c>
      <c r="G773" t="inlineStr">
        <is>
          <t xml:space="preserve"> - SURFER SUITE</t>
        </is>
      </c>
      <c r="H773">
        <f>HYPERLINK("https://booking.roadsurfer.com/es/rally/pick?pickup_date=2026-04-23&amp;return_date=2026-04-30&amp;currency=EUR&amp;startStation=5&amp;endStation=31",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España</t>
        </is>
      </c>
      <c r="D774" t="inlineStr">
        <is>
          <t>Bilbao</t>
        </is>
      </c>
      <c r="E774" t="inlineStr">
        <is>
          <t>2026-04-27</t>
        </is>
      </c>
      <c r="F774" t="inlineStr">
        <is>
          <t>2026-05-04</t>
        </is>
      </c>
      <c r="G774" t="inlineStr">
        <is>
          <t xml:space="preserve"> - Beach Hostel</t>
        </is>
      </c>
      <c r="H774">
        <f>HYPERLINK("https://booking.roadsurfer.com/es/rally/pick?pickup_date=2026-04-27&amp;return_date=2026-05-04&amp;currency=EUR&amp;startStation=5&amp;endStation=40",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España</t>
        </is>
      </c>
      <c r="D775" t="inlineStr">
        <is>
          <t>Barcelona</t>
        </is>
      </c>
      <c r="E775" t="inlineStr">
        <is>
          <t>2026-04-10</t>
        </is>
      </c>
      <c r="F775" t="inlineStr">
        <is>
          <t>2026-04-17</t>
        </is>
      </c>
      <c r="G775" t="inlineStr">
        <is>
          <t xml:space="preserve"> - Road House</t>
        </is>
      </c>
      <c r="H775">
        <f>HYPERLINK("https://booking.roadsurfer.com/es/rally/pick?pickup_date=2026-04-10&amp;return_date=2026-04-17&amp;currency=EUR&amp;startStation=5&amp;endStation=17",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Francia</t>
        </is>
      </c>
      <c r="D776" t="inlineStr">
        <is>
          <t>París Sur (Orly)</t>
        </is>
      </c>
      <c r="E776" t="inlineStr">
        <is>
          <t>2026-04-20</t>
        </is>
      </c>
      <c r="F776" t="inlineStr">
        <is>
          <t>2026-04-27</t>
        </is>
      </c>
      <c r="G776" t="inlineStr">
        <is>
          <t xml:space="preserve"> - Couple Cottage</t>
        </is>
      </c>
      <c r="H776">
        <f>HYPERLINK("https://booking.roadsurfer.com/es/rally/pick?pickup_date=2026-04-20&amp;return_date=2026-04-27&amp;currency=EUR&amp;startStation=5&amp;endStation=12",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Austria</t>
        </is>
      </c>
      <c r="D777" t="inlineStr">
        <is>
          <t>Viena Sur</t>
        </is>
      </c>
      <c r="E777" t="inlineStr">
        <is>
          <t>2026-04-20</t>
        </is>
      </c>
      <c r="F777" t="inlineStr">
        <is>
          <t>2026-04-27</t>
        </is>
      </c>
      <c r="G777" t="inlineStr">
        <is>
          <t xml:space="preserve"> - Cozy Cottage</t>
        </is>
      </c>
      <c r="H777">
        <f>HYPERLINK("https://booking.roadsurfer.com/es/rally/pick?pickup_date=2026-04-20&amp;return_date=2026-04-27&amp;currency=EUR&amp;startStation=5&amp;endStation=45", "Clic para verlo en la web de RoadSurfer")</f>
        <v/>
      </c>
    </row>
    <row r="778">
      <c r="A778" t="inlineStr">
        <is>
          <t>EE.UU.</t>
        </is>
      </c>
      <c r="B778" t="inlineStr">
        <is>
          <t>Thor Industries, Elkhart</t>
        </is>
      </c>
      <c r="C778" t="inlineStr">
        <is>
          <t>EE.UU.</t>
        </is>
      </c>
      <c r="D778" t="inlineStr">
        <is>
          <t>Salt Lake City</t>
        </is>
      </c>
      <c r="E778" t="inlineStr">
        <is>
          <t>2026-04-20</t>
        </is>
      </c>
      <c r="F778" t="inlineStr">
        <is>
          <t>2026-05-08</t>
        </is>
      </c>
      <c r="G778" t="inlineStr">
        <is>
          <t xml:space="preserve"> - Family Freedom</t>
        </is>
      </c>
      <c r="H778">
        <f>HYPERLINK("https://booking.roadsurfer.com/es/rally/pick?pickup_date=2026-04-20&amp;return_date=2026-05-08&amp;currency=EUR&amp;startStation=74&amp;endStation=106", "Clic para verlo en la web de RoadSurfer")</f>
        <v/>
      </c>
    </row>
    <row r="779">
      <c r="A779" t="inlineStr">
        <is>
          <t>EE.UU.</t>
        </is>
      </c>
      <c r="B779" t="inlineStr">
        <is>
          <t>Thor Industries, Elkhart</t>
        </is>
      </c>
      <c r="C779" t="inlineStr">
        <is>
          <t>EE.UU.</t>
        </is>
      </c>
      <c r="D779" t="inlineStr">
        <is>
          <t>Salt Lake City</t>
        </is>
      </c>
      <c r="E779" t="inlineStr">
        <is>
          <t>2026-04-20</t>
        </is>
      </c>
      <c r="F779" t="inlineStr">
        <is>
          <t>2026-05-04</t>
        </is>
      </c>
      <c r="G779" t="inlineStr">
        <is>
          <t xml:space="preserve"> - Family Freedom</t>
        </is>
      </c>
      <c r="H779">
        <f>HYPERLINK("https://booking.roadsurfer.com/es/rally/pick?pickup_date=2026-04-20&amp;return_date=2026-05-04&amp;currency=EUR&amp;startStation=74&amp;endStation=106", "Clic para verlo en la web de RoadSurfer")</f>
        <v/>
      </c>
    </row>
    <row r="780">
      <c r="A780" t="inlineStr">
        <is>
          <t>EE.UU.</t>
        </is>
      </c>
      <c r="B780" t="inlineStr">
        <is>
          <t>Thor Industries, Elkhart</t>
        </is>
      </c>
      <c r="C780" t="inlineStr">
        <is>
          <t>EE.UU.</t>
        </is>
      </c>
      <c r="D780" t="inlineStr">
        <is>
          <t>Seattle</t>
        </is>
      </c>
      <c r="E780" t="inlineStr">
        <is>
          <t>2026-04-20</t>
        </is>
      </c>
      <c r="F780" t="inlineStr">
        <is>
          <t>2026-05-08</t>
        </is>
      </c>
      <c r="G780" t="inlineStr">
        <is>
          <t xml:space="preserve"> - Family Freedom</t>
        </is>
      </c>
      <c r="H780">
        <f>HYPERLINK("https://booking.roadsurfer.com/es/rally/pick?pickup_date=2026-04-20&amp;return_date=2026-05-08&amp;currency=EUR&amp;startStation=74&amp;endStation=107", "Clic para verlo en la web de RoadSurfer")</f>
        <v/>
      </c>
    </row>
    <row r="781">
      <c r="A781" t="inlineStr">
        <is>
          <t>EE.UU.</t>
        </is>
      </c>
      <c r="B781" t="inlineStr">
        <is>
          <t>Thor Industries, Elkhart</t>
        </is>
      </c>
      <c r="C781" t="inlineStr">
        <is>
          <t>EE.UU.</t>
        </is>
      </c>
      <c r="D781" t="inlineStr">
        <is>
          <t>Denver</t>
        </is>
      </c>
      <c r="E781" t="inlineStr">
        <is>
          <t>2026-04-20</t>
        </is>
      </c>
      <c r="F781" t="inlineStr">
        <is>
          <t>2026-05-08</t>
        </is>
      </c>
      <c r="G781" t="inlineStr">
        <is>
          <t xml:space="preserve"> - Family Freedom</t>
        </is>
      </c>
      <c r="H781">
        <f>HYPERLINK("https://booking.roadsurfer.com/es/rally/pick?pickup_date=2026-04-20&amp;return_date=2026-05-08&amp;currency=EUR&amp;startStation=74&amp;endStation=104", "Clic para verlo en la web de RoadSurfer")</f>
        <v/>
      </c>
    </row>
    <row r="782">
      <c r="A782" t="inlineStr">
        <is>
          <t>EE.UU.</t>
        </is>
      </c>
      <c r="B782" t="inlineStr">
        <is>
          <t>Thor Industries, Elkhart</t>
        </is>
      </c>
      <c r="C782" t="inlineStr">
        <is>
          <t>EE.UU.</t>
        </is>
      </c>
      <c r="D782" t="inlineStr">
        <is>
          <t>Denver</t>
        </is>
      </c>
      <c r="E782" t="inlineStr">
        <is>
          <t>2026-04-20</t>
        </is>
      </c>
      <c r="F782" t="inlineStr">
        <is>
          <t>2026-05-04</t>
        </is>
      </c>
      <c r="G782" t="inlineStr">
        <is>
          <t xml:space="preserve"> - Family Freedom</t>
        </is>
      </c>
      <c r="H782">
        <f>HYPERLINK("https://booking.roadsurfer.com/es/rally/pick?pickup_date=2026-04-20&amp;return_date=2026-05-04&amp;currency=EUR&amp;startStation=74&amp;endStation=104", "Clic para verlo en la web de RoadSurfer")</f>
        <v/>
      </c>
    </row>
    <row r="783">
      <c r="A783" t="inlineStr">
        <is>
          <t>EE.UU.</t>
        </is>
      </c>
      <c r="B783" t="inlineStr">
        <is>
          <t>Thor Industries, Elkhart</t>
        </is>
      </c>
      <c r="C783" t="inlineStr">
        <is>
          <t>EE.UU.</t>
        </is>
      </c>
      <c r="D783" t="inlineStr">
        <is>
          <t>San Francisco</t>
        </is>
      </c>
      <c r="E783" t="inlineStr">
        <is>
          <t>2026-04-20</t>
        </is>
      </c>
      <c r="F783" t="inlineStr">
        <is>
          <t>2026-05-08</t>
        </is>
      </c>
      <c r="G783" t="inlineStr">
        <is>
          <t xml:space="preserve"> - Family Freedom</t>
        </is>
      </c>
      <c r="H783">
        <f>HYPERLINK("https://booking.roadsurfer.com/es/rally/pick?pickup_date=2026-04-20&amp;return_date=2026-05-08&amp;currency=EUR&amp;startStation=74&amp;endStation=75", "Clic para verlo en la web de RoadSurfer")</f>
        <v/>
      </c>
    </row>
    <row r="784">
      <c r="A784" t="inlineStr">
        <is>
          <t>Francia</t>
        </is>
      </c>
      <c r="B784" t="inlineStr">
        <is>
          <t>Toulouse</t>
        </is>
      </c>
      <c r="C784" t="inlineStr">
        <is>
          <t>Alemania</t>
        </is>
      </c>
      <c r="D784" t="inlineStr">
        <is>
          <t>Berlín</t>
        </is>
      </c>
      <c r="E784" t="inlineStr">
        <is>
          <t>2026-04-13</t>
        </is>
      </c>
      <c r="F784" t="inlineStr">
        <is>
          <t>2026-04-20</t>
        </is>
      </c>
      <c r="G784" t="inlineStr">
        <is>
          <t xml:space="preserve"> - Surfer Suite</t>
        </is>
      </c>
      <c r="H784">
        <f>HYPERLINK("https://booking.roadsurfer.com/es/rally/pick?pickup_date=2026-04-13&amp;return_date=2026-04-20&amp;currency=EUR&amp;startStation=30&amp;endStation=6", "Clic para verlo en la web de RoadSurfer")</f>
        <v/>
      </c>
    </row>
    <row r="785">
      <c r="A785" t="inlineStr">
        <is>
          <t>Francia</t>
        </is>
      </c>
      <c r="B785" t="inlineStr">
        <is>
          <t>Toulouse</t>
        </is>
      </c>
      <c r="C785" t="inlineStr">
        <is>
          <t>Alemania</t>
        </is>
      </c>
      <c r="D785" t="inlineStr">
        <is>
          <t>Wurzburgo</t>
        </is>
      </c>
      <c r="E785" t="inlineStr">
        <is>
          <t>2026-05-04</t>
        </is>
      </c>
      <c r="F785" t="inlineStr">
        <is>
          <t>2026-05-11</t>
        </is>
      </c>
      <c r="G785" t="inlineStr">
        <is>
          <t xml:space="preserve"> - Surfer Suite</t>
        </is>
      </c>
      <c r="H785">
        <f>HYPERLINK("https://booking.roadsurfer.com/es/rally/pick?pickup_date=2026-05-04&amp;return_date=2026-05-11&amp;currency=EUR&amp;startStation=30&amp;endStation=115", "Clic para verlo en la web de RoadSurfer")</f>
        <v/>
      </c>
    </row>
    <row r="786">
      <c r="A786" t="inlineStr">
        <is>
          <t>Francia</t>
        </is>
      </c>
      <c r="B786" t="inlineStr">
        <is>
          <t>Toulouse</t>
        </is>
      </c>
      <c r="C786" t="inlineStr">
        <is>
          <t>Alemania</t>
        </is>
      </c>
      <c r="D786" t="inlineStr">
        <is>
          <t>Constanza (Aach)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Surfer Suite</t>
        </is>
      </c>
      <c r="H786">
        <f>HYPERLINK("https://booking.roadsurfer.com/es/rally/pick?pickup_date=2026-05-04&amp;return_date=2026-05-11&amp;currency=EUR&amp;startStation=30&amp;endStation=10", "Clic para verlo en la web de RoadSurfer")</f>
        <v/>
      </c>
    </row>
    <row r="787">
      <c r="A787" t="inlineStr">
        <is>
          <t>Francia</t>
        </is>
      </c>
      <c r="B787" t="inlineStr">
        <is>
          <t>Toulouse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2026-04-13</t>
        </is>
      </c>
      <c r="F787" t="inlineStr">
        <is>
          <t>2026-04-20</t>
        </is>
      </c>
      <c r="G787" t="inlineStr">
        <is>
          <t xml:space="preserve"> - Camper Castle</t>
        </is>
      </c>
      <c r="H787">
        <f>HYPERLINK("https://booking.roadsurfer.com/es/rally/pick?pickup_date=2026-04-13&amp;return_date=2026-04-20&amp;currency=EUR&amp;startStation=30&amp;endStation=90", "Clic para verlo en la web de RoadSurfer")</f>
        <v/>
      </c>
    </row>
    <row r="788">
      <c r="A788" t="inlineStr">
        <is>
          <t>Francia</t>
        </is>
      </c>
      <c r="B788" t="inlineStr">
        <is>
          <t>Toulouse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2026-05-26</t>
        </is>
      </c>
      <c r="F788" t="inlineStr">
        <is>
          <t>2026-06-02</t>
        </is>
      </c>
      <c r="G788" t="inlineStr">
        <is>
          <t xml:space="preserve"> - Surfer Suite</t>
        </is>
      </c>
      <c r="H788">
        <f>HYPERLINK("https://booking.roadsurfer.com/es/rally/pick?pickup_date=2026-05-26&amp;return_date=2026-06-02&amp;currency=EUR&amp;startStation=30&amp;endStation=90", "Clic para verlo en la web de RoadSurfer")</f>
        <v/>
      </c>
    </row>
    <row r="789">
      <c r="A789" t="inlineStr">
        <is>
          <t>Francia</t>
        </is>
      </c>
      <c r="B789" t="inlineStr">
        <is>
          <t>Toulouse</t>
        </is>
      </c>
      <c r="C789" t="inlineStr">
        <is>
          <t>Francia</t>
        </is>
      </c>
      <c r="D789" t="inlineStr">
        <is>
          <t>Lille</t>
        </is>
      </c>
      <c r="E789" t="inlineStr">
        <is>
          <t>2026-04-27</t>
        </is>
      </c>
      <c r="F789" t="inlineStr">
        <is>
          <t>2026-05-04</t>
        </is>
      </c>
      <c r="G789" t="inlineStr">
        <is>
          <t xml:space="preserve"> - Beach Hostel</t>
        </is>
      </c>
      <c r="H789">
        <f>HYPERLINK("https://booking.roadsurfer.com/es/rally/pick?pickup_date=2026-04-27&amp;return_date=2026-05-04&amp;currency=EUR&amp;startStation=30&amp;endStation=87", "Clic para verlo en la web de RoadSurfer")</f>
        <v/>
      </c>
    </row>
    <row r="790">
      <c r="A790" t="inlineStr">
        <is>
          <t>Francia</t>
        </is>
      </c>
      <c r="B790" t="inlineStr">
        <is>
          <t>Toulouse</t>
        </is>
      </c>
      <c r="C790" t="inlineStr">
        <is>
          <t>Alemania</t>
        </is>
      </c>
      <c r="D790" t="inlineStr">
        <is>
          <t>Dresde</t>
        </is>
      </c>
      <c r="E790" t="inlineStr">
        <is>
          <t>2026-05-07</t>
        </is>
      </c>
      <c r="F790" t="inlineStr">
        <is>
          <t>2026-05-14</t>
        </is>
      </c>
      <c r="G790" t="inlineStr">
        <is>
          <t xml:space="preserve"> - No hay coche</t>
        </is>
      </c>
      <c r="H790">
        <f>HYPERLINK("https://booking.roadsurfer.com/es/rally/pick?pickup_date=2026-05-07&amp;return_date=2026-05-14&amp;currency=EUR&amp;startStation=30&amp;endStation=56", "Clic para verlo en la web de RoadSurfer")</f>
        <v/>
      </c>
    </row>
    <row r="791">
      <c r="A791" t="inlineStr">
        <is>
          <t>Francia</t>
        </is>
      </c>
      <c r="B791" t="inlineStr">
        <is>
          <t>Toulouse</t>
        </is>
      </c>
      <c r="C791" t="inlineStr">
        <is>
          <t>Alemania</t>
        </is>
      </c>
      <c r="D791" t="inlineStr">
        <is>
          <t>Múnich</t>
        </is>
      </c>
      <c r="E791" t="inlineStr">
        <is>
          <t>2026-05-04</t>
        </is>
      </c>
      <c r="F791" t="inlineStr">
        <is>
          <t>2026-05-11</t>
        </is>
      </c>
      <c r="G791" t="inlineStr">
        <is>
          <t xml:space="preserve"> - Camper Castle</t>
        </is>
      </c>
      <c r="H791">
        <f>HYPERLINK("https://booking.roadsurfer.com/es/rally/pick?pickup_date=2026-05-04&amp;return_date=2026-05-11&amp;currency=EUR&amp;startStation=30&amp;endStation=1", "Clic para verlo en la web de RoadSurfer")</f>
        <v/>
      </c>
    </row>
    <row r="792">
      <c r="A792" t="inlineStr">
        <is>
          <t>Francia</t>
        </is>
      </c>
      <c r="B792" t="inlineStr">
        <is>
          <t>Toulouse</t>
        </is>
      </c>
      <c r="C792" t="inlineStr">
        <is>
          <t>Alemania</t>
        </is>
      </c>
      <c r="D792" t="inlineStr">
        <is>
          <t>Múnich</t>
        </is>
      </c>
      <c r="E792" t="inlineStr">
        <is>
          <t>2026-05-06</t>
        </is>
      </c>
      <c r="F792" t="inlineStr">
        <is>
          <t>2026-05-13</t>
        </is>
      </c>
      <c r="G792" t="inlineStr">
        <is>
          <t xml:space="preserve"> - Camper Castle</t>
        </is>
      </c>
      <c r="H792">
        <f>HYPERLINK("https://booking.roadsurfer.com/es/rally/pick?pickup_date=2026-05-06&amp;return_date=2026-05-13&amp;currency=EUR&amp;startStation=30&amp;endStation=1", "Clic para verlo en la web de RoadSurfer")</f>
        <v/>
      </c>
    </row>
    <row r="793">
      <c r="A793" t="inlineStr">
        <is>
          <t>Francia</t>
        </is>
      </c>
      <c r="B793" t="inlineStr">
        <is>
          <t>Toulouse</t>
        </is>
      </c>
      <c r="C793" t="inlineStr">
        <is>
          <t>Alemania</t>
        </is>
      </c>
      <c r="D793" t="inlineStr">
        <is>
          <t>Kassel</t>
        </is>
      </c>
      <c r="E793" t="inlineStr">
        <is>
          <t>2026-04-07</t>
        </is>
      </c>
      <c r="F793" t="inlineStr">
        <is>
          <t>2026-04-14</t>
        </is>
      </c>
      <c r="G793" t="inlineStr">
        <is>
          <t xml:space="preserve"> - Family Finca</t>
        </is>
      </c>
      <c r="H793">
        <f>HYPERLINK("https://booking.roadsurfer.com/es/rally/pick?pickup_date=2026-04-07&amp;return_date=2026-04-14&amp;currency=EUR&amp;startStation=30&amp;endStation=92", "Clic para verlo en la web de RoadSurfer")</f>
        <v/>
      </c>
    </row>
    <row r="794">
      <c r="A794" t="inlineStr">
        <is>
          <t>Francia</t>
        </is>
      </c>
      <c r="B794" t="inlineStr">
        <is>
          <t>Toulouse</t>
        </is>
      </c>
      <c r="C794" t="inlineStr">
        <is>
          <t>Alemania</t>
        </is>
      </c>
      <c r="D794" t="inlineStr">
        <is>
          <t>Kassel</t>
        </is>
      </c>
      <c r="E794" t="inlineStr">
        <is>
          <t>2026-05-11</t>
        </is>
      </c>
      <c r="F794" t="inlineStr">
        <is>
          <t>2026-05-18</t>
        </is>
      </c>
      <c r="G794" t="inlineStr">
        <is>
          <t xml:space="preserve"> - Family Finca</t>
        </is>
      </c>
      <c r="H794">
        <f>HYPERLINK("https://booking.roadsurfer.com/es/rally/pick?pickup_date=2026-05-11&amp;return_date=2026-05-18&amp;currency=EUR&amp;startStation=30&amp;endStation=92", "Clic para verlo en la web de RoadSurfer")</f>
        <v/>
      </c>
    </row>
    <row r="795">
      <c r="A795" t="inlineStr">
        <is>
          <t>Francia</t>
        </is>
      </c>
      <c r="B795" t="inlineStr">
        <is>
          <t>Toulouse</t>
        </is>
      </c>
      <c r="C795" t="inlineStr">
        <is>
          <t>Alemania</t>
        </is>
      </c>
      <c r="D795" t="inlineStr">
        <is>
          <t>Kassel</t>
        </is>
      </c>
      <c r="E795" t="inlineStr">
        <is>
          <t>2026-04-27</t>
        </is>
      </c>
      <c r="F795" t="inlineStr">
        <is>
          <t>2026-05-04</t>
        </is>
      </c>
      <c r="G795" t="inlineStr">
        <is>
          <t xml:space="preserve"> - Family Finca</t>
        </is>
      </c>
      <c r="H795">
        <f>HYPERLINK("https://booking.roadsurfer.com/es/rally/pick?pickup_date=2026-04-27&amp;return_date=2026-05-04&amp;currency=EUR&amp;startStation=30&amp;endStation=92", "Clic para verlo en la web de RoadSurfer")</f>
        <v/>
      </c>
    </row>
    <row r="796">
      <c r="A796" t="inlineStr">
        <is>
          <t>Alemania</t>
        </is>
      </c>
      <c r="B796" t="inlineStr">
        <is>
          <t>Tréveris</t>
        </is>
      </c>
      <c r="C796" t="inlineStr">
        <is>
          <t>Alemania</t>
        </is>
      </c>
      <c r="D796" t="inlineStr">
        <is>
          <t>Colonia-Bonn</t>
        </is>
      </c>
      <c r="E796" t="inlineStr">
        <is>
          <t>2026-04-27</t>
        </is>
      </c>
      <c r="F796" t="inlineStr">
        <is>
          <t>2026-05-04</t>
        </is>
      </c>
      <c r="G796" t="inlineStr">
        <is>
          <t xml:space="preserve"> - Beach Hostel</t>
        </is>
      </c>
      <c r="H796">
        <f>HYPERLINK("https://booking.roadsurfer.com/es/rally/pick?pickup_date=2026-04-27&amp;return_date=2026-05-04&amp;currency=EUR&amp;startStation=28&amp;endStation=52", "Clic para verlo en la web de RoadSurfer")</f>
        <v/>
      </c>
    </row>
    <row r="797">
      <c r="A797" t="inlineStr">
        <is>
          <t>Alemania</t>
        </is>
      </c>
      <c r="B797" t="inlineStr">
        <is>
          <t>Tréveris</t>
        </is>
      </c>
      <c r="C797" t="inlineStr">
        <is>
          <t>Alemania</t>
        </is>
      </c>
      <c r="D797" t="inlineStr">
        <is>
          <t>Heidelberg</t>
        </is>
      </c>
      <c r="E797" t="inlineStr">
        <is>
          <t>2026-04-13</t>
        </is>
      </c>
      <c r="F797" t="inlineStr">
        <is>
          <t>2026-04-20</t>
        </is>
      </c>
      <c r="G797" t="inlineStr">
        <is>
          <t xml:space="preserve"> - Road House</t>
        </is>
      </c>
      <c r="H797">
        <f>HYPERLINK("https://booking.roadsurfer.com/es/rally/pick?pickup_date=2026-04-13&amp;return_date=2026-04-20&amp;currency=EUR&amp;startStation=28&amp;endStation=79", "Clic para verlo en la web de RoadSurfer")</f>
        <v/>
      </c>
    </row>
    <row r="798">
      <c r="A798" t="inlineStr">
        <is>
          <t>Italia</t>
        </is>
      </c>
      <c r="B798" t="inlineStr">
        <is>
          <t>Turín</t>
        </is>
      </c>
      <c r="C798" t="inlineStr">
        <is>
          <t>Alemania</t>
        </is>
      </c>
      <c r="D798" t="inlineStr">
        <is>
          <t>Wurzburgo</t>
        </is>
      </c>
      <c r="E798" t="inlineStr">
        <is>
          <t>2026-05-11</t>
        </is>
      </c>
      <c r="F798" t="inlineStr">
        <is>
          <t>2026-05-18</t>
        </is>
      </c>
      <c r="G798" t="inlineStr">
        <is>
          <t xml:space="preserve"> - SURFER SUITE</t>
        </is>
      </c>
      <c r="H798">
        <f>HYPERLINK("https://booking.roadsurfer.com/es/rally/pick?pickup_date=2026-05-11&amp;return_date=2026-05-18&amp;currency=EUR&amp;startStation=58&amp;endStation=115", "Clic para verlo en la web de RoadSurfer")</f>
        <v/>
      </c>
    </row>
    <row r="799">
      <c r="A799" t="inlineStr">
        <is>
          <t>Italia</t>
        </is>
      </c>
      <c r="B799" t="inlineStr">
        <is>
          <t>Turín</t>
        </is>
      </c>
      <c r="C799" t="inlineStr">
        <is>
          <t>Alemania</t>
        </is>
      </c>
      <c r="D799" t="inlineStr">
        <is>
          <t>Wurzburgo</t>
        </is>
      </c>
      <c r="E799" t="inlineStr">
        <is>
          <t>2026-05-12</t>
        </is>
      </c>
      <c r="F799" t="inlineStr">
        <is>
          <t>2026-05-19</t>
        </is>
      </c>
      <c r="G799" t="inlineStr">
        <is>
          <t xml:space="preserve"> - Road House</t>
        </is>
      </c>
      <c r="H799">
        <f>HYPERLINK("https://booking.roadsurfer.com/es/rally/pick?pickup_date=2026-05-12&amp;return_date=2026-05-19&amp;currency=EUR&amp;startStation=58&amp;endStation=115", "Clic para verlo en la web de RoadSurfer")</f>
        <v/>
      </c>
    </row>
    <row r="800">
      <c r="A800" t="inlineStr">
        <is>
          <t>Italia</t>
        </is>
      </c>
      <c r="B800" t="inlineStr">
        <is>
          <t>Turín</t>
        </is>
      </c>
      <c r="C800" t="inlineStr">
        <is>
          <t>Alemania</t>
        </is>
      </c>
      <c r="D800" t="inlineStr">
        <is>
          <t>Wurzburgo</t>
        </is>
      </c>
      <c r="E800" t="inlineStr">
        <is>
          <t>2026-05-15</t>
        </is>
      </c>
      <c r="F800" t="inlineStr">
        <is>
          <t>2026-05-22</t>
        </is>
      </c>
      <c r="G800" t="inlineStr">
        <is>
          <t xml:space="preserve"> - Road House</t>
        </is>
      </c>
      <c r="H800">
        <f>HYPERLINK("https://booking.roadsurfer.com/es/rally/pick?pickup_date=2026-05-15&amp;return_date=2026-05-22&amp;currency=EUR&amp;startStation=58&amp;endStation=115", "Clic para verlo en la web de RoadSurfer")</f>
        <v/>
      </c>
    </row>
    <row r="801">
      <c r="A801" t="inlineStr">
        <is>
          <t>Italia</t>
        </is>
      </c>
      <c r="B801" t="inlineStr">
        <is>
          <t>Turín</t>
        </is>
      </c>
      <c r="C801" t="inlineStr">
        <is>
          <t>Alemania</t>
        </is>
      </c>
      <c r="D801" t="inlineStr">
        <is>
          <t>Dresde</t>
        </is>
      </c>
      <c r="E801" t="inlineStr">
        <is>
          <t>2026-04-20</t>
        </is>
      </c>
      <c r="F801" t="inlineStr">
        <is>
          <t>2026-04-27</t>
        </is>
      </c>
      <c r="G801" t="inlineStr">
        <is>
          <t xml:space="preserve"> - Family Finca</t>
        </is>
      </c>
      <c r="H801">
        <f>HYPERLINK("https://booking.roadsurfer.com/es/rally/pick?pickup_date=2026-04-20&amp;return_date=2026-04-27&amp;currency=EUR&amp;startStation=58&amp;endStation=56", "Clic para verlo en la web de RoadSurfer")</f>
        <v/>
      </c>
    </row>
    <row r="802">
      <c r="A802" t="inlineStr">
        <is>
          <t>Italia</t>
        </is>
      </c>
      <c r="B802" t="inlineStr">
        <is>
          <t>Turín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2026-05-08</t>
        </is>
      </c>
      <c r="F802" t="inlineStr">
        <is>
          <t>2026-05-15</t>
        </is>
      </c>
      <c r="G802" t="inlineStr">
        <is>
          <t xml:space="preserve"> - COUPLE COTTAGE</t>
        </is>
      </c>
      <c r="H802">
        <f>HYPERLINK("https://booking.roadsurfer.com/es/rally/pick?pickup_date=2026-05-08&amp;return_date=2026-05-15&amp;currency=EUR&amp;startStation=58&amp;endStation=22", "Clic para verlo en la web de RoadSurfer")</f>
        <v/>
      </c>
    </row>
    <row r="803">
      <c r="A803" t="inlineStr">
        <is>
          <t>Italia</t>
        </is>
      </c>
      <c r="B803" t="inlineStr">
        <is>
          <t>Turín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2026-05-12</t>
        </is>
      </c>
      <c r="F803" t="inlineStr">
        <is>
          <t>2026-05-19</t>
        </is>
      </c>
      <c r="G803" t="inlineStr">
        <is>
          <t xml:space="preserve"> - Couple Cottage</t>
        </is>
      </c>
      <c r="H803">
        <f>HYPERLINK("https://booking.roadsurfer.com/es/rally/pick?pickup_date=2026-05-12&amp;return_date=2026-05-19&amp;currency=EUR&amp;startStation=58&amp;endStation=22", "Clic para verlo en la web de RoadSurfer")</f>
        <v/>
      </c>
    </row>
    <row r="804">
      <c r="A804" t="inlineStr">
        <is>
          <t>Italia</t>
        </is>
      </c>
      <c r="B804" t="inlineStr">
        <is>
          <t>Turín</t>
        </is>
      </c>
      <c r="C804" t="inlineStr">
        <is>
          <t>Alemania</t>
        </is>
      </c>
      <c r="D804" t="inlineStr">
        <is>
          <t>Friburgo-Basilea (Alemania)</t>
        </is>
      </c>
      <c r="E804" t="inlineStr">
        <is>
          <t>2026-04-17</t>
        </is>
      </c>
      <c r="F804" t="inlineStr">
        <is>
          <t>2026-04-24</t>
        </is>
      </c>
      <c r="G804" t="inlineStr">
        <is>
          <t xml:space="preserve"> - Couple Cottage</t>
        </is>
      </c>
      <c r="H804">
        <f>HYPERLINK("https://booking.roadsurfer.com/es/rally/pick?pickup_date=2026-04-17&amp;return_date=2026-04-24&amp;currency=EUR&amp;startStation=58&amp;endStation=9", "Clic para verlo en la web de RoadSurfer")</f>
        <v/>
      </c>
    </row>
    <row r="805">
      <c r="A805" t="inlineStr">
        <is>
          <t>Alemania</t>
        </is>
      </c>
      <c r="B805" t="inlineStr">
        <is>
          <t>Ulm</t>
        </is>
      </c>
      <c r="C805" t="inlineStr">
        <is>
          <t>Suecia</t>
        </is>
      </c>
      <c r="D805" t="inlineStr">
        <is>
          <t>Gotemburgo</t>
        </is>
      </c>
      <c r="E805" t="inlineStr">
        <is>
          <t>2026-04-25</t>
        </is>
      </c>
      <c r="F805" t="inlineStr">
        <is>
          <t>2026-05-02</t>
        </is>
      </c>
      <c r="G805" t="inlineStr">
        <is>
          <t xml:space="preserve"> - No hay coche</t>
        </is>
      </c>
      <c r="H805">
        <f>HYPERLINK("https://booking.roadsurfer.com/es/rally/pick?pickup_date=2026-04-25&amp;return_date=2026-05-02&amp;currency=EUR&amp;startStation=112&amp;endStation=77", "Clic para verlo en la web de RoadSurfer")</f>
        <v/>
      </c>
    </row>
    <row r="806">
      <c r="A806" t="inlineStr">
        <is>
          <t>Alemania</t>
        </is>
      </c>
      <c r="B806" t="inlineStr">
        <is>
          <t>Ulm</t>
        </is>
      </c>
      <c r="C806" t="inlineStr">
        <is>
          <t>Suecia</t>
        </is>
      </c>
      <c r="D806" t="inlineStr">
        <is>
          <t>Gotemburgo</t>
        </is>
      </c>
      <c r="E806" t="inlineStr">
        <is>
          <t>2026-04-27</t>
        </is>
      </c>
      <c r="F806" t="inlineStr">
        <is>
          <t>2026-05-04</t>
        </is>
      </c>
      <c r="G806" t="inlineStr">
        <is>
          <t xml:space="preserve"> - Family Finca</t>
        </is>
      </c>
      <c r="H806">
        <f>HYPERLINK("https://booking.roadsurfer.com/es/rally/pick?pickup_date=2026-04-27&amp;return_date=2026-05-04&amp;currency=EUR&amp;startStation=112&amp;endStation=77", "Clic para verlo en la web de RoadSurfer")</f>
        <v/>
      </c>
    </row>
    <row r="807">
      <c r="A807" t="inlineStr">
        <is>
          <t>España</t>
        </is>
      </c>
      <c r="B807" t="inlineStr">
        <is>
          <t>Valencia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2026-05-04</t>
        </is>
      </c>
      <c r="F807" t="inlineStr">
        <is>
          <t>2026-05-11</t>
        </is>
      </c>
      <c r="G807" t="inlineStr">
        <is>
          <t xml:space="preserve"> - No hay coche</t>
        </is>
      </c>
      <c r="H807">
        <f>HYPERLINK("https://booking.roadsurfer.com/es/rally/pick?pickup_date=2026-05-04&amp;return_date=2026-05-11&amp;currency=EUR&amp;startStation=38&amp;endStation=22", "Clic para verlo en la web de RoadSurfer")</f>
        <v/>
      </c>
    </row>
    <row r="808">
      <c r="A808" t="inlineStr">
        <is>
          <t>España</t>
        </is>
      </c>
      <c r="B808" t="inlineStr">
        <is>
          <t>Valencia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2026-05-13</t>
        </is>
      </c>
      <c r="F808" t="inlineStr">
        <is>
          <t>2026-05-20</t>
        </is>
      </c>
      <c r="G808" t="inlineStr">
        <is>
          <t xml:space="preserve"> - Family Finca</t>
        </is>
      </c>
      <c r="H808">
        <f>HYPERLINK("https://booking.roadsurfer.com/es/rally/pick?pickup_date=2026-05-13&amp;return_date=2026-05-20&amp;currency=EUR&amp;startStation=38&amp;endStation=22", "Clic para verlo en la web de RoadSurfer")</f>
        <v/>
      </c>
    </row>
    <row r="809">
      <c r="A809" t="inlineStr">
        <is>
          <t>España</t>
        </is>
      </c>
      <c r="B809" t="inlineStr">
        <is>
          <t>Valencia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2026-05-08</t>
        </is>
      </c>
      <c r="F809" t="inlineStr">
        <is>
          <t>2026-05-15</t>
        </is>
      </c>
      <c r="G809" t="inlineStr">
        <is>
          <t xml:space="preserve"> - Beach Hostel</t>
        </is>
      </c>
      <c r="H809">
        <f>HYPERLINK("https://booking.roadsurfer.com/es/rally/pick?pickup_date=2026-05-08&amp;return_date=2026-05-15&amp;currency=EUR&amp;startStation=38&amp;endStation=22", "Clic para verlo en la web de RoadSurfer")</f>
        <v/>
      </c>
    </row>
    <row r="810">
      <c r="A810" t="inlineStr">
        <is>
          <t>España</t>
        </is>
      </c>
      <c r="B810" t="inlineStr">
        <is>
          <t>Valencia</t>
        </is>
      </c>
      <c r="C810" t="inlineStr">
        <is>
          <t>Alemania</t>
        </is>
      </c>
      <c r="D810" t="inlineStr">
        <is>
          <t>Wurzburgo</t>
        </is>
      </c>
      <c r="E810" t="inlineStr">
        <is>
          <t>2026-05-04</t>
        </is>
      </c>
      <c r="F810" t="inlineStr">
        <is>
          <t>2026-05-11</t>
        </is>
      </c>
      <c r="G810" t="inlineStr">
        <is>
          <t xml:space="preserve"> - Road House</t>
        </is>
      </c>
      <c r="H810">
        <f>HYPERLINK("https://booking.roadsurfer.com/es/rally/pick?pickup_date=2026-05-04&amp;return_date=2026-05-11&amp;currency=EUR&amp;startStation=38&amp;endStation=115", "Clic para verlo en la web de RoadSurfer")</f>
        <v/>
      </c>
    </row>
    <row r="811">
      <c r="A811" t="inlineStr">
        <is>
          <t>España</t>
        </is>
      </c>
      <c r="B811" t="inlineStr">
        <is>
          <t>Valencia</t>
        </is>
      </c>
      <c r="C811" t="inlineStr">
        <is>
          <t>Alemania</t>
        </is>
      </c>
      <c r="D811" t="inlineStr">
        <is>
          <t>Wurzburgo</t>
        </is>
      </c>
      <c r="E811" t="inlineStr">
        <is>
          <t>2026-05-23</t>
        </is>
      </c>
      <c r="F811" t="inlineStr">
        <is>
          <t>2026-05-30</t>
        </is>
      </c>
      <c r="G811" t="inlineStr">
        <is>
          <t xml:space="preserve"> - Road House</t>
        </is>
      </c>
      <c r="H811">
        <f>HYPERLINK("https://booking.roadsurfer.com/es/rally/pick?pickup_date=2026-05-23&amp;return_date=2026-05-30&amp;currency=EUR&amp;startStation=38&amp;endStation=115", "Clic para verlo en la web de RoadSurfer")</f>
        <v/>
      </c>
    </row>
    <row r="812">
      <c r="A812" t="inlineStr">
        <is>
          <t>España</t>
        </is>
      </c>
      <c r="B812" t="inlineStr">
        <is>
          <t>Valencia</t>
        </is>
      </c>
      <c r="C812" t="inlineStr">
        <is>
          <t>Alemania</t>
        </is>
      </c>
      <c r="D812" t="inlineStr">
        <is>
          <t>Núremberg</t>
        </is>
      </c>
      <c r="E812" t="inlineStr">
        <is>
          <t>2026-04-17</t>
        </is>
      </c>
      <c r="F812" t="inlineStr">
        <is>
          <t>2026-04-21</t>
        </is>
      </c>
      <c r="G812" t="inlineStr">
        <is>
          <t xml:space="preserve"> - Road House</t>
        </is>
      </c>
      <c r="H812">
        <f>HYPERLINK("https://booking.roadsurfer.com/es/rally/pick?pickup_date=2026-04-17&amp;return_date=2026-04-21&amp;currency=EUR&amp;startStation=38&amp;endStation=11", "Clic para verlo en la web de RoadSurfer")</f>
        <v/>
      </c>
    </row>
    <row r="813">
      <c r="A813" t="inlineStr">
        <is>
          <t>España</t>
        </is>
      </c>
      <c r="B813" t="inlineStr">
        <is>
          <t>Valencia</t>
        </is>
      </c>
      <c r="C813" t="inlineStr">
        <is>
          <t>Alemania</t>
        </is>
      </c>
      <c r="D813" t="inlineStr">
        <is>
          <t>Maguncia</t>
        </is>
      </c>
      <c r="E813" t="inlineStr">
        <is>
          <t>2026-05-14</t>
        </is>
      </c>
      <c r="F813" t="inlineStr">
        <is>
          <t>2026-05-21</t>
        </is>
      </c>
      <c r="G813" t="inlineStr">
        <is>
          <t xml:space="preserve"> - Couple Cottage</t>
        </is>
      </c>
      <c r="H813">
        <f>HYPERLINK("https://booking.roadsurfer.com/es/rally/pick?pickup_date=2026-05-14&amp;return_date=2026-05-21&amp;currency=EUR&amp;startStation=38&amp;endStation=54", "Clic para verlo en la web de RoadSurfer")</f>
        <v/>
      </c>
    </row>
    <row r="814">
      <c r="A814" t="inlineStr">
        <is>
          <t>España</t>
        </is>
      </c>
      <c r="B814" t="inlineStr">
        <is>
          <t>Valencia</t>
        </is>
      </c>
      <c r="C814" t="inlineStr">
        <is>
          <t>Alemania</t>
        </is>
      </c>
      <c r="D814" t="inlineStr">
        <is>
          <t>Colonia-Bonn</t>
        </is>
      </c>
      <c r="E814" t="inlineStr">
        <is>
          <t>2026-04-14</t>
        </is>
      </c>
      <c r="F814" t="inlineStr">
        <is>
          <t>2026-04-21</t>
        </is>
      </c>
      <c r="G814" t="inlineStr">
        <is>
          <t xml:space="preserve"> - Couple Cottage</t>
        </is>
      </c>
      <c r="H814">
        <f>HYPERLINK("https://booking.roadsurfer.com/es/rally/pick?pickup_date=2026-04-14&amp;return_date=2026-04-21&amp;currency=EUR&amp;startStation=38&amp;endStation=52",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Italia</t>
        </is>
      </c>
      <c r="D815" t="inlineStr">
        <is>
          <t>Bérgamo</t>
        </is>
      </c>
      <c r="E815" t="inlineStr">
        <is>
          <t>2026-04-16</t>
        </is>
      </c>
      <c r="F815" t="inlineStr">
        <is>
          <t>2026-04-23</t>
        </is>
      </c>
      <c r="G815" t="inlineStr">
        <is>
          <t xml:space="preserve"> - Surfer Suite</t>
        </is>
      </c>
      <c r="H815">
        <f>HYPERLINK("https://booking.roadsurfer.com/es/rally/pick?pickup_date=2026-04-16&amp;return_date=2026-04-23&amp;currency=EUR&amp;startStation=78&amp;endStation=94",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Italia</t>
        </is>
      </c>
      <c r="D816" t="inlineStr">
        <is>
          <t>Bérgamo</t>
        </is>
      </c>
      <c r="E816" t="inlineStr">
        <is>
          <t>2026-04-07</t>
        </is>
      </c>
      <c r="F816" t="inlineStr">
        <is>
          <t>2026-04-14</t>
        </is>
      </c>
      <c r="G816" t="inlineStr">
        <is>
          <t xml:space="preserve"> - Surfer Suite</t>
        </is>
      </c>
      <c r="H816">
        <f>HYPERLINK("https://booking.roadsurfer.com/es/rally/pick?pickup_date=2026-04-07&amp;return_date=2026-04-14&amp;currency=EUR&amp;startStation=78&amp;endStation=94",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Italia</t>
        </is>
      </c>
      <c r="D817" t="inlineStr">
        <is>
          <t>Bérgamo</t>
        </is>
      </c>
      <c r="E817" t="inlineStr">
        <is>
          <t>2026-04-20</t>
        </is>
      </c>
      <c r="F817" t="inlineStr">
        <is>
          <t>2026-04-27</t>
        </is>
      </c>
      <c r="G817" t="inlineStr">
        <is>
          <t xml:space="preserve"> - Surfer Suite</t>
        </is>
      </c>
      <c r="H817">
        <f>HYPERLINK("https://booking.roadsurfer.com/es/rally/pick?pickup_date=2026-04-20&amp;return_date=2026-04-27&amp;currency=EUR&amp;startStation=78&amp;endStation=94",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Núremberg</t>
        </is>
      </c>
      <c r="E818" t="inlineStr">
        <is>
          <t>2026-05-11</t>
        </is>
      </c>
      <c r="F818" t="inlineStr">
        <is>
          <t>2026-05-18</t>
        </is>
      </c>
      <c r="G818" t="inlineStr">
        <is>
          <t xml:space="preserve"> - Surfer Suite</t>
        </is>
      </c>
      <c r="H818">
        <f>HYPERLINK("https://booking.roadsurfer.com/es/rally/pick?pickup_date=2026-05-11&amp;return_date=2026-05-18&amp;currency=EUR&amp;startStation=78&amp;endStation=11",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Núremberg</t>
        </is>
      </c>
      <c r="E819" t="inlineStr">
        <is>
          <t>2026-05-14</t>
        </is>
      </c>
      <c r="F819" t="inlineStr">
        <is>
          <t>2026-05-21</t>
        </is>
      </c>
      <c r="G819" t="inlineStr">
        <is>
          <t xml:space="preserve"> - Surfer Suite</t>
        </is>
      </c>
      <c r="H819">
        <f>HYPERLINK("https://booking.roadsurfer.com/es/rally/pick?pickup_date=2026-05-14&amp;return_date=2026-05-21&amp;currency=EUR&amp;startStation=78&amp;endStation=11",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Núremberg</t>
        </is>
      </c>
      <c r="E820" t="inlineStr">
        <is>
          <t>2026-05-18</t>
        </is>
      </c>
      <c r="F820" t="inlineStr">
        <is>
          <t>2026-05-25</t>
        </is>
      </c>
      <c r="G820" t="inlineStr">
        <is>
          <t xml:space="preserve"> - No hay coche</t>
        </is>
      </c>
      <c r="H820">
        <f>HYPERLINK("https://booking.roadsurfer.com/es/rally/pick?pickup_date=2026-05-18&amp;return_date=2026-05-25&amp;currency=EUR&amp;startStation=78&amp;endStation=11",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2026-05-11</t>
        </is>
      </c>
      <c r="F821" t="inlineStr">
        <is>
          <t>2026-05-18</t>
        </is>
      </c>
      <c r="G821" t="inlineStr">
        <is>
          <t xml:space="preserve"> - Surfer Suite - Couple Cottage</t>
        </is>
      </c>
      <c r="H821">
        <f>HYPERLINK("https://booking.roadsurfer.com/es/rally/pick?pickup_date=2026-05-11&amp;return_date=2026-05-18&amp;currency=EUR&amp;startStation=78&amp;endStation=90", "Clic para verlo en la web de RoadSurfer")</f>
        <v/>
      </c>
    </row>
    <row r="822">
      <c r="A822" t="inlineStr">
        <is>
          <t>Italia</t>
        </is>
      </c>
      <c r="B822" t="inlineStr">
        <is>
          <t>Venecia</t>
        </is>
      </c>
      <c r="C822" t="inlineStr">
        <is>
          <t>Alemania</t>
        </is>
      </c>
      <c r="D822" t="inlineStr">
        <is>
          <t>Stuttgart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Surfer Suite</t>
        </is>
      </c>
      <c r="H822">
        <f>HYPERLINK("https://booking.roadsurfer.com/es/rally/pick?pickup_date=2026-05-11&amp;return_date=2026-05-18&amp;currency=EUR&amp;startStation=78&amp;endStation=5", "Clic para verlo en la web de RoadSurfer")</f>
        <v/>
      </c>
    </row>
    <row r="823">
      <c r="A823" t="inlineStr">
        <is>
          <t>Italia</t>
        </is>
      </c>
      <c r="B823" t="inlineStr">
        <is>
          <t>Venecia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2026-05-08</t>
        </is>
      </c>
      <c r="F823" t="inlineStr">
        <is>
          <t>2026-05-15</t>
        </is>
      </c>
      <c r="G823" t="inlineStr">
        <is>
          <t xml:space="preserve"> - Beach Hostel</t>
        </is>
      </c>
      <c r="H823">
        <f>HYPERLINK("https://booking.roadsurfer.com/es/rally/pick?pickup_date=2026-05-08&amp;return_date=2026-05-15&amp;currency=EUR&amp;startStation=78&amp;endStation=22", "Clic para verlo en la web de RoadSurfer")</f>
        <v/>
      </c>
    </row>
    <row r="824">
      <c r="A824" t="inlineStr">
        <is>
          <t>Italia</t>
        </is>
      </c>
      <c r="B824" t="inlineStr">
        <is>
          <t>Venecia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2026-05-04</t>
        </is>
      </c>
      <c r="F824" t="inlineStr">
        <is>
          <t>2026-05-11</t>
        </is>
      </c>
      <c r="G824" t="inlineStr">
        <is>
          <t xml:space="preserve"> - Sunrise Suite</t>
        </is>
      </c>
      <c r="H824">
        <f>HYPERLINK("https://booking.roadsurfer.com/es/rally/pick?pickup_date=2026-05-04&amp;return_date=2026-05-11&amp;currency=EUR&amp;startStation=78&amp;endStation=22", "Clic para verlo en la web de RoadSurfer")</f>
        <v/>
      </c>
    </row>
    <row r="825">
      <c r="A825" t="inlineStr">
        <is>
          <t>Italia</t>
        </is>
      </c>
      <c r="B825" t="inlineStr">
        <is>
          <t>Venecia</t>
        </is>
      </c>
      <c r="C825" t="inlineStr">
        <is>
          <t>Alemania</t>
        </is>
      </c>
      <c r="D825" t="inlineStr">
        <is>
          <t>Tréveris</t>
        </is>
      </c>
      <c r="E825" t="inlineStr">
        <is>
          <t>2026-05-14</t>
        </is>
      </c>
      <c r="F825" t="inlineStr">
        <is>
          <t>2026-05-21</t>
        </is>
      </c>
      <c r="G825" t="inlineStr">
        <is>
          <t xml:space="preserve"> - CAMPER CABIN</t>
        </is>
      </c>
      <c r="H825">
        <f>HYPERLINK("https://booking.roadsurfer.com/es/rally/pick?pickup_date=2026-05-14&amp;return_date=2026-05-21&amp;currency=EUR&amp;startStation=78&amp;endStation=28", "Clic para verlo en la web de RoadSurfer")</f>
        <v/>
      </c>
    </row>
    <row r="826">
      <c r="A826" t="inlineStr">
        <is>
          <t>Italia</t>
        </is>
      </c>
      <c r="B826" t="inlineStr">
        <is>
          <t>Venecia</t>
        </is>
      </c>
      <c r="C826" t="inlineStr">
        <is>
          <t>Alemania</t>
        </is>
      </c>
      <c r="D826" t="inlineStr">
        <is>
          <t>Tréveris</t>
        </is>
      </c>
      <c r="E826" t="inlineStr">
        <is>
          <t>2026-05-13</t>
        </is>
      </c>
      <c r="F826" t="inlineStr">
        <is>
          <t>2026-05-20</t>
        </is>
      </c>
      <c r="G826" t="inlineStr">
        <is>
          <t xml:space="preserve"> - Road House</t>
        </is>
      </c>
      <c r="H826">
        <f>HYPERLINK("https://booking.roadsurfer.com/es/rally/pick?pickup_date=2026-05-13&amp;return_date=2026-05-20&amp;currency=EUR&amp;startStation=78&amp;endStation=28", "Clic para verlo en la web de RoadSurfer")</f>
        <v/>
      </c>
    </row>
    <row r="827">
      <c r="A827" t="inlineStr">
        <is>
          <t>Italia</t>
        </is>
      </c>
      <c r="B827" t="inlineStr">
        <is>
          <t>Venecia</t>
        </is>
      </c>
      <c r="C827" t="inlineStr">
        <is>
          <t>Alemania</t>
        </is>
      </c>
      <c r="D827" t="inlineStr">
        <is>
          <t>Wurzburgo</t>
        </is>
      </c>
      <c r="E827" t="inlineStr">
        <is>
          <t>2026-05-04</t>
        </is>
      </c>
      <c r="F827" t="inlineStr">
        <is>
          <t>2026-05-11</t>
        </is>
      </c>
      <c r="G827" t="inlineStr">
        <is>
          <t xml:space="preserve"> - Camper Castle</t>
        </is>
      </c>
      <c r="H827">
        <f>HYPERLINK("https://booking.roadsurfer.com/es/rally/pick?pickup_date=2026-05-04&amp;return_date=2026-05-11&amp;currency=EUR&amp;startStation=78&amp;endStation=115", "Clic para verlo en la web de RoadSurfer")</f>
        <v/>
      </c>
    </row>
    <row r="828">
      <c r="A828" t="inlineStr">
        <is>
          <t>Italia</t>
        </is>
      </c>
      <c r="B828" t="inlineStr">
        <is>
          <t>Venecia</t>
        </is>
      </c>
      <c r="C828" t="inlineStr">
        <is>
          <t>Alemania</t>
        </is>
      </c>
      <c r="D828" t="inlineStr">
        <is>
          <t>Wurzburgo</t>
        </is>
      </c>
      <c r="E828" t="inlineStr">
        <is>
          <t>2026-05-13</t>
        </is>
      </c>
      <c r="F828" t="inlineStr">
        <is>
          <t>2026-05-20</t>
        </is>
      </c>
      <c r="G828" t="inlineStr">
        <is>
          <t xml:space="preserve"> - Road House</t>
        </is>
      </c>
      <c r="H828">
        <f>HYPERLINK("https://booking.roadsurfer.com/es/rally/pick?pickup_date=2026-05-13&amp;return_date=2026-05-20&amp;currency=EUR&amp;startStation=78&amp;endStation=115",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Alemania</t>
        </is>
      </c>
      <c r="D829" t="inlineStr">
        <is>
          <t>Wurzburgo</t>
        </is>
      </c>
      <c r="E829" t="inlineStr">
        <is>
          <t>2026-05-16</t>
        </is>
      </c>
      <c r="F829" t="inlineStr">
        <is>
          <t>2026-05-23</t>
        </is>
      </c>
      <c r="G829" t="inlineStr">
        <is>
          <t xml:space="preserve"> - Couple Cottage</t>
        </is>
      </c>
      <c r="H829">
        <f>HYPERLINK("https://booking.roadsurfer.com/es/rally/pick?pickup_date=2026-05-16&amp;return_date=2026-05-23&amp;currency=EUR&amp;startStation=78&amp;endStation=115",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Alemania</t>
        </is>
      </c>
      <c r="D830" t="inlineStr">
        <is>
          <t>Leipzig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Road House - Cozy Cottage - Sunrise Suite</t>
        </is>
      </c>
      <c r="H830">
        <f>HYPERLINK("https://booking.roadsurfer.com/es/rally/pick?pickup_date=2026-05-06&amp;return_date=2026-05-13&amp;currency=EUR&amp;startStation=78&amp;endStation=8",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Dresde</t>
        </is>
      </c>
      <c r="E831" t="inlineStr">
        <is>
          <t>2026-05-04</t>
        </is>
      </c>
      <c r="F831" t="inlineStr">
        <is>
          <t>2026-05-11</t>
        </is>
      </c>
      <c r="G831" t="inlineStr">
        <is>
          <t xml:space="preserve"> - Road House - Camper Castle</t>
        </is>
      </c>
      <c r="H831">
        <f>HYPERLINK("https://booking.roadsurfer.com/es/rally/pick?pickup_date=2026-05-04&amp;return_date=2026-05-11&amp;currency=EUR&amp;startStation=78&amp;endStation=56",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Dresde</t>
        </is>
      </c>
      <c r="E832" t="inlineStr">
        <is>
          <t>2026-05-11</t>
        </is>
      </c>
      <c r="F832" t="inlineStr">
        <is>
          <t>2026-05-18</t>
        </is>
      </c>
      <c r="G832" t="inlineStr">
        <is>
          <t xml:space="preserve"> - Road House</t>
        </is>
      </c>
      <c r="H832">
        <f>HYPERLINK("https://booking.roadsurfer.com/es/rally/pick?pickup_date=2026-05-11&amp;return_date=2026-05-18&amp;currency=EUR&amp;startStation=78&amp;endStation=56",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Dresde</t>
        </is>
      </c>
      <c r="E833" t="inlineStr">
        <is>
          <t>2026-05-08</t>
        </is>
      </c>
      <c r="F833" t="inlineStr">
        <is>
          <t>2026-05-15</t>
        </is>
      </c>
      <c r="G833" t="inlineStr">
        <is>
          <t xml:space="preserve"> - Couple Cottage</t>
        </is>
      </c>
      <c r="H833">
        <f>HYPERLINK("https://booking.roadsurfer.com/es/rally/pick?pickup_date=2026-05-08&amp;return_date=2026-05-15&amp;currency=EUR&amp;startStation=78&amp;endStation=56", "Clic para verlo en la web de RoadSurfer")</f>
        <v/>
      </c>
    </row>
    <row r="834">
      <c r="A834" t="inlineStr">
        <is>
          <t>Austria</t>
        </is>
      </c>
      <c r="B834" t="inlineStr">
        <is>
          <t>Viena</t>
        </is>
      </c>
      <c r="C834" t="inlineStr">
        <is>
          <t>Alemania</t>
        </is>
      </c>
      <c r="D834" t="inlineStr">
        <is>
          <t>Dresde</t>
        </is>
      </c>
      <c r="E834" t="inlineStr">
        <is>
          <t>2026-05-13</t>
        </is>
      </c>
      <c r="F834" t="inlineStr">
        <is>
          <t>2026-05-20</t>
        </is>
      </c>
      <c r="G834" t="inlineStr">
        <is>
          <t xml:space="preserve"> - Surfer Suite</t>
        </is>
      </c>
      <c r="H834">
        <f>HYPERLINK("https://booking.roadsurfer.com/es/rally/pick?pickup_date=2026-05-13&amp;return_date=2026-05-20&amp;currency=EUR&amp;startStation=36&amp;endStation=56", "Clic para verlo en la web de RoadSurfer")</f>
        <v/>
      </c>
    </row>
    <row r="835">
      <c r="A835" t="inlineStr">
        <is>
          <t>Austria</t>
        </is>
      </c>
      <c r="B835" t="inlineStr">
        <is>
          <t>Viena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2026-04-20</t>
        </is>
      </c>
      <c r="F835" t="inlineStr">
        <is>
          <t>2026-04-27</t>
        </is>
      </c>
      <c r="G835" t="inlineStr">
        <is>
          <t xml:space="preserve"> - Camper Castle</t>
        </is>
      </c>
      <c r="H835">
        <f>HYPERLINK("https://booking.roadsurfer.com/es/rally/pick?pickup_date=2026-04-20&amp;return_date=2026-04-27&amp;currency=EUR&amp;startStation=36&amp;endStation=56", "Clic para verlo en la web de RoadSurfer")</f>
        <v/>
      </c>
    </row>
    <row r="836">
      <c r="A836" t="inlineStr">
        <is>
          <t>Austria</t>
        </is>
      </c>
      <c r="B836" t="inlineStr">
        <is>
          <t>Viena</t>
        </is>
      </c>
      <c r="C836" t="inlineStr">
        <is>
          <t>Alemania</t>
        </is>
      </c>
      <c r="D836" t="inlineStr">
        <is>
          <t>Dresde</t>
        </is>
      </c>
      <c r="E836" t="inlineStr">
        <is>
          <t>2026-05-11</t>
        </is>
      </c>
      <c r="F836" t="inlineStr">
        <is>
          <t>2026-05-18</t>
        </is>
      </c>
      <c r="G836" t="inlineStr">
        <is>
          <t xml:space="preserve"> - Camper Cabin Deluxe</t>
        </is>
      </c>
      <c r="H836">
        <f>HYPERLINK("https://booking.roadsurfer.com/es/rally/pick?pickup_date=2026-05-11&amp;return_date=2026-05-18&amp;currency=EUR&amp;startStation=36&amp;endStation=56", "Clic para verlo en la web de RoadSurfer")</f>
        <v/>
      </c>
    </row>
    <row r="837">
      <c r="A837" t="inlineStr">
        <is>
          <t>Austria</t>
        </is>
      </c>
      <c r="B837" t="inlineStr">
        <is>
          <t>Viena</t>
        </is>
      </c>
      <c r="C837" t="inlineStr">
        <is>
          <t>Alemania</t>
        </is>
      </c>
      <c r="D837" t="inlineStr">
        <is>
          <t>Berlín</t>
        </is>
      </c>
      <c r="E837" t="inlineStr">
        <is>
          <t>2026-05-07</t>
        </is>
      </c>
      <c r="F837" t="inlineStr">
        <is>
          <t>2026-05-14</t>
        </is>
      </c>
      <c r="G837" t="inlineStr">
        <is>
          <t xml:space="preserve"> - No hay coche</t>
        </is>
      </c>
      <c r="H837">
        <f>HYPERLINK("https://booking.roadsurfer.com/es/rally/pick?pickup_date=2026-05-07&amp;return_date=2026-05-14&amp;currency=EUR&amp;startStation=36&amp;endStation=6", "Clic para verlo en la web de RoadSurfer")</f>
        <v/>
      </c>
    </row>
    <row r="838">
      <c r="A838" t="inlineStr">
        <is>
          <t>Austria</t>
        </is>
      </c>
      <c r="B838" t="inlineStr">
        <is>
          <t>Viena</t>
        </is>
      </c>
      <c r="C838" t="inlineStr">
        <is>
          <t>Alemania</t>
        </is>
      </c>
      <c r="D838" t="inlineStr">
        <is>
          <t>Berlín</t>
        </is>
      </c>
      <c r="E838" t="inlineStr">
        <is>
          <t>2026-05-15</t>
        </is>
      </c>
      <c r="F838" t="inlineStr">
        <is>
          <t>2026-05-22</t>
        </is>
      </c>
      <c r="G838" t="inlineStr">
        <is>
          <t xml:space="preserve"> - Road House</t>
        </is>
      </c>
      <c r="H838">
        <f>HYPERLINK("https://booking.roadsurfer.com/es/rally/pick?pickup_date=2026-05-15&amp;return_date=2026-05-22&amp;currency=EUR&amp;startStation=36&amp;endStation=6", "Clic para verlo en la web de RoadSurfer")</f>
        <v/>
      </c>
    </row>
    <row r="839">
      <c r="A839" t="inlineStr">
        <is>
          <t>Austria</t>
        </is>
      </c>
      <c r="B839" t="inlineStr">
        <is>
          <t>Viena</t>
        </is>
      </c>
      <c r="C839" t="inlineStr">
        <is>
          <t>Alemania</t>
        </is>
      </c>
      <c r="D839" t="inlineStr">
        <is>
          <t>Berlín</t>
        </is>
      </c>
      <c r="E839" t="inlineStr">
        <is>
          <t>2026-05-16</t>
        </is>
      </c>
      <c r="F839" t="inlineStr">
        <is>
          <t>2026-05-23</t>
        </is>
      </c>
      <c r="G839" t="inlineStr">
        <is>
          <t xml:space="preserve"> - Couple Cottage</t>
        </is>
      </c>
      <c r="H839">
        <f>HYPERLINK("https://booking.roadsurfer.com/es/rally/pick?pickup_date=2026-05-16&amp;return_date=2026-05-23&amp;currency=EUR&amp;startStation=36&amp;endStation=6", "Clic para verlo en la web de RoadSurfer")</f>
        <v/>
      </c>
    </row>
    <row r="840">
      <c r="A840" t="inlineStr">
        <is>
          <t>Austria</t>
        </is>
      </c>
      <c r="B840" t="inlineStr">
        <is>
          <t>Viena</t>
        </is>
      </c>
      <c r="C840" t="inlineStr">
        <is>
          <t>Alemania</t>
        </is>
      </c>
      <c r="D840" t="inlineStr">
        <is>
          <t>Karlsruhe</t>
        </is>
      </c>
      <c r="E840" t="inlineStr">
        <is>
          <t>2026-05-08</t>
        </is>
      </c>
      <c r="F840" t="inlineStr">
        <is>
          <t>2026-05-15</t>
        </is>
      </c>
      <c r="G840" t="inlineStr">
        <is>
          <t xml:space="preserve"> - Road House</t>
        </is>
      </c>
      <c r="H840">
        <f>HYPERLINK("https://booking.roadsurfer.com/es/rally/pick?pickup_date=2026-05-08&amp;return_date=2026-05-15&amp;currency=EUR&amp;startStation=36&amp;endStation=110", "Clic para verlo en la web de RoadSurfer")</f>
        <v/>
      </c>
    </row>
    <row r="841">
      <c r="A841" t="inlineStr">
        <is>
          <t>Austria</t>
        </is>
      </c>
      <c r="B841" t="inlineStr">
        <is>
          <t>Viena</t>
        </is>
      </c>
      <c r="C841" t="inlineStr">
        <is>
          <t>Alemania</t>
        </is>
      </c>
      <c r="D841" t="inlineStr">
        <is>
          <t>Leipzig</t>
        </is>
      </c>
      <c r="E841" t="inlineStr">
        <is>
          <t>2026-04-14</t>
        </is>
      </c>
      <c r="F841" t="inlineStr">
        <is>
          <t>2026-04-21</t>
        </is>
      </c>
      <c r="G841" t="inlineStr">
        <is>
          <t xml:space="preserve"> - Cozy Cottage</t>
        </is>
      </c>
      <c r="H841">
        <f>HYPERLINK("https://booking.roadsurfer.com/es/rally/pick?pickup_date=2026-04-14&amp;return_date=2026-04-21&amp;currency=EUR&amp;startStation=36&amp;endStation=8", "Clic para verlo en la web de RoadSurfer")</f>
        <v/>
      </c>
    </row>
    <row r="842">
      <c r="A842" t="inlineStr">
        <is>
          <t>Austria</t>
        </is>
      </c>
      <c r="B842" t="inlineStr">
        <is>
          <t>Viena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2026-05-04</t>
        </is>
      </c>
      <c r="F842" t="inlineStr">
        <is>
          <t>2026-05-11</t>
        </is>
      </c>
      <c r="G842" t="inlineStr">
        <is>
          <t xml:space="preserve"> - Cozy Cottage</t>
        </is>
      </c>
      <c r="H842">
        <f>HYPERLINK("https://booking.roadsurfer.com/es/rally/pick?pickup_date=2026-05-04&amp;return_date=2026-05-11&amp;currency=EUR&amp;startStation=36&amp;endStation=22", "Clic para verlo en la web de RoadSurfer")</f>
        <v/>
      </c>
    </row>
    <row r="843">
      <c r="A843" t="inlineStr">
        <is>
          <t>Austria</t>
        </is>
      </c>
      <c r="B843" t="inlineStr">
        <is>
          <t>Viena Sur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2026-05-06</t>
        </is>
      </c>
      <c r="F843" t="inlineStr">
        <is>
          <t>2026-05-13</t>
        </is>
      </c>
      <c r="G843" t="inlineStr">
        <is>
          <t xml:space="preserve"> - Surfer Suite</t>
        </is>
      </c>
      <c r="H843">
        <f>HYPERLINK("https://booking.roadsurfer.com/es/rally/pick?pickup_date=2026-05-06&amp;return_date=2026-05-13&amp;currency=EUR&amp;startStation=45&amp;endStation=22", "Clic para verlo en la web de RoadSurfer")</f>
        <v/>
      </c>
    </row>
    <row r="844">
      <c r="A844" t="inlineStr">
        <is>
          <t>Austria</t>
        </is>
      </c>
      <c r="B844" t="inlineStr">
        <is>
          <t>Viena Sur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2026-05-15</t>
        </is>
      </c>
      <c r="F844" t="inlineStr">
        <is>
          <t>2026-05-22</t>
        </is>
      </c>
      <c r="G844" t="inlineStr">
        <is>
          <t xml:space="preserve"> - SURFER SUITE</t>
        </is>
      </c>
      <c r="H844">
        <f>HYPERLINK("https://booking.roadsurfer.com/es/rally/pick?pickup_date=2026-05-15&amp;return_date=2026-05-22&amp;currency=EUR&amp;startStation=45&amp;endStation=22", "Clic para verlo en la web de RoadSurfer")</f>
        <v/>
      </c>
    </row>
    <row r="845">
      <c r="A845" t="inlineStr">
        <is>
          <t>Austria</t>
        </is>
      </c>
      <c r="B845" t="inlineStr">
        <is>
          <t>Viena Sur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2026-05-19</t>
        </is>
      </c>
      <c r="F845" t="inlineStr">
        <is>
          <t>2026-05-26</t>
        </is>
      </c>
      <c r="G845" t="inlineStr">
        <is>
          <t xml:space="preserve"> - Couple Cottage - Cozy Cottage</t>
        </is>
      </c>
      <c r="H845">
        <f>HYPERLINK("https://booking.roadsurfer.com/es/rally/pick?pickup_date=2026-05-19&amp;return_date=2026-05-26&amp;currency=EUR&amp;startStation=45&amp;endStation=22", "Clic para verlo en la web de RoadSurfer")</f>
        <v/>
      </c>
    </row>
    <row r="846">
      <c r="A846" t="inlineStr">
        <is>
          <t>Austria</t>
        </is>
      </c>
      <c r="B846" t="inlineStr">
        <is>
          <t>Viena Sur</t>
        </is>
      </c>
      <c r="C846" t="inlineStr">
        <is>
          <t>Alemania</t>
        </is>
      </c>
      <c r="D846" t="inlineStr">
        <is>
          <t>Múnich</t>
        </is>
      </c>
      <c r="E846" t="inlineStr">
        <is>
          <t>2026-05-11</t>
        </is>
      </c>
      <c r="F846" t="inlineStr">
        <is>
          <t>2026-05-18</t>
        </is>
      </c>
      <c r="G846" t="inlineStr">
        <is>
          <t xml:space="preserve"> - Road House</t>
        </is>
      </c>
      <c r="H846">
        <f>HYPERLINK("https://booking.roadsurfer.com/es/rally/pick?pickup_date=2026-05-11&amp;return_date=2026-05-18&amp;currency=EUR&amp;startStation=45&amp;endStation=1", "Clic para verlo en la web de RoadSurfer")</f>
        <v/>
      </c>
    </row>
    <row r="847">
      <c r="A847" t="inlineStr">
        <is>
          <t>Austria</t>
        </is>
      </c>
      <c r="B847" t="inlineStr">
        <is>
          <t>Viena Sur</t>
        </is>
      </c>
      <c r="C847" t="inlineStr">
        <is>
          <t>Alemania</t>
        </is>
      </c>
      <c r="D847" t="inlineStr">
        <is>
          <t>Múnich</t>
        </is>
      </c>
      <c r="E847" t="inlineStr">
        <is>
          <t>2026-05-27</t>
        </is>
      </c>
      <c r="F847" t="inlineStr">
        <is>
          <t>2026-06-03</t>
        </is>
      </c>
      <c r="G847" t="inlineStr">
        <is>
          <t xml:space="preserve"> - Camper Cabin</t>
        </is>
      </c>
      <c r="H847">
        <f>HYPERLINK("https://booking.roadsurfer.com/es/rally/pick?pickup_date=2026-05-27&amp;return_date=2026-06-03&amp;currency=EUR&amp;startStation=45&amp;endStation=1", "Clic para verlo en la web de RoadSurfer")</f>
        <v/>
      </c>
    </row>
    <row r="848">
      <c r="A848" t="inlineStr">
        <is>
          <t>Austria</t>
        </is>
      </c>
      <c r="B848" t="inlineStr">
        <is>
          <t>Viena Sur</t>
        </is>
      </c>
      <c r="C848" t="inlineStr">
        <is>
          <t>Alemania</t>
        </is>
      </c>
      <c r="D848" t="inlineStr">
        <is>
          <t>Augsburgo</t>
        </is>
      </c>
      <c r="E848" t="inlineStr">
        <is>
          <t>2026-05-11</t>
        </is>
      </c>
      <c r="F848" t="inlineStr">
        <is>
          <t>2026-05-18</t>
        </is>
      </c>
      <c r="G848" t="inlineStr">
        <is>
          <t xml:space="preserve"> - Family Finca</t>
        </is>
      </c>
      <c r="H848">
        <f>HYPERLINK("https://booking.roadsurfer.com/es/rally/pick?pickup_date=2026-05-11&amp;return_date=2026-05-18&amp;currency=EUR&amp;startStation=45&amp;endStation=108", "Clic para verlo en la web de RoadSurfer")</f>
        <v/>
      </c>
    </row>
    <row r="849">
      <c r="A849" t="inlineStr">
        <is>
          <t>Austria</t>
        </is>
      </c>
      <c r="B849" t="inlineStr">
        <is>
          <t>Viena Sur</t>
        </is>
      </c>
      <c r="C849" t="inlineStr">
        <is>
          <t>Alemania</t>
        </is>
      </c>
      <c r="D849" t="inlineStr">
        <is>
          <t>Augsburgo</t>
        </is>
      </c>
      <c r="E849" t="inlineStr">
        <is>
          <t>2026-04-18</t>
        </is>
      </c>
      <c r="F849" t="inlineStr">
        <is>
          <t>2026-04-25</t>
        </is>
      </c>
      <c r="G849" t="inlineStr">
        <is>
          <t xml:space="preserve"> - Camper Cabin</t>
        </is>
      </c>
      <c r="H849">
        <f>HYPERLINK("https://booking.roadsurfer.com/es/rally/pick?pickup_date=2026-04-18&amp;return_date=2026-04-25&amp;currency=EUR&amp;startStation=45&amp;endStation=108", "Clic para verlo en la web de RoadSurfer")</f>
        <v/>
      </c>
    </row>
    <row r="850">
      <c r="A850" t="inlineStr">
        <is>
          <t>Austria</t>
        </is>
      </c>
      <c r="B850" t="inlineStr">
        <is>
          <t>Viena Sur</t>
        </is>
      </c>
      <c r="C850" t="inlineStr">
        <is>
          <t>España</t>
        </is>
      </c>
      <c r="D850" t="inlineStr">
        <is>
          <t>Valencia</t>
        </is>
      </c>
      <c r="E850" t="inlineStr">
        <is>
          <t>2026-04-14</t>
        </is>
      </c>
      <c r="F850" t="inlineStr">
        <is>
          <t>2026-04-21</t>
        </is>
      </c>
      <c r="G850" t="inlineStr">
        <is>
          <t xml:space="preserve"> - Camper Castle</t>
        </is>
      </c>
      <c r="H850">
        <f>HYPERLINK("https://booking.roadsurfer.com/es/rally/pick?pickup_date=2026-04-14&amp;return_date=2026-04-21&amp;currency=EUR&amp;startStation=45&amp;endStation=38", "Clic para verlo en la web de RoadSurfer")</f>
        <v/>
      </c>
    </row>
    <row r="851">
      <c r="A851" t="inlineStr">
        <is>
          <t>Austria</t>
        </is>
      </c>
      <c r="B851" t="inlineStr">
        <is>
          <t>Viena Sur</t>
        </is>
      </c>
      <c r="C851" t="inlineStr">
        <is>
          <t>Alemania</t>
        </is>
      </c>
      <c r="D851" t="inlineStr">
        <is>
          <t>Leipzig</t>
        </is>
      </c>
      <c r="E851" t="inlineStr">
        <is>
          <t>2026-04-13</t>
        </is>
      </c>
      <c r="F851" t="inlineStr">
        <is>
          <t>2026-04-20</t>
        </is>
      </c>
      <c r="G851" t="inlineStr">
        <is>
          <t xml:space="preserve"> - Family Finca</t>
        </is>
      </c>
      <c r="H851">
        <f>HYPERLINK("https://booking.roadsurfer.com/es/rally/pick?pickup_date=2026-04-13&amp;return_date=2026-04-20&amp;currency=EUR&amp;startStation=45&amp;endStation=8", "Clic para verlo en la web de RoadSurfer")</f>
        <v/>
      </c>
    </row>
    <row r="852">
      <c r="A852" t="inlineStr">
        <is>
          <t>Austria</t>
        </is>
      </c>
      <c r="B852" t="inlineStr">
        <is>
          <t>Viena Sur</t>
        </is>
      </c>
      <c r="C852" t="inlineStr">
        <is>
          <t>Alemania</t>
        </is>
      </c>
      <c r="D852" t="inlineStr">
        <is>
          <t>Leipzig</t>
        </is>
      </c>
      <c r="E852" t="inlineStr">
        <is>
          <t>2026-04-14</t>
        </is>
      </c>
      <c r="F852" t="inlineStr">
        <is>
          <t>2026-04-21</t>
        </is>
      </c>
      <c r="G852" t="inlineStr">
        <is>
          <t xml:space="preserve"> - Family Finca</t>
        </is>
      </c>
      <c r="H852">
        <f>HYPERLINK("https://booking.roadsurfer.com/es/rally/pick?pickup_date=2026-04-14&amp;return_date=2026-04-21&amp;currency=EUR&amp;startStation=45&amp;endStation=8", "Clic para verlo en la web de RoadSurfer")</f>
        <v/>
      </c>
    </row>
    <row r="853">
      <c r="A853" t="inlineStr">
        <is>
          <t>Austria</t>
        </is>
      </c>
      <c r="B853" t="inlineStr">
        <is>
          <t>Viena Sur</t>
        </is>
      </c>
      <c r="C853" t="inlineStr">
        <is>
          <t>Alemania</t>
        </is>
      </c>
      <c r="D853" t="inlineStr">
        <is>
          <t>Colonia-Düsseldorf</t>
        </is>
      </c>
      <c r="E853" t="inlineStr">
        <is>
          <t>2026-05-08</t>
        </is>
      </c>
      <c r="F853" t="inlineStr">
        <is>
          <t>2026-05-15</t>
        </is>
      </c>
      <c r="G853" t="inlineStr">
        <is>
          <t xml:space="preserve"> - COUPLE COTTAGE</t>
        </is>
      </c>
      <c r="H853">
        <f>HYPERLINK("https://booking.roadsurfer.com/es/rally/pick?pickup_date=2026-05-08&amp;return_date=2026-05-15&amp;currency=EUR&amp;startStation=45&amp;endStation=4", "Clic para verlo en la web de RoadSurfer")</f>
        <v/>
      </c>
    </row>
    <row r="854">
      <c r="A854" t="inlineStr">
        <is>
          <t>Austria</t>
        </is>
      </c>
      <c r="B854" t="inlineStr">
        <is>
          <t>Viena Sur</t>
        </is>
      </c>
      <c r="C854" t="inlineStr">
        <is>
          <t>Alemania</t>
        </is>
      </c>
      <c r="D854" t="inlineStr">
        <is>
          <t>Colonia-Düsseldorf</t>
        </is>
      </c>
      <c r="E854" t="inlineStr">
        <is>
          <t>2026-05-22</t>
        </is>
      </c>
      <c r="F854" t="inlineStr">
        <is>
          <t>2026-05-29</t>
        </is>
      </c>
      <c r="G854" t="inlineStr">
        <is>
          <t xml:space="preserve"> - Couple Cottage</t>
        </is>
      </c>
      <c r="H854">
        <f>HYPERLINK("https://booking.roadsurfer.com/es/rally/pick?pickup_date=2026-05-22&amp;return_date=2026-05-29&amp;currency=EUR&amp;startStation=45&amp;endStation=4", "Clic para verlo en la web de RoadSurfer")</f>
        <v/>
      </c>
    </row>
    <row r="855">
      <c r="A855" t="inlineStr">
        <is>
          <t>Austria</t>
        </is>
      </c>
      <c r="B855" t="inlineStr">
        <is>
          <t>Viena Sur</t>
        </is>
      </c>
      <c r="C855" t="inlineStr">
        <is>
          <t>Alemania</t>
        </is>
      </c>
      <c r="D855" t="inlineStr">
        <is>
          <t>Erfurt</t>
        </is>
      </c>
      <c r="E855" t="inlineStr">
        <is>
          <t>2026-05-11</t>
        </is>
      </c>
      <c r="F855" t="inlineStr">
        <is>
          <t>2026-05-18</t>
        </is>
      </c>
      <c r="G855" t="inlineStr">
        <is>
          <t xml:space="preserve"> - Cozy Cottage</t>
        </is>
      </c>
      <c r="H855">
        <f>HYPERLINK("https://booking.roadsurfer.com/es/rally/pick?pickup_date=2026-05-11&amp;return_date=2026-05-18&amp;currency=EUR&amp;startStation=45&amp;endStation=90", "Clic para verlo en la web de RoadSurfer")</f>
        <v/>
      </c>
    </row>
    <row r="856">
      <c r="A856" t="inlineStr">
        <is>
          <t>Austria</t>
        </is>
      </c>
      <c r="B856" t="inlineStr">
        <is>
          <t>Viena Sur</t>
        </is>
      </c>
      <c r="C856" t="inlineStr">
        <is>
          <t>Alemania</t>
        </is>
      </c>
      <c r="D856" t="inlineStr">
        <is>
          <t>Erfurt</t>
        </is>
      </c>
      <c r="E856" t="inlineStr">
        <is>
          <t>2026-04-13</t>
        </is>
      </c>
      <c r="F856" t="inlineStr">
        <is>
          <t>2026-04-20</t>
        </is>
      </c>
      <c r="G856" t="inlineStr">
        <is>
          <t xml:space="preserve"> - Couple Cottage</t>
        </is>
      </c>
      <c r="H856">
        <f>HYPERLINK("https://booking.roadsurfer.com/es/rally/pick?pickup_date=2026-04-13&amp;return_date=2026-04-20&amp;currency=EUR&amp;startStation=45&amp;endStation=90", "Clic para verlo en la web de RoadSurfer")</f>
        <v/>
      </c>
    </row>
    <row r="857">
      <c r="A857" t="inlineStr">
        <is>
          <t>Austria</t>
        </is>
      </c>
      <c r="B857" t="inlineStr">
        <is>
          <t>Viena Sur</t>
        </is>
      </c>
      <c r="C857" t="inlineStr">
        <is>
          <t>Alemania</t>
        </is>
      </c>
      <c r="D857" t="inlineStr">
        <is>
          <t>Núremberg</t>
        </is>
      </c>
      <c r="E857" t="inlineStr">
        <is>
          <t>2026-04-15</t>
        </is>
      </c>
      <c r="F857" t="inlineStr">
        <is>
          <t>2026-04-22</t>
        </is>
      </c>
      <c r="G857" t="inlineStr">
        <is>
          <t xml:space="preserve"> - Cozy Cottage</t>
        </is>
      </c>
      <c r="H857">
        <f>HYPERLINK("https://booking.roadsurfer.com/es/rally/pick?pickup_date=2026-04-15&amp;return_date=2026-04-22&amp;currency=EUR&amp;startStation=45&amp;endStation=11", "Clic para verlo en la web de RoadSurfer")</f>
        <v/>
      </c>
    </row>
    <row r="858">
      <c r="A858" t="inlineStr">
        <is>
          <t>EE.UU.</t>
        </is>
      </c>
      <c r="B858" t="inlineStr">
        <is>
          <t>Winnebago Industries</t>
        </is>
      </c>
      <c r="C858" t="inlineStr">
        <is>
          <t>EE.UU.</t>
        </is>
      </c>
      <c r="D858" t="inlineStr">
        <is>
          <t>Denver</t>
        </is>
      </c>
      <c r="E858" t="inlineStr">
        <is>
          <t>2026-04-13</t>
        </is>
      </c>
      <c r="F858" t="inlineStr">
        <is>
          <t>2026-04-27</t>
        </is>
      </c>
      <c r="G858" t="inlineStr">
        <is>
          <t xml:space="preserve"> - Liberty Lodge</t>
        </is>
      </c>
      <c r="H858">
        <f>HYPERLINK("https://booking.roadsurfer.com/es/rally/pick?pickup_date=2026-04-13&amp;return_date=2026-04-27&amp;currency=EUR&amp;startStation=81&amp;endStation=104", "Clic para verlo en la web de RoadSurfer")</f>
        <v/>
      </c>
    </row>
    <row r="859">
      <c r="A859" t="inlineStr">
        <is>
          <t>EE.UU.</t>
        </is>
      </c>
      <c r="B859" t="inlineStr">
        <is>
          <t>Winnebago Industries</t>
        </is>
      </c>
      <c r="C859" t="inlineStr">
        <is>
          <t>EE.UU.</t>
        </is>
      </c>
      <c r="D859" t="inlineStr">
        <is>
          <t>Denver</t>
        </is>
      </c>
      <c r="E859" t="inlineStr">
        <is>
          <t>2026-04-08</t>
        </is>
      </c>
      <c r="F859" t="inlineStr">
        <is>
          <t>2026-04-22</t>
        </is>
      </c>
      <c r="G859" t="inlineStr">
        <is>
          <t xml:space="preserve"> - Liberty Lodge</t>
        </is>
      </c>
      <c r="H859">
        <f>HYPERLINK("https://booking.roadsurfer.com/es/rally/pick?pickup_date=2026-04-08&amp;return_date=2026-04-22&amp;currency=EUR&amp;startStation=81&amp;endStation=104", "Clic para verlo en la web de RoadSurfer")</f>
        <v/>
      </c>
    </row>
    <row r="860">
      <c r="A860" t="inlineStr">
        <is>
          <t>EE.UU.</t>
        </is>
      </c>
      <c r="B860" t="inlineStr">
        <is>
          <t>Winnebago Industries</t>
        </is>
      </c>
      <c r="C860" t="inlineStr">
        <is>
          <t>EE.UU.</t>
        </is>
      </c>
      <c r="D860" t="inlineStr">
        <is>
          <t>Denver</t>
        </is>
      </c>
      <c r="E860" t="inlineStr">
        <is>
          <t>2026-04-10</t>
        </is>
      </c>
      <c r="F860" t="inlineStr">
        <is>
          <t>2026-04-24</t>
        </is>
      </c>
      <c r="G860" t="inlineStr">
        <is>
          <t xml:space="preserve"> - Liberty Lodge - Couple Condo</t>
        </is>
      </c>
      <c r="H860">
        <f>HYPERLINK("https://booking.roadsurfer.com/es/rally/pick?pickup_date=2026-04-10&amp;return_date=2026-04-24&amp;currency=EUR&amp;startStation=81&amp;endStation=104", "Clic para verlo en la web de RoadSurfer")</f>
        <v/>
      </c>
    </row>
    <row r="861">
      <c r="A861" t="inlineStr">
        <is>
          <t>EE.UU.</t>
        </is>
      </c>
      <c r="B861" t="inlineStr">
        <is>
          <t>Winnebago Industries</t>
        </is>
      </c>
      <c r="C861" t="inlineStr">
        <is>
          <t>EE.UU.</t>
        </is>
      </c>
      <c r="D861" t="inlineStr">
        <is>
          <t>Denver</t>
        </is>
      </c>
      <c r="E861" t="inlineStr">
        <is>
          <t>2026-04-14</t>
        </is>
      </c>
      <c r="F861" t="inlineStr">
        <is>
          <t>2026-04-28</t>
        </is>
      </c>
      <c r="G861" t="inlineStr">
        <is>
          <t xml:space="preserve"> - Couple Condo</t>
        </is>
      </c>
      <c r="H861">
        <f>HYPERLINK("https://booking.roadsurfer.com/es/rally/pick?pickup_date=2026-04-14&amp;return_date=2026-04-28&amp;currency=EUR&amp;startStation=81&amp;endStation=104", "Clic para verlo en la web de RoadSurfer")</f>
        <v/>
      </c>
    </row>
    <row r="862">
      <c r="A862" t="inlineStr">
        <is>
          <t>EE.UU.</t>
        </is>
      </c>
      <c r="B862" t="inlineStr">
        <is>
          <t>Winnebago Industries</t>
        </is>
      </c>
      <c r="C862" t="inlineStr">
        <is>
          <t>EE.UU.</t>
        </is>
      </c>
      <c r="D862" t="inlineStr">
        <is>
          <t>Denver</t>
        </is>
      </c>
      <c r="E862" t="inlineStr">
        <is>
          <t>2026-04-15</t>
        </is>
      </c>
      <c r="F862" t="inlineStr">
        <is>
          <t>2026-04-29</t>
        </is>
      </c>
      <c r="G862" t="inlineStr">
        <is>
          <t xml:space="preserve"> - Couple Condo</t>
        </is>
      </c>
      <c r="H862">
        <f>HYPERLINK("https://booking.roadsurfer.com/es/rally/pick?pickup_date=2026-04-15&amp;return_date=2026-04-29&amp;currency=EUR&amp;startStation=81&amp;endStation=104", "Clic para verlo en la web de RoadSurfer")</f>
        <v/>
      </c>
    </row>
    <row r="863">
      <c r="A863" t="inlineStr">
        <is>
          <t>EE.UU.</t>
        </is>
      </c>
      <c r="B863" t="inlineStr">
        <is>
          <t>Winnebago Industries</t>
        </is>
      </c>
      <c r="C863" t="inlineStr">
        <is>
          <t>EE.UU.</t>
        </is>
      </c>
      <c r="D863" t="inlineStr">
        <is>
          <t>Denver</t>
        </is>
      </c>
      <c r="E863" t="inlineStr">
        <is>
          <t>2026-04-09</t>
        </is>
      </c>
      <c r="F863" t="inlineStr">
        <is>
          <t>2026-04-23</t>
        </is>
      </c>
      <c r="G863" t="inlineStr">
        <is>
          <t xml:space="preserve"> - Liberty Lodge</t>
        </is>
      </c>
      <c r="H863">
        <f>HYPERLINK("https://booking.roadsurfer.com/es/rally/pick?pickup_date=2026-04-09&amp;return_date=2026-04-23&amp;currency=EUR&amp;startStation=81&amp;endStation=104", "Clic para verlo en la web de RoadSurfer")</f>
        <v/>
      </c>
    </row>
    <row r="864">
      <c r="A864" t="inlineStr">
        <is>
          <t>EE.UU.</t>
        </is>
      </c>
      <c r="B864" t="inlineStr">
        <is>
          <t>Winnebago Industries</t>
        </is>
      </c>
      <c r="C864" t="inlineStr">
        <is>
          <t>EE.UU.</t>
        </is>
      </c>
      <c r="D864" t="inlineStr">
        <is>
          <t>San Francisco</t>
        </is>
      </c>
      <c r="E864" t="inlineStr">
        <is>
          <t>2026-04-13</t>
        </is>
      </c>
      <c r="F864" t="inlineStr">
        <is>
          <t>2026-04-27</t>
        </is>
      </c>
      <c r="G864" t="inlineStr">
        <is>
          <t xml:space="preserve"> - Liberty Lodge</t>
        </is>
      </c>
      <c r="H864">
        <f>HYPERLINK("https://booking.roadsurfer.com/es/rally/pick?pickup_date=2026-04-13&amp;return_date=2026-04-27&amp;currency=EUR&amp;startStation=81&amp;endStation=75", "Clic para verlo en la web de RoadSurfer")</f>
        <v/>
      </c>
    </row>
    <row r="865">
      <c r="A865" t="inlineStr">
        <is>
          <t>EE.UU.</t>
        </is>
      </c>
      <c r="B865" t="inlineStr">
        <is>
          <t>Winnebago Industries</t>
        </is>
      </c>
      <c r="C865" t="inlineStr">
        <is>
          <t>EE.UU.</t>
        </is>
      </c>
      <c r="D865" t="inlineStr">
        <is>
          <t>San Francisco</t>
        </is>
      </c>
      <c r="E865" t="inlineStr">
        <is>
          <t>2026-04-08</t>
        </is>
      </c>
      <c r="F865" t="inlineStr">
        <is>
          <t>2026-04-22</t>
        </is>
      </c>
      <c r="G865" t="inlineStr">
        <is>
          <t xml:space="preserve"> - Liberty Lodge</t>
        </is>
      </c>
      <c r="H865">
        <f>HYPERLINK("https://booking.roadsurfer.com/es/rally/pick?pickup_date=2026-04-08&amp;return_date=2026-04-22&amp;currency=EUR&amp;startStation=81&amp;endStation=75", "Clic para verlo en la web de RoadSurfer")</f>
        <v/>
      </c>
    </row>
    <row r="866">
      <c r="A866" t="inlineStr">
        <is>
          <t>EE.UU.</t>
        </is>
      </c>
      <c r="B866" t="inlineStr">
        <is>
          <t>Winnebago Industries</t>
        </is>
      </c>
      <c r="C866" t="inlineStr">
        <is>
          <t>EE.UU.</t>
        </is>
      </c>
      <c r="D866" t="inlineStr">
        <is>
          <t>San Francisco</t>
        </is>
      </c>
      <c r="E866" t="inlineStr">
        <is>
          <t>2026-04-10</t>
        </is>
      </c>
      <c r="F866" t="inlineStr">
        <is>
          <t>2026-04-24</t>
        </is>
      </c>
      <c r="G866" t="inlineStr">
        <is>
          <t xml:space="preserve"> - Couple Condo</t>
        </is>
      </c>
      <c r="H866">
        <f>HYPERLINK("https://booking.roadsurfer.com/es/rally/pick?pickup_date=2026-04-10&amp;return_date=2026-04-24&amp;currency=EUR&amp;startStation=81&amp;endStation=75", "Clic para verlo en la web de RoadSurfer")</f>
        <v/>
      </c>
    </row>
    <row r="867">
      <c r="A867" t="inlineStr">
        <is>
          <t>EE.UU.</t>
        </is>
      </c>
      <c r="B867" t="inlineStr">
        <is>
          <t>Winnebago Industries</t>
        </is>
      </c>
      <c r="C867" t="inlineStr">
        <is>
          <t>EE.UU.</t>
        </is>
      </c>
      <c r="D867" t="inlineStr">
        <is>
          <t>San Francisco</t>
        </is>
      </c>
      <c r="E867" t="inlineStr">
        <is>
          <t>2026-04-09</t>
        </is>
      </c>
      <c r="F867" t="inlineStr">
        <is>
          <t>2026-04-23</t>
        </is>
      </c>
      <c r="G867" t="inlineStr">
        <is>
          <t xml:space="preserve"> - Couple Condo</t>
        </is>
      </c>
      <c r="H867">
        <f>HYPERLINK("https://booking.roadsurfer.com/es/rally/pick?pickup_date=2026-04-09&amp;return_date=2026-04-23&amp;currency=EUR&amp;startStation=81&amp;endStation=75", "Clic para verlo en la web de RoadSurfer")</f>
        <v/>
      </c>
    </row>
    <row r="868">
      <c r="A868" t="inlineStr">
        <is>
          <t>EE.UU.</t>
        </is>
      </c>
      <c r="B868" t="inlineStr">
        <is>
          <t>Winnebago Industries</t>
        </is>
      </c>
      <c r="C868" t="inlineStr">
        <is>
          <t>EE.UU.</t>
        </is>
      </c>
      <c r="D868" t="inlineStr">
        <is>
          <t>Seattle</t>
        </is>
      </c>
      <c r="E868" t="inlineStr">
        <is>
          <t>2026-04-14</t>
        </is>
      </c>
      <c r="F868" t="inlineStr">
        <is>
          <t>2026-04-28</t>
        </is>
      </c>
      <c r="G868" t="inlineStr">
        <is>
          <t xml:space="preserve"> - Liberty Lodge</t>
        </is>
      </c>
      <c r="H868">
        <f>HYPERLINK("https://booking.roadsurfer.com/es/rally/pick?pickup_date=2026-04-14&amp;return_date=2026-04-28&amp;currency=EUR&amp;startStation=81&amp;endStation=107", "Clic para verlo en la web de RoadSurfer")</f>
        <v/>
      </c>
    </row>
    <row r="869">
      <c r="A869" t="inlineStr">
        <is>
          <t>EE.UU.</t>
        </is>
      </c>
      <c r="B869" t="inlineStr">
        <is>
          <t>Winnebago Industries</t>
        </is>
      </c>
      <c r="C869" t="inlineStr">
        <is>
          <t>EE.UU.</t>
        </is>
      </c>
      <c r="D869" t="inlineStr">
        <is>
          <t>Seattle</t>
        </is>
      </c>
      <c r="E869" t="inlineStr">
        <is>
          <t>2026-04-15</t>
        </is>
      </c>
      <c r="F869" t="inlineStr">
        <is>
          <t>2026-04-29</t>
        </is>
      </c>
      <c r="G869" t="inlineStr">
        <is>
          <t xml:space="preserve"> - Liberty Lodge</t>
        </is>
      </c>
      <c r="H869">
        <f>HYPERLINK("https://booking.roadsurfer.com/es/rally/pick?pickup_date=2026-04-15&amp;return_date=2026-04-29&amp;currency=EUR&amp;startStation=81&amp;endStation=107", "Clic para verlo en la web de RoadSurfer")</f>
        <v/>
      </c>
    </row>
    <row r="870">
      <c r="A870" t="inlineStr">
        <is>
          <t>EE.UU.</t>
        </is>
      </c>
      <c r="B870" t="inlineStr">
        <is>
          <t>Winnebago Industries</t>
        </is>
      </c>
      <c r="C870" t="inlineStr">
        <is>
          <t>EE.UU.</t>
        </is>
      </c>
      <c r="D870" t="inlineStr">
        <is>
          <t>Phoenix</t>
        </is>
      </c>
      <c r="E870" t="inlineStr">
        <is>
          <t>2026-04-07</t>
        </is>
      </c>
      <c r="F870" t="inlineStr">
        <is>
          <t>2026-04-21</t>
        </is>
      </c>
      <c r="G870" t="inlineStr">
        <is>
          <t xml:space="preserve"> - Liberty Lodge</t>
        </is>
      </c>
      <c r="H870">
        <f>HYPERLINK("https://booking.roadsurfer.com/es/rally/pick?pickup_date=2026-04-07&amp;return_date=2026-04-21&amp;currency=EUR&amp;startStation=81&amp;endStation=105", "Clic para verlo en la web de RoadSurfer")</f>
        <v/>
      </c>
    </row>
    <row r="871">
      <c r="A871" t="inlineStr">
        <is>
          <t>EE.UU.</t>
        </is>
      </c>
      <c r="B871" t="inlineStr">
        <is>
          <t>Winnebago Industries</t>
        </is>
      </c>
      <c r="C871" t="inlineStr">
        <is>
          <t>EE.UU.</t>
        </is>
      </c>
      <c r="D871" t="inlineStr">
        <is>
          <t>Phoenix</t>
        </is>
      </c>
      <c r="E871" t="inlineStr">
        <is>
          <t>2026-04-10</t>
        </is>
      </c>
      <c r="F871" t="inlineStr">
        <is>
          <t>2026-04-24</t>
        </is>
      </c>
      <c r="G871" t="inlineStr">
        <is>
          <t xml:space="preserve"> - Liberty Lodge</t>
        </is>
      </c>
      <c r="H871">
        <f>HYPERLINK("https://booking.roadsurfer.com/es/rally/pick?pickup_date=2026-04-10&amp;return_date=2026-04-24&amp;currency=EUR&amp;startStation=81&amp;endStation=105", "Clic para verlo en la web de RoadSurfer")</f>
        <v/>
      </c>
    </row>
    <row r="872">
      <c r="A872" t="inlineStr">
        <is>
          <t>EE.UU.</t>
        </is>
      </c>
      <c r="B872" t="inlineStr">
        <is>
          <t>Winnebago Industries</t>
        </is>
      </c>
      <c r="C872" t="inlineStr">
        <is>
          <t>EE.UU.</t>
        </is>
      </c>
      <c r="D872" t="inlineStr">
        <is>
          <t>Salt Lake City</t>
        </is>
      </c>
      <c r="E872" t="inlineStr">
        <is>
          <t>2026-04-13</t>
        </is>
      </c>
      <c r="F872" t="inlineStr">
        <is>
          <t>2026-04-28</t>
        </is>
      </c>
      <c r="G872" t="inlineStr">
        <is>
          <t xml:space="preserve"> - Liberty Lodge</t>
        </is>
      </c>
      <c r="H872">
        <f>HYPERLINK("https://booking.roadsurfer.com/es/rally/pick?pickup_date=2026-04-13&amp;return_date=2026-04-28&amp;currency=EUR&amp;startStation=81&amp;endStation=106", "Clic para verlo en la web de RoadSurfer")</f>
        <v/>
      </c>
    </row>
    <row r="873">
      <c r="A873" t="inlineStr">
        <is>
          <t>Alemania</t>
        </is>
      </c>
      <c r="B873" t="inlineStr">
        <is>
          <t>Wurzburgo</t>
        </is>
      </c>
      <c r="C873" t="inlineStr">
        <is>
          <t>España</t>
        </is>
      </c>
      <c r="D873" t="inlineStr">
        <is>
          <t>Madrid</t>
        </is>
      </c>
      <c r="E873" t="inlineStr">
        <is>
          <t>2026-04-27</t>
        </is>
      </c>
      <c r="F873" t="inlineStr">
        <is>
          <t>2026-05-04</t>
        </is>
      </c>
      <c r="G873" t="inlineStr">
        <is>
          <t xml:space="preserve"> - No hay coche</t>
        </is>
      </c>
      <c r="H873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2026-04-06T15:02:46Z</dcterms:created>
  <dcterms:modified xsi:type="dcterms:W3CDTF">2026-04-06T15:02:46Z</dcterms:modified>
</cp:coreProperties>
</file>