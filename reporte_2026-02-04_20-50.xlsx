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2026-03-09</t>
        </is>
      </c>
      <c r="F9" t="inlineStr">
        <is>
          <t>2026-03-16</t>
        </is>
      </c>
      <c r="G9" t="inlineStr">
        <is>
          <t xml:space="preserve"> - Road House</t>
        </is>
      </c>
      <c r="H9">
        <f>HYPERLINK("https://booking.roadsurfer.com/es/rally/pick?pickup_date=2026-03-09&amp;return_date=2026-03-16&amp;currency=EUR&amp;startStation=16&amp;endStation=9",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2026-03-16</t>
        </is>
      </c>
      <c r="F16" t="inlineStr">
        <is>
          <t>2026-03-23</t>
        </is>
      </c>
      <c r="G16" t="inlineStr">
        <is>
          <t xml:space="preserve"> - Road House</t>
        </is>
      </c>
      <c r="H16">
        <f>HYPERLINK("https://booking.roadsurfer.com/es/rally/pick?pickup_date=2026-03-16&amp;return_date=2026-03-23&amp;currency=EUR&amp;startStation=16&amp;endStation=17",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HYPERLINK("https://booking.roadsurfer.com/es/rally/pick?pickup_date=2026-03-09&amp;return_date=2026-03-16&amp;currency=EUR&amp;startStation=16&amp;endStation=29",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2026-03-16</t>
        </is>
      </c>
      <c r="F19" t="inlineStr">
        <is>
          <t>2026-03-23</t>
        </is>
      </c>
      <c r="G19" t="inlineStr">
        <is>
          <t xml:space="preserve"> - Surfer Suite</t>
        </is>
      </c>
      <c r="H19">
        <f>HYPERLINK("https://booking.roadsurfer.com/es/rally/pick?pickup_date=2026-03-16&amp;return_date=2026-03-23&amp;currency=EUR&amp;startStation=32&amp;endStation=113",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Family Finca</t>
        </is>
      </c>
      <c r="H21">
        <f>HYPERLINK("https://booking.roadsurfer.com/es/rally/pick?pickup_date=2026-03-09&amp;return_date=2026-03-16&amp;currency=EUR&amp;startStation=32&amp;endStation=6",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Berlín</t>
        </is>
      </c>
      <c r="E22" t="inlineStr">
        <is>
          <t>2026-03-16</t>
        </is>
      </c>
      <c r="F22" t="inlineStr">
        <is>
          <t>2026-03-23</t>
        </is>
      </c>
      <c r="G22" t="inlineStr">
        <is>
          <t xml:space="preserve"> - Road House</t>
        </is>
      </c>
      <c r="H22">
        <f>HYPERLINK("https://booking.roadsurfer.com/es/rally/pick?pickup_date=2026-03-16&amp;return_date=2026-03-23&amp;currency=EUR&amp;startStation=32&amp;endStation=6",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Camper Castle</t>
        </is>
      </c>
      <c r="H23">
        <f>HYPERLINK("https://booking.roadsurfer.com/es/rally/pick?pickup_date=2026-03-12&amp;return_date=2026-03-19&amp;currency=EUR&amp;startStation=32&amp;endStation=52",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Surfer Suite</t>
        </is>
      </c>
      <c r="H25">
        <f>HYPERLINK("https://booking.roadsurfer.com/es/rally/pick?pickup_date=2026-03-12&amp;return_date=2026-03-19&amp;currency=EUR&amp;startStation=47&amp;endStation=52",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2026-03-18</t>
        </is>
      </c>
      <c r="F28" t="inlineStr">
        <is>
          <t>2026-03-25</t>
        </is>
      </c>
      <c r="G28" t="inlineStr">
        <is>
          <t xml:space="preserve"> - FAMILY FINCA</t>
        </is>
      </c>
      <c r="H28">
        <f>HYPERLINK("https://booking.roadsurfer.com/es/rally/pick?pickup_date=2026-03-18&amp;return_date=2026-03-25&amp;currency=EUR&amp;startStation=47&amp;endStation=56",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</t>
        </is>
      </c>
      <c r="H30">
        <f>HYPERLINK("https://booking.roadsurfer.com/es/rally/pick?pickup_date=2026-03-14&amp;return_date=2026-03-21&amp;currency=EUR&amp;startStation=47&amp;endStation=113",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2026-03-16</t>
        </is>
      </c>
      <c r="F31" t="inlineStr">
        <is>
          <t>2026-03-23</t>
        </is>
      </c>
      <c r="G31" t="inlineStr">
        <is>
          <t xml:space="preserve"> - CAMPER CASTLE</t>
        </is>
      </c>
      <c r="H31">
        <f>HYPERLINK("https://booking.roadsurfer.com/es/rally/pick?pickup_date=2026-03-16&amp;return_date=2026-03-23&amp;currency=EUR&amp;startStation=47&amp;endStation=113",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HYPERLINK("https://booking.roadsurfer.com/es/rally/pick?pickup_date=2026-03-09&amp;return_date=2026-03-16&amp;currency=EUR&amp;startStation=47&amp;endStation=16",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Francia</t>
        </is>
      </c>
      <c r="D33" t="inlineStr">
        <is>
          <t>Ginebra-Pays de Gex (Francia)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Travel Home</t>
        </is>
      </c>
      <c r="H33">
        <f>HYPERLINK("https://booking.roadsurfer.com/es/rally/pick?pickup_date=2026-03-09&amp;return_date=2026-03-16&amp;currency=EUR&amp;startStation=47&amp;endStation=29",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2026-03-19</t>
        </is>
      </c>
      <c r="F36" t="inlineStr">
        <is>
          <t>2026-03-26</t>
        </is>
      </c>
      <c r="G36" t="inlineStr">
        <is>
          <t xml:space="preserve"> - Road House</t>
        </is>
      </c>
      <c r="H36">
        <f>HYPERLINK("https://booking.roadsurfer.com/es/rally/pick?pickup_date=2026-03-19&amp;return_date=2026-03-26&amp;currency=EUR&amp;startStation=108&amp;endStation=80",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HYPERLINK("https://booking.roadsurfer.com/es/rally/pick?pickup_date=2026-03-16&amp;return_date=2026-03-23&amp;currency=EUR&amp;startStation=108&amp;endStation=52",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2026-03-13</t>
        </is>
      </c>
      <c r="F38" t="inlineStr">
        <is>
          <t>2026-03-20</t>
        </is>
      </c>
      <c r="G38" t="inlineStr">
        <is>
          <t xml:space="preserve"> - Road House</t>
        </is>
      </c>
      <c r="H38">
        <f>HYPERLINK("https://booking.roadsurfer.com/es/rally/pick?pickup_date=2026-03-13&amp;return_date=2026-03-20&amp;currency=EUR&amp;startStation=108&amp;endStation=32",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Beach Hostel</t>
        </is>
      </c>
      <c r="H40">
        <f>HYPERLINK("https://booking.roadsurfer.com/es/rally/pick?pickup_date=2026-03-16&amp;return_date=2026-03-23&amp;currency=EUR&amp;startStation=17&amp;endStation=9",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2026-03-12</t>
        </is>
      </c>
      <c r="F41" t="inlineStr">
        <is>
          <t>2026-03-19</t>
        </is>
      </c>
      <c r="G41" t="inlineStr">
        <is>
          <t xml:space="preserve"> - Travel Home</t>
        </is>
      </c>
      <c r="H41">
        <f>HYPERLINK("https://booking.roadsurfer.com/es/rally/pick?pickup_date=2026-03-12&amp;return_date=2026-03-19&amp;currency=EUR&amp;startStation=17&amp;endStation=9",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Surfer Suite</t>
        </is>
      </c>
      <c r="H42">
        <f>HYPERLINK("https://booking.roadsurfer.com/es/rally/pick?pickup_date=2026-03-11&amp;return_date=2026-03-18&amp;currency=EUR&amp;startStation=17&amp;endStation=79",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 - Family Finca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Sunrise Suite</t>
        </is>
      </c>
      <c r="H46">
        <f>HYPERLINK("https://booking.roadsurfer.com/es/rally/pick?pickup_date=2026-03-10&amp;return_date=2026-03-17&amp;currency=EUR&amp;startStation=17&amp;endStation=22",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Francia</t>
        </is>
      </c>
      <c r="D47" t="inlineStr">
        <is>
          <t>Nantes</t>
        </is>
      </c>
      <c r="E47" t="inlineStr">
        <is>
          <t>2026-03-19</t>
        </is>
      </c>
      <c r="F47" t="inlineStr">
        <is>
          <t>2026-03-26</t>
        </is>
      </c>
      <c r="G47" t="inlineStr">
        <is>
          <t xml:space="preserve"> - TRAVEL HOME</t>
        </is>
      </c>
      <c r="H47">
        <f>HYPERLINK("https://booking.roadsurfer.com/es/rally/pick?pickup_date=2026-03-19&amp;return_date=2026-03-26&amp;currency=EUR&amp;startStation=17&amp;endStation=31",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Surfer Suite - Family Finca</t>
        </is>
      </c>
      <c r="H48">
        <f>HYPERLINK("https://booking.roadsurfer.com/es/rally/pick?pickup_date=2026-03-10&amp;return_date=2026-03-17&amp;currency=EUR&amp;startStation=94&amp;endStation=2",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Surfer Suite</t>
        </is>
      </c>
      <c r="H49">
        <f>HYPERLINK("https://booking.roadsurfer.com/es/rally/pick?pickup_date=2026-03-09&amp;return_date=2026-03-16&amp;currency=EUR&amp;startStation=94&amp;endStation=2",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Surfer Suite</t>
        </is>
      </c>
      <c r="H50">
        <f>HYPERLINK("https://booking.roadsurfer.com/es/rally/pick?pickup_date=2026-03-11&amp;return_date=2026-03-18&amp;currency=EUR&amp;startStation=94&amp;endStation=2",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2026-03-12</t>
        </is>
      </c>
      <c r="F51" t="inlineStr">
        <is>
          <t>2026-03-19</t>
        </is>
      </c>
      <c r="G51" t="inlineStr">
        <is>
          <t xml:space="preserve"> - Family Finca</t>
        </is>
      </c>
      <c r="H51">
        <f>HYPERLINK("https://booking.roadsurfer.com/es/rally/pick?pickup_date=2026-03-12&amp;return_date=2026-03-19&amp;currency=EUR&amp;startStation=94&amp;endStation=2",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2026-03-13</t>
        </is>
      </c>
      <c r="F55" t="inlineStr">
        <is>
          <t>2026-03-20</t>
        </is>
      </c>
      <c r="G55" t="inlineStr">
        <is>
          <t xml:space="preserve"> - Beach Hostel</t>
        </is>
      </c>
      <c r="H55">
        <f>HYPERLINK("https://booking.roadsurfer.com/es/rally/pick?pickup_date=2026-03-13&amp;return_date=2026-03-20&amp;currency=EUR&amp;startStation=94&amp;endStation=7",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2026-03-12</t>
        </is>
      </c>
      <c r="F56" t="inlineStr">
        <is>
          <t>2026-03-19</t>
        </is>
      </c>
      <c r="G56" t="inlineStr">
        <is>
          <t xml:space="preserve"> - Surfer Suite</t>
        </is>
      </c>
      <c r="H56">
        <f>HYPERLINK("https://booking.roadsurfer.com/es/rally/pick?pickup_date=2026-03-12&amp;return_date=2026-03-19&amp;currency=EUR&amp;startStation=94&amp;endStation=7",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Camper Castle</t>
        </is>
      </c>
      <c r="H57">
        <f>HYPERLINK("https://booking.roadsurfer.com/es/rally/pick?pickup_date=2026-03-11&amp;return_date=2026-03-18&amp;currency=EUR&amp;startStation=94&amp;endStation=11",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2026-03-17</t>
        </is>
      </c>
      <c r="F58" t="inlineStr">
        <is>
          <t>2026-03-24</t>
        </is>
      </c>
      <c r="G58" t="inlineStr">
        <is>
          <t xml:space="preserve"> - Surfer Suite</t>
        </is>
      </c>
      <c r="H58">
        <f>HYPERLINK("https://booking.roadsurfer.com/es/rally/pick?pickup_date=2026-03-17&amp;return_date=2026-03-24&amp;currency=EUR&amp;startStation=94&amp;endStation=22",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Surfer Suite - Family Finca</t>
        </is>
      </c>
      <c r="H59">
        <f>HYPERLINK("https://booking.roadsurfer.com/es/rally/pick?pickup_date=2026-03-09&amp;return_date=2026-03-16&amp;currency=EUR&amp;startStation=6&amp;endStation=34",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2026-03-02</t>
        </is>
      </c>
      <c r="F60" t="inlineStr">
        <is>
          <t>2026-03-12</t>
        </is>
      </c>
      <c r="G60" t="inlineStr">
        <is>
          <t xml:space="preserve"> - Road House</t>
        </is>
      </c>
      <c r="H60">
        <f>HYPERLINK("https://booking.roadsurfer.com/es/rally/pick?pickup_date=2026-03-02&amp;return_date=2026-03-12&amp;currency=EUR&amp;startStation=6&amp;endStation=34",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2026-03-10</t>
        </is>
      </c>
      <c r="F62" t="inlineStr">
        <is>
          <t>2026-03-20</t>
        </is>
      </c>
      <c r="G62" t="inlineStr">
        <is>
          <t xml:space="preserve"> - Beach Hostel</t>
        </is>
      </c>
      <c r="H62">
        <f>HYPERLINK("https://booking.roadsurfer.com/es/rally/pick?pickup_date=2026-03-10&amp;return_date=2026-03-20&amp;currency=EUR&amp;startStation=6&amp;endStation=34",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Surfer Suite - Beach Hostel</t>
        </is>
      </c>
      <c r="H63">
        <f>HYPERLINK("https://booking.roadsurfer.com/es/rally/pick?pickup_date=2026-03-12&amp;return_date=2026-03-19&amp;currency=EUR&amp;startStation=6&amp;endStation=34",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Camper Castle</t>
        </is>
      </c>
      <c r="H65">
        <f>HYPERLINK("https://booking.roadsurfer.com/es/rally/pick?pickup_date=2026-03-17&amp;return_date=2026-03-24&amp;currency=EUR&amp;startStation=6&amp;endStation=32",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2026-03-10</t>
        </is>
      </c>
      <c r="F66" t="inlineStr">
        <is>
          <t>2026-03-17</t>
        </is>
      </c>
      <c r="G66" t="inlineStr">
        <is>
          <t xml:space="preserve"> - Couple Cottage</t>
        </is>
      </c>
      <c r="H66">
        <f>HYPERLINK("https://booking.roadsurfer.com/es/rally/pick?pickup_date=2026-03-10&amp;return_date=2026-03-17&amp;currency=EUR&amp;startStation=6&amp;endStation=32",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Family Finca</t>
        </is>
      </c>
      <c r="H67">
        <f>HYPERLINK("https://booking.roadsurfer.com/es/rally/pick?pickup_date=2026-03-16&amp;return_date=2026-03-23&amp;currency=EUR&amp;startStation=6&amp;endStation=32",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2026-03-14</t>
        </is>
      </c>
      <c r="F70" t="inlineStr">
        <is>
          <t>2026-03-21</t>
        </is>
      </c>
      <c r="G70" t="inlineStr">
        <is>
          <t xml:space="preserve"> - Surfer Suite</t>
        </is>
      </c>
      <c r="H70">
        <f>HYPERLINK("https://booking.roadsurfer.com/es/rally/pick?pickup_date=2026-03-14&amp;return_date=2026-03-21&amp;currency=EUR&amp;startStation=6&amp;endStation=30",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2026-03-09</t>
        </is>
      </c>
      <c r="F71" t="inlineStr">
        <is>
          <t>2026-03-16</t>
        </is>
      </c>
      <c r="G71" t="inlineStr">
        <is>
          <t xml:space="preserve"> - Surfer Suite</t>
        </is>
      </c>
      <c r="H71">
        <f>HYPERLINK("https://booking.roadsurfer.com/es/rally/pick?pickup_date=2026-03-09&amp;return_date=2026-03-16&amp;currency=EUR&amp;startStation=6&amp;endStation=30",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2026-03-23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HYPERLINK("https://booking.roadsurfer.com/es/rally/pick?pickup_date=2026-03-13&amp;return_date=2026-03-23&amp;currency=EUR&amp;startStation=6&amp;endStation=37",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2026-03-10</t>
        </is>
      </c>
      <c r="F76" t="inlineStr">
        <is>
          <t>2026-03-17</t>
        </is>
      </c>
      <c r="G76" t="inlineStr">
        <is>
          <t xml:space="preserve"> - Camper Castle</t>
        </is>
      </c>
      <c r="H76">
        <f>HYPERLINK("https://booking.roadsurfer.com/es/rally/pick?pickup_date=2026-03-10&amp;return_date=2026-03-17&amp;currency=EUR&amp;startStation=6&amp;endStation=59",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2026-03-13</t>
        </is>
      </c>
      <c r="F77" t="inlineStr">
        <is>
          <t>2026-03-23</t>
        </is>
      </c>
      <c r="G77" t="inlineStr">
        <is>
          <t xml:space="preserve"> - Beach Hostel</t>
        </is>
      </c>
      <c r="H77">
        <f>HYPERLINK("https://booking.roadsurfer.com/es/rally/pick?pickup_date=2026-03-13&amp;return_date=2026-03-23&amp;currency=EUR&amp;startStation=6&amp;endStation=59",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2026-03-13</t>
        </is>
      </c>
      <c r="F80" t="inlineStr">
        <is>
          <t>2026-03-20</t>
        </is>
      </c>
      <c r="G80" t="inlineStr">
        <is>
          <t xml:space="preserve"> - Surfer Suite</t>
        </is>
      </c>
      <c r="H80">
        <f>HYPERLINK("https://booking.roadsurfer.com/es/rally/pick?pickup_date=2026-03-13&amp;return_date=2026-03-20&amp;currency=EUR&amp;startStation=6&amp;endStation=87",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2026-03-19</t>
        </is>
      </c>
      <c r="F82" t="inlineStr">
        <is>
          <t>2026-03-26</t>
        </is>
      </c>
      <c r="G82" t="inlineStr">
        <is>
          <t xml:space="preserve"> - COUPLE COTTAGE</t>
        </is>
      </c>
      <c r="H82">
        <f>HYPERLINK("https://booking.roadsurfer.com/es/rally/pick?pickup_date=2026-03-19&amp;return_date=2026-03-26&amp;currency=EUR&amp;startStation=6&amp;endStation=36",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2026-03-09</t>
        </is>
      </c>
      <c r="F84" t="inlineStr">
        <is>
          <t>2026-03-16</t>
        </is>
      </c>
      <c r="G84" t="inlineStr">
        <is>
          <t xml:space="preserve"> - Sunrise Suite</t>
        </is>
      </c>
      <c r="H84">
        <f>HYPERLINK("https://booking.roadsurfer.com/es/rally/pick?pickup_date=2026-03-09&amp;return_date=2026-03-16&amp;currency=EUR&amp;startStation=6&amp;endStation=8",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2026-03-06</t>
        </is>
      </c>
      <c r="F85" t="inlineStr">
        <is>
          <t>2026-03-13</t>
        </is>
      </c>
      <c r="G85" t="inlineStr">
        <is>
          <t xml:space="preserve"> - Camper Cabin</t>
        </is>
      </c>
      <c r="H85">
        <f>HYPERLINK("https://booking.roadsurfer.com/es/rally/pick?pickup_date=2026-03-06&amp;return_date=2026-03-13&amp;currency=EUR&amp;startStation=6&amp;endStation=65",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Sunrise Suite</t>
        </is>
      </c>
      <c r="H86">
        <f>HYPERLINK("https://booking.roadsurfer.com/es/rally/pick?pickup_date=2026-03-16&amp;return_date=2026-03-23&amp;currency=EUR&amp;startStation=6&amp;endStation=10",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Italia</t>
        </is>
      </c>
      <c r="D87" t="inlineStr">
        <is>
          <t>Florencia</t>
        </is>
      </c>
      <c r="E87" t="inlineStr">
        <is>
          <t>2026-03-10</t>
        </is>
      </c>
      <c r="F87" t="inlineStr">
        <is>
          <t>2026-03-17</t>
        </is>
      </c>
      <c r="G87" t="inlineStr">
        <is>
          <t xml:space="preserve"> - Surfer Suite</t>
        </is>
      </c>
      <c r="H87">
        <f>HYPERLINK("https://booking.roadsurfer.com/es/rally/pick?pickup_date=2026-03-10&amp;return_date=2026-03-17&amp;currency=EUR&amp;startStation=6&amp;endStation=80",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Road House</t>
        </is>
      </c>
      <c r="H88">
        <f>HYPERLINK("https://booking.roadsurfer.com/es/rally/pick?pickup_date=2026-03-13&amp;return_date=2026-03-20&amp;currency=EUR&amp;startStation=51&amp;endStation=36",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2026-03-17</t>
        </is>
      </c>
      <c r="F89" t="inlineStr">
        <is>
          <t>2026-03-24</t>
        </is>
      </c>
      <c r="G89" t="inlineStr">
        <is>
          <t xml:space="preserve"> - ROAD HOUSE</t>
        </is>
      </c>
      <c r="H89">
        <f>HYPERLINK("https://booking.roadsurfer.com/es/rally/pick?pickup_date=2026-03-17&amp;return_date=2026-03-24&amp;currency=EUR&amp;startStation=51&amp;endStation=36",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2026-03-19</t>
        </is>
      </c>
      <c r="F90" t="inlineStr">
        <is>
          <t>2026-03-26</t>
        </is>
      </c>
      <c r="G90" t="inlineStr">
        <is>
          <t xml:space="preserve"> - No hay coche</t>
        </is>
      </c>
      <c r="H90">
        <f>HYPERLINK("https://booking.roadsurfer.com/es/rally/pick?pickup_date=2026-03-19&amp;return_date=2026-03-26&amp;currency=EUR&amp;startStation=51&amp;endStation=32",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2026-03-18</t>
        </is>
      </c>
      <c r="F91" t="inlineStr">
        <is>
          <t>2026-03-25</t>
        </is>
      </c>
      <c r="G91" t="inlineStr">
        <is>
          <t xml:space="preserve"> - COUPLE COTTAGE</t>
        </is>
      </c>
      <c r="H91">
        <f>HYPERLINK("https://booking.roadsurfer.com/es/rally/pick?pickup_date=2026-03-18&amp;return_date=2026-03-25&amp;currency=EUR&amp;startStation=51&amp;endStation=32",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Francia</t>
        </is>
      </c>
      <c r="D93" t="inlineStr">
        <is>
          <t>Ginebra-Pays de Gex (Francia)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Surfer Suite</t>
        </is>
      </c>
      <c r="H93">
        <f>HYPERLINK("https://booking.roadsurfer.com/es/rally/pick?pickup_date=2026-03-16&amp;return_date=2026-03-23&amp;currency=EUR&amp;startStation=51&amp;endStation=29",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Hamburgo Aeropuerto</t>
        </is>
      </c>
      <c r="E94" t="inlineStr">
        <is>
          <t>2026-03-06</t>
        </is>
      </c>
      <c r="F94" t="inlineStr">
        <is>
          <t>2026-03-13</t>
        </is>
      </c>
      <c r="G94" t="inlineStr">
        <is>
          <t xml:space="preserve"> - Surfer Suite - SURFER SUITE - ROAD HOUSE</t>
        </is>
      </c>
      <c r="H94">
        <f>HYPERLINK("https://booking.roadsurfer.com/es/rally/pick?pickup_date=2026-03-06&amp;return_date=2026-03-13&amp;currency=EUR&amp;startStation=51&amp;endStation=65",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España</t>
        </is>
      </c>
      <c r="D95" t="inlineStr">
        <is>
          <t>Madrid</t>
        </is>
      </c>
      <c r="E95" t="inlineStr">
        <is>
          <t>2026-03-09</t>
        </is>
      </c>
      <c r="F95" t="inlineStr">
        <is>
          <t>2026-03-16</t>
        </is>
      </c>
      <c r="G95" t="inlineStr">
        <is>
          <t xml:space="preserve"> - ROAD HOUSE</t>
        </is>
      </c>
      <c r="H95">
        <f>HYPERLINK("https://booking.roadsurfer.com/es/rally/pick?pickup_date=2026-03-09&amp;return_date=2026-03-16&amp;currency=EUR&amp;startStation=51&amp;endStation=20",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2026-03-14</t>
        </is>
      </c>
      <c r="F96" t="inlineStr">
        <is>
          <t>2026-03-21</t>
        </is>
      </c>
      <c r="G96" t="inlineStr">
        <is>
          <t xml:space="preserve"> - Beach Hostel</t>
        </is>
      </c>
      <c r="H96">
        <f>HYPERLINK("https://booking.roadsurfer.com/es/rally/pick?pickup_date=2026-03-14&amp;return_date=2026-03-21&amp;currency=EUR&amp;startStation=91&amp;endStation=47",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2026-03-18</t>
        </is>
      </c>
      <c r="F97" t="inlineStr">
        <is>
          <t>2026-03-25</t>
        </is>
      </c>
      <c r="G97" t="inlineStr">
        <is>
          <t xml:space="preserve"> - Road House</t>
        </is>
      </c>
      <c r="H97">
        <f>HYPERLINK("https://booking.roadsurfer.com/es/rally/pick?pickup_date=2026-03-18&amp;return_date=2026-03-25&amp;currency=EUR&amp;startStation=91&amp;endStation=12",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2026-03-11</t>
        </is>
      </c>
      <c r="F98" t="inlineStr">
        <is>
          <t>2026-03-21</t>
        </is>
      </c>
      <c r="G98" t="inlineStr">
        <is>
          <t xml:space="preserve"> - Road House</t>
        </is>
      </c>
      <c r="H98">
        <f>HYPERLINK("https://booking.roadsurfer.com/es/rally/pick?pickup_date=2026-03-11&amp;return_date=2026-03-21&amp;currency=EUR&amp;startStation=91&amp;endStation=12",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2026-03-14</t>
        </is>
      </c>
      <c r="F99" t="inlineStr">
        <is>
          <t>2026-03-24</t>
        </is>
      </c>
      <c r="G99" t="inlineStr">
        <is>
          <t xml:space="preserve"> - BEACH HOSTEL</t>
        </is>
      </c>
      <c r="H99">
        <f>HYPERLINK("https://booking.roadsurfer.com/es/rally/pick?pickup_date=2026-03-14&amp;return_date=2026-03-24&amp;currency=EUR&amp;startStation=91&amp;endStation=31",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2026-03-15</t>
        </is>
      </c>
      <c r="F100" t="inlineStr">
        <is>
          <t>2026-03-22</t>
        </is>
      </c>
      <c r="G100" t="inlineStr">
        <is>
          <t xml:space="preserve"> - No hay coche</t>
        </is>
      </c>
      <c r="H100">
        <f>HYPERLINK("https://booking.roadsurfer.com/es/rally/pick?pickup_date=2026-03-15&amp;return_date=2026-03-22&amp;currency=EUR&amp;startStation=91&amp;endStation=34",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Camper Cabin</t>
        </is>
      </c>
      <c r="H101">
        <f>HYPERLINK("https://booking.roadsurfer.com/es/rally/pick?pickup_date=2026-03-09&amp;return_date=2026-03-16&amp;currency=EUR&amp;startStation=91&amp;endStation=33",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Alemania</t>
        </is>
      </c>
      <c r="D102" t="inlineStr">
        <is>
          <t>Núremberg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Beach Hostel</t>
        </is>
      </c>
      <c r="H102">
        <f>HYPERLINK("https://booking.roadsurfer.com/es/rally/pick?pickup_date=2026-03-16&amp;return_date=2026-03-23&amp;currency=EUR&amp;startStation=91&amp;endStation=11",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2026-03-18</t>
        </is>
      </c>
      <c r="F103" t="inlineStr">
        <is>
          <t>2026-03-25</t>
        </is>
      </c>
      <c r="G103" t="inlineStr">
        <is>
          <t xml:space="preserve"> - Surfer Suite</t>
        </is>
      </c>
      <c r="H103">
        <f>HYPERLINK("https://booking.roadsurfer.com/es/rally/pick?pickup_date=2026-03-18&amp;return_date=2026-03-25&amp;currency=EUR&amp;startStation=91&amp;endStation=40",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2026-03-09</t>
        </is>
      </c>
      <c r="F104" t="inlineStr">
        <is>
          <t>2026-03-16</t>
        </is>
      </c>
      <c r="G104" t="inlineStr">
        <is>
          <t xml:space="preserve"> - TRAVEL HOME</t>
        </is>
      </c>
      <c r="H104">
        <f>HYPERLINK("https://booking.roadsurfer.com/es/rally/pick?pickup_date=2026-03-09&amp;return_date=2026-03-16&amp;currency=EUR&amp;startStation=40&amp;endStation=92",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2026-03-15</t>
        </is>
      </c>
      <c r="F105" t="inlineStr">
        <is>
          <t>2026-03-22</t>
        </is>
      </c>
      <c r="G105" t="inlineStr">
        <is>
          <t xml:space="preserve"> - No hay coche</t>
        </is>
      </c>
      <c r="H105">
        <f>HYPERLINK("https://booking.roadsurfer.com/es/rally/pick?pickup_date=2026-03-15&amp;return_date=2026-03-22&amp;currency=EUR&amp;startStation=40&amp;endStation=10",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Road House</t>
        </is>
      </c>
      <c r="H106">
        <f>HYPERLINK("https://booking.roadsurfer.com/es/rally/pick?pickup_date=2026-03-16&amp;return_date=2026-03-23&amp;currency=EUR&amp;startStation=40&amp;endStation=5",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2026-03-10</t>
        </is>
      </c>
      <c r="F107" t="inlineStr">
        <is>
          <t>2026-03-17</t>
        </is>
      </c>
      <c r="G107" t="inlineStr">
        <is>
          <t xml:space="preserve"> - Family Finca</t>
        </is>
      </c>
      <c r="H107">
        <f>HYPERLINK("https://booking.roadsurfer.com/es/rally/pick?pickup_date=2026-03-10&amp;return_date=2026-03-17&amp;currency=EUR&amp;startStation=40&amp;endStation=5",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2026-03-19</t>
        </is>
      </c>
      <c r="F108" t="inlineStr">
        <is>
          <t>2026-03-26</t>
        </is>
      </c>
      <c r="G108" t="inlineStr">
        <is>
          <t xml:space="preserve"> - Family Finca</t>
        </is>
      </c>
      <c r="H108">
        <f>HYPERLINK("https://booking.roadsurfer.com/es/rally/pick?pickup_date=2026-03-19&amp;return_date=2026-03-26&amp;currency=EUR&amp;startStation=40&amp;endStation=1",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2026-03-18</t>
        </is>
      </c>
      <c r="F109" t="inlineStr">
        <is>
          <t>2026-03-25</t>
        </is>
      </c>
      <c r="G109" t="inlineStr">
        <is>
          <t xml:space="preserve"> - Camper Cabin</t>
        </is>
      </c>
      <c r="H109">
        <f>HYPERLINK("https://booking.roadsurfer.com/es/rally/pick?pickup_date=2026-03-18&amp;return_date=2026-03-25&amp;currency=EUR&amp;startStation=40&amp;endStation=1",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2026-03-14</t>
        </is>
      </c>
      <c r="F110" t="inlineStr">
        <is>
          <t>2026-03-21</t>
        </is>
      </c>
      <c r="G110" t="inlineStr">
        <is>
          <t xml:space="preserve"> - No hay coche</t>
        </is>
      </c>
      <c r="H110">
        <f>HYPERLINK("https://booking.roadsurfer.com/es/rally/pick?pickup_date=2026-03-14&amp;return_date=2026-03-21&amp;currency=EUR&amp;startStation=40&amp;endStation=22",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Fráncfort</t>
        </is>
      </c>
      <c r="E111" t="inlineStr">
        <is>
          <t>2026-03-19</t>
        </is>
      </c>
      <c r="F111" t="inlineStr">
        <is>
          <t>2026-03-26</t>
        </is>
      </c>
      <c r="G111" t="inlineStr">
        <is>
          <t xml:space="preserve"> - Surfer Suite</t>
        </is>
      </c>
      <c r="H111">
        <f>HYPERLINK("https://booking.roadsurfer.com/es/rally/pick?pickup_date=2026-03-19&amp;return_date=2026-03-26&amp;currency=EUR&amp;startStation=40&amp;endStation=2",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Fráncfort</t>
        </is>
      </c>
      <c r="E112" t="inlineStr">
        <is>
          <t>2026-03-17</t>
        </is>
      </c>
      <c r="F112" t="inlineStr">
        <is>
          <t>2026-03-24</t>
        </is>
      </c>
      <c r="G112" t="inlineStr">
        <is>
          <t xml:space="preserve"> - Surfer Suite</t>
        </is>
      </c>
      <c r="H112">
        <f>HYPERLINK("https://booking.roadsurfer.com/es/rally/pick?pickup_date=2026-03-17&amp;return_date=2026-03-24&amp;currency=EUR&amp;startStation=40&amp;endStation=2",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Aquisgrán</t>
        </is>
      </c>
      <c r="E113" t="inlineStr">
        <is>
          <t>2026-03-02</t>
        </is>
      </c>
      <c r="F113" t="inlineStr">
        <is>
          <t>2026-03-09</t>
        </is>
      </c>
      <c r="G113" t="inlineStr">
        <is>
          <t xml:space="preserve"> - Couple Cottage</t>
        </is>
      </c>
      <c r="H113">
        <f>HYPERLINK("https://booking.roadsurfer.com/es/rally/pick?pickup_date=2026-03-02&amp;return_date=2026-03-09&amp;currency=EUR&amp;startStation=40&amp;endStation=114",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2026-03-04</t>
        </is>
      </c>
      <c r="F114" t="inlineStr">
        <is>
          <t>2026-03-11</t>
        </is>
      </c>
      <c r="G114" t="inlineStr">
        <is>
          <t xml:space="preserve"> - Surfer Suite</t>
        </is>
      </c>
      <c r="H114">
        <f>HYPERLINK("https://booking.roadsurfer.com/es/rally/pick?pickup_date=2026-03-04&amp;return_date=2026-03-11&amp;currency=EUR&amp;startStation=24&amp;endStation=32",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2026-03-05</t>
        </is>
      </c>
      <c r="F115" t="inlineStr">
        <is>
          <t>2026-03-12</t>
        </is>
      </c>
      <c r="G115" t="inlineStr">
        <is>
          <t xml:space="preserve"> - Camper Castle</t>
        </is>
      </c>
      <c r="H115">
        <f>HYPERLINK("https://booking.roadsurfer.com/es/rally/pick?pickup_date=2026-03-05&amp;return_date=2026-03-12&amp;currency=EUR&amp;startStation=24&amp;endStation=45",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2026-03-19</t>
        </is>
      </c>
      <c r="F116" t="inlineStr">
        <is>
          <t>2026-03-26</t>
        </is>
      </c>
      <c r="G116" t="inlineStr">
        <is>
          <t xml:space="preserve"> - Beach Hostel - Family Finca</t>
        </is>
      </c>
      <c r="H116">
        <f>HYPERLINK("https://booking.roadsurfer.com/es/rally/pick?pickup_date=2026-03-19&amp;return_date=2026-03-26&amp;currency=EUR&amp;startStation=57&amp;endStation=1",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Travel Home</t>
        </is>
      </c>
      <c r="H117">
        <f>HYPERLINK("https://booking.roadsurfer.com/es/rally/pick?pickup_date=2026-03-09&amp;return_date=2026-03-16&amp;currency=EUR&amp;startStation=13&amp;endStation=22",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Surfer Suite</t>
        </is>
      </c>
      <c r="H118">
        <f>HYPERLINK("https://booking.roadsurfer.com/es/rally/pick?pickup_date=2026-03-16&amp;return_date=2026-03-23&amp;currency=EUR&amp;startStation=13&amp;endStation=22",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Fráncfort</t>
        </is>
      </c>
      <c r="E119" t="inlineStr">
        <is>
          <t>2026-03-11</t>
        </is>
      </c>
      <c r="F119" t="inlineStr">
        <is>
          <t>2026-03-18</t>
        </is>
      </c>
      <c r="G119" t="inlineStr">
        <is>
          <t xml:space="preserve"> - Beach Hostel</t>
        </is>
      </c>
      <c r="H119">
        <f>HYPERLINK("https://booking.roadsurfer.com/es/rally/pick?pickup_date=2026-03-11&amp;return_date=2026-03-18&amp;currency=EUR&amp;startStation=13&amp;endStation=2",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2026-03-10</t>
        </is>
      </c>
      <c r="F120" t="inlineStr">
        <is>
          <t>2026-03-17</t>
        </is>
      </c>
      <c r="G120" t="inlineStr">
        <is>
          <t xml:space="preserve"> - Travel Home</t>
        </is>
      </c>
      <c r="H120">
        <f>HYPERLINK("https://booking.roadsurfer.com/es/rally/pick?pickup_date=2026-03-10&amp;return_date=2026-03-17&amp;currency=EUR&amp;startStation=13&amp;endStation=2",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2026-03-12</t>
        </is>
      </c>
      <c r="F121" t="inlineStr">
        <is>
          <t>2026-03-19</t>
        </is>
      </c>
      <c r="G121" t="inlineStr">
        <is>
          <t xml:space="preserve"> - Road House</t>
        </is>
      </c>
      <c r="H121">
        <f>HYPERLINK("https://booking.roadsurfer.com/es/rally/pick?pickup_date=2026-03-12&amp;return_date=2026-03-19&amp;currency=EUR&amp;startStation=13&amp;endStation=2",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Lindau-Wangen</t>
        </is>
      </c>
      <c r="E122" t="inlineStr">
        <is>
          <t>2026-03-12</t>
        </is>
      </c>
      <c r="F122" t="inlineStr">
        <is>
          <t>2026-03-19</t>
        </is>
      </c>
      <c r="G122" t="inlineStr">
        <is>
          <t xml:space="preserve"> - Beach Hostel</t>
        </is>
      </c>
      <c r="H122">
        <f>HYPERLINK("https://booking.roadsurfer.com/es/rally/pick?pickup_date=2026-03-12&amp;return_date=2026-03-19&amp;currency=EUR&amp;startStation=13&amp;endStation=117",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2026-03-17</t>
        </is>
      </c>
      <c r="F123" t="inlineStr">
        <is>
          <t>2026-03-24</t>
        </is>
      </c>
      <c r="G123" t="inlineStr">
        <is>
          <t xml:space="preserve"> - Travel Home</t>
        </is>
      </c>
      <c r="H123">
        <f>HYPERLINK("https://booking.roadsurfer.com/es/rally/pick?pickup_date=2026-03-17&amp;return_date=2026-03-24&amp;currency=EUR&amp;startStation=13&amp;endStation=113",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Lübeck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Camper Cabin</t>
        </is>
      </c>
      <c r="H124">
        <f>HYPERLINK("https://booking.roadsurfer.com/es/rally/pick?pickup_date=2026-03-16&amp;return_date=2026-03-23&amp;currency=EUR&amp;startStation=13&amp;endStation=109",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Francia</t>
        </is>
      </c>
      <c r="D125" t="inlineStr">
        <is>
          <t>Estrasburgo</t>
        </is>
      </c>
      <c r="E125" t="inlineStr">
        <is>
          <t>2026-03-02</t>
        </is>
      </c>
      <c r="F125" t="inlineStr">
        <is>
          <t>2026-03-09</t>
        </is>
      </c>
      <c r="G125" t="inlineStr">
        <is>
          <t xml:space="preserve"> - Road House</t>
        </is>
      </c>
      <c r="H125">
        <f>HYPERLINK("https://booking.roadsurfer.com/es/rally/pick?pickup_date=2026-03-02&amp;return_date=2026-03-09&amp;currency=EUR&amp;startStation=13&amp;endStation=49",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Road House</t>
        </is>
      </c>
      <c r="H126">
        <f>HYPERLINK("https://booking.roadsurfer.com/es/rally/pick?pickup_date=2026-03-09&amp;return_date=2026-03-16&amp;currency=EUR&amp;startStation=13&amp;endStation=4",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2026-03-18</t>
        </is>
      </c>
      <c r="F127" t="inlineStr">
        <is>
          <t>2026-03-25</t>
        </is>
      </c>
      <c r="G127" t="inlineStr">
        <is>
          <t xml:space="preserve"> - Family Finca</t>
        </is>
      </c>
      <c r="H127">
        <f>HYPERLINK("https://booking.roadsurfer.com/es/rally/pick?pickup_date=2026-03-18&amp;return_date=2026-03-25&amp;currency=EUR&amp;startStation=13&amp;endStation=4",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2026-03-13</t>
        </is>
      </c>
      <c r="F128" t="inlineStr">
        <is>
          <t>2026-03-20</t>
        </is>
      </c>
      <c r="G128" t="inlineStr">
        <is>
          <t xml:space="preserve"> - Road House - Sunrise Suite</t>
        </is>
      </c>
      <c r="H128">
        <f>HYPERLINK("https://booking.roadsurfer.com/es/rally/pick?pickup_date=2026-03-13&amp;return_date=2026-03-20&amp;currency=EUR&amp;startStation=13&amp;endStation=52",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Sunrise Suite</t>
        </is>
      </c>
      <c r="H129">
        <f>HYPERLINK("https://booking.roadsurfer.com/es/rally/pick?pickup_date=2026-03-14&amp;return_date=2026-03-21&amp;currency=EUR&amp;startStation=13&amp;endStation=52",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Austria</t>
        </is>
      </c>
      <c r="D130" t="inlineStr">
        <is>
          <t>Salzburgo</t>
        </is>
      </c>
      <c r="E130" t="inlineStr">
        <is>
          <t>2026-03-02</t>
        </is>
      </c>
      <c r="F130" t="inlineStr">
        <is>
          <t>2026-03-09</t>
        </is>
      </c>
      <c r="G130" t="inlineStr">
        <is>
          <t xml:space="preserve"> - Family Finca</t>
        </is>
      </c>
      <c r="H130">
        <f>HYPERLINK("https://booking.roadsurfer.com/es/rally/pick?pickup_date=2026-03-02&amp;return_date=2026-03-09&amp;currency=EUR&amp;startStation=13&amp;endStation=85",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2026-03-12</t>
        </is>
      </c>
      <c r="F131" t="inlineStr">
        <is>
          <t>2026-03-19</t>
        </is>
      </c>
      <c r="G131" t="inlineStr">
        <is>
          <t xml:space="preserve"> - Family Finca</t>
        </is>
      </c>
      <c r="H131">
        <f>HYPERLINK("https://booking.roadsurfer.com/es/rally/pick?pickup_date=2026-03-12&amp;return_date=2026-03-19&amp;currency=EUR&amp;startStation=13&amp;endStation=29",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Couple Cottage</t>
        </is>
      </c>
      <c r="H132">
        <f>HYPERLINK("https://booking.roadsurfer.com/es/rally/pick?pickup_date=2026-03-16&amp;return_date=2026-03-23&amp;currency=EUR&amp;startStation=13&amp;endStation=15",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Sunrise Suite</t>
        </is>
      </c>
      <c r="H133">
        <f>HYPERLINK("https://booking.roadsurfer.com/es/rally/pick?pickup_date=2026-03-09&amp;return_date=2026-03-16&amp;currency=EUR&amp;startStation=13&amp;endStation=6",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Sunrise Suite</t>
        </is>
      </c>
      <c r="H134">
        <f>HYPERLINK("https://booking.roadsurfer.com/es/rally/pick?pickup_date=2026-03-09&amp;return_date=2026-03-16&amp;currency=EUR&amp;startStation=13&amp;endStation=1",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2026-03-12</t>
        </is>
      </c>
      <c r="F135" t="inlineStr">
        <is>
          <t>2026-03-19</t>
        </is>
      </c>
      <c r="G135" t="inlineStr">
        <is>
          <t xml:space="preserve"> - Sunrise Suite</t>
        </is>
      </c>
      <c r="H135">
        <f>HYPERLINK("https://booking.roadsurfer.com/es/rally/pick?pickup_date=2026-03-12&amp;return_date=2026-03-19&amp;currency=EUR&amp;startStation=13&amp;endStation=1",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Sunrise Suite</t>
        </is>
      </c>
      <c r="H136">
        <f>HYPERLINK("https://booking.roadsurfer.com/es/rally/pick?pickup_date=2026-03-16&amp;return_date=2026-03-23&amp;currency=EUR&amp;startStation=13&amp;endStation=1",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2026-03-14</t>
        </is>
      </c>
      <c r="F137" t="inlineStr">
        <is>
          <t>2026-03-21</t>
        </is>
      </c>
      <c r="G137" t="inlineStr">
        <is>
          <t xml:space="preserve"> - Family Finca</t>
        </is>
      </c>
      <c r="H137">
        <f>HYPERLINK("https://booking.roadsurfer.com/es/rally/pick?pickup_date=2026-03-14&amp;return_date=2026-03-21&amp;currency=EUR&amp;startStation=55&amp;endStation=12",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2026-03-16</t>
        </is>
      </c>
      <c r="F138" t="inlineStr">
        <is>
          <t>2026-03-26</t>
        </is>
      </c>
      <c r="G138" t="inlineStr">
        <is>
          <t xml:space="preserve"> - Family Finca</t>
        </is>
      </c>
      <c r="H138">
        <f>HYPERLINK("https://booking.roadsurfer.com/es/rally/pick?pickup_date=2026-03-16&amp;return_date=2026-03-26&amp;currency=EUR&amp;startStation=55&amp;endStation=77",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2026-03-13</t>
        </is>
      </c>
      <c r="F139" t="inlineStr">
        <is>
          <t>2026-03-20</t>
        </is>
      </c>
      <c r="G139" t="inlineStr">
        <is>
          <t xml:space="preserve"> - Surfer Suite</t>
        </is>
      </c>
      <c r="H139">
        <f>HYPERLINK("https://booking.roadsurfer.com/es/rally/pick?pickup_date=2026-03-13&amp;return_date=2026-03-20&amp;currency=EUR&amp;startStation=55&amp;endStation=77",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2026-03-14</t>
        </is>
      </c>
      <c r="F140" t="inlineStr">
        <is>
          <t>2026-03-21</t>
        </is>
      </c>
      <c r="G140" t="inlineStr">
        <is>
          <t xml:space="preserve"> - Surfer Suite</t>
        </is>
      </c>
      <c r="H140">
        <f>HYPERLINK("https://booking.roadsurfer.com/es/rally/pick?pickup_date=2026-03-14&amp;return_date=2026-03-21&amp;currency=EUR&amp;startStation=55&amp;endStation=77",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2026-03-09</t>
        </is>
      </c>
      <c r="F141" t="inlineStr">
        <is>
          <t>2026-03-19</t>
        </is>
      </c>
      <c r="G141" t="inlineStr">
        <is>
          <t xml:space="preserve"> - Road House</t>
        </is>
      </c>
      <c r="H141">
        <f>HYPERLINK("https://booking.roadsurfer.com/es/rally/pick?pickup_date=2026-03-09&amp;return_date=2026-03-19&amp;currency=EUR&amp;startStation=55&amp;endStation=60",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2026-03-17</t>
        </is>
      </c>
      <c r="F142" t="inlineStr">
        <is>
          <t>2026-03-27</t>
        </is>
      </c>
      <c r="G142" t="inlineStr">
        <is>
          <t xml:space="preserve"> - Road House</t>
        </is>
      </c>
      <c r="H142">
        <f>HYPERLINK("https://booking.roadsurfer.com/es/rally/pick?pickup_date=2026-03-17&amp;return_date=2026-03-27&amp;currency=EUR&amp;startStation=55&amp;endStation=60",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2026-03-13</t>
        </is>
      </c>
      <c r="F143" t="inlineStr">
        <is>
          <t>2026-03-23</t>
        </is>
      </c>
      <c r="G143" t="inlineStr">
        <is>
          <t xml:space="preserve"> - Family Finca</t>
        </is>
      </c>
      <c r="H143">
        <f>HYPERLINK("https://booking.roadsurfer.com/es/rally/pick?pickup_date=2026-03-13&amp;return_date=2026-03-23&amp;currency=EUR&amp;startStation=55&amp;endStation=60",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Family Finca</t>
        </is>
      </c>
      <c r="H144">
        <f>HYPERLINK("https://booking.roadsurfer.com/es/rally/pick?pickup_date=2026-03-02&amp;return_date=2026-03-09&amp;currency=EUR&amp;startStation=55&amp;endStation=32",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Países Bajos</t>
        </is>
      </c>
      <c r="D145" t="inlineStr">
        <is>
          <t>Ámsterdam</t>
        </is>
      </c>
      <c r="E145" t="inlineStr">
        <is>
          <t>2026-03-07</t>
        </is>
      </c>
      <c r="F145" t="inlineStr">
        <is>
          <t>2026-03-14</t>
        </is>
      </c>
      <c r="G145" t="inlineStr">
        <is>
          <t xml:space="preserve"> - Surfer Suite</t>
        </is>
      </c>
      <c r="H145">
        <f>HYPERLINK("https://booking.roadsurfer.com/es/rally/pick?pickup_date=2026-03-07&amp;return_date=2026-03-14&amp;currency=EUR&amp;startStation=55&amp;endStation=32",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Surfer Suite</t>
        </is>
      </c>
      <c r="H146">
        <f>HYPERLINK("https://booking.roadsurfer.com/es/rally/pick?pickup_date=2026-03-12&amp;return_date=2026-03-19&amp;currency=EUR&amp;startStation=55&amp;endStation=32",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Países Bajos</t>
        </is>
      </c>
      <c r="D147" t="inlineStr">
        <is>
          <t>Róterdam</t>
        </is>
      </c>
      <c r="E147" t="inlineStr">
        <is>
          <t>2026-03-04</t>
        </is>
      </c>
      <c r="F147" t="inlineStr">
        <is>
          <t>2026-03-11</t>
        </is>
      </c>
      <c r="G147" t="inlineStr">
        <is>
          <t xml:space="preserve"> - Surfer Suite</t>
        </is>
      </c>
      <c r="H147">
        <f>HYPERLINK("https://booking.roadsurfer.com/es/rally/pick?pickup_date=2026-03-04&amp;return_date=2026-03-11&amp;currency=EUR&amp;startStation=55&amp;endStation=33",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Alemania</t>
        </is>
      </c>
      <c r="D148" t="inlineStr">
        <is>
          <t>Kiel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Couple Cottage</t>
        </is>
      </c>
      <c r="H148">
        <f>HYPERLINK("https://booking.roadsurfer.com/es/rally/pick?pickup_date=2026-03-12&amp;return_date=2026-03-19&amp;currency=EUR&amp;startStation=55&amp;endStation=111",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Alemania</t>
        </is>
      </c>
      <c r="D149" t="inlineStr">
        <is>
          <t>Kiel</t>
        </is>
      </c>
      <c r="E149" t="inlineStr">
        <is>
          <t>2026-03-13</t>
        </is>
      </c>
      <c r="F149" t="inlineStr">
        <is>
          <t>2026-03-20</t>
        </is>
      </c>
      <c r="G149" t="inlineStr">
        <is>
          <t xml:space="preserve"> - Surfer Suite</t>
        </is>
      </c>
      <c r="H149">
        <f>HYPERLINK("https://booking.roadsurfer.com/es/rally/pick?pickup_date=2026-03-13&amp;return_date=2026-03-20&amp;currency=EUR&amp;startStation=55&amp;endStation=111",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2026-03-13</t>
        </is>
      </c>
      <c r="F150" t="inlineStr">
        <is>
          <t>2026-03-23</t>
        </is>
      </c>
      <c r="G150" t="inlineStr">
        <is>
          <t xml:space="preserve"> - Surfer Suite</t>
        </is>
      </c>
      <c r="H150">
        <f>HYPERLINK("https://booking.roadsurfer.com/es/rally/pick?pickup_date=2026-03-13&amp;return_date=2026-03-23&amp;currency=EUR&amp;startStation=55&amp;endStation=59",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2026-03-13</t>
        </is>
      </c>
      <c r="F151" t="inlineStr">
        <is>
          <t>2026-03-20</t>
        </is>
      </c>
      <c r="G151" t="inlineStr">
        <is>
          <t xml:space="preserve"> - Surfer Suite - Camper Castle - Family Finca</t>
        </is>
      </c>
      <c r="H151">
        <f>HYPERLINK("https://booking.roadsurfer.com/es/rally/pick?pickup_date=2026-03-13&amp;return_date=2026-03-20&amp;currency=EUR&amp;startStation=55&amp;endStation=59",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2026-03-16</t>
        </is>
      </c>
      <c r="F152" t="inlineStr">
        <is>
          <t>2026-03-26</t>
        </is>
      </c>
      <c r="G152" t="inlineStr">
        <is>
          <t xml:space="preserve"> - Surfer Suite</t>
        </is>
      </c>
      <c r="H152">
        <f>HYPERLINK("https://booking.roadsurfer.com/es/rally/pick?pickup_date=2026-03-16&amp;return_date=2026-03-26&amp;currency=EUR&amp;startStation=55&amp;endStation=59",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2026-03-14</t>
        </is>
      </c>
      <c r="F153" t="inlineStr">
        <is>
          <t>2026-03-21</t>
        </is>
      </c>
      <c r="G153" t="inlineStr">
        <is>
          <t xml:space="preserve"> - Surfer Suite - Road House</t>
        </is>
      </c>
      <c r="H153">
        <f>HYPERLINK("https://booking.roadsurfer.com/es/rally/pick?pickup_date=2026-03-14&amp;return_date=2026-03-21&amp;currency=EUR&amp;startStation=55&amp;endStation=59",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2026-03-15</t>
        </is>
      </c>
      <c r="F154" t="inlineStr">
        <is>
          <t>2026-03-22</t>
        </is>
      </c>
      <c r="G154" t="inlineStr">
        <is>
          <t xml:space="preserve"> - No hay coche</t>
        </is>
      </c>
      <c r="H154">
        <f>HYPERLINK("https://booking.roadsurfer.com/es/rally/pick?pickup_date=2026-03-15&amp;return_date=2026-03-22&amp;currency=EUR&amp;startStation=55&amp;endStation=59",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Surfer Suite - COUPLE COTTAGE</t>
        </is>
      </c>
      <c r="H155">
        <f>HYPERLINK("https://booking.roadsurfer.com/es/rally/pick?pickup_date=2026-03-16&amp;return_date=2026-03-23&amp;currency=EUR&amp;startStation=55&amp;endStation=59",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2026-03-09</t>
        </is>
      </c>
      <c r="F156" t="inlineStr">
        <is>
          <t>2026-03-19</t>
        </is>
      </c>
      <c r="G156" t="inlineStr">
        <is>
          <t xml:space="preserve"> - Surfer Suite</t>
        </is>
      </c>
      <c r="H156">
        <f>HYPERLINK("https://booking.roadsurfer.com/es/rally/pick?pickup_date=2026-03-09&amp;return_date=2026-03-19&amp;currency=EUR&amp;startStation=55&amp;endStation=59",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Alemania</t>
        </is>
      </c>
      <c r="D157" t="inlineStr">
        <is>
          <t>Hamburgo Aeropuerto</t>
        </is>
      </c>
      <c r="E157" t="inlineStr">
        <is>
          <t>2026-03-06</t>
        </is>
      </c>
      <c r="F157" t="inlineStr">
        <is>
          <t>2026-03-13</t>
        </is>
      </c>
      <c r="G157" t="inlineStr">
        <is>
          <t xml:space="preserve"> - Beach Hostel</t>
        </is>
      </c>
      <c r="H157">
        <f>HYPERLINK("https://booking.roadsurfer.com/es/rally/pick?pickup_date=2026-03-06&amp;return_date=2026-03-13&amp;currency=EUR&amp;startStation=55&amp;endStation=65",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2026-03-16</t>
        </is>
      </c>
      <c r="F158" t="inlineStr">
        <is>
          <t>2026-03-23</t>
        </is>
      </c>
      <c r="G158" t="inlineStr">
        <is>
          <t xml:space="preserve"> - Road House</t>
        </is>
      </c>
      <c r="H158">
        <f>HYPERLINK("https://booking.roadsurfer.com/es/rally/pick?pickup_date=2026-03-16&amp;return_date=2026-03-23&amp;currency=EUR&amp;startStation=55&amp;endStation=20",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Camper Cabin Deluxe</t>
        </is>
      </c>
      <c r="H159">
        <f>HYPERLINK("https://booking.roadsurfer.com/es/rally/pick?pickup_date=2026-03-16&amp;return_date=2026-03-23&amp;currency=EUR&amp;startStation=55&amp;endStation=42",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Alemania</t>
        </is>
      </c>
      <c r="D160" t="inlineStr">
        <is>
          <t>Heidelberg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Surfer Suite</t>
        </is>
      </c>
      <c r="H160">
        <f>HYPERLINK("https://booking.roadsurfer.com/es/rally/pick?pickup_date=2026-03-16&amp;return_date=2026-03-23&amp;currency=EUR&amp;startStation=55&amp;endStation=79",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2026-03-05</t>
        </is>
      </c>
      <c r="F161" t="inlineStr">
        <is>
          <t>2026-03-12</t>
        </is>
      </c>
      <c r="G161" t="inlineStr">
        <is>
          <t xml:space="preserve"> - Surfer Suite</t>
        </is>
      </c>
      <c r="H161">
        <f>HYPERLINK("https://booking.roadsurfer.com/es/rally/pick?pickup_date=2026-03-05&amp;return_date=2026-03-12&amp;currency=EUR&amp;startStation=42&amp;endStation=32",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2026-03-14</t>
        </is>
      </c>
      <c r="F162" t="inlineStr">
        <is>
          <t>2026-03-21</t>
        </is>
      </c>
      <c r="G162" t="inlineStr">
        <is>
          <t xml:space="preserve"> - CAMPER CASTLE</t>
        </is>
      </c>
      <c r="H162">
        <f>HYPERLINK("https://booking.roadsurfer.com/es/rally/pick?pickup_date=2026-03-14&amp;return_date=2026-03-21&amp;currency=EUR&amp;startStation=42&amp;endStation=109",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2026-03-14</t>
        </is>
      </c>
      <c r="F163" t="inlineStr">
        <is>
          <t>2026-03-21</t>
        </is>
      </c>
      <c r="G163" t="inlineStr">
        <is>
          <t xml:space="preserve"> - Sunrise Suite</t>
        </is>
      </c>
      <c r="H163">
        <f>HYPERLINK("https://booking.roadsurfer.com/es/rally/pick?pickup_date=2026-03-14&amp;return_date=2026-03-21&amp;currency=EUR&amp;startStation=42&amp;endStation=91",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2026-03-16</t>
        </is>
      </c>
      <c r="F164" t="inlineStr">
        <is>
          <t>2026-03-23</t>
        </is>
      </c>
      <c r="G164" t="inlineStr">
        <is>
          <t xml:space="preserve"> - Sunrise Suite</t>
        </is>
      </c>
      <c r="H164">
        <f>HYPERLINK("https://booking.roadsurfer.com/es/rally/pick?pickup_date=2026-03-16&amp;return_date=2026-03-23&amp;currency=EUR&amp;startStation=42&amp;endStation=91",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2026-03-17</t>
        </is>
      </c>
      <c r="F165" t="inlineStr">
        <is>
          <t>2026-03-24</t>
        </is>
      </c>
      <c r="G165" t="inlineStr">
        <is>
          <t xml:space="preserve"> - Sunrise Suite</t>
        </is>
      </c>
      <c r="H165">
        <f>HYPERLINK("https://booking.roadsurfer.com/es/rally/pick?pickup_date=2026-03-17&amp;return_date=2026-03-24&amp;currency=EUR&amp;startStation=42&amp;endStation=91",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2026-03-13</t>
        </is>
      </c>
      <c r="F166" t="inlineStr">
        <is>
          <t>2026-03-20</t>
        </is>
      </c>
      <c r="G166" t="inlineStr">
        <is>
          <t xml:space="preserve"> - Beach Hostel</t>
        </is>
      </c>
      <c r="H166">
        <f>HYPERLINK("https://booking.roadsurfer.com/es/rally/pick?pickup_date=2026-03-13&amp;return_date=2026-03-20&amp;currency=EUR&amp;startStation=42&amp;endStation=91",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Camper Cabin</t>
        </is>
      </c>
      <c r="H167">
        <f>HYPERLINK("https://booking.roadsurfer.com/es/rally/pick?pickup_date=2026-03-09&amp;return_date=2026-03-16&amp;currency=EUR&amp;startStation=42&amp;endStation=91",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2026-03-17</t>
        </is>
      </c>
      <c r="F168" t="inlineStr">
        <is>
          <t>2026-03-24</t>
        </is>
      </c>
      <c r="G168" t="inlineStr">
        <is>
          <t xml:space="preserve"> - Road House</t>
        </is>
      </c>
      <c r="H168">
        <f>HYPERLINK("https://booking.roadsurfer.com/es/rally/pick?pickup_date=2026-03-17&amp;return_date=2026-03-24&amp;currency=EUR&amp;startStation=42&amp;endStation=52",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2026-03-19</t>
        </is>
      </c>
      <c r="F169" t="inlineStr">
        <is>
          <t>2026-03-26</t>
        </is>
      </c>
      <c r="G169" t="inlineStr">
        <is>
          <t xml:space="preserve"> - Family Finca</t>
        </is>
      </c>
      <c r="H169">
        <f>HYPERLINK("https://booking.roadsurfer.com/es/rally/pick?pickup_date=2026-03-19&amp;return_date=2026-03-26&amp;currency=EUR&amp;startStation=42&amp;endStation=52",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2026-03-14</t>
        </is>
      </c>
      <c r="F170" t="inlineStr">
        <is>
          <t>2026-03-21</t>
        </is>
      </c>
      <c r="G170" t="inlineStr">
        <is>
          <t xml:space="preserve"> - Couple Cottage</t>
        </is>
      </c>
      <c r="H170">
        <f>HYPERLINK("https://booking.roadsurfer.com/es/rally/pick?pickup_date=2026-03-14&amp;return_date=2026-03-21&amp;currency=EUR&amp;startStation=42&amp;endStation=4",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Ulm</t>
        </is>
      </c>
      <c r="E171" t="inlineStr">
        <is>
          <t>2026-03-18</t>
        </is>
      </c>
      <c r="F171" t="inlineStr">
        <is>
          <t>2026-03-25</t>
        </is>
      </c>
      <c r="G171" t="inlineStr">
        <is>
          <t xml:space="preserve"> - Road House</t>
        </is>
      </c>
      <c r="H171">
        <f>HYPERLINK("https://booking.roadsurfer.com/es/rally/pick?pickup_date=2026-03-18&amp;return_date=2026-03-25&amp;currency=EUR&amp;startStation=42&amp;endStation=112",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Duisburgo</t>
        </is>
      </c>
      <c r="E172" t="inlineStr">
        <is>
          <t>2026-03-13</t>
        </is>
      </c>
      <c r="F172" t="inlineStr">
        <is>
          <t>2026-03-20</t>
        </is>
      </c>
      <c r="G172" t="inlineStr">
        <is>
          <t xml:space="preserve"> - Road House</t>
        </is>
      </c>
      <c r="H172">
        <f>HYPERLINK("https://booking.roadsurfer.com/es/rally/pick?pickup_date=2026-03-13&amp;return_date=2026-03-20&amp;currency=EUR&amp;startStation=42&amp;endStation=113",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Duisburgo</t>
        </is>
      </c>
      <c r="E173" t="inlineStr">
        <is>
          <t>2026-03-17</t>
        </is>
      </c>
      <c r="F173" t="inlineStr">
        <is>
          <t>2026-03-24</t>
        </is>
      </c>
      <c r="G173" t="inlineStr">
        <is>
          <t xml:space="preserve"> - Beach Hostel</t>
        </is>
      </c>
      <c r="H173">
        <f>HYPERLINK("https://booking.roadsurfer.com/es/rally/pick?pickup_date=2026-03-17&amp;return_date=2026-03-24&amp;currency=EUR&amp;startStation=42&amp;endStation=113",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Surfer Suite</t>
        </is>
      </c>
      <c r="H174">
        <f>HYPERLINK("https://booking.roadsurfer.com/es/rally/pick?pickup_date=2026-03-17&amp;return_date=2026-03-24&amp;currency=EUR&amp;startStation=42&amp;endStation=22",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Heidelberg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Beach Hostel</t>
        </is>
      </c>
      <c r="H175">
        <f>HYPERLINK("https://booking.roadsurfer.com/es/rally/pick?pickup_date=2026-03-16&amp;return_date=2026-03-23&amp;currency=EUR&amp;startStation=42&amp;endStation=79",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Italia</t>
        </is>
      </c>
      <c r="D176" t="inlineStr">
        <is>
          <t>Milán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HYPERLINK("https://booking.roadsurfer.com/es/rally/pick?pickup_date=2026-03-07&amp;return_date=2026-03-14&amp;currency=EUR&amp;startStation=52&amp;endStation=34",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Italia</t>
        </is>
      </c>
      <c r="D177" t="inlineStr">
        <is>
          <t>Milán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HYPERLINK("https://booking.roadsurfer.com/es/rally/pick?pickup_date=2026-03-12&amp;return_date=2026-03-19&amp;currency=EUR&amp;startStation=52&amp;endStation=34",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Italia</t>
        </is>
      </c>
      <c r="D178" t="inlineStr">
        <is>
          <t>Milán</t>
        </is>
      </c>
      <c r="E178" t="inlineStr">
        <is>
          <t>2026-03-16</t>
        </is>
      </c>
      <c r="F178" t="inlineStr">
        <is>
          <t>2026-03-23</t>
        </is>
      </c>
      <c r="G178" t="inlineStr">
        <is>
          <t xml:space="preserve"> - Surfer Suite</t>
        </is>
      </c>
      <c r="H178">
        <f>HYPERLINK("https://booking.roadsurfer.com/es/rally/pick?pickup_date=2026-03-16&amp;return_date=2026-03-23&amp;currency=EUR&amp;startStation=52&amp;endStation=34",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Italia</t>
        </is>
      </c>
      <c r="D179" t="inlineStr">
        <is>
          <t>Milán</t>
        </is>
      </c>
      <c r="E179" t="inlineStr">
        <is>
          <t>2026-03-17</t>
        </is>
      </c>
      <c r="F179" t="inlineStr">
        <is>
          <t>2026-03-24</t>
        </is>
      </c>
      <c r="G179" t="inlineStr">
        <is>
          <t xml:space="preserve"> - Surfer Suite</t>
        </is>
      </c>
      <c r="H179">
        <f>HYPERLINK("https://booking.roadsurfer.com/es/rally/pick?pickup_date=2026-03-17&amp;return_date=2026-03-24&amp;currency=EUR&amp;startStation=52&amp;endStation=34",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Italia</t>
        </is>
      </c>
      <c r="D180" t="inlineStr">
        <is>
          <t>Milán</t>
        </is>
      </c>
      <c r="E180" t="inlineStr">
        <is>
          <t>2026-03-08</t>
        </is>
      </c>
      <c r="F180" t="inlineStr">
        <is>
          <t>2026-03-15</t>
        </is>
      </c>
      <c r="G180" t="inlineStr">
        <is>
          <t xml:space="preserve"> - No hay coche</t>
        </is>
      </c>
      <c r="H180">
        <f>HYPERLINK("https://booking.roadsurfer.com/es/rally/pick?pickup_date=2026-03-08&amp;return_date=2026-03-15&amp;currency=EUR&amp;startStation=52&amp;endStation=34",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2026-03-14</t>
        </is>
      </c>
      <c r="F181" t="inlineStr">
        <is>
          <t>2026-03-21</t>
        </is>
      </c>
      <c r="G181" t="inlineStr">
        <is>
          <t xml:space="preserve"> - Surfer Suite - Family Finca</t>
        </is>
      </c>
      <c r="H181">
        <f>HYPERLINK("https://booking.roadsurfer.com/es/rally/pick?pickup_date=2026-03-14&amp;return_date=2026-03-21&amp;currency=EUR&amp;startStation=52&amp;endStation=48",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2026-03-13</t>
        </is>
      </c>
      <c r="F182" t="inlineStr">
        <is>
          <t>2026-03-20</t>
        </is>
      </c>
      <c r="G182" t="inlineStr">
        <is>
          <t xml:space="preserve"> - SURFER SUITE</t>
        </is>
      </c>
      <c r="H182">
        <f>HYPERLINK("https://booking.roadsurfer.com/es/rally/pick?pickup_date=2026-03-13&amp;return_date=2026-03-20&amp;currency=EUR&amp;startStation=52&amp;endStation=48",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Surfer Suite - Beach Hostel</t>
        </is>
      </c>
      <c r="H183">
        <f>HYPERLINK("https://booking.roadsurfer.com/es/rally/pick?pickup_date=2026-03-16&amp;return_date=2026-03-23&amp;currency=EUR&amp;startStation=52&amp;endStation=48",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2026-03-15</t>
        </is>
      </c>
      <c r="F184" t="inlineStr">
        <is>
          <t>2026-03-22</t>
        </is>
      </c>
      <c r="G184" t="inlineStr">
        <is>
          <t xml:space="preserve"> - No hay coche</t>
        </is>
      </c>
      <c r="H184">
        <f>HYPERLINK("https://booking.roadsurfer.com/es/rally/pick?pickup_date=2026-03-15&amp;return_date=2026-03-22&amp;currency=EUR&amp;startStation=52&amp;endStation=48",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Camper Cabin Deluxe</t>
        </is>
      </c>
      <c r="H185">
        <f>HYPERLINK("https://booking.roadsurfer.com/es/rally/pick?pickup_date=2026-03-09&amp;return_date=2026-03-16&amp;currency=EUR&amp;startStation=52&amp;endStation=48",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2026-03-13</t>
        </is>
      </c>
      <c r="F186" t="inlineStr">
        <is>
          <t>2026-03-20</t>
        </is>
      </c>
      <c r="G186" t="inlineStr">
        <is>
          <t xml:space="preserve"> - Beach Hostel</t>
        </is>
      </c>
      <c r="H186">
        <f>HYPERLINK("https://booking.roadsurfer.com/es/rally/pick?pickup_date=2026-03-13&amp;return_date=2026-03-20&amp;currency=EUR&amp;startStation=52&amp;endStation=42",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Camper Cabin</t>
        </is>
      </c>
      <c r="H187">
        <f>HYPERLINK("https://booking.roadsurfer.com/es/rally/pick?pickup_date=2026-03-16&amp;return_date=2026-03-23&amp;currency=EUR&amp;startStation=52&amp;endStation=47",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2026-03-17</t>
        </is>
      </c>
      <c r="F188" t="inlineStr">
        <is>
          <t>2026-03-24</t>
        </is>
      </c>
      <c r="G188" t="inlineStr">
        <is>
          <t xml:space="preserve"> - Beach Hostel</t>
        </is>
      </c>
      <c r="H188">
        <f>HYPERLINK("https://booking.roadsurfer.com/es/rally/pick?pickup_date=2026-03-17&amp;return_date=2026-03-24&amp;currency=EUR&amp;startStation=52&amp;endStation=47",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Italia</t>
        </is>
      </c>
      <c r="D189" t="inlineStr">
        <is>
          <t>Bérgamo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Beach Hostel</t>
        </is>
      </c>
      <c r="H189">
        <f>HYPERLINK("https://booking.roadsurfer.com/es/rally/pick?pickup_date=2026-03-09&amp;return_date=2026-03-16&amp;currency=EUR&amp;startStation=52&amp;endStation=94",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Países Bajos</t>
        </is>
      </c>
      <c r="D190" t="inlineStr">
        <is>
          <t>Ámsterdam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Road House</t>
        </is>
      </c>
      <c r="H190">
        <f>HYPERLINK("https://booking.roadsurfer.com/es/rally/pick?pickup_date=2026-03-16&amp;return_date=2026-03-23&amp;currency=EUR&amp;startStation=52&amp;endStation=32",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2026-03-02</t>
        </is>
      </c>
      <c r="F191" t="inlineStr">
        <is>
          <t>2026-03-09</t>
        </is>
      </c>
      <c r="G191" t="inlineStr">
        <is>
          <t xml:space="preserve"> - Road House</t>
        </is>
      </c>
      <c r="H191">
        <f>HYPERLINK("https://booking.roadsurfer.com/es/rally/pick?pickup_date=2026-03-02&amp;return_date=2026-03-09&amp;currency=EUR&amp;startStation=52&amp;endStation=29",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2026-03-13</t>
        </is>
      </c>
      <c r="F192" t="inlineStr">
        <is>
          <t>2026-03-23</t>
        </is>
      </c>
      <c r="G192" t="inlineStr">
        <is>
          <t xml:space="preserve"> - Family Finca</t>
        </is>
      </c>
      <c r="H192">
        <f>HYPERLINK("https://booking.roadsurfer.com/es/rally/pick?pickup_date=2026-03-13&amp;return_date=2026-03-23&amp;currency=EUR&amp;startStation=52&amp;endStation=31",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Aix-Marsella</t>
        </is>
      </c>
      <c r="E193" t="inlineStr">
        <is>
          <t>2026-03-12</t>
        </is>
      </c>
      <c r="F193" t="inlineStr">
        <is>
          <t>2026-03-19</t>
        </is>
      </c>
      <c r="G193" t="inlineStr">
        <is>
          <t xml:space="preserve"> - Family Finca</t>
        </is>
      </c>
      <c r="H193">
        <f>HYPERLINK("https://booking.roadsurfer.com/es/rally/pick?pickup_date=2026-03-12&amp;return_date=2026-03-19&amp;currency=EUR&amp;startStation=52&amp;endStation=16",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2026-03-19</t>
        </is>
      </c>
      <c r="F194" t="inlineStr">
        <is>
          <t>2026-03-26</t>
        </is>
      </c>
      <c r="G194" t="inlineStr">
        <is>
          <t xml:space="preserve"> - Family Finca</t>
        </is>
      </c>
      <c r="H194">
        <f>HYPERLINK("https://booking.roadsurfer.com/es/rally/pick?pickup_date=2026-03-19&amp;return_date=2026-03-26&amp;currency=EUR&amp;startStation=52&amp;endStation=12",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2026-03-13</t>
        </is>
      </c>
      <c r="F195" t="inlineStr">
        <is>
          <t>2026-03-20</t>
        </is>
      </c>
      <c r="G195" t="inlineStr">
        <is>
          <t xml:space="preserve"> - FAMILY FINCA</t>
        </is>
      </c>
      <c r="H195">
        <f>HYPERLINK("https://booking.roadsurfer.com/es/rally/pick?pickup_date=2026-03-13&amp;return_date=2026-03-20&amp;currency=EUR&amp;startStation=52&amp;endStation=20",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Surfer Suite</t>
        </is>
      </c>
      <c r="H196">
        <f>HYPERLINK("https://booking.roadsurfer.com/es/rally/pick?pickup_date=2026-03-09&amp;return_date=2026-03-16&amp;currency=EUR&amp;startStation=4&amp;endStation=32",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2026-03-02</t>
        </is>
      </c>
      <c r="F197" t="inlineStr">
        <is>
          <t>2026-03-09</t>
        </is>
      </c>
      <c r="G197" t="inlineStr">
        <is>
          <t xml:space="preserve"> - No hay coche</t>
        </is>
      </c>
      <c r="H197">
        <f>HYPERLINK("https://booking.roadsurfer.com/es/rally/pick?pickup_date=2026-03-02&amp;return_date=2026-03-09&amp;currency=EUR&amp;startStation=4&amp;endStation=32",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2026-03-18</t>
        </is>
      </c>
      <c r="F198" t="inlineStr">
        <is>
          <t>2026-03-25</t>
        </is>
      </c>
      <c r="G198" t="inlineStr">
        <is>
          <t xml:space="preserve"> - Couple Cottage</t>
        </is>
      </c>
      <c r="H198">
        <f>HYPERLINK("https://booking.roadsurfer.com/es/rally/pick?pickup_date=2026-03-18&amp;return_date=2026-03-25&amp;currency=EUR&amp;startStation=4&amp;endStation=33",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Camper Cabin Deluxe</t>
        </is>
      </c>
      <c r="H199">
        <f>HYPERLINK("https://booking.roadsurfer.com/es/rally/pick?pickup_date=2026-03-13&amp;return_date=2026-03-20&amp;currency=EUR&amp;startStation=4&amp;endStation=33",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CAMPER CABIN DELUXE</t>
        </is>
      </c>
      <c r="H200">
        <f>HYPERLINK("https://booking.roadsurfer.com/es/rally/pick?pickup_date=2026-03-09&amp;return_date=2026-03-16&amp;currency=EUR&amp;startStation=4&amp;endStation=33",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Alemania</t>
        </is>
      </c>
      <c r="D201" t="inlineStr">
        <is>
          <t>Núremberg</t>
        </is>
      </c>
      <c r="E201" t="inlineStr">
        <is>
          <t>2026-03-16</t>
        </is>
      </c>
      <c r="F201" t="inlineStr">
        <is>
          <t>2026-03-23</t>
        </is>
      </c>
      <c r="G201" t="inlineStr">
        <is>
          <t xml:space="preserve"> - Camper Cabin Deluxe</t>
        </is>
      </c>
      <c r="H201">
        <f>HYPERLINK("https://booking.roadsurfer.com/es/rally/pick?pickup_date=2026-03-16&amp;return_date=2026-03-23&amp;currency=EUR&amp;startStation=4&amp;endStation=11",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2026-03-13</t>
        </is>
      </c>
      <c r="F202" t="inlineStr">
        <is>
          <t>2026-03-20</t>
        </is>
      </c>
      <c r="G202" t="inlineStr">
        <is>
          <t xml:space="preserve"> - Travel Home</t>
        </is>
      </c>
      <c r="H202">
        <f>HYPERLINK("https://booking.roadsurfer.com/es/rally/pick?pickup_date=2026-03-13&amp;return_date=2026-03-20&amp;currency=EUR&amp;startStation=4&amp;endStation=13",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2026-03-07</t>
        </is>
      </c>
      <c r="F203" t="inlineStr">
        <is>
          <t>2026-03-14</t>
        </is>
      </c>
      <c r="G203" t="inlineStr">
        <is>
          <t xml:space="preserve"> - Road House</t>
        </is>
      </c>
      <c r="H203">
        <f>HYPERLINK("https://booking.roadsurfer.com/es/rally/pick?pickup_date=2026-03-07&amp;return_date=2026-03-14&amp;currency=EUR&amp;startStation=4&amp;endStation=13",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2026-03-12</t>
        </is>
      </c>
      <c r="F204" t="inlineStr">
        <is>
          <t>2026-03-19</t>
        </is>
      </c>
      <c r="G204" t="inlineStr">
        <is>
          <t xml:space="preserve"> - Camper Castle</t>
        </is>
      </c>
      <c r="H204">
        <f>HYPERLINK("https://booking.roadsurfer.com/es/rally/pick?pickup_date=2026-03-12&amp;return_date=2026-03-19&amp;currency=EUR&amp;startStation=4&amp;endStation=13",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2026-03-04</t>
        </is>
      </c>
      <c r="F205" t="inlineStr">
        <is>
          <t>2026-03-14</t>
        </is>
      </c>
      <c r="G205" t="inlineStr">
        <is>
          <t xml:space="preserve"> - Surfer Suite</t>
        </is>
      </c>
      <c r="H205">
        <f>HYPERLINK("https://booking.roadsurfer.com/es/rally/pick?pickup_date=2026-03-04&amp;return_date=2026-03-14&amp;currency=EUR&amp;startStation=4&amp;endStation=31",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2026-03-16</t>
        </is>
      </c>
      <c r="F206" t="inlineStr">
        <is>
          <t>2026-03-26</t>
        </is>
      </c>
      <c r="G206" t="inlineStr">
        <is>
          <t xml:space="preserve"> - Surfer Suite</t>
        </is>
      </c>
      <c r="H206">
        <f>HYPERLINK("https://booking.roadsurfer.com/es/rally/pick?pickup_date=2026-03-16&amp;return_date=2026-03-26&amp;currency=EUR&amp;startStation=4&amp;endStation=31",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2026-03-13</t>
        </is>
      </c>
      <c r="F207" t="inlineStr">
        <is>
          <t>2026-03-23</t>
        </is>
      </c>
      <c r="G207" t="inlineStr">
        <is>
          <t xml:space="preserve"> - Surfer Suite</t>
        </is>
      </c>
      <c r="H207">
        <f>HYPERLINK("https://booking.roadsurfer.com/es/rally/pick?pickup_date=2026-03-13&amp;return_date=2026-03-23&amp;currency=EUR&amp;startStation=4&amp;endStation=31",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Road House - Family Finca</t>
        </is>
      </c>
      <c r="H208">
        <f>HYPERLINK("https://booking.roadsurfer.com/es/rally/pick?pickup_date=2026-03-13&amp;return_date=2026-03-20&amp;currency=EUR&amp;startStation=4&amp;endStation=47",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Family Finca</t>
        </is>
      </c>
      <c r="H209">
        <f>HYPERLINK("https://booking.roadsurfer.com/es/rally/pick?pickup_date=2026-03-14&amp;return_date=2026-03-21&amp;currency=EUR&amp;startStation=4&amp;endStation=47",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2026-03-15</t>
        </is>
      </c>
      <c r="F210" t="inlineStr">
        <is>
          <t>2026-03-22</t>
        </is>
      </c>
      <c r="G210" t="inlineStr">
        <is>
          <t xml:space="preserve"> - No hay coche</t>
        </is>
      </c>
      <c r="H210">
        <f>HYPERLINK("https://booking.roadsurfer.com/es/rally/pick?pickup_date=2026-03-15&amp;return_date=2026-03-22&amp;currency=EUR&amp;startStation=4&amp;endStation=47",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Family Finca</t>
        </is>
      </c>
      <c r="H211">
        <f>HYPERLINK("https://booking.roadsurfer.com/es/rally/pick?pickup_date=2026-03-16&amp;return_date=2026-03-23&amp;currency=EUR&amp;startStation=4&amp;endStation=47",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Family Finca</t>
        </is>
      </c>
      <c r="H212">
        <f>HYPERLINK("https://booking.roadsurfer.com/es/rally/pick?pickup_date=2026-03-13&amp;return_date=2026-03-20&amp;currency=EUR&amp;startStation=4&amp;endStation=29",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HYPERLINK("https://booking.roadsurfer.com/es/rally/pick?pickup_date=2026-03-15&amp;return_date=2026-03-22&amp;currency=EUR&amp;startStation=4&amp;endStation=29",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FAMILY FINCA</t>
        </is>
      </c>
      <c r="H214">
        <f>HYPERLINK("https://booking.roadsurfer.com/es/rally/pick?pickup_date=2026-03-16&amp;return_date=2026-03-23&amp;currency=EUR&amp;startStation=4&amp;endStation=29",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Camper Cabin Deluxe</t>
        </is>
      </c>
      <c r="H215">
        <f>HYPERLINK("https://booking.roadsurfer.com/es/rally/pick?pickup_date=2026-03-16&amp;return_date=2026-03-23&amp;currency=EUR&amp;startStation=4&amp;endStation=48",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Alemania</t>
        </is>
      </c>
      <c r="D216" t="inlineStr">
        <is>
          <t>Hamburgo Aeropuerto</t>
        </is>
      </c>
      <c r="E216" t="inlineStr">
        <is>
          <t>2026-03-06</t>
        </is>
      </c>
      <c r="F216" t="inlineStr">
        <is>
          <t>2026-03-13</t>
        </is>
      </c>
      <c r="G216" t="inlineStr">
        <is>
          <t xml:space="preserve"> - Family Finca</t>
        </is>
      </c>
      <c r="H216">
        <f>HYPERLINK("https://booking.roadsurfer.com/es/rally/pick?pickup_date=2026-03-06&amp;return_date=2026-03-13&amp;currency=EUR&amp;startStation=4&amp;endStation=65",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2026-03-05</t>
        </is>
      </c>
      <c r="F217" t="inlineStr">
        <is>
          <t>2026-03-12</t>
        </is>
      </c>
      <c r="G217" t="inlineStr">
        <is>
          <t xml:space="preserve"> - Camper Castle</t>
        </is>
      </c>
      <c r="H217">
        <f>HYPERLINK("https://booking.roadsurfer.com/es/rally/pick?pickup_date=2026-03-05&amp;return_date=2026-03-12&amp;currency=EUR&amp;startStation=4&amp;endStation=30",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Italia</t>
        </is>
      </c>
      <c r="D218" t="inlineStr">
        <is>
          <t>Turín</t>
        </is>
      </c>
      <c r="E218" t="inlineStr">
        <is>
          <t>2026-03-13</t>
        </is>
      </c>
      <c r="F218" t="inlineStr">
        <is>
          <t>2026-03-23</t>
        </is>
      </c>
      <c r="G218" t="inlineStr">
        <is>
          <t xml:space="preserve"> - Beach Hostel</t>
        </is>
      </c>
      <c r="H218">
        <f>HYPERLINK("https://booking.roadsurfer.com/es/rally/pick?pickup_date=2026-03-13&amp;return_date=2026-03-23&amp;currency=EUR&amp;startStation=10&amp;endStation=58",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2026-03-12</t>
        </is>
      </c>
      <c r="F219" t="inlineStr">
        <is>
          <t>2026-03-19</t>
        </is>
      </c>
      <c r="G219" t="inlineStr">
        <is>
          <t xml:space="preserve"> - ROAD HOUSE</t>
        </is>
      </c>
      <c r="H219">
        <f>HYPERLINK("https://booking.roadsurfer.com/es/rally/pick?pickup_date=2026-03-12&amp;return_date=2026-03-19&amp;currency=EUR&amp;startStation=10&amp;endStation=40",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Family Finca</t>
        </is>
      </c>
      <c r="H220">
        <f>HYPERLINK("https://booking.roadsurfer.com/es/rally/pick?pickup_date=2026-03-13&amp;return_date=2026-03-20&amp;currency=EUR&amp;startStation=10&amp;endStation=40",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Family Finca</t>
        </is>
      </c>
      <c r="H221">
        <f>HYPERLINK("https://booking.roadsurfer.com/es/rally/pick?pickup_date=2026-03-16&amp;return_date=2026-03-23&amp;currency=EUR&amp;startStation=10&amp;endStation=40",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2026-03-14</t>
        </is>
      </c>
      <c r="F222" t="inlineStr">
        <is>
          <t>2026-03-21</t>
        </is>
      </c>
      <c r="G222" t="inlineStr">
        <is>
          <t xml:space="preserve"> - Road House</t>
        </is>
      </c>
      <c r="H222">
        <f>HYPERLINK("https://booking.roadsurfer.com/es/rally/pick?pickup_date=2026-03-14&amp;return_date=2026-03-21&amp;currency=EUR&amp;startStation=10&amp;endStation=15",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Road House</t>
        </is>
      </c>
      <c r="H223">
        <f>HYPERLINK("https://booking.roadsurfer.com/es/rally/pick?pickup_date=2026-03-19&amp;return_date=2026-03-26&amp;currency=EUR&amp;startStation=10&amp;endStation=15",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Camper Cabin Deluxe</t>
        </is>
      </c>
      <c r="H224">
        <f>HYPERLINK("https://booking.roadsurfer.com/es/rally/pick?pickup_date=2026-03-13&amp;return_date=2026-03-20&amp;currency=EUR&amp;startStation=10&amp;endStation=45",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2026-03-05</t>
        </is>
      </c>
      <c r="F225" t="inlineStr">
        <is>
          <t>2026-03-12</t>
        </is>
      </c>
      <c r="G225" t="inlineStr">
        <is>
          <t xml:space="preserve"> - Surfer Suite</t>
        </is>
      </c>
      <c r="H225">
        <f>HYPERLINK("https://booking.roadsurfer.com/es/rally/pick?pickup_date=2026-03-05&amp;return_date=2026-03-12&amp;currency=EUR&amp;startStation=10&amp;endStation=45",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Surfer Suite</t>
        </is>
      </c>
      <c r="H226">
        <f>HYPERLINK("https://booking.roadsurfer.com/es/rally/pick?pickup_date=2026-03-16&amp;return_date=2026-03-23&amp;currency=EUR&amp;startStation=10&amp;endStation=45",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2026-03-17</t>
        </is>
      </c>
      <c r="F227" t="inlineStr">
        <is>
          <t>2026-03-27</t>
        </is>
      </c>
      <c r="G227" t="inlineStr">
        <is>
          <t xml:space="preserve"> - Couple Cottage</t>
        </is>
      </c>
      <c r="H227">
        <f>HYPERLINK("https://booking.roadsurfer.com/es/rally/pick?pickup_date=2026-03-17&amp;return_date=2026-03-27&amp;currency=EUR&amp;startStation=10&amp;endStation=57", "Clic para verlo en la web de RoadSurfer")</f>
        <v/>
      </c>
    </row>
    <row r="228">
      <c r="A228" t="inlineStr">
        <is>
          <t>Alemania</t>
        </is>
      </c>
      <c r="B228" t="inlineStr">
        <is>
          <t>Constanza (Aach)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2026-03-16</t>
        </is>
      </c>
      <c r="F228" t="inlineStr">
        <is>
          <t>2026-03-23</t>
        </is>
      </c>
      <c r="G228" t="inlineStr">
        <is>
          <t xml:space="preserve"> - Surfer Suite</t>
        </is>
      </c>
      <c r="H228">
        <f>HYPERLINK("https://booking.roadsurfer.com/es/rally/pick?pickup_date=2026-03-16&amp;return_date=2026-03-23&amp;currency=EUR&amp;startStation=10&amp;endStation=32", "Clic para verlo en la web de RoadSurfer")</f>
        <v/>
      </c>
    </row>
    <row r="229">
      <c r="A229" t="inlineStr">
        <is>
          <t>Alemania</t>
        </is>
      </c>
      <c r="B229" t="inlineStr">
        <is>
          <t>Constanza (Aach)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COZY COTTAGE</t>
        </is>
      </c>
      <c r="H229">
        <f>HYPERLINK("https://booking.roadsurfer.com/es/rally/pick?pickup_date=2026-03-16&amp;return_date=2026-03-23&amp;currency=EUR&amp;startStation=10&amp;endStation=48", "Clic para verlo en la web de RoadSurfer")</f>
        <v/>
      </c>
    </row>
    <row r="230">
      <c r="A230" t="inlineStr">
        <is>
          <t>Alemania</t>
        </is>
      </c>
      <c r="B230" t="inlineStr">
        <is>
          <t>Constanza (Aach)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2026-03-30</t>
        </is>
      </c>
      <c r="F230" t="inlineStr">
        <is>
          <t>2026-04-06</t>
        </is>
      </c>
      <c r="G230" t="inlineStr">
        <is>
          <t xml:space="preserve"> - No hay coche</t>
        </is>
      </c>
      <c r="H230">
        <f>HYPERLINK("https://booking.roadsurfer.com/es/rally/pick?pickup_date=2026-03-30&amp;return_date=2026-04-06&amp;currency=EUR&amp;startStation=10&amp;endStation=52",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2026-03-13</t>
        </is>
      </c>
      <c r="F231" t="inlineStr">
        <is>
          <t>2026-03-23</t>
        </is>
      </c>
      <c r="G231" t="inlineStr">
        <is>
          <t xml:space="preserve"> - Family Finca</t>
        </is>
      </c>
      <c r="H231">
        <f>HYPERLINK("https://booking.roadsurfer.com/es/rally/pick?pickup_date=2026-03-13&amp;return_date=2026-03-23&amp;currency=EUR&amp;startStation=56&amp;endStation=77",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2026-03-13</t>
        </is>
      </c>
      <c r="F232" t="inlineStr">
        <is>
          <t>2026-03-23</t>
        </is>
      </c>
      <c r="G232" t="inlineStr">
        <is>
          <t xml:space="preserve"> - Road House</t>
        </is>
      </c>
      <c r="H232">
        <f>HYPERLINK("https://booking.roadsurfer.com/es/rally/pick?pickup_date=2026-03-13&amp;return_date=2026-03-23&amp;currency=EUR&amp;startStation=56&amp;endStation=59",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2026-03-07</t>
        </is>
      </c>
      <c r="F233" t="inlineStr">
        <is>
          <t>2026-03-17</t>
        </is>
      </c>
      <c r="G233" t="inlineStr">
        <is>
          <t xml:space="preserve"> - Road House</t>
        </is>
      </c>
      <c r="H233">
        <f>HYPERLINK("https://booking.roadsurfer.com/es/rally/pick?pickup_date=2026-03-07&amp;return_date=2026-03-17&amp;currency=EUR&amp;startStation=56&amp;endStation=59",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2026-03-17</t>
        </is>
      </c>
      <c r="F234" t="inlineStr">
        <is>
          <t>2026-03-27</t>
        </is>
      </c>
      <c r="G234" t="inlineStr">
        <is>
          <t xml:space="preserve"> - Road House</t>
        </is>
      </c>
      <c r="H234">
        <f>HYPERLINK("https://booking.roadsurfer.com/es/rally/pick?pickup_date=2026-03-17&amp;return_date=2026-03-27&amp;currency=EUR&amp;startStation=56&amp;endStation=59",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2026-03-06</t>
        </is>
      </c>
      <c r="F235" t="inlineStr">
        <is>
          <t>2026-03-16</t>
        </is>
      </c>
      <c r="G235" t="inlineStr">
        <is>
          <t xml:space="preserve"> - Camper Cabin</t>
        </is>
      </c>
      <c r="H235">
        <f>HYPERLINK("https://booking.roadsurfer.com/es/rally/pick?pickup_date=2026-03-06&amp;return_date=2026-03-16&amp;currency=EUR&amp;startStation=56&amp;endStation=37",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2026-03-15</t>
        </is>
      </c>
      <c r="F236" t="inlineStr">
        <is>
          <t>2026-03-22</t>
        </is>
      </c>
      <c r="G236" t="inlineStr">
        <is>
          <t xml:space="preserve"> - No hay coche</t>
        </is>
      </c>
      <c r="H236">
        <f>HYPERLINK("https://booking.roadsurfer.com/es/rally/pick?pickup_date=2026-03-15&amp;return_date=2026-03-22&amp;currency=EUR&amp;startStation=56&amp;endStation=37",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Camper Castle</t>
        </is>
      </c>
      <c r="H237">
        <f>HYPERLINK("https://booking.roadsurfer.com/es/rally/pick?pickup_date=2026-04-13&amp;return_date=2026-04-20&amp;currency=EUR&amp;startStation=56&amp;endStation=37",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2026-03-17</t>
        </is>
      </c>
      <c r="F238" t="inlineStr">
        <is>
          <t>2026-03-24</t>
        </is>
      </c>
      <c r="G238" t="inlineStr">
        <is>
          <t xml:space="preserve"> - Road House</t>
        </is>
      </c>
      <c r="H238">
        <f>HYPERLINK("https://booking.roadsurfer.com/es/rally/pick?pickup_date=2026-03-17&amp;return_date=2026-03-24&amp;currency=EUR&amp;startStation=56&amp;endStation=37",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2026-03-10</t>
        </is>
      </c>
      <c r="F239" t="inlineStr">
        <is>
          <t>2026-03-20</t>
        </is>
      </c>
      <c r="G239" t="inlineStr">
        <is>
          <t xml:space="preserve"> - Road House</t>
        </is>
      </c>
      <c r="H239">
        <f>HYPERLINK("https://booking.roadsurfer.com/es/rally/pick?pickup_date=2026-03-10&amp;return_date=2026-03-20&amp;currency=EUR&amp;startStation=56&amp;endStation=37",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Camper Castle</t>
        </is>
      </c>
      <c r="H240">
        <f>HYPERLINK("https://booking.roadsurfer.com/es/rally/pick?pickup_date=2026-03-02&amp;return_date=2026-03-09&amp;currency=EUR&amp;startStation=56&amp;endStation=33",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2026-03-05</t>
        </is>
      </c>
      <c r="F241" t="inlineStr">
        <is>
          <t>2026-03-12</t>
        </is>
      </c>
      <c r="G241" t="inlineStr">
        <is>
          <t xml:space="preserve"> - Surfer Suite</t>
        </is>
      </c>
      <c r="H241">
        <f>HYPERLINK("https://booking.roadsurfer.com/es/rally/pick?pickup_date=2026-03-05&amp;return_date=2026-03-12&amp;currency=EUR&amp;startStation=56&amp;endStation=33",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2026-03-23</t>
        </is>
      </c>
      <c r="G242" t="inlineStr">
        <is>
          <t xml:space="preserve"> - Road House</t>
        </is>
      </c>
      <c r="H242">
        <f>HYPERLINK("https://booking.roadsurfer.com/es/rally/pick?pickup_date=2026-03-13&amp;return_date=2026-03-23&amp;currency=EUR&amp;startStation=56&amp;endStation=33",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2026-03-17</t>
        </is>
      </c>
      <c r="F243" t="inlineStr">
        <is>
          <t>2026-03-24</t>
        </is>
      </c>
      <c r="G243" t="inlineStr">
        <is>
          <t xml:space="preserve"> - Surfer Suite</t>
        </is>
      </c>
      <c r="H243">
        <f>HYPERLINK("https://booking.roadsurfer.com/es/rally/pick?pickup_date=2026-03-17&amp;return_date=2026-03-24&amp;currency=EUR&amp;startStation=56&amp;endStation=32",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2026-03-15</t>
        </is>
      </c>
      <c r="F244" t="inlineStr">
        <is>
          <t>2026-03-22</t>
        </is>
      </c>
      <c r="G244" t="inlineStr">
        <is>
          <t xml:space="preserve"> - No hay coche</t>
        </is>
      </c>
      <c r="H244">
        <f>HYPERLINK("https://booking.roadsurfer.com/es/rally/pick?pickup_date=2026-03-15&amp;return_date=2026-03-22&amp;currency=EUR&amp;startStation=56&amp;endStation=32",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Beach Hostel</t>
        </is>
      </c>
      <c r="H245">
        <f>HYPERLINK("https://booking.roadsurfer.com/es/rally/pick?pickup_date=2026-03-09&amp;return_date=2026-03-16&amp;currency=EUR&amp;startStation=56&amp;endStation=11",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Road House</t>
        </is>
      </c>
      <c r="H246">
        <f>HYPERLINK("https://booking.roadsurfer.com/es/rally/pick?pickup_date=2026-03-13&amp;return_date=2026-03-20&amp;currency=EUR&amp;startStation=56&amp;endStation=42",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Francia</t>
        </is>
      </c>
      <c r="D247" t="inlineStr">
        <is>
          <t>Lille</t>
        </is>
      </c>
      <c r="E247" t="inlineStr">
        <is>
          <t>2026-03-18</t>
        </is>
      </c>
      <c r="F247" t="inlineStr">
        <is>
          <t>2026-03-25</t>
        </is>
      </c>
      <c r="G247" t="inlineStr">
        <is>
          <t xml:space="preserve"> - Surfer Suite</t>
        </is>
      </c>
      <c r="H247">
        <f>HYPERLINK("https://booking.roadsurfer.com/es/rally/pick?pickup_date=2026-03-18&amp;return_date=2026-03-25&amp;currency=EUR&amp;startStation=56&amp;endStation=87",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Travel Home</t>
        </is>
      </c>
      <c r="H248">
        <f>HYPERLINK("https://booking.roadsurfer.com/es/rally/pick?pickup_date=2026-03-14&amp;return_date=2026-03-21&amp;currency=EUR&amp;startStation=56&amp;endStation=12",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HYPERLINK("https://booking.roadsurfer.com/es/rally/pick?pickup_date=2026-03-15&amp;return_date=2026-03-22&amp;currency=EUR&amp;startStation=56&amp;endStation=47",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2026-03-17</t>
        </is>
      </c>
      <c r="F250" t="inlineStr">
        <is>
          <t>2026-03-24</t>
        </is>
      </c>
      <c r="G250" t="inlineStr">
        <is>
          <t xml:space="preserve"> - Surfer Suite</t>
        </is>
      </c>
      <c r="H250">
        <f>HYPERLINK("https://booking.roadsurfer.com/es/rally/pick?pickup_date=2026-03-17&amp;return_date=2026-03-24&amp;currency=EUR&amp;startStation=56&amp;endStation=47",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Road House</t>
        </is>
      </c>
      <c r="H251">
        <f>HYPERLINK("https://booking.roadsurfer.com/es/rally/pick?pickup_date=2026-03-16&amp;return_date=2026-03-23&amp;currency=EUR&amp;startStation=56&amp;endStation=48",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2026-03-02</t>
        </is>
      </c>
      <c r="F252" t="inlineStr">
        <is>
          <t>2026-03-09</t>
        </is>
      </c>
      <c r="G252" t="inlineStr">
        <is>
          <t xml:space="preserve"> - Camper Castle</t>
        </is>
      </c>
      <c r="H252">
        <f>HYPERLINK("https://booking.roadsurfer.com/es/rally/pick?pickup_date=2026-03-02&amp;return_date=2026-03-09&amp;currency=EUR&amp;startStation=56&amp;endStation=45",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Italia</t>
        </is>
      </c>
      <c r="D253" t="inlineStr">
        <is>
          <t>Bolonia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Couple Cottage</t>
        </is>
      </c>
      <c r="H253">
        <f>HYPERLINK("https://booking.roadsurfer.com/es/rally/pick?pickup_date=2026-03-09&amp;return_date=2026-03-16&amp;currency=EUR&amp;startStation=56&amp;endStation=57",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Couple Cottage</t>
        </is>
      </c>
      <c r="H254">
        <f>HYPERLINK("https://booking.roadsurfer.com/es/rally/pick?pickup_date=2026-03-16&amp;return_date=2026-03-23&amp;currency=EUR&amp;startStation=56&amp;endStation=52",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Alemania</t>
        </is>
      </c>
      <c r="D255" t="inlineStr">
        <is>
          <t>Múnich</t>
        </is>
      </c>
      <c r="E255" t="inlineStr">
        <is>
          <t>2026-03-05</t>
        </is>
      </c>
      <c r="F255" t="inlineStr">
        <is>
          <t>2026-03-12</t>
        </is>
      </c>
      <c r="G255" t="inlineStr">
        <is>
          <t xml:space="preserve"> - Sunrise Suite</t>
        </is>
      </c>
      <c r="H255">
        <f>HYPERLINK("https://booking.roadsurfer.com/es/rally/pick?pickup_date=2026-03-05&amp;return_date=2026-03-12&amp;currency=EUR&amp;startStation=56&amp;endStation=1", "Clic para verlo en la web de RoadSurfer")</f>
        <v/>
      </c>
    </row>
    <row r="256">
      <c r="A256" t="inlineStr">
        <is>
          <t>Alemania</t>
        </is>
      </c>
      <c r="B256" t="inlineStr">
        <is>
          <t>Duisburgo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2026-03-13</t>
        </is>
      </c>
      <c r="F256" t="inlineStr">
        <is>
          <t>2026-03-20</t>
        </is>
      </c>
      <c r="G256" t="inlineStr">
        <is>
          <t xml:space="preserve"> - Beach Hostel</t>
        </is>
      </c>
      <c r="H256">
        <f>HYPERLINK("https://booking.roadsurfer.com/es/rally/pick?pickup_date=2026-03-13&amp;return_date=2026-03-20&amp;currency=EUR&amp;startStation=113&amp;endStation=47", "Clic para verlo en la web de RoadSurfer")</f>
        <v/>
      </c>
    </row>
    <row r="257">
      <c r="A257" t="inlineStr">
        <is>
          <t>Alemania</t>
        </is>
      </c>
      <c r="B257" t="inlineStr">
        <is>
          <t>Duisburgo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2026-03-10</t>
        </is>
      </c>
      <c r="F257" t="inlineStr">
        <is>
          <t>2026-03-19</t>
        </is>
      </c>
      <c r="G257" t="inlineStr">
        <is>
          <t xml:space="preserve"> - ROAD HOUSE</t>
        </is>
      </c>
      <c r="H257">
        <f>HYPERLINK("https://booking.roadsurfer.com/es/rally/pick?pickup_date=2026-03-10&amp;return_date=2026-03-19&amp;currency=EUR&amp;startStation=113&amp;endStation=47", "Clic para verlo en la web de RoadSurfer")</f>
        <v/>
      </c>
    </row>
    <row r="258">
      <c r="A258" t="inlineStr">
        <is>
          <t>Alemania</t>
        </is>
      </c>
      <c r="B258" t="inlineStr">
        <is>
          <t>Duisburgo</t>
        </is>
      </c>
      <c r="C258" t="inlineStr">
        <is>
          <t>Bélgica</t>
        </is>
      </c>
      <c r="D258" t="inlineStr">
        <is>
          <t>Bruselas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Road House</t>
        </is>
      </c>
      <c r="H258">
        <f>HYPERLINK("https://booking.roadsurfer.com/es/rally/pick?pickup_date=2026-03-16&amp;return_date=2026-03-23&amp;currency=EUR&amp;startStation=113&amp;endStation=42", "Clic para verlo en la web de RoadSurfer")</f>
        <v/>
      </c>
    </row>
    <row r="259">
      <c r="A259" t="inlineStr">
        <is>
          <t>Alemania</t>
        </is>
      </c>
      <c r="B259" t="inlineStr">
        <is>
          <t>Duisburgo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2026-03-13</t>
        </is>
      </c>
      <c r="F259" t="inlineStr">
        <is>
          <t>2026-03-23</t>
        </is>
      </c>
      <c r="G259" t="inlineStr">
        <is>
          <t xml:space="preserve"> - Surfer Suite</t>
        </is>
      </c>
      <c r="H259">
        <f>HYPERLINK("https://booking.roadsurfer.com/es/rally/pick?pickup_date=2026-03-13&amp;return_date=2026-03-23&amp;currency=EUR&amp;startStation=113&amp;endStation=16", "Clic para verlo en la web de RoadSurfer")</f>
        <v/>
      </c>
    </row>
    <row r="260">
      <c r="A260" t="inlineStr">
        <is>
          <t>Alemania</t>
        </is>
      </c>
      <c r="B260" t="inlineStr">
        <is>
          <t>Duisburgo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2026-03-11</t>
        </is>
      </c>
      <c r="F260" t="inlineStr">
        <is>
          <t>2026-03-21</t>
        </is>
      </c>
      <c r="G260" t="inlineStr">
        <is>
          <t xml:space="preserve"> - Family Finca</t>
        </is>
      </c>
      <c r="H260">
        <f>HYPERLINK("https://booking.roadsurfer.com/es/rally/pick?pickup_date=2026-03-11&amp;return_date=2026-03-21&amp;currency=EUR&amp;startStation=113&amp;endStation=13", "Clic para verlo en la web de RoadSurfer")</f>
        <v/>
      </c>
    </row>
    <row r="261">
      <c r="A261" t="inlineStr">
        <is>
          <t>Alemania</t>
        </is>
      </c>
      <c r="B261" t="inlineStr">
        <is>
          <t>Duisburgo</t>
        </is>
      </c>
      <c r="C261" t="inlineStr">
        <is>
          <t>España</t>
        </is>
      </c>
      <c r="D261" t="inlineStr">
        <is>
          <t>Sevilla</t>
        </is>
      </c>
      <c r="E261" t="inlineStr">
        <is>
          <t>2026-03-06</t>
        </is>
      </c>
      <c r="F261" t="inlineStr">
        <is>
          <t>2026-03-13</t>
        </is>
      </c>
      <c r="G261" t="inlineStr">
        <is>
          <t xml:space="preserve"> - Family Finca</t>
        </is>
      </c>
      <c r="H261">
        <f>HYPERLINK("https://booking.roadsurfer.com/es/rally/pick?pickup_date=2026-03-06&amp;return_date=2026-03-13&amp;currency=EUR&amp;startStation=113&amp;endStation=39", "Clic para verlo en la web de RoadSurfer")</f>
        <v/>
      </c>
    </row>
    <row r="262">
      <c r="A262" t="inlineStr">
        <is>
          <t>Alemania</t>
        </is>
      </c>
      <c r="B262" t="inlineStr">
        <is>
          <t>Duisburgo</t>
        </is>
      </c>
      <c r="C262" t="inlineStr">
        <is>
          <t>Francia</t>
        </is>
      </c>
      <c r="D262" t="inlineStr">
        <is>
          <t>Toulouse</t>
        </is>
      </c>
      <c r="E262" t="inlineStr">
        <is>
          <t>2026-03-16</t>
        </is>
      </c>
      <c r="F262" t="inlineStr">
        <is>
          <t>2026-03-26</t>
        </is>
      </c>
      <c r="G262" t="inlineStr">
        <is>
          <t xml:space="preserve"> - Road House</t>
        </is>
      </c>
      <c r="H262">
        <f>HYPERLINK("https://booking.roadsurfer.com/es/rally/pick?pickup_date=2026-03-16&amp;return_date=2026-03-26&amp;currency=EUR&amp;startStation=113&amp;endStation=30", "Clic para verlo en la web de RoadSurfer")</f>
        <v/>
      </c>
    </row>
    <row r="263">
      <c r="A263" t="inlineStr">
        <is>
          <t>Alemania</t>
        </is>
      </c>
      <c r="B263" t="inlineStr">
        <is>
          <t>Duisburgo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2026-03-14</t>
        </is>
      </c>
      <c r="F263" t="inlineStr">
        <is>
          <t>2026-03-21</t>
        </is>
      </c>
      <c r="G263" t="inlineStr">
        <is>
          <t xml:space="preserve"> - ROAD HOUSE - Family Finca</t>
        </is>
      </c>
      <c r="H263">
        <f>HYPERLINK("https://booking.roadsurfer.com/es/rally/pick?pickup_date=2026-03-14&amp;return_date=2026-03-21&amp;currency=EUR&amp;startStation=113&amp;endStation=30", "Clic para verlo en la web de RoadSurfer")</f>
        <v/>
      </c>
    </row>
    <row r="264">
      <c r="A264" t="inlineStr">
        <is>
          <t>Alemania</t>
        </is>
      </c>
      <c r="B264" t="inlineStr">
        <is>
          <t>Duisburgo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2026-03-13</t>
        </is>
      </c>
      <c r="F264" t="inlineStr">
        <is>
          <t>2026-03-23</t>
        </is>
      </c>
      <c r="G264" t="inlineStr">
        <is>
          <t xml:space="preserve"> - ROAD HOUSE - Family Finca</t>
        </is>
      </c>
      <c r="H264">
        <f>HYPERLINK("https://booking.roadsurfer.com/es/rally/pick?pickup_date=2026-03-13&amp;return_date=2026-03-23&amp;currency=EUR&amp;startStation=113&amp;endStation=30", "Clic para verlo en la web de RoadSurfer")</f>
        <v/>
      </c>
    </row>
    <row r="265">
      <c r="A265" t="inlineStr">
        <is>
          <t>Alemania</t>
        </is>
      </c>
      <c r="B265" t="inlineStr">
        <is>
          <t>Duisburgo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2026-03-03</t>
        </is>
      </c>
      <c r="F265" t="inlineStr">
        <is>
          <t>2026-03-10</t>
        </is>
      </c>
      <c r="G265" t="inlineStr">
        <is>
          <t xml:space="preserve"> - Road House</t>
        </is>
      </c>
      <c r="H265">
        <f>HYPERLINK("https://booking.roadsurfer.com/es/rally/pick?pickup_date=2026-03-03&amp;return_date=2026-03-10&amp;currency=EUR&amp;startStation=113&amp;endStation=33", "Clic para verlo en la web de RoadSurfer")</f>
        <v/>
      </c>
    </row>
    <row r="266">
      <c r="A266" t="inlineStr">
        <is>
          <t>Alemania</t>
        </is>
      </c>
      <c r="B266" t="inlineStr">
        <is>
          <t>Duisburgo</t>
        </is>
      </c>
      <c r="C266" t="inlineStr">
        <is>
          <t>Países Bajos</t>
        </is>
      </c>
      <c r="D266" t="inlineStr">
        <is>
          <t>Ámsterdam</t>
        </is>
      </c>
      <c r="E266" t="inlineStr">
        <is>
          <t>2026-03-03</t>
        </is>
      </c>
      <c r="F266" t="inlineStr">
        <is>
          <t>2026-03-09</t>
        </is>
      </c>
      <c r="G266" t="inlineStr">
        <is>
          <t xml:space="preserve"> - Camper Cabin</t>
        </is>
      </c>
      <c r="H266">
        <f>HYPERLINK("https://booking.roadsurfer.com/es/rally/pick?pickup_date=2026-03-03&amp;return_date=2026-03-09&amp;currency=EUR&amp;startStation=113&amp;endStation=32", "Clic para verlo en la web de RoadSurfer")</f>
        <v/>
      </c>
    </row>
    <row r="267">
      <c r="A267" t="inlineStr">
        <is>
          <t>Alemania</t>
        </is>
      </c>
      <c r="B267" t="inlineStr">
        <is>
          <t>Duisburgo</t>
        </is>
      </c>
      <c r="C267" t="inlineStr">
        <is>
          <t>Países Bajos</t>
        </is>
      </c>
      <c r="D267" t="inlineStr">
        <is>
          <t>Ámsterdam</t>
        </is>
      </c>
      <c r="E267" t="inlineStr">
        <is>
          <t>2026-03-04</t>
        </is>
      </c>
      <c r="F267" t="inlineStr">
        <is>
          <t>2026-03-11</t>
        </is>
      </c>
      <c r="G267" t="inlineStr">
        <is>
          <t xml:space="preserve"> - Surfer Suite</t>
        </is>
      </c>
      <c r="H267">
        <f>HYPERLINK("https://booking.roadsurfer.com/es/rally/pick?pickup_date=2026-03-04&amp;return_date=2026-03-11&amp;currency=EUR&amp;startStation=113&amp;endStation=32", "Clic para verlo en la web de RoadSurfer")</f>
        <v/>
      </c>
    </row>
    <row r="268">
      <c r="A268" t="inlineStr">
        <is>
          <t>Alemania</t>
        </is>
      </c>
      <c r="B268" t="inlineStr">
        <is>
          <t>Duisburgo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2026-03-05</t>
        </is>
      </c>
      <c r="F268" t="inlineStr">
        <is>
          <t>2026-03-12</t>
        </is>
      </c>
      <c r="G268" t="inlineStr">
        <is>
          <t xml:space="preserve"> - No hay coche</t>
        </is>
      </c>
      <c r="H268">
        <f>HYPERLINK("https://booking.roadsurfer.com/es/rally/pick?pickup_date=2026-03-05&amp;return_date=2026-03-12&amp;currency=EUR&amp;startStation=113&amp;endStation=32", "Clic para verlo en la web de RoadSurfer")</f>
        <v/>
      </c>
    </row>
    <row r="269">
      <c r="A269" t="inlineStr">
        <is>
          <t>Alemania</t>
        </is>
      </c>
      <c r="B269" t="inlineStr">
        <is>
          <t>Duisburgo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2026-03-06</t>
        </is>
      </c>
      <c r="F269" t="inlineStr">
        <is>
          <t>2026-03-13</t>
        </is>
      </c>
      <c r="G269" t="inlineStr">
        <is>
          <t xml:space="preserve"> - Surfer Suite</t>
        </is>
      </c>
      <c r="H269">
        <f>HYPERLINK("https://booking.roadsurfer.com/es/rally/pick?pickup_date=2026-03-06&amp;return_date=2026-03-13&amp;currency=EUR&amp;startStation=113&amp;endStation=32", "Clic para verlo en la web de RoadSurfer")</f>
        <v/>
      </c>
    </row>
    <row r="270">
      <c r="A270" t="inlineStr">
        <is>
          <t>Alemania</t>
        </is>
      </c>
      <c r="B270" t="inlineStr">
        <is>
          <t>Duisburgo</t>
        </is>
      </c>
      <c r="C270" t="inlineStr">
        <is>
          <t>Países Bajos</t>
        </is>
      </c>
      <c r="D270" t="inlineStr">
        <is>
          <t>Ámsterdam</t>
        </is>
      </c>
      <c r="E270" t="inlineStr">
        <is>
          <t>2026-03-07</t>
        </is>
      </c>
      <c r="F270" t="inlineStr">
        <is>
          <t>2026-03-14</t>
        </is>
      </c>
      <c r="G270" t="inlineStr">
        <is>
          <t xml:space="preserve"> - SURFER SUITE</t>
        </is>
      </c>
      <c r="H270">
        <f>HYPERLINK("https://booking.roadsurfer.com/es/rally/pick?pickup_date=2026-03-07&amp;return_date=2026-03-14&amp;currency=EUR&amp;startStation=113&amp;endStation=32", "Clic para verlo en la web de RoadSurfer")</f>
        <v/>
      </c>
    </row>
    <row r="271">
      <c r="A271" t="inlineStr">
        <is>
          <t>Alemania</t>
        </is>
      </c>
      <c r="B271" t="inlineStr">
        <is>
          <t>Duisburgo</t>
        </is>
      </c>
      <c r="C271" t="inlineStr">
        <is>
          <t>Países Bajos</t>
        </is>
      </c>
      <c r="D271" t="inlineStr">
        <is>
          <t>Ámsterdam</t>
        </is>
      </c>
      <c r="E271" t="inlineStr">
        <is>
          <t>2026-03-09</t>
        </is>
      </c>
      <c r="F271" t="inlineStr">
        <is>
          <t>2026-03-16</t>
        </is>
      </c>
      <c r="G271" t="inlineStr">
        <is>
          <t xml:space="preserve"> - Surfer Suite</t>
        </is>
      </c>
      <c r="H271">
        <f>HYPERLINK("https://booking.roadsurfer.com/es/rally/pick?pickup_date=2026-03-09&amp;return_date=2026-03-16&amp;currency=EUR&amp;startStation=113&amp;endStation=32", "Clic para verlo en la web de RoadSurfer")</f>
        <v/>
      </c>
    </row>
    <row r="272">
      <c r="A272" t="inlineStr">
        <is>
          <t>Alemania</t>
        </is>
      </c>
      <c r="B272" t="inlineStr">
        <is>
          <t>Duisburgo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Camper Castle - Couple Cottage</t>
        </is>
      </c>
      <c r="H272">
        <f>HYPERLINK("https://booking.roadsurfer.com/es/rally/pick?pickup_date=2026-03-13&amp;return_date=2026-03-20&amp;currency=EUR&amp;startStation=113&amp;endStation=32", "Clic para verlo en la web de RoadSurfer")</f>
        <v/>
      </c>
    </row>
    <row r="273">
      <c r="A273" t="inlineStr">
        <is>
          <t>Alemania</t>
        </is>
      </c>
      <c r="B273" t="inlineStr">
        <is>
          <t>Duisburgo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2026-03-16</t>
        </is>
      </c>
      <c r="F273" t="inlineStr">
        <is>
          <t>2026-03-23</t>
        </is>
      </c>
      <c r="G273" t="inlineStr">
        <is>
          <t xml:space="preserve"> - Road House - Family Finca</t>
        </is>
      </c>
      <c r="H273">
        <f>HYPERLINK("https://booking.roadsurfer.com/es/rally/pick?pickup_date=2026-03-16&amp;return_date=2026-03-23&amp;currency=EUR&amp;startStation=113&amp;endStation=32", "Clic para verlo en la web de RoadSurfer")</f>
        <v/>
      </c>
    </row>
    <row r="274">
      <c r="A274" t="inlineStr">
        <is>
          <t>Alemania</t>
        </is>
      </c>
      <c r="B274" t="inlineStr">
        <is>
          <t>Duisburgo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2026-03-18</t>
        </is>
      </c>
      <c r="F274" t="inlineStr">
        <is>
          <t>2026-03-25</t>
        </is>
      </c>
      <c r="G274" t="inlineStr">
        <is>
          <t xml:space="preserve"> - Surfer Suite</t>
        </is>
      </c>
      <c r="H274">
        <f>HYPERLINK("https://booking.roadsurfer.com/es/rally/pick?pickup_date=2026-03-18&amp;return_date=2026-03-25&amp;currency=EUR&amp;startStation=113&amp;endStation=32", "Clic para verlo en la web de RoadSurfer")</f>
        <v/>
      </c>
    </row>
    <row r="275">
      <c r="A275" t="inlineStr">
        <is>
          <t>Alemania</t>
        </is>
      </c>
      <c r="B275" t="inlineStr">
        <is>
          <t>Duisburgo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Surfer Suite</t>
        </is>
      </c>
      <c r="H275">
        <f>HYPERLINK("https://booking.roadsurfer.com/es/rally/pick?pickup_date=2026-03-19&amp;return_date=2026-03-26&amp;currency=EUR&amp;startStation=113&amp;endStation=32", "Clic para verlo en la web de RoadSurfer")</f>
        <v/>
      </c>
    </row>
    <row r="276">
      <c r="A276" t="inlineStr">
        <is>
          <t>Alemania</t>
        </is>
      </c>
      <c r="B276" t="inlineStr">
        <is>
          <t>Duisburgo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2026-03-17</t>
        </is>
      </c>
      <c r="F276" t="inlineStr">
        <is>
          <t>2026-03-24</t>
        </is>
      </c>
      <c r="G276" t="inlineStr">
        <is>
          <t xml:space="preserve"> - SURFER SUITE</t>
        </is>
      </c>
      <c r="H276">
        <f>HYPERLINK("https://booking.roadsurfer.com/es/rally/pick?pickup_date=2026-03-17&amp;return_date=2026-03-24&amp;currency=EUR&amp;startStation=113&amp;endStation=32", "Clic para verlo en la web de RoadSurfer")</f>
        <v/>
      </c>
    </row>
    <row r="277">
      <c r="A277" t="inlineStr">
        <is>
          <t>Alemania</t>
        </is>
      </c>
      <c r="B277" t="inlineStr">
        <is>
          <t>Duisburgo</t>
        </is>
      </c>
      <c r="C277" t="inlineStr">
        <is>
          <t>Francia</t>
        </is>
      </c>
      <c r="D277" t="inlineStr">
        <is>
          <t>Niza</t>
        </is>
      </c>
      <c r="E277" t="inlineStr">
        <is>
          <t>2026-03-20</t>
        </is>
      </c>
      <c r="F277" t="inlineStr">
        <is>
          <t>2026-03-30</t>
        </is>
      </c>
      <c r="G277" t="inlineStr">
        <is>
          <t xml:space="preserve"> - Surfer Suite</t>
        </is>
      </c>
      <c r="H277">
        <f>HYPERLINK("https://booking.roadsurfer.com/es/rally/pick?pickup_date=2026-03-20&amp;return_date=2026-03-30&amp;currency=EUR&amp;startStation=113&amp;endStation=88", "Clic para verlo en la web de RoadSurfer")</f>
        <v/>
      </c>
    </row>
    <row r="278">
      <c r="A278" t="inlineStr">
        <is>
          <t>Alemania</t>
        </is>
      </c>
      <c r="B278" t="inlineStr">
        <is>
          <t>Duisburgo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2026-03-14</t>
        </is>
      </c>
      <c r="F278" t="inlineStr">
        <is>
          <t>2026-03-21</t>
        </is>
      </c>
      <c r="G278" t="inlineStr">
        <is>
          <t xml:space="preserve"> - Family Finca</t>
        </is>
      </c>
      <c r="H278">
        <f>HYPERLINK("https://booking.roadsurfer.com/es/rally/pick?pickup_date=2026-03-14&amp;return_date=2026-03-21&amp;currency=EUR&amp;startStation=113&amp;endStation=77",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2026-03-19</t>
        </is>
      </c>
      <c r="F279" t="inlineStr">
        <is>
          <t>2026-03-26</t>
        </is>
      </c>
      <c r="G279" t="inlineStr">
        <is>
          <t xml:space="preserve"> - Family Finca</t>
        </is>
      </c>
      <c r="H279">
        <f>HYPERLINK("https://booking.roadsurfer.com/es/rally/pick?pickup_date=2026-03-19&amp;return_date=2026-03-26&amp;currency=EUR&amp;startStation=90&amp;endStation=32",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2026-03-09</t>
        </is>
      </c>
      <c r="F280" t="inlineStr">
        <is>
          <t>2026-03-16</t>
        </is>
      </c>
      <c r="G280" t="inlineStr">
        <is>
          <t xml:space="preserve"> - Road House</t>
        </is>
      </c>
      <c r="H280">
        <f>HYPERLINK("https://booking.roadsurfer.com/es/rally/pick?pickup_date=2026-03-09&amp;return_date=2026-03-16&amp;currency=EUR&amp;startStation=90&amp;endStation=32",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2026-03-18</t>
        </is>
      </c>
      <c r="F281" t="inlineStr">
        <is>
          <t>2026-03-25</t>
        </is>
      </c>
      <c r="G281" t="inlineStr">
        <is>
          <t xml:space="preserve"> - Family Finca</t>
        </is>
      </c>
      <c r="H281">
        <f>HYPERLINK("https://booking.roadsurfer.com/es/rally/pick?pickup_date=2026-03-18&amp;return_date=2026-03-25&amp;currency=EUR&amp;startStation=90&amp;endStation=47",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2026-03-11</t>
        </is>
      </c>
      <c r="F282" t="inlineStr">
        <is>
          <t>2026-03-18</t>
        </is>
      </c>
      <c r="G282" t="inlineStr">
        <is>
          <t xml:space="preserve"> - Surfer Suite</t>
        </is>
      </c>
      <c r="H282">
        <f>HYPERLINK("https://booking.roadsurfer.com/es/rally/pick?pickup_date=2026-03-11&amp;return_date=2026-03-18&amp;currency=EUR&amp;startStation=90&amp;endStation=47",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2026-03-16</t>
        </is>
      </c>
      <c r="F283" t="inlineStr">
        <is>
          <t>2026-03-23</t>
        </is>
      </c>
      <c r="G283" t="inlineStr">
        <is>
          <t xml:space="preserve"> - Road House</t>
        </is>
      </c>
      <c r="H283">
        <f>HYPERLINK("https://booking.roadsurfer.com/es/rally/pick?pickup_date=2026-03-16&amp;return_date=2026-03-23&amp;currency=EUR&amp;startStation=90&amp;endStation=47",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2026-03-04</t>
        </is>
      </c>
      <c r="F284" t="inlineStr">
        <is>
          <t>2026-03-14</t>
        </is>
      </c>
      <c r="G284" t="inlineStr">
        <is>
          <t xml:space="preserve"> - Surfer Suite</t>
        </is>
      </c>
      <c r="H284">
        <f>HYPERLINK("https://booking.roadsurfer.com/es/rally/pick?pickup_date=2026-03-04&amp;return_date=2026-03-14&amp;currency=EUR&amp;startStation=90&amp;endStation=42",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2026-03-04</t>
        </is>
      </c>
      <c r="F285" t="inlineStr">
        <is>
          <t>2026-03-11</t>
        </is>
      </c>
      <c r="G285" t="inlineStr">
        <is>
          <t xml:space="preserve"> - Road House</t>
        </is>
      </c>
      <c r="H285">
        <f>HYPERLINK("https://booking.roadsurfer.com/es/rally/pick?pickup_date=2026-03-04&amp;return_date=2026-03-11&amp;currency=EUR&amp;startStation=90&amp;endStation=29",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2026-03-12</t>
        </is>
      </c>
      <c r="F286" t="inlineStr">
        <is>
          <t>2026-03-19</t>
        </is>
      </c>
      <c r="G286" t="inlineStr">
        <is>
          <t xml:space="preserve"> - No hay coche</t>
        </is>
      </c>
      <c r="H286">
        <f>HYPERLINK("https://booking.roadsurfer.com/es/rally/pick?pickup_date=2026-03-12&amp;return_date=2026-03-19&amp;currency=EUR&amp;startStation=90&amp;endStation=29",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2026-03-16</t>
        </is>
      </c>
      <c r="F287" t="inlineStr">
        <is>
          <t>2026-03-23</t>
        </is>
      </c>
      <c r="G287" t="inlineStr">
        <is>
          <t xml:space="preserve"> - Road House</t>
        </is>
      </c>
      <c r="H287">
        <f>HYPERLINK("https://booking.roadsurfer.com/es/rally/pick?pickup_date=2026-03-16&amp;return_date=2026-03-23&amp;currency=EUR&amp;startStation=90&amp;endStation=12",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Austria</t>
        </is>
      </c>
      <c r="D288" t="inlineStr">
        <is>
          <t>Viena</t>
        </is>
      </c>
      <c r="E288" t="inlineStr">
        <is>
          <t>2026-03-16</t>
        </is>
      </c>
      <c r="F288" t="inlineStr">
        <is>
          <t>2026-03-26</t>
        </is>
      </c>
      <c r="G288" t="inlineStr">
        <is>
          <t xml:space="preserve"> - Beach Hostel</t>
        </is>
      </c>
      <c r="H288">
        <f>HYPERLINK("https://booking.roadsurfer.com/es/rally/pick?pickup_date=2026-03-16&amp;return_date=2026-03-26&amp;currency=EUR&amp;startStation=90&amp;endStation=36",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Austria</t>
        </is>
      </c>
      <c r="D289" t="inlineStr">
        <is>
          <t>Viena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Surfer Suite</t>
        </is>
      </c>
      <c r="H289">
        <f>HYPERLINK("https://booking.roadsurfer.com/es/rally/pick?pickup_date=2026-03-13&amp;return_date=2026-03-20&amp;currency=EUR&amp;startStation=90&amp;endStation=36",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2026-03-12</t>
        </is>
      </c>
      <c r="F290" t="inlineStr">
        <is>
          <t>2026-03-19</t>
        </is>
      </c>
      <c r="G290" t="inlineStr">
        <is>
          <t xml:space="preserve"> - No hay coche</t>
        </is>
      </c>
      <c r="H290">
        <f>HYPERLINK("https://booking.roadsurfer.com/es/rally/pick?pickup_date=2026-03-12&amp;return_date=2026-03-19&amp;currency=EUR&amp;startStation=90&amp;endStation=34",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Italia</t>
        </is>
      </c>
      <c r="D291" t="inlineStr">
        <is>
          <t>Milán</t>
        </is>
      </c>
      <c r="E291" t="inlineStr">
        <is>
          <t>2026-03-13</t>
        </is>
      </c>
      <c r="F291" t="inlineStr">
        <is>
          <t>2026-03-20</t>
        </is>
      </c>
      <c r="G291" t="inlineStr">
        <is>
          <t xml:space="preserve"> - Family Finca</t>
        </is>
      </c>
      <c r="H291">
        <f>HYPERLINK("https://booking.roadsurfer.com/es/rally/pick?pickup_date=2026-03-13&amp;return_date=2026-03-20&amp;currency=EUR&amp;startStation=90&amp;endStation=34",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2026-03-14</t>
        </is>
      </c>
      <c r="F292" t="inlineStr">
        <is>
          <t>2026-03-21</t>
        </is>
      </c>
      <c r="G292" t="inlineStr">
        <is>
          <t xml:space="preserve"> - Couple Cottage</t>
        </is>
      </c>
      <c r="H292">
        <f>HYPERLINK("https://booking.roadsurfer.com/es/rally/pick?pickup_date=2026-03-14&amp;return_date=2026-03-21&amp;currency=EUR&amp;startStation=90&amp;endStation=34",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2026-03-14</t>
        </is>
      </c>
      <c r="F293" t="inlineStr">
        <is>
          <t>2026-03-21</t>
        </is>
      </c>
      <c r="G293" t="inlineStr">
        <is>
          <t xml:space="preserve"> - Surfer Suite</t>
        </is>
      </c>
      <c r="H293">
        <f>HYPERLINK("https://booking.roadsurfer.com/es/rally/pick?pickup_date=2026-03-14&amp;return_date=2026-03-21&amp;currency=EUR&amp;startStation=90&amp;endStation=37",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2026-03-17</t>
        </is>
      </c>
      <c r="F294" t="inlineStr">
        <is>
          <t>2026-03-24</t>
        </is>
      </c>
      <c r="G294" t="inlineStr">
        <is>
          <t xml:space="preserve"> - Surfer Suite</t>
        </is>
      </c>
      <c r="H294">
        <f>HYPERLINK("https://booking.roadsurfer.com/es/rally/pick?pickup_date=2026-03-17&amp;return_date=2026-03-24&amp;currency=EUR&amp;startStation=90&amp;endStation=37",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2026-03-19</t>
        </is>
      </c>
      <c r="F295" t="inlineStr">
        <is>
          <t>2026-03-26</t>
        </is>
      </c>
      <c r="G295" t="inlineStr">
        <is>
          <t xml:space="preserve"> - Surfer Suite</t>
        </is>
      </c>
      <c r="H295">
        <f>HYPERLINK("https://booking.roadsurfer.com/es/rally/pick?pickup_date=2026-03-19&amp;return_date=2026-03-26&amp;currency=EUR&amp;startStation=90&amp;endStation=37",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Francia</t>
        </is>
      </c>
      <c r="D296" t="inlineStr">
        <is>
          <t>París Aeropuerto CDG</t>
        </is>
      </c>
      <c r="E296" t="inlineStr">
        <is>
          <t>2026-03-15</t>
        </is>
      </c>
      <c r="F296" t="inlineStr">
        <is>
          <t>2026-03-22</t>
        </is>
      </c>
      <c r="G296" t="inlineStr">
        <is>
          <t xml:space="preserve"> - No hay coche</t>
        </is>
      </c>
      <c r="H296">
        <f>HYPERLINK("https://booking.roadsurfer.com/es/rally/pick?pickup_date=2026-03-15&amp;return_date=2026-03-22&amp;currency=EUR&amp;startStation=90&amp;endStation=48",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Beach Hostel</t>
        </is>
      </c>
      <c r="H297">
        <f>HYPERLINK("https://booking.roadsurfer.com/es/rally/pick?pickup_date=2026-03-16&amp;return_date=2026-03-23&amp;currency=EUR&amp;startStation=90&amp;endStation=48",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Francia</t>
        </is>
      </c>
      <c r="D298" t="inlineStr">
        <is>
          <t>París Aeropuerto CDG</t>
        </is>
      </c>
      <c r="E298" t="inlineStr">
        <is>
          <t>2026-03-17</t>
        </is>
      </c>
      <c r="F298" t="inlineStr">
        <is>
          <t>2026-03-24</t>
        </is>
      </c>
      <c r="G298" t="inlineStr">
        <is>
          <t xml:space="preserve"> - SURFER SUITE</t>
        </is>
      </c>
      <c r="H298">
        <f>HYPERLINK("https://booking.roadsurfer.com/es/rally/pick?pickup_date=2026-03-17&amp;return_date=2026-03-24&amp;currency=EUR&amp;startStation=90&amp;endStation=48",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2026-03-02</t>
        </is>
      </c>
      <c r="F299" t="inlineStr">
        <is>
          <t>2026-03-09</t>
        </is>
      </c>
      <c r="G299" t="inlineStr">
        <is>
          <t xml:space="preserve"> - Camper Cabin</t>
        </is>
      </c>
      <c r="H299">
        <f>HYPERLINK("https://booking.roadsurfer.com/es/rally/pick?pickup_date=2026-03-02&amp;return_date=2026-03-09&amp;currency=EUR&amp;startStation=90&amp;endStation=45",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2026-03-16</t>
        </is>
      </c>
      <c r="F300" t="inlineStr">
        <is>
          <t>2026-03-26</t>
        </is>
      </c>
      <c r="G300" t="inlineStr">
        <is>
          <t xml:space="preserve"> - Road House</t>
        </is>
      </c>
      <c r="H300">
        <f>HYPERLINK("https://booking.roadsurfer.com/es/rally/pick?pickup_date=2026-03-16&amp;return_date=2026-03-26&amp;currency=EUR&amp;startStation=90&amp;endStation=45", "Clic para verlo en la web de RoadSurfer")</f>
        <v/>
      </c>
    </row>
    <row r="301">
      <c r="A301" t="inlineStr">
        <is>
          <t>Italia</t>
        </is>
      </c>
      <c r="B301" t="inlineStr">
        <is>
          <t>Florencia</t>
        </is>
      </c>
      <c r="C301" t="inlineStr">
        <is>
          <t>Alemania</t>
        </is>
      </c>
      <c r="D301" t="inlineStr">
        <is>
          <t>Colonia-Bonn</t>
        </is>
      </c>
      <c r="E301" t="inlineStr">
        <is>
          <t>2026-03-02</t>
        </is>
      </c>
      <c r="F301" t="inlineStr">
        <is>
          <t>2026-03-09</t>
        </is>
      </c>
      <c r="G301" t="inlineStr">
        <is>
          <t xml:space="preserve"> - Sunrise Suite</t>
        </is>
      </c>
      <c r="H301">
        <f>HYPERLINK("https://booking.roadsurfer.com/es/rally/pick?pickup_date=2026-03-02&amp;return_date=2026-03-09&amp;currency=EUR&amp;startStation=80&amp;endStation=52", "Clic para verlo en la web de RoadSurfer")</f>
        <v/>
      </c>
    </row>
    <row r="302">
      <c r="A302" t="inlineStr">
        <is>
          <t>Italia</t>
        </is>
      </c>
      <c r="B302" t="inlineStr">
        <is>
          <t>Florencia</t>
        </is>
      </c>
      <c r="C302" t="inlineStr">
        <is>
          <t>Alemania</t>
        </is>
      </c>
      <c r="D302" t="inlineStr">
        <is>
          <t>Augsburgo</t>
        </is>
      </c>
      <c r="E302" t="inlineStr">
        <is>
          <t>2026-03-09</t>
        </is>
      </c>
      <c r="F302" t="inlineStr">
        <is>
          <t>2026-03-16</t>
        </is>
      </c>
      <c r="G302" t="inlineStr">
        <is>
          <t xml:space="preserve"> - Road House</t>
        </is>
      </c>
      <c r="H302">
        <f>HYPERLINK("https://booking.roadsurfer.com/es/rally/pick?pickup_date=2026-03-09&amp;return_date=2026-03-16&amp;currency=EUR&amp;startStation=80&amp;endStation=108", "Clic para verlo en la web de RoadSurfer")</f>
        <v/>
      </c>
    </row>
    <row r="303">
      <c r="A303" t="inlineStr">
        <is>
          <t>Italia</t>
        </is>
      </c>
      <c r="B303" t="inlineStr">
        <is>
          <t>Florencia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2026-03-17</t>
        </is>
      </c>
      <c r="F303" t="inlineStr">
        <is>
          <t>2026-03-24</t>
        </is>
      </c>
      <c r="G303" t="inlineStr">
        <is>
          <t xml:space="preserve"> - Surfer Suite</t>
        </is>
      </c>
      <c r="H303">
        <f>HYPERLINK("https://booking.roadsurfer.com/es/rally/pick?pickup_date=2026-03-17&amp;return_date=2026-03-24&amp;currency=EUR&amp;startStation=80&amp;endStation=1", "Clic para verlo en la web de RoadSurfer")</f>
        <v/>
      </c>
    </row>
    <row r="304">
      <c r="A304" t="inlineStr">
        <is>
          <t>Italia</t>
        </is>
      </c>
      <c r="B304" t="inlineStr">
        <is>
          <t>Florencia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2026-03-16</t>
        </is>
      </c>
      <c r="F304" t="inlineStr">
        <is>
          <t>2026-03-23</t>
        </is>
      </c>
      <c r="G304" t="inlineStr">
        <is>
          <t xml:space="preserve"> - Beach Hostel - Road House</t>
        </is>
      </c>
      <c r="H304">
        <f>HYPERLINK("https://booking.roadsurfer.com/es/rally/pick?pickup_date=2026-03-16&amp;return_date=2026-03-23&amp;currency=EUR&amp;startStation=80&amp;endStation=1", "Clic para verlo en la web de RoadSurfer")</f>
        <v/>
      </c>
    </row>
    <row r="305">
      <c r="A305" t="inlineStr">
        <is>
          <t>Italia</t>
        </is>
      </c>
      <c r="B305" t="inlineStr">
        <is>
          <t>Florencia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2026-03-13</t>
        </is>
      </c>
      <c r="F305" t="inlineStr">
        <is>
          <t>2026-03-20</t>
        </is>
      </c>
      <c r="G305" t="inlineStr">
        <is>
          <t xml:space="preserve"> - Road House</t>
        </is>
      </c>
      <c r="H305">
        <f>HYPERLINK("https://booking.roadsurfer.com/es/rally/pick?pickup_date=2026-03-13&amp;return_date=2026-03-20&amp;currency=EUR&amp;startStation=80&amp;endStation=22", "Clic para verlo en la web de RoadSurfer")</f>
        <v/>
      </c>
    </row>
    <row r="306">
      <c r="A306" t="inlineStr">
        <is>
          <t>Italia</t>
        </is>
      </c>
      <c r="B306" t="inlineStr">
        <is>
          <t>Florencia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2026-03-14</t>
        </is>
      </c>
      <c r="F306" t="inlineStr">
        <is>
          <t>2026-03-21</t>
        </is>
      </c>
      <c r="G306" t="inlineStr">
        <is>
          <t xml:space="preserve"> - No hay coche</t>
        </is>
      </c>
      <c r="H306">
        <f>HYPERLINK("https://booking.roadsurfer.com/es/rally/pick?pickup_date=2026-03-14&amp;return_date=2026-03-21&amp;currency=EUR&amp;startStation=80&amp;endStation=22", "Clic para verlo en la web de RoadSurfer")</f>
        <v/>
      </c>
    </row>
    <row r="307">
      <c r="A307" t="inlineStr">
        <is>
          <t>Italia</t>
        </is>
      </c>
      <c r="B307" t="inlineStr">
        <is>
          <t>Florencia</t>
        </is>
      </c>
      <c r="C307" t="inlineStr">
        <is>
          <t>Alemania</t>
        </is>
      </c>
      <c r="D307" t="inlineStr">
        <is>
          <t>Fráncfort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Surfer Suite</t>
        </is>
      </c>
      <c r="H307">
        <f>HYPERLINK("https://booking.roadsurfer.com/es/rally/pick?pickup_date=2026-03-19&amp;return_date=2026-03-26&amp;currency=EUR&amp;startStation=80&amp;endStation=2",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2026-03-18</t>
        </is>
      </c>
      <c r="F308" t="inlineStr">
        <is>
          <t>2026-03-28</t>
        </is>
      </c>
      <c r="G308" t="inlineStr">
        <is>
          <t xml:space="preserve"> - Surfer Suite</t>
        </is>
      </c>
      <c r="H308">
        <f>HYPERLINK("https://booking.roadsurfer.com/es/rally/pick?pickup_date=2026-03-18&amp;return_date=2026-03-28&amp;currency=EUR&amp;startStation=2&amp;endStation=40",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Alemania</t>
        </is>
      </c>
      <c r="D309" t="inlineStr">
        <is>
          <t>Duisburgo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Surfer Suite</t>
        </is>
      </c>
      <c r="H309">
        <f>HYPERLINK("https://booking.roadsurfer.com/es/rally/pick?pickup_date=2026-03-16&amp;return_date=2026-03-23&amp;currency=EUR&amp;startStation=2&amp;endStation=113",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2026-03-05</t>
        </is>
      </c>
      <c r="F310" t="inlineStr">
        <is>
          <t>2026-03-12</t>
        </is>
      </c>
      <c r="G310" t="inlineStr">
        <is>
          <t xml:space="preserve"> - Surfer Suite</t>
        </is>
      </c>
      <c r="H310">
        <f>HYPERLINK("https://booking.roadsurfer.com/es/rally/pick?pickup_date=2026-03-05&amp;return_date=2026-03-12&amp;currency=EUR&amp;startStation=2&amp;endStation=60",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Alemania</t>
        </is>
      </c>
      <c r="D311" t="inlineStr">
        <is>
          <t>Heidelberg</t>
        </is>
      </c>
      <c r="E311" t="inlineStr">
        <is>
          <t>2026-03-16</t>
        </is>
      </c>
      <c r="F311" t="inlineStr">
        <is>
          <t>2026-03-23</t>
        </is>
      </c>
      <c r="G311" t="inlineStr">
        <is>
          <t xml:space="preserve"> - Beach Hostel</t>
        </is>
      </c>
      <c r="H311">
        <f>HYPERLINK("https://booking.roadsurfer.com/es/rally/pick?pickup_date=2026-03-16&amp;return_date=2026-03-23&amp;currency=EUR&amp;startStation=2&amp;endStation=79",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Italia</t>
        </is>
      </c>
      <c r="D312" t="inlineStr">
        <is>
          <t>Roma Aeropuerto Fiumicino</t>
        </is>
      </c>
      <c r="E312" t="inlineStr">
        <is>
          <t>2026-03-18</t>
        </is>
      </c>
      <c r="F312" t="inlineStr">
        <is>
          <t>2026-03-25</t>
        </is>
      </c>
      <c r="G312" t="inlineStr">
        <is>
          <t xml:space="preserve"> - Road House</t>
        </is>
      </c>
      <c r="H312">
        <f>HYPERLINK("https://booking.roadsurfer.com/es/rally/pick?pickup_date=2026-03-18&amp;return_date=2026-03-25&amp;currency=EUR&amp;startStation=2&amp;endStation=35",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Alemania</t>
        </is>
      </c>
      <c r="D313" t="inlineStr">
        <is>
          <t>Lindau-Wangen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No hay coche</t>
        </is>
      </c>
      <c r="H313">
        <f>HYPERLINK("https://booking.roadsurfer.com/es/rally/pick?pickup_date=2026-03-05&amp;return_date=2026-03-12&amp;currency=EUR&amp;startStation=2&amp;endStation=117",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Alemania</t>
        </is>
      </c>
      <c r="D314" t="inlineStr">
        <is>
          <t>Hamburgo Aeropuerto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Camper Castle</t>
        </is>
      </c>
      <c r="H314">
        <f>HYPERLINK("https://booking.roadsurfer.com/es/rally/pick?pickup_date=2026-03-16&amp;return_date=2026-03-23&amp;currency=EUR&amp;startStation=2&amp;endStation=65",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Alemania</t>
        </is>
      </c>
      <c r="D315" t="inlineStr">
        <is>
          <t>Hamburgo Aeropuerto</t>
        </is>
      </c>
      <c r="E315" t="inlineStr">
        <is>
          <t>2026-03-13</t>
        </is>
      </c>
      <c r="F315" t="inlineStr">
        <is>
          <t>2026-03-20</t>
        </is>
      </c>
      <c r="G315" t="inlineStr">
        <is>
          <t xml:space="preserve"> - Road House</t>
        </is>
      </c>
      <c r="H315">
        <f>HYPERLINK("https://booking.roadsurfer.com/es/rally/pick?pickup_date=2026-03-13&amp;return_date=2026-03-20&amp;currency=EUR&amp;startStation=2&amp;endStation=65",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2026-03-15</t>
        </is>
      </c>
      <c r="F316" t="inlineStr">
        <is>
          <t>2026-03-22</t>
        </is>
      </c>
      <c r="G316" t="inlineStr">
        <is>
          <t xml:space="preserve"> - No hay coche</t>
        </is>
      </c>
      <c r="H316">
        <f>HYPERLINK("https://booking.roadsurfer.com/es/rally/pick?pickup_date=2026-03-15&amp;return_date=2026-03-22&amp;currency=EUR&amp;startStation=2&amp;endStation=29",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2026-03-16</t>
        </is>
      </c>
      <c r="F317" t="inlineStr">
        <is>
          <t>2026-03-23</t>
        </is>
      </c>
      <c r="G317" t="inlineStr">
        <is>
          <t xml:space="preserve"> - Family Finca</t>
        </is>
      </c>
      <c r="H317">
        <f>HYPERLINK("https://booking.roadsurfer.com/es/rally/pick?pickup_date=2026-03-16&amp;return_date=2026-03-23&amp;currency=EUR&amp;startStation=2&amp;endStation=29",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2026-03-17</t>
        </is>
      </c>
      <c r="F318" t="inlineStr">
        <is>
          <t>2026-03-24</t>
        </is>
      </c>
      <c r="G318" t="inlineStr">
        <is>
          <t xml:space="preserve"> - Family Finca</t>
        </is>
      </c>
      <c r="H318">
        <f>HYPERLINK("https://booking.roadsurfer.com/es/rally/pick?pickup_date=2026-03-17&amp;return_date=2026-03-24&amp;currency=EUR&amp;startStation=2&amp;endStation=29",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2026-03-19</t>
        </is>
      </c>
      <c r="F319" t="inlineStr">
        <is>
          <t>2026-03-26</t>
        </is>
      </c>
      <c r="G319" t="inlineStr">
        <is>
          <t xml:space="preserve"> - Family Finca</t>
        </is>
      </c>
      <c r="H319">
        <f>HYPERLINK("https://booking.roadsurfer.com/es/rally/pick?pickup_date=2026-03-19&amp;return_date=2026-03-26&amp;currency=EUR&amp;startStation=2&amp;endStation=29",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2026-03-13</t>
        </is>
      </c>
      <c r="F320" t="inlineStr">
        <is>
          <t>2026-03-20</t>
        </is>
      </c>
      <c r="G320" t="inlineStr">
        <is>
          <t xml:space="preserve"> - Camper Cabin Deluxe</t>
        </is>
      </c>
      <c r="H320">
        <f>HYPERLINK("https://booking.roadsurfer.com/es/rally/pick?pickup_date=2026-03-13&amp;return_date=2026-03-20&amp;currency=EUR&amp;startStation=2&amp;endStation=29",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Toulouse</t>
        </is>
      </c>
      <c r="E321" t="inlineStr">
        <is>
          <t>2026-03-13</t>
        </is>
      </c>
      <c r="F321" t="inlineStr">
        <is>
          <t>2026-03-23</t>
        </is>
      </c>
      <c r="G321" t="inlineStr">
        <is>
          <t xml:space="preserve"> - Family Finca</t>
        </is>
      </c>
      <c r="H321">
        <f>HYPERLINK("https://booking.roadsurfer.com/es/rally/pick?pickup_date=2026-03-13&amp;return_date=2026-03-23&amp;currency=EUR&amp;startStation=2&amp;endStation=30",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Francia</t>
        </is>
      </c>
      <c r="D322" t="inlineStr">
        <is>
          <t>París Aeropuerto CDG</t>
        </is>
      </c>
      <c r="E322" t="inlineStr">
        <is>
          <t>2026-03-12</t>
        </is>
      </c>
      <c r="F322" t="inlineStr">
        <is>
          <t>2026-03-19</t>
        </is>
      </c>
      <c r="G322" t="inlineStr">
        <is>
          <t xml:space="preserve"> - Family Finca</t>
        </is>
      </c>
      <c r="H322">
        <f>HYPERLINK("https://booking.roadsurfer.com/es/rally/pick?pickup_date=2026-03-12&amp;return_date=2026-03-19&amp;currency=EUR&amp;startStation=2&amp;endStation=48",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Países Bajos</t>
        </is>
      </c>
      <c r="D323" t="inlineStr">
        <is>
          <t>Róterdam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Surfer Suite</t>
        </is>
      </c>
      <c r="H323">
        <f>HYPERLINK("https://booking.roadsurfer.com/es/rally/pick?pickup_date=2026-03-05&amp;return_date=2026-03-12&amp;currency=EUR&amp;startStation=9&amp;endStation=33",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2026-03-13</t>
        </is>
      </c>
      <c r="F324" t="inlineStr">
        <is>
          <t>2026-03-20</t>
        </is>
      </c>
      <c r="G324" t="inlineStr">
        <is>
          <t xml:space="preserve"> - Surfer Suite</t>
        </is>
      </c>
      <c r="H324">
        <f>HYPERLINK("https://booking.roadsurfer.com/es/rally/pick?pickup_date=2026-03-13&amp;return_date=2026-03-20&amp;currency=EUR&amp;startStation=9&amp;endStation=40",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España</t>
        </is>
      </c>
      <c r="D325" t="inlineStr">
        <is>
          <t>Bilbao</t>
        </is>
      </c>
      <c r="E325" t="inlineStr">
        <is>
          <t>2026-03-15</t>
        </is>
      </c>
      <c r="F325" t="inlineStr">
        <is>
          <t>2026-03-22</t>
        </is>
      </c>
      <c r="G325" t="inlineStr">
        <is>
          <t xml:space="preserve"> - No hay coche</t>
        </is>
      </c>
      <c r="H325">
        <f>HYPERLINK("https://booking.roadsurfer.com/es/rally/pick?pickup_date=2026-03-15&amp;return_date=2026-03-22&amp;currency=EUR&amp;startStation=9&amp;endStation=40",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2026-03-18</t>
        </is>
      </c>
      <c r="F326" t="inlineStr">
        <is>
          <t>2026-03-28</t>
        </is>
      </c>
      <c r="G326" t="inlineStr">
        <is>
          <t xml:space="preserve"> - Road House</t>
        </is>
      </c>
      <c r="H326">
        <f>HYPERLINK("https://booking.roadsurfer.com/es/rally/pick?pickup_date=2026-03-18&amp;return_date=2026-03-28&amp;currency=EUR&amp;startStation=9&amp;endStation=20",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Surfer Suite</t>
        </is>
      </c>
      <c r="H327">
        <f>HYPERLINK("https://booking.roadsurfer.com/es/rally/pick?pickup_date=2026-03-16&amp;return_date=2026-03-23&amp;currency=EUR&amp;startStation=9&amp;endStation=20",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Madrid</t>
        </is>
      </c>
      <c r="E328" t="inlineStr">
        <is>
          <t>2026-03-12</t>
        </is>
      </c>
      <c r="F328" t="inlineStr">
        <is>
          <t>2026-03-19</t>
        </is>
      </c>
      <c r="G328" t="inlineStr">
        <is>
          <t xml:space="preserve"> - Surfer Suite</t>
        </is>
      </c>
      <c r="H328">
        <f>HYPERLINK("https://booking.roadsurfer.com/es/rally/pick?pickup_date=2026-03-12&amp;return_date=2026-03-19&amp;currency=EUR&amp;startStation=9&amp;endStation=20",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2026-03-11</t>
        </is>
      </c>
      <c r="F329" t="inlineStr">
        <is>
          <t>2026-03-18</t>
        </is>
      </c>
      <c r="G329" t="inlineStr">
        <is>
          <t xml:space="preserve"> - Surfer Suite</t>
        </is>
      </c>
      <c r="H329">
        <f>HYPERLINK("https://booking.roadsurfer.com/es/rally/pick?pickup_date=2026-03-11&amp;return_date=2026-03-18&amp;currency=EUR&amp;startStation=9&amp;endStation=21",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España</t>
        </is>
      </c>
      <c r="D330" t="inlineStr">
        <is>
          <t>Málaga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Surfer Suite</t>
        </is>
      </c>
      <c r="H330">
        <f>HYPERLINK("https://booking.roadsurfer.com/es/rally/pick?pickup_date=2026-03-13&amp;return_date=2026-03-20&amp;currency=EUR&amp;startStation=9&amp;endStation=21",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España</t>
        </is>
      </c>
      <c r="D331" t="inlineStr">
        <is>
          <t>Málaga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Surfer Suite</t>
        </is>
      </c>
      <c r="H331">
        <f>HYPERLINK("https://booking.roadsurfer.com/es/rally/pick?pickup_date=2026-03-14&amp;return_date=2026-03-21&amp;currency=EUR&amp;startStation=9&amp;endStation=21",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España</t>
        </is>
      </c>
      <c r="D332" t="inlineStr">
        <is>
          <t>Málaga</t>
        </is>
      </c>
      <c r="E332" t="inlineStr">
        <is>
          <t>2026-03-16</t>
        </is>
      </c>
      <c r="F332" t="inlineStr">
        <is>
          <t>2026-03-23</t>
        </is>
      </c>
      <c r="G332" t="inlineStr">
        <is>
          <t xml:space="preserve"> - Surfer Suite</t>
        </is>
      </c>
      <c r="H332">
        <f>HYPERLINK("https://booking.roadsurfer.com/es/rally/pick?pickup_date=2026-03-16&amp;return_date=2026-03-23&amp;currency=EUR&amp;startStation=9&amp;endStation=21",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España</t>
        </is>
      </c>
      <c r="D333" t="inlineStr">
        <is>
          <t>Málaga</t>
        </is>
      </c>
      <c r="E333" t="inlineStr">
        <is>
          <t>2026-03-17</t>
        </is>
      </c>
      <c r="F333" t="inlineStr">
        <is>
          <t>2026-03-24</t>
        </is>
      </c>
      <c r="G333" t="inlineStr">
        <is>
          <t xml:space="preserve"> - Beach Hostel</t>
        </is>
      </c>
      <c r="H333">
        <f>HYPERLINK("https://booking.roadsurfer.com/es/rally/pick?pickup_date=2026-03-17&amp;return_date=2026-03-24&amp;currency=EUR&amp;startStation=9&amp;endStation=21",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Francia</t>
        </is>
      </c>
      <c r="D334" t="inlineStr">
        <is>
          <t>Lyon</t>
        </is>
      </c>
      <c r="E334" t="inlineStr">
        <is>
          <t>2026-03-19</t>
        </is>
      </c>
      <c r="F334" t="inlineStr">
        <is>
          <t>2026-03-26</t>
        </is>
      </c>
      <c r="G334" t="inlineStr">
        <is>
          <t xml:space="preserve"> - Surfer Suite - Beach Hostel</t>
        </is>
      </c>
      <c r="H334">
        <f>HYPERLINK("https://booking.roadsurfer.com/es/rally/pick?pickup_date=2026-03-19&amp;return_date=2026-03-26&amp;currency=EUR&amp;startStation=9&amp;endStation=15",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2026-03-16</t>
        </is>
      </c>
      <c r="F335" t="inlineStr">
        <is>
          <t>2026-03-26</t>
        </is>
      </c>
      <c r="G335" t="inlineStr">
        <is>
          <t xml:space="preserve"> - Surfer Suite</t>
        </is>
      </c>
      <c r="H335">
        <f>HYPERLINK("https://booking.roadsurfer.com/es/rally/pick?pickup_date=2026-03-16&amp;return_date=2026-03-26&amp;currency=EUR&amp;startStation=9&amp;endStation=15",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Francia</t>
        </is>
      </c>
      <c r="D336" t="inlineStr">
        <is>
          <t>Lyon</t>
        </is>
      </c>
      <c r="E336" t="inlineStr">
        <is>
          <t>2026-03-17</t>
        </is>
      </c>
      <c r="F336" t="inlineStr">
        <is>
          <t>2026-03-27</t>
        </is>
      </c>
      <c r="G336" t="inlineStr">
        <is>
          <t xml:space="preserve"> - Beach Hostel</t>
        </is>
      </c>
      <c r="H336">
        <f>HYPERLINK("https://booking.roadsurfer.com/es/rally/pick?pickup_date=2026-03-17&amp;return_date=2026-03-27&amp;currency=EUR&amp;startStation=9&amp;endStation=15",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España</t>
        </is>
      </c>
      <c r="D337" t="inlineStr">
        <is>
          <t>Barcelona</t>
        </is>
      </c>
      <c r="E337" t="inlineStr">
        <is>
          <t>2026-03-03</t>
        </is>
      </c>
      <c r="F337" t="inlineStr">
        <is>
          <t>2026-03-13</t>
        </is>
      </c>
      <c r="G337" t="inlineStr">
        <is>
          <t xml:space="preserve"> - Camper Cabin Deluxe</t>
        </is>
      </c>
      <c r="H337">
        <f>HYPERLINK("https://booking.roadsurfer.com/es/rally/pick?pickup_date=2026-03-03&amp;return_date=2026-03-13&amp;currency=EUR&amp;startStation=9&amp;endStation=17",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España</t>
        </is>
      </c>
      <c r="D338" t="inlineStr">
        <is>
          <t>Barcelona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Surfer Suite</t>
        </is>
      </c>
      <c r="H338">
        <f>HYPERLINK("https://booking.roadsurfer.com/es/rally/pick?pickup_date=2026-03-14&amp;return_date=2026-03-21&amp;currency=EUR&amp;startStation=9&amp;endStation=17",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Alemania</t>
        </is>
      </c>
      <c r="D339" t="inlineStr">
        <is>
          <t>Heidelberg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Camper Cabin</t>
        </is>
      </c>
      <c r="H339">
        <f>HYPERLINK("https://booking.roadsurfer.com/es/rally/pick?pickup_date=2026-03-16&amp;return_date=2026-03-23&amp;currency=EUR&amp;startStation=9&amp;endStation=79",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España</t>
        </is>
      </c>
      <c r="D340" t="inlineStr">
        <is>
          <t>Sevilla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Road House</t>
        </is>
      </c>
      <c r="H340">
        <f>HYPERLINK("https://booking.roadsurfer.com/es/rally/pick?pickup_date=2026-03-12&amp;return_date=2026-03-19&amp;currency=EUR&amp;startStation=9&amp;endStation=39",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Francia</t>
        </is>
      </c>
      <c r="D341" t="inlineStr">
        <is>
          <t>Niza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Road House</t>
        </is>
      </c>
      <c r="H341">
        <f>HYPERLINK("https://booking.roadsurfer.com/es/rally/pick?pickup_date=2026-03-19&amp;return_date=2026-03-26&amp;currency=EUR&amp;startStation=9&amp;endStation=88",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2026-03-13</t>
        </is>
      </c>
      <c r="F342" t="inlineStr">
        <is>
          <t>2026-03-20</t>
        </is>
      </c>
      <c r="G342" t="inlineStr">
        <is>
          <t xml:space="preserve"> - Camper Cabin Deluxe</t>
        </is>
      </c>
      <c r="H342">
        <f>HYPERLINK("https://booking.roadsurfer.com/es/rally/pick?pickup_date=2026-03-13&amp;return_date=2026-03-20&amp;currency=EUR&amp;startStation=9&amp;endStation=29",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2026-03-06</t>
        </is>
      </c>
      <c r="F343" t="inlineStr">
        <is>
          <t>2026-03-13</t>
        </is>
      </c>
      <c r="G343" t="inlineStr">
        <is>
          <t xml:space="preserve"> - Camper Cabin Deluxe</t>
        </is>
      </c>
      <c r="H343">
        <f>HYPERLINK("https://booking.roadsurfer.com/es/rally/pick?pickup_date=2026-03-06&amp;return_date=2026-03-13&amp;currency=EUR&amp;startStation=9&amp;endStation=29",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Camper Cabin Deluxe</t>
        </is>
      </c>
      <c r="H344">
        <f>HYPERLINK("https://booking.roadsurfer.com/es/rally/pick?pickup_date=2026-03-16&amp;return_date=2026-03-23&amp;currency=EUR&amp;startStation=9&amp;endStation=29",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2026-03-11</t>
        </is>
      </c>
      <c r="F345" t="inlineStr">
        <is>
          <t>2026-03-18</t>
        </is>
      </c>
      <c r="G345" t="inlineStr">
        <is>
          <t xml:space="preserve"> - Camper Cabin Deluxe</t>
        </is>
      </c>
      <c r="H345">
        <f>HYPERLINK("https://booking.roadsurfer.com/es/rally/pick?pickup_date=2026-03-11&amp;return_date=2026-03-18&amp;currency=EUR&amp;startStation=9&amp;endStation=29",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Camper Castle</t>
        </is>
      </c>
      <c r="H346">
        <f>HYPERLINK("https://booking.roadsurfer.com/es/rally/pick?pickup_date=2026-03-13&amp;return_date=2026-03-20&amp;currency=EUR&amp;startStation=9&amp;endStation=31",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Italia</t>
        </is>
      </c>
      <c r="D347" t="inlineStr">
        <is>
          <t>Florencia</t>
        </is>
      </c>
      <c r="E347" t="inlineStr">
        <is>
          <t>2026-03-09</t>
        </is>
      </c>
      <c r="F347" t="inlineStr">
        <is>
          <t>2026-03-16</t>
        </is>
      </c>
      <c r="G347" t="inlineStr">
        <is>
          <t xml:space="preserve"> - Family Finca</t>
        </is>
      </c>
      <c r="H347">
        <f>HYPERLINK("https://booking.roadsurfer.com/es/rally/pick?pickup_date=2026-03-09&amp;return_date=2026-03-16&amp;currency=EUR&amp;startStation=9&amp;endStation=80",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Italia</t>
        </is>
      </c>
      <c r="D348" t="inlineStr">
        <is>
          <t>Venecia</t>
        </is>
      </c>
      <c r="E348" t="inlineStr">
        <is>
          <t>2026-03-02</t>
        </is>
      </c>
      <c r="F348" t="inlineStr">
        <is>
          <t>2026-03-09</t>
        </is>
      </c>
      <c r="G348" t="inlineStr">
        <is>
          <t xml:space="preserve"> - Family Finca</t>
        </is>
      </c>
      <c r="H348">
        <f>HYPERLINK("https://booking.roadsurfer.com/es/rally/pick?pickup_date=2026-03-02&amp;return_date=2026-03-09&amp;currency=EUR&amp;startStation=9&amp;endStation=78",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Alemania</t>
        </is>
      </c>
      <c r="D349" t="inlineStr">
        <is>
          <t>Colonia-Bonn</t>
        </is>
      </c>
      <c r="E349" t="inlineStr">
        <is>
          <t>2026-03-05</t>
        </is>
      </c>
      <c r="F349" t="inlineStr">
        <is>
          <t>2026-03-12</t>
        </is>
      </c>
      <c r="G349" t="inlineStr">
        <is>
          <t xml:space="preserve"> - Couple Cottage</t>
        </is>
      </c>
      <c r="H349">
        <f>HYPERLINK("https://booking.roadsurfer.com/es/rally/pick?pickup_date=2026-03-05&amp;return_date=2026-03-12&amp;currency=EUR&amp;startStation=9&amp;endStation=52",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Italia</t>
        </is>
      </c>
      <c r="D350" t="inlineStr">
        <is>
          <t>Turín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Cozy Cottage</t>
        </is>
      </c>
      <c r="H350">
        <f>HYPERLINK("https://booking.roadsurfer.com/es/rally/pick?pickup_date=2026-03-16&amp;return_date=2026-03-23&amp;currency=EUR&amp;startStation=9&amp;endStation=58",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Colonia-Bonn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Beach Hostel</t>
        </is>
      </c>
      <c r="H351">
        <f>HYPERLINK("https://booking.roadsurfer.com/es/rally/pick?pickup_date=2026-03-17&amp;return_date=2026-03-24&amp;currency=EUR&amp;startStation=29&amp;endStation=52",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Colonia-Bonn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SURFER SUITE</t>
        </is>
      </c>
      <c r="H352">
        <f>HYPERLINK("https://booking.roadsurfer.com/es/rally/pick?pickup_date=2026-03-16&amp;return_date=2026-03-23&amp;currency=EUR&amp;startStation=29&amp;endStation=52",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2026-03-14</t>
        </is>
      </c>
      <c r="F353" t="inlineStr">
        <is>
          <t>2026-03-21</t>
        </is>
      </c>
      <c r="G353" t="inlineStr">
        <is>
          <t xml:space="preserve"> - Beach Hostel</t>
        </is>
      </c>
      <c r="H353">
        <f>HYPERLINK("https://booking.roadsurfer.com/es/rally/pick?pickup_date=2026-03-14&amp;return_date=2026-03-21&amp;currency=EUR&amp;startStation=29&amp;endStation=52",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Colonia-Bonn</t>
        </is>
      </c>
      <c r="E354" t="inlineStr">
        <is>
          <t>2026-03-18</t>
        </is>
      </c>
      <c r="F354" t="inlineStr">
        <is>
          <t>2026-03-25</t>
        </is>
      </c>
      <c r="G354" t="inlineStr">
        <is>
          <t xml:space="preserve"> - Surfer Suite - Road House</t>
        </is>
      </c>
      <c r="H354">
        <f>HYPERLINK("https://booking.roadsurfer.com/es/rally/pick?pickup_date=2026-03-18&amp;return_date=2026-03-25&amp;currency=EUR&amp;startStation=29&amp;endStation=52",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Fráncfort</t>
        </is>
      </c>
      <c r="E355" t="inlineStr">
        <is>
          <t>2026-03-14</t>
        </is>
      </c>
      <c r="F355" t="inlineStr">
        <is>
          <t>2026-03-21</t>
        </is>
      </c>
      <c r="G355" t="inlineStr">
        <is>
          <t xml:space="preserve"> - Sunrise Suite</t>
        </is>
      </c>
      <c r="H355">
        <f>HYPERLINK("https://booking.roadsurfer.com/es/rally/pick?pickup_date=2026-03-14&amp;return_date=2026-03-21&amp;currency=EUR&amp;startStation=29&amp;endStation=2",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Fráncfort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Surfer Suite</t>
        </is>
      </c>
      <c r="H356">
        <f>HYPERLINK("https://booking.roadsurfer.com/es/rally/pick?pickup_date=2026-03-16&amp;return_date=2026-03-23&amp;currency=EUR&amp;startStation=29&amp;endStation=2",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Beach Hostel</t>
        </is>
      </c>
      <c r="H357">
        <f>HYPERLINK("https://booking.roadsurfer.com/es/rally/pick?pickup_date=2026-03-19&amp;return_date=2026-03-26&amp;currency=EUR&amp;startStation=29&amp;endStation=2",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Fráncfort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Sunrise Suite</t>
        </is>
      </c>
      <c r="H358">
        <f>HYPERLINK("https://booking.roadsurfer.com/es/rally/pick?pickup_date=2026-03-17&amp;return_date=2026-03-24&amp;currency=EUR&amp;startStation=29&amp;endStation=2",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Friburgo-Basilea (Alemania)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Surfer Suite</t>
        </is>
      </c>
      <c r="H359">
        <f>HYPERLINK("https://booking.roadsurfer.com/es/rally/pick?pickup_date=2026-03-17&amp;return_date=2026-03-24&amp;currency=EUR&amp;startStation=29&amp;endStation=9",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Family Finca</t>
        </is>
      </c>
      <c r="H360">
        <f>HYPERLINK("https://booking.roadsurfer.com/es/rally/pick?pickup_date=2026-03-13&amp;return_date=2026-03-20&amp;currency=EUR&amp;startStation=29&amp;endStation=4",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HYPERLINK("https://booking.roadsurfer.com/es/rally/pick?pickup_date=2026-03-17&amp;return_date=2026-03-24&amp;currency=EUR&amp;startStation=29&amp;endStation=4",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No hay coche</t>
        </is>
      </c>
      <c r="H362">
        <f>HYPERLINK("https://booking.roadsurfer.com/es/rally/pick?pickup_date=2026-03-14&amp;return_date=2026-03-21&amp;currency=EUR&amp;startStation=29&amp;endStation=22",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HYPERLINK("https://booking.roadsurfer.com/es/rally/pick?pickup_date=2026-03-19&amp;return_date=2026-03-26&amp;currency=EUR&amp;startStation=29&amp;endStation=22",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2026-03-10</t>
        </is>
      </c>
      <c r="F364" t="inlineStr">
        <is>
          <t>2026-03-17</t>
        </is>
      </c>
      <c r="G364" t="inlineStr">
        <is>
          <t xml:space="preserve"> - BEACH HOSTEL</t>
        </is>
      </c>
      <c r="H364">
        <f>HYPERLINK("https://booking.roadsurfer.com/es/rally/pick?pickup_date=2026-03-10&amp;return_date=2026-03-17&amp;currency=EUR&amp;startStation=77&amp;endStation=6",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2026-03-11</t>
        </is>
      </c>
      <c r="F365" t="inlineStr">
        <is>
          <t>2026-03-18</t>
        </is>
      </c>
      <c r="G365" t="inlineStr">
        <is>
          <t xml:space="preserve"> - Family Finca</t>
        </is>
      </c>
      <c r="H365">
        <f>HYPERLINK("https://booking.roadsurfer.com/es/rally/pick?pickup_date=2026-03-11&amp;return_date=2026-03-18&amp;currency=EUR&amp;startStation=77&amp;endStation=6",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Berlín-Schönefeld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HYPERLINK("https://booking.roadsurfer.com/es/rally/pick?pickup_date=2026-03-19&amp;return_date=2026-03-26&amp;currency=EUR&amp;startStation=77&amp;endStation=51",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Hamburgo</t>
        </is>
      </c>
      <c r="E367" t="inlineStr">
        <is>
          <t>2026-03-14</t>
        </is>
      </c>
      <c r="F367" t="inlineStr">
        <is>
          <t>2026-03-21</t>
        </is>
      </c>
      <c r="G367" t="inlineStr">
        <is>
          <t xml:space="preserve"> - SURFER SUITE</t>
        </is>
      </c>
      <c r="H367">
        <f>HYPERLINK("https://booking.roadsurfer.com/es/rally/pick?pickup_date=2026-03-14&amp;return_date=2026-03-21&amp;currency=EUR&amp;startStation=77&amp;endStation=3",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Hamburgo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Family Finca</t>
        </is>
      </c>
      <c r="H368">
        <f>HYPERLINK("https://booking.roadsurfer.com/es/rally/pick?pickup_date=2026-03-16&amp;return_date=2026-03-23&amp;currency=EUR&amp;startStation=77&amp;endStation=3",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Beach Hostel</t>
        </is>
      </c>
      <c r="H369">
        <f>HYPERLINK("https://booking.roadsurfer.com/es/rally/pick?pickup_date=2026-03-17&amp;return_date=2026-03-24&amp;currency=EUR&amp;startStation=77&amp;endStation=22",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Karlsruhe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Castle</t>
        </is>
      </c>
      <c r="H370">
        <f>HYPERLINK("https://booking.roadsurfer.com/es/rally/pick?pickup_date=2026-03-19&amp;return_date=2026-03-26&amp;currency=EUR&amp;startStation=77&amp;endStation=110",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Maguncia</t>
        </is>
      </c>
      <c r="E371" t="inlineStr">
        <is>
          <t>2026-03-19</t>
        </is>
      </c>
      <c r="F371" t="inlineStr">
        <is>
          <t>2026-03-27</t>
        </is>
      </c>
      <c r="G371" t="inlineStr">
        <is>
          <t xml:space="preserve"> - Camper Castle</t>
        </is>
      </c>
      <c r="H371">
        <f>HYPERLINK("https://booking.roadsurfer.com/es/rally/pick?pickup_date=2026-03-19&amp;return_date=2026-03-27&amp;currency=EUR&amp;startStation=77&amp;endStation=54",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Bielefeld</t>
        </is>
      </c>
      <c r="E372" t="inlineStr">
        <is>
          <t>2026-03-12</t>
        </is>
      </c>
      <c r="F372" t="inlineStr">
        <is>
          <t>2026-03-19</t>
        </is>
      </c>
      <c r="G372" t="inlineStr">
        <is>
          <t xml:space="preserve"> - Travel Home</t>
        </is>
      </c>
      <c r="H372">
        <f>HYPERLINK("https://booking.roadsurfer.com/es/rally/pick?pickup_date=2026-03-12&amp;return_date=2026-03-19&amp;currency=EUR&amp;startStation=37&amp;endStation=91",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Múnich</t>
        </is>
      </c>
      <c r="E373" t="inlineStr">
        <is>
          <t>2026-03-06</t>
        </is>
      </c>
      <c r="F373" t="inlineStr">
        <is>
          <t>2026-03-13</t>
        </is>
      </c>
      <c r="G373" t="inlineStr">
        <is>
          <t xml:space="preserve"> - Camper Castle</t>
        </is>
      </c>
      <c r="H373">
        <f>HYPERLINK("https://booking.roadsurfer.com/es/rally/pick?pickup_date=2026-03-06&amp;return_date=2026-03-13&amp;currency=EUR&amp;startStation=37&amp;endStation=1",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Road House</t>
        </is>
      </c>
      <c r="H374">
        <f>HYPERLINK("https://booking.roadsurfer.com/es/rally/pick?pickup_date=2026-03-17&amp;return_date=2026-03-24&amp;currency=EUR&amp;startStation=37&amp;endStation=56",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2026-03-18</t>
        </is>
      </c>
      <c r="F375" t="inlineStr">
        <is>
          <t>2026-03-25</t>
        </is>
      </c>
      <c r="G375" t="inlineStr">
        <is>
          <t xml:space="preserve"> - Family Finca</t>
        </is>
      </c>
      <c r="H375">
        <f>HYPERLINK("https://booking.roadsurfer.com/es/rally/pick?pickup_date=2026-03-18&amp;return_date=2026-03-25&amp;currency=EUR&amp;startStation=37&amp;endStation=56",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Road House</t>
        </is>
      </c>
      <c r="H376">
        <f>HYPERLINK("https://booking.roadsurfer.com/es/rally/pick?pickup_date=2026-03-16&amp;return_date=2026-03-23&amp;currency=EUR&amp;startStation=37&amp;endStation=56",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2026-03-09</t>
        </is>
      </c>
      <c r="F377" t="inlineStr">
        <is>
          <t>2026-03-16</t>
        </is>
      </c>
      <c r="G377" t="inlineStr">
        <is>
          <t xml:space="preserve"> - Surfer Suite</t>
        </is>
      </c>
      <c r="H377">
        <f>HYPERLINK("https://booking.roadsurfer.com/es/rally/pick?pickup_date=2026-03-09&amp;return_date=2026-03-16&amp;currency=EUR&amp;startStation=37&amp;endStation=90",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2026-03-11</t>
        </is>
      </c>
      <c r="F378" t="inlineStr">
        <is>
          <t>2026-03-18</t>
        </is>
      </c>
      <c r="G378" t="inlineStr">
        <is>
          <t xml:space="preserve"> - Family Finca</t>
        </is>
      </c>
      <c r="H378">
        <f>HYPERLINK("https://booking.roadsurfer.com/es/rally/pick?pickup_date=2026-03-11&amp;return_date=2026-03-18&amp;currency=EUR&amp;startStation=37&amp;endStation=90",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2026-03-10</t>
        </is>
      </c>
      <c r="F379" t="inlineStr">
        <is>
          <t>2026-03-17</t>
        </is>
      </c>
      <c r="G379" t="inlineStr">
        <is>
          <t xml:space="preserve"> - Family Finca</t>
        </is>
      </c>
      <c r="H379">
        <f>HYPERLINK("https://booking.roadsurfer.com/es/rally/pick?pickup_date=2026-03-10&amp;return_date=2026-03-17&amp;currency=EUR&amp;startStation=37&amp;endStation=90",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Leipzig</t>
        </is>
      </c>
      <c r="E380" t="inlineStr">
        <is>
          <t>2026-03-10</t>
        </is>
      </c>
      <c r="F380" t="inlineStr">
        <is>
          <t>2026-03-17</t>
        </is>
      </c>
      <c r="G380" t="inlineStr">
        <is>
          <t xml:space="preserve"> - Family Finca</t>
        </is>
      </c>
      <c r="H380">
        <f>HYPERLINK("https://booking.roadsurfer.com/es/rally/pick?pickup_date=2026-03-10&amp;return_date=2026-03-17&amp;currency=EUR&amp;startStation=37&amp;endStation=8", "Clic para verlo en la web de RoadSurfer")</f>
        <v/>
      </c>
    </row>
    <row r="381">
      <c r="A381" t="inlineStr">
        <is>
          <t>Austria</t>
        </is>
      </c>
      <c r="B381" t="inlineStr">
        <is>
          <t>Graz</t>
        </is>
      </c>
      <c r="C381" t="inlineStr">
        <is>
          <t>Alemania</t>
        </is>
      </c>
      <c r="D381" t="inlineStr">
        <is>
          <t>Leipzig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SURFER SUITE</t>
        </is>
      </c>
      <c r="H381">
        <f>HYPERLINK("https://booking.roadsurfer.com/es/rally/pick?pickup_date=2026-03-12&amp;return_date=2026-03-19&amp;currency=EUR&amp;startStation=37&amp;endStation=8", "Clic para verlo en la web de RoadSurfer")</f>
        <v/>
      </c>
    </row>
    <row r="382">
      <c r="A382" t="inlineStr">
        <is>
          <t>Austria</t>
        </is>
      </c>
      <c r="B382" t="inlineStr">
        <is>
          <t>Graz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2026-03-09</t>
        </is>
      </c>
      <c r="F382" t="inlineStr">
        <is>
          <t>2026-03-16</t>
        </is>
      </c>
      <c r="G382" t="inlineStr">
        <is>
          <t xml:space="preserve"> - FAMILY FINCA</t>
        </is>
      </c>
      <c r="H382">
        <f>HYPERLINK("https://booking.roadsurfer.com/es/rally/pick?pickup_date=2026-03-09&amp;return_date=2026-03-16&amp;currency=EUR&amp;startStation=37&amp;endStation=8",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Colonia-Bonn</t>
        </is>
      </c>
      <c r="E383" t="inlineStr">
        <is>
          <t>2026-03-09</t>
        </is>
      </c>
      <c r="F383" t="inlineStr">
        <is>
          <t>2026-03-16</t>
        </is>
      </c>
      <c r="G383" t="inlineStr">
        <is>
          <t xml:space="preserve"> - Road House</t>
        </is>
      </c>
      <c r="H383">
        <f>HYPERLINK("https://booking.roadsurfer.com/es/rally/pick?pickup_date=2026-03-09&amp;return_date=2026-03-16&amp;currency=EUR&amp;startStation=37&amp;endStation=52",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Austria</t>
        </is>
      </c>
      <c r="D384" t="inlineStr">
        <is>
          <t>Salzburgo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Family Finca</t>
        </is>
      </c>
      <c r="H384">
        <f>HYPERLINK("https://booking.roadsurfer.com/es/rally/pick?pickup_date=2026-03-12&amp;return_date=2026-03-19&amp;currency=EUR&amp;startStation=37&amp;endStation=85",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Austria</t>
        </is>
      </c>
      <c r="D385" t="inlineStr">
        <is>
          <t>Viena Sur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FAMILY FINCA</t>
        </is>
      </c>
      <c r="H385">
        <f>HYPERLINK("https://booking.roadsurfer.com/es/rally/pick?pickup_date=2026-03-12&amp;return_date=2026-03-19&amp;currency=EUR&amp;startStation=37&amp;endStation=45",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2026-03-09</t>
        </is>
      </c>
      <c r="F386" t="inlineStr">
        <is>
          <t>2026-03-16</t>
        </is>
      </c>
      <c r="G386" t="inlineStr">
        <is>
          <t xml:space="preserve"> - Surfer Suite</t>
        </is>
      </c>
      <c r="H386">
        <f>HYPERLINK("https://booking.roadsurfer.com/es/rally/pick?pickup_date=2026-03-09&amp;return_date=2026-03-16&amp;currency=EUR&amp;startStation=37&amp;endStation=36",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Austria</t>
        </is>
      </c>
      <c r="D387" t="inlineStr">
        <is>
          <t>Viena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Surfer Suite</t>
        </is>
      </c>
      <c r="H387">
        <f>HYPERLINK("https://booking.roadsurfer.com/es/rally/pick?pickup_date=2026-03-12&amp;return_date=2026-03-19&amp;currency=EUR&amp;startStation=37&amp;endStation=36",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Países Bajos</t>
        </is>
      </c>
      <c r="D388" t="inlineStr">
        <is>
          <t>Ámsterdam</t>
        </is>
      </c>
      <c r="E388" t="inlineStr">
        <is>
          <t>2026-03-06</t>
        </is>
      </c>
      <c r="F388" t="inlineStr">
        <is>
          <t>2026-03-13</t>
        </is>
      </c>
      <c r="G388" t="inlineStr">
        <is>
          <t xml:space="preserve"> - Camper Cabin Deluxe</t>
        </is>
      </c>
      <c r="H388">
        <f>HYPERLINK("https://booking.roadsurfer.com/es/rally/pick?pickup_date=2026-03-06&amp;return_date=2026-03-13&amp;currency=EUR&amp;startStation=3&amp;endStation=32", "Clic para verlo en la web de RoadSurfer")</f>
        <v/>
      </c>
    </row>
    <row r="389">
      <c r="A389" t="inlineStr">
        <is>
          <t>Alemania</t>
        </is>
      </c>
      <c r="B389" t="inlineStr">
        <is>
          <t>Hamburgo</t>
        </is>
      </c>
      <c r="C389" t="inlineStr">
        <is>
          <t>Países Bajos</t>
        </is>
      </c>
      <c r="D389" t="inlineStr">
        <is>
          <t>Ámsterdam</t>
        </is>
      </c>
      <c r="E389" t="inlineStr">
        <is>
          <t>2026-03-10</t>
        </is>
      </c>
      <c r="F389" t="inlineStr">
        <is>
          <t>2026-03-17</t>
        </is>
      </c>
      <c r="G389" t="inlineStr">
        <is>
          <t xml:space="preserve"> - Surfer Suite</t>
        </is>
      </c>
      <c r="H389">
        <f>HYPERLINK("https://booking.roadsurfer.com/es/rally/pick?pickup_date=2026-03-10&amp;return_date=2026-03-17&amp;currency=EUR&amp;startStation=3&amp;endStation=32", "Clic para verlo en la web de RoadSurfer")</f>
        <v/>
      </c>
    </row>
    <row r="390">
      <c r="A390" t="inlineStr">
        <is>
          <t>Alemania</t>
        </is>
      </c>
      <c r="B390" t="inlineStr">
        <is>
          <t>Hamburgo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Surfer Suite</t>
        </is>
      </c>
      <c r="H390">
        <f>HYPERLINK("https://booking.roadsurfer.com/es/rally/pick?pickup_date=2026-03-19&amp;return_date=2026-03-26&amp;currency=EUR&amp;startStation=3&amp;endStation=33", "Clic para verlo en la web de RoadSurfer")</f>
        <v/>
      </c>
    </row>
    <row r="391">
      <c r="A391" t="inlineStr">
        <is>
          <t>Alemania</t>
        </is>
      </c>
      <c r="B391" t="inlineStr">
        <is>
          <t>Hamburgo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2026-03-09</t>
        </is>
      </c>
      <c r="F391" t="inlineStr">
        <is>
          <t>2026-03-16</t>
        </is>
      </c>
      <c r="G391" t="inlineStr">
        <is>
          <t xml:space="preserve"> - Surfer Suite</t>
        </is>
      </c>
      <c r="H391">
        <f>HYPERLINK("https://booking.roadsurfer.com/es/rally/pick?pickup_date=2026-03-09&amp;return_date=2026-03-16&amp;currency=EUR&amp;startStation=3&amp;endStation=33",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2026-03-23</t>
        </is>
      </c>
      <c r="F392" t="inlineStr">
        <is>
          <t>2026-03-30</t>
        </is>
      </c>
      <c r="G392" t="inlineStr">
        <is>
          <t xml:space="preserve"> - Couple Cottage</t>
        </is>
      </c>
      <c r="H392">
        <f>HYPERLINK("https://booking.roadsurfer.com/es/rally/pick?pickup_date=2026-03-23&amp;return_date=2026-03-30&amp;currency=EUR&amp;startStation=3&amp;endStation=33",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Suecia</t>
        </is>
      </c>
      <c r="D393" t="inlineStr">
        <is>
          <t>Malmö</t>
        </is>
      </c>
      <c r="E393" t="inlineStr">
        <is>
          <t>2026-03-13</t>
        </is>
      </c>
      <c r="F393" t="inlineStr">
        <is>
          <t>2026-03-23</t>
        </is>
      </c>
      <c r="G393" t="inlineStr">
        <is>
          <t xml:space="preserve"> - Surfer Suite</t>
        </is>
      </c>
      <c r="H393">
        <f>HYPERLINK("https://booking.roadsurfer.com/es/rally/pick?pickup_date=2026-03-13&amp;return_date=2026-03-23&amp;currency=EUR&amp;startStation=3&amp;endStation=60",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Surfer Suite - Beach Hostel - Family Finca</t>
        </is>
      </c>
      <c r="H394">
        <f>HYPERLINK("https://booking.roadsurfer.com/es/rally/pick?pickup_date=2026-03-19&amp;return_date=2026-03-26&amp;currency=EUR&amp;startStation=3&amp;endStation=60", "Clic para verlo en la web de RoadSurfer")</f>
        <v/>
      </c>
    </row>
    <row r="395">
      <c r="A395" t="inlineStr">
        <is>
          <t>Alemania</t>
        </is>
      </c>
      <c r="B395" t="inlineStr">
        <is>
          <t>Hamburgo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2026-03-16</t>
        </is>
      </c>
      <c r="F395" t="inlineStr">
        <is>
          <t>2026-03-23</t>
        </is>
      </c>
      <c r="G395" t="inlineStr">
        <is>
          <t xml:space="preserve"> - Surfer Suite</t>
        </is>
      </c>
      <c r="H395">
        <f>HYPERLINK("https://booking.roadsurfer.com/es/rally/pick?pickup_date=2026-03-16&amp;return_date=2026-03-23&amp;currency=EUR&amp;startStation=3&amp;endStation=60",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Suecia</t>
        </is>
      </c>
      <c r="D396" t="inlineStr">
        <is>
          <t>Malmö</t>
        </is>
      </c>
      <c r="E396" t="inlineStr">
        <is>
          <t>2026-03-17</t>
        </is>
      </c>
      <c r="F396" t="inlineStr">
        <is>
          <t>2026-03-24</t>
        </is>
      </c>
      <c r="G396" t="inlineStr">
        <is>
          <t xml:space="preserve"> - Beach Hostel</t>
        </is>
      </c>
      <c r="H396">
        <f>HYPERLINK("https://booking.roadsurfer.com/es/rally/pick?pickup_date=2026-03-17&amp;return_date=2026-03-24&amp;currency=EUR&amp;startStation=3&amp;endStation=60",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Surfer Suite</t>
        </is>
      </c>
      <c r="H397">
        <f>HYPERLINK("https://booking.roadsurfer.com/es/rally/pick?pickup_date=2026-03-14&amp;return_date=2026-03-21&amp;currency=EUR&amp;startStation=3&amp;endStation=77",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2026-03-12</t>
        </is>
      </c>
      <c r="F398" t="inlineStr">
        <is>
          <t>2026-03-19</t>
        </is>
      </c>
      <c r="G398" t="inlineStr">
        <is>
          <t xml:space="preserve"> - Surfer Suite - Family Finca</t>
        </is>
      </c>
      <c r="H398">
        <f>HYPERLINK("https://booking.roadsurfer.com/es/rally/pick?pickup_date=2026-03-12&amp;return_date=2026-03-19&amp;currency=EUR&amp;startStation=3&amp;endStation=77",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2026-03-19</t>
        </is>
      </c>
      <c r="F399" t="inlineStr">
        <is>
          <t>2026-03-26</t>
        </is>
      </c>
      <c r="G399" t="inlineStr">
        <is>
          <t xml:space="preserve"> - Beach Hostel</t>
        </is>
      </c>
      <c r="H399">
        <f>HYPERLINK("https://booking.roadsurfer.com/es/rally/pick?pickup_date=2026-03-19&amp;return_date=2026-03-26&amp;currency=EUR&amp;startStation=3&amp;endStation=77",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2026-03-11</t>
        </is>
      </c>
      <c r="F400" t="inlineStr">
        <is>
          <t>2026-03-21</t>
        </is>
      </c>
      <c r="G400" t="inlineStr">
        <is>
          <t xml:space="preserve"> - Surfer Suite</t>
        </is>
      </c>
      <c r="H400">
        <f>HYPERLINK("https://booking.roadsurfer.com/es/rally/pick?pickup_date=2026-03-11&amp;return_date=2026-03-21&amp;currency=EUR&amp;startStation=3&amp;endStation=77",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2026-03-12</t>
        </is>
      </c>
      <c r="F401" t="inlineStr">
        <is>
          <t>2026-03-19</t>
        </is>
      </c>
      <c r="G401" t="inlineStr">
        <is>
          <t xml:space="preserve"> - Family Finca</t>
        </is>
      </c>
      <c r="H401">
        <f>HYPERLINK("https://booking.roadsurfer.com/es/rally/pick?pickup_date=2026-03-12&amp;return_date=2026-03-19&amp;currency=EUR&amp;startStation=3&amp;endStation=94",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Road House</t>
        </is>
      </c>
      <c r="H402">
        <f>HYPERLINK("https://booking.roadsurfer.com/es/rally/pick?pickup_date=2026-03-19&amp;return_date=2026-03-26&amp;currency=EUR&amp;startStation=3&amp;endStation=59",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Surfer Suite</t>
        </is>
      </c>
      <c r="H403">
        <f>HYPERLINK("https://booking.roadsurfer.com/es/rally/pick?pickup_date=2026-03-13&amp;return_date=2026-03-20&amp;currency=EUR&amp;startStation=3&amp;endStation=59",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2026-03-15</t>
        </is>
      </c>
      <c r="F404" t="inlineStr">
        <is>
          <t>2026-03-22</t>
        </is>
      </c>
      <c r="G404" t="inlineStr">
        <is>
          <t xml:space="preserve"> - No hay coche</t>
        </is>
      </c>
      <c r="H404">
        <f>HYPERLINK("https://booking.roadsurfer.com/es/rally/pick?pickup_date=2026-03-15&amp;return_date=2026-03-22&amp;currency=EUR&amp;startStation=3&amp;endStation=59", "Clic para verlo en la web de RoadSurfer")</f>
        <v/>
      </c>
    </row>
    <row r="405">
      <c r="A405" t="inlineStr">
        <is>
          <t>Alemania</t>
        </is>
      </c>
      <c r="B405" t="inlineStr">
        <is>
          <t>Hamburgo</t>
        </is>
      </c>
      <c r="C405" t="inlineStr">
        <is>
          <t>Suecia</t>
        </is>
      </c>
      <c r="D405" t="inlineStr">
        <is>
          <t>Estocolmo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Surfer Suite</t>
        </is>
      </c>
      <c r="H405">
        <f>HYPERLINK("https://booking.roadsurfer.com/es/rally/pick?pickup_date=2026-03-16&amp;return_date=2026-03-23&amp;currency=EUR&amp;startStation=3&amp;endStation=59", "Clic para verlo en la web de RoadSurfer")</f>
        <v/>
      </c>
    </row>
    <row r="406">
      <c r="A406" t="inlineStr">
        <is>
          <t>Alemania</t>
        </is>
      </c>
      <c r="B406" t="inlineStr">
        <is>
          <t>Hamburgo</t>
        </is>
      </c>
      <c r="C406" t="inlineStr">
        <is>
          <t>Suecia</t>
        </is>
      </c>
      <c r="D406" t="inlineStr">
        <is>
          <t>Estocolmo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Beach Hostel</t>
        </is>
      </c>
      <c r="H406">
        <f>HYPERLINK("https://booking.roadsurfer.com/es/rally/pick?pickup_date=2026-03-17&amp;return_date=2026-03-24&amp;currency=EUR&amp;startStation=3&amp;endStation=59", "Clic para verlo en la web de RoadSurfer")</f>
        <v/>
      </c>
    </row>
    <row r="407">
      <c r="A407" t="inlineStr">
        <is>
          <t>Alemania</t>
        </is>
      </c>
      <c r="B407" t="inlineStr">
        <is>
          <t>Hamburgo</t>
        </is>
      </c>
      <c r="C407" t="inlineStr">
        <is>
          <t>Francia</t>
        </is>
      </c>
      <c r="D407" t="inlineStr">
        <is>
          <t>París Sur (Orly)</t>
        </is>
      </c>
      <c r="E407" t="inlineStr">
        <is>
          <t>2026-03-12</t>
        </is>
      </c>
      <c r="F407" t="inlineStr">
        <is>
          <t>2026-03-19</t>
        </is>
      </c>
      <c r="G407" t="inlineStr">
        <is>
          <t xml:space="preserve"> - Family Finca</t>
        </is>
      </c>
      <c r="H407">
        <f>HYPERLINK("https://booking.roadsurfer.com/es/rally/pick?pickup_date=2026-03-12&amp;return_date=2026-03-19&amp;currency=EUR&amp;startStation=3&amp;endStation=12", "Clic para verlo en la web de RoadSurfer")</f>
        <v/>
      </c>
    </row>
    <row r="408">
      <c r="A408" t="inlineStr">
        <is>
          <t>Alemania</t>
        </is>
      </c>
      <c r="B408" t="inlineStr">
        <is>
          <t>Hamburgo</t>
        </is>
      </c>
      <c r="C408" t="inlineStr">
        <is>
          <t>Italia</t>
        </is>
      </c>
      <c r="D408" t="inlineStr">
        <is>
          <t>Milán</t>
        </is>
      </c>
      <c r="E408" t="inlineStr">
        <is>
          <t>2026-03-19</t>
        </is>
      </c>
      <c r="F408" t="inlineStr">
        <is>
          <t>2026-03-26</t>
        </is>
      </c>
      <c r="G408" t="inlineStr">
        <is>
          <t xml:space="preserve"> - Couple Cottage</t>
        </is>
      </c>
      <c r="H408">
        <f>HYPERLINK("https://booking.roadsurfer.com/es/rally/pick?pickup_date=2026-03-19&amp;return_date=2026-03-26&amp;currency=EUR&amp;startStation=3&amp;endStation=34", "Clic para verlo en la web de RoadSurfer")</f>
        <v/>
      </c>
    </row>
    <row r="409">
      <c r="A409" t="inlineStr">
        <is>
          <t>Alemania</t>
        </is>
      </c>
      <c r="B409" t="inlineStr">
        <is>
          <t>Hamburgo</t>
        </is>
      </c>
      <c r="C409" t="inlineStr">
        <is>
          <t>Austria</t>
        </is>
      </c>
      <c r="D409" t="inlineStr">
        <is>
          <t>Graz</t>
        </is>
      </c>
      <c r="E409" t="inlineStr">
        <is>
          <t>2026-03-12</t>
        </is>
      </c>
      <c r="F409" t="inlineStr">
        <is>
          <t>2026-03-19</t>
        </is>
      </c>
      <c r="G409" t="inlineStr">
        <is>
          <t xml:space="preserve"> - ROAD HOUSE</t>
        </is>
      </c>
      <c r="H409">
        <f>HYPERLINK("https://booking.roadsurfer.com/es/rally/pick?pickup_date=2026-03-12&amp;return_date=2026-03-19&amp;currency=EUR&amp;startStation=3&amp;endStation=37",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Francia</t>
        </is>
      </c>
      <c r="D410" t="inlineStr">
        <is>
          <t>París Aeropuerto CDG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FAMILY FINCA</t>
        </is>
      </c>
      <c r="H410">
        <f>HYPERLINK("https://booking.roadsurfer.com/es/rally/pick?pickup_date=2026-03-14&amp;return_date=2026-03-21&amp;currency=EUR&amp;startStation=3&amp;endStation=48", "Clic para verlo en la web de RoadSurfer")</f>
        <v/>
      </c>
    </row>
    <row r="411">
      <c r="A411" t="inlineStr">
        <is>
          <t>Alemania</t>
        </is>
      </c>
      <c r="B411" t="inlineStr">
        <is>
          <t>Hannover</t>
        </is>
      </c>
      <c r="C411" t="inlineStr">
        <is>
          <t>Países Bajos</t>
        </is>
      </c>
      <c r="D411" t="inlineStr">
        <is>
          <t>Róterdam</t>
        </is>
      </c>
      <c r="E411" t="inlineStr">
        <is>
          <t>2026-03-05</t>
        </is>
      </c>
      <c r="F411" t="inlineStr">
        <is>
          <t>2026-03-12</t>
        </is>
      </c>
      <c r="G411" t="inlineStr">
        <is>
          <t xml:space="preserve"> - Surfer Suite</t>
        </is>
      </c>
      <c r="H411">
        <f>HYPERLINK("https://booking.roadsurfer.com/es/rally/pick?pickup_date=2026-03-05&amp;return_date=2026-03-12&amp;currency=EUR&amp;startStation=7&amp;endStation=33", "Clic para verlo en la web de RoadSurfer")</f>
        <v/>
      </c>
    </row>
    <row r="412">
      <c r="A412" t="inlineStr">
        <is>
          <t>Alemania</t>
        </is>
      </c>
      <c r="B412" t="inlineStr">
        <is>
          <t>Hannover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2026-03-13</t>
        </is>
      </c>
      <c r="F412" t="inlineStr">
        <is>
          <t>2026-03-23</t>
        </is>
      </c>
      <c r="G412" t="inlineStr">
        <is>
          <t xml:space="preserve"> - Surfer Suite - Road House</t>
        </is>
      </c>
      <c r="H412">
        <f>HYPERLINK("https://booking.roadsurfer.com/es/rally/pick?pickup_date=2026-03-13&amp;return_date=2026-03-23&amp;currency=EUR&amp;startStation=7&amp;endStation=77", "Clic para verlo en la web de RoadSurfer")</f>
        <v/>
      </c>
    </row>
    <row r="413">
      <c r="A413" t="inlineStr">
        <is>
          <t>Alemania</t>
        </is>
      </c>
      <c r="B413" t="inlineStr">
        <is>
          <t>Hannover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2026-03-10</t>
        </is>
      </c>
      <c r="F413" t="inlineStr">
        <is>
          <t>2026-03-20</t>
        </is>
      </c>
      <c r="G413" t="inlineStr">
        <is>
          <t xml:space="preserve"> - Surfer Suite</t>
        </is>
      </c>
      <c r="H413">
        <f>HYPERLINK("https://booking.roadsurfer.com/es/rally/pick?pickup_date=2026-03-10&amp;return_date=2026-03-20&amp;currency=EUR&amp;startStation=7&amp;endStation=77", "Clic para verlo en la web de RoadSurfer")</f>
        <v/>
      </c>
    </row>
    <row r="414">
      <c r="A414" t="inlineStr">
        <is>
          <t>Alemania</t>
        </is>
      </c>
      <c r="B414" t="inlineStr">
        <is>
          <t>Hannover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2026-03-13</t>
        </is>
      </c>
      <c r="F414" t="inlineStr">
        <is>
          <t>2026-03-20</t>
        </is>
      </c>
      <c r="G414" t="inlineStr">
        <is>
          <t xml:space="preserve"> - Surfer Suite - Road House</t>
        </is>
      </c>
      <c r="H414">
        <f>HYPERLINK("https://booking.roadsurfer.com/es/rally/pick?pickup_date=2026-03-13&amp;return_date=2026-03-20&amp;currency=EUR&amp;startStation=7&amp;endStation=77", "Clic para verlo en la web de RoadSurfer")</f>
        <v/>
      </c>
    </row>
    <row r="415">
      <c r="A415" t="inlineStr">
        <is>
          <t>Alemania</t>
        </is>
      </c>
      <c r="B415" t="inlineStr">
        <is>
          <t>Hannover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2026-03-13</t>
        </is>
      </c>
      <c r="F415" t="inlineStr">
        <is>
          <t>2026-03-23</t>
        </is>
      </c>
      <c r="G415" t="inlineStr">
        <is>
          <t xml:space="preserve"> - Family Finca</t>
        </is>
      </c>
      <c r="H415">
        <f>HYPERLINK("https://booking.roadsurfer.com/es/rally/pick?pickup_date=2026-03-13&amp;return_date=2026-03-23&amp;currency=EUR&amp;startStation=7&amp;endStation=60", "Clic para verlo en la web de RoadSurfer")</f>
        <v/>
      </c>
    </row>
    <row r="416">
      <c r="A416" t="inlineStr">
        <is>
          <t>Alemania</t>
        </is>
      </c>
      <c r="B416" t="inlineStr">
        <is>
          <t>Hannover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2026-03-13</t>
        </is>
      </c>
      <c r="F416" t="inlineStr">
        <is>
          <t>2026-03-20</t>
        </is>
      </c>
      <c r="G416" t="inlineStr">
        <is>
          <t xml:space="preserve"> - Surfer Suite - Family Finca</t>
        </is>
      </c>
      <c r="H416">
        <f>HYPERLINK("https://booking.roadsurfer.com/es/rally/pick?pickup_date=2026-03-13&amp;return_date=2026-03-20&amp;currency=EUR&amp;startStation=7&amp;endStation=60", "Clic para verlo en la web de RoadSurfer")</f>
        <v/>
      </c>
    </row>
    <row r="417">
      <c r="A417" t="inlineStr">
        <is>
          <t>Alemania</t>
        </is>
      </c>
      <c r="B417" t="inlineStr">
        <is>
          <t>Hannover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2026-03-13</t>
        </is>
      </c>
      <c r="F417" t="inlineStr">
        <is>
          <t>2026-03-23</t>
        </is>
      </c>
      <c r="G417" t="inlineStr">
        <is>
          <t xml:space="preserve"> - Road House</t>
        </is>
      </c>
      <c r="H417">
        <f>HYPERLINK("https://booking.roadsurfer.com/es/rally/pick?pickup_date=2026-03-13&amp;return_date=2026-03-23&amp;currency=EUR&amp;startStation=7&amp;endStation=59", "Clic para verlo en la web de RoadSurfer")</f>
        <v/>
      </c>
    </row>
    <row r="418">
      <c r="A418" t="inlineStr">
        <is>
          <t>Alemania</t>
        </is>
      </c>
      <c r="B418" t="inlineStr">
        <is>
          <t>Hannover</t>
        </is>
      </c>
      <c r="C418" t="inlineStr">
        <is>
          <t>Suecia</t>
        </is>
      </c>
      <c r="D418" t="inlineStr">
        <is>
          <t>Estocolmo</t>
        </is>
      </c>
      <c r="E418" t="inlineStr">
        <is>
          <t>2026-03-11</t>
        </is>
      </c>
      <c r="F418" t="inlineStr">
        <is>
          <t>2026-03-21</t>
        </is>
      </c>
      <c r="G418" t="inlineStr">
        <is>
          <t xml:space="preserve"> - Family Finca</t>
        </is>
      </c>
      <c r="H418">
        <f>HYPERLINK("https://booking.roadsurfer.com/es/rally/pick?pickup_date=2026-03-11&amp;return_date=2026-03-21&amp;currency=EUR&amp;startStation=7&amp;endStation=59", "Clic para verlo en la web de RoadSurfer")</f>
        <v/>
      </c>
    </row>
    <row r="419">
      <c r="A419" t="inlineStr">
        <is>
          <t>Alemania</t>
        </is>
      </c>
      <c r="B419" t="inlineStr">
        <is>
          <t>Hannover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2026-03-12</t>
        </is>
      </c>
      <c r="F419" t="inlineStr">
        <is>
          <t>2026-03-19</t>
        </is>
      </c>
      <c r="G419" t="inlineStr">
        <is>
          <t xml:space="preserve"> - Surfer Suite - Family Finca</t>
        </is>
      </c>
      <c r="H419">
        <f>HYPERLINK("https://booking.roadsurfer.com/es/rally/pick?pickup_date=2026-03-12&amp;return_date=2026-03-19&amp;currency=EUR&amp;startStation=7&amp;endStation=59", "Clic para verlo en la web de RoadSurfer")</f>
        <v/>
      </c>
    </row>
    <row r="420">
      <c r="A420" t="inlineStr">
        <is>
          <t>Alemania</t>
        </is>
      </c>
      <c r="B420" t="inlineStr">
        <is>
          <t>Hannover</t>
        </is>
      </c>
      <c r="C420" t="inlineStr">
        <is>
          <t>Suecia</t>
        </is>
      </c>
      <c r="D420" t="inlineStr">
        <is>
          <t>Estocolmo</t>
        </is>
      </c>
      <c r="E420" t="inlineStr">
        <is>
          <t>2026-03-14</t>
        </is>
      </c>
      <c r="F420" t="inlineStr">
        <is>
          <t>2026-03-21</t>
        </is>
      </c>
      <c r="G420" t="inlineStr">
        <is>
          <t xml:space="preserve"> - Surfer Suite - Road House - Family Finca</t>
        </is>
      </c>
      <c r="H420">
        <f>HYPERLINK("https://booking.roadsurfer.com/es/rally/pick?pickup_date=2026-03-14&amp;return_date=2026-03-21&amp;currency=EUR&amp;startStation=7&amp;endStation=59", "Clic para verlo en la web de RoadSurfer")</f>
        <v/>
      </c>
    </row>
    <row r="421">
      <c r="A421" t="inlineStr">
        <is>
          <t>Alemania</t>
        </is>
      </c>
      <c r="B421" t="inlineStr">
        <is>
          <t>Hannover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Surfer Suite - Road House - Couple Cottage</t>
        </is>
      </c>
      <c r="H421">
        <f>HYPERLINK("https://booking.roadsurfer.com/es/rally/pick?pickup_date=2026-03-16&amp;return_date=2026-03-23&amp;currency=EUR&amp;startStation=7&amp;endStation=59", "Clic para verlo en la web de RoadSurfer")</f>
        <v/>
      </c>
    </row>
    <row r="422">
      <c r="A422" t="inlineStr">
        <is>
          <t>Alemania</t>
        </is>
      </c>
      <c r="B422" t="inlineStr">
        <is>
          <t>Hannover</t>
        </is>
      </c>
      <c r="C422" t="inlineStr">
        <is>
          <t>Suecia</t>
        </is>
      </c>
      <c r="D422" t="inlineStr">
        <is>
          <t>Estocolmo</t>
        </is>
      </c>
      <c r="E422" t="inlineStr">
        <is>
          <t>2026-03-13</t>
        </is>
      </c>
      <c r="F422" t="inlineStr">
        <is>
          <t>2026-03-20</t>
        </is>
      </c>
      <c r="G422" t="inlineStr">
        <is>
          <t xml:space="preserve"> - Surfer Suite - Road House - Family Finca</t>
        </is>
      </c>
      <c r="H422">
        <f>HYPERLINK("https://booking.roadsurfer.com/es/rally/pick?pickup_date=2026-03-13&amp;return_date=2026-03-20&amp;currency=EUR&amp;startStation=7&amp;endStation=59", "Clic para verlo en la web de RoadSurfer")</f>
        <v/>
      </c>
    </row>
    <row r="423">
      <c r="A423" t="inlineStr">
        <is>
          <t>Alemania</t>
        </is>
      </c>
      <c r="B423" t="inlineStr">
        <is>
          <t>Hannover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Couple Cottage</t>
        </is>
      </c>
      <c r="H423">
        <f>HYPERLINK("https://booking.roadsurfer.com/es/rally/pick?pickup_date=2026-03-17&amp;return_date=2026-03-24&amp;currency=EUR&amp;startStation=7&amp;endStation=59", "Clic para verlo en la web de RoadSurfer")</f>
        <v/>
      </c>
    </row>
    <row r="424">
      <c r="A424" t="inlineStr">
        <is>
          <t>Alemania</t>
        </is>
      </c>
      <c r="B424" t="inlineStr">
        <is>
          <t>Hannover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Road House</t>
        </is>
      </c>
      <c r="H424">
        <f>HYPERLINK("https://booking.roadsurfer.com/es/rally/pick?pickup_date=2026-03-19&amp;return_date=2026-03-26&amp;currency=EUR&amp;startStation=7&amp;endStation=59", "Clic para verlo en la web de RoadSurfer")</f>
        <v/>
      </c>
    </row>
    <row r="425">
      <c r="A425" t="inlineStr">
        <is>
          <t>Alemania</t>
        </is>
      </c>
      <c r="B425" t="inlineStr">
        <is>
          <t>Hannover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Road House</t>
        </is>
      </c>
      <c r="H425">
        <f>HYPERLINK("https://booking.roadsurfer.com/es/rally/pick?pickup_date=2026-03-09&amp;return_date=2026-03-16&amp;currency=EUR&amp;startStation=7&amp;endStation=29", "Clic para verlo en la web de RoadSurfer")</f>
        <v/>
      </c>
    </row>
    <row r="426">
      <c r="A426" t="inlineStr">
        <is>
          <t>Alemania</t>
        </is>
      </c>
      <c r="B426" t="inlineStr">
        <is>
          <t>Hannover</t>
        </is>
      </c>
      <c r="C426" t="inlineStr">
        <is>
          <t>España</t>
        </is>
      </c>
      <c r="D426" t="inlineStr">
        <is>
          <t>Málaga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Couple Cottage</t>
        </is>
      </c>
      <c r="H426">
        <f>HYPERLINK("https://booking.roadsurfer.com/es/rally/pick?pickup_date=2026-03-16&amp;return_date=2026-03-23&amp;currency=EUR&amp;startStation=7&amp;endStation=21", "Clic para verlo en la web de RoadSurfer")</f>
        <v/>
      </c>
    </row>
    <row r="427">
      <c r="A427" t="inlineStr">
        <is>
          <t>Alemania</t>
        </is>
      </c>
      <c r="B427" t="inlineStr">
        <is>
          <t>Hannover</t>
        </is>
      </c>
      <c r="C427" t="inlineStr">
        <is>
          <t>Alemania</t>
        </is>
      </c>
      <c r="D427" t="inlineStr">
        <is>
          <t>Kiel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Surfer Suite</t>
        </is>
      </c>
      <c r="H427">
        <f>HYPERLINK("https://booking.roadsurfer.com/es/rally/pick?pickup_date=2026-03-16&amp;return_date=2026-03-23&amp;currency=EUR&amp;startStation=7&amp;endStation=111", "Clic para verlo en la web de RoadSurfer")</f>
        <v/>
      </c>
    </row>
    <row r="428">
      <c r="A428" t="inlineStr">
        <is>
          <t>Alemania</t>
        </is>
      </c>
      <c r="B428" t="inlineStr">
        <is>
          <t>Heidelberg</t>
        </is>
      </c>
      <c r="C428" t="inlineStr">
        <is>
          <t>Francia</t>
        </is>
      </c>
      <c r="D428" t="inlineStr">
        <is>
          <t>Lyon</t>
        </is>
      </c>
      <c r="E428" t="inlineStr">
        <is>
          <t>2026-03-09</t>
        </is>
      </c>
      <c r="F428" t="inlineStr">
        <is>
          <t>2026-03-16</t>
        </is>
      </c>
      <c r="G428" t="inlineStr">
        <is>
          <t xml:space="preserve"> - Family Finca</t>
        </is>
      </c>
      <c r="H428">
        <f>HYPERLINK("https://booking.roadsurfer.com/es/rally/pick?pickup_date=2026-03-09&amp;return_date=2026-03-16&amp;currency=EUR&amp;startStation=79&amp;endStation=15", "Clic para verlo en la web de RoadSurfer")</f>
        <v/>
      </c>
    </row>
    <row r="429">
      <c r="A429" t="inlineStr">
        <is>
          <t>Austria</t>
        </is>
      </c>
      <c r="B429" t="inlineStr">
        <is>
          <t>Innsbruck-Wiesing</t>
        </is>
      </c>
      <c r="C429" t="inlineStr">
        <is>
          <t>Austria</t>
        </is>
      </c>
      <c r="D429" t="inlineStr">
        <is>
          <t>Viena</t>
        </is>
      </c>
      <c r="E429" t="inlineStr">
        <is>
          <t>2026-03-02</t>
        </is>
      </c>
      <c r="F429" t="inlineStr">
        <is>
          <t>2026-03-09</t>
        </is>
      </c>
      <c r="G429" t="inlineStr">
        <is>
          <t xml:space="preserve"> - BEACH HOSTEL</t>
        </is>
      </c>
      <c r="H429">
        <f>HYPERLINK("https://booking.roadsurfer.com/es/rally/pick?pickup_date=2026-03-02&amp;return_date=2026-03-09&amp;currency=EUR&amp;startStation=46&amp;endStation=36", "Clic para verlo en la web de RoadSurfer")</f>
        <v/>
      </c>
    </row>
    <row r="430">
      <c r="A430" t="inlineStr">
        <is>
          <t>Austria</t>
        </is>
      </c>
      <c r="B430" t="inlineStr">
        <is>
          <t>Innsbruck-Wiesing</t>
        </is>
      </c>
      <c r="C430" t="inlineStr">
        <is>
          <t>Austria</t>
        </is>
      </c>
      <c r="D430" t="inlineStr">
        <is>
          <t>Viena</t>
        </is>
      </c>
      <c r="E430" t="inlineStr">
        <is>
          <t>2026-03-05</t>
        </is>
      </c>
      <c r="F430" t="inlineStr">
        <is>
          <t>2026-03-12</t>
        </is>
      </c>
      <c r="G430" t="inlineStr">
        <is>
          <t xml:space="preserve"> - Road House</t>
        </is>
      </c>
      <c r="H430">
        <f>HYPERLINK("https://booking.roadsurfer.com/es/rally/pick?pickup_date=2026-03-05&amp;return_date=2026-03-12&amp;currency=EUR&amp;startStation=46&amp;endStation=36", "Clic para verlo en la web de RoadSurfer")</f>
        <v/>
      </c>
    </row>
    <row r="431">
      <c r="A431" t="inlineStr">
        <is>
          <t>Austria</t>
        </is>
      </c>
      <c r="B431" t="inlineStr">
        <is>
          <t>Innsbruck-Wiesing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Road House</t>
        </is>
      </c>
      <c r="H431">
        <f>HYPERLINK("https://booking.roadsurfer.com/es/rally/pick?pickup_date=2026-03-09&amp;return_date=2026-03-16&amp;currency=EUR&amp;startStation=46&amp;endStation=1", "Clic para verlo en la web de RoadSurfer")</f>
        <v/>
      </c>
    </row>
    <row r="432">
      <c r="A432" t="inlineStr">
        <is>
          <t>Austria</t>
        </is>
      </c>
      <c r="B432" t="inlineStr">
        <is>
          <t>Innsbruck-Wiesing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2026-03-02</t>
        </is>
      </c>
      <c r="F432" t="inlineStr">
        <is>
          <t>2026-03-09</t>
        </is>
      </c>
      <c r="G432" t="inlineStr">
        <is>
          <t xml:space="preserve"> - Road House</t>
        </is>
      </c>
      <c r="H432">
        <f>HYPERLINK("https://booking.roadsurfer.com/es/rally/pick?pickup_date=2026-03-02&amp;return_date=2026-03-09&amp;currency=EUR&amp;startStation=46&amp;endStation=1", "Clic para verlo en la web de RoadSurfer")</f>
        <v/>
      </c>
    </row>
    <row r="433">
      <c r="A433" t="inlineStr">
        <is>
          <t>Austria</t>
        </is>
      </c>
      <c r="B433" t="inlineStr">
        <is>
          <t>Innsbruck-Wiesing</t>
        </is>
      </c>
      <c r="C433" t="inlineStr">
        <is>
          <t>Austria</t>
        </is>
      </c>
      <c r="D433" t="inlineStr">
        <is>
          <t>Viena Sur</t>
        </is>
      </c>
      <c r="E433" t="inlineStr">
        <is>
          <t>2026-03-09</t>
        </is>
      </c>
      <c r="F433" t="inlineStr">
        <is>
          <t>2026-03-16</t>
        </is>
      </c>
      <c r="G433" t="inlineStr">
        <is>
          <t xml:space="preserve"> - Family Finca</t>
        </is>
      </c>
      <c r="H433">
        <f>HYPERLINK("https://booking.roadsurfer.com/es/rally/pick?pickup_date=2026-03-09&amp;return_date=2026-03-16&amp;currency=EUR&amp;startStation=46&amp;endStation=45", "Clic para verlo en la web de RoadSurfer")</f>
        <v/>
      </c>
    </row>
    <row r="434">
      <c r="A434" t="inlineStr">
        <is>
          <t>Austria</t>
        </is>
      </c>
      <c r="B434" t="inlineStr">
        <is>
          <t>Innsbruck-Wiesing</t>
        </is>
      </c>
      <c r="C434" t="inlineStr">
        <is>
          <t>Austria</t>
        </is>
      </c>
      <c r="D434" t="inlineStr">
        <is>
          <t>Viena Sur</t>
        </is>
      </c>
      <c r="E434" t="inlineStr">
        <is>
          <t>2026-03-05</t>
        </is>
      </c>
      <c r="F434" t="inlineStr">
        <is>
          <t>2026-03-12</t>
        </is>
      </c>
      <c r="G434" t="inlineStr">
        <is>
          <t xml:space="preserve"> - Family Finca</t>
        </is>
      </c>
      <c r="H434">
        <f>HYPERLINK("https://booking.roadsurfer.com/es/rally/pick?pickup_date=2026-03-05&amp;return_date=2026-03-12&amp;currency=EUR&amp;startStation=46&amp;endStation=45", "Clic para verlo en la web de RoadSurfer")</f>
        <v/>
      </c>
    </row>
    <row r="435">
      <c r="A435" t="inlineStr">
        <is>
          <t>Austria</t>
        </is>
      </c>
      <c r="B435" t="inlineStr">
        <is>
          <t>Innsbruck-Wiesing</t>
        </is>
      </c>
      <c r="C435" t="inlineStr">
        <is>
          <t>Austria</t>
        </is>
      </c>
      <c r="D435" t="inlineStr">
        <is>
          <t>Graz</t>
        </is>
      </c>
      <c r="E435" t="inlineStr">
        <is>
          <t>2026-03-16</t>
        </is>
      </c>
      <c r="F435" t="inlineStr">
        <is>
          <t>2026-03-23</t>
        </is>
      </c>
      <c r="G435" t="inlineStr">
        <is>
          <t xml:space="preserve"> - Camper Cabin</t>
        </is>
      </c>
      <c r="H435">
        <f>HYPERLINK("https://booking.roadsurfer.com/es/rally/pick?pickup_date=2026-03-16&amp;return_date=2026-03-23&amp;currency=EUR&amp;startStation=46&amp;endStation=37", "Clic para verlo en la web de RoadSurfer")</f>
        <v/>
      </c>
    </row>
    <row r="436">
      <c r="A436" t="inlineStr">
        <is>
          <t>Austria</t>
        </is>
      </c>
      <c r="B436" t="inlineStr">
        <is>
          <t>Innsbruck-Wiesing</t>
        </is>
      </c>
      <c r="C436" t="inlineStr">
        <is>
          <t>Alemania</t>
        </is>
      </c>
      <c r="D436" t="inlineStr">
        <is>
          <t>Aquisgrán</t>
        </is>
      </c>
      <c r="E436" t="inlineStr">
        <is>
          <t>2026-03-02</t>
        </is>
      </c>
      <c r="F436" t="inlineStr">
        <is>
          <t>2026-03-09</t>
        </is>
      </c>
      <c r="G436" t="inlineStr">
        <is>
          <t xml:space="preserve"> - Camper Cabin</t>
        </is>
      </c>
      <c r="H436">
        <f>HYPERLINK("https://booking.roadsurfer.com/es/rally/pick?pickup_date=2026-03-02&amp;return_date=2026-03-09&amp;currency=EUR&amp;startStation=46&amp;endStation=114", "Clic para verlo en la web de RoadSurfer")</f>
        <v/>
      </c>
    </row>
    <row r="437">
      <c r="A437" t="inlineStr">
        <is>
          <t>Alemania</t>
        </is>
      </c>
      <c r="B437" t="inlineStr">
        <is>
          <t>Karlsruhe</t>
        </is>
      </c>
      <c r="C437" t="inlineStr">
        <is>
          <t>Francia</t>
        </is>
      </c>
      <c r="D437" t="inlineStr">
        <is>
          <t>Lyon</t>
        </is>
      </c>
      <c r="E437" t="inlineStr">
        <is>
          <t>2026-03-10</t>
        </is>
      </c>
      <c r="F437" t="inlineStr">
        <is>
          <t>2026-03-17</t>
        </is>
      </c>
      <c r="G437" t="inlineStr">
        <is>
          <t xml:space="preserve"> - Surfer Suite</t>
        </is>
      </c>
      <c r="H437">
        <f>HYPERLINK("https://booking.roadsurfer.com/es/rally/pick?pickup_date=2026-03-10&amp;return_date=2026-03-17&amp;currency=EUR&amp;startStation=110&amp;endStation=15", "Clic para verlo en la web de RoadSurfer")</f>
        <v/>
      </c>
    </row>
    <row r="438">
      <c r="A438" t="inlineStr">
        <is>
          <t>Alemania</t>
        </is>
      </c>
      <c r="B438" t="inlineStr">
        <is>
          <t>Karlsruhe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2026-03-13</t>
        </is>
      </c>
      <c r="F438" t="inlineStr">
        <is>
          <t>2026-03-23</t>
        </is>
      </c>
      <c r="G438" t="inlineStr">
        <is>
          <t xml:space="preserve"> - Surfer Suite</t>
        </is>
      </c>
      <c r="H438">
        <f>HYPERLINK("https://booking.roadsurfer.com/es/rally/pick?pickup_date=2026-03-13&amp;return_date=2026-03-23&amp;currency=EUR&amp;startStation=110&amp;endStation=33", "Clic para verlo en la web de RoadSurfer")</f>
        <v/>
      </c>
    </row>
    <row r="439">
      <c r="A439" t="inlineStr">
        <is>
          <t>Alemania</t>
        </is>
      </c>
      <c r="B439" t="inlineStr">
        <is>
          <t>Karlsruhe</t>
        </is>
      </c>
      <c r="C439" t="inlineStr">
        <is>
          <t>Francia</t>
        </is>
      </c>
      <c r="D439" t="inlineStr">
        <is>
          <t>Estrasburgo</t>
        </is>
      </c>
      <c r="E439" t="inlineStr">
        <is>
          <t>2026-03-14</t>
        </is>
      </c>
      <c r="F439" t="inlineStr">
        <is>
          <t>2026-03-21</t>
        </is>
      </c>
      <c r="G439" t="inlineStr">
        <is>
          <t xml:space="preserve"> - Road House</t>
        </is>
      </c>
      <c r="H439">
        <f>HYPERLINK("https://booking.roadsurfer.com/es/rally/pick?pickup_date=2026-03-14&amp;return_date=2026-03-21&amp;currency=EUR&amp;startStation=110&amp;endStation=49", "Clic para verlo en la web de RoadSurfer")</f>
        <v/>
      </c>
    </row>
    <row r="440">
      <c r="A440" t="inlineStr">
        <is>
          <t>Alemania</t>
        </is>
      </c>
      <c r="B440" t="inlineStr">
        <is>
          <t>Karlsruhe</t>
        </is>
      </c>
      <c r="C440" t="inlineStr">
        <is>
          <t>Alemania</t>
        </is>
      </c>
      <c r="D440" t="inlineStr">
        <is>
          <t>Heidelberg</t>
        </is>
      </c>
      <c r="E440" t="inlineStr">
        <is>
          <t>2026-03-16</t>
        </is>
      </c>
      <c r="F440" t="inlineStr">
        <is>
          <t>2026-03-23</t>
        </is>
      </c>
      <c r="G440" t="inlineStr">
        <is>
          <t xml:space="preserve"> - Surfer Suite</t>
        </is>
      </c>
      <c r="H440">
        <f>HYPERLINK("https://booking.roadsurfer.com/es/rally/pick?pickup_date=2026-03-16&amp;return_date=2026-03-23&amp;currency=EUR&amp;startStation=110&amp;endStation=79", "Clic para verlo en la web de RoadSurfer")</f>
        <v/>
      </c>
    </row>
    <row r="441">
      <c r="A441" t="inlineStr">
        <is>
          <t>Alemania</t>
        </is>
      </c>
      <c r="B441" t="inlineStr">
        <is>
          <t>Kassel</t>
        </is>
      </c>
      <c r="C441" t="inlineStr">
        <is>
          <t>Alemania</t>
        </is>
      </c>
      <c r="D441" t="inlineStr">
        <is>
          <t>Heidelberg</t>
        </is>
      </c>
      <c r="E441" t="inlineStr">
        <is>
          <t>2026-03-09</t>
        </is>
      </c>
      <c r="F441" t="inlineStr">
        <is>
          <t>2026-03-16</t>
        </is>
      </c>
      <c r="G441" t="inlineStr">
        <is>
          <t xml:space="preserve"> - Surfer Suite</t>
        </is>
      </c>
      <c r="H441">
        <f>HYPERLINK("https://booking.roadsurfer.com/es/rally/pick?pickup_date=2026-03-09&amp;return_date=2026-03-16&amp;currency=EUR&amp;startStation=92&amp;endStation=79", "Clic para verlo en la web de RoadSurfer")</f>
        <v/>
      </c>
    </row>
    <row r="442">
      <c r="A442" t="inlineStr">
        <is>
          <t>Alemania</t>
        </is>
      </c>
      <c r="B442" t="inlineStr">
        <is>
          <t>Kassel</t>
        </is>
      </c>
      <c r="C442" t="inlineStr">
        <is>
          <t>Alemania</t>
        </is>
      </c>
      <c r="D442" t="inlineStr">
        <is>
          <t>Heidelberg</t>
        </is>
      </c>
      <c r="E442" t="inlineStr">
        <is>
          <t>2026-03-12</t>
        </is>
      </c>
      <c r="F442" t="inlineStr">
        <is>
          <t>2026-03-19</t>
        </is>
      </c>
      <c r="G442" t="inlineStr">
        <is>
          <t xml:space="preserve"> - Surfer Suite</t>
        </is>
      </c>
      <c r="H442">
        <f>HYPERLINK("https://booking.roadsurfer.com/es/rally/pick?pickup_date=2026-03-12&amp;return_date=2026-03-19&amp;currency=EUR&amp;startStation=92&amp;endStation=79", "Clic para verlo en la web de RoadSurfer")</f>
        <v/>
      </c>
    </row>
    <row r="443">
      <c r="A443" t="inlineStr">
        <is>
          <t>Alemania</t>
        </is>
      </c>
      <c r="B443" t="inlineStr">
        <is>
          <t>Kassel</t>
        </is>
      </c>
      <c r="C443" t="inlineStr">
        <is>
          <t>Alemania</t>
        </is>
      </c>
      <c r="D443" t="inlineStr">
        <is>
          <t>Ulm</t>
        </is>
      </c>
      <c r="E443" t="inlineStr">
        <is>
          <t>2026-03-16</t>
        </is>
      </c>
      <c r="F443" t="inlineStr">
        <is>
          <t>2026-03-23</t>
        </is>
      </c>
      <c r="G443" t="inlineStr">
        <is>
          <t xml:space="preserve"> - Surfer Suite</t>
        </is>
      </c>
      <c r="H443">
        <f>HYPERLINK("https://booking.roadsurfer.com/es/rally/pick?pickup_date=2026-03-16&amp;return_date=2026-03-23&amp;currency=EUR&amp;startStation=92&amp;endStation=112", "Clic para verlo en la web de RoadSurfer")</f>
        <v/>
      </c>
    </row>
    <row r="444">
      <c r="A444" t="inlineStr">
        <is>
          <t>EE.UU.</t>
        </is>
      </c>
      <c r="B444" t="inlineStr">
        <is>
          <t>Las Vegas</t>
        </is>
      </c>
      <c r="C444" t="inlineStr">
        <is>
          <t>EE.UU.</t>
        </is>
      </c>
      <c r="D444" t="inlineStr">
        <is>
          <t>Dallas</t>
        </is>
      </c>
      <c r="E444" t="inlineStr">
        <is>
          <t>2026-02-13</t>
        </is>
      </c>
      <c r="F444" t="inlineStr">
        <is>
          <t>2026-02-27</t>
        </is>
      </c>
      <c r="G444" t="inlineStr">
        <is>
          <t xml:space="preserve"> - No hay coche</t>
        </is>
      </c>
      <c r="H444">
        <f>HYPERLINK("https://booking.roadsurfer.com/es/rally/pick?pickup_date=2026-02-13&amp;return_date=2026-02-27&amp;currency=EUR&amp;startStation=76&amp;endStation=125", "Clic para verlo en la web de RoadSurfer")</f>
        <v/>
      </c>
    </row>
    <row r="445">
      <c r="A445" t="inlineStr">
        <is>
          <t>Alemania</t>
        </is>
      </c>
      <c r="B445" t="inlineStr">
        <is>
          <t>Leipzig</t>
        </is>
      </c>
      <c r="C445" t="inlineStr">
        <is>
          <t>Países Bajos</t>
        </is>
      </c>
      <c r="D445" t="inlineStr">
        <is>
          <t>Ámsterdam</t>
        </is>
      </c>
      <c r="E445" t="inlineStr">
        <is>
          <t>2026-03-14</t>
        </is>
      </c>
      <c r="F445" t="inlineStr">
        <is>
          <t>2026-03-21</t>
        </is>
      </c>
      <c r="G445" t="inlineStr">
        <is>
          <t xml:space="preserve"> - Family Finca</t>
        </is>
      </c>
      <c r="H445">
        <f>HYPERLINK("https://booking.roadsurfer.com/es/rally/pick?pickup_date=2026-03-14&amp;return_date=2026-03-21&amp;currency=EUR&amp;startStation=8&amp;endStation=32", "Clic para verlo en la web de RoadSurfer")</f>
        <v/>
      </c>
    </row>
    <row r="446">
      <c r="A446" t="inlineStr">
        <is>
          <t>Alemania</t>
        </is>
      </c>
      <c r="B446" t="inlineStr">
        <is>
          <t>Leipzig</t>
        </is>
      </c>
      <c r="C446" t="inlineStr">
        <is>
          <t>Países Bajos</t>
        </is>
      </c>
      <c r="D446" t="inlineStr">
        <is>
          <t>Ámsterdam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Camper Cabin Deluxe</t>
        </is>
      </c>
      <c r="H446">
        <f>HYPERLINK("https://booking.roadsurfer.com/es/rally/pick?pickup_date=2026-03-19&amp;return_date=2026-03-26&amp;currency=EUR&amp;startStation=8&amp;endStation=32",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Países Bajos</t>
        </is>
      </c>
      <c r="D447" t="inlineStr">
        <is>
          <t>Róterdam</t>
        </is>
      </c>
      <c r="E447" t="inlineStr">
        <is>
          <t>2026-03-03</t>
        </is>
      </c>
      <c r="F447" t="inlineStr">
        <is>
          <t>2026-03-10</t>
        </is>
      </c>
      <c r="G447" t="inlineStr">
        <is>
          <t xml:space="preserve"> - ROAD HOUSE</t>
        </is>
      </c>
      <c r="H447">
        <f>HYPERLINK("https://booking.roadsurfer.com/es/rally/pick?pickup_date=2026-03-03&amp;return_date=2026-03-10&amp;currency=EUR&amp;startStation=8&amp;endStation=33",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2026-03-05</t>
        </is>
      </c>
      <c r="F448" t="inlineStr">
        <is>
          <t>2026-03-12</t>
        </is>
      </c>
      <c r="G448" t="inlineStr">
        <is>
          <t xml:space="preserve"> - Road House</t>
        </is>
      </c>
      <c r="H448">
        <f>HYPERLINK("https://booking.roadsurfer.com/es/rally/pick?pickup_date=2026-03-05&amp;return_date=2026-03-12&amp;currency=EUR&amp;startStation=8&amp;endStation=33", "Clic para verlo en la web de RoadSurfer")</f>
        <v/>
      </c>
    </row>
    <row r="449">
      <c r="A449" t="inlineStr">
        <is>
          <t>Alemania</t>
        </is>
      </c>
      <c r="B449" t="inlineStr">
        <is>
          <t>Leipzig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2026-03-06</t>
        </is>
      </c>
      <c r="F449" t="inlineStr">
        <is>
          <t>2026-03-13</t>
        </is>
      </c>
      <c r="G449" t="inlineStr">
        <is>
          <t xml:space="preserve"> - Road House</t>
        </is>
      </c>
      <c r="H449">
        <f>HYPERLINK("https://booking.roadsurfer.com/es/rally/pick?pickup_date=2026-03-06&amp;return_date=2026-03-13&amp;currency=EUR&amp;startStation=8&amp;endStation=33", "Clic para verlo en la web de RoadSurfer")</f>
        <v/>
      </c>
    </row>
    <row r="450">
      <c r="A450" t="inlineStr">
        <is>
          <t>Alemania</t>
        </is>
      </c>
      <c r="B450" t="inlineStr">
        <is>
          <t>Leipzig</t>
        </is>
      </c>
      <c r="C450" t="inlineStr">
        <is>
          <t>Alemania</t>
        </is>
      </c>
      <c r="D450" t="inlineStr">
        <is>
          <t>Berlín-Schönefeld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Camper Cabin Deluxe</t>
        </is>
      </c>
      <c r="H450">
        <f>HYPERLINK("https://booking.roadsurfer.com/es/rally/pick?pickup_date=2026-03-16&amp;return_date=2026-03-23&amp;currency=EUR&amp;startStation=8&amp;endStation=51", "Clic para verlo en la web de RoadSurfer")</f>
        <v/>
      </c>
    </row>
    <row r="451">
      <c r="A451" t="inlineStr">
        <is>
          <t>Alemania</t>
        </is>
      </c>
      <c r="B451" t="inlineStr">
        <is>
          <t>Leipzig</t>
        </is>
      </c>
      <c r="C451" t="inlineStr">
        <is>
          <t>Francia</t>
        </is>
      </c>
      <c r="D451" t="inlineStr">
        <is>
          <t>Estrasburgo</t>
        </is>
      </c>
      <c r="E451" t="inlineStr">
        <is>
          <t>2026-03-13</t>
        </is>
      </c>
      <c r="F451" t="inlineStr">
        <is>
          <t>2026-03-20</t>
        </is>
      </c>
      <c r="G451" t="inlineStr">
        <is>
          <t xml:space="preserve"> - Camper Castle</t>
        </is>
      </c>
      <c r="H451">
        <f>HYPERLINK("https://booking.roadsurfer.com/es/rally/pick?pickup_date=2026-03-13&amp;return_date=2026-03-20&amp;currency=EUR&amp;startStation=8&amp;endStation=49",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Bélgica</t>
        </is>
      </c>
      <c r="D452" t="inlineStr">
        <is>
          <t>Bruselas</t>
        </is>
      </c>
      <c r="E452" t="inlineStr">
        <is>
          <t>2026-03-18</t>
        </is>
      </c>
      <c r="F452" t="inlineStr">
        <is>
          <t>2026-03-25</t>
        </is>
      </c>
      <c r="G452" t="inlineStr">
        <is>
          <t xml:space="preserve"> - Family Finca</t>
        </is>
      </c>
      <c r="H452">
        <f>HYPERLINK("https://booking.roadsurfer.com/es/rally/pick?pickup_date=2026-03-18&amp;return_date=2026-03-25&amp;currency=EUR&amp;startStation=8&amp;endStation=42",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Bélgica</t>
        </is>
      </c>
      <c r="D453" t="inlineStr">
        <is>
          <t>Bruselas</t>
        </is>
      </c>
      <c r="E453" t="inlineStr">
        <is>
          <t>2026-03-14</t>
        </is>
      </c>
      <c r="F453" t="inlineStr">
        <is>
          <t>2026-03-21</t>
        </is>
      </c>
      <c r="G453" t="inlineStr">
        <is>
          <t xml:space="preserve"> - Family Finca</t>
        </is>
      </c>
      <c r="H453">
        <f>HYPERLINK("https://booking.roadsurfer.com/es/rally/pick?pickup_date=2026-03-14&amp;return_date=2026-03-21&amp;currency=EUR&amp;startStation=8&amp;endStation=42", "Clic para verlo en la web de RoadSurfer")</f>
        <v/>
      </c>
    </row>
    <row r="454">
      <c r="A454" t="inlineStr">
        <is>
          <t>Alemania</t>
        </is>
      </c>
      <c r="B454" t="inlineStr">
        <is>
          <t>Leipzig</t>
        </is>
      </c>
      <c r="C454" t="inlineStr">
        <is>
          <t>Francia</t>
        </is>
      </c>
      <c r="D454" t="inlineStr">
        <is>
          <t>Lille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Family Finca</t>
        </is>
      </c>
      <c r="H454">
        <f>HYPERLINK("https://booking.roadsurfer.com/es/rally/pick?pickup_date=2026-03-12&amp;return_date=2026-03-19&amp;currency=EUR&amp;startStation=8&amp;endStation=87",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2026-03-13</t>
        </is>
      </c>
      <c r="F455" t="inlineStr">
        <is>
          <t>2026-03-20</t>
        </is>
      </c>
      <c r="G455" t="inlineStr">
        <is>
          <t xml:space="preserve"> - ROAD HOUSE - Family Finca</t>
        </is>
      </c>
      <c r="H455">
        <f>HYPERLINK("https://booking.roadsurfer.com/es/rally/pick?pickup_date=2026-03-13&amp;return_date=2026-03-20&amp;currency=EUR&amp;startStation=8&amp;endStation=12",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2026-03-14</t>
        </is>
      </c>
      <c r="F456" t="inlineStr">
        <is>
          <t>2026-03-21</t>
        </is>
      </c>
      <c r="G456" t="inlineStr">
        <is>
          <t xml:space="preserve"> - ROAD HOUSE - Couple Cottage</t>
        </is>
      </c>
      <c r="H456">
        <f>HYPERLINK("https://booking.roadsurfer.com/es/rally/pick?pickup_date=2026-03-14&amp;return_date=2026-03-21&amp;currency=EUR&amp;startStation=8&amp;endStation=12", "Clic para verlo en la web de RoadSurfer")</f>
        <v/>
      </c>
    </row>
    <row r="457">
      <c r="A457" t="inlineStr">
        <is>
          <t>Alemania</t>
        </is>
      </c>
      <c r="B457" t="inlineStr">
        <is>
          <t>Leipzig</t>
        </is>
      </c>
      <c r="C457" t="inlineStr">
        <is>
          <t>Francia</t>
        </is>
      </c>
      <c r="D457" t="inlineStr">
        <is>
          <t>París Sur (Orly)</t>
        </is>
      </c>
      <c r="E457" t="inlineStr">
        <is>
          <t>2026-03-13</t>
        </is>
      </c>
      <c r="F457" t="inlineStr">
        <is>
          <t>2026-03-23</t>
        </is>
      </c>
      <c r="G457" t="inlineStr">
        <is>
          <t xml:space="preserve"> - ROAD HOUSE</t>
        </is>
      </c>
      <c r="H457">
        <f>HYPERLINK("https://booking.roadsurfer.com/es/rally/pick?pickup_date=2026-03-13&amp;return_date=2026-03-23&amp;currency=EUR&amp;startStation=8&amp;endStation=12", "Clic para verlo en la web de RoadSurfer")</f>
        <v/>
      </c>
    </row>
    <row r="458">
      <c r="A458" t="inlineStr">
        <is>
          <t>Alemania</t>
        </is>
      </c>
      <c r="B458" t="inlineStr">
        <is>
          <t>Leipzig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Road House</t>
        </is>
      </c>
      <c r="H458">
        <f>HYPERLINK("https://booking.roadsurfer.com/es/rally/pick?pickup_date=2026-03-12&amp;return_date=2026-03-19&amp;currency=EUR&amp;startStation=8&amp;endStation=45", "Clic para verlo en la web de RoadSurfer")</f>
        <v/>
      </c>
    </row>
    <row r="459">
      <c r="A459" t="inlineStr">
        <is>
          <t>Alemania</t>
        </is>
      </c>
      <c r="B459" t="inlineStr">
        <is>
          <t>Leipzig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2026-03-16</t>
        </is>
      </c>
      <c r="F459" t="inlineStr">
        <is>
          <t>2026-03-23</t>
        </is>
      </c>
      <c r="G459" t="inlineStr">
        <is>
          <t xml:space="preserve"> - Road House</t>
        </is>
      </c>
      <c r="H459">
        <f>HYPERLINK("https://booking.roadsurfer.com/es/rally/pick?pickup_date=2026-03-16&amp;return_date=2026-03-23&amp;currency=EUR&amp;startStation=8&amp;endStation=45",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Austria</t>
        </is>
      </c>
      <c r="D460" t="inlineStr">
        <is>
          <t>Viena Sur</t>
        </is>
      </c>
      <c r="E460" t="inlineStr">
        <is>
          <t>2026-03-09</t>
        </is>
      </c>
      <c r="F460" t="inlineStr">
        <is>
          <t>2026-03-16</t>
        </is>
      </c>
      <c r="G460" t="inlineStr">
        <is>
          <t xml:space="preserve"> - Road House</t>
        </is>
      </c>
      <c r="H460">
        <f>HYPERLINK("https://booking.roadsurfer.com/es/rally/pick?pickup_date=2026-03-09&amp;return_date=2026-03-16&amp;currency=EUR&amp;startStation=8&amp;endStation=45",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Italia</t>
        </is>
      </c>
      <c r="D461" t="inlineStr">
        <is>
          <t>Roma Aeropuerto Fiumicino</t>
        </is>
      </c>
      <c r="E461" t="inlineStr">
        <is>
          <t>2026-03-09</t>
        </is>
      </c>
      <c r="F461" t="inlineStr">
        <is>
          <t>2026-03-16</t>
        </is>
      </c>
      <c r="G461" t="inlineStr">
        <is>
          <t xml:space="preserve"> - Road House</t>
        </is>
      </c>
      <c r="H461">
        <f>HYPERLINK("https://booking.roadsurfer.com/es/rally/pick?pickup_date=2026-03-09&amp;return_date=2026-03-16&amp;currency=EUR&amp;startStation=8&amp;endStation=35", "Clic para verlo en la web de RoadSurfer")</f>
        <v/>
      </c>
    </row>
    <row r="462">
      <c r="A462" t="inlineStr">
        <is>
          <t>Francia</t>
        </is>
      </c>
      <c r="B462" t="inlineStr">
        <is>
          <t>Lille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2026-03-18</t>
        </is>
      </c>
      <c r="F462" t="inlineStr">
        <is>
          <t>2026-03-25</t>
        </is>
      </c>
      <c r="G462" t="inlineStr">
        <is>
          <t xml:space="preserve"> - Family Finca</t>
        </is>
      </c>
      <c r="H462">
        <f>HYPERLINK("https://booking.roadsurfer.com/es/rally/pick?pickup_date=2026-03-18&amp;return_date=2026-03-25&amp;currency=EUR&amp;startStation=87&amp;endStation=91", "Clic para verlo en la web de RoadSurfer")</f>
        <v/>
      </c>
    </row>
    <row r="463">
      <c r="A463" t="inlineStr">
        <is>
          <t>Francia</t>
        </is>
      </c>
      <c r="B463" t="inlineStr">
        <is>
          <t>Lille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2026-03-17</t>
        </is>
      </c>
      <c r="F463" t="inlineStr">
        <is>
          <t>2026-03-24</t>
        </is>
      </c>
      <c r="G463" t="inlineStr">
        <is>
          <t xml:space="preserve"> - Surfer Suite</t>
        </is>
      </c>
      <c r="H463">
        <f>HYPERLINK("https://booking.roadsurfer.com/es/rally/pick?pickup_date=2026-03-17&amp;return_date=2026-03-24&amp;currency=EUR&amp;startStation=87&amp;endStation=91", "Clic para verlo en la web de RoadSurfer")</f>
        <v/>
      </c>
    </row>
    <row r="464">
      <c r="A464" t="inlineStr">
        <is>
          <t>Francia</t>
        </is>
      </c>
      <c r="B464" t="inlineStr">
        <is>
          <t>Lille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Surfer Suite</t>
        </is>
      </c>
      <c r="H464">
        <f>HYPERLINK("https://booking.roadsurfer.com/es/rally/pick?pickup_date=2026-03-19&amp;return_date=2026-03-26&amp;currency=EUR&amp;startStation=87&amp;endStation=91", "Clic para verlo en la web de RoadSurfer")</f>
        <v/>
      </c>
    </row>
    <row r="465">
      <c r="A465" t="inlineStr">
        <is>
          <t>Francia</t>
        </is>
      </c>
      <c r="B465" t="inlineStr">
        <is>
          <t>Lille</t>
        </is>
      </c>
      <c r="C465" t="inlineStr">
        <is>
          <t>Alemania</t>
        </is>
      </c>
      <c r="D465" t="inlineStr">
        <is>
          <t>Duisburgo</t>
        </is>
      </c>
      <c r="E465" t="inlineStr">
        <is>
          <t>2026-03-09</t>
        </is>
      </c>
      <c r="F465" t="inlineStr">
        <is>
          <t>2026-03-16</t>
        </is>
      </c>
      <c r="G465" t="inlineStr">
        <is>
          <t xml:space="preserve"> - Family Finca</t>
        </is>
      </c>
      <c r="H465">
        <f>HYPERLINK("https://booking.roadsurfer.com/es/rally/pick?pickup_date=2026-03-09&amp;return_date=2026-03-16&amp;currency=EUR&amp;startStation=87&amp;endStation=113", "Clic para verlo en la web de RoadSurfer")</f>
        <v/>
      </c>
    </row>
    <row r="466">
      <c r="A466" t="inlineStr">
        <is>
          <t>Francia</t>
        </is>
      </c>
      <c r="B466" t="inlineStr">
        <is>
          <t>Lille</t>
        </is>
      </c>
      <c r="C466" t="inlineStr">
        <is>
          <t>Alemania</t>
        </is>
      </c>
      <c r="D466" t="inlineStr">
        <is>
          <t>Duisburgo</t>
        </is>
      </c>
      <c r="E466" t="inlineStr">
        <is>
          <t>2026-03-11</t>
        </is>
      </c>
      <c r="F466" t="inlineStr">
        <is>
          <t>2026-03-18</t>
        </is>
      </c>
      <c r="G466" t="inlineStr">
        <is>
          <t xml:space="preserve"> - Surfer Suite</t>
        </is>
      </c>
      <c r="H466">
        <f>HYPERLINK("https://booking.roadsurfer.com/es/rally/pick?pickup_date=2026-03-11&amp;return_date=2026-03-18&amp;currency=EUR&amp;startStation=87&amp;endStation=113", "Clic para verlo en la web de RoadSurfer")</f>
        <v/>
      </c>
    </row>
    <row r="467">
      <c r="A467" t="inlineStr">
        <is>
          <t>Francia</t>
        </is>
      </c>
      <c r="B467" t="inlineStr">
        <is>
          <t>Lille</t>
        </is>
      </c>
      <c r="C467" t="inlineStr">
        <is>
          <t>Alemania</t>
        </is>
      </c>
      <c r="D467" t="inlineStr">
        <is>
          <t>Duisburgo</t>
        </is>
      </c>
      <c r="E467" t="inlineStr">
        <is>
          <t>2026-03-10</t>
        </is>
      </c>
      <c r="F467" t="inlineStr">
        <is>
          <t>2026-03-17</t>
        </is>
      </c>
      <c r="G467" t="inlineStr">
        <is>
          <t xml:space="preserve"> - Road House</t>
        </is>
      </c>
      <c r="H467">
        <f>HYPERLINK("https://booking.roadsurfer.com/es/rally/pick?pickup_date=2026-03-10&amp;return_date=2026-03-17&amp;currency=EUR&amp;startStation=87&amp;endStation=113", "Clic para verlo en la web de RoadSurfer")</f>
        <v/>
      </c>
    </row>
    <row r="468">
      <c r="A468" t="inlineStr">
        <is>
          <t>Francia</t>
        </is>
      </c>
      <c r="B468" t="inlineStr">
        <is>
          <t>Lille</t>
        </is>
      </c>
      <c r="C468" t="inlineStr">
        <is>
          <t>Alemania</t>
        </is>
      </c>
      <c r="D468" t="inlineStr">
        <is>
          <t>Duisburgo</t>
        </is>
      </c>
      <c r="E468" t="inlineStr">
        <is>
          <t>2026-03-12</t>
        </is>
      </c>
      <c r="F468" t="inlineStr">
        <is>
          <t>2026-03-19</t>
        </is>
      </c>
      <c r="G468" t="inlineStr">
        <is>
          <t xml:space="preserve"> - Surfer Suite</t>
        </is>
      </c>
      <c r="H468">
        <f>HYPERLINK("https://booking.roadsurfer.com/es/rally/pick?pickup_date=2026-03-12&amp;return_date=2026-03-19&amp;currency=EUR&amp;startStation=87&amp;endStation=113", "Clic para verlo en la web de RoadSurfer")</f>
        <v/>
      </c>
    </row>
    <row r="469">
      <c r="A469" t="inlineStr">
        <is>
          <t>Alemania</t>
        </is>
      </c>
      <c r="B469" t="inlineStr">
        <is>
          <t>Lindau-Wangen</t>
        </is>
      </c>
      <c r="C469" t="inlineStr">
        <is>
          <t>Italia</t>
        </is>
      </c>
      <c r="D469" t="inlineStr">
        <is>
          <t>Bolonia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Surfer Suite</t>
        </is>
      </c>
      <c r="H469">
        <f>HYPERLINK("https://booking.roadsurfer.com/es/rally/pick?pickup_date=2026-03-16&amp;return_date=2026-03-23&amp;currency=EUR&amp;startStation=117&amp;endStation=57", "Clic para verlo en la web de RoadSurfer")</f>
        <v/>
      </c>
    </row>
    <row r="470">
      <c r="A470" t="inlineStr">
        <is>
          <t>Alemania</t>
        </is>
      </c>
      <c r="B470" t="inlineStr">
        <is>
          <t>Lindau-Wangen</t>
        </is>
      </c>
      <c r="C470" t="inlineStr">
        <is>
          <t>Austria</t>
        </is>
      </c>
      <c r="D470" t="inlineStr">
        <is>
          <t>Salzburgo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Surfer Suite</t>
        </is>
      </c>
      <c r="H470">
        <f>HYPERLINK("https://booking.roadsurfer.com/es/rally/pick?pickup_date=2026-03-16&amp;return_date=2026-03-23&amp;currency=EUR&amp;startStation=117&amp;endStation=85", "Clic para verlo en la web de RoadSurfer")</f>
        <v/>
      </c>
    </row>
    <row r="471">
      <c r="A471" t="inlineStr">
        <is>
          <t>Alemania</t>
        </is>
      </c>
      <c r="B471" t="inlineStr">
        <is>
          <t>Lindau-Wangen</t>
        </is>
      </c>
      <c r="C471" t="inlineStr">
        <is>
          <t>España</t>
        </is>
      </c>
      <c r="D471" t="inlineStr">
        <is>
          <t>Barcelona</t>
        </is>
      </c>
      <c r="E471" t="inlineStr">
        <is>
          <t>2026-03-02</t>
        </is>
      </c>
      <c r="F471" t="inlineStr">
        <is>
          <t>2026-03-09</t>
        </is>
      </c>
      <c r="G471" t="inlineStr">
        <is>
          <t xml:space="preserve"> - Family Finca</t>
        </is>
      </c>
      <c r="H471">
        <f>HYPERLINK("https://booking.roadsurfer.com/es/rally/pick?pickup_date=2026-03-02&amp;return_date=2026-03-09&amp;currency=EUR&amp;startStation=117&amp;endStation=17", "Clic para verlo en la web de RoadSurfer")</f>
        <v/>
      </c>
    </row>
    <row r="472">
      <c r="A472" t="inlineStr">
        <is>
          <t>Austria</t>
        </is>
      </c>
      <c r="B472" t="inlineStr">
        <is>
          <t>Linz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2026-03-02</t>
        </is>
      </c>
      <c r="F472" t="inlineStr">
        <is>
          <t>2026-03-09</t>
        </is>
      </c>
      <c r="G472" t="inlineStr">
        <is>
          <t xml:space="preserve"> - Couple Cottage</t>
        </is>
      </c>
      <c r="H472">
        <f>HYPERLINK("https://booking.roadsurfer.com/es/rally/pick?pickup_date=2026-03-02&amp;return_date=2026-03-09&amp;currency=EUR&amp;startStation=116&amp;endStation=11", "Clic para verlo en la web de RoadSurfer")</f>
        <v/>
      </c>
    </row>
    <row r="473">
      <c r="A473" t="inlineStr">
        <is>
          <t>EE.UU.</t>
        </is>
      </c>
      <c r="B473" t="inlineStr">
        <is>
          <t>Los Ángeles</t>
        </is>
      </c>
      <c r="C473" t="inlineStr">
        <is>
          <t>EE.UU.</t>
        </is>
      </c>
      <c r="D473" t="inlineStr">
        <is>
          <t>Dallas</t>
        </is>
      </c>
      <c r="E473" t="inlineStr">
        <is>
          <t>2026-02-23</t>
        </is>
      </c>
      <c r="F473" t="inlineStr">
        <is>
          <t>2026-03-06</t>
        </is>
      </c>
      <c r="G473" t="inlineStr">
        <is>
          <t xml:space="preserve"> - Liberty Lodge</t>
        </is>
      </c>
      <c r="H473">
        <f>HYPERLINK("https://booking.roadsurfer.com/es/rally/pick?pickup_date=2026-02-23&amp;return_date=2026-03-06&amp;currency=EUR&amp;startStation=72&amp;endStation=125", "Clic para verlo en la web de RoadSurfer")</f>
        <v/>
      </c>
    </row>
    <row r="474">
      <c r="A474" t="inlineStr">
        <is>
          <t>EE.UU.</t>
        </is>
      </c>
      <c r="B474" t="inlineStr">
        <is>
          <t>Los Ángeles</t>
        </is>
      </c>
      <c r="C474" t="inlineStr">
        <is>
          <t>EE.UU.</t>
        </is>
      </c>
      <c r="D474" t="inlineStr">
        <is>
          <t>Dallas</t>
        </is>
      </c>
      <c r="E474" t="inlineStr">
        <is>
          <t>2026-02-13</t>
        </is>
      </c>
      <c r="F474" t="inlineStr">
        <is>
          <t>2026-02-27</t>
        </is>
      </c>
      <c r="G474" t="inlineStr">
        <is>
          <t xml:space="preserve"> - No hay coche</t>
        </is>
      </c>
      <c r="H474">
        <f>HYPERLINK("https://booking.roadsurfer.com/es/rally/pick?pickup_date=2026-02-13&amp;return_date=2026-02-27&amp;currency=EUR&amp;startStation=72&amp;endStation=125", "Clic para verlo en la web de RoadSurfer")</f>
        <v/>
      </c>
    </row>
    <row r="475">
      <c r="A475" t="inlineStr">
        <is>
          <t>Alemania</t>
        </is>
      </c>
      <c r="B475" t="inlineStr">
        <is>
          <t>Lübeck</t>
        </is>
      </c>
      <c r="C475" t="inlineStr">
        <is>
          <t>España</t>
        </is>
      </c>
      <c r="D475" t="inlineStr">
        <is>
          <t>Madrid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Road House</t>
        </is>
      </c>
      <c r="H475">
        <f>HYPERLINK("https://booking.roadsurfer.com/es/rally/pick?pickup_date=2026-03-16&amp;return_date=2026-03-23&amp;currency=EUR&amp;startStation=109&amp;endStation=20", "Clic para verlo en la web de RoadSurfer")</f>
        <v/>
      </c>
    </row>
    <row r="476">
      <c r="A476" t="inlineStr">
        <is>
          <t>Alemania</t>
        </is>
      </c>
      <c r="B476" t="inlineStr">
        <is>
          <t>Lübeck</t>
        </is>
      </c>
      <c r="C476" t="inlineStr">
        <is>
          <t>Alemania</t>
        </is>
      </c>
      <c r="D476" t="inlineStr">
        <is>
          <t>Núremberg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Road House</t>
        </is>
      </c>
      <c r="H476">
        <f>HYPERLINK("https://booking.roadsurfer.com/es/rally/pick?pickup_date=2026-03-12&amp;return_date=2026-03-19&amp;currency=EUR&amp;startStation=109&amp;endStation=11", "Clic para verlo en la web de RoadSurfer")</f>
        <v/>
      </c>
    </row>
    <row r="477">
      <c r="A477" t="inlineStr">
        <is>
          <t>Alemania</t>
        </is>
      </c>
      <c r="B477" t="inlineStr">
        <is>
          <t>Lübeck</t>
        </is>
      </c>
      <c r="C477" t="inlineStr">
        <is>
          <t>Suecia</t>
        </is>
      </c>
      <c r="D477" t="inlineStr">
        <is>
          <t>Gotemburgo</t>
        </is>
      </c>
      <c r="E477" t="inlineStr">
        <is>
          <t>2026-03-09</t>
        </is>
      </c>
      <c r="F477" t="inlineStr">
        <is>
          <t>2026-03-16</t>
        </is>
      </c>
      <c r="G477" t="inlineStr">
        <is>
          <t xml:space="preserve"> - Surfer Suite</t>
        </is>
      </c>
      <c r="H477">
        <f>HYPERLINK("https://booking.roadsurfer.com/es/rally/pick?pickup_date=2026-03-09&amp;return_date=2026-03-16&amp;currency=EUR&amp;startStation=109&amp;endStation=77",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Heidelberg</t>
        </is>
      </c>
      <c r="E478" t="inlineStr">
        <is>
          <t>2026-03-10</t>
        </is>
      </c>
      <c r="F478" t="inlineStr">
        <is>
          <t>2026-03-17</t>
        </is>
      </c>
      <c r="G478" t="inlineStr">
        <is>
          <t xml:space="preserve"> - SURFER SUITE</t>
        </is>
      </c>
      <c r="H478">
        <f>HYPERLINK("https://booking.roadsurfer.com/es/rally/pick?pickup_date=2026-03-10&amp;return_date=2026-03-17&amp;currency=EUR&amp;startStation=15&amp;endStation=79",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Heidelberg</t>
        </is>
      </c>
      <c r="E479" t="inlineStr">
        <is>
          <t>2026-03-11</t>
        </is>
      </c>
      <c r="F479" t="inlineStr">
        <is>
          <t>2026-03-18</t>
        </is>
      </c>
      <c r="G479" t="inlineStr">
        <is>
          <t xml:space="preserve"> - Beach Hostel</t>
        </is>
      </c>
      <c r="H479">
        <f>HYPERLINK("https://booking.roadsurfer.com/es/rally/pick?pickup_date=2026-03-11&amp;return_date=2026-03-18&amp;currency=EUR&amp;startStation=15&amp;endStation=79",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Fráncfort</t>
        </is>
      </c>
      <c r="E480" t="inlineStr">
        <is>
          <t>2026-03-14</t>
        </is>
      </c>
      <c r="F480" t="inlineStr">
        <is>
          <t>2026-03-21</t>
        </is>
      </c>
      <c r="G480" t="inlineStr">
        <is>
          <t xml:space="preserve"> - Road House</t>
        </is>
      </c>
      <c r="H480">
        <f>HYPERLINK("https://booking.roadsurfer.com/es/rally/pick?pickup_date=2026-03-14&amp;return_date=2026-03-21&amp;currency=EUR&amp;startStation=15&amp;endStation=2",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2026-03-09</t>
        </is>
      </c>
      <c r="F481" t="inlineStr">
        <is>
          <t>2026-03-16</t>
        </is>
      </c>
      <c r="G481" t="inlineStr">
        <is>
          <t xml:space="preserve"> - Beach Hostel</t>
        </is>
      </c>
      <c r="H481">
        <f>HYPERLINK("https://booking.roadsurfer.com/es/rally/pick?pickup_date=2026-03-09&amp;return_date=2026-03-16&amp;currency=EUR&amp;startStation=15&amp;endStation=2",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2026-03-10</t>
        </is>
      </c>
      <c r="F482" t="inlineStr">
        <is>
          <t>2026-03-17</t>
        </is>
      </c>
      <c r="G482" t="inlineStr">
        <is>
          <t xml:space="preserve"> - Couple Cottage</t>
        </is>
      </c>
      <c r="H482">
        <f>HYPERLINK("https://booking.roadsurfer.com/es/rally/pick?pickup_date=2026-03-10&amp;return_date=2026-03-17&amp;currency=EUR&amp;startStation=15&amp;endStation=2",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Fráncfort</t>
        </is>
      </c>
      <c r="E483" t="inlineStr">
        <is>
          <t>2026-03-11</t>
        </is>
      </c>
      <c r="F483" t="inlineStr">
        <is>
          <t>2026-03-18</t>
        </is>
      </c>
      <c r="G483" t="inlineStr">
        <is>
          <t xml:space="preserve"> - Camper Cabin Deluxe</t>
        </is>
      </c>
      <c r="H483">
        <f>HYPERLINK("https://booking.roadsurfer.com/es/rally/pick?pickup_date=2026-03-11&amp;return_date=2026-03-18&amp;currency=EUR&amp;startStation=15&amp;endStation=2",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Fráncfort</t>
        </is>
      </c>
      <c r="E484" t="inlineStr">
        <is>
          <t>2026-03-10</t>
        </is>
      </c>
      <c r="F484" t="inlineStr">
        <is>
          <t>2026-03-17</t>
        </is>
      </c>
      <c r="G484" t="inlineStr">
        <is>
          <t xml:space="preserve"> - Road House - Family Finca</t>
        </is>
      </c>
      <c r="H484">
        <f>HYPERLINK("https://booking.roadsurfer.com/es/rally/pick?pickup_date=2026-03-10&amp;return_date=2026-03-17&amp;currency=EUR&amp;startStation=20&amp;endStation=2",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Fráncfort</t>
        </is>
      </c>
      <c r="E485" t="inlineStr">
        <is>
          <t>2026-03-11</t>
        </is>
      </c>
      <c r="F485" t="inlineStr">
        <is>
          <t>2026-03-18</t>
        </is>
      </c>
      <c r="G485" t="inlineStr">
        <is>
          <t xml:space="preserve"> - Family Finca</t>
        </is>
      </c>
      <c r="H485">
        <f>HYPERLINK("https://booking.roadsurfer.com/es/rally/pick?pickup_date=2026-03-11&amp;return_date=2026-03-18&amp;currency=EUR&amp;startStation=20&amp;endStation=2",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Surfer Suite</t>
        </is>
      </c>
      <c r="H486">
        <f>HYPERLINK("https://booking.roadsurfer.com/es/rally/pick?pickup_date=2026-03-09&amp;return_date=2026-03-16&amp;currency=EUR&amp;startStation=20&amp;endStation=2",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Fráncfort</t>
        </is>
      </c>
      <c r="E487" t="inlineStr">
        <is>
          <t>2026-03-12</t>
        </is>
      </c>
      <c r="F487" t="inlineStr">
        <is>
          <t>2026-03-19</t>
        </is>
      </c>
      <c r="G487" t="inlineStr">
        <is>
          <t xml:space="preserve"> - Family Finca</t>
        </is>
      </c>
      <c r="H487">
        <f>HYPERLINK("https://booking.roadsurfer.com/es/rally/pick?pickup_date=2026-03-12&amp;return_date=2026-03-19&amp;currency=EUR&amp;startStation=20&amp;endStation=2",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Fráncfort</t>
        </is>
      </c>
      <c r="E488" t="inlineStr">
        <is>
          <t>2026-03-19</t>
        </is>
      </c>
      <c r="F488" t="inlineStr">
        <is>
          <t>2026-03-26</t>
        </is>
      </c>
      <c r="G488" t="inlineStr">
        <is>
          <t xml:space="preserve"> - Surfer Suite</t>
        </is>
      </c>
      <c r="H488">
        <f>HYPERLINK("https://booking.roadsurfer.com/es/rally/pick?pickup_date=2026-03-19&amp;return_date=2026-03-26&amp;currency=EUR&amp;startStation=20&amp;endStation=2",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Fráncfort</t>
        </is>
      </c>
      <c r="E489" t="inlineStr">
        <is>
          <t>2026-03-16</t>
        </is>
      </c>
      <c r="F489" t="inlineStr">
        <is>
          <t>2026-03-23</t>
        </is>
      </c>
      <c r="G489" t="inlineStr">
        <is>
          <t xml:space="preserve"> - Surfer Suite</t>
        </is>
      </c>
      <c r="H489">
        <f>HYPERLINK("https://booking.roadsurfer.com/es/rally/pick?pickup_date=2026-03-16&amp;return_date=2026-03-23&amp;currency=EUR&amp;startStation=20&amp;endStation=2",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Fráncfort</t>
        </is>
      </c>
      <c r="E490" t="inlineStr">
        <is>
          <t>2026-03-17</t>
        </is>
      </c>
      <c r="F490" t="inlineStr">
        <is>
          <t>2026-03-24</t>
        </is>
      </c>
      <c r="G490" t="inlineStr">
        <is>
          <t xml:space="preserve"> - Camper Castle</t>
        </is>
      </c>
      <c r="H490">
        <f>HYPERLINK("https://booking.roadsurfer.com/es/rally/pick?pickup_date=2026-03-17&amp;return_date=2026-03-24&amp;currency=EUR&amp;startStation=20&amp;endStation=2",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2026-03-18</t>
        </is>
      </c>
      <c r="F491" t="inlineStr">
        <is>
          <t>2026-03-25</t>
        </is>
      </c>
      <c r="G491" t="inlineStr">
        <is>
          <t xml:space="preserve"> - CAMPER CASTLE</t>
        </is>
      </c>
      <c r="H491">
        <f>HYPERLINK("https://booking.roadsurfer.com/es/rally/pick?pickup_date=2026-03-18&amp;return_date=2026-03-25&amp;currency=EUR&amp;startStation=20&amp;endStation=22",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2026-03-19</t>
        </is>
      </c>
      <c r="F492" t="inlineStr">
        <is>
          <t>2026-03-26</t>
        </is>
      </c>
      <c r="G492" t="inlineStr">
        <is>
          <t xml:space="preserve"> - Surfer Suite</t>
        </is>
      </c>
      <c r="H492">
        <f>HYPERLINK("https://booking.roadsurfer.com/es/rally/pick?pickup_date=2026-03-19&amp;return_date=2026-03-26&amp;currency=EUR&amp;startStation=20&amp;endStation=22",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2026-03-09</t>
        </is>
      </c>
      <c r="F493" t="inlineStr">
        <is>
          <t>2026-03-16</t>
        </is>
      </c>
      <c r="G493" t="inlineStr">
        <is>
          <t xml:space="preserve"> - Family Finca</t>
        </is>
      </c>
      <c r="H493">
        <f>HYPERLINK("https://booking.roadsurfer.com/es/rally/pick?pickup_date=2026-03-09&amp;return_date=2026-03-16&amp;currency=EUR&amp;startStation=20&amp;endStation=22", "Clic para verlo en la web de RoadSurfer")</f>
        <v/>
      </c>
    </row>
    <row r="494">
      <c r="A494" t="inlineStr">
        <is>
          <t>Alemania</t>
        </is>
      </c>
      <c r="B494" t="inlineStr">
        <is>
          <t>Maguncia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2026-03-13</t>
        </is>
      </c>
      <c r="F494" t="inlineStr">
        <is>
          <t>2026-03-23</t>
        </is>
      </c>
      <c r="G494" t="inlineStr">
        <is>
          <t xml:space="preserve"> - SURFER SUITE</t>
        </is>
      </c>
      <c r="H494">
        <f>HYPERLINK("https://booking.roadsurfer.com/es/rally/pick?pickup_date=2026-03-13&amp;return_date=2026-03-23&amp;currency=EUR&amp;startStation=54&amp;endStation=30", "Clic para verlo en la web de RoadSurfer")</f>
        <v/>
      </c>
    </row>
    <row r="495">
      <c r="A495" t="inlineStr">
        <is>
          <t>Alemania</t>
        </is>
      </c>
      <c r="B495" t="inlineStr">
        <is>
          <t>Maguncia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2026-03-07</t>
        </is>
      </c>
      <c r="F495" t="inlineStr">
        <is>
          <t>2026-03-14</t>
        </is>
      </c>
      <c r="G495" t="inlineStr">
        <is>
          <t xml:space="preserve"> - Surfer Suite</t>
        </is>
      </c>
      <c r="H495">
        <f>HYPERLINK("https://booking.roadsurfer.com/es/rally/pick?pickup_date=2026-03-07&amp;return_date=2026-03-14&amp;currency=EUR&amp;startStation=54&amp;endStation=30", "Clic para verlo en la web de RoadSurfer")</f>
        <v/>
      </c>
    </row>
    <row r="496">
      <c r="A496" t="inlineStr">
        <is>
          <t>Alemania</t>
        </is>
      </c>
      <c r="B496" t="inlineStr">
        <is>
          <t>Maguncia</t>
        </is>
      </c>
      <c r="C496" t="inlineStr">
        <is>
          <t>Francia</t>
        </is>
      </c>
      <c r="D496" t="inlineStr">
        <is>
          <t>Burdeos</t>
        </is>
      </c>
      <c r="E496" t="inlineStr">
        <is>
          <t>2026-03-18</t>
        </is>
      </c>
      <c r="F496" t="inlineStr">
        <is>
          <t>2026-03-25</t>
        </is>
      </c>
      <c r="G496" t="inlineStr">
        <is>
          <t xml:space="preserve"> - Family Finca</t>
        </is>
      </c>
      <c r="H496">
        <f>HYPERLINK("https://booking.roadsurfer.com/es/rally/pick?pickup_date=2026-03-18&amp;return_date=2026-03-25&amp;currency=EUR&amp;startStation=54&amp;endStation=13", "Clic para verlo en la web de RoadSurfer")</f>
        <v/>
      </c>
    </row>
    <row r="497">
      <c r="A497" t="inlineStr">
        <is>
          <t>Alemania</t>
        </is>
      </c>
      <c r="B497" t="inlineStr">
        <is>
          <t>Maguncia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2026-03-09</t>
        </is>
      </c>
      <c r="F497" t="inlineStr">
        <is>
          <t>2026-03-16</t>
        </is>
      </c>
      <c r="G497" t="inlineStr">
        <is>
          <t xml:space="preserve"> - Couple Cottage</t>
        </is>
      </c>
      <c r="H497">
        <f>HYPERLINK("https://booking.roadsurfer.com/es/rally/pick?pickup_date=2026-03-09&amp;return_date=2026-03-16&amp;currency=EUR&amp;startStation=54&amp;endStation=13", "Clic para verlo en la web de RoadSurfer")</f>
        <v/>
      </c>
    </row>
    <row r="498">
      <c r="A498" t="inlineStr">
        <is>
          <t>Alemania</t>
        </is>
      </c>
      <c r="B498" t="inlineStr">
        <is>
          <t>Maguncia</t>
        </is>
      </c>
      <c r="C498" t="inlineStr">
        <is>
          <t>Francia</t>
        </is>
      </c>
      <c r="D498" t="inlineStr">
        <is>
          <t>Burdeos</t>
        </is>
      </c>
      <c r="E498" t="inlineStr">
        <is>
          <t>2026-03-12</t>
        </is>
      </c>
      <c r="F498" t="inlineStr">
        <is>
          <t>2026-03-21</t>
        </is>
      </c>
      <c r="G498" t="inlineStr">
        <is>
          <t xml:space="preserve"> - Beach Hostel</t>
        </is>
      </c>
      <c r="H498">
        <f>HYPERLINK("https://booking.roadsurfer.com/es/rally/pick?pickup_date=2026-03-12&amp;return_date=2026-03-21&amp;currency=EUR&amp;startStation=54&amp;endStation=13", "Clic para verlo en la web de RoadSurfer")</f>
        <v/>
      </c>
    </row>
    <row r="499">
      <c r="A499" t="inlineStr">
        <is>
          <t>Alemania</t>
        </is>
      </c>
      <c r="B499" t="inlineStr">
        <is>
          <t>Maguncia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2026-03-13</t>
        </is>
      </c>
      <c r="F499" t="inlineStr">
        <is>
          <t>2026-03-23</t>
        </is>
      </c>
      <c r="G499" t="inlineStr">
        <is>
          <t xml:space="preserve"> - Beach Hostel</t>
        </is>
      </c>
      <c r="H499">
        <f>HYPERLINK("https://booking.roadsurfer.com/es/rally/pick?pickup_date=2026-03-13&amp;return_date=2026-03-23&amp;currency=EUR&amp;startStation=54&amp;endStation=29", "Clic para verlo en la web de RoadSurfer")</f>
        <v/>
      </c>
    </row>
    <row r="500">
      <c r="A500" t="inlineStr">
        <is>
          <t>Alemania</t>
        </is>
      </c>
      <c r="B500" t="inlineStr">
        <is>
          <t>Maguncia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2026-03-16</t>
        </is>
      </c>
      <c r="F500" t="inlineStr">
        <is>
          <t>2026-03-23</t>
        </is>
      </c>
      <c r="G500" t="inlineStr">
        <is>
          <t xml:space="preserve"> - Surfer Suite - Beach Hostel</t>
        </is>
      </c>
      <c r="H500">
        <f>HYPERLINK("https://booking.roadsurfer.com/es/rally/pick?pickup_date=2026-03-16&amp;return_date=2026-03-23&amp;currency=EUR&amp;startStation=54&amp;endStation=29", "Clic para verlo en la web de RoadSurfer")</f>
        <v/>
      </c>
    </row>
    <row r="501">
      <c r="A501" t="inlineStr">
        <is>
          <t>Alemania</t>
        </is>
      </c>
      <c r="B501" t="inlineStr">
        <is>
          <t>Maguncia</t>
        </is>
      </c>
      <c r="C501" t="inlineStr">
        <is>
          <t>Bélgica</t>
        </is>
      </c>
      <c r="D501" t="inlineStr">
        <is>
          <t>Bruselas</t>
        </is>
      </c>
      <c r="E501" t="inlineStr">
        <is>
          <t>2026-03-12</t>
        </is>
      </c>
      <c r="F501" t="inlineStr">
        <is>
          <t>2026-03-19</t>
        </is>
      </c>
      <c r="G501" t="inlineStr">
        <is>
          <t xml:space="preserve"> - Road House</t>
        </is>
      </c>
      <c r="H501">
        <f>HYPERLINK("https://booking.roadsurfer.com/es/rally/pick?pickup_date=2026-03-12&amp;return_date=2026-03-19&amp;currency=EUR&amp;startStation=54&amp;endStation=42", "Clic para verlo en la web de RoadSurfer")</f>
        <v/>
      </c>
    </row>
    <row r="502">
      <c r="A502" t="inlineStr">
        <is>
          <t>Alemania</t>
        </is>
      </c>
      <c r="B502" t="inlineStr">
        <is>
          <t>Maguncia</t>
        </is>
      </c>
      <c r="C502" t="inlineStr">
        <is>
          <t>Bélgica</t>
        </is>
      </c>
      <c r="D502" t="inlineStr">
        <is>
          <t>Bruselas</t>
        </is>
      </c>
      <c r="E502" t="inlineStr">
        <is>
          <t>2026-03-07</t>
        </is>
      </c>
      <c r="F502" t="inlineStr">
        <is>
          <t>2026-03-14</t>
        </is>
      </c>
      <c r="G502" t="inlineStr">
        <is>
          <t xml:space="preserve"> - Road House</t>
        </is>
      </c>
      <c r="H502">
        <f>HYPERLINK("https://booking.roadsurfer.com/es/rally/pick?pickup_date=2026-03-07&amp;return_date=2026-03-14&amp;currency=EUR&amp;startStation=54&amp;endStation=42", "Clic para verlo en la web de RoadSurfer")</f>
        <v/>
      </c>
    </row>
    <row r="503">
      <c r="A503" t="inlineStr">
        <is>
          <t>Alemania</t>
        </is>
      </c>
      <c r="B503" t="inlineStr">
        <is>
          <t>Maguncia</t>
        </is>
      </c>
      <c r="C503" t="inlineStr">
        <is>
          <t>Francia</t>
        </is>
      </c>
      <c r="D503" t="inlineStr">
        <is>
          <t>París Sur (Orly)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Camper Cabin</t>
        </is>
      </c>
      <c r="H503">
        <f>HYPERLINK("https://booking.roadsurfer.com/es/rally/pick?pickup_date=2026-03-05&amp;return_date=2026-03-12&amp;currency=EUR&amp;startStation=54&amp;endStation=12", "Clic para verlo en la web de RoadSurfer")</f>
        <v/>
      </c>
    </row>
    <row r="504">
      <c r="A504" t="inlineStr">
        <is>
          <t>Alemania</t>
        </is>
      </c>
      <c r="B504" t="inlineStr">
        <is>
          <t>Maguncia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2026-03-09</t>
        </is>
      </c>
      <c r="F504" t="inlineStr">
        <is>
          <t>2026-03-16</t>
        </is>
      </c>
      <c r="G504" t="inlineStr">
        <is>
          <t xml:space="preserve"> - Family Finca</t>
        </is>
      </c>
      <c r="H504">
        <f>HYPERLINK("https://booking.roadsurfer.com/es/rally/pick?pickup_date=2026-03-09&amp;return_date=2026-03-16&amp;currency=EUR&amp;startStation=54&amp;endStation=15", "Clic para verlo en la web de RoadSurfer")</f>
        <v/>
      </c>
    </row>
    <row r="505">
      <c r="A505" t="inlineStr">
        <is>
          <t>España</t>
        </is>
      </c>
      <c r="B505" t="inlineStr">
        <is>
          <t>Málaga</t>
        </is>
      </c>
      <c r="C505" t="inlineStr">
        <is>
          <t>Alemania</t>
        </is>
      </c>
      <c r="D505" t="inlineStr">
        <is>
          <t>Friburgo-Basilea (Alemania)</t>
        </is>
      </c>
      <c r="E505" t="inlineStr">
        <is>
          <t>2026-03-16</t>
        </is>
      </c>
      <c r="F505" t="inlineStr">
        <is>
          <t>2026-03-23</t>
        </is>
      </c>
      <c r="G505" t="inlineStr">
        <is>
          <t xml:space="preserve"> - Family Finca</t>
        </is>
      </c>
      <c r="H505">
        <f>HYPERLINK("https://booking.roadsurfer.com/es/rally/pick?pickup_date=2026-03-16&amp;return_date=2026-03-23&amp;currency=EUR&amp;startStation=21&amp;endStation=9", "Clic para verlo en la web de RoadSurfer")</f>
        <v/>
      </c>
    </row>
    <row r="506">
      <c r="A506" t="inlineStr">
        <is>
          <t>España</t>
        </is>
      </c>
      <c r="B506" t="inlineStr">
        <is>
          <t>Málaga</t>
        </is>
      </c>
      <c r="C506" t="inlineStr">
        <is>
          <t>Alemania</t>
        </is>
      </c>
      <c r="D506" t="inlineStr">
        <is>
          <t>Friburgo-Basilea (Alemania)</t>
        </is>
      </c>
      <c r="E506" t="inlineStr">
        <is>
          <t>2026-03-17</t>
        </is>
      </c>
      <c r="F506" t="inlineStr">
        <is>
          <t>2026-03-24</t>
        </is>
      </c>
      <c r="G506" t="inlineStr">
        <is>
          <t xml:space="preserve"> - Surfer Suite</t>
        </is>
      </c>
      <c r="H506">
        <f>HYPERLINK("https://booking.roadsurfer.com/es/rally/pick?pickup_date=2026-03-17&amp;return_date=2026-03-24&amp;currency=EUR&amp;startStation=21&amp;endStation=9", "Clic para verlo en la web de RoadSurfer")</f>
        <v/>
      </c>
    </row>
    <row r="507">
      <c r="A507" t="inlineStr">
        <is>
          <t>España</t>
        </is>
      </c>
      <c r="B507" t="inlineStr">
        <is>
          <t>Málaga</t>
        </is>
      </c>
      <c r="C507" t="inlineStr">
        <is>
          <t>Alemania</t>
        </is>
      </c>
      <c r="D507" t="inlineStr">
        <is>
          <t>Stuttgart</t>
        </is>
      </c>
      <c r="E507" t="inlineStr">
        <is>
          <t>2026-03-12</t>
        </is>
      </c>
      <c r="F507" t="inlineStr">
        <is>
          <t>2026-03-19</t>
        </is>
      </c>
      <c r="G507" t="inlineStr">
        <is>
          <t xml:space="preserve"> - Road House</t>
        </is>
      </c>
      <c r="H507">
        <f>HYPERLINK("https://booking.roadsurfer.com/es/rally/pick?pickup_date=2026-03-12&amp;return_date=2026-03-19&amp;currency=EUR&amp;startStation=21&amp;endStation=5", "Clic para verlo en la web de RoadSurfer")</f>
        <v/>
      </c>
    </row>
    <row r="508">
      <c r="A508" t="inlineStr">
        <is>
          <t>España</t>
        </is>
      </c>
      <c r="B508" t="inlineStr">
        <is>
          <t>Málaga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2026-03-10</t>
        </is>
      </c>
      <c r="F508" t="inlineStr">
        <is>
          <t>2026-03-17</t>
        </is>
      </c>
      <c r="G508" t="inlineStr">
        <is>
          <t xml:space="preserve"> - Beach Hostel</t>
        </is>
      </c>
      <c r="H508">
        <f>HYPERLINK("https://booking.roadsurfer.com/es/rally/pick?pickup_date=2026-03-10&amp;return_date=2026-03-17&amp;currency=EUR&amp;startStation=21&amp;endStation=22", "Clic para verlo en la web de RoadSurfer")</f>
        <v/>
      </c>
    </row>
    <row r="509">
      <c r="A509" t="inlineStr">
        <is>
          <t>España</t>
        </is>
      </c>
      <c r="B509" t="inlineStr">
        <is>
          <t>Málaga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2026-03-11</t>
        </is>
      </c>
      <c r="F509" t="inlineStr">
        <is>
          <t>2026-03-18</t>
        </is>
      </c>
      <c r="G509" t="inlineStr">
        <is>
          <t xml:space="preserve"> - Road House</t>
        </is>
      </c>
      <c r="H509">
        <f>HYPERLINK("https://booking.roadsurfer.com/es/rally/pick?pickup_date=2026-03-11&amp;return_date=2026-03-18&amp;currency=EUR&amp;startStation=21&amp;endStation=22",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Stuttgart</t>
        </is>
      </c>
      <c r="E510" t="inlineStr">
        <is>
          <t>2026-03-06</t>
        </is>
      </c>
      <c r="F510" t="inlineStr">
        <is>
          <t>2026-03-13</t>
        </is>
      </c>
      <c r="G510" t="inlineStr">
        <is>
          <t xml:space="preserve"> - Camper Castle</t>
        </is>
      </c>
      <c r="H510">
        <f>HYPERLINK("https://booking.roadsurfer.com/es/rally/pick?pickup_date=2026-03-06&amp;return_date=2026-03-13&amp;currency=EUR&amp;startStation=60&amp;endStation=5",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Berlín</t>
        </is>
      </c>
      <c r="E511" t="inlineStr">
        <is>
          <t>2026-03-18</t>
        </is>
      </c>
      <c r="F511" t="inlineStr">
        <is>
          <t>2026-03-25</t>
        </is>
      </c>
      <c r="G511" t="inlineStr">
        <is>
          <t xml:space="preserve"> - Beach Hostel</t>
        </is>
      </c>
      <c r="H511">
        <f>HYPERLINK("https://booking.roadsurfer.com/es/rally/pick?pickup_date=2026-03-18&amp;return_date=2026-03-25&amp;currency=EUR&amp;startStation=60&amp;endStation=6",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Berlín</t>
        </is>
      </c>
      <c r="E512" t="inlineStr">
        <is>
          <t>2026-03-19</t>
        </is>
      </c>
      <c r="F512" t="inlineStr">
        <is>
          <t>2026-03-26</t>
        </is>
      </c>
      <c r="G512" t="inlineStr">
        <is>
          <t xml:space="preserve"> - Family Finca</t>
        </is>
      </c>
      <c r="H512">
        <f>HYPERLINK("https://booking.roadsurfer.com/es/rally/pick?pickup_date=2026-03-19&amp;return_date=2026-03-26&amp;currency=EUR&amp;startStation=60&amp;endStation=6",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Berlín-Schönefeld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Family Finca</t>
        </is>
      </c>
      <c r="H513">
        <f>HYPERLINK("https://booking.roadsurfer.com/es/rally/pick?pickup_date=2026-03-09&amp;return_date=2026-03-16&amp;currency=EUR&amp;startStation=60&amp;endStation=51",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2026-03-10</t>
        </is>
      </c>
      <c r="F514" t="inlineStr">
        <is>
          <t>2026-03-17</t>
        </is>
      </c>
      <c r="G514" t="inlineStr">
        <is>
          <t xml:space="preserve"> - SURFER SUITE</t>
        </is>
      </c>
      <c r="H514">
        <f>HYPERLINK("https://booking.roadsurfer.com/es/rally/pick?pickup_date=2026-03-10&amp;return_date=2026-03-17&amp;currency=EUR&amp;startStation=60&amp;endStation=22",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2026-03-09</t>
        </is>
      </c>
      <c r="F515" t="inlineStr">
        <is>
          <t>2026-03-16</t>
        </is>
      </c>
      <c r="G515" t="inlineStr">
        <is>
          <t xml:space="preserve"> - Beach Hostel</t>
        </is>
      </c>
      <c r="H515">
        <f>HYPERLINK("https://booking.roadsurfer.com/es/rally/pick?pickup_date=2026-03-09&amp;return_date=2026-03-16&amp;currency=EUR&amp;startStation=60&amp;endStation=22",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Fráncfort</t>
        </is>
      </c>
      <c r="E516" t="inlineStr">
        <is>
          <t>2026-03-10</t>
        </is>
      </c>
      <c r="F516" t="inlineStr">
        <is>
          <t>2026-03-17</t>
        </is>
      </c>
      <c r="G516" t="inlineStr">
        <is>
          <t xml:space="preserve"> - Family Finca</t>
        </is>
      </c>
      <c r="H516">
        <f>HYPERLINK("https://booking.roadsurfer.com/es/rally/pick?pickup_date=2026-03-10&amp;return_date=2026-03-17&amp;currency=EUR&amp;startStation=60&amp;endStation=2",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Fráncfort</t>
        </is>
      </c>
      <c r="E517" t="inlineStr">
        <is>
          <t>2026-03-11</t>
        </is>
      </c>
      <c r="F517" t="inlineStr">
        <is>
          <t>2026-03-18</t>
        </is>
      </c>
      <c r="G517" t="inlineStr">
        <is>
          <t xml:space="preserve"> - Family Finca</t>
        </is>
      </c>
      <c r="H517">
        <f>HYPERLINK("https://booking.roadsurfer.com/es/rally/pick?pickup_date=2026-03-11&amp;return_date=2026-03-18&amp;currency=EUR&amp;startStation=60&amp;endStation=2",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Augsburgo</t>
        </is>
      </c>
      <c r="E518" t="inlineStr">
        <is>
          <t>2026-03-12</t>
        </is>
      </c>
      <c r="F518" t="inlineStr">
        <is>
          <t>2026-03-19</t>
        </is>
      </c>
      <c r="G518" t="inlineStr">
        <is>
          <t xml:space="preserve"> - Camper Castle</t>
        </is>
      </c>
      <c r="H518">
        <f>HYPERLINK("https://booking.roadsurfer.com/es/rally/pick?pickup_date=2026-03-12&amp;return_date=2026-03-19&amp;currency=EUR&amp;startStation=60&amp;endStation=108",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Suecia</t>
        </is>
      </c>
      <c r="D519" t="inlineStr">
        <is>
          <t>Gotemburgo</t>
        </is>
      </c>
      <c r="E519" t="inlineStr">
        <is>
          <t>2026-03-02</t>
        </is>
      </c>
      <c r="F519" t="inlineStr">
        <is>
          <t>2026-03-09</t>
        </is>
      </c>
      <c r="G519" t="inlineStr">
        <is>
          <t xml:space="preserve"> - Road House</t>
        </is>
      </c>
      <c r="H519">
        <f>HYPERLINK("https://booking.roadsurfer.com/es/rally/pick?pickup_date=2026-03-02&amp;return_date=2026-03-09&amp;currency=EUR&amp;startStation=60&amp;endStation=77",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Núremberg</t>
        </is>
      </c>
      <c r="E520" t="inlineStr">
        <is>
          <t>2026-03-12</t>
        </is>
      </c>
      <c r="F520" t="inlineStr">
        <is>
          <t>2026-03-19</t>
        </is>
      </c>
      <c r="G520" t="inlineStr">
        <is>
          <t xml:space="preserve"> - Beach Hostel</t>
        </is>
      </c>
      <c r="H520">
        <f>HYPERLINK("https://booking.roadsurfer.com/es/rally/pick?pickup_date=2026-03-12&amp;return_date=2026-03-19&amp;currency=EUR&amp;startStation=60&amp;endStation=11",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2026-03-16</t>
        </is>
      </c>
      <c r="F521" t="inlineStr">
        <is>
          <t>2026-03-23</t>
        </is>
      </c>
      <c r="G521" t="inlineStr">
        <is>
          <t xml:space="preserve"> - ROAD HOUSE</t>
        </is>
      </c>
      <c r="H521">
        <f>HYPERLINK("https://booking.roadsurfer.com/es/rally/pick?pickup_date=2026-03-16&amp;return_date=2026-03-23&amp;currency=EUR&amp;startStation=60&amp;endStation=59",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Couple Cottage</t>
        </is>
      </c>
      <c r="H522">
        <f>HYPERLINK("https://booking.roadsurfer.com/es/rally/pick?pickup_date=2026-03-05&amp;return_date=2026-03-12&amp;currency=EUR&amp;startStation=60&amp;endStation=59",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Hannover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Surfer Suite</t>
        </is>
      </c>
      <c r="H523">
        <f>HYPERLINK("https://booking.roadsurfer.com/es/rally/pick?pickup_date=2026-03-09&amp;return_date=2026-03-16&amp;currency=EUR&amp;startStation=60&amp;endStation=7", "Clic para verlo en la web de RoadSurfer")</f>
        <v/>
      </c>
    </row>
    <row r="524">
      <c r="A524" t="inlineStr">
        <is>
          <t>Italia</t>
        </is>
      </c>
      <c r="B524" t="inlineStr">
        <is>
          <t>Milán</t>
        </is>
      </c>
      <c r="C524" t="inlineStr">
        <is>
          <t>Alemania</t>
        </is>
      </c>
      <c r="D524" t="inlineStr">
        <is>
          <t>Colonia-Bonn</t>
        </is>
      </c>
      <c r="E524" t="inlineStr">
        <is>
          <t>2026-03-11</t>
        </is>
      </c>
      <c r="F524" t="inlineStr">
        <is>
          <t>2026-03-18</t>
        </is>
      </c>
      <c r="G524" t="inlineStr">
        <is>
          <t xml:space="preserve"> - Surfer Suite</t>
        </is>
      </c>
      <c r="H524">
        <f>HYPERLINK("https://booking.roadsurfer.com/es/rally/pick?pickup_date=2026-03-11&amp;return_date=2026-03-18&amp;currency=EUR&amp;startStation=34&amp;endStation=52", "Clic para verlo en la web de RoadSurfer")</f>
        <v/>
      </c>
    </row>
    <row r="525">
      <c r="A525" t="inlineStr">
        <is>
          <t>Italia</t>
        </is>
      </c>
      <c r="B525" t="inlineStr">
        <is>
          <t>Milán</t>
        </is>
      </c>
      <c r="C525" t="inlineStr">
        <is>
          <t>Alemania</t>
        </is>
      </c>
      <c r="D525" t="inlineStr">
        <is>
          <t>Colonia-Bonn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Surfer Suite</t>
        </is>
      </c>
      <c r="H525">
        <f>HYPERLINK("https://booking.roadsurfer.com/es/rally/pick?pickup_date=2026-03-09&amp;return_date=2026-03-16&amp;currency=EUR&amp;startStation=34&amp;endStation=52", "Clic para verlo en la web de RoadSurfer")</f>
        <v/>
      </c>
    </row>
    <row r="526">
      <c r="A526" t="inlineStr">
        <is>
          <t>Italia</t>
        </is>
      </c>
      <c r="B526" t="inlineStr">
        <is>
          <t>Milán</t>
        </is>
      </c>
      <c r="C526" t="inlineStr">
        <is>
          <t>Alemania</t>
        </is>
      </c>
      <c r="D526" t="inlineStr">
        <is>
          <t>Colonia-Bonn</t>
        </is>
      </c>
      <c r="E526" t="inlineStr">
        <is>
          <t>2026-03-10</t>
        </is>
      </c>
      <c r="F526" t="inlineStr">
        <is>
          <t>2026-03-17</t>
        </is>
      </c>
      <c r="G526" t="inlineStr">
        <is>
          <t xml:space="preserve"> - Family Finca</t>
        </is>
      </c>
      <c r="H526">
        <f>HYPERLINK("https://booking.roadsurfer.com/es/rally/pick?pickup_date=2026-03-10&amp;return_date=2026-03-17&amp;currency=EUR&amp;startStation=34&amp;endStation=52", "Clic para verlo en la web de RoadSurfer")</f>
        <v/>
      </c>
    </row>
    <row r="527">
      <c r="A527" t="inlineStr">
        <is>
          <t>Italia</t>
        </is>
      </c>
      <c r="B527" t="inlineStr">
        <is>
          <t>Milán</t>
        </is>
      </c>
      <c r="C527" t="inlineStr">
        <is>
          <t>Alemania</t>
        </is>
      </c>
      <c r="D527" t="inlineStr">
        <is>
          <t>Múnich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Surfer Suite</t>
        </is>
      </c>
      <c r="H527">
        <f>HYPERLINK("https://booking.roadsurfer.com/es/rally/pick?pickup_date=2026-03-16&amp;return_date=2026-03-23&amp;currency=EUR&amp;startStation=34&amp;endStation=1", "Clic para verlo en la web de RoadSurfer")</f>
        <v/>
      </c>
    </row>
    <row r="528">
      <c r="A528" t="inlineStr">
        <is>
          <t>Italia</t>
        </is>
      </c>
      <c r="B528" t="inlineStr">
        <is>
          <t>Milán</t>
        </is>
      </c>
      <c r="C528" t="inlineStr">
        <is>
          <t>Alemania</t>
        </is>
      </c>
      <c r="D528" t="inlineStr">
        <is>
          <t>Múnich</t>
        </is>
      </c>
      <c r="E528" t="inlineStr">
        <is>
          <t>2026-03-18</t>
        </is>
      </c>
      <c r="F528" t="inlineStr">
        <is>
          <t>2026-03-25</t>
        </is>
      </c>
      <c r="G528" t="inlineStr">
        <is>
          <t xml:space="preserve"> - Sunrise Suite</t>
        </is>
      </c>
      <c r="H528">
        <f>HYPERLINK("https://booking.roadsurfer.com/es/rally/pick?pickup_date=2026-03-18&amp;return_date=2026-03-25&amp;currency=EUR&amp;startStation=34&amp;endStation=1", "Clic para verlo en la web de RoadSurfer")</f>
        <v/>
      </c>
    </row>
    <row r="529">
      <c r="A529" t="inlineStr">
        <is>
          <t>Italia</t>
        </is>
      </c>
      <c r="B529" t="inlineStr">
        <is>
          <t>Milán</t>
        </is>
      </c>
      <c r="C529" t="inlineStr">
        <is>
          <t>Alemania</t>
        </is>
      </c>
      <c r="D529" t="inlineStr">
        <is>
          <t>Múnich</t>
        </is>
      </c>
      <c r="E529" t="inlineStr">
        <is>
          <t>2026-03-17</t>
        </is>
      </c>
      <c r="F529" t="inlineStr">
        <is>
          <t>2026-03-24</t>
        </is>
      </c>
      <c r="G529" t="inlineStr">
        <is>
          <t xml:space="preserve"> - Family Finca</t>
        </is>
      </c>
      <c r="H529">
        <f>HYPERLINK("https://booking.roadsurfer.com/es/rally/pick?pickup_date=2026-03-17&amp;return_date=2026-03-24&amp;currency=EUR&amp;startStation=34&amp;endStation=1",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Múnich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Family Finca</t>
        </is>
      </c>
      <c r="H530">
        <f>HYPERLINK("https://booking.roadsurfer.com/es/rally/pick?pickup_date=2026-03-19&amp;return_date=2026-03-26&amp;currency=EUR&amp;startStation=34&amp;endStation=1",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Hamburgo</t>
        </is>
      </c>
      <c r="E531" t="inlineStr">
        <is>
          <t>2026-03-14</t>
        </is>
      </c>
      <c r="F531" t="inlineStr">
        <is>
          <t>2026-03-21</t>
        </is>
      </c>
      <c r="G531" t="inlineStr">
        <is>
          <t xml:space="preserve"> - Road House</t>
        </is>
      </c>
      <c r="H531">
        <f>HYPERLINK("https://booking.roadsurfer.com/es/rally/pick?pickup_date=2026-03-14&amp;return_date=2026-03-21&amp;currency=EUR&amp;startStation=34&amp;endStation=3",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Hamburgo</t>
        </is>
      </c>
      <c r="E532" t="inlineStr">
        <is>
          <t>2026-03-16</t>
        </is>
      </c>
      <c r="F532" t="inlineStr">
        <is>
          <t>2026-03-23</t>
        </is>
      </c>
      <c r="G532" t="inlineStr">
        <is>
          <t xml:space="preserve"> - Surfer Suite</t>
        </is>
      </c>
      <c r="H532">
        <f>HYPERLINK("https://booking.roadsurfer.com/es/rally/pick?pickup_date=2026-03-16&amp;return_date=2026-03-23&amp;currency=EUR&amp;startStation=34&amp;endStation=3",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2026-03-19</t>
        </is>
      </c>
      <c r="F533" t="inlineStr">
        <is>
          <t>2026-03-26</t>
        </is>
      </c>
      <c r="G533" t="inlineStr">
        <is>
          <t xml:space="preserve"> - SURFER SUITE</t>
        </is>
      </c>
      <c r="H533">
        <f>HYPERLINK("https://booking.roadsurfer.com/es/rally/pick?pickup_date=2026-03-19&amp;return_date=2026-03-26&amp;currency=EUR&amp;startStation=34&amp;endStation=22",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Family Finca</t>
        </is>
      </c>
      <c r="H534">
        <f>HYPERLINK("https://booking.roadsurfer.com/es/rally/pick?pickup_date=2026-03-16&amp;return_date=2026-03-23&amp;currency=EUR&amp;startStation=34&amp;endStation=22",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2026-03-17</t>
        </is>
      </c>
      <c r="F535" t="inlineStr">
        <is>
          <t>2026-03-24</t>
        </is>
      </c>
      <c r="G535" t="inlineStr">
        <is>
          <t xml:space="preserve"> - Family Finca</t>
        </is>
      </c>
      <c r="H535">
        <f>HYPERLINK("https://booking.roadsurfer.com/es/rally/pick?pickup_date=2026-03-17&amp;return_date=2026-03-24&amp;currency=EUR&amp;startStation=34&amp;endStation=22",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Beach Hostel</t>
        </is>
      </c>
      <c r="H536">
        <f>HYPERLINK("https://booking.roadsurfer.com/es/rally/pick?pickup_date=2026-03-09&amp;return_date=2026-03-16&amp;currency=EUR&amp;startStation=34&amp;endStation=22",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2026-03-10</t>
        </is>
      </c>
      <c r="F537" t="inlineStr">
        <is>
          <t>2026-03-17</t>
        </is>
      </c>
      <c r="G537" t="inlineStr">
        <is>
          <t xml:space="preserve"> - Surfer Suite</t>
        </is>
      </c>
      <c r="H537">
        <f>HYPERLINK("https://booking.roadsurfer.com/es/rally/pick?pickup_date=2026-03-10&amp;return_date=2026-03-17&amp;currency=EUR&amp;startStation=34&amp;endStation=22",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2026-03-18</t>
        </is>
      </c>
      <c r="F538" t="inlineStr">
        <is>
          <t>2026-03-25</t>
        </is>
      </c>
      <c r="G538" t="inlineStr">
        <is>
          <t xml:space="preserve"> - CAMPER CASTLE</t>
        </is>
      </c>
      <c r="H538">
        <f>HYPERLINK("https://booking.roadsurfer.com/es/rally/pick?pickup_date=2026-03-18&amp;return_date=2026-03-25&amp;currency=EUR&amp;startStation=34&amp;endStation=2",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Fráncfort</t>
        </is>
      </c>
      <c r="E539" t="inlineStr">
        <is>
          <t>2026-03-13</t>
        </is>
      </c>
      <c r="F539" t="inlineStr">
        <is>
          <t>2026-03-20</t>
        </is>
      </c>
      <c r="G539" t="inlineStr">
        <is>
          <t xml:space="preserve"> - Surfer Suite</t>
        </is>
      </c>
      <c r="H539">
        <f>HYPERLINK("https://booking.roadsurfer.com/es/rally/pick?pickup_date=2026-03-13&amp;return_date=2026-03-20&amp;currency=EUR&amp;startStation=34&amp;endStation=2",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Duisburgo</t>
        </is>
      </c>
      <c r="E540" t="inlineStr">
        <is>
          <t>2026-03-14</t>
        </is>
      </c>
      <c r="F540" t="inlineStr">
        <is>
          <t>2026-03-21</t>
        </is>
      </c>
      <c r="G540" t="inlineStr">
        <is>
          <t xml:space="preserve"> - Surfer Suite</t>
        </is>
      </c>
      <c r="H540">
        <f>HYPERLINK("https://booking.roadsurfer.com/es/rally/pick?pickup_date=2026-03-14&amp;return_date=2026-03-21&amp;currency=EUR&amp;startStation=34&amp;endStation=113",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Duisburgo</t>
        </is>
      </c>
      <c r="E541" t="inlineStr">
        <is>
          <t>2026-03-12</t>
        </is>
      </c>
      <c r="F541" t="inlineStr">
        <is>
          <t>2026-03-19</t>
        </is>
      </c>
      <c r="G541" t="inlineStr">
        <is>
          <t xml:space="preserve"> - Family Finca</t>
        </is>
      </c>
      <c r="H541">
        <f>HYPERLINK("https://booking.roadsurfer.com/es/rally/pick?pickup_date=2026-03-12&amp;return_date=2026-03-19&amp;currency=EUR&amp;startStation=34&amp;endStation=113",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2026-03-11</t>
        </is>
      </c>
      <c r="F542" t="inlineStr">
        <is>
          <t>2026-03-18</t>
        </is>
      </c>
      <c r="G542" t="inlineStr">
        <is>
          <t xml:space="preserve"> - Family Finca</t>
        </is>
      </c>
      <c r="H542">
        <f>HYPERLINK("https://booking.roadsurfer.com/es/rally/pick?pickup_date=2026-03-11&amp;return_date=2026-03-18&amp;currency=EUR&amp;startStation=34&amp;endStation=91",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Karlsruhe</t>
        </is>
      </c>
      <c r="E543" t="inlineStr">
        <is>
          <t>2026-03-02</t>
        </is>
      </c>
      <c r="F543" t="inlineStr">
        <is>
          <t>2026-03-09</t>
        </is>
      </c>
      <c r="G543" t="inlineStr">
        <is>
          <t xml:space="preserve"> - COUPLE COTTAGE</t>
        </is>
      </c>
      <c r="H543">
        <f>HYPERLINK("https://booking.roadsurfer.com/es/rally/pick?pickup_date=2026-03-02&amp;return_date=2026-03-09&amp;currency=EUR&amp;startStation=34&amp;endStation=110",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Italia</t>
        </is>
      </c>
      <c r="D544" t="inlineStr">
        <is>
          <t>Bolonia</t>
        </is>
      </c>
      <c r="E544" t="inlineStr">
        <is>
          <t>2026-03-03</t>
        </is>
      </c>
      <c r="F544" t="inlineStr">
        <is>
          <t>2026-03-13</t>
        </is>
      </c>
      <c r="G544" t="inlineStr">
        <is>
          <t xml:space="preserve"> - Surfer Suite</t>
        </is>
      </c>
      <c r="H544">
        <f>HYPERLINK("https://booking.roadsurfer.com/es/rally/pick?pickup_date=2026-03-03&amp;return_date=2026-03-13&amp;currency=EUR&amp;startStation=1&amp;endStation=57",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Italia</t>
        </is>
      </c>
      <c r="D545" t="inlineStr">
        <is>
          <t>Bolonia</t>
        </is>
      </c>
      <c r="E545" t="inlineStr">
        <is>
          <t>2026-03-11</t>
        </is>
      </c>
      <c r="F545" t="inlineStr">
        <is>
          <t>2026-03-21</t>
        </is>
      </c>
      <c r="G545" t="inlineStr">
        <is>
          <t xml:space="preserve"> - Beach Hostel</t>
        </is>
      </c>
      <c r="H545">
        <f>HYPERLINK("https://booking.roadsurfer.com/es/rally/pick?pickup_date=2026-03-11&amp;return_date=2026-03-21&amp;currency=EUR&amp;startStation=1&amp;endStation=57",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Italia</t>
        </is>
      </c>
      <c r="D546" t="inlineStr">
        <is>
          <t>Bolonia</t>
        </is>
      </c>
      <c r="E546" t="inlineStr">
        <is>
          <t>2026-03-06</t>
        </is>
      </c>
      <c r="F546" t="inlineStr">
        <is>
          <t>2026-03-16</t>
        </is>
      </c>
      <c r="G546" t="inlineStr">
        <is>
          <t xml:space="preserve"> - Beach Hostel</t>
        </is>
      </c>
      <c r="H546">
        <f>HYPERLINK("https://booking.roadsurfer.com/es/rally/pick?pickup_date=2026-03-06&amp;return_date=2026-03-16&amp;currency=EUR&amp;startStation=1&amp;endStation=57",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Italia</t>
        </is>
      </c>
      <c r="D547" t="inlineStr">
        <is>
          <t>Bolonia</t>
        </is>
      </c>
      <c r="E547" t="inlineStr">
        <is>
          <t>2026-03-19</t>
        </is>
      </c>
      <c r="F547" t="inlineStr">
        <is>
          <t>2026-03-26</t>
        </is>
      </c>
      <c r="G547" t="inlineStr">
        <is>
          <t xml:space="preserve"> - Camper Castle</t>
        </is>
      </c>
      <c r="H547">
        <f>HYPERLINK("https://booking.roadsurfer.com/es/rally/pick?pickup_date=2026-03-19&amp;return_date=2026-03-26&amp;currency=EUR&amp;startStation=1&amp;endStation=57",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Italia</t>
        </is>
      </c>
      <c r="D548" t="inlineStr">
        <is>
          <t>Bolonia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Family Finca - FAMILY FINCA</t>
        </is>
      </c>
      <c r="H548">
        <f>HYPERLINK("https://booking.roadsurfer.com/es/rally/pick?pickup_date=2026-03-16&amp;return_date=2026-03-23&amp;currency=EUR&amp;startStation=1&amp;endStation=57",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Italia</t>
        </is>
      </c>
      <c r="D549" t="inlineStr">
        <is>
          <t>Florencia</t>
        </is>
      </c>
      <c r="E549" t="inlineStr">
        <is>
          <t>2026-03-04</t>
        </is>
      </c>
      <c r="F549" t="inlineStr">
        <is>
          <t>2026-03-14</t>
        </is>
      </c>
      <c r="G549" t="inlineStr">
        <is>
          <t xml:space="preserve"> - Road House</t>
        </is>
      </c>
      <c r="H549">
        <f>HYPERLINK("https://booking.roadsurfer.com/es/rally/pick?pickup_date=2026-03-04&amp;return_date=2026-03-14&amp;currency=EUR&amp;startStation=1&amp;endStation=80",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Italia</t>
        </is>
      </c>
      <c r="D550" t="inlineStr">
        <is>
          <t>Florencia</t>
        </is>
      </c>
      <c r="E550" t="inlineStr">
        <is>
          <t>2026-03-02</t>
        </is>
      </c>
      <c r="F550" t="inlineStr">
        <is>
          <t>2026-03-12</t>
        </is>
      </c>
      <c r="G550" t="inlineStr">
        <is>
          <t xml:space="preserve"> - Surfer Suite</t>
        </is>
      </c>
      <c r="H550">
        <f>HYPERLINK("https://booking.roadsurfer.com/es/rally/pick?pickup_date=2026-03-02&amp;return_date=2026-03-12&amp;currency=EUR&amp;startStation=1&amp;endStation=80",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Italia</t>
        </is>
      </c>
      <c r="D551" t="inlineStr">
        <is>
          <t>Florencia</t>
        </is>
      </c>
      <c r="E551" t="inlineStr">
        <is>
          <t>2026-03-13</t>
        </is>
      </c>
      <c r="F551" t="inlineStr">
        <is>
          <t>2026-03-20</t>
        </is>
      </c>
      <c r="G551" t="inlineStr">
        <is>
          <t xml:space="preserve"> - Surfer Suite</t>
        </is>
      </c>
      <c r="H551">
        <f>HYPERLINK("https://booking.roadsurfer.com/es/rally/pick?pickup_date=2026-03-13&amp;return_date=2026-03-20&amp;currency=EUR&amp;startStation=1&amp;endStation=80",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Italia</t>
        </is>
      </c>
      <c r="D552" t="inlineStr">
        <is>
          <t>Florencia</t>
        </is>
      </c>
      <c r="E552" t="inlineStr">
        <is>
          <t>2026-03-12</t>
        </is>
      </c>
      <c r="F552" t="inlineStr">
        <is>
          <t>2026-03-19</t>
        </is>
      </c>
      <c r="G552" t="inlineStr">
        <is>
          <t xml:space="preserve"> - Surfer Suite</t>
        </is>
      </c>
      <c r="H552">
        <f>HYPERLINK("https://booking.roadsurfer.com/es/rally/pick?pickup_date=2026-03-12&amp;return_date=2026-03-19&amp;currency=EUR&amp;startStation=1&amp;endStation=80",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Países Bajos</t>
        </is>
      </c>
      <c r="D553" t="inlineStr">
        <is>
          <t>Ámsterdam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Surfer Suite</t>
        </is>
      </c>
      <c r="H553">
        <f>HYPERLINK("https://booking.roadsurfer.com/es/rally/pick?pickup_date=2026-03-12&amp;return_date=2026-03-19&amp;currency=EUR&amp;startStation=1&amp;endStation=32",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Países Bajos</t>
        </is>
      </c>
      <c r="D554" t="inlineStr">
        <is>
          <t>Ámsterdam</t>
        </is>
      </c>
      <c r="E554" t="inlineStr">
        <is>
          <t>2026-03-14</t>
        </is>
      </c>
      <c r="F554" t="inlineStr">
        <is>
          <t>2026-03-21</t>
        </is>
      </c>
      <c r="G554" t="inlineStr">
        <is>
          <t xml:space="preserve"> - Surfer Suite</t>
        </is>
      </c>
      <c r="H554">
        <f>HYPERLINK("https://booking.roadsurfer.com/es/rally/pick?pickup_date=2026-03-14&amp;return_date=2026-03-21&amp;currency=EUR&amp;startStation=1&amp;endStation=32",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Países Bajos</t>
        </is>
      </c>
      <c r="D555" t="inlineStr">
        <is>
          <t>Ámsterdam</t>
        </is>
      </c>
      <c r="E555" t="inlineStr">
        <is>
          <t>2026-03-16</t>
        </is>
      </c>
      <c r="F555" t="inlineStr">
        <is>
          <t>2026-03-23</t>
        </is>
      </c>
      <c r="G555" t="inlineStr">
        <is>
          <t xml:space="preserve"> - Road House</t>
        </is>
      </c>
      <c r="H555">
        <f>HYPERLINK("https://booking.roadsurfer.com/es/rally/pick?pickup_date=2026-03-16&amp;return_date=2026-03-23&amp;currency=EUR&amp;startStation=1&amp;endStation=32",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Países Bajos</t>
        </is>
      </c>
      <c r="D556" t="inlineStr">
        <is>
          <t>Ámsterdam</t>
        </is>
      </c>
      <c r="E556" t="inlineStr">
        <is>
          <t>2026-03-17</t>
        </is>
      </c>
      <c r="F556" t="inlineStr">
        <is>
          <t>2026-03-24</t>
        </is>
      </c>
      <c r="G556" t="inlineStr">
        <is>
          <t xml:space="preserve"> - Camper Cabin</t>
        </is>
      </c>
      <c r="H556">
        <f>HYPERLINK("https://booking.roadsurfer.com/es/rally/pick?pickup_date=2026-03-17&amp;return_date=2026-03-24&amp;currency=EUR&amp;startStation=1&amp;endStation=32",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Países Bajos</t>
        </is>
      </c>
      <c r="D557" t="inlineStr">
        <is>
          <t>Ámsterdam</t>
        </is>
      </c>
      <c r="E557" t="inlineStr">
        <is>
          <t>2026-03-19</t>
        </is>
      </c>
      <c r="F557" t="inlineStr">
        <is>
          <t>2026-03-26</t>
        </is>
      </c>
      <c r="G557" t="inlineStr">
        <is>
          <t xml:space="preserve"> - Camper Castle</t>
        </is>
      </c>
      <c r="H557">
        <f>HYPERLINK("https://booking.roadsurfer.com/es/rally/pick?pickup_date=2026-03-19&amp;return_date=2026-03-26&amp;currency=EUR&amp;startStation=1&amp;endStation=32",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2026-03-06</t>
        </is>
      </c>
      <c r="F558" t="inlineStr">
        <is>
          <t>2026-03-13</t>
        </is>
      </c>
      <c r="G558" t="inlineStr">
        <is>
          <t xml:space="preserve"> - Surfer Suite</t>
        </is>
      </c>
      <c r="H558">
        <f>HYPERLINK("https://booking.roadsurfer.com/es/rally/pick?pickup_date=2026-03-06&amp;return_date=2026-03-13&amp;currency=EUR&amp;startStation=1&amp;endStation=33",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Francia</t>
        </is>
      </c>
      <c r="D559" t="inlineStr">
        <is>
          <t>Aix-Marsella</t>
        </is>
      </c>
      <c r="E559" t="inlineStr">
        <is>
          <t>2026-03-04</t>
        </is>
      </c>
      <c r="F559" t="inlineStr">
        <is>
          <t>2026-03-14</t>
        </is>
      </c>
      <c r="G559" t="inlineStr">
        <is>
          <t xml:space="preserve"> - Surfer Suite</t>
        </is>
      </c>
      <c r="H559">
        <f>HYPERLINK("https://booking.roadsurfer.com/es/rally/pick?pickup_date=2026-03-04&amp;return_date=2026-03-14&amp;currency=EUR&amp;startStation=1&amp;endStation=16",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Austria</t>
        </is>
      </c>
      <c r="D560" t="inlineStr">
        <is>
          <t>Viena</t>
        </is>
      </c>
      <c r="E560" t="inlineStr">
        <is>
          <t>2026-03-07</t>
        </is>
      </c>
      <c r="F560" t="inlineStr">
        <is>
          <t>2026-03-14</t>
        </is>
      </c>
      <c r="G560" t="inlineStr">
        <is>
          <t xml:space="preserve"> - Surfer Suite</t>
        </is>
      </c>
      <c r="H560">
        <f>HYPERLINK("https://booking.roadsurfer.com/es/rally/pick?pickup_date=2026-03-07&amp;return_date=2026-03-14&amp;currency=EUR&amp;startStation=1&amp;endStation=36",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Austria</t>
        </is>
      </c>
      <c r="D561" t="inlineStr">
        <is>
          <t>Viena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Family Finca</t>
        </is>
      </c>
      <c r="H561">
        <f>HYPERLINK("https://booking.roadsurfer.com/es/rally/pick?pickup_date=2026-03-12&amp;return_date=2026-03-19&amp;currency=EUR&amp;startStation=1&amp;endStation=36",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Austria</t>
        </is>
      </c>
      <c r="D562" t="inlineStr">
        <is>
          <t>Viena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Road House</t>
        </is>
      </c>
      <c r="H562">
        <f>HYPERLINK("https://booking.roadsurfer.com/es/rally/pick?pickup_date=2026-03-16&amp;return_date=2026-03-23&amp;currency=EUR&amp;startStation=1&amp;endStation=36",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2026-03-14</t>
        </is>
      </c>
      <c r="F563" t="inlineStr">
        <is>
          <t>2026-03-21</t>
        </is>
      </c>
      <c r="G563" t="inlineStr">
        <is>
          <t xml:space="preserve"> - Surfer Suite</t>
        </is>
      </c>
      <c r="H563">
        <f>HYPERLINK("https://booking.roadsurfer.com/es/rally/pick?pickup_date=2026-03-14&amp;return_date=2026-03-21&amp;currency=EUR&amp;startStation=1&amp;endStation=12",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2026-03-12</t>
        </is>
      </c>
      <c r="F564" t="inlineStr">
        <is>
          <t>2026-03-19</t>
        </is>
      </c>
      <c r="G564" t="inlineStr">
        <is>
          <t xml:space="preserve"> - Surfer Suite</t>
        </is>
      </c>
      <c r="H564">
        <f>HYPERLINK("https://booking.roadsurfer.com/es/rally/pick?pickup_date=2026-03-12&amp;return_date=2026-03-19&amp;currency=EUR&amp;startStation=1&amp;endStation=34",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2026-03-14</t>
        </is>
      </c>
      <c r="F565" t="inlineStr">
        <is>
          <t>2026-03-21</t>
        </is>
      </c>
      <c r="G565" t="inlineStr">
        <is>
          <t xml:space="preserve"> - Surfer Suite - Beach Hostel - Family Finca</t>
        </is>
      </c>
      <c r="H565">
        <f>HYPERLINK("https://booking.roadsurfer.com/es/rally/pick?pickup_date=2026-03-14&amp;return_date=2026-03-21&amp;currency=EUR&amp;startStation=1&amp;endStation=34",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2026-03-13</t>
        </is>
      </c>
      <c r="F566" t="inlineStr">
        <is>
          <t>2026-03-20</t>
        </is>
      </c>
      <c r="G566" t="inlineStr">
        <is>
          <t xml:space="preserve"> - Surfer Suite</t>
        </is>
      </c>
      <c r="H566">
        <f>HYPERLINK("https://booking.roadsurfer.com/es/rally/pick?pickup_date=2026-03-13&amp;return_date=2026-03-20&amp;currency=EUR&amp;startStation=1&amp;endStation=30",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Italia</t>
        </is>
      </c>
      <c r="D567" t="inlineStr">
        <is>
          <t>Turín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Surfer Suite</t>
        </is>
      </c>
      <c r="H567">
        <f>HYPERLINK("https://booking.roadsurfer.com/es/rally/pick?pickup_date=2026-03-12&amp;return_date=2026-03-19&amp;currency=EUR&amp;startStation=1&amp;endStation=58",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Italia</t>
        </is>
      </c>
      <c r="D568" t="inlineStr">
        <is>
          <t>Venecia</t>
        </is>
      </c>
      <c r="E568" t="inlineStr">
        <is>
          <t>2026-03-07</t>
        </is>
      </c>
      <c r="F568" t="inlineStr">
        <is>
          <t>2026-03-14</t>
        </is>
      </c>
      <c r="G568" t="inlineStr">
        <is>
          <t xml:space="preserve"> - Couple Cottage</t>
        </is>
      </c>
      <c r="H568">
        <f>HYPERLINK("https://booking.roadsurfer.com/es/rally/pick?pickup_date=2026-03-07&amp;return_date=2026-03-14&amp;currency=EUR&amp;startStation=1&amp;endStation=78",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Italia</t>
        </is>
      </c>
      <c r="D569" t="inlineStr">
        <is>
          <t>Venecia</t>
        </is>
      </c>
      <c r="E569" t="inlineStr">
        <is>
          <t>2026-03-14</t>
        </is>
      </c>
      <c r="F569" t="inlineStr">
        <is>
          <t>2026-03-21</t>
        </is>
      </c>
      <c r="G569" t="inlineStr">
        <is>
          <t xml:space="preserve"> - No hay coche</t>
        </is>
      </c>
      <c r="H569">
        <f>HYPERLINK("https://booking.roadsurfer.com/es/rally/pick?pickup_date=2026-03-14&amp;return_date=2026-03-21&amp;currency=EUR&amp;startStation=1&amp;endStation=78",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Italia</t>
        </is>
      </c>
      <c r="D570" t="inlineStr">
        <is>
          <t>Venecia</t>
        </is>
      </c>
      <c r="E570" t="inlineStr">
        <is>
          <t>2026-03-12</t>
        </is>
      </c>
      <c r="F570" t="inlineStr">
        <is>
          <t>2026-03-19</t>
        </is>
      </c>
      <c r="G570" t="inlineStr">
        <is>
          <t xml:space="preserve"> - Surfer Suite - Camper Castle</t>
        </is>
      </c>
      <c r="H570">
        <f>HYPERLINK("https://booking.roadsurfer.com/es/rally/pick?pickup_date=2026-03-12&amp;return_date=2026-03-19&amp;currency=EUR&amp;startStation=1&amp;endStation=78",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Italia</t>
        </is>
      </c>
      <c r="D571" t="inlineStr">
        <is>
          <t>Venecia</t>
        </is>
      </c>
      <c r="E571" t="inlineStr">
        <is>
          <t>2026-03-15</t>
        </is>
      </c>
      <c r="F571" t="inlineStr">
        <is>
          <t>2026-03-22</t>
        </is>
      </c>
      <c r="G571" t="inlineStr">
        <is>
          <t xml:space="preserve"> - No hay coche</t>
        </is>
      </c>
      <c r="H571">
        <f>HYPERLINK("https://booking.roadsurfer.com/es/rally/pick?pickup_date=2026-03-15&amp;return_date=2026-03-22&amp;currency=EUR&amp;startStation=1&amp;endStation=78",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Italia</t>
        </is>
      </c>
      <c r="D572" t="inlineStr">
        <is>
          <t>Venecia</t>
        </is>
      </c>
      <c r="E572" t="inlineStr">
        <is>
          <t>2026-03-13</t>
        </is>
      </c>
      <c r="F572" t="inlineStr">
        <is>
          <t>2026-03-20</t>
        </is>
      </c>
      <c r="G572" t="inlineStr">
        <is>
          <t xml:space="preserve"> - Surfer Suite - Camper Castle</t>
        </is>
      </c>
      <c r="H572">
        <f>HYPERLINK("https://booking.roadsurfer.com/es/rally/pick?pickup_date=2026-03-13&amp;return_date=2026-03-20&amp;currency=EUR&amp;startStation=1&amp;endStation=78",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Family Finca - Couple Cottage - FAMILY FINCA - COUPLE COTTAGE</t>
        </is>
      </c>
      <c r="H573">
        <f>HYPERLINK("https://booking.roadsurfer.com/es/rally/pick?pickup_date=2026-03-16&amp;return_date=2026-03-23&amp;currency=EUR&amp;startStation=1&amp;endStation=78",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Italia</t>
        </is>
      </c>
      <c r="D574" t="inlineStr">
        <is>
          <t>Venecia</t>
        </is>
      </c>
      <c r="E574" t="inlineStr">
        <is>
          <t>2026-03-17</t>
        </is>
      </c>
      <c r="F574" t="inlineStr">
        <is>
          <t>2026-03-24</t>
        </is>
      </c>
      <c r="G574" t="inlineStr">
        <is>
          <t xml:space="preserve"> - Surfer Suite</t>
        </is>
      </c>
      <c r="H574">
        <f>HYPERLINK("https://booking.roadsurfer.com/es/rally/pick?pickup_date=2026-03-17&amp;return_date=2026-03-24&amp;currency=EUR&amp;startStation=1&amp;endStation=78",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2026-03-14</t>
        </is>
      </c>
      <c r="F575" t="inlineStr">
        <is>
          <t>2026-03-21</t>
        </is>
      </c>
      <c r="G575" t="inlineStr">
        <is>
          <t xml:space="preserve"> - Beach Hostel</t>
        </is>
      </c>
      <c r="H575">
        <f>HYPERLINK("https://booking.roadsurfer.com/es/rally/pick?pickup_date=2026-03-14&amp;return_date=2026-03-21&amp;currency=EUR&amp;startStation=1&amp;endStation=94",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Italia</t>
        </is>
      </c>
      <c r="D576" t="inlineStr">
        <is>
          <t>Bérgamo</t>
        </is>
      </c>
      <c r="E576" t="inlineStr">
        <is>
          <t>2026-03-09</t>
        </is>
      </c>
      <c r="F576" t="inlineStr">
        <is>
          <t>2026-03-19</t>
        </is>
      </c>
      <c r="G576" t="inlineStr">
        <is>
          <t xml:space="preserve"> - Beach Hostel</t>
        </is>
      </c>
      <c r="H576">
        <f>HYPERLINK("https://booking.roadsurfer.com/es/rally/pick?pickup_date=2026-03-09&amp;return_date=2026-03-19&amp;currency=EUR&amp;startStation=1&amp;endStation=94",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Austria</t>
        </is>
      </c>
      <c r="D577" t="inlineStr">
        <is>
          <t>Innsbruck-Wiesing</t>
        </is>
      </c>
      <c r="E577" t="inlineStr">
        <is>
          <t>2026-03-19</t>
        </is>
      </c>
      <c r="F577" t="inlineStr">
        <is>
          <t>2026-03-26</t>
        </is>
      </c>
      <c r="G577" t="inlineStr">
        <is>
          <t xml:space="preserve"> - Beach Hostel</t>
        </is>
      </c>
      <c r="H577">
        <f>HYPERLINK("https://booking.roadsurfer.com/es/rally/pick?pickup_date=2026-03-19&amp;return_date=2026-03-26&amp;currency=EUR&amp;startStation=1&amp;endStation=46",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España</t>
        </is>
      </c>
      <c r="D578" t="inlineStr">
        <is>
          <t>Valencia</t>
        </is>
      </c>
      <c r="E578" t="inlineStr">
        <is>
          <t>2026-03-02</t>
        </is>
      </c>
      <c r="F578" t="inlineStr">
        <is>
          <t>2026-03-09</t>
        </is>
      </c>
      <c r="G578" t="inlineStr">
        <is>
          <t xml:space="preserve"> - BEACH HOSTEL</t>
        </is>
      </c>
      <c r="H578">
        <f>HYPERLINK("https://booking.roadsurfer.com/es/rally/pick?pickup_date=2026-03-02&amp;return_date=2026-03-09&amp;currency=EUR&amp;startStation=1&amp;endStation=38",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España</t>
        </is>
      </c>
      <c r="D579" t="inlineStr">
        <is>
          <t>Bilbao</t>
        </is>
      </c>
      <c r="E579" t="inlineStr">
        <is>
          <t>2026-03-19</t>
        </is>
      </c>
      <c r="F579" t="inlineStr">
        <is>
          <t>2026-03-26</t>
        </is>
      </c>
      <c r="G579" t="inlineStr">
        <is>
          <t xml:space="preserve"> - Road House</t>
        </is>
      </c>
      <c r="H579">
        <f>HYPERLINK("https://booking.roadsurfer.com/es/rally/pick?pickup_date=2026-03-19&amp;return_date=2026-03-26&amp;currency=EUR&amp;startStation=1&amp;endStation=40",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España</t>
        </is>
      </c>
      <c r="D580" t="inlineStr">
        <is>
          <t>Bilbao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Camper Cabin</t>
        </is>
      </c>
      <c r="H580">
        <f>HYPERLINK("https://booking.roadsurfer.com/es/rally/pick?pickup_date=2026-03-12&amp;return_date=2026-03-19&amp;currency=EUR&amp;startStation=1&amp;endStation=40",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España</t>
        </is>
      </c>
      <c r="D581" t="inlineStr">
        <is>
          <t>Barcelona</t>
        </is>
      </c>
      <c r="E581" t="inlineStr">
        <is>
          <t>2026-03-13</t>
        </is>
      </c>
      <c r="F581" t="inlineStr">
        <is>
          <t>2026-03-20</t>
        </is>
      </c>
      <c r="G581" t="inlineStr">
        <is>
          <t xml:space="preserve"> - Road House</t>
        </is>
      </c>
      <c r="H581">
        <f>HYPERLINK("https://booking.roadsurfer.com/es/rally/pick?pickup_date=2026-03-13&amp;return_date=2026-03-20&amp;currency=EUR&amp;startStation=1&amp;endStation=17",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Italia</t>
        </is>
      </c>
      <c r="D582" t="inlineStr">
        <is>
          <t>Roma Aeropuerto Fiumicino</t>
        </is>
      </c>
      <c r="E582" t="inlineStr">
        <is>
          <t>2026-03-17</t>
        </is>
      </c>
      <c r="F582" t="inlineStr">
        <is>
          <t>2026-03-24</t>
        </is>
      </c>
      <c r="G582" t="inlineStr">
        <is>
          <t xml:space="preserve"> - Road House</t>
        </is>
      </c>
      <c r="H582">
        <f>HYPERLINK("https://booking.roadsurfer.com/es/rally/pick?pickup_date=2026-03-17&amp;return_date=2026-03-24&amp;currency=EUR&amp;startStation=1&amp;endStation=35",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Italia</t>
        </is>
      </c>
      <c r="D583" t="inlineStr">
        <is>
          <t>Roma Aeropuerto Fiumicino</t>
        </is>
      </c>
      <c r="E583" t="inlineStr">
        <is>
          <t>2026-03-18</t>
        </is>
      </c>
      <c r="F583" t="inlineStr">
        <is>
          <t>2026-03-25</t>
        </is>
      </c>
      <c r="G583" t="inlineStr">
        <is>
          <t xml:space="preserve"> - Family Finca</t>
        </is>
      </c>
      <c r="H583">
        <f>HYPERLINK("https://booking.roadsurfer.com/es/rally/pick?pickup_date=2026-03-18&amp;return_date=2026-03-25&amp;currency=EUR&amp;startStation=1&amp;endStation=35",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Austria</t>
        </is>
      </c>
      <c r="D584" t="inlineStr">
        <is>
          <t>Viena Sur</t>
        </is>
      </c>
      <c r="E584" t="inlineStr">
        <is>
          <t>2026-03-02</t>
        </is>
      </c>
      <c r="F584" t="inlineStr">
        <is>
          <t>2026-03-09</t>
        </is>
      </c>
      <c r="G584" t="inlineStr">
        <is>
          <t xml:space="preserve"> - CAMPER CABIN DELUXE</t>
        </is>
      </c>
      <c r="H584">
        <f>HYPERLINK("https://booking.roadsurfer.com/es/rally/pick?pickup_date=2026-03-02&amp;return_date=2026-03-09&amp;currency=EUR&amp;startStation=1&amp;endStation=45",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Francia</t>
        </is>
      </c>
      <c r="D585" t="inlineStr">
        <is>
          <t>Niza</t>
        </is>
      </c>
      <c r="E585" t="inlineStr">
        <is>
          <t>2026-03-02</t>
        </is>
      </c>
      <c r="F585" t="inlineStr">
        <is>
          <t>2026-03-09</t>
        </is>
      </c>
      <c r="G585" t="inlineStr">
        <is>
          <t xml:space="preserve"> - Camper Castle - CAMPER CASTLE</t>
        </is>
      </c>
      <c r="H585">
        <f>HYPERLINK("https://booking.roadsurfer.com/es/rally/pick?pickup_date=2026-03-02&amp;return_date=2026-03-09&amp;currency=EUR&amp;startStation=1&amp;endStation=88",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Francia</t>
        </is>
      </c>
      <c r="D586" t="inlineStr">
        <is>
          <t>Burdeos</t>
        </is>
      </c>
      <c r="E586" t="inlineStr">
        <is>
          <t>2026-03-19</t>
        </is>
      </c>
      <c r="F586" t="inlineStr">
        <is>
          <t>2026-03-26</t>
        </is>
      </c>
      <c r="G586" t="inlineStr">
        <is>
          <t xml:space="preserve"> - Camper Castle</t>
        </is>
      </c>
      <c r="H586">
        <f>HYPERLINK("https://booking.roadsurfer.com/es/rally/pick?pickup_date=2026-03-19&amp;return_date=2026-03-26&amp;currency=EUR&amp;startStation=1&amp;endStation=13",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Francia</t>
        </is>
      </c>
      <c r="D587" t="inlineStr">
        <is>
          <t>Lyon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Family Finca</t>
        </is>
      </c>
      <c r="H587">
        <f>HYPERLINK("https://booking.roadsurfer.com/es/rally/pick?pickup_date=2026-03-16&amp;return_date=2026-03-23&amp;currency=EUR&amp;startStation=1&amp;endStation=15",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Kassel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Camper Cabin</t>
        </is>
      </c>
      <c r="H588">
        <f>HYPERLINK("https://booking.roadsurfer.com/es/rally/pick?pickup_date=2026-03-09&amp;return_date=2026-03-16&amp;currency=EUR&amp;startStation=31&amp;endStation=92",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2026-03-13</t>
        </is>
      </c>
      <c r="F589" t="inlineStr">
        <is>
          <t>2026-03-20</t>
        </is>
      </c>
      <c r="G589" t="inlineStr">
        <is>
          <t xml:space="preserve"> - Road House</t>
        </is>
      </c>
      <c r="H589">
        <f>HYPERLINK("https://booking.roadsurfer.com/es/rally/pick?pickup_date=2026-03-13&amp;return_date=2026-03-20&amp;currency=EUR&amp;startStation=31&amp;endStation=52",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Colonia-Bonn</t>
        </is>
      </c>
      <c r="E590" t="inlineStr">
        <is>
          <t>2026-03-17</t>
        </is>
      </c>
      <c r="F590" t="inlineStr">
        <is>
          <t>2026-03-24</t>
        </is>
      </c>
      <c r="G590" t="inlineStr">
        <is>
          <t xml:space="preserve"> - Travel Home</t>
        </is>
      </c>
      <c r="H590">
        <f>HYPERLINK("https://booking.roadsurfer.com/es/rally/pick?pickup_date=2026-03-17&amp;return_date=2026-03-24&amp;currency=EUR&amp;startStation=31&amp;endStation=52",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Colonia-Bonn</t>
        </is>
      </c>
      <c r="E591" t="inlineStr">
        <is>
          <t>2026-03-14</t>
        </is>
      </c>
      <c r="F591" t="inlineStr">
        <is>
          <t>2026-03-21</t>
        </is>
      </c>
      <c r="G591" t="inlineStr">
        <is>
          <t xml:space="preserve"> - Surfer Suite</t>
        </is>
      </c>
      <c r="H591">
        <f>HYPERLINK("https://booking.roadsurfer.com/es/rally/pick?pickup_date=2026-03-14&amp;return_date=2026-03-21&amp;currency=EUR&amp;startStation=31&amp;endStation=52",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Colonia-Bonn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Surfer Suite</t>
        </is>
      </c>
      <c r="H592">
        <f>HYPERLINK("https://booking.roadsurfer.com/es/rally/pick?pickup_date=2026-03-16&amp;return_date=2026-03-23&amp;currency=EUR&amp;startStation=31&amp;endStation=52",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Colonia-Düsseldorf</t>
        </is>
      </c>
      <c r="E593" t="inlineStr">
        <is>
          <t>2026-03-13</t>
        </is>
      </c>
      <c r="F593" t="inlineStr">
        <is>
          <t>2026-03-20</t>
        </is>
      </c>
      <c r="G593" t="inlineStr">
        <is>
          <t xml:space="preserve"> - Road House</t>
        </is>
      </c>
      <c r="H593">
        <f>HYPERLINK("https://booking.roadsurfer.com/es/rally/pick?pickup_date=2026-03-13&amp;return_date=2026-03-20&amp;currency=EUR&amp;startStation=31&amp;endStation=4",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2026-03-09</t>
        </is>
      </c>
      <c r="F594" t="inlineStr">
        <is>
          <t>2026-03-16</t>
        </is>
      </c>
      <c r="G594" t="inlineStr">
        <is>
          <t xml:space="preserve"> - Surfer Suite</t>
        </is>
      </c>
      <c r="H594">
        <f>HYPERLINK("https://booking.roadsurfer.com/es/rally/pick?pickup_date=2026-03-09&amp;return_date=2026-03-16&amp;currency=EUR&amp;startStation=31&amp;endStation=22",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2026-03-10</t>
        </is>
      </c>
      <c r="F595" t="inlineStr">
        <is>
          <t>2026-03-17</t>
        </is>
      </c>
      <c r="G595" t="inlineStr">
        <is>
          <t xml:space="preserve"> - Surfer Suite</t>
        </is>
      </c>
      <c r="H595">
        <f>HYPERLINK("https://booking.roadsurfer.com/es/rally/pick?pickup_date=2026-03-10&amp;return_date=2026-03-17&amp;currency=EUR&amp;startStation=31&amp;endStation=22",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Ulm</t>
        </is>
      </c>
      <c r="E596" t="inlineStr">
        <is>
          <t>2026-03-11</t>
        </is>
      </c>
      <c r="F596" t="inlineStr">
        <is>
          <t>2026-03-18</t>
        </is>
      </c>
      <c r="G596" t="inlineStr">
        <is>
          <t xml:space="preserve"> - Beach Hostel</t>
        </is>
      </c>
      <c r="H596">
        <f>HYPERLINK("https://booking.roadsurfer.com/es/rally/pick?pickup_date=2026-03-11&amp;return_date=2026-03-18&amp;currency=EUR&amp;startStation=31&amp;endStation=112",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Camper Cabin</t>
        </is>
      </c>
      <c r="H597">
        <f>HYPERLINK("https://booking.roadsurfer.com/es/rally/pick?pickup_date=2026-03-09&amp;return_date=2026-03-16&amp;currency=EUR&amp;startStation=31&amp;endStation=11",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Kiel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Camper Cabin</t>
        </is>
      </c>
      <c r="H598">
        <f>HYPERLINK("https://booking.roadsurfer.com/es/rally/pick?pickup_date=2026-03-09&amp;return_date=2026-03-16&amp;currency=EUR&amp;startStation=31&amp;endStation=111", "Clic para verlo en la web de RoadSurfer")</f>
        <v/>
      </c>
    </row>
    <row r="599">
      <c r="A599" t="inlineStr">
        <is>
          <t>Francia</t>
        </is>
      </c>
      <c r="B599" t="inlineStr">
        <is>
          <t>Niza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2026-03-19</t>
        </is>
      </c>
      <c r="F599" t="inlineStr">
        <is>
          <t>2026-03-26</t>
        </is>
      </c>
      <c r="G599" t="inlineStr">
        <is>
          <t xml:space="preserve"> - Beach Hostel</t>
        </is>
      </c>
      <c r="H599">
        <f>HYPERLINK("https://booking.roadsurfer.com/es/rally/pick?pickup_date=2026-03-19&amp;return_date=2026-03-26&amp;currency=EUR&amp;startStation=88&amp;endStation=2", "Clic para verlo en la web de RoadSurfer")</f>
        <v/>
      </c>
    </row>
    <row r="600">
      <c r="A600" t="inlineStr">
        <is>
          <t>Alemania</t>
        </is>
      </c>
      <c r="B600" t="inlineStr">
        <is>
          <t>Núremberg</t>
        </is>
      </c>
      <c r="C600" t="inlineStr">
        <is>
          <t>Austria</t>
        </is>
      </c>
      <c r="D600" t="inlineStr">
        <is>
          <t>Viena Sur</t>
        </is>
      </c>
      <c r="E600" t="inlineStr">
        <is>
          <t>2026-03-12</t>
        </is>
      </c>
      <c r="F600" t="inlineStr">
        <is>
          <t>2026-03-19</t>
        </is>
      </c>
      <c r="G600" t="inlineStr">
        <is>
          <t xml:space="preserve"> - Camper Cabin Deluxe</t>
        </is>
      </c>
      <c r="H600">
        <f>HYPERLINK("https://booking.roadsurfer.com/es/rally/pick?pickup_date=2026-03-12&amp;return_date=2026-03-19&amp;currency=EUR&amp;startStation=11&amp;endStation=45", "Clic para verlo en la web de RoadSurfer")</f>
        <v/>
      </c>
    </row>
    <row r="601">
      <c r="A601" t="inlineStr">
        <is>
          <t>Alemania</t>
        </is>
      </c>
      <c r="B601" t="inlineStr">
        <is>
          <t>Núremberg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2026-03-16</t>
        </is>
      </c>
      <c r="F601" t="inlineStr">
        <is>
          <t>2026-03-23</t>
        </is>
      </c>
      <c r="G601" t="inlineStr">
        <is>
          <t xml:space="preserve"> - Camper Castle</t>
        </is>
      </c>
      <c r="H601">
        <f>HYPERLINK("https://booking.roadsurfer.com/es/rally/pick?pickup_date=2026-03-16&amp;return_date=2026-03-23&amp;currency=EUR&amp;startStation=11&amp;endStation=30",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Francia</t>
        </is>
      </c>
      <c r="D602" t="inlineStr">
        <is>
          <t>París Aeropuerto CDG</t>
        </is>
      </c>
      <c r="E602" t="inlineStr">
        <is>
          <t>2026-03-05</t>
        </is>
      </c>
      <c r="F602" t="inlineStr">
        <is>
          <t>2026-03-12</t>
        </is>
      </c>
      <c r="G602" t="inlineStr">
        <is>
          <t xml:space="preserve"> - Surfer Suite</t>
        </is>
      </c>
      <c r="H602">
        <f>HYPERLINK("https://booking.roadsurfer.com/es/rally/pick?pickup_date=2026-03-05&amp;return_date=2026-03-12&amp;currency=EUR&amp;startStation=12&amp;endStation=48",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Francia</t>
        </is>
      </c>
      <c r="D603" t="inlineStr">
        <is>
          <t>París Aeropuerto CDG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Surfer Suite</t>
        </is>
      </c>
      <c r="H603">
        <f>HYPERLINK("https://booking.roadsurfer.com/es/rally/pick?pickup_date=2026-03-09&amp;return_date=2026-03-16&amp;currency=EUR&amp;startStation=12&amp;endStation=48",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Francia</t>
        </is>
      </c>
      <c r="D604" t="inlineStr">
        <is>
          <t>París Aeropuerto CDG</t>
        </is>
      </c>
      <c r="E604" t="inlineStr">
        <is>
          <t>2026-03-12</t>
        </is>
      </c>
      <c r="F604" t="inlineStr">
        <is>
          <t>2026-03-19</t>
        </is>
      </c>
      <c r="G604" t="inlineStr">
        <is>
          <t xml:space="preserve"> - Surfer Suite</t>
        </is>
      </c>
      <c r="H604">
        <f>HYPERLINK("https://booking.roadsurfer.com/es/rally/pick?pickup_date=2026-03-12&amp;return_date=2026-03-19&amp;currency=EUR&amp;startStation=12&amp;endStation=48",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Francia</t>
        </is>
      </c>
      <c r="D605" t="inlineStr">
        <is>
          <t>París Aeropuerto CDG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Surfer Suite</t>
        </is>
      </c>
      <c r="H605">
        <f>HYPERLINK("https://booking.roadsurfer.com/es/rally/pick?pickup_date=2026-03-16&amp;return_date=2026-03-23&amp;currency=EUR&amp;startStation=12&amp;endStation=48",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Heidelberg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Road House</t>
        </is>
      </c>
      <c r="H606">
        <f>HYPERLINK("https://booking.roadsurfer.com/es/rally/pick?pickup_date=2026-03-09&amp;return_date=2026-03-16&amp;currency=EUR&amp;startStation=12&amp;endStation=79",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Heidelberg</t>
        </is>
      </c>
      <c r="E607" t="inlineStr">
        <is>
          <t>2026-03-12</t>
        </is>
      </c>
      <c r="F607" t="inlineStr">
        <is>
          <t>2026-03-19</t>
        </is>
      </c>
      <c r="G607" t="inlineStr">
        <is>
          <t xml:space="preserve"> - Road House</t>
        </is>
      </c>
      <c r="H607">
        <f>HYPERLINK("https://booking.roadsurfer.com/es/rally/pick?pickup_date=2026-03-12&amp;return_date=2026-03-19&amp;currency=EUR&amp;startStation=12&amp;endStation=79",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Heidelberg</t>
        </is>
      </c>
      <c r="E608" t="inlineStr">
        <is>
          <t>2026-03-05</t>
        </is>
      </c>
      <c r="F608" t="inlineStr">
        <is>
          <t>2026-03-12</t>
        </is>
      </c>
      <c r="G608" t="inlineStr">
        <is>
          <t xml:space="preserve"> - Road House</t>
        </is>
      </c>
      <c r="H608">
        <f>HYPERLINK("https://booking.roadsurfer.com/es/rally/pick?pickup_date=2026-03-05&amp;return_date=2026-03-12&amp;currency=EUR&amp;startStation=12&amp;endStation=79",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Friburgo-Basilea (Alemania)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Road House</t>
        </is>
      </c>
      <c r="H609">
        <f>HYPERLINK("https://booking.roadsurfer.com/es/rally/pick?pickup_date=2026-03-09&amp;return_date=2026-03-16&amp;currency=EUR&amp;startStation=12&amp;endStation=9",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Bochum</t>
        </is>
      </c>
      <c r="E610" t="inlineStr">
        <is>
          <t>2026-03-12</t>
        </is>
      </c>
      <c r="F610" t="inlineStr">
        <is>
          <t>2026-03-19</t>
        </is>
      </c>
      <c r="G610" t="inlineStr">
        <is>
          <t xml:space="preserve"> - Road House</t>
        </is>
      </c>
      <c r="H610">
        <f>HYPERLINK("https://booking.roadsurfer.com/es/rally/pick?pickup_date=2026-03-12&amp;return_date=2026-03-19&amp;currency=EUR&amp;startStation=12&amp;endStation=24",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Colonia-Bonn</t>
        </is>
      </c>
      <c r="E611" t="inlineStr">
        <is>
          <t>2026-03-17</t>
        </is>
      </c>
      <c r="F611" t="inlineStr">
        <is>
          <t>2026-03-24</t>
        </is>
      </c>
      <c r="G611" t="inlineStr">
        <is>
          <t xml:space="preserve"> - Camper Cabin Deluxe</t>
        </is>
      </c>
      <c r="H611">
        <f>HYPERLINK("https://booking.roadsurfer.com/es/rally/pick?pickup_date=2026-03-17&amp;return_date=2026-03-24&amp;currency=EUR&amp;startStation=12&amp;endStation=52",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Colonia-Bonn</t>
        </is>
      </c>
      <c r="E612" t="inlineStr">
        <is>
          <t>2026-03-18</t>
        </is>
      </c>
      <c r="F612" t="inlineStr">
        <is>
          <t>2026-03-25</t>
        </is>
      </c>
      <c r="G612" t="inlineStr">
        <is>
          <t xml:space="preserve"> - Family Finca</t>
        </is>
      </c>
      <c r="H612">
        <f>HYPERLINK("https://booking.roadsurfer.com/es/rally/pick?pickup_date=2026-03-18&amp;return_date=2026-03-25&amp;currency=EUR&amp;startStation=12&amp;endStation=52",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Francia</t>
        </is>
      </c>
      <c r="D613" t="inlineStr">
        <is>
          <t>Niza</t>
        </is>
      </c>
      <c r="E613" t="inlineStr">
        <is>
          <t>2026-03-05</t>
        </is>
      </c>
      <c r="F613" t="inlineStr">
        <is>
          <t>2026-03-12</t>
        </is>
      </c>
      <c r="G613" t="inlineStr">
        <is>
          <t xml:space="preserve"> - Family Finca</t>
        </is>
      </c>
      <c r="H613">
        <f>HYPERLINK("https://booking.roadsurfer.com/es/rally/pick?pickup_date=2026-03-05&amp;return_date=2026-03-12&amp;currency=EUR&amp;startStation=12&amp;endStation=88",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Francia</t>
        </is>
      </c>
      <c r="D614" t="inlineStr">
        <is>
          <t>Aix-Marsella</t>
        </is>
      </c>
      <c r="E614" t="inlineStr">
        <is>
          <t>2026-03-09</t>
        </is>
      </c>
      <c r="F614" t="inlineStr">
        <is>
          <t>2026-03-16</t>
        </is>
      </c>
      <c r="G614" t="inlineStr">
        <is>
          <t xml:space="preserve"> - Family Finca</t>
        </is>
      </c>
      <c r="H614">
        <f>HYPERLINK("https://booking.roadsurfer.com/es/rally/pick?pickup_date=2026-03-09&amp;return_date=2026-03-16&amp;currency=EUR&amp;startStation=12&amp;endStation=16",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2026-03-12</t>
        </is>
      </c>
      <c r="F615" t="inlineStr">
        <is>
          <t>2026-03-19</t>
        </is>
      </c>
      <c r="G615" t="inlineStr">
        <is>
          <t xml:space="preserve"> - FAMILY FINCA</t>
        </is>
      </c>
      <c r="H615">
        <f>HYPERLINK("https://booking.roadsurfer.com/es/rally/pick?pickup_date=2026-03-12&amp;return_date=2026-03-19&amp;currency=EUR&amp;startStation=12&amp;endStation=29",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Sunrise Suite</t>
        </is>
      </c>
      <c r="H616">
        <f>HYPERLINK("https://booking.roadsurfer.com/es/rally/pick?pickup_date=2026-03-12&amp;return_date=2026-03-19&amp;currency=EUR&amp;startStation=12&amp;endStation=22",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2026-03-13</t>
        </is>
      </c>
      <c r="F617" t="inlineStr">
        <is>
          <t>2026-03-20</t>
        </is>
      </c>
      <c r="G617" t="inlineStr">
        <is>
          <t xml:space="preserve"> - Sunrise Suite</t>
        </is>
      </c>
      <c r="H617">
        <f>HYPERLINK("https://booking.roadsurfer.com/es/rally/pick?pickup_date=2026-03-13&amp;return_date=2026-03-20&amp;currency=EUR&amp;startStation=12&amp;endStation=22", "Clic para verlo en la web de RoadSurfer")</f>
        <v/>
      </c>
    </row>
    <row r="618">
      <c r="A618" t="inlineStr">
        <is>
          <t>Francia</t>
        </is>
      </c>
      <c r="B618" t="inlineStr">
        <is>
          <t>París Aeropuerto CDG</t>
        </is>
      </c>
      <c r="C618" t="inlineStr">
        <is>
          <t>Alemania</t>
        </is>
      </c>
      <c r="D618" t="inlineStr">
        <is>
          <t>Colonia-Bonn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Family Finca</t>
        </is>
      </c>
      <c r="H618">
        <f>HYPERLINK("https://booking.roadsurfer.com/es/rally/pick?pickup_date=2026-03-19&amp;return_date=2026-03-26&amp;currency=EUR&amp;startStation=48&amp;endStation=52", "Clic para verlo en la web de RoadSurfer")</f>
        <v/>
      </c>
    </row>
    <row r="619">
      <c r="A619" t="inlineStr">
        <is>
          <t>Francia</t>
        </is>
      </c>
      <c r="B619" t="inlineStr">
        <is>
          <t>París Aeropuerto CDG</t>
        </is>
      </c>
      <c r="C619" t="inlineStr">
        <is>
          <t>Alemania</t>
        </is>
      </c>
      <c r="D619" t="inlineStr">
        <is>
          <t>Fráncfort</t>
        </is>
      </c>
      <c r="E619" t="inlineStr">
        <is>
          <t>2026-03-14</t>
        </is>
      </c>
      <c r="F619" t="inlineStr">
        <is>
          <t>2026-03-21</t>
        </is>
      </c>
      <c r="G619" t="inlineStr">
        <is>
          <t xml:space="preserve"> - Road House</t>
        </is>
      </c>
      <c r="H619">
        <f>HYPERLINK("https://booking.roadsurfer.com/es/rally/pick?pickup_date=2026-03-14&amp;return_date=2026-03-21&amp;currency=EUR&amp;startStation=48&amp;endStation=2", "Clic para verlo en la web de RoadSurfer")</f>
        <v/>
      </c>
    </row>
    <row r="620">
      <c r="A620" t="inlineStr">
        <is>
          <t>Francia</t>
        </is>
      </c>
      <c r="B620" t="inlineStr">
        <is>
          <t>París Aeropuerto CDG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2026-03-16</t>
        </is>
      </c>
      <c r="F620" t="inlineStr">
        <is>
          <t>2026-03-23</t>
        </is>
      </c>
      <c r="G620" t="inlineStr">
        <is>
          <t xml:space="preserve"> - Surfer Suite</t>
        </is>
      </c>
      <c r="H620">
        <f>HYPERLINK("https://booking.roadsurfer.com/es/rally/pick?pickup_date=2026-03-16&amp;return_date=2026-03-23&amp;currency=EUR&amp;startStation=48&amp;endStation=2", "Clic para verlo en la web de RoadSurfer")</f>
        <v/>
      </c>
    </row>
    <row r="621">
      <c r="A621" t="inlineStr">
        <is>
          <t>Francia</t>
        </is>
      </c>
      <c r="B621" t="inlineStr">
        <is>
          <t>París Aeropuerto CDG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2026-03-17</t>
        </is>
      </c>
      <c r="F621" t="inlineStr">
        <is>
          <t>2026-03-24</t>
        </is>
      </c>
      <c r="G621" t="inlineStr">
        <is>
          <t xml:space="preserve"> - Surfer Suite</t>
        </is>
      </c>
      <c r="H621">
        <f>HYPERLINK("https://booking.roadsurfer.com/es/rally/pick?pickup_date=2026-03-17&amp;return_date=2026-03-24&amp;currency=EUR&amp;startStation=48&amp;endStation=2",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2026-03-16</t>
        </is>
      </c>
      <c r="F622" t="inlineStr">
        <is>
          <t>2026-03-23</t>
        </is>
      </c>
      <c r="G622" t="inlineStr">
        <is>
          <t xml:space="preserve"> - Couple Cottage</t>
        </is>
      </c>
      <c r="H622">
        <f>HYPERLINK("https://booking.roadsurfer.com/es/rally/pick?pickup_date=2026-03-16&amp;return_date=2026-03-23&amp;currency=EUR&amp;startStation=48&amp;endStation=16", "Clic para verlo en la web de RoadSurfer")</f>
        <v/>
      </c>
    </row>
    <row r="623">
      <c r="A623" t="inlineStr">
        <is>
          <t>Alemania</t>
        </is>
      </c>
      <c r="B623" t="inlineStr">
        <is>
          <t>Ratisbona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Travel Home</t>
        </is>
      </c>
      <c r="H623">
        <f>HYPERLINK("https://booking.roadsurfer.com/es/rally/pick?pickup_date=2026-03-09&amp;return_date=2026-03-16&amp;currency=EUR&amp;startStation=89&amp;endStation=15", "Clic para verlo en la web de RoadSurfer")</f>
        <v/>
      </c>
    </row>
    <row r="624">
      <c r="A624" t="inlineStr">
        <is>
          <t>Alemania</t>
        </is>
      </c>
      <c r="B624" t="inlineStr">
        <is>
          <t>Ratisbona</t>
        </is>
      </c>
      <c r="C624" t="inlineStr">
        <is>
          <t>Alemania</t>
        </is>
      </c>
      <c r="D624" t="inlineStr">
        <is>
          <t>Bremen</t>
        </is>
      </c>
      <c r="E624" t="inlineStr">
        <is>
          <t>2026-03-09</t>
        </is>
      </c>
      <c r="F624" t="inlineStr">
        <is>
          <t>2026-03-16</t>
        </is>
      </c>
      <c r="G624" t="inlineStr">
        <is>
          <t xml:space="preserve"> - Travel Home - TRAVEL HOME</t>
        </is>
      </c>
      <c r="H624">
        <f>HYPERLINK("https://booking.roadsurfer.com/es/rally/pick?pickup_date=2026-03-09&amp;return_date=2026-03-16&amp;currency=EUR&amp;startStation=89&amp;endStation=55", "Clic para verlo en la web de RoadSurfer")</f>
        <v/>
      </c>
    </row>
    <row r="625">
      <c r="A625" t="inlineStr">
        <is>
          <t>Italia</t>
        </is>
      </c>
      <c r="B625" t="inlineStr">
        <is>
          <t>Roma Aeropuerto Fiumicino</t>
        </is>
      </c>
      <c r="C625" t="inlineStr">
        <is>
          <t>Alemania</t>
        </is>
      </c>
      <c r="D625" t="inlineStr">
        <is>
          <t>Múnich</t>
        </is>
      </c>
      <c r="E625" t="inlineStr">
        <is>
          <t>2026-03-09</t>
        </is>
      </c>
      <c r="F625" t="inlineStr">
        <is>
          <t>2026-03-16</t>
        </is>
      </c>
      <c r="G625" t="inlineStr">
        <is>
          <t xml:space="preserve"> - Beach Hostel</t>
        </is>
      </c>
      <c r="H625">
        <f>HYPERLINK("https://booking.roadsurfer.com/es/rally/pick?pickup_date=2026-03-09&amp;return_date=2026-03-16&amp;currency=EUR&amp;startStation=35&amp;endStation=1", "Clic para verlo en la web de RoadSurfer")</f>
        <v/>
      </c>
    </row>
    <row r="626">
      <c r="A626" t="inlineStr">
        <is>
          <t>Italia</t>
        </is>
      </c>
      <c r="B626" t="inlineStr">
        <is>
          <t>Roma Aeropuerto Fiumicino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2026-03-10</t>
        </is>
      </c>
      <c r="F626" t="inlineStr">
        <is>
          <t>2026-03-17</t>
        </is>
      </c>
      <c r="G626" t="inlineStr">
        <is>
          <t xml:space="preserve"> - Family Finca</t>
        </is>
      </c>
      <c r="H626">
        <f>HYPERLINK("https://booking.roadsurfer.com/es/rally/pick?pickup_date=2026-03-10&amp;return_date=2026-03-17&amp;currency=EUR&amp;startStation=35&amp;endStation=11", "Clic para verlo en la web de RoadSurfer")</f>
        <v/>
      </c>
    </row>
    <row r="627">
      <c r="A627" t="inlineStr">
        <is>
          <t>Italia</t>
        </is>
      </c>
      <c r="B627" t="inlineStr">
        <is>
          <t>Roma Aeropuerto Fiumicino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2026-03-16</t>
        </is>
      </c>
      <c r="F627" t="inlineStr">
        <is>
          <t>2026-03-23</t>
        </is>
      </c>
      <c r="G627" t="inlineStr">
        <is>
          <t xml:space="preserve"> - Beach Hostel</t>
        </is>
      </c>
      <c r="H627">
        <f>HYPERLINK("https://booking.roadsurfer.com/es/rally/pick?pickup_date=2026-03-16&amp;return_date=2026-03-23&amp;currency=EUR&amp;startStation=35&amp;endStation=57", "Clic para verlo en la web de RoadSurfer")</f>
        <v/>
      </c>
    </row>
    <row r="628">
      <c r="A628" t="inlineStr">
        <is>
          <t>EE.UU.</t>
        </is>
      </c>
      <c r="B628" t="inlineStr">
        <is>
          <t>San Francisco</t>
        </is>
      </c>
      <c r="C628" t="inlineStr">
        <is>
          <t>EE.UU.</t>
        </is>
      </c>
      <c r="D628" t="inlineStr">
        <is>
          <t>Dallas</t>
        </is>
      </c>
      <c r="E628" t="inlineStr">
        <is>
          <t>2026-02-20</t>
        </is>
      </c>
      <c r="F628" t="inlineStr">
        <is>
          <t>2026-03-06</t>
        </is>
      </c>
      <c r="G628" t="inlineStr">
        <is>
          <t xml:space="preserve"> - Family Freedom</t>
        </is>
      </c>
      <c r="H628">
        <f>HYPERLINK("https://booking.roadsurfer.com/es/rally/pick?pickup_date=2026-02-20&amp;return_date=2026-03-06&amp;currency=EUR&amp;startStation=75&amp;endStation=125",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Maguncia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Family Finca</t>
        </is>
      </c>
      <c r="H629">
        <f>HYPERLINK("https://booking.roadsurfer.com/es/rally/pick?pickup_date=2026-03-12&amp;return_date=2026-03-19&amp;currency=EUR&amp;startStation=39&amp;endStation=54",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Friburgo-Basilea (Alemania)</t>
        </is>
      </c>
      <c r="E630" t="inlineStr">
        <is>
          <t>2026-03-17</t>
        </is>
      </c>
      <c r="F630" t="inlineStr">
        <is>
          <t>2026-03-24</t>
        </is>
      </c>
      <c r="G630" t="inlineStr">
        <is>
          <t xml:space="preserve"> - Camper Castle</t>
        </is>
      </c>
      <c r="H630">
        <f>HYPERLINK("https://booking.roadsurfer.com/es/rally/pick?pickup_date=2026-03-17&amp;return_date=2026-03-24&amp;currency=EUR&amp;startStation=39&amp;endStation=9",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Bielefeld</t>
        </is>
      </c>
      <c r="E631" t="inlineStr">
        <is>
          <t>2026-03-12</t>
        </is>
      </c>
      <c r="F631" t="inlineStr">
        <is>
          <t>2026-03-19</t>
        </is>
      </c>
      <c r="G631" t="inlineStr">
        <is>
          <t xml:space="preserve"> - Beach Hostel</t>
        </is>
      </c>
      <c r="H631">
        <f>HYPERLINK("https://booking.roadsurfer.com/es/rally/pick?pickup_date=2026-03-12&amp;return_date=2026-03-19&amp;currency=EUR&amp;startStation=39&amp;endStation=91",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Múnich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Family Finca</t>
        </is>
      </c>
      <c r="H632">
        <f>HYPERLINK("https://booking.roadsurfer.com/es/rally/pick?pickup_date=2026-03-02&amp;return_date=2026-03-09&amp;currency=EUR&amp;startStation=39&amp;endStation=1",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Berlín-Schönefeld</t>
        </is>
      </c>
      <c r="E633" t="inlineStr">
        <is>
          <t>2026-03-11</t>
        </is>
      </c>
      <c r="F633" t="inlineStr">
        <is>
          <t>2026-03-18</t>
        </is>
      </c>
      <c r="G633" t="inlineStr">
        <is>
          <t xml:space="preserve"> - FAMILY FINCA</t>
        </is>
      </c>
      <c r="H633">
        <f>HYPERLINK("https://booking.roadsurfer.com/es/rally/pick?pickup_date=2026-03-11&amp;return_date=2026-03-18&amp;currency=EUR&amp;startStation=59&amp;endStation=51",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Berlín-Schönefeld</t>
        </is>
      </c>
      <c r="E634" t="inlineStr">
        <is>
          <t>2026-03-13</t>
        </is>
      </c>
      <c r="F634" t="inlineStr">
        <is>
          <t>2026-03-20</t>
        </is>
      </c>
      <c r="G634" t="inlineStr">
        <is>
          <t xml:space="preserve"> - CAMPER CASTLE</t>
        </is>
      </c>
      <c r="H634">
        <f>HYPERLINK("https://booking.roadsurfer.com/es/rally/pick?pickup_date=2026-03-13&amp;return_date=2026-03-20&amp;currency=EUR&amp;startStation=59&amp;endStation=51",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Berlín-Schönefeld</t>
        </is>
      </c>
      <c r="E635" t="inlineStr">
        <is>
          <t>2026-03-17</t>
        </is>
      </c>
      <c r="F635" t="inlineStr">
        <is>
          <t>2026-03-24</t>
        </is>
      </c>
      <c r="G635" t="inlineStr">
        <is>
          <t xml:space="preserve"> - Surfer Suite - Family Finca</t>
        </is>
      </c>
      <c r="H635">
        <f>HYPERLINK("https://booking.roadsurfer.com/es/rally/pick?pickup_date=2026-03-17&amp;return_date=2026-03-24&amp;currency=EUR&amp;startStation=59&amp;endStation=51",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Berlín-Schönefeld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Sunrise Suite</t>
        </is>
      </c>
      <c r="H636">
        <f>HYPERLINK("https://booking.roadsurfer.com/es/rally/pick?pickup_date=2026-03-19&amp;return_date=2026-03-26&amp;currency=EUR&amp;startStation=59&amp;endStation=51",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Berlín-Schönefeld</t>
        </is>
      </c>
      <c r="E637" t="inlineStr">
        <is>
          <t>2026-03-10</t>
        </is>
      </c>
      <c r="F637" t="inlineStr">
        <is>
          <t>2026-03-17</t>
        </is>
      </c>
      <c r="G637" t="inlineStr">
        <is>
          <t xml:space="preserve"> - Road House</t>
        </is>
      </c>
      <c r="H637">
        <f>HYPERLINK("https://booking.roadsurfer.com/es/rally/pick?pickup_date=2026-03-10&amp;return_date=2026-03-17&amp;currency=EUR&amp;startStation=59&amp;endStation=51",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Berlín-Schönefeld</t>
        </is>
      </c>
      <c r="E638" t="inlineStr">
        <is>
          <t>2026-03-14</t>
        </is>
      </c>
      <c r="F638" t="inlineStr">
        <is>
          <t>2026-03-21</t>
        </is>
      </c>
      <c r="G638" t="inlineStr">
        <is>
          <t xml:space="preserve"> - No hay coche</t>
        </is>
      </c>
      <c r="H638">
        <f>HYPERLINK("https://booking.roadsurfer.com/es/rally/pick?pickup_date=2026-03-14&amp;return_date=2026-03-21&amp;currency=EUR&amp;startStation=59&amp;endStation=51",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Berlín-Schönefeld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Surfer Suite</t>
        </is>
      </c>
      <c r="H639">
        <f>HYPERLINK("https://booking.roadsurfer.com/es/rally/pick?pickup_date=2026-03-16&amp;return_date=2026-03-23&amp;currency=EUR&amp;startStation=59&amp;endStation=51",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Berlín-Schönefeld</t>
        </is>
      </c>
      <c r="E640" t="inlineStr">
        <is>
          <t>2026-03-18</t>
        </is>
      </c>
      <c r="F640" t="inlineStr">
        <is>
          <t>2026-03-25</t>
        </is>
      </c>
      <c r="G640" t="inlineStr">
        <is>
          <t xml:space="preserve"> - Sunrise Suite</t>
        </is>
      </c>
      <c r="H640">
        <f>HYPERLINK("https://booking.roadsurfer.com/es/rally/pick?pickup_date=2026-03-18&amp;return_date=2026-03-25&amp;currency=EUR&amp;startStation=59&amp;endStation=51",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Berlín-Schönefeld</t>
        </is>
      </c>
      <c r="E641" t="inlineStr">
        <is>
          <t>2026-03-12</t>
        </is>
      </c>
      <c r="F641" t="inlineStr">
        <is>
          <t>2026-03-19</t>
        </is>
      </c>
      <c r="G641" t="inlineStr">
        <is>
          <t xml:space="preserve"> - Surfer Suite</t>
        </is>
      </c>
      <c r="H641">
        <f>HYPERLINK("https://booking.roadsurfer.com/es/rally/pick?pickup_date=2026-03-12&amp;return_date=2026-03-19&amp;currency=EUR&amp;startStation=59&amp;endStation=51",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Surfer Suite</t>
        </is>
      </c>
      <c r="H642">
        <f>HYPERLINK("https://booking.roadsurfer.com/es/rally/pick?pickup_date=2026-03-09&amp;return_date=2026-03-16&amp;currency=EUR&amp;startStation=59&amp;endStation=22",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2026-03-16</t>
        </is>
      </c>
      <c r="F643" t="inlineStr">
        <is>
          <t>2026-03-23</t>
        </is>
      </c>
      <c r="G643" t="inlineStr">
        <is>
          <t xml:space="preserve"> - Sunrise Suite</t>
        </is>
      </c>
      <c r="H643">
        <f>HYPERLINK("https://booking.roadsurfer.com/es/rally/pick?pickup_date=2026-03-16&amp;return_date=2026-03-23&amp;currency=EUR&amp;startStation=59&amp;endStation=22",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2026-03-17</t>
        </is>
      </c>
      <c r="F644" t="inlineStr">
        <is>
          <t>2026-03-24</t>
        </is>
      </c>
      <c r="G644" t="inlineStr">
        <is>
          <t xml:space="preserve"> - Surfer Suite</t>
        </is>
      </c>
      <c r="H644">
        <f>HYPERLINK("https://booking.roadsurfer.com/es/rally/pick?pickup_date=2026-03-17&amp;return_date=2026-03-24&amp;currency=EUR&amp;startStation=59&amp;endStation=22",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2026-03-05</t>
        </is>
      </c>
      <c r="F645" t="inlineStr">
        <is>
          <t>2026-03-12</t>
        </is>
      </c>
      <c r="G645" t="inlineStr">
        <is>
          <t xml:space="preserve"> - Camper Castle</t>
        </is>
      </c>
      <c r="H645">
        <f>HYPERLINK("https://booking.roadsurfer.com/es/rally/pick?pickup_date=2026-03-05&amp;return_date=2026-03-12&amp;currency=EUR&amp;startStation=59&amp;endStation=22",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Road House</t>
        </is>
      </c>
      <c r="H646">
        <f>HYPERLINK("https://booking.roadsurfer.com/es/rally/pick?pickup_date=2026-03-16&amp;return_date=2026-03-23&amp;currency=EUR&amp;startStation=59&amp;endStation=91",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2026-03-17</t>
        </is>
      </c>
      <c r="F647" t="inlineStr">
        <is>
          <t>2026-03-24</t>
        </is>
      </c>
      <c r="G647" t="inlineStr">
        <is>
          <t xml:space="preserve"> - Beach Hostel - Road House</t>
        </is>
      </c>
      <c r="H647">
        <f>HYPERLINK("https://booking.roadsurfer.com/es/rally/pick?pickup_date=2026-03-17&amp;return_date=2026-03-24&amp;currency=EUR&amp;startStation=59&amp;endStation=91",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Duisburgo</t>
        </is>
      </c>
      <c r="E648" t="inlineStr">
        <is>
          <t>2026-03-10</t>
        </is>
      </c>
      <c r="F648" t="inlineStr">
        <is>
          <t>2026-03-17</t>
        </is>
      </c>
      <c r="G648" t="inlineStr">
        <is>
          <t xml:space="preserve"> - Road House</t>
        </is>
      </c>
      <c r="H648">
        <f>HYPERLINK("https://booking.roadsurfer.com/es/rally/pick?pickup_date=2026-03-10&amp;return_date=2026-03-17&amp;currency=EUR&amp;startStation=59&amp;endStation=113",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Duisburgo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Camper Castle</t>
        </is>
      </c>
      <c r="H649">
        <f>HYPERLINK("https://booking.roadsurfer.com/es/rally/pick?pickup_date=2026-03-17&amp;return_date=2026-03-24&amp;currency=EUR&amp;startStation=59&amp;endStation=113",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Duisburgo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Camper Castle</t>
        </is>
      </c>
      <c r="H650">
        <f>HYPERLINK("https://booking.roadsurfer.com/es/rally/pick?pickup_date=2026-03-16&amp;return_date=2026-03-23&amp;currency=EUR&amp;startStation=59&amp;endStation=113",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Erfurt</t>
        </is>
      </c>
      <c r="E651" t="inlineStr">
        <is>
          <t>2026-03-19</t>
        </is>
      </c>
      <c r="F651" t="inlineStr">
        <is>
          <t>2026-03-26</t>
        </is>
      </c>
      <c r="G651" t="inlineStr">
        <is>
          <t xml:space="preserve"> - Road House</t>
        </is>
      </c>
      <c r="H651">
        <f>HYPERLINK("https://booking.roadsurfer.com/es/rally/pick?pickup_date=2026-03-19&amp;return_date=2026-03-26&amp;currency=EUR&amp;startStation=59&amp;endStation=90",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Ratisbona</t>
        </is>
      </c>
      <c r="E652" t="inlineStr">
        <is>
          <t>2026-03-12</t>
        </is>
      </c>
      <c r="F652" t="inlineStr">
        <is>
          <t>2026-03-19</t>
        </is>
      </c>
      <c r="G652" t="inlineStr">
        <is>
          <t xml:space="preserve"> - Camper Castle</t>
        </is>
      </c>
      <c r="H652">
        <f>HYPERLINK("https://booking.roadsurfer.com/es/rally/pick?pickup_date=2026-03-12&amp;return_date=2026-03-19&amp;currency=EUR&amp;startStation=59&amp;endStation=89",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Ratisbona</t>
        </is>
      </c>
      <c r="E653" t="inlineStr">
        <is>
          <t>2026-03-06</t>
        </is>
      </c>
      <c r="F653" t="inlineStr">
        <is>
          <t>2026-03-13</t>
        </is>
      </c>
      <c r="G653" t="inlineStr">
        <is>
          <t xml:space="preserve"> - Camper Castle</t>
        </is>
      </c>
      <c r="H653">
        <f>HYPERLINK("https://booking.roadsurfer.com/es/rally/pick?pickup_date=2026-03-06&amp;return_date=2026-03-13&amp;currency=EUR&amp;startStation=59&amp;endStation=89",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Augsburgo</t>
        </is>
      </c>
      <c r="E654" t="inlineStr">
        <is>
          <t>2026-03-12</t>
        </is>
      </c>
      <c r="F654" t="inlineStr">
        <is>
          <t>2026-03-19</t>
        </is>
      </c>
      <c r="G654" t="inlineStr">
        <is>
          <t xml:space="preserve"> - Camper Castle</t>
        </is>
      </c>
      <c r="H654">
        <f>HYPERLINK("https://booking.roadsurfer.com/es/rally/pick?pickup_date=2026-03-12&amp;return_date=2026-03-19&amp;currency=EUR&amp;startStation=59&amp;endStation=108",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Augsburgo</t>
        </is>
      </c>
      <c r="E655" t="inlineStr">
        <is>
          <t>2026-03-18</t>
        </is>
      </c>
      <c r="F655" t="inlineStr">
        <is>
          <t>2026-03-25</t>
        </is>
      </c>
      <c r="G655" t="inlineStr">
        <is>
          <t xml:space="preserve"> - Camper Castle</t>
        </is>
      </c>
      <c r="H655">
        <f>HYPERLINK("https://booking.roadsurfer.com/es/rally/pick?pickup_date=2026-03-18&amp;return_date=2026-03-25&amp;currency=EUR&amp;startStation=59&amp;endStation=108",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Camper Castle</t>
        </is>
      </c>
      <c r="H656">
        <f>HYPERLINK("https://booking.roadsurfer.com/es/rally/pick?pickup_date=2026-03-19&amp;return_date=2026-03-26&amp;currency=EUR&amp;startStation=59&amp;endStation=110",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2026-03-13</t>
        </is>
      </c>
      <c r="F657" t="inlineStr">
        <is>
          <t>2026-03-20</t>
        </is>
      </c>
      <c r="G657" t="inlineStr">
        <is>
          <t xml:space="preserve"> - Camper Castle</t>
        </is>
      </c>
      <c r="H657">
        <f>HYPERLINK("https://booking.roadsurfer.com/es/rally/pick?pickup_date=2026-03-13&amp;return_date=2026-03-20&amp;currency=EUR&amp;startStation=59&amp;endStation=110",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Sunrise Suite</t>
        </is>
      </c>
      <c r="H658">
        <f>HYPERLINK("https://booking.roadsurfer.com/es/rally/pick?pickup_date=2026-03-09&amp;return_date=2026-03-16&amp;currency=EUR&amp;startStation=59&amp;endStation=2",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Fráncfort</t>
        </is>
      </c>
      <c r="E659" t="inlineStr">
        <is>
          <t>2026-03-10</t>
        </is>
      </c>
      <c r="F659" t="inlineStr">
        <is>
          <t>2026-03-17</t>
        </is>
      </c>
      <c r="G659" t="inlineStr">
        <is>
          <t xml:space="preserve"> - Sunrise Suite</t>
        </is>
      </c>
      <c r="H659">
        <f>HYPERLINK("https://booking.roadsurfer.com/es/rally/pick?pickup_date=2026-03-10&amp;return_date=2026-03-17&amp;currency=EUR&amp;startStation=59&amp;endStation=2", "Clic para verlo en la web de RoadSurfer")</f>
        <v/>
      </c>
    </row>
    <row r="660">
      <c r="A660" t="inlineStr">
        <is>
          <t>Francia</t>
        </is>
      </c>
      <c r="B660" t="inlineStr">
        <is>
          <t>Estrasburgo</t>
        </is>
      </c>
      <c r="C660" t="inlineStr">
        <is>
          <t>Alemania</t>
        </is>
      </c>
      <c r="D660" t="inlineStr">
        <is>
          <t>Fráncfort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Beach Hostel</t>
        </is>
      </c>
      <c r="H660">
        <f>HYPERLINK("https://booking.roadsurfer.com/es/rally/pick?pickup_date=2026-03-09&amp;return_date=2026-03-16&amp;currency=EUR&amp;startStation=49&amp;endStation=2", "Clic para verlo en la web de RoadSurfer")</f>
        <v/>
      </c>
    </row>
    <row r="661">
      <c r="A661" t="inlineStr">
        <is>
          <t>Francia</t>
        </is>
      </c>
      <c r="B661" t="inlineStr">
        <is>
          <t>Estrasburgo</t>
        </is>
      </c>
      <c r="C661" t="inlineStr">
        <is>
          <t>Alemania</t>
        </is>
      </c>
      <c r="D661" t="inlineStr">
        <is>
          <t>Stuttgart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Family Finca</t>
        </is>
      </c>
      <c r="H661">
        <f>HYPERLINK("https://booking.roadsurfer.com/es/rally/pick?pickup_date=2026-03-09&amp;return_date=2026-03-16&amp;currency=EUR&amp;startStation=49&amp;endStation=5", "Clic para verlo en la web de RoadSurfer")</f>
        <v/>
      </c>
    </row>
    <row r="662">
      <c r="A662" t="inlineStr">
        <is>
          <t>Alemania</t>
        </is>
      </c>
      <c r="B662" t="inlineStr">
        <is>
          <t>Stuttgart</t>
        </is>
      </c>
      <c r="C662" t="inlineStr">
        <is>
          <t>Países Bajos</t>
        </is>
      </c>
      <c r="D662" t="inlineStr">
        <is>
          <t>Ámsterdam</t>
        </is>
      </c>
      <c r="E662" t="inlineStr">
        <is>
          <t>2026-03-05</t>
        </is>
      </c>
      <c r="F662" t="inlineStr">
        <is>
          <t>2026-03-12</t>
        </is>
      </c>
      <c r="G662" t="inlineStr">
        <is>
          <t xml:space="preserve"> - SURFER SUITE</t>
        </is>
      </c>
      <c r="H662">
        <f>HYPERLINK("https://booking.roadsurfer.com/es/rally/pick?pickup_date=2026-03-05&amp;return_date=2026-03-12&amp;currency=EUR&amp;startStation=5&amp;endStation=32", "Clic para verlo en la web de RoadSurfer")</f>
        <v/>
      </c>
    </row>
    <row r="663">
      <c r="A663" t="inlineStr">
        <is>
          <t>Alemania</t>
        </is>
      </c>
      <c r="B663" t="inlineStr">
        <is>
          <t>Stuttgart</t>
        </is>
      </c>
      <c r="C663" t="inlineStr">
        <is>
          <t>Francia</t>
        </is>
      </c>
      <c r="D663" t="inlineStr">
        <is>
          <t>Toulouse</t>
        </is>
      </c>
      <c r="E663" t="inlineStr">
        <is>
          <t>2026-03-12</t>
        </is>
      </c>
      <c r="F663" t="inlineStr">
        <is>
          <t>2026-03-19</t>
        </is>
      </c>
      <c r="G663" t="inlineStr">
        <is>
          <t xml:space="preserve"> - Travel Home</t>
        </is>
      </c>
      <c r="H663">
        <f>HYPERLINK("https://booking.roadsurfer.com/es/rally/pick?pickup_date=2026-03-12&amp;return_date=2026-03-19&amp;currency=EUR&amp;startStation=5&amp;endStation=30", "Clic para verlo en la web de RoadSurfer")</f>
        <v/>
      </c>
    </row>
    <row r="664">
      <c r="A664" t="inlineStr">
        <is>
          <t>Alemania</t>
        </is>
      </c>
      <c r="B664" t="inlineStr">
        <is>
          <t>Stuttgart</t>
        </is>
      </c>
      <c r="C664" t="inlineStr">
        <is>
          <t>España</t>
        </is>
      </c>
      <c r="D664" t="inlineStr">
        <is>
          <t>Sevilla</t>
        </is>
      </c>
      <c r="E664" t="inlineStr">
        <is>
          <t>2026-03-03</t>
        </is>
      </c>
      <c r="F664" t="inlineStr">
        <is>
          <t>2026-03-13</t>
        </is>
      </c>
      <c r="G664" t="inlineStr">
        <is>
          <t xml:space="preserve"> - BEACH HOSTEL</t>
        </is>
      </c>
      <c r="H664">
        <f>HYPERLINK("https://booking.roadsurfer.com/es/rally/pick?pickup_date=2026-03-03&amp;return_date=2026-03-13&amp;currency=EUR&amp;startStation=5&amp;endStation=39", "Clic para verlo en la web de RoadSurfer")</f>
        <v/>
      </c>
    </row>
    <row r="665">
      <c r="A665" t="inlineStr">
        <is>
          <t>Alemania</t>
        </is>
      </c>
      <c r="B665" t="inlineStr">
        <is>
          <t>Stuttgart</t>
        </is>
      </c>
      <c r="C665" t="inlineStr">
        <is>
          <t>España</t>
        </is>
      </c>
      <c r="D665" t="inlineStr">
        <is>
          <t>Sevilla</t>
        </is>
      </c>
      <c r="E665" t="inlineStr">
        <is>
          <t>2026-03-11</t>
        </is>
      </c>
      <c r="F665" t="inlineStr">
        <is>
          <t>2026-03-18</t>
        </is>
      </c>
      <c r="G665" t="inlineStr">
        <is>
          <t xml:space="preserve"> - Beach Hostel</t>
        </is>
      </c>
      <c r="H665">
        <f>HYPERLINK("https://booking.roadsurfer.com/es/rally/pick?pickup_date=2026-03-11&amp;return_date=2026-03-18&amp;currency=EUR&amp;startStation=5&amp;endStation=39", "Clic para verlo en la web de RoadSurfer")</f>
        <v/>
      </c>
    </row>
    <row r="666">
      <c r="A666" t="inlineStr">
        <is>
          <t>Alemania</t>
        </is>
      </c>
      <c r="B666" t="inlineStr">
        <is>
          <t>Stuttgart</t>
        </is>
      </c>
      <c r="C666" t="inlineStr">
        <is>
          <t>España</t>
        </is>
      </c>
      <c r="D666" t="inlineStr">
        <is>
          <t>Sevilla</t>
        </is>
      </c>
      <c r="E666" t="inlineStr">
        <is>
          <t>2026-03-18</t>
        </is>
      </c>
      <c r="F666" t="inlineStr">
        <is>
          <t>2026-03-25</t>
        </is>
      </c>
      <c r="G666" t="inlineStr">
        <is>
          <t xml:space="preserve"> - Road House</t>
        </is>
      </c>
      <c r="H666">
        <f>HYPERLINK("https://booking.roadsurfer.com/es/rally/pick?pickup_date=2026-03-18&amp;return_date=2026-03-25&amp;currency=EUR&amp;startStation=5&amp;endStation=39", "Clic para verlo en la web de RoadSurfer")</f>
        <v/>
      </c>
    </row>
    <row r="667">
      <c r="A667" t="inlineStr">
        <is>
          <t>Alemania</t>
        </is>
      </c>
      <c r="B667" t="inlineStr">
        <is>
          <t>Stuttgart</t>
        </is>
      </c>
      <c r="C667" t="inlineStr">
        <is>
          <t>Francia</t>
        </is>
      </c>
      <c r="D667" t="inlineStr">
        <is>
          <t>Burdeos</t>
        </is>
      </c>
      <c r="E667" t="inlineStr">
        <is>
          <t>2026-03-13</t>
        </is>
      </c>
      <c r="F667" t="inlineStr">
        <is>
          <t>2026-03-23</t>
        </is>
      </c>
      <c r="G667" t="inlineStr">
        <is>
          <t xml:space="preserve"> - Family Finca</t>
        </is>
      </c>
      <c r="H667">
        <f>HYPERLINK("https://booking.roadsurfer.com/es/rally/pick?pickup_date=2026-03-13&amp;return_date=2026-03-23&amp;currency=EUR&amp;startStation=5&amp;endStation=13", "Clic para verlo en la web de RoadSurfer")</f>
        <v/>
      </c>
    </row>
    <row r="668">
      <c r="A668" t="inlineStr">
        <is>
          <t>Alemania</t>
        </is>
      </c>
      <c r="B668" t="inlineStr">
        <is>
          <t>Stuttgart</t>
        </is>
      </c>
      <c r="C668" t="inlineStr">
        <is>
          <t>España</t>
        </is>
      </c>
      <c r="D668" t="inlineStr">
        <is>
          <t>Bilbao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Surfer Suite</t>
        </is>
      </c>
      <c r="H668">
        <f>HYPERLINK("https://booking.roadsurfer.com/es/rally/pick?pickup_date=2026-03-12&amp;return_date=2026-03-19&amp;currency=EUR&amp;startStation=5&amp;endStation=40", "Clic para verlo en la web de RoadSurfer")</f>
        <v/>
      </c>
    </row>
    <row r="669">
      <c r="A669" t="inlineStr">
        <is>
          <t>Alemania</t>
        </is>
      </c>
      <c r="B669" t="inlineStr">
        <is>
          <t>Stuttgart</t>
        </is>
      </c>
      <c r="C669" t="inlineStr">
        <is>
          <t>España</t>
        </is>
      </c>
      <c r="D669" t="inlineStr">
        <is>
          <t>Bilbao</t>
        </is>
      </c>
      <c r="E669" t="inlineStr">
        <is>
          <t>2026-03-13</t>
        </is>
      </c>
      <c r="F669" t="inlineStr">
        <is>
          <t>2026-03-20</t>
        </is>
      </c>
      <c r="G669" t="inlineStr">
        <is>
          <t xml:space="preserve"> - Road House</t>
        </is>
      </c>
      <c r="H669">
        <f>HYPERLINK("https://booking.roadsurfer.com/es/rally/pick?pickup_date=2026-03-13&amp;return_date=2026-03-20&amp;currency=EUR&amp;startStation=5&amp;endStation=40", "Clic para verlo en la web de RoadSurfer")</f>
        <v/>
      </c>
    </row>
    <row r="670">
      <c r="A670" t="inlineStr">
        <is>
          <t>Alemania</t>
        </is>
      </c>
      <c r="B670" t="inlineStr">
        <is>
          <t>Stuttgart</t>
        </is>
      </c>
      <c r="C670" t="inlineStr">
        <is>
          <t>España</t>
        </is>
      </c>
      <c r="D670" t="inlineStr">
        <is>
          <t>Bilbao</t>
        </is>
      </c>
      <c r="E670" t="inlineStr">
        <is>
          <t>2026-03-16</t>
        </is>
      </c>
      <c r="F670" t="inlineStr">
        <is>
          <t>2026-03-26</t>
        </is>
      </c>
      <c r="G670" t="inlineStr">
        <is>
          <t xml:space="preserve"> - Family Finca</t>
        </is>
      </c>
      <c r="H670">
        <f>HYPERLINK("https://booking.roadsurfer.com/es/rally/pick?pickup_date=2026-03-16&amp;return_date=2026-03-26&amp;currency=EUR&amp;startStation=5&amp;endStation=40",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Road House - Family Finca</t>
        </is>
      </c>
      <c r="H671">
        <f>HYPERLINK("https://booking.roadsurfer.com/es/rally/pick?pickup_date=2026-03-16&amp;return_date=2026-03-23&amp;currency=EUR&amp;startStation=5&amp;endStation=40", "Clic para verlo en la web de RoadSurfer")</f>
        <v/>
      </c>
    </row>
    <row r="672">
      <c r="A672" t="inlineStr">
        <is>
          <t>Alemania</t>
        </is>
      </c>
      <c r="B672" t="inlineStr">
        <is>
          <t>Stuttgart</t>
        </is>
      </c>
      <c r="C672" t="inlineStr">
        <is>
          <t>España</t>
        </is>
      </c>
      <c r="D672" t="inlineStr">
        <is>
          <t>Bilbao</t>
        </is>
      </c>
      <c r="E672" t="inlineStr">
        <is>
          <t>2026-03-09</t>
        </is>
      </c>
      <c r="F672" t="inlineStr">
        <is>
          <t>2026-03-16</t>
        </is>
      </c>
      <c r="G672" t="inlineStr">
        <is>
          <t xml:space="preserve"> - Beach Hostel</t>
        </is>
      </c>
      <c r="H672">
        <f>HYPERLINK("https://booking.roadsurfer.com/es/rally/pick?pickup_date=2026-03-09&amp;return_date=2026-03-16&amp;currency=EUR&amp;startStation=5&amp;endStation=40",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España</t>
        </is>
      </c>
      <c r="D673" t="inlineStr">
        <is>
          <t>Valencia</t>
        </is>
      </c>
      <c r="E673" t="inlineStr">
        <is>
          <t>2026-03-19</t>
        </is>
      </c>
      <c r="F673" t="inlineStr">
        <is>
          <t>2026-03-26</t>
        </is>
      </c>
      <c r="G673" t="inlineStr">
        <is>
          <t xml:space="preserve"> - Camper Castle</t>
        </is>
      </c>
      <c r="H673">
        <f>HYPERLINK("https://booking.roadsurfer.com/es/rally/pick?pickup_date=2026-03-19&amp;return_date=2026-03-26&amp;currency=EUR&amp;startStation=5&amp;endStation=38",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Italia</t>
        </is>
      </c>
      <c r="D674" t="inlineStr">
        <is>
          <t>Milán</t>
        </is>
      </c>
      <c r="E674" t="inlineStr">
        <is>
          <t>2026-03-13</t>
        </is>
      </c>
      <c r="F674" t="inlineStr">
        <is>
          <t>2026-03-23</t>
        </is>
      </c>
      <c r="G674" t="inlineStr">
        <is>
          <t xml:space="preserve"> - Surfer Suite</t>
        </is>
      </c>
      <c r="H674">
        <f>HYPERLINK("https://booking.roadsurfer.com/es/rally/pick?pickup_date=2026-03-13&amp;return_date=2026-03-23&amp;currency=EUR&amp;startStation=5&amp;endStation=34",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Italia</t>
        </is>
      </c>
      <c r="D675" t="inlineStr">
        <is>
          <t>Turín</t>
        </is>
      </c>
      <c r="E675" t="inlineStr">
        <is>
          <t>2026-03-13</t>
        </is>
      </c>
      <c r="F675" t="inlineStr">
        <is>
          <t>2026-03-23</t>
        </is>
      </c>
      <c r="G675" t="inlineStr">
        <is>
          <t xml:space="preserve"> - Surfer Suite</t>
        </is>
      </c>
      <c r="H675">
        <f>HYPERLINK("https://booking.roadsurfer.com/es/rally/pick?pickup_date=2026-03-13&amp;return_date=2026-03-23&amp;currency=EUR&amp;startStation=5&amp;endStation=58",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Italia</t>
        </is>
      </c>
      <c r="D676" t="inlineStr">
        <is>
          <t>Turín</t>
        </is>
      </c>
      <c r="E676" t="inlineStr">
        <is>
          <t>2026-03-02</t>
        </is>
      </c>
      <c r="F676" t="inlineStr">
        <is>
          <t>2026-03-12</t>
        </is>
      </c>
      <c r="G676" t="inlineStr">
        <is>
          <t xml:space="preserve"> - Surfer Suite</t>
        </is>
      </c>
      <c r="H676">
        <f>HYPERLINK("https://booking.roadsurfer.com/es/rally/pick?pickup_date=2026-03-02&amp;return_date=2026-03-12&amp;currency=EUR&amp;startStation=5&amp;endStation=58",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Francia</t>
        </is>
      </c>
      <c r="D677" t="inlineStr">
        <is>
          <t>Niza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Beach Hostel</t>
        </is>
      </c>
      <c r="H677">
        <f>HYPERLINK("https://booking.roadsurfer.com/es/rally/pick?pickup_date=2026-03-12&amp;return_date=2026-03-19&amp;currency=EUR&amp;startStation=5&amp;endStation=88",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Francia</t>
        </is>
      </c>
      <c r="D678" t="inlineStr">
        <is>
          <t>Ginebra-Pays de Gex (Francia)</t>
        </is>
      </c>
      <c r="E678" t="inlineStr">
        <is>
          <t>2026-03-05</t>
        </is>
      </c>
      <c r="F678" t="inlineStr">
        <is>
          <t>2026-03-12</t>
        </is>
      </c>
      <c r="G678" t="inlineStr">
        <is>
          <t xml:space="preserve"> - Camper Cabin</t>
        </is>
      </c>
      <c r="H678">
        <f>HYPERLINK("https://booking.roadsurfer.com/es/rally/pick?pickup_date=2026-03-05&amp;return_date=2026-03-12&amp;currency=EUR&amp;startStation=5&amp;endStation=29",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Francia</t>
        </is>
      </c>
      <c r="D679" t="inlineStr">
        <is>
          <t>Aix-Marsella</t>
        </is>
      </c>
      <c r="E679" t="inlineStr">
        <is>
          <t>2026-03-13</t>
        </is>
      </c>
      <c r="F679" t="inlineStr">
        <is>
          <t>2026-03-20</t>
        </is>
      </c>
      <c r="G679" t="inlineStr">
        <is>
          <t xml:space="preserve"> - Road House</t>
        </is>
      </c>
      <c r="H679">
        <f>HYPERLINK("https://booking.roadsurfer.com/es/rally/pick?pickup_date=2026-03-13&amp;return_date=2026-03-20&amp;currency=EUR&amp;startStation=5&amp;endStation=16",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2026-03-17</t>
        </is>
      </c>
      <c r="F680" t="inlineStr">
        <is>
          <t>2026-03-24</t>
        </is>
      </c>
      <c r="G680" t="inlineStr">
        <is>
          <t xml:space="preserve"> - Family Finca</t>
        </is>
      </c>
      <c r="H680">
        <f>HYPERLINK("https://booking.roadsurfer.com/es/rally/pick?pickup_date=2026-03-17&amp;return_date=2026-03-24&amp;currency=EUR&amp;startStation=5&amp;endStation=16",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París Aeropuerto CDG</t>
        </is>
      </c>
      <c r="E681" t="inlineStr">
        <is>
          <t>2026-03-14</t>
        </is>
      </c>
      <c r="F681" t="inlineStr">
        <is>
          <t>2026-03-21</t>
        </is>
      </c>
      <c r="G681" t="inlineStr">
        <is>
          <t xml:space="preserve"> - Road House</t>
        </is>
      </c>
      <c r="H681">
        <f>HYPERLINK("https://booking.roadsurfer.com/es/rally/pick?pickup_date=2026-03-14&amp;return_date=2026-03-21&amp;currency=EUR&amp;startStation=5&amp;endStation=48",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España</t>
        </is>
      </c>
      <c r="D682" t="inlineStr">
        <is>
          <t>Barcelona</t>
        </is>
      </c>
      <c r="E682" t="inlineStr">
        <is>
          <t>2026-03-19</t>
        </is>
      </c>
      <c r="F682" t="inlineStr">
        <is>
          <t>2026-03-26</t>
        </is>
      </c>
      <c r="G682" t="inlineStr">
        <is>
          <t xml:space="preserve"> - Road House - Couple Cottage</t>
        </is>
      </c>
      <c r="H682">
        <f>HYPERLINK("https://booking.roadsurfer.com/es/rally/pick?pickup_date=2026-03-19&amp;return_date=2026-03-26&amp;currency=EUR&amp;startStation=5&amp;endStation=17",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Italia</t>
        </is>
      </c>
      <c r="D683" t="inlineStr">
        <is>
          <t>Bolonia</t>
        </is>
      </c>
      <c r="E683" t="inlineStr">
        <is>
          <t>2026-03-16</t>
        </is>
      </c>
      <c r="F683" t="inlineStr">
        <is>
          <t>2026-03-23</t>
        </is>
      </c>
      <c r="G683" t="inlineStr">
        <is>
          <t xml:space="preserve"> - Couple Cottage</t>
        </is>
      </c>
      <c r="H683">
        <f>HYPERLINK("https://booking.roadsurfer.com/es/rally/pick?pickup_date=2026-03-16&amp;return_date=2026-03-23&amp;currency=EUR&amp;startStation=5&amp;endStation=57",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Italia</t>
        </is>
      </c>
      <c r="D684" t="inlineStr">
        <is>
          <t>Bolonia</t>
        </is>
      </c>
      <c r="E684" t="inlineStr">
        <is>
          <t>2026-03-05</t>
        </is>
      </c>
      <c r="F684" t="inlineStr">
        <is>
          <t>2026-03-12</t>
        </is>
      </c>
      <c r="G684" t="inlineStr">
        <is>
          <t xml:space="preserve"> - Beach Hostel</t>
        </is>
      </c>
      <c r="H684">
        <f>HYPERLINK("https://booking.roadsurfer.com/es/rally/pick?pickup_date=2026-03-05&amp;return_date=2026-03-12&amp;currency=EUR&amp;startStation=5&amp;endStation=57",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Italia</t>
        </is>
      </c>
      <c r="D685" t="inlineStr">
        <is>
          <t>Florencia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Family Finca</t>
        </is>
      </c>
      <c r="H685">
        <f>HYPERLINK("https://booking.roadsurfer.com/es/rally/pick?pickup_date=2026-03-02&amp;return_date=2026-03-09&amp;currency=EUR&amp;startStation=5&amp;endStation=80",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Italia</t>
        </is>
      </c>
      <c r="D686" t="inlineStr">
        <is>
          <t>Florencia</t>
        </is>
      </c>
      <c r="E686" t="inlineStr">
        <is>
          <t>2026-03-05</t>
        </is>
      </c>
      <c r="F686" t="inlineStr">
        <is>
          <t>2026-03-12</t>
        </is>
      </c>
      <c r="G686" t="inlineStr">
        <is>
          <t xml:space="preserve"> - Family Finca</t>
        </is>
      </c>
      <c r="H686">
        <f>HYPERLINK("https://booking.roadsurfer.com/es/rally/pick?pickup_date=2026-03-05&amp;return_date=2026-03-12&amp;currency=EUR&amp;startStation=5&amp;endStation=80",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Alemania</t>
        </is>
      </c>
      <c r="D687" t="inlineStr">
        <is>
          <t>Fráncfort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Sunrise Suite</t>
        </is>
      </c>
      <c r="H687">
        <f>HYPERLINK("https://booking.roadsurfer.com/es/rally/pick?pickup_date=2026-03-16&amp;return_date=2026-03-23&amp;currency=EUR&amp;startStation=5&amp;endStation=2",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2026-03-13</t>
        </is>
      </c>
      <c r="F688" t="inlineStr">
        <is>
          <t>2026-03-23</t>
        </is>
      </c>
      <c r="G688" t="inlineStr">
        <is>
          <t xml:space="preserve"> - Surfer Suite</t>
        </is>
      </c>
      <c r="H688">
        <f>HYPERLINK("https://booking.roadsurfer.com/es/rally/pick?pickup_date=2026-03-13&amp;return_date=2026-03-23&amp;currency=EUR&amp;startStation=5&amp;endStation=36",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Friburgo-Basilea (Alemania)</t>
        </is>
      </c>
      <c r="E689" t="inlineStr">
        <is>
          <t>2026-03-17</t>
        </is>
      </c>
      <c r="F689" t="inlineStr">
        <is>
          <t>2026-03-24</t>
        </is>
      </c>
      <c r="G689" t="inlineStr">
        <is>
          <t xml:space="preserve"> - Family Finca</t>
        </is>
      </c>
      <c r="H689">
        <f>HYPERLINK("https://booking.roadsurfer.com/es/rally/pick?pickup_date=2026-03-17&amp;return_date=2026-03-24&amp;currency=EUR&amp;startStation=30&amp;endStation=9",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Alemania</t>
        </is>
      </c>
      <c r="D690" t="inlineStr">
        <is>
          <t>Friburgo-Basilea (Alemania)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Surfer Suite</t>
        </is>
      </c>
      <c r="H690">
        <f>HYPERLINK("https://booking.roadsurfer.com/es/rally/pick?pickup_date=2026-03-16&amp;return_date=2026-03-23&amp;currency=EUR&amp;startStation=30&amp;endStation=9",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Friburgo-Basilea (Alemania)</t>
        </is>
      </c>
      <c r="E691" t="inlineStr">
        <is>
          <t>2026-03-18</t>
        </is>
      </c>
      <c r="F691" t="inlineStr">
        <is>
          <t>2026-03-25</t>
        </is>
      </c>
      <c r="G691" t="inlineStr">
        <is>
          <t xml:space="preserve"> - Family Finca</t>
        </is>
      </c>
      <c r="H691">
        <f>HYPERLINK("https://booking.roadsurfer.com/es/rally/pick?pickup_date=2026-03-18&amp;return_date=2026-03-25&amp;currency=EUR&amp;startStation=30&amp;endStation=9",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Fráncfort</t>
        </is>
      </c>
      <c r="E692" t="inlineStr">
        <is>
          <t>2026-03-19</t>
        </is>
      </c>
      <c r="F692" t="inlineStr">
        <is>
          <t>2026-03-26</t>
        </is>
      </c>
      <c r="G692" t="inlineStr">
        <is>
          <t xml:space="preserve"> - Beach Hostel</t>
        </is>
      </c>
      <c r="H692">
        <f>HYPERLINK("https://booking.roadsurfer.com/es/rally/pick?pickup_date=2026-03-19&amp;return_date=2026-03-26&amp;currency=EUR&amp;startStation=30&amp;endStation=2",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Erfurt</t>
        </is>
      </c>
      <c r="E693" t="inlineStr">
        <is>
          <t>2026-03-16</t>
        </is>
      </c>
      <c r="F693" t="inlineStr">
        <is>
          <t>2026-03-23</t>
        </is>
      </c>
      <c r="G693" t="inlineStr">
        <is>
          <t xml:space="preserve"> - Camper Castle</t>
        </is>
      </c>
      <c r="H693">
        <f>HYPERLINK("https://booking.roadsurfer.com/es/rally/pick?pickup_date=2026-03-16&amp;return_date=2026-03-23&amp;currency=EUR&amp;startStation=30&amp;endStation=90",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Alemania</t>
        </is>
      </c>
      <c r="D694" t="inlineStr">
        <is>
          <t>Erfurt</t>
        </is>
      </c>
      <c r="E694" t="inlineStr">
        <is>
          <t>2026-03-17</t>
        </is>
      </c>
      <c r="F694" t="inlineStr">
        <is>
          <t>2026-03-24</t>
        </is>
      </c>
      <c r="G694" t="inlineStr">
        <is>
          <t xml:space="preserve"> - Road House</t>
        </is>
      </c>
      <c r="H694">
        <f>HYPERLINK("https://booking.roadsurfer.com/es/rally/pick?pickup_date=2026-03-17&amp;return_date=2026-03-24&amp;currency=EUR&amp;startStation=30&amp;endStation=90",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Alemania</t>
        </is>
      </c>
      <c r="D695" t="inlineStr">
        <is>
          <t>Erfurt</t>
        </is>
      </c>
      <c r="E695" t="inlineStr">
        <is>
          <t>2026-03-18</t>
        </is>
      </c>
      <c r="F695" t="inlineStr">
        <is>
          <t>2026-03-25</t>
        </is>
      </c>
      <c r="G695" t="inlineStr">
        <is>
          <t xml:space="preserve"> - Family Finca</t>
        </is>
      </c>
      <c r="H695">
        <f>HYPERLINK("https://booking.roadsurfer.com/es/rally/pick?pickup_date=2026-03-18&amp;return_date=2026-03-25&amp;currency=EUR&amp;startStation=30&amp;endStation=90",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Alemania</t>
        </is>
      </c>
      <c r="D696" t="inlineStr">
        <is>
          <t>Kassel</t>
        </is>
      </c>
      <c r="E696" t="inlineStr">
        <is>
          <t>2026-03-12</t>
        </is>
      </c>
      <c r="F696" t="inlineStr">
        <is>
          <t>2026-03-19</t>
        </is>
      </c>
      <c r="G696" t="inlineStr">
        <is>
          <t xml:space="preserve"> - Family Finca</t>
        </is>
      </c>
      <c r="H696">
        <f>HYPERLINK("https://booking.roadsurfer.com/es/rally/pick?pickup_date=2026-03-12&amp;return_date=2026-03-19&amp;currency=EUR&amp;startStation=30&amp;endStation=92", "Clic para verlo en la web de RoadSurfer")</f>
        <v/>
      </c>
    </row>
    <row r="697">
      <c r="A697" t="inlineStr">
        <is>
          <t>Alemania</t>
        </is>
      </c>
      <c r="B697" t="inlineStr">
        <is>
          <t>Tréveris</t>
        </is>
      </c>
      <c r="C697" t="inlineStr">
        <is>
          <t>Países Bajos</t>
        </is>
      </c>
      <c r="D697" t="inlineStr">
        <is>
          <t>Róterdam</t>
        </is>
      </c>
      <c r="E697" t="inlineStr">
        <is>
          <t>2026-03-03</t>
        </is>
      </c>
      <c r="F697" t="inlineStr">
        <is>
          <t>2026-03-10</t>
        </is>
      </c>
      <c r="G697" t="inlineStr">
        <is>
          <t xml:space="preserve"> - Road House</t>
        </is>
      </c>
      <c r="H697">
        <f>HYPERLINK("https://booking.roadsurfer.com/es/rally/pick?pickup_date=2026-03-03&amp;return_date=2026-03-10&amp;currency=EUR&amp;startStation=28&amp;endStation=33", "Clic para verlo en la web de RoadSurfer")</f>
        <v/>
      </c>
    </row>
    <row r="698">
      <c r="A698" t="inlineStr">
        <is>
          <t>Alemania</t>
        </is>
      </c>
      <c r="B698" t="inlineStr">
        <is>
          <t>Tréveris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2026-03-12</t>
        </is>
      </c>
      <c r="F698" t="inlineStr">
        <is>
          <t>2026-03-19</t>
        </is>
      </c>
      <c r="G698" t="inlineStr">
        <is>
          <t xml:space="preserve"> - TRAVEL HOME</t>
        </is>
      </c>
      <c r="H698">
        <f>HYPERLINK("https://booking.roadsurfer.com/es/rally/pick?pickup_date=2026-03-12&amp;return_date=2026-03-19&amp;currency=EUR&amp;startStation=28&amp;endStation=2", "Clic para verlo en la web de RoadSurfer")</f>
        <v/>
      </c>
    </row>
    <row r="699">
      <c r="A699" t="inlineStr">
        <is>
          <t>Alemania</t>
        </is>
      </c>
      <c r="B699" t="inlineStr">
        <is>
          <t>Tréveris</t>
        </is>
      </c>
      <c r="C699" t="inlineStr">
        <is>
          <t>Países Bajos</t>
        </is>
      </c>
      <c r="D699" t="inlineStr">
        <is>
          <t>Ámsterdam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Camper Cabin</t>
        </is>
      </c>
      <c r="H699">
        <f>HYPERLINK("https://booking.roadsurfer.com/es/rally/pick?pickup_date=2026-03-02&amp;return_date=2026-03-09&amp;currency=EUR&amp;startStation=28&amp;endStation=32", "Clic para verlo en la web de RoadSurfer")</f>
        <v/>
      </c>
    </row>
    <row r="700">
      <c r="A700" t="inlineStr">
        <is>
          <t>Alemania</t>
        </is>
      </c>
      <c r="B700" t="inlineStr">
        <is>
          <t>Tréveris</t>
        </is>
      </c>
      <c r="C700" t="inlineStr">
        <is>
          <t>Alemania</t>
        </is>
      </c>
      <c r="D700" t="inlineStr">
        <is>
          <t>Augsburgo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Camper Cabin</t>
        </is>
      </c>
      <c r="H700">
        <f>HYPERLINK("https://booking.roadsurfer.com/es/rally/pick?pickup_date=2026-03-16&amp;return_date=2026-03-23&amp;currency=EUR&amp;startStation=28&amp;endStation=108", "Clic para verlo en la web de RoadSurfer")</f>
        <v/>
      </c>
    </row>
    <row r="701">
      <c r="A701" t="inlineStr">
        <is>
          <t>Alemania</t>
        </is>
      </c>
      <c r="B701" t="inlineStr">
        <is>
          <t>Tréveris</t>
        </is>
      </c>
      <c r="C701" t="inlineStr">
        <is>
          <t>Alemania</t>
        </is>
      </c>
      <c r="D701" t="inlineStr">
        <is>
          <t>Múnich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Camper Cabin</t>
        </is>
      </c>
      <c r="H701">
        <f>HYPERLINK("https://booking.roadsurfer.com/es/rally/pick?pickup_date=2026-03-12&amp;return_date=2026-03-19&amp;currency=EUR&amp;startStation=28&amp;endStation=1", "Clic para verlo en la web de RoadSurfer")</f>
        <v/>
      </c>
    </row>
    <row r="702">
      <c r="A702" t="inlineStr">
        <is>
          <t>Alemania</t>
        </is>
      </c>
      <c r="B702" t="inlineStr">
        <is>
          <t>Tréveris</t>
        </is>
      </c>
      <c r="C702" t="inlineStr">
        <is>
          <t>Alemania</t>
        </is>
      </c>
      <c r="D702" t="inlineStr">
        <is>
          <t>Hamburgo Aeropuerto</t>
        </is>
      </c>
      <c r="E702" t="inlineStr">
        <is>
          <t>2026-03-06</t>
        </is>
      </c>
      <c r="F702" t="inlineStr">
        <is>
          <t>2026-03-13</t>
        </is>
      </c>
      <c r="G702" t="inlineStr">
        <is>
          <t xml:space="preserve"> - Family Finca</t>
        </is>
      </c>
      <c r="H702">
        <f>HYPERLINK("https://booking.roadsurfer.com/es/rally/pick?pickup_date=2026-03-06&amp;return_date=2026-03-13&amp;currency=EUR&amp;startStation=28&amp;endStation=65", "Clic para verlo en la web de RoadSurfer")</f>
        <v/>
      </c>
    </row>
    <row r="703">
      <c r="A703" t="inlineStr">
        <is>
          <t>Italia</t>
        </is>
      </c>
      <c r="B703" t="inlineStr">
        <is>
          <t>Turín</t>
        </is>
      </c>
      <c r="C703" t="inlineStr">
        <is>
          <t>Alemania</t>
        </is>
      </c>
      <c r="D703" t="inlineStr">
        <is>
          <t>Múnich</t>
        </is>
      </c>
      <c r="E703" t="inlineStr">
        <is>
          <t>2026-03-14</t>
        </is>
      </c>
      <c r="F703" t="inlineStr">
        <is>
          <t>2026-03-21</t>
        </is>
      </c>
      <c r="G703" t="inlineStr">
        <is>
          <t xml:space="preserve"> - Surfer Suite</t>
        </is>
      </c>
      <c r="H703">
        <f>HYPERLINK("https://booking.roadsurfer.com/es/rally/pick?pickup_date=2026-03-14&amp;return_date=2026-03-21&amp;currency=EUR&amp;startStation=58&amp;endStation=1", "Clic para verlo en la web de RoadSurfer")</f>
        <v/>
      </c>
    </row>
    <row r="704">
      <c r="A704" t="inlineStr">
        <is>
          <t>Italia</t>
        </is>
      </c>
      <c r="B704" t="inlineStr">
        <is>
          <t>Turín</t>
        </is>
      </c>
      <c r="C704" t="inlineStr">
        <is>
          <t>Alemania</t>
        </is>
      </c>
      <c r="D704" t="inlineStr">
        <is>
          <t>Núremberg</t>
        </is>
      </c>
      <c r="E704" t="inlineStr">
        <is>
          <t>2026-03-19</t>
        </is>
      </c>
      <c r="F704" t="inlineStr">
        <is>
          <t>2026-03-26</t>
        </is>
      </c>
      <c r="G704" t="inlineStr">
        <is>
          <t xml:space="preserve"> - Road House</t>
        </is>
      </c>
      <c r="H704">
        <f>HYPERLINK("https://booking.roadsurfer.com/es/rally/pick?pickup_date=2026-03-19&amp;return_date=2026-03-26&amp;currency=EUR&amp;startStation=58&amp;endStation=11", "Clic para verlo en la web de RoadSurfer")</f>
        <v/>
      </c>
    </row>
    <row r="705">
      <c r="A705" t="inlineStr">
        <is>
          <t>Italia</t>
        </is>
      </c>
      <c r="B705" t="inlineStr">
        <is>
          <t>Turín</t>
        </is>
      </c>
      <c r="C705" t="inlineStr">
        <is>
          <t>Alemania</t>
        </is>
      </c>
      <c r="D705" t="inlineStr">
        <is>
          <t>Duisburgo</t>
        </is>
      </c>
      <c r="E705" t="inlineStr">
        <is>
          <t>2026-03-13</t>
        </is>
      </c>
      <c r="F705" t="inlineStr">
        <is>
          <t>2026-03-20</t>
        </is>
      </c>
      <c r="G705" t="inlineStr">
        <is>
          <t xml:space="preserve"> - Surfer Suite</t>
        </is>
      </c>
      <c r="H705">
        <f>HYPERLINK("https://booking.roadsurfer.com/es/rally/pick?pickup_date=2026-03-13&amp;return_date=2026-03-20&amp;currency=EUR&amp;startStation=58&amp;endStation=113", "Clic para verlo en la web de RoadSurfer")</f>
        <v/>
      </c>
    </row>
    <row r="706">
      <c r="A706" t="inlineStr">
        <is>
          <t>Italia</t>
        </is>
      </c>
      <c r="B706" t="inlineStr">
        <is>
          <t>Turín</t>
        </is>
      </c>
      <c r="C706" t="inlineStr">
        <is>
          <t>Alemania</t>
        </is>
      </c>
      <c r="D706" t="inlineStr">
        <is>
          <t>Kiel</t>
        </is>
      </c>
      <c r="E706" t="inlineStr">
        <is>
          <t>2026-03-12</t>
        </is>
      </c>
      <c r="F706" t="inlineStr">
        <is>
          <t>2026-03-19</t>
        </is>
      </c>
      <c r="G706" t="inlineStr">
        <is>
          <t xml:space="preserve"> - Family Finca</t>
        </is>
      </c>
      <c r="H706">
        <f>HYPERLINK("https://booking.roadsurfer.com/es/rally/pick?pickup_date=2026-03-12&amp;return_date=2026-03-19&amp;currency=EUR&amp;startStation=58&amp;endStation=111", "Clic para verlo en la web de RoadSurfer")</f>
        <v/>
      </c>
    </row>
    <row r="707">
      <c r="A707" t="inlineStr">
        <is>
          <t>Italia</t>
        </is>
      </c>
      <c r="B707" t="inlineStr">
        <is>
          <t>Turín</t>
        </is>
      </c>
      <c r="C707" t="inlineStr">
        <is>
          <t>Alemania</t>
        </is>
      </c>
      <c r="D707" t="inlineStr">
        <is>
          <t>Dresde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Family Finca</t>
        </is>
      </c>
      <c r="H707">
        <f>HYPERLINK("https://booking.roadsurfer.com/es/rally/pick?pickup_date=2026-03-16&amp;return_date=2026-03-23&amp;currency=EUR&amp;startStation=58&amp;endStation=56", "Clic para verlo en la web de RoadSurfer")</f>
        <v/>
      </c>
    </row>
    <row r="708">
      <c r="A708" t="inlineStr">
        <is>
          <t>Alemania</t>
        </is>
      </c>
      <c r="B708" t="inlineStr">
        <is>
          <t>Ulm</t>
        </is>
      </c>
      <c r="C708" t="inlineStr">
        <is>
          <t>España</t>
        </is>
      </c>
      <c r="D708" t="inlineStr">
        <is>
          <t>Madrid</t>
        </is>
      </c>
      <c r="E708" t="inlineStr">
        <is>
          <t>2026-03-19</t>
        </is>
      </c>
      <c r="F708" t="inlineStr">
        <is>
          <t>2026-03-26</t>
        </is>
      </c>
      <c r="G708" t="inlineStr">
        <is>
          <t xml:space="preserve"> - Travel Home</t>
        </is>
      </c>
      <c r="H708">
        <f>HYPERLINK("https://booking.roadsurfer.com/es/rally/pick?pickup_date=2026-03-19&amp;return_date=2026-03-26&amp;currency=EUR&amp;startStation=112&amp;endStation=20", "Clic para verlo en la web de RoadSurfer")</f>
        <v/>
      </c>
    </row>
    <row r="709">
      <c r="A709" t="inlineStr">
        <is>
          <t>Alemania</t>
        </is>
      </c>
      <c r="B709" t="inlineStr">
        <is>
          <t>Ulm</t>
        </is>
      </c>
      <c r="C709" t="inlineStr">
        <is>
          <t>Austria</t>
        </is>
      </c>
      <c r="D709" t="inlineStr">
        <is>
          <t>Viena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Family Finca</t>
        </is>
      </c>
      <c r="H709">
        <f>HYPERLINK("https://booking.roadsurfer.com/es/rally/pick?pickup_date=2026-03-09&amp;return_date=2026-03-16&amp;currency=EUR&amp;startStation=112&amp;endStation=36", "Clic para verlo en la web de RoadSurfer")</f>
        <v/>
      </c>
    </row>
    <row r="710">
      <c r="A710" t="inlineStr">
        <is>
          <t>Alemania</t>
        </is>
      </c>
      <c r="B710" t="inlineStr">
        <is>
          <t>Ulm</t>
        </is>
      </c>
      <c r="C710" t="inlineStr">
        <is>
          <t>Francia</t>
        </is>
      </c>
      <c r="D710" t="inlineStr">
        <is>
          <t>Ginebra-Pays de Gex (Francia)</t>
        </is>
      </c>
      <c r="E710" t="inlineStr">
        <is>
          <t>2026-03-11</t>
        </is>
      </c>
      <c r="F710" t="inlineStr">
        <is>
          <t>2026-03-18</t>
        </is>
      </c>
      <c r="G710" t="inlineStr">
        <is>
          <t xml:space="preserve"> - Family Finca</t>
        </is>
      </c>
      <c r="H710">
        <f>HYPERLINK("https://booking.roadsurfer.com/es/rally/pick?pickup_date=2026-03-11&amp;return_date=2026-03-18&amp;currency=EUR&amp;startStation=112&amp;endStation=29", "Clic para verlo en la web de RoadSurfer")</f>
        <v/>
      </c>
    </row>
    <row r="711">
      <c r="A711" t="inlineStr">
        <is>
          <t>Alemania</t>
        </is>
      </c>
      <c r="B711" t="inlineStr">
        <is>
          <t>Ulm</t>
        </is>
      </c>
      <c r="C711" t="inlineStr">
        <is>
          <t>Países Bajos</t>
        </is>
      </c>
      <c r="D711" t="inlineStr">
        <is>
          <t>Róterdam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Surfer Suite</t>
        </is>
      </c>
      <c r="H711">
        <f>HYPERLINK("https://booking.roadsurfer.com/es/rally/pick?pickup_date=2026-03-16&amp;return_date=2026-03-23&amp;currency=EUR&amp;startStation=112&amp;endStation=33", "Clic para verlo en la web de RoadSurfer")</f>
        <v/>
      </c>
    </row>
    <row r="712">
      <c r="A712" t="inlineStr">
        <is>
          <t>España</t>
        </is>
      </c>
      <c r="B712" t="inlineStr">
        <is>
          <t>Valencia</t>
        </is>
      </c>
      <c r="C712" t="inlineStr">
        <is>
          <t>Alemania</t>
        </is>
      </c>
      <c r="D712" t="inlineStr">
        <is>
          <t>Maguncia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TRAVEL HOME</t>
        </is>
      </c>
      <c r="H712">
        <f>HYPERLINK("https://booking.roadsurfer.com/es/rally/pick?pickup_date=2026-03-09&amp;return_date=2026-03-16&amp;currency=EUR&amp;startStation=38&amp;endStation=54", "Clic para verlo en la web de RoadSurfer")</f>
        <v/>
      </c>
    </row>
    <row r="713">
      <c r="A713" t="inlineStr">
        <is>
          <t>España</t>
        </is>
      </c>
      <c r="B713" t="inlineStr">
        <is>
          <t>Valencia</t>
        </is>
      </c>
      <c r="C713" t="inlineStr">
        <is>
          <t>Alemania</t>
        </is>
      </c>
      <c r="D713" t="inlineStr">
        <is>
          <t>Colonia-Düsseldorf</t>
        </is>
      </c>
      <c r="E713" t="inlineStr">
        <is>
          <t>2026-03-16</t>
        </is>
      </c>
      <c r="F713" t="inlineStr">
        <is>
          <t>2026-03-23</t>
        </is>
      </c>
      <c r="G713" t="inlineStr">
        <is>
          <t xml:space="preserve"> - Road House</t>
        </is>
      </c>
      <c r="H713">
        <f>HYPERLINK("https://booking.roadsurfer.com/es/rally/pick?pickup_date=2026-03-16&amp;return_date=2026-03-23&amp;currency=EUR&amp;startStation=38&amp;endStation=4", "Clic para verlo en la web de RoadSurfer")</f>
        <v/>
      </c>
    </row>
    <row r="714">
      <c r="A714" t="inlineStr">
        <is>
          <t>España</t>
        </is>
      </c>
      <c r="B714" t="inlineStr">
        <is>
          <t>Valencia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2026-03-09</t>
        </is>
      </c>
      <c r="F714" t="inlineStr">
        <is>
          <t>2026-03-16</t>
        </is>
      </c>
      <c r="G714" t="inlineStr">
        <is>
          <t xml:space="preserve"> - Couple Cottage</t>
        </is>
      </c>
      <c r="H714">
        <f>HYPERLINK("https://booking.roadsurfer.com/es/rally/pick?pickup_date=2026-03-09&amp;return_date=2026-03-16&amp;currency=EUR&amp;startStation=38&amp;endStation=52", "Clic para verlo en la web de RoadSurfer")</f>
        <v/>
      </c>
    </row>
    <row r="715">
      <c r="A715" t="inlineStr">
        <is>
          <t>España</t>
        </is>
      </c>
      <c r="B715" t="inlineStr">
        <is>
          <t>Valencia</t>
        </is>
      </c>
      <c r="C715" t="inlineStr">
        <is>
          <t>Alemania</t>
        </is>
      </c>
      <c r="D715" t="inlineStr">
        <is>
          <t>Karlsruhe</t>
        </is>
      </c>
      <c r="E715" t="inlineStr">
        <is>
          <t>2026-03-02</t>
        </is>
      </c>
      <c r="F715" t="inlineStr">
        <is>
          <t>2026-03-09</t>
        </is>
      </c>
      <c r="G715" t="inlineStr">
        <is>
          <t xml:space="preserve"> - Couple Cottage</t>
        </is>
      </c>
      <c r="H715">
        <f>HYPERLINK("https://booking.roadsurfer.com/es/rally/pick?pickup_date=2026-03-02&amp;return_date=2026-03-09&amp;currency=EUR&amp;startStation=38&amp;endStation=110", "Clic para verlo en la web de RoadSurfer")</f>
        <v/>
      </c>
    </row>
    <row r="716">
      <c r="A716" t="inlineStr">
        <is>
          <t>España</t>
        </is>
      </c>
      <c r="B716" t="inlineStr">
        <is>
          <t>Valencia</t>
        </is>
      </c>
      <c r="C716" t="inlineStr">
        <is>
          <t>Alemania</t>
        </is>
      </c>
      <c r="D716" t="inlineStr">
        <is>
          <t>Bochum</t>
        </is>
      </c>
      <c r="E716" t="inlineStr">
        <is>
          <t>2026-03-18</t>
        </is>
      </c>
      <c r="F716" t="inlineStr">
        <is>
          <t>2026-03-25</t>
        </is>
      </c>
      <c r="G716" t="inlineStr">
        <is>
          <t xml:space="preserve"> - Beach Hostel</t>
        </is>
      </c>
      <c r="H716">
        <f>HYPERLINK("https://booking.roadsurfer.com/es/rally/pick?pickup_date=2026-03-18&amp;return_date=2026-03-25&amp;currency=EUR&amp;startStation=38&amp;endStation=24", "Clic para verlo en la web de RoadSurfer")</f>
        <v/>
      </c>
    </row>
    <row r="717">
      <c r="A717" t="inlineStr">
        <is>
          <t>España</t>
        </is>
      </c>
      <c r="B717" t="inlineStr">
        <is>
          <t>Valencia</t>
        </is>
      </c>
      <c r="C717" t="inlineStr">
        <is>
          <t>España</t>
        </is>
      </c>
      <c r="D717" t="inlineStr">
        <is>
          <t>Bilbao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Family Finca</t>
        </is>
      </c>
      <c r="H717">
        <f>HYPERLINK("https://booking.roadsurfer.com/es/rally/pick?pickup_date=2026-03-05&amp;return_date=2026-03-12&amp;currency=EUR&amp;startStation=38&amp;endStation=40", "Clic para verlo en la web de RoadSurfer")</f>
        <v/>
      </c>
    </row>
    <row r="718">
      <c r="A718" t="inlineStr">
        <is>
          <t>España</t>
        </is>
      </c>
      <c r="B718" t="inlineStr">
        <is>
          <t>Valencia</t>
        </is>
      </c>
      <c r="C718" t="inlineStr">
        <is>
          <t>España</t>
        </is>
      </c>
      <c r="D718" t="inlineStr">
        <is>
          <t>Bilbao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Family Finca</t>
        </is>
      </c>
      <c r="H718">
        <f>HYPERLINK("https://booking.roadsurfer.com/es/rally/pick?pickup_date=2026-03-09&amp;return_date=2026-03-16&amp;currency=EUR&amp;startStation=38&amp;endStation=40", "Clic para verlo en la web de RoadSurfer")</f>
        <v/>
      </c>
    </row>
    <row r="719">
      <c r="A719" t="inlineStr">
        <is>
          <t>España</t>
        </is>
      </c>
      <c r="B719" t="inlineStr">
        <is>
          <t>Valencia</t>
        </is>
      </c>
      <c r="C719" t="inlineStr">
        <is>
          <t>Francia</t>
        </is>
      </c>
      <c r="D719" t="inlineStr">
        <is>
          <t>París Aeropuerto CDG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Family Finca</t>
        </is>
      </c>
      <c r="H719">
        <f>HYPERLINK("https://booking.roadsurfer.com/es/rally/pick?pickup_date=2026-03-09&amp;return_date=2026-03-16&amp;currency=EUR&amp;startStation=38&amp;endStation=48", "Clic para verlo en la web de RoadSurfer")</f>
        <v/>
      </c>
    </row>
    <row r="720">
      <c r="A720" t="inlineStr">
        <is>
          <t>España</t>
        </is>
      </c>
      <c r="B720" t="inlineStr">
        <is>
          <t>Valencia</t>
        </is>
      </c>
      <c r="C720" t="inlineStr">
        <is>
          <t>Alemania</t>
        </is>
      </c>
      <c r="D720" t="inlineStr">
        <is>
          <t>Duisburgo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Surfer Suite</t>
        </is>
      </c>
      <c r="H720">
        <f>HYPERLINK("https://booking.roadsurfer.com/es/rally/pick?pickup_date=2026-03-16&amp;return_date=2026-03-23&amp;currency=EUR&amp;startStation=38&amp;endStation=113", "Clic para verlo en la web de RoadSurfer")</f>
        <v/>
      </c>
    </row>
    <row r="721">
      <c r="A721" t="inlineStr">
        <is>
          <t>España</t>
        </is>
      </c>
      <c r="B721" t="inlineStr">
        <is>
          <t>Valencia</t>
        </is>
      </c>
      <c r="C721" t="inlineStr">
        <is>
          <t>Alemania</t>
        </is>
      </c>
      <c r="D721" t="inlineStr">
        <is>
          <t>Heidelberg</t>
        </is>
      </c>
      <c r="E721" t="inlineStr">
        <is>
          <t>2026-03-16</t>
        </is>
      </c>
      <c r="F721" t="inlineStr">
        <is>
          <t>2026-03-23</t>
        </is>
      </c>
      <c r="G721" t="inlineStr">
        <is>
          <t xml:space="preserve"> - Surfer Suite</t>
        </is>
      </c>
      <c r="H721">
        <f>HYPERLINK("https://booking.roadsurfer.com/es/rally/pick?pickup_date=2026-03-16&amp;return_date=2026-03-23&amp;currency=EUR&amp;startStation=38&amp;endStation=79",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Austria</t>
        </is>
      </c>
      <c r="D722" t="inlineStr">
        <is>
          <t>Viena Sur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Castle</t>
        </is>
      </c>
      <c r="H722">
        <f>HYPERLINK("https://booking.roadsurfer.com/es/rally/pick?pickup_date=2026-03-09&amp;return_date=2026-03-16&amp;currency=EUR&amp;startStation=78&amp;endStation=45",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Heidelberg</t>
        </is>
      </c>
      <c r="E723" t="inlineStr">
        <is>
          <t>2026-03-12</t>
        </is>
      </c>
      <c r="F723" t="inlineStr">
        <is>
          <t>2026-03-19</t>
        </is>
      </c>
      <c r="G723" t="inlineStr">
        <is>
          <t xml:space="preserve"> - Family Finca</t>
        </is>
      </c>
      <c r="H723">
        <f>HYPERLINK("https://booking.roadsurfer.com/es/rally/pick?pickup_date=2026-03-12&amp;return_date=2026-03-19&amp;currency=EUR&amp;startStation=78&amp;endStation=79", "Clic para verlo en la web de RoadSurfer")</f>
        <v/>
      </c>
    </row>
    <row r="724">
      <c r="A724" t="inlineStr">
        <is>
          <t>Italia</t>
        </is>
      </c>
      <c r="B724" t="inlineStr">
        <is>
          <t>Venecia</t>
        </is>
      </c>
      <c r="C724" t="inlineStr">
        <is>
          <t>Alemania</t>
        </is>
      </c>
      <c r="D724" t="inlineStr">
        <is>
          <t>Heidelberg</t>
        </is>
      </c>
      <c r="E724" t="inlineStr">
        <is>
          <t>2026-03-16</t>
        </is>
      </c>
      <c r="F724" t="inlineStr">
        <is>
          <t>2026-03-23</t>
        </is>
      </c>
      <c r="G724" t="inlineStr">
        <is>
          <t xml:space="preserve"> - Surfer Suite - Family Finca</t>
        </is>
      </c>
      <c r="H724">
        <f>HYPERLINK("https://booking.roadsurfer.com/es/rally/pick?pickup_date=2026-03-16&amp;return_date=2026-03-23&amp;currency=EUR&amp;startStation=78&amp;endStation=79", "Clic para verlo en la web de RoadSurfer")</f>
        <v/>
      </c>
    </row>
    <row r="725">
      <c r="A725" t="inlineStr">
        <is>
          <t>Italia</t>
        </is>
      </c>
      <c r="B725" t="inlineStr">
        <is>
          <t>Venecia</t>
        </is>
      </c>
      <c r="C725" t="inlineStr">
        <is>
          <t>Alemania</t>
        </is>
      </c>
      <c r="D725" t="inlineStr">
        <is>
          <t>Constanza (Aach)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Camper Castle</t>
        </is>
      </c>
      <c r="H725">
        <f>HYPERLINK("https://booking.roadsurfer.com/es/rally/pick?pickup_date=2026-03-09&amp;return_date=2026-03-16&amp;currency=EUR&amp;startStation=78&amp;endStation=10", "Clic para verlo en la web de RoadSurfer")</f>
        <v/>
      </c>
    </row>
    <row r="726">
      <c r="A726" t="inlineStr">
        <is>
          <t>Italia</t>
        </is>
      </c>
      <c r="B726" t="inlineStr">
        <is>
          <t>Venecia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2026-03-19</t>
        </is>
      </c>
      <c r="F726" t="inlineStr">
        <is>
          <t>2026-03-26</t>
        </is>
      </c>
      <c r="G726" t="inlineStr">
        <is>
          <t xml:space="preserve"> - Surfer Suite</t>
        </is>
      </c>
      <c r="H726">
        <f>HYPERLINK("https://booking.roadsurfer.com/es/rally/pick?pickup_date=2026-03-19&amp;return_date=2026-03-26&amp;currency=EUR&amp;startStation=78&amp;endStation=1",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Family Finca</t>
        </is>
      </c>
      <c r="H727">
        <f>HYPERLINK("https://booking.roadsurfer.com/es/rally/pick?pickup_date=2026-03-09&amp;return_date=2026-03-16&amp;currency=EUR&amp;startStation=78&amp;endStation=1",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Road House</t>
        </is>
      </c>
      <c r="H728">
        <f>HYPERLINK("https://booking.roadsurfer.com/es/rally/pick?pickup_date=2026-03-09&amp;return_date=2026-03-16&amp;currency=EUR&amp;startStation=78&amp;endStation=22",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2026-03-10</t>
        </is>
      </c>
      <c r="F729" t="inlineStr">
        <is>
          <t>2026-03-17</t>
        </is>
      </c>
      <c r="G729" t="inlineStr">
        <is>
          <t xml:space="preserve"> - Road House</t>
        </is>
      </c>
      <c r="H729">
        <f>HYPERLINK("https://booking.roadsurfer.com/es/rally/pick?pickup_date=2026-03-10&amp;return_date=2026-03-17&amp;currency=EUR&amp;startStation=78&amp;endStation=22",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2026-03-11</t>
        </is>
      </c>
      <c r="F730" t="inlineStr">
        <is>
          <t>2026-03-18</t>
        </is>
      </c>
      <c r="G730" t="inlineStr">
        <is>
          <t xml:space="preserve"> - Surfer Suite</t>
        </is>
      </c>
      <c r="H730">
        <f>HYPERLINK("https://booking.roadsurfer.com/es/rally/pick?pickup_date=2026-03-11&amp;return_date=2026-03-18&amp;currency=EUR&amp;startStation=78&amp;endStation=22",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Surfer Suite</t>
        </is>
      </c>
      <c r="H731">
        <f>HYPERLINK("https://booking.roadsurfer.com/es/rally/pick?pickup_date=2026-03-12&amp;return_date=2026-03-19&amp;currency=EUR&amp;startStation=78&amp;endStation=22",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Duisburgo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Sunrise Suite</t>
        </is>
      </c>
      <c r="H732">
        <f>HYPERLINK("https://booking.roadsurfer.com/es/rally/pick?pickup_date=2026-03-13&amp;return_date=2026-03-20&amp;currency=EUR&amp;startStation=78&amp;endStation=113",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Duisburgo</t>
        </is>
      </c>
      <c r="E733" t="inlineStr">
        <is>
          <t>2026-03-11</t>
        </is>
      </c>
      <c r="F733" t="inlineStr">
        <is>
          <t>2026-03-18</t>
        </is>
      </c>
      <c r="G733" t="inlineStr">
        <is>
          <t xml:space="preserve"> - Sunrise Suite</t>
        </is>
      </c>
      <c r="H733">
        <f>HYPERLINK("https://booking.roadsurfer.com/es/rally/pick?pickup_date=2026-03-11&amp;return_date=2026-03-18&amp;currency=EUR&amp;startStation=78&amp;endStation=113",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Duisburgo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Sunrise Suite</t>
        </is>
      </c>
      <c r="H734">
        <f>HYPERLINK("https://booking.roadsurfer.com/es/rally/pick?pickup_date=2026-03-12&amp;return_date=2026-03-19&amp;currency=EUR&amp;startStation=78&amp;endStation=113",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2026-03-10</t>
        </is>
      </c>
      <c r="F735" t="inlineStr">
        <is>
          <t>2026-03-17</t>
        </is>
      </c>
      <c r="G735" t="inlineStr">
        <is>
          <t xml:space="preserve"> - Family Finca</t>
        </is>
      </c>
      <c r="H735">
        <f>HYPERLINK("https://booking.roadsurfer.com/es/rally/pick?pickup_date=2026-03-10&amp;return_date=2026-03-17&amp;currency=EUR&amp;startStation=78&amp;endStation=11",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Austria</t>
        </is>
      </c>
      <c r="D736" t="inlineStr">
        <is>
          <t>Linz</t>
        </is>
      </c>
      <c r="E736" t="inlineStr">
        <is>
          <t>2026-03-02</t>
        </is>
      </c>
      <c r="F736" t="inlineStr">
        <is>
          <t>2026-03-09</t>
        </is>
      </c>
      <c r="G736" t="inlineStr">
        <is>
          <t xml:space="preserve"> - BEACH HOSTEL</t>
        </is>
      </c>
      <c r="H736">
        <f>HYPERLINK("https://booking.roadsurfer.com/es/rally/pick?pickup_date=2026-03-02&amp;return_date=2026-03-09&amp;currency=EUR&amp;startStation=78&amp;endStation=116",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Italia</t>
        </is>
      </c>
      <c r="D737" t="inlineStr">
        <is>
          <t>Roma Aeropuerto Fiumicino</t>
        </is>
      </c>
      <c r="E737" t="inlineStr">
        <is>
          <t>2026-03-09</t>
        </is>
      </c>
      <c r="F737" t="inlineStr">
        <is>
          <t>2026-03-16</t>
        </is>
      </c>
      <c r="G737" t="inlineStr">
        <is>
          <t xml:space="preserve"> - Road House</t>
        </is>
      </c>
      <c r="H737">
        <f>HYPERLINK("https://booking.roadsurfer.com/es/rally/pick?pickup_date=2026-03-09&amp;return_date=2026-03-16&amp;currency=EUR&amp;startStation=78&amp;endStation=35",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Italia</t>
        </is>
      </c>
      <c r="D738" t="inlineStr">
        <is>
          <t>Roma Aeropuerto Fiumicino</t>
        </is>
      </c>
      <c r="E738" t="inlineStr">
        <is>
          <t>2026-03-16</t>
        </is>
      </c>
      <c r="F738" t="inlineStr">
        <is>
          <t>2026-03-23</t>
        </is>
      </c>
      <c r="G738" t="inlineStr">
        <is>
          <t xml:space="preserve"> - Road House</t>
        </is>
      </c>
      <c r="H738">
        <f>HYPERLINK("https://booking.roadsurfer.com/es/rally/pick?pickup_date=2026-03-16&amp;return_date=2026-03-23&amp;currency=EUR&amp;startStation=78&amp;endStation=35",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Stuttgart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Road House</t>
        </is>
      </c>
      <c r="H739">
        <f>HYPERLINK("https://booking.roadsurfer.com/es/rally/pick?pickup_date=2026-03-16&amp;return_date=2026-03-23&amp;currency=EUR&amp;startStation=78&amp;endStation=5",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Italia</t>
        </is>
      </c>
      <c r="D740" t="inlineStr">
        <is>
          <t>Bérgamo</t>
        </is>
      </c>
      <c r="E740" t="inlineStr">
        <is>
          <t>2026-03-02</t>
        </is>
      </c>
      <c r="F740" t="inlineStr">
        <is>
          <t>2026-03-09</t>
        </is>
      </c>
      <c r="G740" t="inlineStr">
        <is>
          <t xml:space="preserve"> - Beach Hostel</t>
        </is>
      </c>
      <c r="H740">
        <f>HYPERLINK("https://booking.roadsurfer.com/es/rally/pick?pickup_date=2026-03-02&amp;return_date=2026-03-09&amp;currency=EUR&amp;startStation=78&amp;endStation=94",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Italia</t>
        </is>
      </c>
      <c r="D741" t="inlineStr">
        <is>
          <t>Bérgamo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Family Finca</t>
        </is>
      </c>
      <c r="H741">
        <f>HYPERLINK("https://booking.roadsurfer.com/es/rally/pick?pickup_date=2026-03-16&amp;return_date=2026-03-23&amp;currency=EUR&amp;startStation=78&amp;endStation=94",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Maguncia</t>
        </is>
      </c>
      <c r="E742" t="inlineStr">
        <is>
          <t>2026-03-12</t>
        </is>
      </c>
      <c r="F742" t="inlineStr">
        <is>
          <t>2026-03-19</t>
        </is>
      </c>
      <c r="G742" t="inlineStr">
        <is>
          <t xml:space="preserve"> - Beach Hostel</t>
        </is>
      </c>
      <c r="H742">
        <f>HYPERLINK("https://booking.roadsurfer.com/es/rally/pick?pickup_date=2026-03-12&amp;return_date=2026-03-19&amp;currency=EUR&amp;startStation=78&amp;endStation=54",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Italia</t>
        </is>
      </c>
      <c r="D743" t="inlineStr">
        <is>
          <t>Florencia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FAMILY FINCA</t>
        </is>
      </c>
      <c r="H743">
        <f>HYPERLINK("https://booking.roadsurfer.com/es/rally/pick?pickup_date=2026-03-12&amp;return_date=2026-03-19&amp;currency=EUR&amp;startStation=78&amp;endStation=80",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TRAVEL HOME</t>
        </is>
      </c>
      <c r="H744">
        <f>HYPERLINK("https://booking.roadsurfer.com/es/rally/pick?pickup_date=2026-03-16&amp;return_date=2026-03-23&amp;currency=EUR&amp;startStation=78&amp;endStation=8", "Clic para verlo en la web de RoadSurfer")</f>
        <v/>
      </c>
    </row>
    <row r="745">
      <c r="A745" t="inlineStr">
        <is>
          <t>Austria</t>
        </is>
      </c>
      <c r="B745" t="inlineStr">
        <is>
          <t>Viena</t>
        </is>
      </c>
      <c r="C745" t="inlineStr">
        <is>
          <t>Alemania</t>
        </is>
      </c>
      <c r="D745" t="inlineStr">
        <is>
          <t>Berlín-Schönefeld</t>
        </is>
      </c>
      <c r="E745" t="inlineStr">
        <is>
          <t>2026-03-04</t>
        </is>
      </c>
      <c r="F745" t="inlineStr">
        <is>
          <t>2026-03-11</t>
        </is>
      </c>
      <c r="G745" t="inlineStr">
        <is>
          <t xml:space="preserve"> - FAMILY FINCA</t>
        </is>
      </c>
      <c r="H745">
        <f>HYPERLINK("https://booking.roadsurfer.com/es/rally/pick?pickup_date=2026-03-04&amp;return_date=2026-03-11&amp;currency=EUR&amp;startStation=36&amp;endStation=51", "Clic para verlo en la web de RoadSurfer")</f>
        <v/>
      </c>
    </row>
    <row r="746">
      <c r="A746" t="inlineStr">
        <is>
          <t>Austria</t>
        </is>
      </c>
      <c r="B746" t="inlineStr">
        <is>
          <t>Viena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2026-03-14</t>
        </is>
      </c>
      <c r="F746" t="inlineStr">
        <is>
          <t>2026-03-21</t>
        </is>
      </c>
      <c r="G746" t="inlineStr">
        <is>
          <t xml:space="preserve"> - Family Finca</t>
        </is>
      </c>
      <c r="H746">
        <f>HYPERLINK("https://booking.roadsurfer.com/es/rally/pick?pickup_date=2026-03-14&amp;return_date=2026-03-21&amp;currency=EUR&amp;startStation=36&amp;endStation=56", "Clic para verlo en la web de RoadSurfer")</f>
        <v/>
      </c>
    </row>
    <row r="747">
      <c r="A747" t="inlineStr">
        <is>
          <t>Austria</t>
        </is>
      </c>
      <c r="B747" t="inlineStr">
        <is>
          <t>Viena</t>
        </is>
      </c>
      <c r="C747" t="inlineStr">
        <is>
          <t>Alemania</t>
        </is>
      </c>
      <c r="D747" t="inlineStr">
        <is>
          <t>Leipzig</t>
        </is>
      </c>
      <c r="E747" t="inlineStr">
        <is>
          <t>2026-03-18</t>
        </is>
      </c>
      <c r="F747" t="inlineStr">
        <is>
          <t>2026-03-25</t>
        </is>
      </c>
      <c r="G747" t="inlineStr">
        <is>
          <t xml:space="preserve"> - Cozy Cottage</t>
        </is>
      </c>
      <c r="H747">
        <f>HYPERLINK("https://booking.roadsurfer.com/es/rally/pick?pickup_date=2026-03-18&amp;return_date=2026-03-25&amp;currency=EUR&amp;startStation=36&amp;endStation=8", "Clic para verlo en la web de RoadSurfer")</f>
        <v/>
      </c>
    </row>
    <row r="748">
      <c r="A748" t="inlineStr">
        <is>
          <t>Austria</t>
        </is>
      </c>
      <c r="B748" t="inlineStr">
        <is>
          <t>Viena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Family Finca</t>
        </is>
      </c>
      <c r="H748">
        <f>HYPERLINK("https://booking.roadsurfer.com/es/rally/pick?pickup_date=2026-03-14&amp;return_date=2026-03-21&amp;currency=EUR&amp;startStation=36&amp;endStation=90", "Clic para verlo en la web de RoadSurfer")</f>
        <v/>
      </c>
    </row>
    <row r="749">
      <c r="A749" t="inlineStr">
        <is>
          <t>Austria</t>
        </is>
      </c>
      <c r="B749" t="inlineStr">
        <is>
          <t>Viena</t>
        </is>
      </c>
      <c r="C749" t="inlineStr">
        <is>
          <t>Alemania</t>
        </is>
      </c>
      <c r="D749" t="inlineStr">
        <is>
          <t>Múnich</t>
        </is>
      </c>
      <c r="E749" t="inlineStr">
        <is>
          <t>2026-03-19</t>
        </is>
      </c>
      <c r="F749" t="inlineStr">
        <is>
          <t>2026-03-26</t>
        </is>
      </c>
      <c r="G749" t="inlineStr">
        <is>
          <t xml:space="preserve"> - Surfer Suite</t>
        </is>
      </c>
      <c r="H749">
        <f>HYPERLINK("https://booking.roadsurfer.com/es/rally/pick?pickup_date=2026-03-19&amp;return_date=2026-03-26&amp;currency=EUR&amp;startStation=36&amp;endStation=1", "Clic para verlo en la web de RoadSurfer")</f>
        <v/>
      </c>
    </row>
    <row r="750">
      <c r="A750" t="inlineStr">
        <is>
          <t>Austria</t>
        </is>
      </c>
      <c r="B750" t="inlineStr">
        <is>
          <t>Viena</t>
        </is>
      </c>
      <c r="C750" t="inlineStr">
        <is>
          <t>Alemania</t>
        </is>
      </c>
      <c r="D750" t="inlineStr">
        <is>
          <t>Núremberg</t>
        </is>
      </c>
      <c r="E750" t="inlineStr">
        <is>
          <t>2026-03-11</t>
        </is>
      </c>
      <c r="F750" t="inlineStr">
        <is>
          <t>2026-03-18</t>
        </is>
      </c>
      <c r="G750" t="inlineStr">
        <is>
          <t xml:space="preserve"> - Road House</t>
        </is>
      </c>
      <c r="H750">
        <f>HYPERLINK("https://booking.roadsurfer.com/es/rally/pick?pickup_date=2026-03-11&amp;return_date=2026-03-18&amp;currency=EUR&amp;startStation=36&amp;endStation=11", "Clic para verlo en la web de RoadSurfer")</f>
        <v/>
      </c>
    </row>
    <row r="751">
      <c r="A751" t="inlineStr">
        <is>
          <t>Austria</t>
        </is>
      </c>
      <c r="B751" t="inlineStr">
        <is>
          <t>Viena Sur</t>
        </is>
      </c>
      <c r="C751" t="inlineStr">
        <is>
          <t>Alemania</t>
        </is>
      </c>
      <c r="D751" t="inlineStr">
        <is>
          <t>Leipzig</t>
        </is>
      </c>
      <c r="E751" t="inlineStr">
        <is>
          <t>2026-03-02</t>
        </is>
      </c>
      <c r="F751" t="inlineStr">
        <is>
          <t>2026-03-09</t>
        </is>
      </c>
      <c r="G751" t="inlineStr">
        <is>
          <t xml:space="preserve"> - Travel Home</t>
        </is>
      </c>
      <c r="H751">
        <f>HYPERLINK("https://booking.roadsurfer.com/es/rally/pick?pickup_date=2026-03-02&amp;return_date=2026-03-09&amp;currency=EUR&amp;startStation=45&amp;endStation=8", "Clic para verlo en la web de RoadSurfer")</f>
        <v/>
      </c>
    </row>
    <row r="752">
      <c r="A752" t="inlineStr">
        <is>
          <t>Austria</t>
        </is>
      </c>
      <c r="B752" t="inlineStr">
        <is>
          <t>Viena Sur</t>
        </is>
      </c>
      <c r="C752" t="inlineStr">
        <is>
          <t>Alemania</t>
        </is>
      </c>
      <c r="D752" t="inlineStr">
        <is>
          <t>Leipzig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Family Finca</t>
        </is>
      </c>
      <c r="H752">
        <f>HYPERLINK("https://booking.roadsurfer.com/es/rally/pick?pickup_date=2026-03-16&amp;return_date=2026-03-23&amp;currency=EUR&amp;startStation=45&amp;endStation=8", "Clic para verlo en la web de RoadSurfer")</f>
        <v/>
      </c>
    </row>
    <row r="753">
      <c r="A753" t="inlineStr">
        <is>
          <t>Austria</t>
        </is>
      </c>
      <c r="B753" t="inlineStr">
        <is>
          <t>Viena Sur</t>
        </is>
      </c>
      <c r="C753" t="inlineStr">
        <is>
          <t>Alemania</t>
        </is>
      </c>
      <c r="D753" t="inlineStr">
        <is>
          <t>Leipzig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Family Finca</t>
        </is>
      </c>
      <c r="H753">
        <f>HYPERLINK("https://booking.roadsurfer.com/es/rally/pick?pickup_date=2026-03-17&amp;return_date=2026-03-24&amp;currency=EUR&amp;startStation=45&amp;endStation=8", "Clic para verlo en la web de RoadSurfer")</f>
        <v/>
      </c>
    </row>
    <row r="754">
      <c r="A754" t="inlineStr">
        <is>
          <t>Austria</t>
        </is>
      </c>
      <c r="B754" t="inlineStr">
        <is>
          <t>Viena Sur</t>
        </is>
      </c>
      <c r="C754" t="inlineStr">
        <is>
          <t>Alemania</t>
        </is>
      </c>
      <c r="D754" t="inlineStr">
        <is>
          <t>Constanza (Aach)</t>
        </is>
      </c>
      <c r="E754" t="inlineStr">
        <is>
          <t>2026-03-02</t>
        </is>
      </c>
      <c r="F754" t="inlineStr">
        <is>
          <t>2026-03-09</t>
        </is>
      </c>
      <c r="G754" t="inlineStr">
        <is>
          <t xml:space="preserve"> - Travel Home</t>
        </is>
      </c>
      <c r="H754">
        <f>HYPERLINK("https://booking.roadsurfer.com/es/rally/pick?pickup_date=2026-03-02&amp;return_date=2026-03-09&amp;currency=EUR&amp;startStation=45&amp;endStation=10", "Clic para verlo en la web de RoadSurfer")</f>
        <v/>
      </c>
    </row>
    <row r="755">
      <c r="A755" t="inlineStr">
        <is>
          <t>Austria</t>
        </is>
      </c>
      <c r="B755" t="inlineStr">
        <is>
          <t>Viena Sur</t>
        </is>
      </c>
      <c r="C755" t="inlineStr">
        <is>
          <t>Alemania</t>
        </is>
      </c>
      <c r="D755" t="inlineStr">
        <is>
          <t>Erfurt</t>
        </is>
      </c>
      <c r="E755" t="inlineStr">
        <is>
          <t>2026-03-11</t>
        </is>
      </c>
      <c r="F755" t="inlineStr">
        <is>
          <t>2026-03-18</t>
        </is>
      </c>
      <c r="G755" t="inlineStr">
        <is>
          <t xml:space="preserve"> - SURFER SUITE</t>
        </is>
      </c>
      <c r="H755">
        <f>HYPERLINK("https://booking.roadsurfer.com/es/rally/pick?pickup_date=2026-03-11&amp;return_date=2026-03-18&amp;currency=EUR&amp;startStation=45&amp;endStation=90", "Clic para verlo en la web de RoadSurfer")</f>
        <v/>
      </c>
    </row>
    <row r="756">
      <c r="A756" t="inlineStr">
        <is>
          <t>Austria</t>
        </is>
      </c>
      <c r="B756" t="inlineStr">
        <is>
          <t>Viena Sur</t>
        </is>
      </c>
      <c r="C756" t="inlineStr">
        <is>
          <t>Alemania</t>
        </is>
      </c>
      <c r="D756" t="inlineStr">
        <is>
          <t>Erfurt</t>
        </is>
      </c>
      <c r="E756" t="inlineStr">
        <is>
          <t>2026-03-16</t>
        </is>
      </c>
      <c r="F756" t="inlineStr">
        <is>
          <t>2026-03-23</t>
        </is>
      </c>
      <c r="G756" t="inlineStr">
        <is>
          <t xml:space="preserve"> - Family Finca</t>
        </is>
      </c>
      <c r="H756">
        <f>HYPERLINK("https://booking.roadsurfer.com/es/rally/pick?pickup_date=2026-03-16&amp;return_date=2026-03-23&amp;currency=EUR&amp;startStation=45&amp;endStation=90", "Clic para verlo en la web de RoadSurfer")</f>
        <v/>
      </c>
    </row>
    <row r="757">
      <c r="A757" t="inlineStr">
        <is>
          <t>Austria</t>
        </is>
      </c>
      <c r="B757" t="inlineStr">
        <is>
          <t>Viena Sur</t>
        </is>
      </c>
      <c r="C757" t="inlineStr">
        <is>
          <t>Alemania</t>
        </is>
      </c>
      <c r="D757" t="inlineStr">
        <is>
          <t>Erfurt</t>
        </is>
      </c>
      <c r="E757" t="inlineStr">
        <is>
          <t>2026-03-10</t>
        </is>
      </c>
      <c r="F757" t="inlineStr">
        <is>
          <t>2026-03-17</t>
        </is>
      </c>
      <c r="G757" t="inlineStr">
        <is>
          <t xml:space="preserve"> - Surfer Suite</t>
        </is>
      </c>
      <c r="H757">
        <f>HYPERLINK("https://booking.roadsurfer.com/es/rally/pick?pickup_date=2026-03-10&amp;return_date=2026-03-17&amp;currency=EUR&amp;startStation=45&amp;endStation=90", "Clic para verlo en la web de RoadSurfer")</f>
        <v/>
      </c>
    </row>
    <row r="758">
      <c r="A758" t="inlineStr">
        <is>
          <t>Austria</t>
        </is>
      </c>
      <c r="B758" t="inlineStr">
        <is>
          <t>Viena Sur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Family Finca</t>
        </is>
      </c>
      <c r="H758">
        <f>HYPERLINK("https://booking.roadsurfer.com/es/rally/pick?pickup_date=2026-03-19&amp;return_date=2026-03-26&amp;currency=EUR&amp;startStation=45&amp;endStation=56", "Clic para verlo en la web de RoadSurfer")</f>
        <v/>
      </c>
    </row>
    <row r="759">
      <c r="A759" t="inlineStr">
        <is>
          <t>Austria</t>
        </is>
      </c>
      <c r="B759" t="inlineStr">
        <is>
          <t>Viena Sur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Couple Cottage</t>
        </is>
      </c>
      <c r="H759">
        <f>HYPERLINK("https://booking.roadsurfer.com/es/rally/pick?pickup_date=2026-03-09&amp;return_date=2026-03-16&amp;currency=EUR&amp;startStation=45&amp;endStation=11", "Clic para verlo en la web de RoadSurfer")</f>
        <v/>
      </c>
    </row>
    <row r="760">
      <c r="A760" t="inlineStr">
        <is>
          <t>Alemania</t>
        </is>
      </c>
      <c r="B760" t="inlineStr">
        <is>
          <t>Wurzburgo</t>
        </is>
      </c>
      <c r="C760" t="inlineStr">
        <is>
          <t>España</t>
        </is>
      </c>
      <c r="D760" t="inlineStr">
        <is>
          <t>Málaga</t>
        </is>
      </c>
      <c r="E760" t="inlineStr">
        <is>
          <t>2026-03-13</t>
        </is>
      </c>
      <c r="F760" t="inlineStr">
        <is>
          <t>2026-03-23</t>
        </is>
      </c>
      <c r="G760" t="inlineStr">
        <is>
          <t xml:space="preserve"> - Surfer Suite</t>
        </is>
      </c>
      <c r="H760">
        <f>HYPERLINK("https://booking.roadsurfer.com/es/rally/pick?pickup_date=2026-03-13&amp;return_date=2026-03-23&amp;currency=EUR&amp;startStation=115&amp;endStation=21", "Clic para verlo en la web de RoadSurfer")</f>
        <v/>
      </c>
    </row>
    <row r="761">
      <c r="A761" t="inlineStr">
        <is>
          <t>Alemania</t>
        </is>
      </c>
      <c r="B761" t="inlineStr">
        <is>
          <t>Wurzburgo</t>
        </is>
      </c>
      <c r="C761" t="inlineStr">
        <is>
          <t>España</t>
        </is>
      </c>
      <c r="D761" t="inlineStr">
        <is>
          <t>Málaga</t>
        </is>
      </c>
      <c r="E761" t="inlineStr">
        <is>
          <t>2026-03-09</t>
        </is>
      </c>
      <c r="F761" t="inlineStr">
        <is>
          <t>2026-03-19</t>
        </is>
      </c>
      <c r="G761" t="inlineStr">
        <is>
          <t xml:space="preserve"> - Beach Hostel</t>
        </is>
      </c>
      <c r="H761">
        <f>HYPERLINK("https://booking.roadsurfer.com/es/rally/pick?pickup_date=2026-03-09&amp;return_date=2026-03-19&amp;currency=EUR&amp;startStation=115&amp;endStation=21", "Clic para verlo en la web de RoadSurfer")</f>
        <v/>
      </c>
    </row>
    <row r="762">
      <c r="A762" t="inlineStr">
        <is>
          <t>Alemania</t>
        </is>
      </c>
      <c r="B762" t="inlineStr">
        <is>
          <t>Wurzburgo</t>
        </is>
      </c>
      <c r="C762" t="inlineStr">
        <is>
          <t>España</t>
        </is>
      </c>
      <c r="D762" t="inlineStr">
        <is>
          <t>Málaga</t>
        </is>
      </c>
      <c r="E762" t="inlineStr">
        <is>
          <t>2026-03-14</t>
        </is>
      </c>
      <c r="F762" t="inlineStr">
        <is>
          <t>2026-03-21</t>
        </is>
      </c>
      <c r="G762" t="inlineStr">
        <is>
          <t xml:space="preserve"> - Surfer Suite - Beach Hostel</t>
        </is>
      </c>
      <c r="H762">
        <f>HYPERLINK("https://booking.roadsurfer.com/es/rally/pick?pickup_date=2026-03-14&amp;return_date=2026-03-21&amp;currency=EUR&amp;startStation=115&amp;endStation=21", "Clic para verlo en la web de RoadSurfer")</f>
        <v/>
      </c>
    </row>
    <row r="763">
      <c r="A763" t="inlineStr">
        <is>
          <t>Alemania</t>
        </is>
      </c>
      <c r="B763" t="inlineStr">
        <is>
          <t>Wurzburgo</t>
        </is>
      </c>
      <c r="C763" t="inlineStr">
        <is>
          <t>Países Bajos</t>
        </is>
      </c>
      <c r="D763" t="inlineStr">
        <is>
          <t>Ámsterdam</t>
        </is>
      </c>
      <c r="E763" t="inlineStr">
        <is>
          <t>2026-03-02</t>
        </is>
      </c>
      <c r="F763" t="inlineStr">
        <is>
          <t>2026-03-09</t>
        </is>
      </c>
      <c r="G763" t="inlineStr">
        <is>
          <t xml:space="preserve"> - Road House</t>
        </is>
      </c>
      <c r="H763">
        <f>HYPERLINK("https://booking.roadsurfer.com/es/rally/pick?pickup_date=2026-03-02&amp;return_date=2026-03-09&amp;currency=EUR&amp;startStation=115&amp;endStation=32", "Clic para verlo en la web de RoadSurfer")</f>
        <v/>
      </c>
    </row>
    <row r="764">
      <c r="A764" t="inlineStr">
        <is>
          <t>Alemania</t>
        </is>
      </c>
      <c r="B764" t="inlineStr">
        <is>
          <t>Wurzburgo</t>
        </is>
      </c>
      <c r="C764" t="inlineStr">
        <is>
          <t>Austria</t>
        </is>
      </c>
      <c r="D764" t="inlineStr">
        <is>
          <t>Viena</t>
        </is>
      </c>
      <c r="E764" t="inlineStr">
        <is>
          <t>2026-03-14</t>
        </is>
      </c>
      <c r="F764" t="inlineStr">
        <is>
          <t>2026-03-21</t>
        </is>
      </c>
      <c r="G764" t="inlineStr">
        <is>
          <t xml:space="preserve"> - Beach Hostel</t>
        </is>
      </c>
      <c r="H764">
        <f>HYPERLINK("https://booking.roadsurfer.com/es/rally/pick?pickup_date=2026-03-14&amp;return_date=2026-03-21&amp;currency=EUR&amp;startStation=115&amp;endStation=36", "Clic para verlo en la web de RoadSurfer")</f>
        <v/>
      </c>
    </row>
    <row r="765">
      <c r="A765" t="inlineStr">
        <is>
          <t>Alemania</t>
        </is>
      </c>
      <c r="B765" t="inlineStr">
        <is>
          <t>Wurzburgo</t>
        </is>
      </c>
      <c r="C765" t="inlineStr">
        <is>
          <t>Austria</t>
        </is>
      </c>
      <c r="D765" t="inlineStr">
        <is>
          <t>Viena</t>
        </is>
      </c>
      <c r="E765" t="inlineStr">
        <is>
          <t>2026-03-12</t>
        </is>
      </c>
      <c r="F765" t="inlineStr">
        <is>
          <t>2026-03-19</t>
        </is>
      </c>
      <c r="G765" t="inlineStr">
        <is>
          <t xml:space="preserve"> - Surfer Suite</t>
        </is>
      </c>
      <c r="H765">
        <f>HYPERLINK("https://booking.roadsurfer.com/es/rally/pick?pickup_date=2026-03-12&amp;return_date=2026-03-19&amp;currency=EUR&amp;startStation=115&amp;endStation=36", "Clic para verlo en la web de RoadSurfer")</f>
        <v/>
      </c>
    </row>
    <row r="766">
      <c r="A766" t="inlineStr">
        <is>
          <t>Alemania</t>
        </is>
      </c>
      <c r="B766" t="inlineStr">
        <is>
          <t>Wurzburgo</t>
        </is>
      </c>
      <c r="C766" t="inlineStr">
        <is>
          <t>Austria</t>
        </is>
      </c>
      <c r="D766" t="inlineStr">
        <is>
          <t>Viena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Surfer Suite</t>
        </is>
      </c>
      <c r="H766">
        <f>HYPERLINK("https://booking.roadsurfer.com/es/rally/pick?pickup_date=2026-03-16&amp;return_date=2026-03-23&amp;currency=EUR&amp;startStation=115&amp;endStation=36", "Clic para verlo en la web de RoadSurfer")</f>
        <v/>
      </c>
    </row>
    <row r="767">
      <c r="A767" t="inlineStr">
        <is>
          <t>Alemania</t>
        </is>
      </c>
      <c r="B767" t="inlineStr">
        <is>
          <t>Wurzburgo</t>
        </is>
      </c>
      <c r="C767" t="inlineStr">
        <is>
          <t>Alemania</t>
        </is>
      </c>
      <c r="D767" t="inlineStr">
        <is>
          <t>Hamburgo Aeropuerto</t>
        </is>
      </c>
      <c r="E767" t="inlineStr">
        <is>
          <t>2026-03-13</t>
        </is>
      </c>
      <c r="F767" t="inlineStr">
        <is>
          <t>2026-03-20</t>
        </is>
      </c>
      <c r="G767" t="inlineStr">
        <is>
          <t xml:space="preserve"> - Family Finca</t>
        </is>
      </c>
      <c r="H767">
        <f>HYPERLINK("https://booking.roadsurfer.com/es/rally/pick?pickup_date=2026-03-13&amp;return_date=2026-03-20&amp;currency=EUR&amp;startStation=115&amp;endStation=65", "Clic para verlo en la web de RoadSurfer")</f>
        <v/>
      </c>
    </row>
    <row r="768">
      <c r="A768" t="inlineStr">
        <is>
          <t>Alemania</t>
        </is>
      </c>
      <c r="B768" t="inlineStr">
        <is>
          <t>Wurzburgo</t>
        </is>
      </c>
      <c r="C768" t="inlineStr">
        <is>
          <t>España</t>
        </is>
      </c>
      <c r="D768" t="inlineStr">
        <is>
          <t>Barcelona</t>
        </is>
      </c>
      <c r="E768" t="inlineStr">
        <is>
          <t>2026-03-16</t>
        </is>
      </c>
      <c r="F768" t="inlineStr">
        <is>
          <t>2026-03-26</t>
        </is>
      </c>
      <c r="G768" t="inlineStr">
        <is>
          <t xml:space="preserve"> - Beach Hostel</t>
        </is>
      </c>
      <c r="H768">
        <f>HYPERLINK("https://booking.roadsurfer.com/es/rally/pick?pickup_date=2026-03-16&amp;return_date=2026-03-26&amp;currency=EUR&amp;startStation=115&amp;endStation=17", "Clic para verlo en la web de RoadSurfer")</f>
        <v/>
      </c>
    </row>
    <row r="769">
      <c r="A769" t="inlineStr">
        <is>
          <t>Alemania</t>
        </is>
      </c>
      <c r="B769" t="inlineStr">
        <is>
          <t>Wurzburgo</t>
        </is>
      </c>
      <c r="C769" t="inlineStr">
        <is>
          <t>España</t>
        </is>
      </c>
      <c r="D769" t="inlineStr">
        <is>
          <t>Sevilla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Beach Hostel</t>
        </is>
      </c>
      <c r="H769">
        <f>HYPERLINK("https://booking.roadsurfer.com/es/rally/pick?pickup_date=2026-03-16&amp;return_date=2026-03-23&amp;currency=EUR&amp;startStation=115&amp;endStation=39",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2026-02-04T20:50:22Z</dcterms:created>
  <dcterms:modified xsi:type="dcterms:W3CDTF">2026-02-04T20:50:22Z</dcterms:modified>
</cp:coreProperties>
</file>