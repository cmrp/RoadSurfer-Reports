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HYPERLINK("https://booking.roadsurfer.com/es/rally/pick?pickup_date=2026-06-23&amp;return_date=2026-06-30&amp;currency=EUR&amp;startStation=55&amp;endStation=48", "Clic para verlo en la web de RoadSurfer")</f>
        <v/>
      </c>
    </row>
    <row r="9">
      <c r="A9" t="inlineStr">
        <is>
          <t>Reino Unido</t>
        </is>
      </c>
      <c r="B9" t="inlineStr">
        <is>
          <t>Bristol</t>
        </is>
      </c>
      <c r="C9" t="inlineStr">
        <is>
          <t>Reino Unido</t>
        </is>
      </c>
      <c r="D9" t="inlineStr">
        <is>
          <t>Edimburgo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Cozy Cottage</t>
        </is>
      </c>
      <c r="H9">
        <f>HYPERLINK("https://booking.roadsurfer.com/es/rally/pick?pickup_date=2026-06-22&amp;return_date=2026-06-29&amp;currency=EUR&amp;startStation=98&amp;endStation=64",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2026-06-24</t>
        </is>
      </c>
      <c r="F10" t="inlineStr">
        <is>
          <t>2026-07-01</t>
        </is>
      </c>
      <c r="G10" t="inlineStr">
        <is>
          <t xml:space="preserve"> - Sunrise Suite</t>
        </is>
      </c>
      <c r="H10">
        <f>HYPERLINK("https://booking.roadsurfer.com/es/rally/pick?pickup_date=2026-06-24&amp;return_date=2026-07-01&amp;currency=EUR&amp;startStation=52&amp;endStation=40",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2026-06-27</t>
        </is>
      </c>
      <c r="F11" t="inlineStr">
        <is>
          <t>2026-07-04</t>
        </is>
      </c>
      <c r="G11" t="inlineStr">
        <is>
          <t xml:space="preserve"> - Beach Hostel</t>
        </is>
      </c>
      <c r="H11">
        <f>HYPERLINK("https://booking.roadsurfer.com/es/rally/pick?pickup_date=2026-06-27&amp;return_date=2026-07-04&amp;currency=EUR&amp;startStation=56&amp;endStation=59",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Camper Castle</t>
        </is>
      </c>
      <c r="H12">
        <f>HYPERLINK("https://booking.roadsurfer.com/es/rally/pick?pickup_date=2026-06-23&amp;return_date=2026-06-30&amp;currency=EUR&amp;startStation=56&amp;endStation=59",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Camper Castle</t>
        </is>
      </c>
      <c r="H13">
        <f>HYPERLINK("https://booking.roadsurfer.com/es/rally/pick?pickup_date=2026-06-25&amp;return_date=2026-07-02&amp;currency=EUR&amp;startStation=56&amp;endStation=59",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2026-07-27</t>
        </is>
      </c>
      <c r="F14" t="inlineStr">
        <is>
          <t>2026-08-03</t>
        </is>
      </c>
      <c r="G14" t="inlineStr">
        <is>
          <t xml:space="preserve"> - Travel Home</t>
        </is>
      </c>
      <c r="H14">
        <f>HYPERLINK("https://booking.roadsurfer.com/es/rally/pick?pickup_date=2026-07-27&amp;return_date=2026-08-03&amp;currency=EUR&amp;startStation=90&amp;endStation=1",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Camper Cabin</t>
        </is>
      </c>
      <c r="H15">
        <f>HYPERLINK("https://booking.roadsurfer.com/es/rally/pick?pickup_date=2026-06-29&amp;return_date=2026-07-06&amp;currency=EUR&amp;startStation=90&amp;endStation=15", "Clic para verlo en la web de RoadSurfer")</f>
        <v/>
      </c>
    </row>
    <row r="16">
      <c r="A16" t="inlineStr">
        <is>
          <t>Alemania</t>
        </is>
      </c>
      <c r="B16" t="inlineStr">
        <is>
          <t>Heidelberg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2026-06-24</t>
        </is>
      </c>
      <c r="F16" t="inlineStr">
        <is>
          <t>2026-07-01</t>
        </is>
      </c>
      <c r="G16" t="inlineStr">
        <is>
          <t xml:space="preserve"> - Surfer Suite</t>
        </is>
      </c>
      <c r="H16">
        <f>HYPERLINK("https://booking.roadsurfer.com/es/rally/pick?pickup_date=2026-06-24&amp;return_date=2026-07-01&amp;currency=EUR&amp;startStation=79&amp;endStation=20", "Clic para verlo en la web de RoadSurfer")</f>
        <v/>
      </c>
    </row>
    <row r="17">
      <c r="A17" t="inlineStr">
        <is>
          <t>Alemania</t>
        </is>
      </c>
      <c r="B17" t="inlineStr">
        <is>
          <t>Heidelberg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No hay coche</t>
        </is>
      </c>
      <c r="H17">
        <f>HYPERLINK("https://booking.roadsurfer.com/es/rally/pick?pickup_date=2026-06-22&amp;return_date=2026-06-29&amp;currency=EUR&amp;startStation=79&amp;endStation=130",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Francia</t>
        </is>
      </c>
      <c r="D18" t="inlineStr">
        <is>
          <t>Toulouse</t>
        </is>
      </c>
      <c r="E18" t="inlineStr">
        <is>
          <t>2026-06-24</t>
        </is>
      </c>
      <c r="F18" t="inlineStr">
        <is>
          <t>2026-07-01</t>
        </is>
      </c>
      <c r="G18" t="inlineStr">
        <is>
          <t xml:space="preserve"> - No hay coche</t>
        </is>
      </c>
      <c r="H18">
        <f>HYPERLINK("https://booking.roadsurfer.com/es/rally/pick?pickup_date=2026-06-24&amp;return_date=2026-07-01&amp;currency=EUR&amp;startStation=92&amp;endStation=30",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2026-06-26</t>
        </is>
      </c>
      <c r="F19" t="inlineStr">
        <is>
          <t>2026-07-03</t>
        </is>
      </c>
      <c r="G19" t="inlineStr">
        <is>
          <t xml:space="preserve"> - Beach Hostel</t>
        </is>
      </c>
      <c r="H19">
        <f>HYPERLINK("https://booking.roadsurfer.com/es/rally/pick?pickup_date=2026-06-26&amp;return_date=2026-07-03&amp;currency=EUR&amp;startStation=92&amp;endStation=13", "Clic para verlo en la web de RoadSurfer")</f>
        <v/>
      </c>
    </row>
    <row r="20">
      <c r="A20" t="inlineStr">
        <is>
          <t>Alemania</t>
        </is>
      </c>
      <c r="B20" t="inlineStr">
        <is>
          <t>Kiel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Sunrise Suite</t>
        </is>
      </c>
      <c r="H20">
        <f>HYPERLINK("https://booking.roadsurfer.com/es/rally/pick?pickup_date=2026-06-24&amp;return_date=2026-07-01&amp;currency=EUR&amp;startStation=111&amp;endStation=29", "Clic para verlo en la web de RoadSurfer")</f>
        <v/>
      </c>
    </row>
    <row r="21">
      <c r="A21" t="inlineStr">
        <is>
          <t>EE.UU.</t>
        </is>
      </c>
      <c r="B21" t="inlineStr">
        <is>
          <t>Las Vegas</t>
        </is>
      </c>
      <c r="C21" t="inlineStr">
        <is>
          <t>EE.UU.</t>
        </is>
      </c>
      <c r="D21" t="inlineStr">
        <is>
          <t>Dallas</t>
        </is>
      </c>
      <c r="E21" t="inlineStr">
        <is>
          <t>2026-07-06</t>
        </is>
      </c>
      <c r="F21" t="inlineStr">
        <is>
          <t>2026-07-13</t>
        </is>
      </c>
      <c r="G21" t="inlineStr">
        <is>
          <t xml:space="preserve"> - Couple Condo</t>
        </is>
      </c>
      <c r="H21">
        <f>HYPERLINK("https://booking.roadsurfer.com/es/rally/pick?pickup_date=2026-07-06&amp;return_date=2026-07-13&amp;currency=EUR&amp;startStation=76&amp;endStation=125",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Travel Home</t>
        </is>
      </c>
      <c r="H22">
        <f>HYPERLINK("https://booking.roadsurfer.com/es/rally/pick?pickup_date=2026-06-20&amp;return_date=2026-06-27&amp;currency=EUR&amp;startStation=8&amp;endStation=15",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2026-06-25</t>
        </is>
      </c>
      <c r="F23" t="inlineStr">
        <is>
          <t>2026-07-02</t>
        </is>
      </c>
      <c r="G23" t="inlineStr">
        <is>
          <t xml:space="preserve"> - Surfer Suite</t>
        </is>
      </c>
      <c r="H23">
        <f>HYPERLINK("https://booking.roadsurfer.com/es/rally/pick?pickup_date=2026-06-25&amp;return_date=2026-07-02&amp;currency=EUR&amp;startStation=8&amp;endStation=15",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2026-06-25</t>
        </is>
      </c>
      <c r="F24" t="inlineStr">
        <is>
          <t>2026-07-02</t>
        </is>
      </c>
      <c r="G24" t="inlineStr">
        <is>
          <t xml:space="preserve"> - No hay coche</t>
        </is>
      </c>
      <c r="H24">
        <f>HYPERLINK("https://booking.roadsurfer.com/es/rally/pick?pickup_date=2026-06-25&amp;return_date=2026-07-02&amp;currency=EUR&amp;startStation=8&amp;endStation=13",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Road House</t>
        </is>
      </c>
      <c r="H25">
        <f>HYPERLINK("https://booking.roadsurfer.com/es/rally/pick?pickup_date=2026-06-24&amp;return_date=2026-07-01&amp;currency=EUR&amp;startStation=8&amp;endStation=13",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2026-06-26</t>
        </is>
      </c>
      <c r="F26" t="inlineStr">
        <is>
          <t>2026-07-03</t>
        </is>
      </c>
      <c r="G26" t="inlineStr">
        <is>
          <t xml:space="preserve"> - Road House</t>
        </is>
      </c>
      <c r="H26">
        <f>HYPERLINK("https://booking.roadsurfer.com/es/rally/pick?pickup_date=2026-06-26&amp;return_date=2026-07-03&amp;currency=EUR&amp;startStation=8&amp;endStation=60", "Clic para verlo en la web de RoadSurfer")</f>
        <v/>
      </c>
    </row>
    <row r="27">
      <c r="A27" t="inlineStr">
        <is>
          <t>Alemania</t>
        </is>
      </c>
      <c r="B27" t="inlineStr">
        <is>
          <t>Lindau-Wangen</t>
        </is>
      </c>
      <c r="C27" t="inlineStr">
        <is>
          <t>Francia</t>
        </is>
      </c>
      <c r="D27" t="inlineStr">
        <is>
          <t>Toulouse</t>
        </is>
      </c>
      <c r="E27" t="inlineStr">
        <is>
          <t>2026-06-25</t>
        </is>
      </c>
      <c r="F27" t="inlineStr">
        <is>
          <t>2026-07-02</t>
        </is>
      </c>
      <c r="G27" t="inlineStr">
        <is>
          <t xml:space="preserve"> - Travel Home</t>
        </is>
      </c>
      <c r="H27">
        <f>HYPERLINK("https://booking.roadsurfer.com/es/rally/pick?pickup_date=2026-06-25&amp;return_date=2026-07-02&amp;currency=EUR&amp;startStation=117&amp;endStation=30", "Clic para verlo en la web de RoadSurfer")</f>
        <v/>
      </c>
    </row>
    <row r="28">
      <c r="A28" t="inlineStr">
        <is>
          <t>Alemania</t>
        </is>
      </c>
      <c r="B28" t="inlineStr">
        <is>
          <t>Lindau-Wangen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Surfer Suite</t>
        </is>
      </c>
      <c r="H28">
        <f>HYPERLINK("https://booking.roadsurfer.com/es/rally/pick?pickup_date=2026-06-25&amp;return_date=2026-07-02&amp;currency=EUR&amp;startStation=117&amp;endStation=31",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Surfer Suite</t>
        </is>
      </c>
      <c r="H29">
        <f>HYPERLINK("https://booking.roadsurfer.com/es/rally/pick?pickup_date=2026-06-24&amp;return_date=2026-07-01&amp;currency=EUR&amp;startStation=54&amp;endStation=59",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Sunrise Suite</t>
        </is>
      </c>
      <c r="H30">
        <f>HYPERLINK("https://booking.roadsurfer.com/es/rally/pick?pickup_date=2026-06-29&amp;return_date=2026-07-06&amp;currency=EUR&amp;startStation=54&amp;endStation=13", "Clic para verlo en la web de RoadSurfer")</f>
        <v/>
      </c>
    </row>
    <row r="31">
      <c r="A31" t="inlineStr">
        <is>
          <t>España</t>
        </is>
      </c>
      <c r="B31" t="inlineStr">
        <is>
          <t>Málaga</t>
        </is>
      </c>
      <c r="C31" t="inlineStr">
        <is>
          <t>Italia</t>
        </is>
      </c>
      <c r="D31" t="inlineStr">
        <is>
          <t>Venecia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Surfer Suite</t>
        </is>
      </c>
      <c r="H31">
        <f>HYPERLINK("https://booking.roadsurfer.com/es/rally/pick?pickup_date=2026-06-29&amp;return_date=2026-07-06&amp;currency=EUR&amp;startStation=21&amp;endStation=78", "Clic para verlo en la web de RoadSurfer")</f>
        <v/>
      </c>
    </row>
    <row r="32">
      <c r="A32" t="inlineStr">
        <is>
          <t>Reino Unido</t>
        </is>
      </c>
      <c r="B32" t="inlineStr">
        <is>
          <t>Mánchester</t>
        </is>
      </c>
      <c r="C32" t="inlineStr">
        <is>
          <t>Reino Unido</t>
        </is>
      </c>
      <c r="D32" t="inlineStr">
        <is>
          <t>Londres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No hay coche</t>
        </is>
      </c>
      <c r="H32">
        <f>HYPERLINK("https://booking.roadsurfer.com/es/rally/pick?pickup_date=2026-06-22&amp;return_date=2026-06-29&amp;currency=EUR&amp;startStation=99&amp;endStation=63",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2026-06-26</t>
        </is>
      </c>
      <c r="F33" t="inlineStr">
        <is>
          <t>2026-07-03</t>
        </is>
      </c>
      <c r="G33" t="inlineStr">
        <is>
          <t xml:space="preserve"> - Surfer Suite</t>
        </is>
      </c>
      <c r="H33">
        <f>HYPERLINK("https://booking.roadsurfer.com/es/rally/pick?pickup_date=2026-06-26&amp;return_date=2026-07-03&amp;currency=EUR&amp;startStation=22&amp;endStation=59",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Surfer Suite</t>
        </is>
      </c>
      <c r="H34">
        <f>HYPERLINK("https://booking.roadsurfer.com/es/rally/pick?pickup_date=2026-06-29&amp;return_date=2026-07-06&amp;currency=EUR&amp;startStation=22&amp;endStation=59",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2026-06-26</t>
        </is>
      </c>
      <c r="F35" t="inlineStr">
        <is>
          <t>2026-07-03</t>
        </is>
      </c>
      <c r="G35" t="inlineStr">
        <is>
          <t xml:space="preserve"> - Camper Cabin</t>
        </is>
      </c>
      <c r="H35">
        <f>HYPERLINK("https://booking.roadsurfer.com/es/rally/pick?pickup_date=2026-06-26&amp;return_date=2026-07-03&amp;currency=EUR&amp;startStation=22&amp;endStation=13",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2026-06-23</t>
        </is>
      </c>
      <c r="F36" t="inlineStr">
        <is>
          <t>2026-06-30</t>
        </is>
      </c>
      <c r="G36" t="inlineStr">
        <is>
          <t xml:space="preserve"> - Surfer Suite</t>
        </is>
      </c>
      <c r="H36">
        <f>HYPERLINK("https://booking.roadsurfer.com/es/rally/pick?pickup_date=2026-06-23&amp;return_date=2026-06-30&amp;currency=EUR&amp;startStation=22&amp;endStation=13",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2026-07-09</t>
        </is>
      </c>
      <c r="F37" t="inlineStr">
        <is>
          <t>2026-07-16</t>
        </is>
      </c>
      <c r="G37" t="inlineStr">
        <is>
          <t xml:space="preserve"> - Beach Hostel</t>
        </is>
      </c>
      <c r="H37">
        <f>HYPERLINK("https://booking.roadsurfer.com/es/rally/pick?pickup_date=2026-07-09&amp;return_date=2026-07-16&amp;currency=EUR&amp;startStation=22&amp;endStation=13",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Camper Cabin</t>
        </is>
      </c>
      <c r="H38">
        <f>HYPERLINK("https://booking.roadsurfer.com/es/rally/pick?pickup_date=2026-06-25&amp;return_date=2026-07-02&amp;currency=EUR&amp;startStation=22&amp;endStation=13",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Ginebra-Pays de Gex (Francia)</t>
        </is>
      </c>
      <c r="E39" t="inlineStr">
        <is>
          <t>2026-06-23</t>
        </is>
      </c>
      <c r="F39" t="inlineStr">
        <is>
          <t>2026-06-30</t>
        </is>
      </c>
      <c r="G39" t="inlineStr">
        <is>
          <t xml:space="preserve"> - Surfer Suite</t>
        </is>
      </c>
      <c r="H39">
        <f>HYPERLINK("https://booking.roadsurfer.com/es/rally/pick?pickup_date=2026-06-23&amp;return_date=2026-06-30&amp;currency=EUR&amp;startStation=22&amp;endStation=29",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Camper Castle</t>
        </is>
      </c>
      <c r="H40">
        <f>HYPERLINK("https://booking.roadsurfer.com/es/rally/pick?pickup_date=2026-06-29&amp;return_date=2026-07-06&amp;currency=EUR&amp;startStation=22&amp;endStation=42", "Clic para verlo en la web de RoadSurfer")</f>
        <v/>
      </c>
    </row>
    <row r="41">
      <c r="A41" t="inlineStr">
        <is>
          <t>Francia</t>
        </is>
      </c>
      <c r="B41" t="inlineStr">
        <is>
          <t>Nantes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2026-06-26</t>
        </is>
      </c>
      <c r="F41" t="inlineStr">
        <is>
          <t>2026-07-03</t>
        </is>
      </c>
      <c r="G41" t="inlineStr">
        <is>
          <t xml:space="preserve"> - Travel Home</t>
        </is>
      </c>
      <c r="H41">
        <f>HYPERLINK("https://booking.roadsurfer.com/es/rally/pick?pickup_date=2026-06-26&amp;return_date=2026-07-03&amp;currency=EUR&amp;startStation=31&amp;endStation=15", "Clic para verlo en la web de RoadSurfer")</f>
        <v/>
      </c>
    </row>
    <row r="42">
      <c r="A42" t="inlineStr">
        <is>
          <t>Francia</t>
        </is>
      </c>
      <c r="B42" t="inlineStr">
        <is>
          <t>Nantes</t>
        </is>
      </c>
      <c r="C42" t="inlineStr">
        <is>
          <t>Francia</t>
        </is>
      </c>
      <c r="D42" t="inlineStr">
        <is>
          <t>Estrasburgo</t>
        </is>
      </c>
      <c r="E42" t="inlineStr">
        <is>
          <t>2026-07-02</t>
        </is>
      </c>
      <c r="F42" t="inlineStr">
        <is>
          <t>2026-07-09</t>
        </is>
      </c>
      <c r="G42" t="inlineStr">
        <is>
          <t xml:space="preserve"> - Road House</t>
        </is>
      </c>
      <c r="H42">
        <f>HYPERLINK("https://booking.roadsurfer.com/es/rally/pick?pickup_date=2026-07-02&amp;return_date=2026-07-09&amp;currency=EUR&amp;startStation=31&amp;endStation=49", "Clic para verlo en la web de RoadSurfer")</f>
        <v/>
      </c>
    </row>
    <row r="43">
      <c r="A43" t="inlineStr">
        <is>
          <t>Alemania</t>
        </is>
      </c>
      <c r="B43" t="inlineStr">
        <is>
          <t>Núremberg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2026-07-10</t>
        </is>
      </c>
      <c r="F43" t="inlineStr">
        <is>
          <t>2026-07-17</t>
        </is>
      </c>
      <c r="G43" t="inlineStr">
        <is>
          <t xml:space="preserve"> - Road House</t>
        </is>
      </c>
      <c r="H43">
        <f>HYPERLINK("https://booking.roadsurfer.com/es/rally/pick?pickup_date=2026-07-10&amp;return_date=2026-07-17&amp;currency=EUR&amp;startStation=11&amp;endStation=17", "Clic para verlo en la web de RoadSurfer")</f>
        <v/>
      </c>
    </row>
    <row r="44">
      <c r="A44" t="inlineStr">
        <is>
          <t>Alemania</t>
        </is>
      </c>
      <c r="B44" t="inlineStr">
        <is>
          <t>Núremberg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2026-06-25</t>
        </is>
      </c>
      <c r="F44" t="inlineStr">
        <is>
          <t>2026-07-02</t>
        </is>
      </c>
      <c r="G44" t="inlineStr">
        <is>
          <t xml:space="preserve"> - Sunrise Suite</t>
        </is>
      </c>
      <c r="H44">
        <f>HYPERLINK("https://booking.roadsurfer.com/es/rally/pick?pickup_date=2026-06-25&amp;return_date=2026-07-02&amp;currency=EUR&amp;startStation=11&amp;endStation=20", "Clic para verlo en la web de RoadSurfer")</f>
        <v/>
      </c>
    </row>
    <row r="45">
      <c r="A45" t="inlineStr">
        <is>
          <t>EE.UU.</t>
        </is>
      </c>
      <c r="B45" t="inlineStr">
        <is>
          <t>Seattle</t>
        </is>
      </c>
      <c r="C45" t="inlineStr">
        <is>
          <t>EE.UU.</t>
        </is>
      </c>
      <c r="D45" t="inlineStr">
        <is>
          <t>Phoenix</t>
        </is>
      </c>
      <c r="E45" t="inlineStr">
        <is>
          <t>2026-07-06</t>
        </is>
      </c>
      <c r="F45" t="inlineStr">
        <is>
          <t>2026-07-13</t>
        </is>
      </c>
      <c r="G45" t="inlineStr">
        <is>
          <t xml:space="preserve"> - Couple Condo</t>
        </is>
      </c>
      <c r="H45">
        <f>HYPERLINK("https://booking.roadsurfer.com/es/rally/pick?pickup_date=2026-07-06&amp;return_date=2026-07-13&amp;currency=EUR&amp;startStation=107&amp;endStation=105", "Clic para verlo en la web de RoadSurfer")</f>
        <v/>
      </c>
    </row>
    <row r="46">
      <c r="A46" t="inlineStr">
        <is>
          <t>España</t>
        </is>
      </c>
      <c r="B46" t="inlineStr">
        <is>
          <t>Sevilla</t>
        </is>
      </c>
      <c r="C46" t="inlineStr">
        <is>
          <t>Italia</t>
        </is>
      </c>
      <c r="D46" t="inlineStr">
        <is>
          <t>Turín</t>
        </is>
      </c>
      <c r="E46" t="inlineStr">
        <is>
          <t>2026-06-25</t>
        </is>
      </c>
      <c r="F46" t="inlineStr">
        <is>
          <t>2026-07-02</t>
        </is>
      </c>
      <c r="G46" t="inlineStr">
        <is>
          <t xml:space="preserve"> - Road House</t>
        </is>
      </c>
      <c r="H46">
        <f>HYPERLINK("https://booking.roadsurfer.com/es/rally/pick?pickup_date=2026-06-25&amp;return_date=2026-07-02&amp;currency=EUR&amp;startStation=39&amp;endStation=58", "Clic para verlo en la web de RoadSurfer")</f>
        <v/>
      </c>
    </row>
    <row r="47">
      <c r="A47" t="inlineStr">
        <is>
          <t>Francia</t>
        </is>
      </c>
      <c r="B47" t="inlineStr">
        <is>
          <t>Estrasburgo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2026-06-26</t>
        </is>
      </c>
      <c r="F47" t="inlineStr">
        <is>
          <t>2026-07-03</t>
        </is>
      </c>
      <c r="G47" t="inlineStr">
        <is>
          <t xml:space="preserve"> - Couple Cottage</t>
        </is>
      </c>
      <c r="H47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2026-06-19T12:02:27Z</dcterms:created>
  <dcterms:modified xsi:type="dcterms:W3CDTF">2026-06-19T12:02:27Z</dcterms:modified>
</cp:coreProperties>
</file>