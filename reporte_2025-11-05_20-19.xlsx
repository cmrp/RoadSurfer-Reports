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2025-11-10</t>
        </is>
      </c>
      <c r="F2" t="inlineStr">
        <is>
          <t>2025-11-17</t>
        </is>
      </c>
      <c r="G2" t="inlineStr">
        <is>
          <t xml:space="preserve"> - Camper Cabin</t>
        </is>
      </c>
      <c r="H2">
        <f>HYPERLINK("https://booking.roadsurfer.com/es/rally/pick?pickup_date=2025-11-10&amp;return_date=2025-11-17&amp;currency=EUR&amp;startStation=47&amp;endStation=31",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Berlín</t>
        </is>
      </c>
      <c r="C3" t="inlineStr">
        <is>
          <t>Suecia</t>
        </is>
      </c>
      <c r="D3" t="inlineStr">
        <is>
          <t>Estocolmo</t>
        </is>
      </c>
      <c r="E3" t="inlineStr">
        <is>
          <t>2025-11-11</t>
        </is>
      </c>
      <c r="F3" t="inlineStr">
        <is>
          <t>2025-11-18</t>
        </is>
      </c>
      <c r="G3" t="inlineStr">
        <is>
          <t xml:space="preserve"> - Surfer Suite</t>
        </is>
      </c>
      <c r="H3">
        <f>HYPERLINK("https://booking.roadsurfer.com/es/rally/pick?pickup_date=2025-11-11&amp;return_date=2025-11-18&amp;currency=EUR&amp;startStation=6&amp;endStation=59", "Clic para verlo en la web de RoadSurfer")</f>
        <v/>
      </c>
    </row>
    <row r="4">
      <c r="A4" t="inlineStr">
        <is>
          <t>Bélgica</t>
        </is>
      </c>
      <c r="B4" t="inlineStr">
        <is>
          <t>Bruselas</t>
        </is>
      </c>
      <c r="C4" t="inlineStr">
        <is>
          <t>Alemania</t>
        </is>
      </c>
      <c r="D4" t="inlineStr">
        <is>
          <t>Múnich</t>
        </is>
      </c>
      <c r="E4" t="inlineStr">
        <is>
          <t>2025-11-08</t>
        </is>
      </c>
      <c r="F4" t="inlineStr">
        <is>
          <t>2025-11-15</t>
        </is>
      </c>
      <c r="G4" t="inlineStr">
        <is>
          <t xml:space="preserve"> - BEACH HOSTEL</t>
        </is>
      </c>
      <c r="H4">
        <f>HYPERLINK("https://booking.roadsurfer.com/es/rally/pick?pickup_date=2025-11-08&amp;return_date=2025-11-15&amp;currency=EUR&amp;startStation=42&amp;endStation=1",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Italia</t>
        </is>
      </c>
      <c r="D5" t="inlineStr">
        <is>
          <t>Bérgamo</t>
        </is>
      </c>
      <c r="E5" t="inlineStr">
        <is>
          <t>2025-11-07</t>
        </is>
      </c>
      <c r="F5" t="inlineStr">
        <is>
          <t>2025-11-14</t>
        </is>
      </c>
      <c r="G5" t="inlineStr">
        <is>
          <t xml:space="preserve"> - Couple Cottage</t>
        </is>
      </c>
      <c r="H5">
        <f>HYPERLINK("https://booking.roadsurfer.com/es/rally/pick?pickup_date=2025-11-07&amp;return_date=2025-11-14&amp;currency=EUR&amp;startStation=52&amp;endStation=94", "Clic para verlo en la web de RoadSurfer")</f>
        <v/>
      </c>
    </row>
    <row r="6">
      <c r="A6" t="inlineStr">
        <is>
          <t>Alemania</t>
        </is>
      </c>
      <c r="B6" t="inlineStr">
        <is>
          <t>Dresde</t>
        </is>
      </c>
      <c r="C6" t="inlineStr">
        <is>
          <t>Suecia</t>
        </is>
      </c>
      <c r="D6" t="inlineStr">
        <is>
          <t>Malmö</t>
        </is>
      </c>
      <c r="E6" t="inlineStr">
        <is>
          <t>2025-11-19</t>
        </is>
      </c>
      <c r="F6" t="inlineStr">
        <is>
          <t>2025-11-26</t>
        </is>
      </c>
      <c r="G6" t="inlineStr">
        <is>
          <t xml:space="preserve"> - Family Finca</t>
        </is>
      </c>
      <c r="H6">
        <f>HYPERLINK("https://booking.roadsurfer.com/es/rally/pick?pickup_date=2025-11-19&amp;return_date=2025-11-26&amp;currency=EUR&amp;startStation=56&amp;endStation=60",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Malmö</t>
        </is>
      </c>
      <c r="E7" t="inlineStr">
        <is>
          <t>2025-11-17</t>
        </is>
      </c>
      <c r="F7" t="inlineStr">
        <is>
          <t>2025-11-24</t>
        </is>
      </c>
      <c r="G7" t="inlineStr">
        <is>
          <t xml:space="preserve"> - Surfer Suite</t>
        </is>
      </c>
      <c r="H7">
        <f>HYPERLINK("https://booking.roadsurfer.com/es/rally/pick?pickup_date=2025-11-17&amp;return_date=2025-11-24&amp;currency=EUR&amp;startStation=56&amp;endStation=60", "Clic para verlo en la web de RoadSurfer")</f>
        <v/>
      </c>
    </row>
    <row r="8">
      <c r="A8" t="inlineStr">
        <is>
          <t>Alemania</t>
        </is>
      </c>
      <c r="B8" t="inlineStr">
        <is>
          <t>Erfurt</t>
        </is>
      </c>
      <c r="C8" t="inlineStr">
        <is>
          <t>Austria</t>
        </is>
      </c>
      <c r="D8" t="inlineStr">
        <is>
          <t>Innsbruck</t>
        </is>
      </c>
      <c r="E8" t="inlineStr">
        <is>
          <t>2025-11-08</t>
        </is>
      </c>
      <c r="F8" t="inlineStr">
        <is>
          <t>2025-11-15</t>
        </is>
      </c>
      <c r="G8" t="inlineStr">
        <is>
          <t xml:space="preserve"> - Surfer Suite</t>
        </is>
      </c>
      <c r="H8">
        <f>HYPERLINK("https://booking.roadsurfer.com/es/rally/pick?pickup_date=2025-11-08&amp;return_date=2025-11-15&amp;currency=EUR&amp;startStation=90&amp;endStation=46",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España</t>
        </is>
      </c>
      <c r="D9" t="inlineStr">
        <is>
          <t>Barcelona</t>
        </is>
      </c>
      <c r="E9" t="inlineStr">
        <is>
          <t>2025-11-12</t>
        </is>
      </c>
      <c r="F9" t="inlineStr">
        <is>
          <t>2025-11-18</t>
        </is>
      </c>
      <c r="G9" t="inlineStr">
        <is>
          <t xml:space="preserve"> - Surfer Suite</t>
        </is>
      </c>
      <c r="H9">
        <f>HYPERLINK("https://booking.roadsurfer.com/es/rally/pick?pickup_date=2025-11-12&amp;return_date=2025-11-18&amp;currency=EUR&amp;startStation=2&amp;endStation=17", "Clic para verlo en la web de RoadSurfer")</f>
        <v/>
      </c>
    </row>
    <row r="10">
      <c r="A10" t="inlineStr">
        <is>
          <t>Alemania</t>
        </is>
      </c>
      <c r="B10" t="inlineStr">
        <is>
          <t>Hamburgo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2025-11-10</t>
        </is>
      </c>
      <c r="F10" t="inlineStr">
        <is>
          <t>2025-11-17</t>
        </is>
      </c>
      <c r="G10" t="inlineStr">
        <is>
          <t xml:space="preserve"> - Family Finca</t>
        </is>
      </c>
      <c r="H10">
        <f>HYPERLINK("https://booking.roadsurfer.com/es/rally/pick?pickup_date=2025-11-10&amp;return_date=2025-11-17&amp;currency=EUR&amp;startStation=3&amp;endStation=60", "Clic para verlo en la web de RoadSurfer")</f>
        <v/>
      </c>
    </row>
    <row r="11">
      <c r="A11" t="inlineStr">
        <is>
          <t>Francia</t>
        </is>
      </c>
      <c r="B11" t="inlineStr">
        <is>
          <t>Lille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2025-11-14</t>
        </is>
      </c>
      <c r="F11" t="inlineStr">
        <is>
          <t>2025-11-21</t>
        </is>
      </c>
      <c r="G11" t="inlineStr">
        <is>
          <t xml:space="preserve"> - Road House</t>
        </is>
      </c>
      <c r="H11">
        <f>HYPERLINK("https://booking.roadsurfer.com/es/rally/pick?pickup_date=2025-11-14&amp;return_date=2025-11-21&amp;currency=EUR&amp;startStation=87&amp;endStation=1", "Clic para verlo en la web de RoadSurfer")</f>
        <v/>
      </c>
    </row>
    <row r="12">
      <c r="A12" t="inlineStr">
        <is>
          <t>Alemania</t>
        </is>
      </c>
      <c r="B12" t="inlineStr">
        <is>
          <t>Maguncia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2025-11-14</t>
        </is>
      </c>
      <c r="F12" t="inlineStr">
        <is>
          <t>2025-11-21</t>
        </is>
      </c>
      <c r="G12" t="inlineStr">
        <is>
          <t xml:space="preserve"> - Surfer Suite</t>
        </is>
      </c>
      <c r="H12">
        <f>HYPERLINK("https://booking.roadsurfer.com/es/rally/pick?pickup_date=2025-11-14&amp;return_date=2025-11-21&amp;currency=EUR&amp;startStation=54&amp;endStation=60", "Clic para verlo en la web de RoadSurfer")</f>
        <v/>
      </c>
    </row>
    <row r="13">
      <c r="A13" t="inlineStr">
        <is>
          <t>Alemania</t>
        </is>
      </c>
      <c r="B13" t="inlineStr">
        <is>
          <t>Marburg</t>
        </is>
      </c>
      <c r="C13" t="inlineStr">
        <is>
          <t>Francia</t>
        </is>
      </c>
      <c r="D13" t="inlineStr">
        <is>
          <t>Lyon</t>
        </is>
      </c>
      <c r="E13" t="inlineStr">
        <is>
          <t>2025-11-12</t>
        </is>
      </c>
      <c r="F13" t="inlineStr">
        <is>
          <t>2025-11-19</t>
        </is>
      </c>
      <c r="G13" t="inlineStr">
        <is>
          <t xml:space="preserve"> - Surfer Suite</t>
        </is>
      </c>
      <c r="H13">
        <f>HYPERLINK("https://booking.roadsurfer.com/es/rally/pick?pickup_date=2025-11-12&amp;return_date=2025-11-19&amp;currency=EUR&amp;startStation=22&amp;endStation=15", "Clic para verlo en la web de RoadSurfer")</f>
        <v/>
      </c>
    </row>
    <row r="14">
      <c r="A14" t="inlineStr">
        <is>
          <t>Alemania</t>
        </is>
      </c>
      <c r="B14" t="inlineStr">
        <is>
          <t>Marburg</t>
        </is>
      </c>
      <c r="C14" t="inlineStr">
        <is>
          <t>Francia</t>
        </is>
      </c>
      <c r="D14" t="inlineStr">
        <is>
          <t>Lyon</t>
        </is>
      </c>
      <c r="E14" t="inlineStr">
        <is>
          <t>2025-11-14</t>
        </is>
      </c>
      <c r="F14" t="inlineStr">
        <is>
          <t>2025-11-21</t>
        </is>
      </c>
      <c r="G14" t="inlineStr">
        <is>
          <t xml:space="preserve"> - Surfer Suite</t>
        </is>
      </c>
      <c r="H14">
        <f>HYPERLINK("https://booking.roadsurfer.com/es/rally/pick?pickup_date=2025-11-14&amp;return_date=2025-11-21&amp;currency=EUR&amp;startStation=22&amp;endStation=15", "Clic para verlo en la web de RoadSurfer")</f>
        <v/>
      </c>
    </row>
    <row r="15">
      <c r="A15" t="inlineStr">
        <is>
          <t>Alemania</t>
        </is>
      </c>
      <c r="B15" t="inlineStr">
        <is>
          <t>Marburg</t>
        </is>
      </c>
      <c r="C15" t="inlineStr">
        <is>
          <t>Francia</t>
        </is>
      </c>
      <c r="D15" t="inlineStr">
        <is>
          <t>Burdeos</t>
        </is>
      </c>
      <c r="E15" t="inlineStr">
        <is>
          <t>2025-11-10</t>
        </is>
      </c>
      <c r="F15" t="inlineStr">
        <is>
          <t>2025-11-17</t>
        </is>
      </c>
      <c r="G15" t="inlineStr">
        <is>
          <t xml:space="preserve"> - Surfer Suite - Camper Cabin</t>
        </is>
      </c>
      <c r="H15">
        <f>HYPERLINK("https://booking.roadsurfer.com/es/rally/pick?pickup_date=2025-11-10&amp;return_date=2025-11-17&amp;currency=EUR&amp;startStation=22&amp;endStation=13",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2025-11-12</t>
        </is>
      </c>
      <c r="F16" t="inlineStr">
        <is>
          <t>2025-11-19</t>
        </is>
      </c>
      <c r="G16" t="inlineStr">
        <is>
          <t xml:space="preserve"> - SURFER SUITE - BEACH HOSTEL</t>
        </is>
      </c>
      <c r="H16">
        <f>HYPERLINK("https://booking.roadsurfer.com/es/rally/pick?pickup_date=2025-11-12&amp;return_date=2025-11-19&amp;currency=EUR&amp;startStation=22&amp;endStation=13",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2025-11-17</t>
        </is>
      </c>
      <c r="F17" t="inlineStr">
        <is>
          <t>2025-11-24</t>
        </is>
      </c>
      <c r="G17" t="inlineStr">
        <is>
          <t xml:space="preserve"> - Surfer Suite</t>
        </is>
      </c>
      <c r="H17">
        <f>HYPERLINK("https://booking.roadsurfer.com/es/rally/pick?pickup_date=2025-11-17&amp;return_date=2025-11-24&amp;currency=EUR&amp;startStation=22&amp;endStation=13",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2025-11-13</t>
        </is>
      </c>
      <c r="F18" t="inlineStr">
        <is>
          <t>2025-11-20</t>
        </is>
      </c>
      <c r="G18" t="inlineStr">
        <is>
          <t xml:space="preserve"> - Surfer Suite - Road House</t>
        </is>
      </c>
      <c r="H18">
        <f>HYPERLINK("https://booking.roadsurfer.com/es/rally/pick?pickup_date=2025-11-13&amp;return_date=2025-11-20&amp;currency=EUR&amp;startStation=22&amp;endStation=13",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2025-11-14</t>
        </is>
      </c>
      <c r="F19" t="inlineStr">
        <is>
          <t>2025-11-21</t>
        </is>
      </c>
      <c r="G19" t="inlineStr">
        <is>
          <t xml:space="preserve"> - Surfer Suite</t>
        </is>
      </c>
      <c r="H19">
        <f>HYPERLINK("https://booking.roadsurfer.com/es/rally/pick?pickup_date=2025-11-14&amp;return_date=2025-11-21&amp;currency=EUR&amp;startStation=22&amp;endStation=13",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2025-11-11</t>
        </is>
      </c>
      <c r="F20" t="inlineStr">
        <is>
          <t>2025-11-18</t>
        </is>
      </c>
      <c r="G20" t="inlineStr">
        <is>
          <t xml:space="preserve"> - Surfer Suite</t>
        </is>
      </c>
      <c r="H20">
        <f>HYPERLINK("https://booking.roadsurfer.com/es/rally/pick?pickup_date=2025-11-11&amp;return_date=2025-11-18&amp;currency=EUR&amp;startStation=22&amp;endStation=13",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2025-11-07</t>
        </is>
      </c>
      <c r="F21" t="inlineStr">
        <is>
          <t>2025-11-14</t>
        </is>
      </c>
      <c r="G21" t="inlineStr">
        <is>
          <t xml:space="preserve"> - FAMILY FINCA</t>
        </is>
      </c>
      <c r="H21">
        <f>HYPERLINK("https://booking.roadsurfer.com/es/rally/pick?pickup_date=2025-11-07&amp;return_date=2025-11-14&amp;currency=EUR&amp;startStation=22&amp;endStation=13",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España</t>
        </is>
      </c>
      <c r="D22" t="inlineStr">
        <is>
          <t>Sevilla</t>
        </is>
      </c>
      <c r="E22" t="inlineStr">
        <is>
          <t>2025-11-13</t>
        </is>
      </c>
      <c r="F22" t="inlineStr">
        <is>
          <t>2025-11-20</t>
        </is>
      </c>
      <c r="G22" t="inlineStr">
        <is>
          <t xml:space="preserve"> - Family Finca</t>
        </is>
      </c>
      <c r="H22">
        <f>HYPERLINK("https://booking.roadsurfer.com/es/rally/pick?pickup_date=2025-11-13&amp;return_date=2025-11-20&amp;currency=EUR&amp;startStation=22&amp;endStation=39",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España</t>
        </is>
      </c>
      <c r="D23" t="inlineStr">
        <is>
          <t>Sevilla</t>
        </is>
      </c>
      <c r="E23" t="inlineStr">
        <is>
          <t>2025-11-18</t>
        </is>
      </c>
      <c r="F23" t="inlineStr">
        <is>
          <t>2025-11-25</t>
        </is>
      </c>
      <c r="G23" t="inlineStr">
        <is>
          <t xml:space="preserve"> - Surfer Suite</t>
        </is>
      </c>
      <c r="H23">
        <f>HYPERLINK("https://booking.roadsurfer.com/es/rally/pick?pickup_date=2025-11-18&amp;return_date=2025-11-25&amp;currency=EUR&amp;startStation=22&amp;endStation=39",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España</t>
        </is>
      </c>
      <c r="D24" t="inlineStr">
        <is>
          <t>Madrid</t>
        </is>
      </c>
      <c r="E24" t="inlineStr">
        <is>
          <t>2025-11-11</t>
        </is>
      </c>
      <c r="F24" t="inlineStr">
        <is>
          <t>2025-11-18</t>
        </is>
      </c>
      <c r="G24" t="inlineStr">
        <is>
          <t xml:space="preserve"> - Camper Cabin - Family Finca</t>
        </is>
      </c>
      <c r="H24">
        <f>HYPERLINK("https://booking.roadsurfer.com/es/rally/pick?pickup_date=2025-11-11&amp;return_date=2025-11-18&amp;currency=EUR&amp;startStation=22&amp;endStation=20",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España</t>
        </is>
      </c>
      <c r="D25" t="inlineStr">
        <is>
          <t>Madrid</t>
        </is>
      </c>
      <c r="E25" t="inlineStr">
        <is>
          <t>2025-11-12</t>
        </is>
      </c>
      <c r="F25" t="inlineStr">
        <is>
          <t>2025-11-19</t>
        </is>
      </c>
      <c r="G25" t="inlineStr">
        <is>
          <t xml:space="preserve"> - Surfer Suite</t>
        </is>
      </c>
      <c r="H25">
        <f>HYPERLINK("https://booking.roadsurfer.com/es/rally/pick?pickup_date=2025-11-12&amp;return_date=2025-11-19&amp;currency=EUR&amp;startStation=22&amp;endStation=20",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España</t>
        </is>
      </c>
      <c r="D26" t="inlineStr">
        <is>
          <t>Madrid</t>
        </is>
      </c>
      <c r="E26" t="inlineStr">
        <is>
          <t>2025-11-14</t>
        </is>
      </c>
      <c r="F26" t="inlineStr">
        <is>
          <t>2025-11-21</t>
        </is>
      </c>
      <c r="G26" t="inlineStr">
        <is>
          <t xml:space="preserve"> - Road House</t>
        </is>
      </c>
      <c r="H26">
        <f>HYPERLINK("https://booking.roadsurfer.com/es/rally/pick?pickup_date=2025-11-14&amp;return_date=2025-11-21&amp;currency=EUR&amp;startStation=22&amp;endStation=20",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Aix-Marsella</t>
        </is>
      </c>
      <c r="E27" t="inlineStr">
        <is>
          <t>2025-11-11</t>
        </is>
      </c>
      <c r="F27" t="inlineStr">
        <is>
          <t>2025-11-18</t>
        </is>
      </c>
      <c r="G27" t="inlineStr">
        <is>
          <t xml:space="preserve"> - Surfer Suite</t>
        </is>
      </c>
      <c r="H27">
        <f>HYPERLINK("https://booking.roadsurfer.com/es/rally/pick?pickup_date=2025-11-11&amp;return_date=2025-11-18&amp;currency=EUR&amp;startStation=22&amp;endStation=16",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Aix-Marsella</t>
        </is>
      </c>
      <c r="E28" t="inlineStr">
        <is>
          <t>2025-11-29</t>
        </is>
      </c>
      <c r="F28" t="inlineStr">
        <is>
          <t>2025-12-06</t>
        </is>
      </c>
      <c r="G28" t="inlineStr">
        <is>
          <t xml:space="preserve"> - Beach Hostel</t>
        </is>
      </c>
      <c r="H28">
        <f>HYPERLINK("https://booking.roadsurfer.com/es/rally/pick?pickup_date=2025-11-29&amp;return_date=2025-12-06&amp;currency=EUR&amp;startStation=22&amp;endStation=16",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España</t>
        </is>
      </c>
      <c r="D29" t="inlineStr">
        <is>
          <t>Barcelona</t>
        </is>
      </c>
      <c r="E29" t="inlineStr">
        <is>
          <t>2025-11-21</t>
        </is>
      </c>
      <c r="F29" t="inlineStr">
        <is>
          <t>2025-11-28</t>
        </is>
      </c>
      <c r="G29" t="inlineStr">
        <is>
          <t xml:space="preserve"> - Surfer Suite</t>
        </is>
      </c>
      <c r="H29">
        <f>HYPERLINK("https://booking.roadsurfer.com/es/rally/pick?pickup_date=2025-11-21&amp;return_date=2025-11-28&amp;currency=EUR&amp;startStation=22&amp;endStation=17",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España</t>
        </is>
      </c>
      <c r="D30" t="inlineStr">
        <is>
          <t>Barcelona</t>
        </is>
      </c>
      <c r="E30" t="inlineStr">
        <is>
          <t>2025-11-10</t>
        </is>
      </c>
      <c r="F30" t="inlineStr">
        <is>
          <t>2025-11-17</t>
        </is>
      </c>
      <c r="G30" t="inlineStr">
        <is>
          <t xml:space="preserve"> - SURFER SUITE</t>
        </is>
      </c>
      <c r="H30">
        <f>HYPERLINK("https://booking.roadsurfer.com/es/rally/pick?pickup_date=2025-11-10&amp;return_date=2025-11-17&amp;currency=EUR&amp;startStation=22&amp;endStation=17",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2025-11-11</t>
        </is>
      </c>
      <c r="F31" t="inlineStr">
        <is>
          <t>2025-11-18</t>
        </is>
      </c>
      <c r="G31" t="inlineStr">
        <is>
          <t xml:space="preserve"> - SURFER SUITE</t>
        </is>
      </c>
      <c r="H31">
        <f>HYPERLINK("https://booking.roadsurfer.com/es/rally/pick?pickup_date=2025-11-11&amp;return_date=2025-11-18&amp;currency=EUR&amp;startStation=22&amp;endStation=17",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España</t>
        </is>
      </c>
      <c r="D32" t="inlineStr">
        <is>
          <t>Barcelona</t>
        </is>
      </c>
      <c r="E32" t="inlineStr">
        <is>
          <t>2025-11-14</t>
        </is>
      </c>
      <c r="F32" t="inlineStr">
        <is>
          <t>2025-11-21</t>
        </is>
      </c>
      <c r="G32" t="inlineStr">
        <is>
          <t xml:space="preserve"> - No hay coche</t>
        </is>
      </c>
      <c r="H32">
        <f>HYPERLINK("https://booking.roadsurfer.com/es/rally/pick?pickup_date=2025-11-14&amp;return_date=2025-11-21&amp;currency=EUR&amp;startStation=22&amp;endStation=17",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Lille</t>
        </is>
      </c>
      <c r="E33" t="inlineStr">
        <is>
          <t>2025-11-20</t>
        </is>
      </c>
      <c r="F33" t="inlineStr">
        <is>
          <t>2025-11-27</t>
        </is>
      </c>
      <c r="G33" t="inlineStr">
        <is>
          <t xml:space="preserve"> - Surfer Suite</t>
        </is>
      </c>
      <c r="H33">
        <f>HYPERLINK("https://booking.roadsurfer.com/es/rally/pick?pickup_date=2025-11-20&amp;return_date=2025-11-27&amp;currency=EUR&amp;startStation=22&amp;endStation=87",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Francia</t>
        </is>
      </c>
      <c r="D34" t="inlineStr">
        <is>
          <t>Lille</t>
        </is>
      </c>
      <c r="E34" t="inlineStr">
        <is>
          <t>2025-11-10</t>
        </is>
      </c>
      <c r="F34" t="inlineStr">
        <is>
          <t>2025-11-17</t>
        </is>
      </c>
      <c r="G34" t="inlineStr">
        <is>
          <t xml:space="preserve"> - Surfer Suite</t>
        </is>
      </c>
      <c r="H34">
        <f>HYPERLINK("https://booking.roadsurfer.com/es/rally/pick?pickup_date=2025-11-10&amp;return_date=2025-11-17&amp;currency=EUR&amp;startStation=22&amp;endStation=87",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Italia</t>
        </is>
      </c>
      <c r="D35" t="inlineStr">
        <is>
          <t>Bolonia</t>
        </is>
      </c>
      <c r="E35" t="inlineStr">
        <is>
          <t>2025-11-07</t>
        </is>
      </c>
      <c r="F35" t="inlineStr">
        <is>
          <t>2025-11-14</t>
        </is>
      </c>
      <c r="G35" t="inlineStr">
        <is>
          <t xml:space="preserve"> - Surfer Suite</t>
        </is>
      </c>
      <c r="H35">
        <f>HYPERLINK("https://booking.roadsurfer.com/es/rally/pick?pickup_date=2025-11-07&amp;return_date=2025-11-14&amp;currency=EUR&amp;startStation=22&amp;endStation=57",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Austria</t>
        </is>
      </c>
      <c r="D36" t="inlineStr">
        <is>
          <t>Innsbruck</t>
        </is>
      </c>
      <c r="E36" t="inlineStr">
        <is>
          <t>2025-11-21</t>
        </is>
      </c>
      <c r="F36" t="inlineStr">
        <is>
          <t>2025-11-28</t>
        </is>
      </c>
      <c r="G36" t="inlineStr">
        <is>
          <t xml:space="preserve"> - BEACH HOSTEL</t>
        </is>
      </c>
      <c r="H36">
        <f>HYPERLINK("https://booking.roadsurfer.com/es/rally/pick?pickup_date=2025-11-21&amp;return_date=2025-11-28&amp;currency=EUR&amp;startStation=22&amp;endStation=46",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Austria</t>
        </is>
      </c>
      <c r="D37" t="inlineStr">
        <is>
          <t>Innsbruck</t>
        </is>
      </c>
      <c r="E37" t="inlineStr">
        <is>
          <t>2025-11-12</t>
        </is>
      </c>
      <c r="F37" t="inlineStr">
        <is>
          <t>2025-11-19</t>
        </is>
      </c>
      <c r="G37" t="inlineStr">
        <is>
          <t xml:space="preserve"> - SURFER SUITE</t>
        </is>
      </c>
      <c r="H37">
        <f>HYPERLINK("https://booking.roadsurfer.com/es/rally/pick?pickup_date=2025-11-12&amp;return_date=2025-11-19&amp;currency=EUR&amp;startStation=22&amp;endStation=46",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Austria</t>
        </is>
      </c>
      <c r="D38" t="inlineStr">
        <is>
          <t>Innsbruck</t>
        </is>
      </c>
      <c r="E38" t="inlineStr">
        <is>
          <t>2025-11-13</t>
        </is>
      </c>
      <c r="F38" t="inlineStr">
        <is>
          <t>2025-11-20</t>
        </is>
      </c>
      <c r="G38" t="inlineStr">
        <is>
          <t xml:space="preserve"> - Road House</t>
        </is>
      </c>
      <c r="H38">
        <f>HYPERLINK("https://booking.roadsurfer.com/es/rally/pick?pickup_date=2025-11-13&amp;return_date=2025-11-20&amp;currency=EUR&amp;startStation=22&amp;endStation=46",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Italia</t>
        </is>
      </c>
      <c r="D39" t="inlineStr">
        <is>
          <t>Venecia</t>
        </is>
      </c>
      <c r="E39" t="inlineStr">
        <is>
          <t>2025-11-26</t>
        </is>
      </c>
      <c r="F39" t="inlineStr">
        <is>
          <t>2025-12-03</t>
        </is>
      </c>
      <c r="G39" t="inlineStr">
        <is>
          <t xml:space="preserve"> - Beach Hostel</t>
        </is>
      </c>
      <c r="H39">
        <f>HYPERLINK("https://booking.roadsurfer.com/es/rally/pick?pickup_date=2025-11-26&amp;return_date=2025-12-03&amp;currency=EUR&amp;startStation=22&amp;endStation=78",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Italia</t>
        </is>
      </c>
      <c r="D40" t="inlineStr">
        <is>
          <t>Venecia</t>
        </is>
      </c>
      <c r="E40" t="inlineStr">
        <is>
          <t>2025-11-11</t>
        </is>
      </c>
      <c r="F40" t="inlineStr">
        <is>
          <t>2025-11-18</t>
        </is>
      </c>
      <c r="G40" t="inlineStr">
        <is>
          <t xml:space="preserve"> - Beach Hostel</t>
        </is>
      </c>
      <c r="H40">
        <f>HYPERLINK("https://booking.roadsurfer.com/es/rally/pick?pickup_date=2025-11-11&amp;return_date=2025-11-18&amp;currency=EUR&amp;startStation=22&amp;endStation=78",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Austria</t>
        </is>
      </c>
      <c r="D41" t="inlineStr">
        <is>
          <t>Graz</t>
        </is>
      </c>
      <c r="E41" t="inlineStr">
        <is>
          <t>2025-11-11</t>
        </is>
      </c>
      <c r="F41" t="inlineStr">
        <is>
          <t>2025-11-18</t>
        </is>
      </c>
      <c r="G41" t="inlineStr">
        <is>
          <t xml:space="preserve"> - Family Finca</t>
        </is>
      </c>
      <c r="H41">
        <f>HYPERLINK("https://booking.roadsurfer.com/es/rally/pick?pickup_date=2025-11-11&amp;return_date=2025-11-18&amp;currency=EUR&amp;startStation=22&amp;endStation=37",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Austria</t>
        </is>
      </c>
      <c r="D42" t="inlineStr">
        <is>
          <t>Graz</t>
        </is>
      </c>
      <c r="E42" t="inlineStr">
        <is>
          <t>2025-11-17</t>
        </is>
      </c>
      <c r="F42" t="inlineStr">
        <is>
          <t>2025-11-24</t>
        </is>
      </c>
      <c r="G42" t="inlineStr">
        <is>
          <t xml:space="preserve"> - Camper Cabin</t>
        </is>
      </c>
      <c r="H42">
        <f>HYPERLINK("https://booking.roadsurfer.com/es/rally/pick?pickup_date=2025-11-17&amp;return_date=2025-11-24&amp;currency=EUR&amp;startStation=22&amp;endStation=37",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Francia</t>
        </is>
      </c>
      <c r="D43" t="inlineStr">
        <is>
          <t>Toulouse</t>
        </is>
      </c>
      <c r="E43" t="inlineStr">
        <is>
          <t>2025-11-12</t>
        </is>
      </c>
      <c r="F43" t="inlineStr">
        <is>
          <t>2025-11-19</t>
        </is>
      </c>
      <c r="G43" t="inlineStr">
        <is>
          <t xml:space="preserve"> - ROAD HOUSE - Road House</t>
        </is>
      </c>
      <c r="H43">
        <f>HYPERLINK("https://booking.roadsurfer.com/es/rally/pick?pickup_date=2025-11-12&amp;return_date=2025-11-19&amp;currency=EUR&amp;startStation=22&amp;endStation=30",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España</t>
        </is>
      </c>
      <c r="D44" t="inlineStr">
        <is>
          <t>Málaga</t>
        </is>
      </c>
      <c r="E44" t="inlineStr">
        <is>
          <t>2025-11-19</t>
        </is>
      </c>
      <c r="F44" t="inlineStr">
        <is>
          <t>2025-11-26</t>
        </is>
      </c>
      <c r="G44" t="inlineStr">
        <is>
          <t xml:space="preserve"> - Road House</t>
        </is>
      </c>
      <c r="H44">
        <f>HYPERLINK("https://booking.roadsurfer.com/es/rally/pick?pickup_date=2025-11-19&amp;return_date=2025-11-26&amp;currency=EUR&amp;startStation=22&amp;endStation=21",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Bélgica</t>
        </is>
      </c>
      <c r="D45" t="inlineStr">
        <is>
          <t>Amberes</t>
        </is>
      </c>
      <c r="E45" t="inlineStr">
        <is>
          <t>2025-11-20</t>
        </is>
      </c>
      <c r="F45" t="inlineStr">
        <is>
          <t>2025-11-27</t>
        </is>
      </c>
      <c r="G45" t="inlineStr">
        <is>
          <t xml:space="preserve"> - Road House</t>
        </is>
      </c>
      <c r="H45">
        <f>HYPERLINK("https://booking.roadsurfer.com/es/rally/pick?pickup_date=2025-11-20&amp;return_date=2025-11-27&amp;currency=EUR&amp;startStation=22&amp;endStation=47",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España</t>
        </is>
      </c>
      <c r="D46" t="inlineStr">
        <is>
          <t>Valencia</t>
        </is>
      </c>
      <c r="E46" t="inlineStr">
        <is>
          <t>2025-11-12</t>
        </is>
      </c>
      <c r="F46" t="inlineStr">
        <is>
          <t>2025-11-19</t>
        </is>
      </c>
      <c r="G46" t="inlineStr">
        <is>
          <t xml:space="preserve"> - Family Finca - COUPLE COTTAGE</t>
        </is>
      </c>
      <c r="H46">
        <f>HYPERLINK("https://booking.roadsurfer.com/es/rally/pick?pickup_date=2025-11-12&amp;return_date=2025-11-19&amp;currency=EUR&amp;startStation=22&amp;endStation=38",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Italia</t>
        </is>
      </c>
      <c r="D47" t="inlineStr">
        <is>
          <t>Roma Aeropuerto Fiumicino</t>
        </is>
      </c>
      <c r="E47" t="inlineStr">
        <is>
          <t>2025-11-18</t>
        </is>
      </c>
      <c r="F47" t="inlineStr">
        <is>
          <t>2025-11-25</t>
        </is>
      </c>
      <c r="G47" t="inlineStr">
        <is>
          <t xml:space="preserve"> - Family Finca</t>
        </is>
      </c>
      <c r="H47">
        <f>HYPERLINK("https://booking.roadsurfer.com/es/rally/pick?pickup_date=2025-11-18&amp;return_date=2025-11-25&amp;currency=EUR&amp;startStation=22&amp;endStation=35",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Francia</t>
        </is>
      </c>
      <c r="D48" t="inlineStr">
        <is>
          <t>París Aeropuerto CDG</t>
        </is>
      </c>
      <c r="E48" t="inlineStr">
        <is>
          <t>2025-11-19</t>
        </is>
      </c>
      <c r="F48" t="inlineStr">
        <is>
          <t>2025-11-26</t>
        </is>
      </c>
      <c r="G48" t="inlineStr">
        <is>
          <t xml:space="preserve"> - Family Finca</t>
        </is>
      </c>
      <c r="H48">
        <f>HYPERLINK("https://booking.roadsurfer.com/es/rally/pick?pickup_date=2025-11-19&amp;return_date=2025-11-26&amp;currency=EUR&amp;startStation=22&amp;endStation=48", "Clic para verlo en la web de RoadSurfer")</f>
        <v/>
      </c>
    </row>
    <row r="49">
      <c r="A49" t="inlineStr">
        <is>
          <t>Italia</t>
        </is>
      </c>
      <c r="B49" t="inlineStr">
        <is>
          <t>Milán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2026-01-20</t>
        </is>
      </c>
      <c r="F49" t="inlineStr">
        <is>
          <t>2026-01-27</t>
        </is>
      </c>
      <c r="G49" t="inlineStr">
        <is>
          <t xml:space="preserve"> - Beach Hostel</t>
        </is>
      </c>
      <c r="H49">
        <f>HYPERLINK("https://booking.roadsurfer.com/es/rally/pick?pickup_date=2026-01-20&amp;return_date=2026-01-27&amp;currency=EUR&amp;startStation=34&amp;endStation=22", "Clic para verlo en la web de RoadSurfer")</f>
        <v/>
      </c>
    </row>
    <row r="50">
      <c r="A50" t="inlineStr">
        <is>
          <t>Alemania</t>
        </is>
      </c>
      <c r="B50" t="inlineStr">
        <is>
          <t>Múnich</t>
        </is>
      </c>
      <c r="C50" t="inlineStr">
        <is>
          <t>España</t>
        </is>
      </c>
      <c r="D50" t="inlineStr">
        <is>
          <t>Barcelona</t>
        </is>
      </c>
      <c r="E50" t="inlineStr">
        <is>
          <t>2025-11-14</t>
        </is>
      </c>
      <c r="F50" t="inlineStr">
        <is>
          <t>2025-11-21</t>
        </is>
      </c>
      <c r="G50" t="inlineStr">
        <is>
          <t xml:space="preserve"> - Surfer Suite</t>
        </is>
      </c>
      <c r="H50">
        <f>HYPERLINK("https://booking.roadsurfer.com/es/rally/pick?pickup_date=2025-11-14&amp;return_date=2025-11-21&amp;currency=EUR&amp;startStation=1&amp;endStation=17", "Clic para verlo en la web de RoadSurfer")</f>
        <v/>
      </c>
    </row>
    <row r="51">
      <c r="A51" t="inlineStr">
        <is>
          <t>Alemania</t>
        </is>
      </c>
      <c r="B51" t="inlineStr">
        <is>
          <t>Múnich</t>
        </is>
      </c>
      <c r="C51" t="inlineStr">
        <is>
          <t>Francia</t>
        </is>
      </c>
      <c r="D51" t="inlineStr">
        <is>
          <t>Toulouse</t>
        </is>
      </c>
      <c r="E51" t="inlineStr">
        <is>
          <t>2025-11-18</t>
        </is>
      </c>
      <c r="F51" t="inlineStr">
        <is>
          <t>2025-11-25</t>
        </is>
      </c>
      <c r="G51" t="inlineStr">
        <is>
          <t xml:space="preserve"> - Beach Hostel</t>
        </is>
      </c>
      <c r="H51">
        <f>HYPERLINK("https://booking.roadsurfer.com/es/rally/pick?pickup_date=2025-11-18&amp;return_date=2025-11-25&amp;currency=EUR&amp;startStation=1&amp;endStation=30", "Clic para verlo en la web de RoadSurfer")</f>
        <v/>
      </c>
    </row>
    <row r="52">
      <c r="A52" t="inlineStr">
        <is>
          <t>Alemania</t>
        </is>
      </c>
      <c r="B52" t="inlineStr">
        <is>
          <t>Múnich</t>
        </is>
      </c>
      <c r="C52" t="inlineStr">
        <is>
          <t>España</t>
        </is>
      </c>
      <c r="D52" t="inlineStr">
        <is>
          <t>Madrid</t>
        </is>
      </c>
      <c r="E52" t="inlineStr">
        <is>
          <t>2025-11-18</t>
        </is>
      </c>
      <c r="F52" t="inlineStr">
        <is>
          <t>2025-11-25</t>
        </is>
      </c>
      <c r="G52" t="inlineStr">
        <is>
          <t xml:space="preserve"> - BEACH HOSTEL</t>
        </is>
      </c>
      <c r="H52">
        <f>HYPERLINK("https://booking.roadsurfer.com/es/rally/pick?pickup_date=2025-11-18&amp;return_date=2025-11-25&amp;currency=EUR&amp;startStation=1&amp;endStation=20", "Clic para verlo en la web de RoadSurfer")</f>
        <v/>
      </c>
    </row>
    <row r="53">
      <c r="A53" t="inlineStr">
        <is>
          <t>Alemania</t>
        </is>
      </c>
      <c r="B53" t="inlineStr">
        <is>
          <t>Múnich</t>
        </is>
      </c>
      <c r="C53" t="inlineStr">
        <is>
          <t>España</t>
        </is>
      </c>
      <c r="D53" t="inlineStr">
        <is>
          <t>Valencia</t>
        </is>
      </c>
      <c r="E53" t="inlineStr">
        <is>
          <t>2025-11-06</t>
        </is>
      </c>
      <c r="F53" t="inlineStr">
        <is>
          <t>2025-11-13</t>
        </is>
      </c>
      <c r="G53" t="inlineStr">
        <is>
          <t xml:space="preserve"> - ROAD HOUSE</t>
        </is>
      </c>
      <c r="H53">
        <f>HYPERLINK("https://booking.roadsurfer.com/es/rally/pick?pickup_date=2025-11-06&amp;return_date=2025-11-13&amp;currency=EUR&amp;startStation=1&amp;endStation=38", "Clic para verlo en la web de RoadSurfer")</f>
        <v/>
      </c>
    </row>
    <row r="54">
      <c r="A54" t="inlineStr">
        <is>
          <t>Austria</t>
        </is>
      </c>
      <c r="B54" t="inlineStr">
        <is>
          <t>Salzburgo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2025-11-12</t>
        </is>
      </c>
      <c r="F54" t="inlineStr">
        <is>
          <t>2025-11-19</t>
        </is>
      </c>
      <c r="G54" t="inlineStr">
        <is>
          <t xml:space="preserve"> - Camper Castle</t>
        </is>
      </c>
      <c r="H54">
        <f>HYPERLINK("https://booking.roadsurfer.com/es/rally/pick?pickup_date=2025-11-12&amp;return_date=2025-11-19&amp;currency=EUR&amp;startStation=85&amp;endStation=3", "Clic para verlo en la web de RoadSurfer")</f>
        <v/>
      </c>
    </row>
    <row r="55">
      <c r="A55" t="inlineStr">
        <is>
          <t>Alemania</t>
        </is>
      </c>
      <c r="B55" t="inlineStr">
        <is>
          <t>Stuttgart</t>
        </is>
      </c>
      <c r="C55" t="inlineStr">
        <is>
          <t>España</t>
        </is>
      </c>
      <c r="D55" t="inlineStr">
        <is>
          <t>Sevilla</t>
        </is>
      </c>
      <c r="E55" t="inlineStr">
        <is>
          <t>2025-11-12</t>
        </is>
      </c>
      <c r="F55" t="inlineStr">
        <is>
          <t>2025-11-19</t>
        </is>
      </c>
      <c r="G55" t="inlineStr">
        <is>
          <t xml:space="preserve"> - Surfer Suite</t>
        </is>
      </c>
      <c r="H55">
        <f>HYPERLINK("https://booking.roadsurfer.com/es/rally/pick?pickup_date=2025-11-12&amp;return_date=2025-11-19&amp;currency=EUR&amp;startStation=5&amp;endStation=39", "Clic para verlo en la web de RoadSurfer")</f>
        <v/>
      </c>
    </row>
    <row r="56">
      <c r="A56" t="inlineStr">
        <is>
          <t>Alemania</t>
        </is>
      </c>
      <c r="B56" t="inlineStr">
        <is>
          <t>Stuttgart</t>
        </is>
      </c>
      <c r="C56" t="inlineStr">
        <is>
          <t>España</t>
        </is>
      </c>
      <c r="D56" t="inlineStr">
        <is>
          <t>Barcelona</t>
        </is>
      </c>
      <c r="E56" t="inlineStr">
        <is>
          <t>2025-11-07</t>
        </is>
      </c>
      <c r="F56" t="inlineStr">
        <is>
          <t>2025-11-14</t>
        </is>
      </c>
      <c r="G56" t="inlineStr">
        <is>
          <t xml:space="preserve"> - Beach Hostel</t>
        </is>
      </c>
      <c r="H56">
        <f>HYPERLINK("https://booking.roadsurfer.com/es/rally/pick?pickup_date=2025-11-07&amp;return_date=2025-11-14&amp;currency=EUR&amp;startStation=5&amp;endStation=17", "Clic para verlo en la web de RoadSurfer")</f>
        <v/>
      </c>
    </row>
    <row r="57">
      <c r="A57" t="inlineStr">
        <is>
          <t>Alemania</t>
        </is>
      </c>
      <c r="B57" t="inlineStr">
        <is>
          <t>Stuttgart</t>
        </is>
      </c>
      <c r="C57" t="inlineStr">
        <is>
          <t>España</t>
        </is>
      </c>
      <c r="D57" t="inlineStr">
        <is>
          <t>Barcelona</t>
        </is>
      </c>
      <c r="E57" t="inlineStr">
        <is>
          <t>2025-11-12</t>
        </is>
      </c>
      <c r="F57" t="inlineStr">
        <is>
          <t>2025-11-19</t>
        </is>
      </c>
      <c r="G57" t="inlineStr">
        <is>
          <t xml:space="preserve"> - Surfer Suite</t>
        </is>
      </c>
      <c r="H57">
        <f>HYPERLINK("https://booking.roadsurfer.com/es/rally/pick?pickup_date=2025-11-12&amp;return_date=2025-11-19&amp;currency=EUR&amp;startStation=5&amp;endStation=17", "Clic para verlo en la web de RoadSurfer")</f>
        <v/>
      </c>
    </row>
    <row r="58">
      <c r="A58" t="inlineStr">
        <is>
          <t>Alemania</t>
        </is>
      </c>
      <c r="B58" t="inlineStr">
        <is>
          <t>Stuttgart</t>
        </is>
      </c>
      <c r="C58" t="inlineStr">
        <is>
          <t>España</t>
        </is>
      </c>
      <c r="D58" t="inlineStr">
        <is>
          <t>Barcelona</t>
        </is>
      </c>
      <c r="E58" t="inlineStr">
        <is>
          <t>2025-11-22</t>
        </is>
      </c>
      <c r="F58" t="inlineStr">
        <is>
          <t>2025-11-29</t>
        </is>
      </c>
      <c r="G58" t="inlineStr">
        <is>
          <t xml:space="preserve"> - Surfer Suite</t>
        </is>
      </c>
      <c r="H58">
        <f>HYPERLINK("https://booking.roadsurfer.com/es/rally/pick?pickup_date=2025-11-22&amp;return_date=2025-11-29&amp;currency=EUR&amp;startStation=5&amp;endStation=17", "Clic para verlo en la web de RoadSurfer")</f>
        <v/>
      </c>
    </row>
    <row r="59">
      <c r="A59" t="inlineStr">
        <is>
          <t>Alemania</t>
        </is>
      </c>
      <c r="B59" t="inlineStr">
        <is>
          <t>Stuttgart</t>
        </is>
      </c>
      <c r="C59" t="inlineStr">
        <is>
          <t>España</t>
        </is>
      </c>
      <c r="D59" t="inlineStr">
        <is>
          <t>Valencia</t>
        </is>
      </c>
      <c r="E59" t="inlineStr">
        <is>
          <t>2025-11-24</t>
        </is>
      </c>
      <c r="F59" t="inlineStr">
        <is>
          <t>2025-12-01</t>
        </is>
      </c>
      <c r="G59" t="inlineStr">
        <is>
          <t xml:space="preserve"> - Surfer Suite</t>
        </is>
      </c>
      <c r="H59">
        <f>HYPERLINK("https://booking.roadsurfer.com/es/rally/pick?pickup_date=2025-11-24&amp;return_date=2025-12-01&amp;currency=EUR&amp;startStation=5&amp;endStation=38", "Clic para verlo en la web de RoadSurfer")</f>
        <v/>
      </c>
    </row>
    <row r="60">
      <c r="A60" t="inlineStr">
        <is>
          <t>Alemania</t>
        </is>
      </c>
      <c r="B60" t="inlineStr">
        <is>
          <t>Stuttgart</t>
        </is>
      </c>
      <c r="C60" t="inlineStr">
        <is>
          <t>Francia</t>
        </is>
      </c>
      <c r="D60" t="inlineStr">
        <is>
          <t>Nantes</t>
        </is>
      </c>
      <c r="E60" t="inlineStr">
        <is>
          <t>2025-11-24</t>
        </is>
      </c>
      <c r="F60" t="inlineStr">
        <is>
          <t>2025-12-01</t>
        </is>
      </c>
      <c r="G60" t="inlineStr">
        <is>
          <t xml:space="preserve"> - Beach Hostel</t>
        </is>
      </c>
      <c r="H60">
        <f>HYPERLINK("https://booking.roadsurfer.com/es/rally/pick?pickup_date=2025-11-24&amp;return_date=2025-12-01&amp;currency=EUR&amp;startStation=5&amp;endStation=31", "Clic para verlo en la web de RoadSurfer")</f>
        <v/>
      </c>
    </row>
    <row r="61">
      <c r="A61" t="inlineStr">
        <is>
          <t>Alemania</t>
        </is>
      </c>
      <c r="B61" t="inlineStr">
        <is>
          <t>Stuttgart</t>
        </is>
      </c>
      <c r="C61" t="inlineStr">
        <is>
          <t>Francia</t>
        </is>
      </c>
      <c r="D61" t="inlineStr">
        <is>
          <t>Burdeos</t>
        </is>
      </c>
      <c r="E61" t="inlineStr">
        <is>
          <t>2025-11-21</t>
        </is>
      </c>
      <c r="F61" t="inlineStr">
        <is>
          <t>2025-11-28</t>
        </is>
      </c>
      <c r="G61" t="inlineStr">
        <is>
          <t xml:space="preserve"> - Camper Cabin</t>
        </is>
      </c>
      <c r="H61">
        <f>HYPERLINK("https://booking.roadsurfer.com/es/rally/pick?pickup_date=2025-11-21&amp;return_date=2025-11-28&amp;currency=EUR&amp;startStation=5&amp;endStation=13", "Clic para verlo en la web de RoadSurfer")</f>
        <v/>
      </c>
    </row>
    <row r="62">
      <c r="A62" t="inlineStr">
        <is>
          <t>Alemania</t>
        </is>
      </c>
      <c r="B62" t="inlineStr">
        <is>
          <t>Tréveris</t>
        </is>
      </c>
      <c r="C62" t="inlineStr">
        <is>
          <t>España</t>
        </is>
      </c>
      <c r="D62" t="inlineStr">
        <is>
          <t>Valencia</t>
        </is>
      </c>
      <c r="E62" t="inlineStr">
        <is>
          <t>2025-11-12</t>
        </is>
      </c>
      <c r="F62" t="inlineStr">
        <is>
          <t>2025-11-19</t>
        </is>
      </c>
      <c r="G62" t="inlineStr">
        <is>
          <t xml:space="preserve"> - Road House</t>
        </is>
      </c>
      <c r="H62">
        <f>HYPERLINK("https://booking.roadsurfer.com/es/rally/pick?pickup_date=2025-11-12&amp;return_date=2025-11-19&amp;currency=EUR&amp;startStation=28&amp;endStation=38", "Clic para verlo en la web de RoadSurfer")</f>
        <v/>
      </c>
    </row>
    <row r="63">
      <c r="A63" t="inlineStr">
        <is>
          <t>Alemania</t>
        </is>
      </c>
      <c r="B63" t="inlineStr">
        <is>
          <t>Tréveris</t>
        </is>
      </c>
      <c r="C63" t="inlineStr">
        <is>
          <t>España</t>
        </is>
      </c>
      <c r="D63" t="inlineStr">
        <is>
          <t>Valencia</t>
        </is>
      </c>
      <c r="E63" t="inlineStr">
        <is>
          <t>2025-11-11</t>
        </is>
      </c>
      <c r="F63" t="inlineStr">
        <is>
          <t>2025-11-18</t>
        </is>
      </c>
      <c r="G63" t="inlineStr">
        <is>
          <t xml:space="preserve"> - ROAD HOUSE</t>
        </is>
      </c>
      <c r="H63">
        <f>HYPERLINK("https://booking.roadsurfer.com/es/rally/pick?pickup_date=2025-11-11&amp;return_date=2025-11-18&amp;currency=EUR&amp;startStation=28&amp;endStation=38", "Clic para verlo en la web de RoadSurfer")</f>
        <v/>
      </c>
    </row>
    <row r="64">
      <c r="A64" t="inlineStr">
        <is>
          <t>Alemania</t>
        </is>
      </c>
      <c r="B64" t="inlineStr">
        <is>
          <t>Tréveris</t>
        </is>
      </c>
      <c r="C64" t="inlineStr">
        <is>
          <t>España</t>
        </is>
      </c>
      <c r="D64" t="inlineStr">
        <is>
          <t>Sevilla</t>
        </is>
      </c>
      <c r="E64" t="inlineStr">
        <is>
          <t>2025-11-12</t>
        </is>
      </c>
      <c r="F64" t="inlineStr">
        <is>
          <t>2025-11-19</t>
        </is>
      </c>
      <c r="G64" t="inlineStr">
        <is>
          <t xml:space="preserve"> - Family Finca</t>
        </is>
      </c>
      <c r="H64">
        <f>HYPERLINK("https://booking.roadsurfer.com/es/rally/pick?pickup_date=2025-11-12&amp;return_date=2025-11-19&amp;currency=EUR&amp;startStation=28&amp;endStation=39", "Clic para verlo en la web de RoadSurfer")</f>
        <v/>
      </c>
    </row>
    <row r="65">
      <c r="A65" t="inlineStr">
        <is>
          <t>Alemania</t>
        </is>
      </c>
      <c r="B65" t="inlineStr">
        <is>
          <t>Tréveris</t>
        </is>
      </c>
      <c r="C65" t="inlineStr">
        <is>
          <t>Suecia</t>
        </is>
      </c>
      <c r="D65" t="inlineStr">
        <is>
          <t>Malmö</t>
        </is>
      </c>
      <c r="E65" t="inlineStr">
        <is>
          <t>2025-11-21</t>
        </is>
      </c>
      <c r="F65" t="inlineStr">
        <is>
          <t>2025-11-28</t>
        </is>
      </c>
      <c r="G65" t="inlineStr">
        <is>
          <t xml:space="preserve"> - Road House</t>
        </is>
      </c>
      <c r="H65">
        <f>HYPERLINK("https://booking.roadsurfer.com/es/rally/pick?pickup_date=2025-11-21&amp;return_date=2025-11-28&amp;currency=EUR&amp;startStation=28&amp;endStation=60", "Clic para verlo en la web de RoadSurfer")</f>
        <v/>
      </c>
    </row>
    <row r="66">
      <c r="A66" t="inlineStr">
        <is>
          <t>Italia</t>
        </is>
      </c>
      <c r="B66" t="inlineStr">
        <is>
          <t>Turín</t>
        </is>
      </c>
      <c r="C66" t="inlineStr">
        <is>
          <t>Alemania</t>
        </is>
      </c>
      <c r="D66" t="inlineStr">
        <is>
          <t>Constanza (Aach)</t>
        </is>
      </c>
      <c r="E66" t="inlineStr">
        <is>
          <t>2025-11-25</t>
        </is>
      </c>
      <c r="F66" t="inlineStr">
        <is>
          <t>2025-12-02</t>
        </is>
      </c>
      <c r="G66" t="inlineStr">
        <is>
          <t xml:space="preserve"> - FAMILY FINCA</t>
        </is>
      </c>
      <c r="H66">
        <f>HYPERLINK("https://booking.roadsurfer.com/es/rally/pick?pickup_date=2025-11-25&amp;return_date=2025-12-02&amp;currency=EUR&amp;startStation=58&amp;endStation=10",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2025-11-05T20:19:13Z</dcterms:created>
  <dcterms:modified xsi:type="dcterms:W3CDTF">2025-11-05T20:19:13Z</dcterms:modified>
</cp:coreProperties>
</file>