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2026-03-11</t>
        </is>
      </c>
      <c r="F21" t="inlineStr">
        <is>
          <t>2026-03-18</t>
        </is>
      </c>
      <c r="G21" t="inlineStr">
        <is>
          <t xml:space="preserve"> - Road House</t>
        </is>
      </c>
      <c r="H21">
        <f>HYPERLINK("https://booking.roadsurfer.com/es/rally/pick?pickup_date=2026-03-11&amp;return_date=2026-03-18&amp;currency=EUR&amp;startStation=47&amp;endStation=32",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Camper Castle</t>
        </is>
      </c>
      <c r="H22">
        <f>HYPERLINK("https://booking.roadsurfer.com/es/rally/pick?pickup_date=2026-03-05&amp;return_date=2026-03-12&amp;currency=EUR&amp;startStation=47&amp;endStation=32",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2026-02-28</t>
        </is>
      </c>
      <c r="F23" t="inlineStr">
        <is>
          <t>2026-03-07</t>
        </is>
      </c>
      <c r="G23" t="inlineStr">
        <is>
          <t xml:space="preserve"> - Surfer Suite</t>
        </is>
      </c>
      <c r="H23">
        <f>HYPERLINK("https://booking.roadsurfer.com/es/rally/pick?pickup_date=2026-02-28&amp;return_date=2026-03-07&amp;currency=EUR&amp;startStation=47&amp;endStation=56",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2026-03-06</t>
        </is>
      </c>
      <c r="F24" t="inlineStr">
        <is>
          <t>2026-03-13</t>
        </is>
      </c>
      <c r="G24" t="inlineStr">
        <is>
          <t xml:space="preserve"> - Beach Hostel</t>
        </is>
      </c>
      <c r="H24">
        <f>HYPERLINK("https://booking.roadsurfer.com/es/rally/pick?pickup_date=2026-03-06&amp;return_date=2026-03-13&amp;currency=EUR&amp;startStation=47&amp;endStation=56",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Beach Hostel</t>
        </is>
      </c>
      <c r="H25">
        <f>HYPERLINK("https://booking.roadsurfer.com/es/rally/pick?pickup_date=2026-03-12&amp;return_date=2026-03-19&amp;currency=EUR&amp;startStation=47&amp;endStation=56",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 - Sunrise Suite</t>
        </is>
      </c>
      <c r="H26">
        <f>HYPERLINK("https://booking.roadsurfer.com/es/rally/pick?pickup_date=2026-03-14&amp;return_date=2026-03-21&amp;currency=EUR&amp;startStation=47&amp;endStation=56",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2026-04-15</t>
        </is>
      </c>
      <c r="F27" t="inlineStr">
        <is>
          <t>2026-04-22</t>
        </is>
      </c>
      <c r="G27" t="inlineStr">
        <is>
          <t xml:space="preserve"> - FAMILY FINCA</t>
        </is>
      </c>
      <c r="H27">
        <f>HYPERLINK("https://booking.roadsurfer.com/es/rally/pick?pickup_date=2026-04-15&amp;return_date=2026-04-22&amp;currency=EUR&amp;startStation=47&amp;endStation=56",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HYPERLINK("https://booking.roadsurfer.com/es/rally/pick?pickup_date=2026-03-12&amp;return_date=2026-03-19&amp;currency=EUR&amp;startStation=47&amp;endStation=52",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Family Finca</t>
        </is>
      </c>
      <c r="H32">
        <f>HYPERLINK("https://booking.roadsurfer.com/es/rally/pick?pickup_date=2026-03-09&amp;return_date=2026-03-16&amp;currency=EUR&amp;startStation=47&amp;endStation=34",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2026-03-12</t>
        </is>
      </c>
      <c r="F34" t="inlineStr">
        <is>
          <t>2026-03-19</t>
        </is>
      </c>
      <c r="G34" t="inlineStr">
        <is>
          <t xml:space="preserve"> - No hay coche</t>
        </is>
      </c>
      <c r="H34">
        <f>HYPERLINK("https://booking.roadsurfer.com/es/rally/pick?pickup_date=2026-03-12&amp;return_date=2026-03-19&amp;currency=EUR&amp;startStation=108&amp;endStation=80",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2026-04-10</t>
        </is>
      </c>
      <c r="F36" t="inlineStr">
        <is>
          <t>2026-04-17</t>
        </is>
      </c>
      <c r="G36" t="inlineStr">
        <is>
          <t xml:space="preserve"> - No hay coche</t>
        </is>
      </c>
      <c r="H36">
        <f>HYPERLINK("https://booking.roadsurfer.com/es/rally/pick?pickup_date=2026-04-10&amp;return_date=2026-04-17&amp;currency=EUR&amp;startStation=108&amp;endStation=32",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2026-03-26</t>
        </is>
      </c>
      <c r="F37" t="inlineStr">
        <is>
          <t>2026-04-02</t>
        </is>
      </c>
      <c r="G37" t="inlineStr">
        <is>
          <t xml:space="preserve"> - Surfer Suite</t>
        </is>
      </c>
      <c r="H37">
        <f>HYPERLINK("https://booking.roadsurfer.com/es/rally/pick?pickup_date=2026-03-26&amp;return_date=2026-04-02&amp;currency=EUR&amp;startStation=108&amp;endStation=32",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2026-03-10</t>
        </is>
      </c>
      <c r="F38" t="inlineStr">
        <is>
          <t>2026-03-17</t>
        </is>
      </c>
      <c r="G38" t="inlineStr">
        <is>
          <t xml:space="preserve"> - Beach Hostel</t>
        </is>
      </c>
      <c r="H38">
        <f>HYPERLINK("https://booking.roadsurfer.com/es/rally/pick?pickup_date=2026-03-10&amp;return_date=2026-03-17&amp;currency=EUR&amp;startStation=108&amp;endStation=20",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Surfer Suite</t>
        </is>
      </c>
      <c r="H39">
        <f>HYPERLINK("https://booking.roadsurfer.com/es/rally/pick?pickup_date=2026-03-04&amp;return_date=2026-03-11&amp;currency=EUR&amp;startStation=108&amp;endStation=34",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2026-03-05</t>
        </is>
      </c>
      <c r="F40" t="inlineStr">
        <is>
          <t>2026-03-12</t>
        </is>
      </c>
      <c r="G40" t="inlineStr">
        <is>
          <t xml:space="preserve"> - Road House</t>
        </is>
      </c>
      <c r="H40">
        <f>HYPERLINK("https://booking.roadsurfer.com/es/rally/pick?pickup_date=2026-03-05&amp;return_date=2026-03-12&amp;currency=EUR&amp;startStation=17&amp;endStation=9",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Family Finca</t>
        </is>
      </c>
      <c r="H41">
        <f>HYPERLINK("https://booking.roadsurfer.com/es/rally/pick?pickup_date=2026-03-04&amp;return_date=2026-03-11&amp;currency=EUR&amp;startStation=17&amp;endStation=9",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Road House</t>
        </is>
      </c>
      <c r="H42">
        <f>HYPERLINK("https://booking.roadsurfer.com/es/rally/pick?pickup_date=2026-04-14&amp;return_date=2026-04-21&amp;currency=EUR&amp;startStation=17&amp;endStation=9",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Bochum</t>
        </is>
      </c>
      <c r="E46" t="inlineStr">
        <is>
          <t>2026-03-18</t>
        </is>
      </c>
      <c r="F46" t="inlineStr">
        <is>
          <t>2026-03-25</t>
        </is>
      </c>
      <c r="G46" t="inlineStr">
        <is>
          <t xml:space="preserve"> - Beach Hostel</t>
        </is>
      </c>
      <c r="H46">
        <f>HYPERLINK("https://booking.roadsurfer.com/es/rally/pick?pickup_date=2026-03-18&amp;return_date=2026-03-25&amp;currency=EUR&amp;startStation=17&amp;endStation=24",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2026-02-28</t>
        </is>
      </c>
      <c r="F47" t="inlineStr">
        <is>
          <t>2026-03-07</t>
        </is>
      </c>
      <c r="G47" t="inlineStr">
        <is>
          <t xml:space="preserve"> - Beach Hostel</t>
        </is>
      </c>
      <c r="H47">
        <f>HYPERLINK("https://booking.roadsurfer.com/es/rally/pick?pickup_date=2026-02-28&amp;return_date=2026-03-07&amp;currency=EUR&amp;startStation=17&amp;endStation=4",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2026-03-05</t>
        </is>
      </c>
      <c r="F49" t="inlineStr">
        <is>
          <t>2026-03-12</t>
        </is>
      </c>
      <c r="G49" t="inlineStr">
        <is>
          <t xml:space="preserve"> - Family Finca</t>
        </is>
      </c>
      <c r="H49">
        <f>HYPERLINK("https://booking.roadsurfer.com/es/rally/pick?pickup_date=2026-03-05&amp;return_date=2026-03-12&amp;currency=EUR&amp;startStation=94&amp;endStation=3",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2026-02-27</t>
        </is>
      </c>
      <c r="F50" t="inlineStr">
        <is>
          <t>2026-03-06</t>
        </is>
      </c>
      <c r="G50" t="inlineStr">
        <is>
          <t xml:space="preserve"> - Road House</t>
        </is>
      </c>
      <c r="H50">
        <f>HYPERLINK("https://booking.roadsurfer.com/es/rally/pick?pickup_date=2026-02-27&amp;return_date=2026-03-06&amp;currency=EUR&amp;startStation=94&amp;endStation=3",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2026-03-10</t>
        </is>
      </c>
      <c r="F54" t="inlineStr">
        <is>
          <t>2026-03-17</t>
        </is>
      </c>
      <c r="G54" t="inlineStr">
        <is>
          <t xml:space="preserve"> - Surfer Suite - Family Finca</t>
        </is>
      </c>
      <c r="H54">
        <f>HYPERLINK("https://booking.roadsurfer.com/es/rally/pick?pickup_date=2026-03-10&amp;return_date=2026-03-17&amp;currency=EUR&amp;startStation=94&amp;endStation=2",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2026-03-12</t>
        </is>
      </c>
      <c r="F56" t="inlineStr">
        <is>
          <t>2026-03-19</t>
        </is>
      </c>
      <c r="G56" t="inlineStr">
        <is>
          <t xml:space="preserve"> - Family Finca</t>
        </is>
      </c>
      <c r="H56">
        <f>HYPERLINK("https://booking.roadsurfer.com/es/rally/pick?pickup_date=2026-03-12&amp;return_date=2026-03-19&amp;currency=EUR&amp;startStation=94&amp;endStation=2",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Camper Castle</t>
        </is>
      </c>
      <c r="H57">
        <f>HYPERLINK("https://booking.roadsurfer.com/es/rally/pick?pickup_date=2026-03-11&amp;return_date=2026-03-18&amp;currency=EUR&amp;startStation=94&amp;endStation=11",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2026-03-17</t>
        </is>
      </c>
      <c r="F58" t="inlineStr">
        <is>
          <t>2026-03-24</t>
        </is>
      </c>
      <c r="G58" t="inlineStr">
        <is>
          <t xml:space="preserve"> - Surfer Suite</t>
        </is>
      </c>
      <c r="H58">
        <f>HYPERLINK("https://booking.roadsurfer.com/es/rally/pick?pickup_date=2026-03-17&amp;return_date=2026-03-24&amp;currency=EUR&amp;startStation=94&amp;endStation=22",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HYPERLINK("https://booking.roadsurfer.com/es/rally/pick?pickup_date=2026-03-12&amp;return_date=2026-03-19&amp;currency=EUR&amp;startStation=94&amp;endStation=56",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Beach Hostel</t>
        </is>
      </c>
      <c r="H60">
        <f>HYPERLINK("https://booking.roadsurfer.com/es/rally/pick?pickup_date=2026-03-13&amp;return_date=2026-03-20&amp;currency=EUR&amp;startStation=94&amp;endStation=90",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2026-02-27</t>
        </is>
      </c>
      <c r="F61" t="inlineStr">
        <is>
          <t>2026-03-06</t>
        </is>
      </c>
      <c r="G61" t="inlineStr">
        <is>
          <t xml:space="preserve"> - Road House</t>
        </is>
      </c>
      <c r="H61">
        <f>HYPERLINK("https://booking.roadsurfer.com/es/rally/pick?pickup_date=2026-02-27&amp;return_date=2026-03-06&amp;currency=EUR&amp;startStation=6&amp;endStation=48",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2026-03-09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2026-03-17</t>
        </is>
      </c>
      <c r="F63" t="inlineStr">
        <is>
          <t>2026-03-24</t>
        </is>
      </c>
      <c r="G63" t="inlineStr">
        <is>
          <t xml:space="preserve"> - Beach Hostel</t>
        </is>
      </c>
      <c r="H63">
        <f>HYPERLINK("https://booking.roadsurfer.com/es/rally/pick?pickup_date=2026-03-17&amp;return_date=2026-03-24&amp;currency=EUR&amp;startStation=6&amp;endStation=34",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Beach Hostel</t>
        </is>
      </c>
      <c r="H64">
        <f>HYPERLINK("https://booking.roadsurfer.com/es/rally/pick?pickup_date=2026-03-19&amp;return_date=2026-03-26&amp;currency=EUR&amp;startStation=6&amp;endStation=34",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2026-03-13</t>
        </is>
      </c>
      <c r="F65" t="inlineStr">
        <is>
          <t>2026-03-20</t>
        </is>
      </c>
      <c r="G65" t="inlineStr">
        <is>
          <t xml:space="preserve"> - CAMPER CABIN DELUXE</t>
        </is>
      </c>
      <c r="H65">
        <f>HYPERLINK("https://booking.roadsurfer.com/es/rally/pick?pickup_date=2026-03-13&amp;return_date=2026-03-20&amp;currency=EUR&amp;startStation=6&amp;endStation=32",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 - Family Finca</t>
        </is>
      </c>
      <c r="H66">
        <f>HYPERLINK("https://booking.roadsurfer.com/es/rally/pick?pickup_date=2026-03-23&amp;return_date=2026-03-30&amp;currency=EUR&amp;startStation=6&amp;endStation=32",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2026-03-10</t>
        </is>
      </c>
      <c r="F67" t="inlineStr">
        <is>
          <t>2026-03-17</t>
        </is>
      </c>
      <c r="G67" t="inlineStr">
        <is>
          <t xml:space="preserve"> - Couple Cottage</t>
        </is>
      </c>
      <c r="H67">
        <f>HYPERLINK("https://booking.roadsurfer.com/es/rally/pick?pickup_date=2026-03-10&amp;return_date=2026-03-17&amp;currency=EUR&amp;startStation=6&amp;endStation=32",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Family Finca</t>
        </is>
      </c>
      <c r="H68">
        <f>HYPERLINK("https://booking.roadsurfer.com/es/rally/pick?pickup_date=2026-03-16&amp;return_date=2026-03-23&amp;currency=EUR&amp;startStation=6&amp;endStation=32",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Couple Cottage</t>
        </is>
      </c>
      <c r="H69">
        <f>HYPERLINK("https://booking.roadsurfer.com/es/rally/pick?pickup_date=2026-03-11&amp;return_date=2026-03-18&amp;currency=EUR&amp;startStation=6&amp;endStation=33",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2026-03-28</t>
        </is>
      </c>
      <c r="F71" t="inlineStr">
        <is>
          <t>2026-04-04</t>
        </is>
      </c>
      <c r="G71" t="inlineStr">
        <is>
          <t xml:space="preserve"> - Surfer Suite</t>
        </is>
      </c>
      <c r="H71">
        <f>HYPERLINK("https://booking.roadsurfer.com/es/rally/pick?pickup_date=2026-03-28&amp;return_date=2026-04-04&amp;currency=EUR&amp;startStation=6&amp;endStation=30",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Surfer Suite</t>
        </is>
      </c>
      <c r="H72">
        <f>HYPERLINK("https://booking.roadsurfer.com/es/rally/pick?pickup_date=2026-03-16&amp;return_date=2026-03-23&amp;currency=EUR&amp;startStation=6&amp;endStation=30",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2026-03-02</t>
        </is>
      </c>
      <c r="F74" t="inlineStr">
        <is>
          <t>2026-03-09</t>
        </is>
      </c>
      <c r="G74" t="inlineStr">
        <is>
          <t xml:space="preserve"> - Surfer Suite</t>
        </is>
      </c>
      <c r="H74">
        <f>HYPERLINK("https://booking.roadsurfer.com/es/rally/pick?pickup_date=2026-03-02&amp;return_date=2026-03-09&amp;currency=EUR&amp;startStation=6&amp;endStation=60",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2026-03-27</t>
        </is>
      </c>
      <c r="F76" t="inlineStr">
        <is>
          <t>2026-04-03</t>
        </is>
      </c>
      <c r="G76" t="inlineStr">
        <is>
          <t xml:space="preserve"> - No hay coche</t>
        </is>
      </c>
      <c r="H76">
        <f>HYPERLINK("https://booking.roadsurfer.com/es/rally/pick?pickup_date=2026-03-27&amp;return_date=2026-04-03&amp;currency=EUR&amp;startStation=6&amp;endStation=59",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2026-03-19</t>
        </is>
      </c>
      <c r="F77" t="inlineStr">
        <is>
          <t>2026-03-26</t>
        </is>
      </c>
      <c r="G77" t="inlineStr">
        <is>
          <t xml:space="preserve"> - FAMILY FINCA</t>
        </is>
      </c>
      <c r="H77">
        <f>HYPERLINK("https://booking.roadsurfer.com/es/rally/pick?pickup_date=2026-03-19&amp;return_date=2026-03-26&amp;currency=EUR&amp;startStation=6&amp;endStation=116",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2026-03-12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HYPERLINK("https://booking.roadsurfer.com/es/rally/pick?pickup_date=2026-03-12&amp;return_date=2026-03-19&amp;currency=EUR&amp;startStation=6&amp;endStation=116",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2026-03-20</t>
        </is>
      </c>
      <c r="F79" t="inlineStr">
        <is>
          <t>2026-03-27</t>
        </is>
      </c>
      <c r="G79" t="inlineStr">
        <is>
          <t xml:space="preserve"> - Surfer Suite</t>
        </is>
      </c>
      <c r="H79">
        <f>HYPERLINK("https://booking.roadsurfer.com/es/rally/pick?pickup_date=2026-03-20&amp;return_date=2026-03-27&amp;currency=EUR&amp;startStation=6&amp;endStation=87",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2026-04-03</t>
        </is>
      </c>
      <c r="F80" t="inlineStr">
        <is>
          <t>2026-04-10</t>
        </is>
      </c>
      <c r="G80" t="inlineStr">
        <is>
          <t xml:space="preserve"> - No hay coche</t>
        </is>
      </c>
      <c r="H80">
        <f>HYPERLINK("https://booking.roadsurfer.com/es/rally/pick?pickup_date=2026-04-03&amp;return_date=2026-04-10&amp;currency=EUR&amp;startStation=6&amp;endStation=87",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2026-02-27</t>
        </is>
      </c>
      <c r="F81" t="inlineStr">
        <is>
          <t>2026-03-06</t>
        </is>
      </c>
      <c r="G81" t="inlineStr">
        <is>
          <t xml:space="preserve"> - Family Finca</t>
        </is>
      </c>
      <c r="H81">
        <f>HYPERLINK("https://booking.roadsurfer.com/es/rally/pick?pickup_date=2026-02-27&amp;return_date=2026-03-06&amp;currency=EUR&amp;startStation=6&amp;endStation=87",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 - COUPLE COTTAGE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Sunrise Suite</t>
        </is>
      </c>
      <c r="H83">
        <f>HYPERLINK("https://booking.roadsurfer.com/es/rally/pick?pickup_date=2026-03-20&amp;return_date=2026-03-27&amp;currency=EUR&amp;startStation=6&amp;endStation=8",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2026-03-13</t>
        </is>
      </c>
      <c r="F84" t="inlineStr">
        <is>
          <t>2026-03-20</t>
        </is>
      </c>
      <c r="G84" t="inlineStr">
        <is>
          <t xml:space="preserve"> - Sunrise Suite</t>
        </is>
      </c>
      <c r="H84">
        <f>HYPERLINK("https://booking.roadsurfer.com/es/rally/pick?pickup_date=2026-03-13&amp;return_date=2026-03-20&amp;currency=EUR&amp;startStation=6&amp;endStation=8",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2026-03-05</t>
        </is>
      </c>
      <c r="F85" t="inlineStr">
        <is>
          <t>2026-03-12</t>
        </is>
      </c>
      <c r="G85" t="inlineStr">
        <is>
          <t xml:space="preserve"> - Family Finca</t>
        </is>
      </c>
      <c r="H85">
        <f>HYPERLINK("https://booking.roadsurfer.com/es/rally/pick?pickup_date=2026-03-05&amp;return_date=2026-03-12&amp;currency=EUR&amp;startStation=6&amp;endStation=65",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BEACH HOSTEL</t>
        </is>
      </c>
      <c r="H86">
        <f>HYPERLINK("https://booking.roadsurfer.com/es/rally/pick?pickup_date=2026-03-06&amp;return_date=2026-03-13&amp;currency=EUR&amp;startStation=6&amp;endStation=65",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Lübeck</t>
        </is>
      </c>
      <c r="E87" t="inlineStr">
        <is>
          <t>2026-04-01</t>
        </is>
      </c>
      <c r="F87" t="inlineStr">
        <is>
          <t>2026-04-08</t>
        </is>
      </c>
      <c r="G87" t="inlineStr">
        <is>
          <t xml:space="preserve"> - Camper Cabin</t>
        </is>
      </c>
      <c r="H87">
        <f>HYPERLINK("https://booking.roadsurfer.com/es/rally/pick?pickup_date=2026-04-01&amp;return_date=2026-04-08&amp;currency=EUR&amp;startStation=6&amp;endStation=109",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Sunrise Suite</t>
        </is>
      </c>
      <c r="H88">
        <f>HYPERLINK("https://booking.roadsurfer.com/es/rally/pick?pickup_date=2026-03-16&amp;return_date=2026-03-23&amp;currency=EUR&amp;startStation=6&amp;endStation=10",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Italia</t>
        </is>
      </c>
      <c r="D89" t="inlineStr">
        <is>
          <t>Florencia</t>
        </is>
      </c>
      <c r="E89" t="inlineStr">
        <is>
          <t>2026-03-10</t>
        </is>
      </c>
      <c r="F89" t="inlineStr">
        <is>
          <t>2026-03-17</t>
        </is>
      </c>
      <c r="G89" t="inlineStr">
        <is>
          <t xml:space="preserve"> - Surfer Suite</t>
        </is>
      </c>
      <c r="H89">
        <f>HYPERLINK("https://booking.roadsurfer.com/es/rally/pick?pickup_date=2026-03-10&amp;return_date=2026-03-17&amp;currency=EUR&amp;startStation=6&amp;endStation=80",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2026-02-27</t>
        </is>
      </c>
      <c r="F90" t="inlineStr">
        <is>
          <t>2026-03-06</t>
        </is>
      </c>
      <c r="G90" t="inlineStr">
        <is>
          <t xml:space="preserve"> - Surfer Suite</t>
        </is>
      </c>
      <c r="H90">
        <f>HYPERLINK("https://booking.roadsurfer.com/es/rally/pick?pickup_date=2026-02-27&amp;return_date=2026-03-06&amp;currency=EUR&amp;startStation=51&amp;endStation=37",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2026-03-04</t>
        </is>
      </c>
      <c r="F91" t="inlineStr">
        <is>
          <t>2026-03-11</t>
        </is>
      </c>
      <c r="G91" t="inlineStr">
        <is>
          <t xml:space="preserve"> - Road House - COUPLE COTTAGE</t>
        </is>
      </c>
      <c r="H91">
        <f>HYPERLINK("https://booking.roadsurfer.com/es/rally/pick?pickup_date=2026-03-04&amp;return_date=2026-03-11&amp;currency=EUR&amp;startStation=51&amp;endStation=32",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2026-03-30</t>
        </is>
      </c>
      <c r="F92" t="inlineStr">
        <is>
          <t>2026-04-06</t>
        </is>
      </c>
      <c r="G92" t="inlineStr">
        <is>
          <t xml:space="preserve"> - No hay coche</t>
        </is>
      </c>
      <c r="H92">
        <f>HYPERLINK("https://booking.roadsurfer.com/es/rally/pick?pickup_date=2026-03-30&amp;return_date=2026-04-06&amp;currency=EUR&amp;startStation=51&amp;endStation=32",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2026-03-04</t>
        </is>
      </c>
      <c r="F93" t="inlineStr">
        <is>
          <t>2026-03-11</t>
        </is>
      </c>
      <c r="G93" t="inlineStr">
        <is>
          <t xml:space="preserve"> - ROAD HOUSE</t>
        </is>
      </c>
      <c r="H93">
        <f>HYPERLINK("https://booking.roadsurfer.com/es/rally/pick?pickup_date=2026-03-04&amp;return_date=2026-03-11&amp;currency=EUR&amp;startStation=51&amp;endStation=36",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Camper Castle</t>
        </is>
      </c>
      <c r="H94">
        <f>HYPERLINK("https://booking.roadsurfer.com/es/rally/pick?pickup_date=2026-03-20&amp;return_date=2026-03-27&amp;currency=EUR&amp;startStation=51&amp;endStation=36",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Road House</t>
        </is>
      </c>
      <c r="H95">
        <f>HYPERLINK("https://booking.roadsurfer.com/es/rally/pick?pickup_date=2026-03-19&amp;return_date=2026-03-26&amp;currency=EUR&amp;startStation=51&amp;endStation=58",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Road House</t>
        </is>
      </c>
      <c r="H96">
        <f>HYPERLINK("https://booking.roadsurfer.com/es/rally/pick?pickup_date=2026-03-20&amp;return_date=2026-03-27&amp;currency=EUR&amp;startStation=51&amp;endStation=58",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2026-03-21</t>
        </is>
      </c>
      <c r="F97" t="inlineStr">
        <is>
          <t>2026-03-28</t>
        </is>
      </c>
      <c r="G97" t="inlineStr">
        <is>
          <t xml:space="preserve"> - No hay coche</t>
        </is>
      </c>
      <c r="H97">
        <f>HYPERLINK("https://booking.roadsurfer.com/es/rally/pick?pickup_date=2026-03-21&amp;return_date=2026-03-28&amp;currency=EUR&amp;startStation=51&amp;endStation=58",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 Sur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COUPLE COTTAGE</t>
        </is>
      </c>
      <c r="H98">
        <f>HYPERLINK("https://booking.roadsurfer.com/es/rally/pick?pickup_date=2026-03-21&amp;return_date=2026-03-28&amp;currency=EUR&amp;startStation=51&amp;endStation=45",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Couple Cottage</t>
        </is>
      </c>
      <c r="H99">
        <f>HYPERLINK("https://booking.roadsurfer.com/es/rally/pick?pickup_date=2026-03-23&amp;return_date=2026-03-30&amp;currency=EUR&amp;startStation=51&amp;endStation=45",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2026-03-02</t>
        </is>
      </c>
      <c r="F100" t="inlineStr">
        <is>
          <t>2026-03-09</t>
        </is>
      </c>
      <c r="G100" t="inlineStr">
        <is>
          <t xml:space="preserve"> - Surfer Suite</t>
        </is>
      </c>
      <c r="H100">
        <f>HYPERLINK("https://booking.roadsurfer.com/es/rally/pick?pickup_date=2026-03-02&amp;return_date=2026-03-09&amp;currency=EUR&amp;startStation=51&amp;endStation=29",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Cozy Cottage</t>
        </is>
      </c>
      <c r="H101">
        <f>HYPERLINK("https://booking.roadsurfer.com/es/rally/pick?pickup_date=2026-03-20&amp;return_date=2026-03-27&amp;currency=EUR&amp;startStation=51&amp;endStation=87",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Cozy Cottage</t>
        </is>
      </c>
      <c r="H102">
        <f>HYPERLINK("https://booking.roadsurfer.com/es/rally/pick?pickup_date=2026-03-16&amp;return_date=2026-03-23&amp;currency=EUR&amp;startStation=51&amp;endStation=87",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2026-03-02</t>
        </is>
      </c>
      <c r="F103" t="inlineStr">
        <is>
          <t>2026-03-09</t>
        </is>
      </c>
      <c r="G103" t="inlineStr">
        <is>
          <t xml:space="preserve"> - Surfer Suite</t>
        </is>
      </c>
      <c r="H103">
        <f>HYPERLINK("https://booking.roadsurfer.com/es/rally/pick?pickup_date=2026-03-02&amp;return_date=2026-03-09&amp;currency=EUR&amp;startStation=51&amp;endStation=65",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2026-03-03</t>
        </is>
      </c>
      <c r="F104" t="inlineStr">
        <is>
          <t>2026-03-10</t>
        </is>
      </c>
      <c r="G104" t="inlineStr">
        <is>
          <t xml:space="preserve"> - Surfer Suite</t>
        </is>
      </c>
      <c r="H104">
        <f>HYPERLINK("https://booking.roadsurfer.com/es/rally/pick?pickup_date=2026-03-03&amp;return_date=2026-03-10&amp;currency=EUR&amp;startStation=51&amp;endStation=65",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Madrid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ROAD HOUSE</t>
        </is>
      </c>
      <c r="H105">
        <f>HYPERLINK("https://booking.roadsurfer.com/es/rally/pick?pickup_date=2026-03-03&amp;return_date=2026-03-10&amp;currency=EUR&amp;startStation=51&amp;endStation=20",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Italia</t>
        </is>
      </c>
      <c r="D106" t="inlineStr">
        <is>
          <t>Florencia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Family Finca</t>
        </is>
      </c>
      <c r="H106">
        <f>HYPERLINK("https://booking.roadsurfer.com/es/rally/pick?pickup_date=2026-03-09&amp;return_date=2026-03-16&amp;currency=EUR&amp;startStation=51&amp;endStation=80",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2026-03-02</t>
        </is>
      </c>
      <c r="F107" t="inlineStr">
        <is>
          <t>2026-03-09</t>
        </is>
      </c>
      <c r="G107" t="inlineStr">
        <is>
          <t xml:space="preserve"> - Family Finca</t>
        </is>
      </c>
      <c r="H107">
        <f>HYPERLINK("https://booking.roadsurfer.com/es/rally/pick?pickup_date=2026-03-02&amp;return_date=2026-03-09&amp;currency=EUR&amp;startStation=51&amp;endStation=34",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2026-02-27</t>
        </is>
      </c>
      <c r="F108" t="inlineStr">
        <is>
          <t>2026-03-06</t>
        </is>
      </c>
      <c r="G108" t="inlineStr">
        <is>
          <t xml:space="preserve"> - Camper Castle</t>
        </is>
      </c>
      <c r="H108">
        <f>HYPERLINK("https://booking.roadsurfer.com/es/rally/pick?pickup_date=2026-02-27&amp;return_date=2026-03-06&amp;currency=EUR&amp;startStation=51&amp;endStation=33",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2026-03-21</t>
        </is>
      </c>
      <c r="F109" t="inlineStr">
        <is>
          <t>2026-03-28</t>
        </is>
      </c>
      <c r="G109" t="inlineStr">
        <is>
          <t xml:space="preserve"> - Beach Hostel</t>
        </is>
      </c>
      <c r="H109">
        <f>HYPERLINK("https://booking.roadsurfer.com/es/rally/pick?pickup_date=2026-03-21&amp;return_date=2026-03-28&amp;currency=EUR&amp;startStation=91&amp;endStation=47",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2026-03-28</t>
        </is>
      </c>
      <c r="F110" t="inlineStr">
        <is>
          <t>2026-04-04</t>
        </is>
      </c>
      <c r="G110" t="inlineStr">
        <is>
          <t xml:space="preserve"> - Road House</t>
        </is>
      </c>
      <c r="H110">
        <f>HYPERLINK("https://booking.roadsurfer.com/es/rally/pick?pickup_date=2026-03-28&amp;return_date=2026-04-04&amp;currency=EUR&amp;startStation=91&amp;endStation=12",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2026-02-27</t>
        </is>
      </c>
      <c r="F111" t="inlineStr">
        <is>
          <t>2026-03-06</t>
        </is>
      </c>
      <c r="G111" t="inlineStr">
        <is>
          <t xml:space="preserve"> - Road House</t>
        </is>
      </c>
      <c r="H111">
        <f>HYPERLINK("https://booking.roadsurfer.com/es/rally/pick?pickup_date=2026-02-27&amp;return_date=2026-03-06&amp;currency=EUR&amp;startStation=91&amp;endStation=48",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2026-03-25</t>
        </is>
      </c>
      <c r="F112" t="inlineStr">
        <is>
          <t>2026-04-01</t>
        </is>
      </c>
      <c r="G112" t="inlineStr">
        <is>
          <t xml:space="preserve"> - Road House</t>
        </is>
      </c>
      <c r="H112">
        <f>HYPERLINK("https://booking.roadsurfer.com/es/rally/pick?pickup_date=2026-03-25&amp;return_date=2026-04-01&amp;currency=EUR&amp;startStation=91&amp;endStation=31",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2026-04-04</t>
        </is>
      </c>
      <c r="F113" t="inlineStr">
        <is>
          <t>2026-04-11</t>
        </is>
      </c>
      <c r="G113" t="inlineStr">
        <is>
          <t xml:space="preserve"> - BEACH HOSTEL</t>
        </is>
      </c>
      <c r="H113">
        <f>HYPERLINK("https://booking.roadsurfer.com/es/rally/pick?pickup_date=2026-04-04&amp;return_date=2026-04-11&amp;currency=EUR&amp;startStation=91&amp;endStation=31",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2026-03-26</t>
        </is>
      </c>
      <c r="F114" t="inlineStr">
        <is>
          <t>2026-04-02</t>
        </is>
      </c>
      <c r="G114" t="inlineStr">
        <is>
          <t xml:space="preserve"> - Family Finca</t>
        </is>
      </c>
      <c r="H114">
        <f>HYPERLINK("https://booking.roadsurfer.com/es/rally/pick?pickup_date=2026-03-26&amp;return_date=2026-04-02&amp;currency=EUR&amp;startStation=91&amp;endStation=34",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Camper Cabin</t>
        </is>
      </c>
      <c r="H115">
        <f>HYPERLINK("https://booking.roadsurfer.com/es/rally/pick?pickup_date=2026-03-09&amp;return_date=2026-03-16&amp;currency=EUR&amp;startStation=91&amp;endStation=33",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Alemania</t>
        </is>
      </c>
      <c r="D116" t="inlineStr">
        <is>
          <t>Núremberg</t>
        </is>
      </c>
      <c r="E116" t="inlineStr">
        <is>
          <t>2026-03-16</t>
        </is>
      </c>
      <c r="F116" t="inlineStr">
        <is>
          <t>2026-03-23</t>
        </is>
      </c>
      <c r="G116" t="inlineStr">
        <is>
          <t xml:space="preserve"> - Beach Hostel</t>
        </is>
      </c>
      <c r="H116">
        <f>HYPERLINK("https://booking.roadsurfer.com/es/rally/pick?pickup_date=2026-03-16&amp;return_date=2026-03-23&amp;currency=EUR&amp;startStation=91&amp;endStation=11",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Surfer Suite</t>
        </is>
      </c>
      <c r="H117">
        <f>HYPERLINK("https://booking.roadsurfer.com/es/rally/pick?pickup_date=2026-03-09&amp;return_date=2026-03-16&amp;currency=EUR&amp;startStation=91&amp;endStation=40",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Aquisgrán</t>
        </is>
      </c>
      <c r="E118" t="inlineStr">
        <is>
          <t>2026-03-13</t>
        </is>
      </c>
      <c r="F118" t="inlineStr">
        <is>
          <t>2026-03-20</t>
        </is>
      </c>
      <c r="G118" t="inlineStr">
        <is>
          <t xml:space="preserve"> - Couple Cottage</t>
        </is>
      </c>
      <c r="H118">
        <f>HYPERLINK("https://booking.roadsurfer.com/es/rally/pick?pickup_date=2026-03-13&amp;return_date=2026-03-20&amp;currency=EUR&amp;startStation=91&amp;endStation=114",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Fráncfort</t>
        </is>
      </c>
      <c r="E119" t="inlineStr">
        <is>
          <t>2026-02-28</t>
        </is>
      </c>
      <c r="F119" t="inlineStr">
        <is>
          <t>2026-03-07</t>
        </is>
      </c>
      <c r="G119" t="inlineStr">
        <is>
          <t xml:space="preserve"> - Surfer Suite</t>
        </is>
      </c>
      <c r="H119">
        <f>HYPERLINK("https://booking.roadsurfer.com/es/rally/pick?pickup_date=2026-02-28&amp;return_date=2026-03-07&amp;currency=EUR&amp;startStation=40&amp;endStation=2",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Surfer Suite</t>
        </is>
      </c>
      <c r="H120">
        <f>HYPERLINK("https://booking.roadsurfer.com/es/rally/pick?pickup_date=2026-03-19&amp;return_date=2026-03-26&amp;currency=EUR&amp;startStation=40&amp;endStation=2",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2026-03-17</t>
        </is>
      </c>
      <c r="F121" t="inlineStr">
        <is>
          <t>2026-03-24</t>
        </is>
      </c>
      <c r="G121" t="inlineStr">
        <is>
          <t xml:space="preserve"> - Surfer Suite</t>
        </is>
      </c>
      <c r="H121">
        <f>HYPERLINK("https://booking.roadsurfer.com/es/rally/pick?pickup_date=2026-03-17&amp;return_date=2026-03-24&amp;currency=EUR&amp;startStation=40&amp;endStation=2",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Kassel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Travel Home</t>
        </is>
      </c>
      <c r="H122">
        <f>HYPERLINK("https://booking.roadsurfer.com/es/rally/pick?pickup_date=2026-03-09&amp;return_date=2026-03-16&amp;currency=EUR&amp;startStation=40&amp;endStation=92",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2026-03-06</t>
        </is>
      </c>
      <c r="F123" t="inlineStr">
        <is>
          <t>2026-03-13</t>
        </is>
      </c>
      <c r="G123" t="inlineStr">
        <is>
          <t xml:space="preserve"> - Surfer Suite</t>
        </is>
      </c>
      <c r="H123">
        <f>HYPERLINK("https://booking.roadsurfer.com/es/rally/pick?pickup_date=2026-03-06&amp;return_date=2026-03-13&amp;currency=EUR&amp;startStation=40&amp;endStation=22",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2026-03-14</t>
        </is>
      </c>
      <c r="F124" t="inlineStr">
        <is>
          <t>2026-03-21</t>
        </is>
      </c>
      <c r="G124" t="inlineStr">
        <is>
          <t xml:space="preserve"> - No hay coche</t>
        </is>
      </c>
      <c r="H124">
        <f>HYPERLINK("https://booking.roadsurfer.com/es/rally/pick?pickup_date=2026-03-14&amp;return_date=2026-03-21&amp;currency=EUR&amp;startStation=40&amp;endStation=22",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2026-02-28</t>
        </is>
      </c>
      <c r="F125" t="inlineStr">
        <is>
          <t>2026-03-07</t>
        </is>
      </c>
      <c r="G125" t="inlineStr">
        <is>
          <t xml:space="preserve"> - Road House</t>
        </is>
      </c>
      <c r="H125">
        <f>HYPERLINK("https://booking.roadsurfer.com/es/rally/pick?pickup_date=2026-02-28&amp;return_date=2026-03-07&amp;currency=EUR&amp;startStation=40&amp;endStation=10",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2026-03-15</t>
        </is>
      </c>
      <c r="F126" t="inlineStr">
        <is>
          <t>2026-03-22</t>
        </is>
      </c>
      <c r="G126" t="inlineStr">
        <is>
          <t xml:space="preserve"> - No hay coche</t>
        </is>
      </c>
      <c r="H126">
        <f>HYPERLINK("https://booking.roadsurfer.com/es/rally/pick?pickup_date=2026-03-15&amp;return_date=2026-03-22&amp;currency=EUR&amp;startStation=40&amp;endStation=10",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Road House</t>
        </is>
      </c>
      <c r="H127">
        <f>HYPERLINK("https://booking.roadsurfer.com/es/rally/pick?pickup_date=2026-04-13&amp;return_date=2026-04-20&amp;currency=EUR&amp;startStation=40&amp;endStation=5",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2026-03-10</t>
        </is>
      </c>
      <c r="F128" t="inlineStr">
        <is>
          <t>2026-03-17</t>
        </is>
      </c>
      <c r="G128" t="inlineStr">
        <is>
          <t xml:space="preserve"> - Family Finca</t>
        </is>
      </c>
      <c r="H128">
        <f>HYPERLINK("https://booking.roadsurfer.com/es/rally/pick?pickup_date=2026-03-10&amp;return_date=2026-03-17&amp;currency=EUR&amp;startStation=40&amp;endStation=5",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2026-04-18</t>
        </is>
      </c>
      <c r="F129" t="inlineStr">
        <is>
          <t>2026-04-25</t>
        </is>
      </c>
      <c r="G129" t="inlineStr">
        <is>
          <t xml:space="preserve"> - Family Finca</t>
        </is>
      </c>
      <c r="H129">
        <f>HYPERLINK("https://booking.roadsurfer.com/es/rally/pick?pickup_date=2026-04-18&amp;return_date=2026-04-25&amp;currency=EUR&amp;startStation=40&amp;endStation=1",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2026-03-18</t>
        </is>
      </c>
      <c r="F130" t="inlineStr">
        <is>
          <t>2026-03-25</t>
        </is>
      </c>
      <c r="G130" t="inlineStr">
        <is>
          <t xml:space="preserve"> - Camper Cabin</t>
        </is>
      </c>
      <c r="H130">
        <f>HYPERLINK("https://booking.roadsurfer.com/es/rally/pick?pickup_date=2026-03-18&amp;return_date=2026-03-25&amp;currency=EUR&amp;startStation=40&amp;endStation=1",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Surfer Suite</t>
        </is>
      </c>
      <c r="H131">
        <f>HYPERLINK("https://booking.roadsurfer.com/es/rally/pick?pickup_date=2026-03-23&amp;return_date=2026-03-30&amp;currency=EUR&amp;startStation=40&amp;endStation=113",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Aquisgrán</t>
        </is>
      </c>
      <c r="E132" t="inlineStr">
        <is>
          <t>2026-03-02</t>
        </is>
      </c>
      <c r="F132" t="inlineStr">
        <is>
          <t>2026-03-09</t>
        </is>
      </c>
      <c r="G132" t="inlineStr">
        <is>
          <t xml:space="preserve"> - Couple Cottage</t>
        </is>
      </c>
      <c r="H132">
        <f>HYPERLINK("https://booking.roadsurfer.com/es/rally/pick?pickup_date=2026-03-02&amp;return_date=2026-03-09&amp;currency=EUR&amp;startStation=40&amp;endStation=114",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2026-03-02</t>
        </is>
      </c>
      <c r="F133" t="inlineStr">
        <is>
          <t>2026-03-09</t>
        </is>
      </c>
      <c r="G133" t="inlineStr">
        <is>
          <t xml:space="preserve"> - Couple Cottage</t>
        </is>
      </c>
      <c r="H133">
        <f>HYPERLINK("https://booking.roadsurfer.com/es/rally/pick?pickup_date=2026-03-02&amp;return_date=2026-03-09&amp;currency=EUR&amp;startStation=24&amp;endStation=65",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Camper Castle</t>
        </is>
      </c>
      <c r="H134">
        <f>HYPERLINK("https://booking.roadsurfer.com/es/rally/pick?pickup_date=2026-03-02&amp;return_date=2026-03-09&amp;currency=EUR&amp;startStation=24&amp;endStation=45",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2026-03-04</t>
        </is>
      </c>
      <c r="F135" t="inlineStr">
        <is>
          <t>2026-03-11</t>
        </is>
      </c>
      <c r="G135" t="inlineStr">
        <is>
          <t xml:space="preserve"> - Surfer Suite</t>
        </is>
      </c>
      <c r="H135">
        <f>HYPERLINK("https://booking.roadsurfer.com/es/rally/pick?pickup_date=2026-03-04&amp;return_date=2026-03-11&amp;currency=EUR&amp;startStation=24&amp;endStation=12",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Family Finca</t>
        </is>
      </c>
      <c r="H136">
        <f>HYPERLINK("https://booking.roadsurfer.com/es/rally/pick?pickup_date=2026-04-14&amp;return_date=2026-04-21&amp;currency=EUR&amp;startStation=57&amp;endStation=1",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Road House</t>
        </is>
      </c>
      <c r="H137">
        <f>HYPERLINK("https://booking.roadsurfer.com/es/rally/pick?pickup_date=2026-03-09&amp;return_date=2026-03-16&amp;currency=EUR&amp;startStation=57&amp;endStation=1",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2026-02-27</t>
        </is>
      </c>
      <c r="F147" t="inlineStr">
        <is>
          <t>2026-03-06</t>
        </is>
      </c>
      <c r="G147" t="inlineStr">
        <is>
          <t xml:space="preserve"> - Travel Home</t>
        </is>
      </c>
      <c r="H147">
        <f>HYPERLINK("https://booking.roadsurfer.com/es/rally/pick?pickup_date=2026-02-27&amp;return_date=2026-03-06&amp;currency=EUR&amp;startStation=13&amp;endStation=4",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ROAD HOUSE</t>
        </is>
      </c>
      <c r="H150">
        <f>HYPERLINK("https://booking.roadsurfer.com/es/rally/pick?pickup_date=2026-04-15&amp;return_date=2026-04-22&amp;currency=EUR&amp;startStation=13&amp;endStation=11",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Couple Cottage</t>
        </is>
      </c>
      <c r="H155">
        <f>HYPERLINK("https://booking.roadsurfer.com/es/rally/pick?pickup_date=2026-02-25&amp;return_date=2026-03-04&amp;currency=EUR&amp;startStation=13&amp;endStation=52",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Austria</t>
        </is>
      </c>
      <c r="D156" t="inlineStr">
        <is>
          <t>Salzburgo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Family Finca</t>
        </is>
      </c>
      <c r="H156">
        <f>HYPERLINK("https://booking.roadsurfer.com/es/rally/pick?pickup_date=2026-05-06&amp;return_date=2026-05-13&amp;currency=EUR&amp;startStation=13&amp;endStation=85",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Family Finca</t>
        </is>
      </c>
      <c r="H157">
        <f>HYPERLINK("https://booking.roadsurfer.com/es/rally/pick?pickup_date=2026-03-12&amp;return_date=2026-03-19&amp;currency=EUR&amp;startStation=13&amp;endStation=29",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Couple Cottage</t>
        </is>
      </c>
      <c r="H158">
        <f>HYPERLINK("https://booking.roadsurfer.com/es/rally/pick?pickup_date=2026-04-27&amp;return_date=2026-05-04&amp;currency=EUR&amp;startStation=13&amp;endStation=15",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Family Finca</t>
        </is>
      </c>
      <c r="H165">
        <f>HYPERLINK("https://booking.roadsurfer.com/es/rally/pick?pickup_date=2026-03-24&amp;return_date=2026-03-31&amp;currency=EUR&amp;startStation=55&amp;endStation=77",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2026-04-03</t>
        </is>
      </c>
      <c r="F166" t="inlineStr">
        <is>
          <t>2026-04-10</t>
        </is>
      </c>
      <c r="G166" t="inlineStr">
        <is>
          <t xml:space="preserve"> - No hay coche</t>
        </is>
      </c>
      <c r="H166">
        <f>HYPERLINK("https://booking.roadsurfer.com/es/rally/pick?pickup_date=2026-04-03&amp;return_date=2026-04-10&amp;currency=EUR&amp;startStation=55&amp;endStation=77",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2026-03-28</t>
        </is>
      </c>
      <c r="F167" t="inlineStr">
        <is>
          <t>2026-04-04</t>
        </is>
      </c>
      <c r="G167" t="inlineStr">
        <is>
          <t xml:space="preserve"> - Surfer Suite - Family Finca</t>
        </is>
      </c>
      <c r="H167">
        <f>HYPERLINK("https://booking.roadsurfer.com/es/rally/pick?pickup_date=2026-03-28&amp;return_date=2026-04-04&amp;currency=EUR&amp;startStation=55&amp;endStation=77",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2026-03-27</t>
        </is>
      </c>
      <c r="F168" t="inlineStr">
        <is>
          <t>2026-04-04</t>
        </is>
      </c>
      <c r="G168" t="inlineStr">
        <is>
          <t xml:space="preserve"> - Family Finca</t>
        </is>
      </c>
      <c r="H168">
        <f>HYPERLINK("https://booking.roadsurfer.com/es/rally/pick?pickup_date=2026-03-27&amp;return_date=2026-04-04&amp;currency=EUR&amp;startStation=55&amp;endStation=77",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2026-02-27</t>
        </is>
      </c>
      <c r="F169" t="inlineStr">
        <is>
          <t>2026-03-06</t>
        </is>
      </c>
      <c r="G169" t="inlineStr">
        <is>
          <t xml:space="preserve"> - Family Finca</t>
        </is>
      </c>
      <c r="H169">
        <f>HYPERLINK("https://booking.roadsurfer.com/es/rally/pick?pickup_date=2026-02-27&amp;return_date=2026-03-06&amp;currency=EUR&amp;startStation=55&amp;endStation=77",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Road House</t>
        </is>
      </c>
      <c r="H170">
        <f>HYPERLINK("https://booking.roadsurfer.com/es/rally/pick?pickup_date=2026-04-02&amp;return_date=2026-04-09&amp;currency=EUR&amp;startStation=55&amp;endStation=77",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2026-03-31</t>
        </is>
      </c>
      <c r="F172" t="inlineStr">
        <is>
          <t>2026-04-07</t>
        </is>
      </c>
      <c r="G172" t="inlineStr">
        <is>
          <t xml:space="preserve"> - Surfer Suite - Road House</t>
        </is>
      </c>
      <c r="H172">
        <f>HYPERLINK("https://booking.roadsurfer.com/es/rally/pick?pickup_date=2026-03-31&amp;return_date=2026-04-07&amp;currency=EUR&amp;startStation=55&amp;endStation=60",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2026-03-28</t>
        </is>
      </c>
      <c r="F174" t="inlineStr">
        <is>
          <t>2026-04-04</t>
        </is>
      </c>
      <c r="G174" t="inlineStr">
        <is>
          <t xml:space="preserve"> - Road House</t>
        </is>
      </c>
      <c r="H174">
        <f>HYPERLINK("https://booking.roadsurfer.com/es/rally/pick?pickup_date=2026-03-28&amp;return_date=2026-04-04&amp;currency=EUR&amp;startStation=55&amp;endStation=60",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2026-03-07</t>
        </is>
      </c>
      <c r="F175" t="inlineStr">
        <is>
          <t>2026-03-14</t>
        </is>
      </c>
      <c r="G175" t="inlineStr">
        <is>
          <t xml:space="preserve"> - Surfer Suite</t>
        </is>
      </c>
      <c r="H175">
        <f>HYPERLINK("https://booking.roadsurfer.com/es/rally/pick?pickup_date=2026-03-07&amp;return_date=2026-03-14&amp;currency=EUR&amp;startStation=55&amp;endStation=32",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2026-03-12</t>
        </is>
      </c>
      <c r="F176" t="inlineStr">
        <is>
          <t>2026-03-19</t>
        </is>
      </c>
      <c r="G176" t="inlineStr">
        <is>
          <t xml:space="preserve"> - Surfer Suite</t>
        </is>
      </c>
      <c r="H176">
        <f>HYPERLINK("https://booking.roadsurfer.com/es/rally/pick?pickup_date=2026-03-12&amp;return_date=2026-03-19&amp;currency=EUR&amp;startStation=55&amp;endStation=32",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2026-03-04</t>
        </is>
      </c>
      <c r="F177" t="inlineStr">
        <is>
          <t>2026-03-11</t>
        </is>
      </c>
      <c r="G177" t="inlineStr">
        <is>
          <t xml:space="preserve"> - Surfer Suite</t>
        </is>
      </c>
      <c r="H177">
        <f>HYPERLINK("https://booking.roadsurfer.com/es/rally/pick?pickup_date=2026-03-04&amp;return_date=2026-03-11&amp;currency=EUR&amp;startStation=55&amp;endStation=33",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Couple Cottage</t>
        </is>
      </c>
      <c r="H178">
        <f>HYPERLINK("https://booking.roadsurfer.com/es/rally/pick?pickup_date=2026-03-12&amp;return_date=2026-03-19&amp;currency=EUR&amp;startStation=55&amp;endStation=111",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Camper Cabin</t>
        </is>
      </c>
      <c r="H179">
        <f>HYPERLINK("https://booking.roadsurfer.com/es/rally/pick?pickup_date=2026-03-19&amp;return_date=2026-03-26&amp;currency=EUR&amp;startStation=55&amp;endStation=111",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2026-04-03</t>
        </is>
      </c>
      <c r="F180" t="inlineStr">
        <is>
          <t>2026-04-10</t>
        </is>
      </c>
      <c r="G180" t="inlineStr">
        <is>
          <t xml:space="preserve"> - No hay coche</t>
        </is>
      </c>
      <c r="H180">
        <f>HYPERLINK("https://booking.roadsurfer.com/es/rally/pick?pickup_date=2026-04-03&amp;return_date=2026-04-10&amp;currency=EUR&amp;startStation=55&amp;endStation=59",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2026-04-02</t>
        </is>
      </c>
      <c r="F181" t="inlineStr">
        <is>
          <t>2026-04-09</t>
        </is>
      </c>
      <c r="G181" t="inlineStr">
        <is>
          <t xml:space="preserve"> - Surfer Suite</t>
        </is>
      </c>
      <c r="H181">
        <f>HYPERLINK("https://booking.roadsurfer.com/es/rally/pick?pickup_date=2026-04-02&amp;return_date=2026-04-09&amp;currency=EUR&amp;startStation=55&amp;endStation=59",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2026-03-24</t>
        </is>
      </c>
      <c r="F182" t="inlineStr">
        <is>
          <t>2026-03-31</t>
        </is>
      </c>
      <c r="G182" t="inlineStr">
        <is>
          <t xml:space="preserve"> - Family Finca</t>
        </is>
      </c>
      <c r="H182">
        <f>HYPERLINK("https://booking.roadsurfer.com/es/rally/pick?pickup_date=2026-03-24&amp;return_date=2026-03-31&amp;currency=EUR&amp;startStation=55&amp;endStation=59",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2026-03-20</t>
        </is>
      </c>
      <c r="F183" t="inlineStr">
        <is>
          <t>2026-03-27</t>
        </is>
      </c>
      <c r="G183" t="inlineStr">
        <is>
          <t xml:space="preserve"> - Road House</t>
        </is>
      </c>
      <c r="H183">
        <f>HYPERLINK("https://booking.roadsurfer.com/es/rally/pick?pickup_date=2026-03-20&amp;return_date=2026-03-27&amp;currency=EUR&amp;startStation=55&amp;endStation=59",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COUPLE COTTAGE</t>
        </is>
      </c>
      <c r="H184">
        <f>HYPERLINK("https://booking.roadsurfer.com/es/rally/pick?pickup_date=2026-04-14&amp;return_date=2026-04-21&amp;currency=EUR&amp;startStation=55&amp;endStation=59",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2026-04-01</t>
        </is>
      </c>
      <c r="F185" t="inlineStr">
        <is>
          <t>2026-04-08</t>
        </is>
      </c>
      <c r="G185" t="inlineStr">
        <is>
          <t xml:space="preserve"> - BEACH HOSTEL</t>
        </is>
      </c>
      <c r="H185">
        <f>HYPERLINK("https://booking.roadsurfer.com/es/rally/pick?pickup_date=2026-04-01&amp;return_date=2026-04-08&amp;currency=EUR&amp;startStation=55&amp;endStation=59",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2026-03-27</t>
        </is>
      </c>
      <c r="F186" t="inlineStr">
        <is>
          <t>2026-04-03</t>
        </is>
      </c>
      <c r="G186" t="inlineStr">
        <is>
          <t xml:space="preserve"> - No hay coche</t>
        </is>
      </c>
      <c r="H186">
        <f>HYPERLINK("https://booking.roadsurfer.com/es/rally/pick?pickup_date=2026-03-27&amp;return_date=2026-04-03&amp;currency=EUR&amp;startStation=55&amp;endStation=59",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Surfer Suite</t>
        </is>
      </c>
      <c r="H187">
        <f>HYPERLINK("https://booking.roadsurfer.com/es/rally/pick?pickup_date=2026-03-23&amp;return_date=2026-03-30&amp;currency=EUR&amp;startStation=55&amp;endStation=59",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Road House</t>
        </is>
      </c>
      <c r="H188">
        <f>HYPERLINK("https://booking.roadsurfer.com/es/rally/pick?pickup_date=2026-03-21&amp;return_date=2026-03-28&amp;currency=EUR&amp;startStation=55&amp;endStation=20",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Road House</t>
        </is>
      </c>
      <c r="H189">
        <f>HYPERLINK("https://booking.roadsurfer.com/es/rally/pick?pickup_date=2026-03-16&amp;return_date=2026-03-23&amp;currency=EUR&amp;startStation=55&amp;endStation=20",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2026-03-28</t>
        </is>
      </c>
      <c r="F191" t="inlineStr">
        <is>
          <t>2026-04-04</t>
        </is>
      </c>
      <c r="G191" t="inlineStr">
        <is>
          <t xml:space="preserve"> - Camper Cabin Deluxe</t>
        </is>
      </c>
      <c r="H191">
        <f>HYPERLINK("https://booking.roadsurfer.com/es/rally/pick?pickup_date=2026-03-28&amp;return_date=2026-04-04&amp;currency=EUR&amp;startStation=55&amp;endStation=42",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Alemania</t>
        </is>
      </c>
      <c r="D192" t="inlineStr">
        <is>
          <t>Maguncia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Family Finca</t>
        </is>
      </c>
      <c r="H192">
        <f>HYPERLINK("https://booking.roadsurfer.com/es/rally/pick?pickup_date=2026-03-17&amp;return_date=2026-03-24&amp;currency=EUR&amp;startStation=55&amp;endStation=54",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Lübeck</t>
        </is>
      </c>
      <c r="E193" t="inlineStr">
        <is>
          <t>2026-03-14</t>
        </is>
      </c>
      <c r="F193" t="inlineStr">
        <is>
          <t>2026-03-21</t>
        </is>
      </c>
      <c r="G193" t="inlineStr">
        <is>
          <t xml:space="preserve"> - CAMPER CASTLE</t>
        </is>
      </c>
      <c r="H193">
        <f>HYPERLINK("https://booking.roadsurfer.com/es/rally/pick?pickup_date=2026-03-14&amp;return_date=2026-03-21&amp;currency=EUR&amp;startStation=42&amp;endStation=109",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2026-02-28</t>
        </is>
      </c>
      <c r="F194" t="inlineStr">
        <is>
          <t>2026-03-07</t>
        </is>
      </c>
      <c r="G194" t="inlineStr">
        <is>
          <t xml:space="preserve"> - Camper Cabin Deluxe</t>
        </is>
      </c>
      <c r="H194">
        <f>HYPERLINK("https://booking.roadsurfer.com/es/rally/pick?pickup_date=2026-02-28&amp;return_date=2026-03-07&amp;currency=EUR&amp;startStation=42&amp;endStation=55",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2026-02-27</t>
        </is>
      </c>
      <c r="F195" t="inlineStr">
        <is>
          <t>2026-03-06</t>
        </is>
      </c>
      <c r="G195" t="inlineStr">
        <is>
          <t xml:space="preserve"> - Family Finca</t>
        </is>
      </c>
      <c r="H195">
        <f>HYPERLINK("https://booking.roadsurfer.com/es/rally/pick?pickup_date=2026-02-27&amp;return_date=2026-03-06&amp;currency=EUR&amp;startStation=42&amp;endStation=8",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2026-02-24</t>
        </is>
      </c>
      <c r="F196" t="inlineStr">
        <is>
          <t>2026-03-03</t>
        </is>
      </c>
      <c r="G196" t="inlineStr">
        <is>
          <t xml:space="preserve"> - SURFER SUITE</t>
        </is>
      </c>
      <c r="H196">
        <f>HYPERLINK("https://booking.roadsurfer.com/es/rally/pick?pickup_date=2026-02-24&amp;return_date=2026-03-03&amp;currency=EUR&amp;startStation=42&amp;endStation=52",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2026-03-13</t>
        </is>
      </c>
      <c r="F197" t="inlineStr">
        <is>
          <t>2026-03-20</t>
        </is>
      </c>
      <c r="G197" t="inlineStr">
        <is>
          <t xml:space="preserve"> - Surfer Suite</t>
        </is>
      </c>
      <c r="H197">
        <f>HYPERLINK("https://booking.roadsurfer.com/es/rally/pick?pickup_date=2026-03-13&amp;return_date=2026-03-20&amp;currency=EUR&amp;startStation=42&amp;endStation=52",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Sunrise Suite</t>
        </is>
      </c>
      <c r="H198">
        <f>HYPERLINK("https://booking.roadsurfer.com/es/rally/pick?pickup_date=2026-03-14&amp;return_date=2026-03-21&amp;currency=EUR&amp;startStation=42&amp;endStation=91",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Sunrise Suite</t>
        </is>
      </c>
      <c r="H199">
        <f>HYPERLINK("https://booking.roadsurfer.com/es/rally/pick?pickup_date=2026-03-16&amp;return_date=2026-03-23&amp;currency=EUR&amp;startStation=42&amp;endStation=91",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2026-03-17</t>
        </is>
      </c>
      <c r="F200" t="inlineStr">
        <is>
          <t>2026-03-24</t>
        </is>
      </c>
      <c r="G200" t="inlineStr">
        <is>
          <t xml:space="preserve"> - Sunrise Suite</t>
        </is>
      </c>
      <c r="H200">
        <f>HYPERLINK("https://booking.roadsurfer.com/es/rally/pick?pickup_date=2026-03-17&amp;return_date=2026-03-24&amp;currency=EUR&amp;startStation=42&amp;endStation=91",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Beach Hostel</t>
        </is>
      </c>
      <c r="H201">
        <f>HYPERLINK("https://booking.roadsurfer.com/es/rally/pick?pickup_date=2026-03-13&amp;return_date=2026-03-20&amp;currency=EUR&amp;startStation=42&amp;endStation=91",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2026-03-09</t>
        </is>
      </c>
      <c r="F202" t="inlineStr">
        <is>
          <t>2026-03-16</t>
        </is>
      </c>
      <c r="G202" t="inlineStr">
        <is>
          <t xml:space="preserve"> - Camper Cabin</t>
        </is>
      </c>
      <c r="H202">
        <f>HYPERLINK("https://booking.roadsurfer.com/es/rally/pick?pickup_date=2026-03-09&amp;return_date=2026-03-16&amp;currency=EUR&amp;startStation=42&amp;endStation=91",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Couple Cottage</t>
        </is>
      </c>
      <c r="H203">
        <f>HYPERLINK("https://booking.roadsurfer.com/es/rally/pick?pickup_date=2026-03-14&amp;return_date=2026-03-21&amp;currency=EUR&amp;startStation=42&amp;endStation=4",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Ulm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Road House</t>
        </is>
      </c>
      <c r="H204">
        <f>HYPERLINK("https://booking.roadsurfer.com/es/rally/pick?pickup_date=2026-03-18&amp;return_date=2026-03-25&amp;currency=EUR&amp;startStation=42&amp;endStation=112",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Surfer Suite</t>
        </is>
      </c>
      <c r="H205">
        <f>HYPERLINK("https://booking.roadsurfer.com/es/rally/pick?pickup_date=2026-03-17&amp;return_date=2026-03-24&amp;currency=EUR&amp;startStation=42&amp;endStation=22",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Heidelberg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Beach Hostel</t>
        </is>
      </c>
      <c r="H206">
        <f>HYPERLINK("https://booking.roadsurfer.com/es/rally/pick?pickup_date=2026-03-16&amp;return_date=2026-03-23&amp;currency=EUR&amp;startStation=42&amp;endStation=79",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Road House</t>
        </is>
      </c>
      <c r="H207">
        <f>HYPERLINK("https://booking.roadsurfer.com/es/rally/pick?pickup_date=2026-03-13&amp;return_date=2026-03-20&amp;currency=EUR&amp;startStation=42&amp;endStation=56",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Beach Hostel</t>
        </is>
      </c>
      <c r="H208">
        <f>HYPERLINK("https://booking.roadsurfer.com/es/rally/pick?pickup_date=2026-03-17&amp;return_date=2026-03-24&amp;currency=EUR&amp;startStation=42&amp;endStation=90",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2026-04-03</t>
        </is>
      </c>
      <c r="F209" t="inlineStr">
        <is>
          <t>2026-04-10</t>
        </is>
      </c>
      <c r="G209" t="inlineStr">
        <is>
          <t xml:space="preserve"> - No hay coche</t>
        </is>
      </c>
      <c r="H209">
        <f>HYPERLINK("https://booking.roadsurfer.com/es/rally/pick?pickup_date=2026-04-03&amp;return_date=2026-04-10&amp;currency=EUR&amp;startStation=52&amp;endStation=48",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Surfer Suite</t>
        </is>
      </c>
      <c r="H210">
        <f>HYPERLINK("https://booking.roadsurfer.com/es/rally/pick?pickup_date=2026-03-13&amp;return_date=2026-03-20&amp;currency=EUR&amp;startStation=52&amp;endStation=48",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2026-03-14</t>
        </is>
      </c>
      <c r="F211" t="inlineStr">
        <is>
          <t>2026-03-21</t>
        </is>
      </c>
      <c r="G211" t="inlineStr">
        <is>
          <t xml:space="preserve"> - Surfer Suite</t>
        </is>
      </c>
      <c r="H211">
        <f>HYPERLINK("https://booking.roadsurfer.com/es/rally/pick?pickup_date=2026-03-14&amp;return_date=2026-03-21&amp;currency=EUR&amp;startStation=52&amp;endStation=48",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2026-03-15</t>
        </is>
      </c>
      <c r="F212" t="inlineStr">
        <is>
          <t>2026-03-22</t>
        </is>
      </c>
      <c r="G212" t="inlineStr">
        <is>
          <t xml:space="preserve"> - No hay coche</t>
        </is>
      </c>
      <c r="H212">
        <f>HYPERLINK("https://booking.roadsurfer.com/es/rally/pick?pickup_date=2026-03-15&amp;return_date=2026-03-22&amp;currency=EUR&amp;startStation=52&amp;endStation=48",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Camper Cabin Deluxe</t>
        </is>
      </c>
      <c r="H214">
        <f>HYPERLINK("https://booking.roadsurfer.com/es/rally/pick?pickup_date=2026-04-16&amp;return_date=2026-04-23&amp;currency=EUR&amp;startStation=52&amp;endStation=48",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2026-03-02</t>
        </is>
      </c>
      <c r="F215" t="inlineStr">
        <is>
          <t>2026-03-09</t>
        </is>
      </c>
      <c r="G215" t="inlineStr">
        <is>
          <t xml:space="preserve"> - Camper Cabin Deluxe</t>
        </is>
      </c>
      <c r="H215">
        <f>HYPERLINK("https://booking.roadsurfer.com/es/rally/pick?pickup_date=2026-03-02&amp;return_date=2026-03-09&amp;currency=EUR&amp;startStation=52&amp;endStation=48",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2026-03-03</t>
        </is>
      </c>
      <c r="F216" t="inlineStr">
        <is>
          <t>2026-03-10</t>
        </is>
      </c>
      <c r="G216" t="inlineStr">
        <is>
          <t xml:space="preserve"> - Camper Cabin Deluxe</t>
        </is>
      </c>
      <c r="H216">
        <f>HYPERLINK("https://booking.roadsurfer.com/es/rally/pick?pickup_date=2026-03-03&amp;return_date=2026-03-10&amp;currency=EUR&amp;startStation=52&amp;endStation=48",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2026-03-23</t>
        </is>
      </c>
      <c r="F217" t="inlineStr">
        <is>
          <t>2026-03-30</t>
        </is>
      </c>
      <c r="G217" t="inlineStr">
        <is>
          <t xml:space="preserve"> - Surfer Suite</t>
        </is>
      </c>
      <c r="H217">
        <f>HYPERLINK("https://booking.roadsurfer.com/es/rally/pick?pickup_date=2026-03-23&amp;return_date=2026-03-30&amp;currency=EUR&amp;startStation=52&amp;endStation=34",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2026-03-22</t>
        </is>
      </c>
      <c r="F218" t="inlineStr">
        <is>
          <t>2026-03-29</t>
        </is>
      </c>
      <c r="G218" t="inlineStr">
        <is>
          <t xml:space="preserve"> - No hay coche</t>
        </is>
      </c>
      <c r="H218">
        <f>HYPERLINK("https://booking.roadsurfer.com/es/rally/pick?pickup_date=2026-03-22&amp;return_date=2026-03-29&amp;currency=EUR&amp;startStation=52&amp;endStation=34",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2026-03-07</t>
        </is>
      </c>
      <c r="F219" t="inlineStr">
        <is>
          <t>2026-03-14</t>
        </is>
      </c>
      <c r="G219" t="inlineStr">
        <is>
          <t xml:space="preserve"> - No hay coche</t>
        </is>
      </c>
      <c r="H219">
        <f>HYPERLINK("https://booking.roadsurfer.com/es/rally/pick?pickup_date=2026-03-07&amp;return_date=2026-03-14&amp;currency=EUR&amp;startStation=52&amp;endStation=34",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SURFER SUITE</t>
        </is>
      </c>
      <c r="H221">
        <f>HYPERLINK("https://booking.roadsurfer.com/es/rally/pick?pickup_date=2026-03-25&amp;return_date=2026-04-01&amp;currency=EUR&amp;startStation=52&amp;endStation=42",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2026-04-10</t>
        </is>
      </c>
      <c r="F222" t="inlineStr">
        <is>
          <t>2026-04-17</t>
        </is>
      </c>
      <c r="G222" t="inlineStr">
        <is>
          <t xml:space="preserve"> - Surfer Suite</t>
        </is>
      </c>
      <c r="H222">
        <f>HYPERLINK("https://booking.roadsurfer.com/es/rally/pick?pickup_date=2026-04-10&amp;return_date=2026-04-17&amp;currency=EUR&amp;startStation=52&amp;endStation=42",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2026-03-16</t>
        </is>
      </c>
      <c r="F223" t="inlineStr">
        <is>
          <t>2026-03-23</t>
        </is>
      </c>
      <c r="G223" t="inlineStr">
        <is>
          <t xml:space="preserve"> - Camper Cabin</t>
        </is>
      </c>
      <c r="H223">
        <f>HYPERLINK("https://booking.roadsurfer.com/es/rally/pick?pickup_date=2026-03-16&amp;return_date=2026-03-23&amp;currency=EUR&amp;startStation=52&amp;endStation=47",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2026-03-17</t>
        </is>
      </c>
      <c r="F224" t="inlineStr">
        <is>
          <t>2026-03-24</t>
        </is>
      </c>
      <c r="G224" t="inlineStr">
        <is>
          <t xml:space="preserve"> - Beach Hostel</t>
        </is>
      </c>
      <c r="H224">
        <f>HYPERLINK("https://booking.roadsurfer.com/es/rally/pick?pickup_date=2026-03-17&amp;return_date=2026-03-24&amp;currency=EUR&amp;startStation=52&amp;endStation=47",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2026-03-02</t>
        </is>
      </c>
      <c r="F225" t="inlineStr">
        <is>
          <t>2026-03-09</t>
        </is>
      </c>
      <c r="G225" t="inlineStr">
        <is>
          <t xml:space="preserve"> - Beach Hostel</t>
        </is>
      </c>
      <c r="H225">
        <f>HYPERLINK("https://booking.roadsurfer.com/es/rally/pick?pickup_date=2026-03-02&amp;return_date=2026-03-09&amp;currency=EUR&amp;startStation=52&amp;endStation=94",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2026-03-21</t>
        </is>
      </c>
      <c r="F226" t="inlineStr">
        <is>
          <t>2026-03-28</t>
        </is>
      </c>
      <c r="G226" t="inlineStr">
        <is>
          <t xml:space="preserve"> - Road House</t>
        </is>
      </c>
      <c r="H226">
        <f>HYPERLINK("https://booking.roadsurfer.com/es/rally/pick?pickup_date=2026-03-21&amp;return_date=2026-03-28&amp;currency=EUR&amp;startStation=52&amp;endStation=13",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2026-02-27</t>
        </is>
      </c>
      <c r="F227" t="inlineStr">
        <is>
          <t>2026-03-06</t>
        </is>
      </c>
      <c r="G227" t="inlineStr">
        <is>
          <t xml:space="preserve"> - Road House</t>
        </is>
      </c>
      <c r="H227">
        <f>HYPERLINK("https://booking.roadsurfer.com/es/rally/pick?pickup_date=2026-02-27&amp;return_date=2026-03-06&amp;currency=EUR&amp;startStation=52&amp;endStation=13",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Family Finca</t>
        </is>
      </c>
      <c r="H228">
        <f>HYPERLINK("https://booking.roadsurfer.com/es/rally/pick?pickup_date=2026-03-27&amp;return_date=2026-04-03&amp;currency=EUR&amp;startStation=52&amp;endStation=31",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2026-05-02</t>
        </is>
      </c>
      <c r="F229" t="inlineStr">
        <is>
          <t>2026-05-09</t>
        </is>
      </c>
      <c r="G229" t="inlineStr">
        <is>
          <t xml:space="preserve"> - Family Finca</t>
        </is>
      </c>
      <c r="H229">
        <f>HYPERLINK("https://booking.roadsurfer.com/es/rally/pick?pickup_date=2026-05-02&amp;return_date=2026-05-09&amp;currency=EUR&amp;startStation=52&amp;endStation=31",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2026-03-30</t>
        </is>
      </c>
      <c r="F230" t="inlineStr">
        <is>
          <t>2026-04-06</t>
        </is>
      </c>
      <c r="G230" t="inlineStr">
        <is>
          <t xml:space="preserve"> - No hay coche</t>
        </is>
      </c>
      <c r="H230">
        <f>HYPERLINK("https://booking.roadsurfer.com/es/rally/pick?pickup_date=2026-03-30&amp;return_date=2026-04-06&amp;currency=EUR&amp;startStation=52&amp;endStation=31",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2026-04-03</t>
        </is>
      </c>
      <c r="F231" t="inlineStr">
        <is>
          <t>2026-04-10</t>
        </is>
      </c>
      <c r="G231" t="inlineStr">
        <is>
          <t xml:space="preserve"> - No hay coche</t>
        </is>
      </c>
      <c r="H231">
        <f>HYPERLINK("https://booking.roadsurfer.com/es/rally/pick?pickup_date=2026-04-03&amp;return_date=2026-04-10&amp;currency=EUR&amp;startStation=52&amp;endStation=31",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Road House</t>
        </is>
      </c>
      <c r="H232">
        <f>HYPERLINK("https://booking.roadsurfer.com/es/rally/pick?pickup_date=2026-03-02&amp;return_date=2026-03-09&amp;currency=EUR&amp;startStation=52&amp;endStation=29",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Family Finca</t>
        </is>
      </c>
      <c r="H233">
        <f>HYPERLINK("https://booking.roadsurfer.com/es/rally/pick?pickup_date=2026-03-19&amp;return_date=2026-03-26&amp;currency=EUR&amp;startStation=52&amp;endStation=16",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FAMILY FINCA</t>
        </is>
      </c>
      <c r="H234">
        <f>HYPERLINK("https://booking.roadsurfer.com/es/rally/pick?pickup_date=2026-03-16&amp;return_date=2026-03-23&amp;currency=EUR&amp;startStation=52&amp;endStation=20",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Surfer Suite</t>
        </is>
      </c>
      <c r="H235">
        <f>HYPERLINK("https://booking.roadsurfer.com/es/rally/pick?pickup_date=2026-03-09&amp;return_date=2026-03-16&amp;currency=EUR&amp;startStation=4&amp;endStation=32",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Ámsterdam</t>
        </is>
      </c>
      <c r="E236" t="inlineStr">
        <is>
          <t>2026-03-02</t>
        </is>
      </c>
      <c r="F236" t="inlineStr">
        <is>
          <t>2026-03-09</t>
        </is>
      </c>
      <c r="G236" t="inlineStr">
        <is>
          <t xml:space="preserve"> - No hay coche</t>
        </is>
      </c>
      <c r="H236">
        <f>HYPERLINK("https://booking.roadsurfer.com/es/rally/pick?pickup_date=2026-03-02&amp;return_date=2026-03-09&amp;currency=EUR&amp;startStation=4&amp;endStation=32",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2026-03-13</t>
        </is>
      </c>
      <c r="F237" t="inlineStr">
        <is>
          <t>2026-03-20</t>
        </is>
      </c>
      <c r="G237" t="inlineStr">
        <is>
          <t xml:space="preserve"> - Camper Cabin Deluxe</t>
        </is>
      </c>
      <c r="H237">
        <f>HYPERLINK("https://booking.roadsurfer.com/es/rally/pick?pickup_date=2026-03-13&amp;return_date=2026-03-20&amp;currency=EUR&amp;startStation=4&amp;endStation=33",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2026-03-24</t>
        </is>
      </c>
      <c r="F238" t="inlineStr">
        <is>
          <t>2026-03-31</t>
        </is>
      </c>
      <c r="G238" t="inlineStr">
        <is>
          <t xml:space="preserve"> - SURFER SUITE</t>
        </is>
      </c>
      <c r="H238">
        <f>HYPERLINK("https://booking.roadsurfer.com/es/rally/pick?pickup_date=2026-03-24&amp;return_date=2026-03-31&amp;currency=EUR&amp;startStation=4&amp;endStation=33",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Róterdam</t>
        </is>
      </c>
      <c r="E239" t="inlineStr">
        <is>
          <t>2026-03-09</t>
        </is>
      </c>
      <c r="F239" t="inlineStr">
        <is>
          <t>2026-03-16</t>
        </is>
      </c>
      <c r="G239" t="inlineStr">
        <is>
          <t xml:space="preserve"> - CAMPER CABIN DELUXE</t>
        </is>
      </c>
      <c r="H239">
        <f>HYPERLINK("https://booking.roadsurfer.com/es/rally/pick?pickup_date=2026-03-09&amp;return_date=2026-03-16&amp;currency=EUR&amp;startStation=4&amp;endStation=33",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Alemania</t>
        </is>
      </c>
      <c r="D240" t="inlineStr">
        <is>
          <t>Núremberg</t>
        </is>
      </c>
      <c r="E240" t="inlineStr">
        <is>
          <t>2026-03-16</t>
        </is>
      </c>
      <c r="F240" t="inlineStr">
        <is>
          <t>2026-03-23</t>
        </is>
      </c>
      <c r="G240" t="inlineStr">
        <is>
          <t xml:space="preserve"> - Camper Cabin Deluxe</t>
        </is>
      </c>
      <c r="H240">
        <f>HYPERLINK("https://booking.roadsurfer.com/es/rally/pick?pickup_date=2026-03-16&amp;return_date=2026-03-23&amp;currency=EUR&amp;startStation=4&amp;endStation=11",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2026-03-27</t>
        </is>
      </c>
      <c r="F241" t="inlineStr">
        <is>
          <t>2026-04-03</t>
        </is>
      </c>
      <c r="G241" t="inlineStr">
        <is>
          <t xml:space="preserve"> - Travel Home</t>
        </is>
      </c>
      <c r="H241">
        <f>HYPERLINK("https://booking.roadsurfer.com/es/rally/pick?pickup_date=2026-03-27&amp;return_date=2026-04-03&amp;currency=EUR&amp;startStation=4&amp;endStation=13",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2026-03-14</t>
        </is>
      </c>
      <c r="F242" t="inlineStr">
        <is>
          <t>2026-03-21</t>
        </is>
      </c>
      <c r="G242" t="inlineStr">
        <is>
          <t xml:space="preserve"> - Road House</t>
        </is>
      </c>
      <c r="H242">
        <f>HYPERLINK("https://booking.roadsurfer.com/es/rally/pick?pickup_date=2026-03-14&amp;return_date=2026-03-21&amp;currency=EUR&amp;startStation=4&amp;endStation=13",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2026-03-12</t>
        </is>
      </c>
      <c r="F243" t="inlineStr">
        <is>
          <t>2026-03-19</t>
        </is>
      </c>
      <c r="G243" t="inlineStr">
        <is>
          <t xml:space="preserve"> - Camper Castle</t>
        </is>
      </c>
      <c r="H243">
        <f>HYPERLINK("https://booking.roadsurfer.com/es/rally/pick?pickup_date=2026-03-12&amp;return_date=2026-03-19&amp;currency=EUR&amp;startStation=4&amp;endStation=13",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2026-02-28</t>
        </is>
      </c>
      <c r="F244" t="inlineStr">
        <is>
          <t>2026-03-07</t>
        </is>
      </c>
      <c r="G244" t="inlineStr">
        <is>
          <t xml:space="preserve"> - Family Finca</t>
        </is>
      </c>
      <c r="H244">
        <f>HYPERLINK("https://booking.roadsurfer.com/es/rally/pick?pickup_date=2026-02-28&amp;return_date=2026-03-07&amp;currency=EUR&amp;startStation=4&amp;endStation=13",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2026-03-30</t>
        </is>
      </c>
      <c r="F245" t="inlineStr">
        <is>
          <t>2026-04-06</t>
        </is>
      </c>
      <c r="G245" t="inlineStr">
        <is>
          <t xml:space="preserve"> - No hay coche</t>
        </is>
      </c>
      <c r="H245">
        <f>HYPERLINK("https://booking.roadsurfer.com/es/rally/pick?pickup_date=2026-03-30&amp;return_date=2026-04-06&amp;currency=EUR&amp;startStation=4&amp;endStation=31",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Surfer Suite</t>
        </is>
      </c>
      <c r="H246">
        <f>HYPERLINK("https://booking.roadsurfer.com/es/rally/pick?pickup_date=2026-04-09&amp;return_date=2026-04-16&amp;currency=EUR&amp;startStation=4&amp;endStation=31",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2026-03-20</t>
        </is>
      </c>
      <c r="F247" t="inlineStr">
        <is>
          <t>2026-03-27</t>
        </is>
      </c>
      <c r="G247" t="inlineStr">
        <is>
          <t xml:space="preserve"> - Surfer Suite - Camper Castle</t>
        </is>
      </c>
      <c r="H247">
        <f>HYPERLINK("https://booking.roadsurfer.com/es/rally/pick?pickup_date=2026-03-20&amp;return_date=2026-03-27&amp;currency=EUR&amp;startStation=4&amp;endStation=31",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2026-03-27</t>
        </is>
      </c>
      <c r="F248" t="inlineStr">
        <is>
          <t>2026-04-03</t>
        </is>
      </c>
      <c r="G248" t="inlineStr">
        <is>
          <t xml:space="preserve"> - Surfer Suite</t>
        </is>
      </c>
      <c r="H248">
        <f>HYPERLINK("https://booking.roadsurfer.com/es/rally/pick?pickup_date=2026-03-27&amp;return_date=2026-04-03&amp;currency=EUR&amp;startStation=4&amp;endStation=31",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2026-03-13</t>
        </is>
      </c>
      <c r="F249" t="inlineStr">
        <is>
          <t>2026-03-20</t>
        </is>
      </c>
      <c r="G249" t="inlineStr">
        <is>
          <t xml:space="preserve"> - Road House - Family Finca</t>
        </is>
      </c>
      <c r="H249">
        <f>HYPERLINK("https://booking.roadsurfer.com/es/rally/pick?pickup_date=2026-03-13&amp;return_date=2026-03-20&amp;currency=EUR&amp;startStation=4&amp;endStation=47",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Family Finca</t>
        </is>
      </c>
      <c r="H250">
        <f>HYPERLINK("https://booking.roadsurfer.com/es/rally/pick?pickup_date=2026-03-14&amp;return_date=2026-03-21&amp;currency=EUR&amp;startStation=4&amp;endStation=47",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2026-03-15</t>
        </is>
      </c>
      <c r="F251" t="inlineStr">
        <is>
          <t>2026-03-22</t>
        </is>
      </c>
      <c r="G251" t="inlineStr">
        <is>
          <t xml:space="preserve"> - No hay coche</t>
        </is>
      </c>
      <c r="H251">
        <f>HYPERLINK("https://booking.roadsurfer.com/es/rally/pick?pickup_date=2026-03-15&amp;return_date=2026-03-22&amp;currency=EUR&amp;startStation=4&amp;endStation=47",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Family Finca</t>
        </is>
      </c>
      <c r="H252">
        <f>HYPERLINK("https://booking.roadsurfer.com/es/rally/pick?pickup_date=2026-03-13&amp;return_date=2026-03-20&amp;currency=EUR&amp;startStation=4&amp;endStation=29",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FAMILY FINCA</t>
        </is>
      </c>
      <c r="H253">
        <f>HYPERLINK("https://booking.roadsurfer.com/es/rally/pick?pickup_date=2026-03-16&amp;return_date=2026-03-23&amp;currency=EUR&amp;startStation=4&amp;endStation=29",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2026-03-18</t>
        </is>
      </c>
      <c r="F254" t="inlineStr">
        <is>
          <t>2026-03-25</t>
        </is>
      </c>
      <c r="G254" t="inlineStr">
        <is>
          <t xml:space="preserve"> - COUPLE COTTAGE</t>
        </is>
      </c>
      <c r="H254">
        <f>HYPERLINK("https://booking.roadsurfer.com/es/rally/pick?pickup_date=2026-03-18&amp;return_date=2026-03-25&amp;currency=EUR&amp;startStation=4&amp;endStation=29",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Aix-Marsella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Camper Castle</t>
        </is>
      </c>
      <c r="H255">
        <f>HYPERLINK("https://booking.roadsurfer.com/es/rally/pick?pickup_date=2026-03-20&amp;return_date=2026-03-27&amp;currency=EUR&amp;startStation=4&amp;endStation=16",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2026-03-04</t>
        </is>
      </c>
      <c r="F256" t="inlineStr">
        <is>
          <t>2026-03-11</t>
        </is>
      </c>
      <c r="G256" t="inlineStr">
        <is>
          <t xml:space="preserve"> - Camper Cabin Deluxe</t>
        </is>
      </c>
      <c r="H256">
        <f>HYPERLINK("https://booking.roadsurfer.com/es/rally/pick?pickup_date=2026-03-04&amp;return_date=2026-03-11&amp;currency=EUR&amp;startStation=4&amp;endStation=48",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París Sur (Orly)</t>
        </is>
      </c>
      <c r="E257" t="inlineStr">
        <is>
          <t>2026-03-18</t>
        </is>
      </c>
      <c r="F257" t="inlineStr">
        <is>
          <t>2026-03-25</t>
        </is>
      </c>
      <c r="G257" t="inlineStr">
        <is>
          <t xml:space="preserve"> - Family Finca</t>
        </is>
      </c>
      <c r="H257">
        <f>HYPERLINK("https://booking.roadsurfer.com/es/rally/pick?pickup_date=2026-03-18&amp;return_date=2026-03-25&amp;currency=EUR&amp;startStation=4&amp;endStation=12",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España</t>
        </is>
      </c>
      <c r="D258" t="inlineStr">
        <is>
          <t>Sevilla</t>
        </is>
      </c>
      <c r="E258" t="inlineStr">
        <is>
          <t>2026-02-27</t>
        </is>
      </c>
      <c r="F258" t="inlineStr">
        <is>
          <t>2026-03-06</t>
        </is>
      </c>
      <c r="G258" t="inlineStr">
        <is>
          <t xml:space="preserve"> - Beach Hostel</t>
        </is>
      </c>
      <c r="H258">
        <f>HYPERLINK("https://booking.roadsurfer.com/es/rally/pick?pickup_date=2026-02-27&amp;return_date=2026-03-06&amp;currency=EUR&amp;startStation=10&amp;endStation=39",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Italia</t>
        </is>
      </c>
      <c r="D259" t="inlineStr">
        <is>
          <t>Turín</t>
        </is>
      </c>
      <c r="E259" t="inlineStr">
        <is>
          <t>2026-02-28</t>
        </is>
      </c>
      <c r="F259" t="inlineStr">
        <is>
          <t>2026-03-07</t>
        </is>
      </c>
      <c r="G259" t="inlineStr">
        <is>
          <t xml:space="preserve"> - Beach Hostel</t>
        </is>
      </c>
      <c r="H259">
        <f>HYPERLINK("https://booking.roadsurfer.com/es/rally/pick?pickup_date=2026-02-28&amp;return_date=2026-03-07&amp;currency=EUR&amp;startStation=10&amp;endStation=58",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Italia</t>
        </is>
      </c>
      <c r="D260" t="inlineStr">
        <is>
          <t>Turín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HYPERLINK("https://booking.roadsurfer.com/es/rally/pick?pickup_date=2026-03-30&amp;return_date=2026-04-06&amp;currency=EUR&amp;startStation=10&amp;endStation=58",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Family Finca</t>
        </is>
      </c>
      <c r="H261">
        <f>HYPERLINK("https://booking.roadsurfer.com/es/rally/pick?pickup_date=2026-03-16&amp;return_date=2026-03-23&amp;currency=EUR&amp;startStation=10&amp;endStation=40",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2026-03-28</t>
        </is>
      </c>
      <c r="F262" t="inlineStr">
        <is>
          <t>2026-04-04</t>
        </is>
      </c>
      <c r="G262" t="inlineStr">
        <is>
          <t xml:space="preserve"> - Road House</t>
        </is>
      </c>
      <c r="H262">
        <f>HYPERLINK("https://booking.roadsurfer.com/es/rally/pick?pickup_date=2026-03-28&amp;return_date=2026-04-04&amp;currency=EUR&amp;startStation=10&amp;endStation=15",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2026-03-02</t>
        </is>
      </c>
      <c r="F263" t="inlineStr">
        <is>
          <t>2026-03-09</t>
        </is>
      </c>
      <c r="G263" t="inlineStr">
        <is>
          <t xml:space="preserve"> - Camper Cabin Deluxe</t>
        </is>
      </c>
      <c r="H263">
        <f>HYPERLINK("https://booking.roadsurfer.com/es/rally/pick?pickup_date=2026-03-02&amp;return_date=2026-03-09&amp;currency=EUR&amp;startStation=10&amp;endStation=45",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2026-03-03</t>
        </is>
      </c>
      <c r="F264" t="inlineStr">
        <is>
          <t>2026-03-10</t>
        </is>
      </c>
      <c r="G264" t="inlineStr">
        <is>
          <t xml:space="preserve"> - Surfer Suite</t>
        </is>
      </c>
      <c r="H264">
        <f>HYPERLINK("https://booking.roadsurfer.com/es/rally/pick?pickup_date=2026-03-03&amp;return_date=2026-03-10&amp;currency=EUR&amp;startStation=10&amp;endStation=45",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2026-03-04</t>
        </is>
      </c>
      <c r="F265" t="inlineStr">
        <is>
          <t>2026-03-11</t>
        </is>
      </c>
      <c r="G265" t="inlineStr">
        <is>
          <t xml:space="preserve"> - SURFER SUITE</t>
        </is>
      </c>
      <c r="H265">
        <f>HYPERLINK("https://booking.roadsurfer.com/es/rally/pick?pickup_date=2026-03-04&amp;return_date=2026-03-11&amp;currency=EUR&amp;startStation=10&amp;endStation=45",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2026-03-20</t>
        </is>
      </c>
      <c r="F266" t="inlineStr">
        <is>
          <t>2026-03-27</t>
        </is>
      </c>
      <c r="G266" t="inlineStr">
        <is>
          <t xml:space="preserve"> - Camper Cabin Deluxe</t>
        </is>
      </c>
      <c r="H266">
        <f>HYPERLINK("https://booking.roadsurfer.com/es/rally/pick?pickup_date=2026-03-20&amp;return_date=2026-03-27&amp;currency=EUR&amp;startStation=10&amp;endStation=29",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Surfer Suite</t>
        </is>
      </c>
      <c r="H267">
        <f>HYPERLINK("https://booking.roadsurfer.com/es/rally/pick?pickup_date=2026-03-16&amp;return_date=2026-03-23&amp;currency=EUR&amp;startStation=10&amp;endStation=34",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Linz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COZY COTTAGE</t>
        </is>
      </c>
      <c r="H268">
        <f>HYPERLINK("https://booking.roadsurfer.com/es/rally/pick?pickup_date=2026-03-16&amp;return_date=2026-03-23&amp;currency=EUR&amp;startStation=10&amp;endStation=116",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Family Finca</t>
        </is>
      </c>
      <c r="H269">
        <f>HYPERLINK("https://booking.roadsurfer.com/es/rally/pick?pickup_date=2026-03-20&amp;return_date=2026-03-27&amp;currency=EUR&amp;startStation=56&amp;endStation=77",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2026-03-02</t>
        </is>
      </c>
      <c r="F270" t="inlineStr">
        <is>
          <t>2026-03-09</t>
        </is>
      </c>
      <c r="G270" t="inlineStr">
        <is>
          <t xml:space="preserve"> - Couple Cottage</t>
        </is>
      </c>
      <c r="H270">
        <f>HYPERLINK("https://booking.roadsurfer.com/es/rally/pick?pickup_date=2026-03-02&amp;return_date=2026-03-09&amp;currency=EUR&amp;startStation=56&amp;endStation=77",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2026-04-01</t>
        </is>
      </c>
      <c r="F271" t="inlineStr">
        <is>
          <t>2026-04-08</t>
        </is>
      </c>
      <c r="G271" t="inlineStr">
        <is>
          <t xml:space="preserve"> - Road House</t>
        </is>
      </c>
      <c r="H271">
        <f>HYPERLINK("https://booking.roadsurfer.com/es/rally/pick?pickup_date=2026-04-01&amp;return_date=2026-04-08&amp;currency=EUR&amp;startStation=56&amp;endStation=59",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2026-04-02</t>
        </is>
      </c>
      <c r="F272" t="inlineStr">
        <is>
          <t>2026-04-09</t>
        </is>
      </c>
      <c r="G272" t="inlineStr">
        <is>
          <t xml:space="preserve"> - Road House</t>
        </is>
      </c>
      <c r="H272">
        <f>HYPERLINK("https://booking.roadsurfer.com/es/rally/pick?pickup_date=2026-04-02&amp;return_date=2026-04-09&amp;currency=EUR&amp;startStation=56&amp;endStation=59",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2026-03-31</t>
        </is>
      </c>
      <c r="F273" t="inlineStr">
        <is>
          <t>2026-04-07</t>
        </is>
      </c>
      <c r="G273" t="inlineStr">
        <is>
          <t xml:space="preserve"> - Road House</t>
        </is>
      </c>
      <c r="H273">
        <f>HYPERLINK("https://booking.roadsurfer.com/es/rally/pick?pickup_date=2026-03-31&amp;return_date=2026-04-07&amp;currency=EUR&amp;startStation=56&amp;endStation=59",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2026-03-28</t>
        </is>
      </c>
      <c r="F274" t="inlineStr">
        <is>
          <t>2026-04-04</t>
        </is>
      </c>
      <c r="G274" t="inlineStr">
        <is>
          <t xml:space="preserve"> - Family Finca</t>
        </is>
      </c>
      <c r="H274">
        <f>HYPERLINK("https://booking.roadsurfer.com/es/rally/pick?pickup_date=2026-03-28&amp;return_date=2026-04-04&amp;currency=EUR&amp;startStation=56&amp;endStation=59",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2026-02-25</t>
        </is>
      </c>
      <c r="F275" t="inlineStr">
        <is>
          <t>2026-03-04</t>
        </is>
      </c>
      <c r="G275" t="inlineStr">
        <is>
          <t xml:space="preserve"> - No hay coche</t>
        </is>
      </c>
      <c r="H275">
        <f>HYPERLINK("https://booking.roadsurfer.com/es/rally/pick?pickup_date=2026-02-25&amp;return_date=2026-03-04&amp;currency=EUR&amp;startStation=56&amp;endStation=59",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2026-04-07</t>
        </is>
      </c>
      <c r="F276" t="inlineStr">
        <is>
          <t>2026-04-14</t>
        </is>
      </c>
      <c r="G276" t="inlineStr">
        <is>
          <t xml:space="preserve"> - Road House</t>
        </is>
      </c>
      <c r="H276">
        <f>HYPERLINK("https://booking.roadsurfer.com/es/rally/pick?pickup_date=2026-04-07&amp;return_date=2026-04-14&amp;currency=EUR&amp;startStation=56&amp;endStation=59",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2026-03-06</t>
        </is>
      </c>
      <c r="F277" t="inlineStr">
        <is>
          <t>2026-03-13</t>
        </is>
      </c>
      <c r="G277" t="inlineStr">
        <is>
          <t xml:space="preserve"> - Camper Cabin</t>
        </is>
      </c>
      <c r="H277">
        <f>HYPERLINK("https://booking.roadsurfer.com/es/rally/pick?pickup_date=2026-03-06&amp;return_date=2026-03-13&amp;currency=EUR&amp;startStation=56&amp;endStation=37",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2026-02-28</t>
        </is>
      </c>
      <c r="F278" t="inlineStr">
        <is>
          <t>2026-03-07</t>
        </is>
      </c>
      <c r="G278" t="inlineStr">
        <is>
          <t xml:space="preserve"> - Surfer Suite</t>
        </is>
      </c>
      <c r="H278">
        <f>HYPERLINK("https://booking.roadsurfer.com/es/rally/pick?pickup_date=2026-02-28&amp;return_date=2026-03-07&amp;currency=EUR&amp;startStation=56&amp;endStation=37",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2026-04-02</t>
        </is>
      </c>
      <c r="F279" t="inlineStr">
        <is>
          <t>2026-04-09</t>
        </is>
      </c>
      <c r="G279" t="inlineStr">
        <is>
          <t xml:space="preserve"> - Camper Castle</t>
        </is>
      </c>
      <c r="H279">
        <f>HYPERLINK("https://booking.roadsurfer.com/es/rally/pick?pickup_date=2026-04-02&amp;return_date=2026-04-09&amp;currency=EUR&amp;startStation=56&amp;endStation=37",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2026-03-31</t>
        </is>
      </c>
      <c r="F280" t="inlineStr">
        <is>
          <t>2026-04-07</t>
        </is>
      </c>
      <c r="G280" t="inlineStr">
        <is>
          <t xml:space="preserve"> - Road House</t>
        </is>
      </c>
      <c r="H280">
        <f>HYPERLINK("https://booking.roadsurfer.com/es/rally/pick?pickup_date=2026-03-31&amp;return_date=2026-04-07&amp;currency=EUR&amp;startStation=56&amp;endStation=37",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2026-03-20</t>
        </is>
      </c>
      <c r="F281" t="inlineStr">
        <is>
          <t>2026-03-27</t>
        </is>
      </c>
      <c r="G281" t="inlineStr">
        <is>
          <t xml:space="preserve"> - Camper Castle</t>
        </is>
      </c>
      <c r="H281">
        <f>HYPERLINK("https://booking.roadsurfer.com/es/rally/pick?pickup_date=2026-03-20&amp;return_date=2026-03-27&amp;currency=EUR&amp;startStation=56&amp;endStation=33",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Surfer Suite</t>
        </is>
      </c>
      <c r="H282">
        <f>HYPERLINK("https://booking.roadsurfer.com/es/rally/pick?pickup_date=2026-03-05&amp;return_date=2026-03-12&amp;currency=EUR&amp;startStation=56&amp;endStation=33",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2026-03-19</t>
        </is>
      </c>
      <c r="F283" t="inlineStr">
        <is>
          <t>2026-03-26</t>
        </is>
      </c>
      <c r="G283" t="inlineStr">
        <is>
          <t xml:space="preserve"> - Road House</t>
        </is>
      </c>
      <c r="H283">
        <f>HYPERLINK("https://booking.roadsurfer.com/es/rally/pick?pickup_date=2026-03-19&amp;return_date=2026-03-26&amp;currency=EUR&amp;startStation=56&amp;endStation=33",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Ámsterdam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HYPERLINK("https://booking.roadsurfer.com/es/rally/pick?pickup_date=2026-03-17&amp;return_date=2026-03-24&amp;currency=EUR&amp;startStation=56&amp;endStation=32",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Camper Cabin Deluxe</t>
        </is>
      </c>
      <c r="H285">
        <f>HYPERLINK("https://booking.roadsurfer.com/es/rally/pick?pickup_date=2026-03-21&amp;return_date=2026-03-28&amp;currency=EUR&amp;startStation=56&amp;endStation=32",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Braunschweig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No hay coche</t>
        </is>
      </c>
      <c r="H286">
        <f>HYPERLINK("https://booking.roadsurfer.com/es/rally/pick?pickup_date=2026-04-20&amp;return_date=2026-04-27&amp;currency=EUR&amp;startStation=56&amp;endStation=128",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Alemania</t>
        </is>
      </c>
      <c r="D287" t="inlineStr">
        <is>
          <t>Núremberg</t>
        </is>
      </c>
      <c r="E287" t="inlineStr">
        <is>
          <t>2026-03-09</t>
        </is>
      </c>
      <c r="F287" t="inlineStr">
        <is>
          <t>2026-03-16</t>
        </is>
      </c>
      <c r="G287" t="inlineStr">
        <is>
          <t xml:space="preserve"> - Beach Hostel</t>
        </is>
      </c>
      <c r="H287">
        <f>HYPERLINK("https://booking.roadsurfer.com/es/rally/pick?pickup_date=2026-03-09&amp;return_date=2026-03-16&amp;currency=EUR&amp;startStation=56&amp;endStation=11",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Bélgica</t>
        </is>
      </c>
      <c r="D288" t="inlineStr">
        <is>
          <t>Bruselas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Road House</t>
        </is>
      </c>
      <c r="H288">
        <f>HYPERLINK("https://booking.roadsurfer.com/es/rally/pick?pickup_date=2026-03-27&amp;return_date=2026-04-03&amp;currency=EUR&amp;startStation=56&amp;endStation=42",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2026-04-10</t>
        </is>
      </c>
      <c r="F289" t="inlineStr">
        <is>
          <t>2026-04-16</t>
        </is>
      </c>
      <c r="G289" t="inlineStr">
        <is>
          <t xml:space="preserve"> - Road House</t>
        </is>
      </c>
      <c r="H289">
        <f>HYPERLINK("https://booking.roadsurfer.com/es/rally/pick?pickup_date=2026-04-10&amp;return_date=2026-04-16&amp;currency=EUR&amp;startStation=56&amp;endStation=42",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Francia</t>
        </is>
      </c>
      <c r="D290" t="inlineStr">
        <is>
          <t>Lille</t>
        </is>
      </c>
      <c r="E290" t="inlineStr">
        <is>
          <t>2026-04-01</t>
        </is>
      </c>
      <c r="F290" t="inlineStr">
        <is>
          <t>2026-04-08</t>
        </is>
      </c>
      <c r="G290" t="inlineStr">
        <is>
          <t xml:space="preserve"> - Surfer Suite</t>
        </is>
      </c>
      <c r="H290">
        <f>HYPERLINK("https://booking.roadsurfer.com/es/rally/pick?pickup_date=2026-04-01&amp;return_date=2026-04-08&amp;currency=EUR&amp;startStation=56&amp;endStation=87",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2026-03-14</t>
        </is>
      </c>
      <c r="F291" t="inlineStr">
        <is>
          <t>2026-03-21</t>
        </is>
      </c>
      <c r="G291" t="inlineStr">
        <is>
          <t xml:space="preserve"> - Travel Home</t>
        </is>
      </c>
      <c r="H291">
        <f>HYPERLINK("https://booking.roadsurfer.com/es/rally/pick?pickup_date=2026-03-14&amp;return_date=2026-03-21&amp;currency=EUR&amp;startStation=56&amp;endStation=12",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2026-03-28</t>
        </is>
      </c>
      <c r="F292" t="inlineStr">
        <is>
          <t>2026-04-04</t>
        </is>
      </c>
      <c r="G292" t="inlineStr">
        <is>
          <t xml:space="preserve"> - Surfer Suite</t>
        </is>
      </c>
      <c r="H292">
        <f>HYPERLINK("https://booking.roadsurfer.com/es/rally/pick?pickup_date=2026-03-28&amp;return_date=2026-04-04&amp;currency=EUR&amp;startStation=56&amp;endStation=47",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2026-03-31</t>
        </is>
      </c>
      <c r="F293" t="inlineStr">
        <is>
          <t>2026-04-07</t>
        </is>
      </c>
      <c r="G293" t="inlineStr">
        <is>
          <t xml:space="preserve"> - Surfer Suite</t>
        </is>
      </c>
      <c r="H293">
        <f>HYPERLINK("https://booking.roadsurfer.com/es/rally/pick?pickup_date=2026-03-31&amp;return_date=2026-04-07&amp;currency=EUR&amp;startStation=56&amp;endStation=47",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Camper Castle</t>
        </is>
      </c>
      <c r="H294">
        <f>HYPERLINK("https://booking.roadsurfer.com/es/rally/pick?pickup_date=2026-03-16&amp;return_date=2026-03-23&amp;currency=EUR&amp;startStation=56&amp;endStation=45",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Italia</t>
        </is>
      </c>
      <c r="D295" t="inlineStr">
        <is>
          <t>Bolonia</t>
        </is>
      </c>
      <c r="E295" t="inlineStr">
        <is>
          <t>2026-03-02</t>
        </is>
      </c>
      <c r="F295" t="inlineStr">
        <is>
          <t>2026-03-09</t>
        </is>
      </c>
      <c r="G295" t="inlineStr">
        <is>
          <t xml:space="preserve"> - Couple Cottage</t>
        </is>
      </c>
      <c r="H295">
        <f>HYPERLINK("https://booking.roadsurfer.com/es/rally/pick?pickup_date=2026-03-02&amp;return_date=2026-03-09&amp;currency=EUR&amp;startStation=56&amp;endStation=57",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Colonia-Bonn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Couple Cottage</t>
        </is>
      </c>
      <c r="H296">
        <f>HYPERLINK("https://booking.roadsurfer.com/es/rally/pick?pickup_date=2026-03-16&amp;return_date=2026-03-23&amp;currency=EUR&amp;startStation=56&amp;endStation=52",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Sunrise Suite</t>
        </is>
      </c>
      <c r="H297">
        <f>HYPERLINK("https://booking.roadsurfer.com/es/rally/pick?pickup_date=2026-03-05&amp;return_date=2026-03-12&amp;currency=EUR&amp;startStation=56&amp;endStation=1",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2026-04-09</t>
        </is>
      </c>
      <c r="F298" t="inlineStr">
        <is>
          <t>2026-04-16</t>
        </is>
      </c>
      <c r="G298" t="inlineStr">
        <is>
          <t xml:space="preserve"> - Surfer Suite</t>
        </is>
      </c>
      <c r="H298">
        <f>HYPERLINK("https://booking.roadsurfer.com/es/rally/pick?pickup_date=2026-04-09&amp;return_date=2026-04-16&amp;currency=EUR&amp;startStation=56&amp;endStation=58",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Italia</t>
        </is>
      </c>
      <c r="D299" t="inlineStr">
        <is>
          <t>Venecia</t>
        </is>
      </c>
      <c r="E299" t="inlineStr">
        <is>
          <t>2026-04-08</t>
        </is>
      </c>
      <c r="F299" t="inlineStr">
        <is>
          <t>2026-04-15</t>
        </is>
      </c>
      <c r="G299" t="inlineStr">
        <is>
          <t xml:space="preserve"> - Sunrise Suite</t>
        </is>
      </c>
      <c r="H299">
        <f>HYPERLINK("https://booking.roadsurfer.com/es/rally/pick?pickup_date=2026-04-08&amp;return_date=2026-04-15&amp;currency=EUR&amp;startStation=56&amp;endStation=78",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Camper Cabin</t>
        </is>
      </c>
      <c r="H300">
        <f>HYPERLINK("https://booking.roadsurfer.com/es/rally/pick?pickup_date=2026-03-20&amp;return_date=2026-03-27&amp;currency=EUR&amp;startStation=113&amp;endStation=42",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2026-03-11</t>
        </is>
      </c>
      <c r="F301" t="inlineStr">
        <is>
          <t>2026-03-18</t>
        </is>
      </c>
      <c r="G301" t="inlineStr">
        <is>
          <t xml:space="preserve"> - Road House</t>
        </is>
      </c>
      <c r="H301">
        <f>HYPERLINK("https://booking.roadsurfer.com/es/rally/pick?pickup_date=2026-03-11&amp;return_date=2026-03-18&amp;currency=EUR&amp;startStation=113&amp;endStation=42",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2026-02-27</t>
        </is>
      </c>
      <c r="F302" t="inlineStr">
        <is>
          <t>2026-03-06</t>
        </is>
      </c>
      <c r="G302" t="inlineStr">
        <is>
          <t xml:space="preserve"> - Family Finca</t>
        </is>
      </c>
      <c r="H302">
        <f>HYPERLINK("https://booking.roadsurfer.com/es/rally/pick?pickup_date=2026-02-27&amp;return_date=2026-03-06&amp;currency=EUR&amp;startStation=113&amp;endStation=39",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2026-03-31</t>
        </is>
      </c>
      <c r="F303" t="inlineStr">
        <is>
          <t>2026-04-07</t>
        </is>
      </c>
      <c r="G303" t="inlineStr">
        <is>
          <t xml:space="preserve"> - Surfer Suite</t>
        </is>
      </c>
      <c r="H303">
        <f>HYPERLINK("https://booking.roadsurfer.com/es/rally/pick?pickup_date=2026-03-31&amp;return_date=2026-04-07&amp;currency=EUR&amp;startStation=113&amp;endStation=39",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2026-03-03</t>
        </is>
      </c>
      <c r="F304" t="inlineStr">
        <is>
          <t>2026-03-10</t>
        </is>
      </c>
      <c r="G304" t="inlineStr">
        <is>
          <t xml:space="preserve"> - Road House</t>
        </is>
      </c>
      <c r="H304">
        <f>HYPERLINK("https://booking.roadsurfer.com/es/rally/pick?pickup_date=2026-03-03&amp;return_date=2026-03-10&amp;currency=EUR&amp;startStation=113&amp;endStation=33",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2026-03-20</t>
        </is>
      </c>
      <c r="F305" t="inlineStr">
        <is>
          <t>2026-03-27</t>
        </is>
      </c>
      <c r="G305" t="inlineStr">
        <is>
          <t xml:space="preserve"> - Surfer Suite</t>
        </is>
      </c>
      <c r="H305">
        <f>HYPERLINK("https://booking.roadsurfer.com/es/rally/pick?pickup_date=2026-03-20&amp;return_date=2026-03-27&amp;currency=EUR&amp;startStation=113&amp;endStation=33",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2026-03-04</t>
        </is>
      </c>
      <c r="F306" t="inlineStr">
        <is>
          <t>2026-03-11</t>
        </is>
      </c>
      <c r="G306" t="inlineStr">
        <is>
          <t xml:space="preserve"> - Surfer Suite</t>
        </is>
      </c>
      <c r="H306">
        <f>HYPERLINK("https://booking.roadsurfer.com/es/rally/pick?pickup_date=2026-03-04&amp;return_date=2026-03-11&amp;currency=EUR&amp;startStation=113&amp;endStation=32",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No hay coche</t>
        </is>
      </c>
      <c r="H307">
        <f>HYPERLINK("https://booking.roadsurfer.com/es/rally/pick?pickup_date=2026-03-05&amp;return_date=2026-03-12&amp;currency=EUR&amp;startStation=113&amp;endStation=32",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2026-03-06</t>
        </is>
      </c>
      <c r="F308" t="inlineStr">
        <is>
          <t>2026-03-13</t>
        </is>
      </c>
      <c r="G308" t="inlineStr">
        <is>
          <t xml:space="preserve"> - Surfer Suite</t>
        </is>
      </c>
      <c r="H308">
        <f>HYPERLINK("https://booking.roadsurfer.com/es/rally/pick?pickup_date=2026-03-06&amp;return_date=2026-03-13&amp;currency=EUR&amp;startStation=113&amp;endStation=32",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2026-03-07</t>
        </is>
      </c>
      <c r="F309" t="inlineStr">
        <is>
          <t>2026-03-14</t>
        </is>
      </c>
      <c r="G309" t="inlineStr">
        <is>
          <t xml:space="preserve"> - SURFER SUITE</t>
        </is>
      </c>
      <c r="H309">
        <f>HYPERLINK("https://booking.roadsurfer.com/es/rally/pick?pickup_date=2026-03-07&amp;return_date=2026-03-14&amp;currency=EUR&amp;startStation=113&amp;endStation=32",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2026-03-09</t>
        </is>
      </c>
      <c r="F310" t="inlineStr">
        <is>
          <t>2026-03-16</t>
        </is>
      </c>
      <c r="G310" t="inlineStr">
        <is>
          <t xml:space="preserve"> - Surfer Suite</t>
        </is>
      </c>
      <c r="H310">
        <f>HYPERLINK("https://booking.roadsurfer.com/es/rally/pick?pickup_date=2026-03-09&amp;return_date=2026-03-16&amp;currency=EUR&amp;startStation=113&amp;endStation=32",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2026-03-13</t>
        </is>
      </c>
      <c r="F311" t="inlineStr">
        <is>
          <t>2026-03-20</t>
        </is>
      </c>
      <c r="G311" t="inlineStr">
        <is>
          <t xml:space="preserve"> - Camper Castle</t>
        </is>
      </c>
      <c r="H311">
        <f>HYPERLINK("https://booking.roadsurfer.com/es/rally/pick?pickup_date=2026-03-13&amp;return_date=2026-03-20&amp;currency=EUR&amp;startStation=113&amp;endStation=32",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2026-03-16</t>
        </is>
      </c>
      <c r="F312" t="inlineStr">
        <is>
          <t>2026-03-23</t>
        </is>
      </c>
      <c r="G312" t="inlineStr">
        <is>
          <t xml:space="preserve"> - Road House - Family Finca</t>
        </is>
      </c>
      <c r="H312">
        <f>HYPERLINK("https://booking.roadsurfer.com/es/rally/pick?pickup_date=2026-03-16&amp;return_date=2026-03-23&amp;currency=EUR&amp;startStation=113&amp;endStation=32",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2026-03-18</t>
        </is>
      </c>
      <c r="F313" t="inlineStr">
        <is>
          <t>2026-03-25</t>
        </is>
      </c>
      <c r="G313" t="inlineStr">
        <is>
          <t xml:space="preserve"> - Surfer Suite</t>
        </is>
      </c>
      <c r="H313">
        <f>HYPERLINK("https://booking.roadsurfer.com/es/rally/pick?pickup_date=2026-03-18&amp;return_date=2026-03-25&amp;currency=EUR&amp;startStation=113&amp;endStation=32",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2026-03-19</t>
        </is>
      </c>
      <c r="F314" t="inlineStr">
        <is>
          <t>2026-03-26</t>
        </is>
      </c>
      <c r="G314" t="inlineStr">
        <is>
          <t xml:space="preserve"> - Surfer Suite</t>
        </is>
      </c>
      <c r="H314">
        <f>HYPERLINK("https://booking.roadsurfer.com/es/rally/pick?pickup_date=2026-03-19&amp;return_date=2026-03-26&amp;currency=EUR&amp;startStation=113&amp;endStation=32",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2026-03-17</t>
        </is>
      </c>
      <c r="F315" t="inlineStr">
        <is>
          <t>2026-03-24</t>
        </is>
      </c>
      <c r="G315" t="inlineStr">
        <is>
          <t xml:space="preserve"> - SURFER SUITE</t>
        </is>
      </c>
      <c r="H315">
        <f>HYPERLINK("https://booking.roadsurfer.com/es/rally/pick?pickup_date=2026-03-17&amp;return_date=2026-03-24&amp;currency=EUR&amp;startStation=113&amp;endStation=32",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Málaga</t>
        </is>
      </c>
      <c r="E316" t="inlineStr">
        <is>
          <t>2026-02-27</t>
        </is>
      </c>
      <c r="F316" t="inlineStr">
        <is>
          <t>2026-03-06</t>
        </is>
      </c>
      <c r="G316" t="inlineStr">
        <is>
          <t xml:space="preserve"> - Road House</t>
        </is>
      </c>
      <c r="H316">
        <f>HYPERLINK("https://booking.roadsurfer.com/es/rally/pick?pickup_date=2026-02-27&amp;return_date=2026-03-06&amp;currency=EUR&amp;startStation=113&amp;endStation=21",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2026-03-14</t>
        </is>
      </c>
      <c r="F317" t="inlineStr">
        <is>
          <t>2026-03-21</t>
        </is>
      </c>
      <c r="G317" t="inlineStr">
        <is>
          <t xml:space="preserve"> - Family Finca</t>
        </is>
      </c>
      <c r="H317">
        <f>HYPERLINK("https://booking.roadsurfer.com/es/rally/pick?pickup_date=2026-03-14&amp;return_date=2026-03-21&amp;currency=EUR&amp;startStation=113&amp;endStation=77",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2026-03-13</t>
        </is>
      </c>
      <c r="F318" t="inlineStr">
        <is>
          <t>2026-03-20</t>
        </is>
      </c>
      <c r="G318" t="inlineStr">
        <is>
          <t xml:space="preserve"> - Road House</t>
        </is>
      </c>
      <c r="H318">
        <f>HYPERLINK("https://booking.roadsurfer.com/es/rally/pick?pickup_date=2026-03-13&amp;return_date=2026-03-20&amp;currency=EUR&amp;startStation=113&amp;endStation=47",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2026-03-19</t>
        </is>
      </c>
      <c r="F319" t="inlineStr">
        <is>
          <t>2026-03-26</t>
        </is>
      </c>
      <c r="G319" t="inlineStr">
        <is>
          <t xml:space="preserve"> - Family Finca</t>
        </is>
      </c>
      <c r="H319">
        <f>HYPERLINK("https://booking.roadsurfer.com/es/rally/pick?pickup_date=2026-03-19&amp;return_date=2026-03-26&amp;currency=EUR&amp;startStation=90&amp;endStation=32",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Bruselas</t>
        </is>
      </c>
      <c r="E320" t="inlineStr">
        <is>
          <t>2026-02-27</t>
        </is>
      </c>
      <c r="F320" t="inlineStr">
        <is>
          <t>2026-03-06</t>
        </is>
      </c>
      <c r="G320" t="inlineStr">
        <is>
          <t xml:space="preserve"> - Surfer Suite</t>
        </is>
      </c>
      <c r="H320">
        <f>HYPERLINK("https://booking.roadsurfer.com/es/rally/pick?pickup_date=2026-02-27&amp;return_date=2026-03-06&amp;currency=EUR&amp;startStation=90&amp;endStation=42",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Bruselas</t>
        </is>
      </c>
      <c r="E321" t="inlineStr">
        <is>
          <t>2026-03-04</t>
        </is>
      </c>
      <c r="F321" t="inlineStr">
        <is>
          <t>2026-03-11</t>
        </is>
      </c>
      <c r="G321" t="inlineStr">
        <is>
          <t xml:space="preserve"> - Surfer Suite</t>
        </is>
      </c>
      <c r="H321">
        <f>HYPERLINK("https://booking.roadsurfer.com/es/rally/pick?pickup_date=2026-03-04&amp;return_date=2026-03-11&amp;currency=EUR&amp;startStation=90&amp;endStation=42",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Beach Hostel</t>
        </is>
      </c>
      <c r="H322">
        <f>HYPERLINK("https://booking.roadsurfer.com/es/rally/pick?pickup_date=2026-04-14&amp;return_date=2026-04-21&amp;currency=EUR&amp;startStation=90&amp;endStation=42",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2026-03-30</t>
        </is>
      </c>
      <c r="F323" t="inlineStr">
        <is>
          <t>2026-04-06</t>
        </is>
      </c>
      <c r="G323" t="inlineStr">
        <is>
          <t xml:space="preserve"> - No hay coche</t>
        </is>
      </c>
      <c r="H323">
        <f>HYPERLINK("https://booking.roadsurfer.com/es/rally/pick?pickup_date=2026-03-30&amp;return_date=2026-04-06&amp;currency=EUR&amp;startStation=90&amp;endStation=47",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Family Finca</t>
        </is>
      </c>
      <c r="H324">
        <f>HYPERLINK("https://booking.roadsurfer.com/es/rally/pick?pickup_date=2026-03-18&amp;return_date=2026-03-25&amp;currency=EUR&amp;startStation=90&amp;endStation=47",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Ginebra-Pays de Gex (Francia)</t>
        </is>
      </c>
      <c r="E325" t="inlineStr">
        <is>
          <t>2026-03-04</t>
        </is>
      </c>
      <c r="F325" t="inlineStr">
        <is>
          <t>2026-03-11</t>
        </is>
      </c>
      <c r="G325" t="inlineStr">
        <is>
          <t xml:space="preserve"> - Road House</t>
        </is>
      </c>
      <c r="H325">
        <f>HYPERLINK("https://booking.roadsurfer.com/es/rally/pick?pickup_date=2026-03-04&amp;return_date=2026-03-11&amp;currency=EUR&amp;startStation=90&amp;endStation=29",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2026-03-12</t>
        </is>
      </c>
      <c r="F326" t="inlineStr">
        <is>
          <t>2026-03-19</t>
        </is>
      </c>
      <c r="G326" t="inlineStr">
        <is>
          <t xml:space="preserve"> - No hay coche</t>
        </is>
      </c>
      <c r="H326">
        <f>HYPERLINK("https://booking.roadsurfer.com/es/rally/pick?pickup_date=2026-03-12&amp;return_date=2026-03-19&amp;currency=EUR&amp;startStation=90&amp;endStation=29",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2026-03-30</t>
        </is>
      </c>
      <c r="F327" t="inlineStr">
        <is>
          <t>2026-04-06</t>
        </is>
      </c>
      <c r="G327" t="inlineStr">
        <is>
          <t xml:space="preserve"> - No hay coche</t>
        </is>
      </c>
      <c r="H327">
        <f>HYPERLINK("https://booking.roadsurfer.com/es/rally/pick?pickup_date=2026-03-30&amp;return_date=2026-04-06&amp;currency=EUR&amp;startStation=90&amp;endStation=12",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2026-03-23</t>
        </is>
      </c>
      <c r="F328" t="inlineStr">
        <is>
          <t>2026-03-30</t>
        </is>
      </c>
      <c r="G328" t="inlineStr">
        <is>
          <t xml:space="preserve"> - No hay coche</t>
        </is>
      </c>
      <c r="H328">
        <f>HYPERLINK("https://booking.roadsurfer.com/es/rally/pick?pickup_date=2026-03-23&amp;return_date=2026-03-30&amp;currency=EUR&amp;startStation=90&amp;endStation=12",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2026-03-03</t>
        </is>
      </c>
      <c r="F329" t="inlineStr">
        <is>
          <t>2026-03-10</t>
        </is>
      </c>
      <c r="G329" t="inlineStr">
        <is>
          <t xml:space="preserve"> - Road House</t>
        </is>
      </c>
      <c r="H329">
        <f>HYPERLINK("https://booking.roadsurfer.com/es/rally/pick?pickup_date=2026-03-03&amp;return_date=2026-03-10&amp;currency=EUR&amp;startStation=90&amp;endStation=12",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Austria</t>
        </is>
      </c>
      <c r="D330" t="inlineStr">
        <is>
          <t>Viena</t>
        </is>
      </c>
      <c r="E330" t="inlineStr">
        <is>
          <t>2026-03-16</t>
        </is>
      </c>
      <c r="F330" t="inlineStr">
        <is>
          <t>2026-03-23</t>
        </is>
      </c>
      <c r="G330" t="inlineStr">
        <is>
          <t xml:space="preserve"> - Beach Hostel</t>
        </is>
      </c>
      <c r="H330">
        <f>HYPERLINK("https://booking.roadsurfer.com/es/rally/pick?pickup_date=2026-03-16&amp;return_date=2026-03-23&amp;currency=EUR&amp;startStation=90&amp;endStation=36",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Surfer Suite</t>
        </is>
      </c>
      <c r="H331">
        <f>HYPERLINK("https://booking.roadsurfer.com/es/rally/pick?pickup_date=2026-03-13&amp;return_date=2026-03-20&amp;currency=EUR&amp;startStation=90&amp;endStation=36",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2026-03-12</t>
        </is>
      </c>
      <c r="F332" t="inlineStr">
        <is>
          <t>2026-03-19</t>
        </is>
      </c>
      <c r="G332" t="inlineStr">
        <is>
          <t xml:space="preserve"> - No hay coche</t>
        </is>
      </c>
      <c r="H332">
        <f>HYPERLINK("https://booking.roadsurfer.com/es/rally/pick?pickup_date=2026-03-12&amp;return_date=2026-03-19&amp;currency=EUR&amp;startStation=90&amp;endStation=34",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2026-03-13</t>
        </is>
      </c>
      <c r="F333" t="inlineStr">
        <is>
          <t>2026-03-20</t>
        </is>
      </c>
      <c r="G333" t="inlineStr">
        <is>
          <t xml:space="preserve"> - Family Finca</t>
        </is>
      </c>
      <c r="H333">
        <f>HYPERLINK("https://booking.roadsurfer.com/es/rally/pick?pickup_date=2026-03-13&amp;return_date=2026-03-20&amp;currency=EUR&amp;startStation=90&amp;endStation=34",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2026-03-14</t>
        </is>
      </c>
      <c r="F334" t="inlineStr">
        <is>
          <t>2026-03-21</t>
        </is>
      </c>
      <c r="G334" t="inlineStr">
        <is>
          <t xml:space="preserve"> - Couple Cottage</t>
        </is>
      </c>
      <c r="H334">
        <f>HYPERLINK("https://booking.roadsurfer.com/es/rally/pick?pickup_date=2026-03-14&amp;return_date=2026-03-21&amp;currency=EUR&amp;startStation=90&amp;endStation=34",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2026-03-14</t>
        </is>
      </c>
      <c r="F335" t="inlineStr">
        <is>
          <t>2026-03-21</t>
        </is>
      </c>
      <c r="G335" t="inlineStr">
        <is>
          <t xml:space="preserve"> - Surfer Suite</t>
        </is>
      </c>
      <c r="H335">
        <f>HYPERLINK("https://booking.roadsurfer.com/es/rally/pick?pickup_date=2026-03-14&amp;return_date=2026-03-21&amp;currency=EUR&amp;startStation=90&amp;endStation=37",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Graz</t>
        </is>
      </c>
      <c r="E336" t="inlineStr">
        <is>
          <t>2026-03-20</t>
        </is>
      </c>
      <c r="F336" t="inlineStr">
        <is>
          <t>2026-03-27</t>
        </is>
      </c>
      <c r="G336" t="inlineStr">
        <is>
          <t xml:space="preserve"> - Surfer Suite</t>
        </is>
      </c>
      <c r="H336">
        <f>HYPERLINK("https://booking.roadsurfer.com/es/rally/pick?pickup_date=2026-03-20&amp;return_date=2026-03-27&amp;currency=EUR&amp;startStation=90&amp;endStation=37",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2026-04-02</t>
        </is>
      </c>
      <c r="F337" t="inlineStr">
        <is>
          <t>2026-04-09</t>
        </is>
      </c>
      <c r="G337" t="inlineStr">
        <is>
          <t xml:space="preserve"> - Surfer Suite</t>
        </is>
      </c>
      <c r="H337">
        <f>HYPERLINK("https://booking.roadsurfer.com/es/rally/pick?pickup_date=2026-04-02&amp;return_date=2026-04-09&amp;currency=EUR&amp;startStation=90&amp;endStation=37",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2026-03-16</t>
        </is>
      </c>
      <c r="F338" t="inlineStr">
        <is>
          <t>2026-03-23</t>
        </is>
      </c>
      <c r="G338" t="inlineStr">
        <is>
          <t xml:space="preserve"> - Surfer Suite - Beach Hostel</t>
        </is>
      </c>
      <c r="H338">
        <f>HYPERLINK("https://booking.roadsurfer.com/es/rally/pick?pickup_date=2026-03-16&amp;return_date=2026-03-23&amp;currency=EUR&amp;startStation=90&amp;endStation=48",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2026-03-31</t>
        </is>
      </c>
      <c r="F339" t="inlineStr">
        <is>
          <t>2026-04-07</t>
        </is>
      </c>
      <c r="G339" t="inlineStr">
        <is>
          <t xml:space="preserve"> - SURFER SUITE</t>
        </is>
      </c>
      <c r="H339">
        <f>HYPERLINK("https://booking.roadsurfer.com/es/rally/pick?pickup_date=2026-03-31&amp;return_date=2026-04-07&amp;currency=EUR&amp;startStation=90&amp;endStation=48",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Camper Castle</t>
        </is>
      </c>
      <c r="H340">
        <f>HYPERLINK("https://booking.roadsurfer.com/es/rally/pick?pickup_date=2026-03-19&amp;return_date=2026-03-26&amp;currency=EUR&amp;startStation=90&amp;endStation=20",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2026-02-27</t>
        </is>
      </c>
      <c r="F341" t="inlineStr">
        <is>
          <t>2026-03-06</t>
        </is>
      </c>
      <c r="G341" t="inlineStr">
        <is>
          <t xml:space="preserve"> - Camper Cabin</t>
        </is>
      </c>
      <c r="H341">
        <f>HYPERLINK("https://booking.roadsurfer.com/es/rally/pick?pickup_date=2026-02-27&amp;return_date=2026-03-06&amp;currency=EUR&amp;startStation=90&amp;endStation=45",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2026-04-04</t>
        </is>
      </c>
      <c r="F342" t="inlineStr">
        <is>
          <t>2026-04-11</t>
        </is>
      </c>
      <c r="G342" t="inlineStr">
        <is>
          <t xml:space="preserve"> - Road House</t>
        </is>
      </c>
      <c r="H342">
        <f>HYPERLINK("https://booking.roadsurfer.com/es/rally/pick?pickup_date=2026-04-04&amp;return_date=2026-04-11&amp;currency=EUR&amp;startStation=90&amp;endStation=77",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Estrasburgo</t>
        </is>
      </c>
      <c r="E343" t="inlineStr">
        <is>
          <t>2026-04-10</t>
        </is>
      </c>
      <c r="F343" t="inlineStr">
        <is>
          <t>2026-04-17</t>
        </is>
      </c>
      <c r="G343" t="inlineStr">
        <is>
          <t xml:space="preserve"> - Beach Hostel</t>
        </is>
      </c>
      <c r="H343">
        <f>HYPERLINK("https://booking.roadsurfer.com/es/rally/pick?pickup_date=2026-04-10&amp;return_date=2026-04-17&amp;currency=EUR&amp;startStation=90&amp;endStation=49",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2026-04-07</t>
        </is>
      </c>
      <c r="F344" t="inlineStr">
        <is>
          <t>2026-04-14</t>
        </is>
      </c>
      <c r="G344" t="inlineStr">
        <is>
          <t xml:space="preserve"> - Family Finca</t>
        </is>
      </c>
      <c r="H344">
        <f>HYPERLINK("https://booking.roadsurfer.com/es/rally/pick?pickup_date=2026-04-07&amp;return_date=2026-04-14&amp;currency=EUR&amp;startStation=90&amp;endStation=16",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Niza</t>
        </is>
      </c>
      <c r="E345" t="inlineStr">
        <is>
          <t>2026-04-10</t>
        </is>
      </c>
      <c r="F345" t="inlineStr">
        <is>
          <t>2026-04-17</t>
        </is>
      </c>
      <c r="G345" t="inlineStr">
        <is>
          <t xml:space="preserve"> - Surfer Suite</t>
        </is>
      </c>
      <c r="H345">
        <f>HYPERLINK("https://booking.roadsurfer.com/es/rally/pick?pickup_date=2026-04-10&amp;return_date=2026-04-17&amp;currency=EUR&amp;startStation=90&amp;endStation=88",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Colonia-Bonn</t>
        </is>
      </c>
      <c r="E346" t="inlineStr">
        <is>
          <t>2026-03-02</t>
        </is>
      </c>
      <c r="F346" t="inlineStr">
        <is>
          <t>2026-03-09</t>
        </is>
      </c>
      <c r="G346" t="inlineStr">
        <is>
          <t xml:space="preserve"> - Sunrise Suite</t>
        </is>
      </c>
      <c r="H346">
        <f>HYPERLINK("https://booking.roadsurfer.com/es/rally/pick?pickup_date=2026-03-02&amp;return_date=2026-03-09&amp;currency=EUR&amp;startStation=80&amp;endStation=52",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Múnich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HYPERLINK("https://booking.roadsurfer.com/es/rally/pick?pickup_date=2026-03-17&amp;return_date=2026-03-24&amp;currency=EUR&amp;startStation=80&amp;endStation=1",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Beach Hostel</t>
        </is>
      </c>
      <c r="H348">
        <f>HYPERLINK("https://booking.roadsurfer.com/es/rally/pick?pickup_date=2026-03-16&amp;return_date=2026-03-23&amp;currency=EUR&amp;startStation=80&amp;endStation=1",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Road House</t>
        </is>
      </c>
      <c r="H349">
        <f>HYPERLINK("https://booking.roadsurfer.com/es/rally/pick?pickup_date=2026-03-13&amp;return_date=2026-03-20&amp;currency=EUR&amp;startStation=80&amp;endStation=22",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No hay coche</t>
        </is>
      </c>
      <c r="H350">
        <f>HYPERLINK("https://booking.roadsurfer.com/es/rally/pick?pickup_date=2026-03-14&amp;return_date=2026-03-21&amp;currency=EUR&amp;startStation=80&amp;endStation=22",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Fráncfort</t>
        </is>
      </c>
      <c r="E351" t="inlineStr">
        <is>
          <t>2026-03-19</t>
        </is>
      </c>
      <c r="F351" t="inlineStr">
        <is>
          <t>2026-03-26</t>
        </is>
      </c>
      <c r="G351" t="inlineStr">
        <is>
          <t xml:space="preserve"> - Surfer Suite</t>
        </is>
      </c>
      <c r="H351">
        <f>HYPERLINK("https://booking.roadsurfer.com/es/rally/pick?pickup_date=2026-03-19&amp;return_date=2026-03-26&amp;currency=EUR&amp;startStation=80&amp;endStation=2",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Bochum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Surfer Suite</t>
        </is>
      </c>
      <c r="H352">
        <f>HYPERLINK("https://booking.roadsurfer.com/es/rally/pick?pickup_date=2026-03-19&amp;return_date=2026-03-26&amp;currency=EUR&amp;startStation=80&amp;endStation=24",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Braunschweig</t>
        </is>
      </c>
      <c r="E353" t="inlineStr">
        <is>
          <t>2026-04-20</t>
        </is>
      </c>
      <c r="F353" t="inlineStr">
        <is>
          <t>2026-04-27</t>
        </is>
      </c>
      <c r="G353" t="inlineStr">
        <is>
          <t xml:space="preserve"> - No hay coche</t>
        </is>
      </c>
      <c r="H353">
        <f>HYPERLINK("https://booking.roadsurfer.com/es/rally/pick?pickup_date=2026-04-20&amp;return_date=2026-04-27&amp;currency=EUR&amp;startStation=2&amp;endStation=128",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2026-04-01</t>
        </is>
      </c>
      <c r="F354" t="inlineStr">
        <is>
          <t>2026-04-08</t>
        </is>
      </c>
      <c r="G354" t="inlineStr">
        <is>
          <t xml:space="preserve"> - Surfer Suite</t>
        </is>
      </c>
      <c r="H354">
        <f>HYPERLINK("https://booking.roadsurfer.com/es/rally/pick?pickup_date=2026-04-01&amp;return_date=2026-04-08&amp;currency=EUR&amp;startStation=2&amp;endStation=40",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Lindau-Wangen</t>
        </is>
      </c>
      <c r="E355" t="inlineStr">
        <is>
          <t>2026-03-20</t>
        </is>
      </c>
      <c r="F355" t="inlineStr">
        <is>
          <t>2026-03-27</t>
        </is>
      </c>
      <c r="G355" t="inlineStr">
        <is>
          <t xml:space="preserve"> - Surfer Suite</t>
        </is>
      </c>
      <c r="H355">
        <f>HYPERLINK("https://booking.roadsurfer.com/es/rally/pick?pickup_date=2026-03-20&amp;return_date=2026-03-27&amp;currency=EUR&amp;startStation=2&amp;endStation=117",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Lindau-Wangen</t>
        </is>
      </c>
      <c r="E356" t="inlineStr">
        <is>
          <t>2026-03-05</t>
        </is>
      </c>
      <c r="F356" t="inlineStr">
        <is>
          <t>2026-03-12</t>
        </is>
      </c>
      <c r="G356" t="inlineStr">
        <is>
          <t xml:space="preserve"> - No hay coche</t>
        </is>
      </c>
      <c r="H356">
        <f>HYPERLINK("https://booking.roadsurfer.com/es/rally/pick?pickup_date=2026-03-05&amp;return_date=2026-03-12&amp;currency=EUR&amp;startStation=2&amp;endStation=117",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2026-03-03</t>
        </is>
      </c>
      <c r="F357" t="inlineStr">
        <is>
          <t>2026-03-10</t>
        </is>
      </c>
      <c r="G357" t="inlineStr">
        <is>
          <t xml:space="preserve"> - Beach Hostel</t>
        </is>
      </c>
      <c r="H357">
        <f>HYPERLINK("https://booking.roadsurfer.com/es/rally/pick?pickup_date=2026-03-03&amp;return_date=2026-03-10&amp;currency=EUR&amp;startStation=2&amp;endStation=15",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Hamburgo Aeropuerto</t>
        </is>
      </c>
      <c r="E358" t="inlineStr">
        <is>
          <t>2026-03-13</t>
        </is>
      </c>
      <c r="F358" t="inlineStr">
        <is>
          <t>2026-03-20</t>
        </is>
      </c>
      <c r="G358" t="inlineStr">
        <is>
          <t xml:space="preserve"> - Road House</t>
        </is>
      </c>
      <c r="H358">
        <f>HYPERLINK("https://booking.roadsurfer.com/es/rally/pick?pickup_date=2026-03-13&amp;return_date=2026-03-20&amp;currency=EUR&amp;startStation=2&amp;endStation=65",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2026-03-09</t>
        </is>
      </c>
      <c r="F359" t="inlineStr">
        <is>
          <t>2026-03-16</t>
        </is>
      </c>
      <c r="G359" t="inlineStr">
        <is>
          <t xml:space="preserve"> - Camper Cabin Deluxe</t>
        </is>
      </c>
      <c r="H359">
        <f>HYPERLINK("https://booking.roadsurfer.com/es/rally/pick?pickup_date=2026-03-09&amp;return_date=2026-03-16&amp;currency=EUR&amp;startStation=2&amp;endStation=33",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2026-03-12</t>
        </is>
      </c>
      <c r="F360" t="inlineStr">
        <is>
          <t>2026-03-19</t>
        </is>
      </c>
      <c r="G360" t="inlineStr">
        <is>
          <t xml:space="preserve"> - Family Finca</t>
        </is>
      </c>
      <c r="H360">
        <f>HYPERLINK("https://booking.roadsurfer.com/es/rally/pick?pickup_date=2026-03-12&amp;return_date=2026-03-19&amp;currency=EUR&amp;startStation=2&amp;endStation=29",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Family Finca</t>
        </is>
      </c>
      <c r="H361">
        <f>HYPERLINK("https://booking.roadsurfer.com/es/rally/pick?pickup_date=2026-03-17&amp;return_date=2026-03-24&amp;currency=EUR&amp;startStation=2&amp;endStation=29",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Family Finca</t>
        </is>
      </c>
      <c r="H362">
        <f>HYPERLINK("https://booking.roadsurfer.com/es/rally/pick?pickup_date=2026-03-16&amp;return_date=2026-03-23&amp;currency=EUR&amp;startStation=2&amp;endStation=29",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2026-03-05</t>
        </is>
      </c>
      <c r="F363" t="inlineStr">
        <is>
          <t>2026-03-12</t>
        </is>
      </c>
      <c r="G363" t="inlineStr">
        <is>
          <t xml:space="preserve"> - Camper Cabin Deluxe</t>
        </is>
      </c>
      <c r="H363">
        <f>HYPERLINK("https://booking.roadsurfer.com/es/rally/pick?pickup_date=2026-03-05&amp;return_date=2026-03-12&amp;currency=EUR&amp;startStation=2&amp;endStation=29",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Italia</t>
        </is>
      </c>
      <c r="D364" t="inlineStr">
        <is>
          <t>Florencia</t>
        </is>
      </c>
      <c r="E364" t="inlineStr">
        <is>
          <t>2026-03-02</t>
        </is>
      </c>
      <c r="F364" t="inlineStr">
        <is>
          <t>2026-03-09</t>
        </is>
      </c>
      <c r="G364" t="inlineStr">
        <is>
          <t xml:space="preserve"> - Camper Castle</t>
        </is>
      </c>
      <c r="H364">
        <f>HYPERLINK("https://booking.roadsurfer.com/es/rally/pick?pickup_date=2026-03-02&amp;return_date=2026-03-09&amp;currency=EUR&amp;startStation=2&amp;endStation=80",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Toulouse</t>
        </is>
      </c>
      <c r="E365" t="inlineStr">
        <is>
          <t>2026-03-23</t>
        </is>
      </c>
      <c r="F365" t="inlineStr">
        <is>
          <t>2026-03-30</t>
        </is>
      </c>
      <c r="G365" t="inlineStr">
        <is>
          <t xml:space="preserve"> - Family Finca</t>
        </is>
      </c>
      <c r="H365">
        <f>HYPERLINK("https://booking.roadsurfer.com/es/rally/pick?pickup_date=2026-03-23&amp;return_date=2026-03-30&amp;currency=EUR&amp;startStation=2&amp;endStation=30",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2026-03-12</t>
        </is>
      </c>
      <c r="F366" t="inlineStr">
        <is>
          <t>2026-03-19</t>
        </is>
      </c>
      <c r="G366" t="inlineStr">
        <is>
          <t xml:space="preserve"> - Family Finca</t>
        </is>
      </c>
      <c r="H366">
        <f>HYPERLINK("https://booking.roadsurfer.com/es/rally/pick?pickup_date=2026-03-12&amp;return_date=2026-03-19&amp;currency=EUR&amp;startStation=2&amp;endStation=48",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2026-03-05</t>
        </is>
      </c>
      <c r="F367" t="inlineStr">
        <is>
          <t>2026-03-12</t>
        </is>
      </c>
      <c r="G367" t="inlineStr">
        <is>
          <t xml:space="preserve"> - Surfer Suite</t>
        </is>
      </c>
      <c r="H367">
        <f>HYPERLINK("https://booking.roadsurfer.com/es/rally/pick?pickup_date=2026-03-05&amp;return_date=2026-03-12&amp;currency=EUR&amp;startStation=9&amp;endStation=33",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</t>
        </is>
      </c>
      <c r="H368">
        <f>HYPERLINK("https://booking.roadsurfer.com/es/rally/pick?pickup_date=2026-03-16&amp;return_date=2026-03-23&amp;currency=EUR&amp;startStation=9&amp;endStation=20",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2026-03-12</t>
        </is>
      </c>
      <c r="F369" t="inlineStr">
        <is>
          <t>2026-03-19</t>
        </is>
      </c>
      <c r="G369" t="inlineStr">
        <is>
          <t xml:space="preserve"> - Surfer Suite</t>
        </is>
      </c>
      <c r="H369">
        <f>HYPERLINK("https://booking.roadsurfer.com/es/rally/pick?pickup_date=2026-03-12&amp;return_date=2026-03-19&amp;currency=EUR&amp;startStation=9&amp;endStation=20",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Málaga</t>
        </is>
      </c>
      <c r="E370" t="inlineStr">
        <is>
          <t>2026-04-01</t>
        </is>
      </c>
      <c r="F370" t="inlineStr">
        <is>
          <t>2026-04-08</t>
        </is>
      </c>
      <c r="G370" t="inlineStr">
        <is>
          <t xml:space="preserve"> - Surfer Suite</t>
        </is>
      </c>
      <c r="H370">
        <f>HYPERLINK("https://booking.roadsurfer.com/es/rally/pick?pickup_date=2026-04-01&amp;return_date=2026-04-08&amp;currency=EUR&amp;startStation=9&amp;endStation=21",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Málaga</t>
        </is>
      </c>
      <c r="E371" t="inlineStr">
        <is>
          <t>2026-04-03</t>
        </is>
      </c>
      <c r="F371" t="inlineStr">
        <is>
          <t>2026-04-10</t>
        </is>
      </c>
      <c r="G371" t="inlineStr">
        <is>
          <t xml:space="preserve"> - No hay coche</t>
        </is>
      </c>
      <c r="H371">
        <f>HYPERLINK("https://booking.roadsurfer.com/es/rally/pick?pickup_date=2026-04-03&amp;return_date=2026-04-10&amp;currency=EUR&amp;startStation=9&amp;endStation=21",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2026-03-28</t>
        </is>
      </c>
      <c r="F372" t="inlineStr">
        <is>
          <t>2026-04-04</t>
        </is>
      </c>
      <c r="G372" t="inlineStr">
        <is>
          <t xml:space="preserve"> - Surfer Suite</t>
        </is>
      </c>
      <c r="H372">
        <f>HYPERLINK("https://booking.roadsurfer.com/es/rally/pick?pickup_date=2026-03-28&amp;return_date=2026-04-04&amp;currency=EUR&amp;startStation=9&amp;endStation=21",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2026-03-30</t>
        </is>
      </c>
      <c r="F373" t="inlineStr">
        <is>
          <t>2026-04-06</t>
        </is>
      </c>
      <c r="G373" t="inlineStr">
        <is>
          <t xml:space="preserve"> - No hay coche</t>
        </is>
      </c>
      <c r="H373">
        <f>HYPERLINK("https://booking.roadsurfer.com/es/rally/pick?pickup_date=2026-03-30&amp;return_date=2026-04-06&amp;currency=EUR&amp;startStation=9&amp;endStation=40",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2026-03-26</t>
        </is>
      </c>
      <c r="F374" t="inlineStr">
        <is>
          <t>2026-04-02</t>
        </is>
      </c>
      <c r="G374" t="inlineStr">
        <is>
          <t xml:space="preserve"> - Surfer Suite</t>
        </is>
      </c>
      <c r="H374">
        <f>HYPERLINK("https://booking.roadsurfer.com/es/rally/pick?pickup_date=2026-03-26&amp;return_date=2026-04-02&amp;currency=EUR&amp;startStation=9&amp;endStation=15",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Beach Hostel</t>
        </is>
      </c>
      <c r="H375">
        <f>HYPERLINK("https://booking.roadsurfer.com/es/rally/pick?pickup_date=2026-03-17&amp;return_date=2026-03-24&amp;currency=EUR&amp;startStation=9&amp;endStation=15",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Sevilla</t>
        </is>
      </c>
      <c r="E376" t="inlineStr">
        <is>
          <t>2026-03-02</t>
        </is>
      </c>
      <c r="F376" t="inlineStr">
        <is>
          <t>2026-03-09</t>
        </is>
      </c>
      <c r="G376" t="inlineStr">
        <is>
          <t xml:space="preserve"> - Surfer Suite</t>
        </is>
      </c>
      <c r="H376">
        <f>HYPERLINK("https://booking.roadsurfer.com/es/rally/pick?pickup_date=2026-03-02&amp;return_date=2026-03-09&amp;currency=EUR&amp;startStation=9&amp;endStation=39",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Valencia</t>
        </is>
      </c>
      <c r="E377" t="inlineStr">
        <is>
          <t>2026-03-11</t>
        </is>
      </c>
      <c r="F377" t="inlineStr">
        <is>
          <t>2026-03-18</t>
        </is>
      </c>
      <c r="G377" t="inlineStr">
        <is>
          <t xml:space="preserve"> - Surfer Suite</t>
        </is>
      </c>
      <c r="H377">
        <f>HYPERLINK("https://booking.roadsurfer.com/es/rally/pick?pickup_date=2026-03-11&amp;return_date=2026-03-18&amp;currency=EUR&amp;startStation=9&amp;endStation=38",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2026-03-16</t>
        </is>
      </c>
      <c r="F378" t="inlineStr">
        <is>
          <t>2026-03-23</t>
        </is>
      </c>
      <c r="G378" t="inlineStr">
        <is>
          <t xml:space="preserve"> - Camper Cabin Deluxe</t>
        </is>
      </c>
      <c r="H378">
        <f>HYPERLINK("https://booking.roadsurfer.com/es/rally/pick?pickup_date=2026-03-16&amp;return_date=2026-03-23&amp;currency=EUR&amp;startStation=9&amp;endStation=29",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2026-03-14</t>
        </is>
      </c>
      <c r="F379" t="inlineStr">
        <is>
          <t>2026-03-21</t>
        </is>
      </c>
      <c r="G379" t="inlineStr">
        <is>
          <t xml:space="preserve"> - BEACH HOSTEL</t>
        </is>
      </c>
      <c r="H379">
        <f>HYPERLINK("https://booking.roadsurfer.com/es/rally/pick?pickup_date=2026-03-14&amp;return_date=2026-03-21&amp;currency=EUR&amp;startStation=9&amp;endStation=29",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Alemania</t>
        </is>
      </c>
      <c r="D380" t="inlineStr">
        <is>
          <t>Heidelberg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Camper Cabin</t>
        </is>
      </c>
      <c r="H380">
        <f>HYPERLINK("https://booking.roadsurfer.com/es/rally/pick?pickup_date=2026-03-16&amp;return_date=2026-03-23&amp;currency=EUR&amp;startStation=9&amp;endStation=79",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Aix-Marsella</t>
        </is>
      </c>
      <c r="E381" t="inlineStr">
        <is>
          <t>2026-03-30</t>
        </is>
      </c>
      <c r="F381" t="inlineStr">
        <is>
          <t>2026-04-06</t>
        </is>
      </c>
      <c r="G381" t="inlineStr">
        <is>
          <t xml:space="preserve"> - No hay coche</t>
        </is>
      </c>
      <c r="H381">
        <f>HYPERLINK("https://booking.roadsurfer.com/es/rally/pick?pickup_date=2026-03-30&amp;return_date=2026-04-06&amp;currency=EUR&amp;startStation=9&amp;endStation=16",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Niza</t>
        </is>
      </c>
      <c r="E382" t="inlineStr">
        <is>
          <t>2026-04-09</t>
        </is>
      </c>
      <c r="F382" t="inlineStr">
        <is>
          <t>2026-04-16</t>
        </is>
      </c>
      <c r="G382" t="inlineStr">
        <is>
          <t xml:space="preserve"> - Road House</t>
        </is>
      </c>
      <c r="H382">
        <f>HYPERLINK("https://booking.roadsurfer.com/es/rally/pick?pickup_date=2026-04-09&amp;return_date=2026-04-16&amp;currency=EUR&amp;startStation=9&amp;endStation=88",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Austria</t>
        </is>
      </c>
      <c r="D383" t="inlineStr">
        <is>
          <t>Linz</t>
        </is>
      </c>
      <c r="E383" t="inlineStr">
        <is>
          <t>2026-03-10</t>
        </is>
      </c>
      <c r="F383" t="inlineStr">
        <is>
          <t>2026-03-17</t>
        </is>
      </c>
      <c r="G383" t="inlineStr">
        <is>
          <t xml:space="preserve"> - Camper Castle</t>
        </is>
      </c>
      <c r="H383">
        <f>HYPERLINK("https://booking.roadsurfer.com/es/rally/pick?pickup_date=2026-03-10&amp;return_date=2026-03-17&amp;currency=EUR&amp;startStation=9&amp;endStation=116",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Francia</t>
        </is>
      </c>
      <c r="D384" t="inlineStr">
        <is>
          <t>Nantes</t>
        </is>
      </c>
      <c r="E384" t="inlineStr">
        <is>
          <t>2026-03-13</t>
        </is>
      </c>
      <c r="F384" t="inlineStr">
        <is>
          <t>2026-03-20</t>
        </is>
      </c>
      <c r="G384" t="inlineStr">
        <is>
          <t xml:space="preserve"> - Camper Castle</t>
        </is>
      </c>
      <c r="H384">
        <f>HYPERLINK("https://booking.roadsurfer.com/es/rally/pick?pickup_date=2026-03-13&amp;return_date=2026-03-20&amp;currency=EUR&amp;startStation=9&amp;endStation=31",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2026-03-20</t>
        </is>
      </c>
      <c r="F385" t="inlineStr">
        <is>
          <t>2026-03-27</t>
        </is>
      </c>
      <c r="G385" t="inlineStr">
        <is>
          <t xml:space="preserve"> - Family Finca</t>
        </is>
      </c>
      <c r="H385">
        <f>HYPERLINK("https://booking.roadsurfer.com/es/rally/pick?pickup_date=2026-03-20&amp;return_date=2026-03-27&amp;currency=EUR&amp;startStation=9&amp;endStation=30",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Barcelona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Family Finca</t>
        </is>
      </c>
      <c r="H386">
        <f>HYPERLINK("https://booking.roadsurfer.com/es/rally/pick?pickup_date=2026-03-23&amp;return_date=2026-03-30&amp;currency=EUR&amp;startStation=9&amp;endStation=17",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2026-03-21</t>
        </is>
      </c>
      <c r="F387" t="inlineStr">
        <is>
          <t>2026-03-28</t>
        </is>
      </c>
      <c r="G387" t="inlineStr">
        <is>
          <t xml:space="preserve"> - Family Finca</t>
        </is>
      </c>
      <c r="H387">
        <f>HYPERLINK("https://booking.roadsurfer.com/es/rally/pick?pickup_date=2026-03-21&amp;return_date=2026-03-28&amp;currency=EUR&amp;startStation=9&amp;endStation=17",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2026-03-26</t>
        </is>
      </c>
      <c r="F388" t="inlineStr">
        <is>
          <t>2026-04-02</t>
        </is>
      </c>
      <c r="G388" t="inlineStr">
        <is>
          <t xml:space="preserve"> - Family Finca</t>
        </is>
      </c>
      <c r="H388">
        <f>HYPERLINK("https://booking.roadsurfer.com/es/rally/pick?pickup_date=2026-03-26&amp;return_date=2026-04-02&amp;currency=EUR&amp;startStation=9&amp;endStation=17",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2026-03-05</t>
        </is>
      </c>
      <c r="F389" t="inlineStr">
        <is>
          <t>2026-03-12</t>
        </is>
      </c>
      <c r="G389" t="inlineStr">
        <is>
          <t xml:space="preserve"> - Family Finca</t>
        </is>
      </c>
      <c r="H389">
        <f>HYPERLINK("https://booking.roadsurfer.com/es/rally/pick?pickup_date=2026-03-05&amp;return_date=2026-03-12&amp;currency=EUR&amp;startStation=9&amp;endStation=94",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Italia</t>
        </is>
      </c>
      <c r="D390" t="inlineStr">
        <is>
          <t>Venecia</t>
        </is>
      </c>
      <c r="E390" t="inlineStr">
        <is>
          <t>2026-03-02</t>
        </is>
      </c>
      <c r="F390" t="inlineStr">
        <is>
          <t>2026-03-09</t>
        </is>
      </c>
      <c r="G390" t="inlineStr">
        <is>
          <t xml:space="preserve"> - Family Finca</t>
        </is>
      </c>
      <c r="H390">
        <f>HYPERLINK("https://booking.roadsurfer.com/es/rally/pick?pickup_date=2026-03-02&amp;return_date=2026-03-09&amp;currency=EUR&amp;startStation=9&amp;endStation=78",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Alemania</t>
        </is>
      </c>
      <c r="D391" t="inlineStr">
        <is>
          <t>Colonia-Bonn</t>
        </is>
      </c>
      <c r="E391" t="inlineStr">
        <is>
          <t>2026-03-05</t>
        </is>
      </c>
      <c r="F391" t="inlineStr">
        <is>
          <t>2026-03-12</t>
        </is>
      </c>
      <c r="G391" t="inlineStr">
        <is>
          <t xml:space="preserve"> - Couple Cottage</t>
        </is>
      </c>
      <c r="H391">
        <f>HYPERLINK("https://booking.roadsurfer.com/es/rally/pick?pickup_date=2026-03-05&amp;return_date=2026-03-12&amp;currency=EUR&amp;startStation=9&amp;endStation=52",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Italia</t>
        </is>
      </c>
      <c r="D392" t="inlineStr">
        <is>
          <t>Turín</t>
        </is>
      </c>
      <c r="E392" t="inlineStr">
        <is>
          <t>2026-03-16</t>
        </is>
      </c>
      <c r="F392" t="inlineStr">
        <is>
          <t>2026-03-23</t>
        </is>
      </c>
      <c r="G392" t="inlineStr">
        <is>
          <t xml:space="preserve"> - Cozy Cottage</t>
        </is>
      </c>
      <c r="H392">
        <f>HYPERLINK("https://booking.roadsurfer.com/es/rally/pick?pickup_date=2026-03-16&amp;return_date=2026-03-23&amp;currency=EUR&amp;startStation=9&amp;endStation=58",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2026-02-27</t>
        </is>
      </c>
      <c r="F393" t="inlineStr">
        <is>
          <t>2026-03-06</t>
        </is>
      </c>
      <c r="G393" t="inlineStr">
        <is>
          <t xml:space="preserve"> - Beach Hostel</t>
        </is>
      </c>
      <c r="H393">
        <f>HYPERLINK("https://booking.roadsurfer.com/es/rally/pick?pickup_date=2026-02-27&amp;return_date=2026-03-06&amp;currency=EUR&amp;startStation=29&amp;endStation=22",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2026-03-14</t>
        </is>
      </c>
      <c r="F394" t="inlineStr">
        <is>
          <t>2026-03-21</t>
        </is>
      </c>
      <c r="G394" t="inlineStr">
        <is>
          <t xml:space="preserve"> - No hay coche</t>
        </is>
      </c>
      <c r="H394">
        <f>HYPERLINK("https://booking.roadsurfer.com/es/rally/pick?pickup_date=2026-03-14&amp;return_date=2026-03-21&amp;currency=EUR&amp;startStation=29&amp;endStation=22",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Surfer Suite</t>
        </is>
      </c>
      <c r="H395">
        <f>HYPERLINK("https://booking.roadsurfer.com/es/rally/pick?pickup_date=2026-03-19&amp;return_date=2026-03-26&amp;currency=EUR&amp;startStation=29&amp;endStation=22",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2026-03-04</t>
        </is>
      </c>
      <c r="F396" t="inlineStr">
        <is>
          <t>2026-03-11</t>
        </is>
      </c>
      <c r="G396" t="inlineStr">
        <is>
          <t xml:space="preserve"> - Family Finca</t>
        </is>
      </c>
      <c r="H396">
        <f>HYPERLINK("https://booking.roadsurfer.com/es/rally/pick?pickup_date=2026-03-04&amp;return_date=2026-03-11&amp;currency=EUR&amp;startStation=29&amp;endStation=22",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Colonia-Bonn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HYPERLINK("https://booking.roadsurfer.com/es/rally/pick?pickup_date=2026-03-17&amp;return_date=2026-03-24&amp;currency=EUR&amp;startStation=29&amp;endStation=52",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SURFER SUITE</t>
        </is>
      </c>
      <c r="H398">
        <f>HYPERLINK("https://booking.roadsurfer.com/es/rally/pick?pickup_date=2026-03-16&amp;return_date=2026-03-23&amp;currency=EUR&amp;startStation=29&amp;endStation=52",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Beach Hostel</t>
        </is>
      </c>
      <c r="H399">
        <f>HYPERLINK("https://booking.roadsurfer.com/es/rally/pick?pickup_date=2026-03-14&amp;return_date=2026-03-21&amp;currency=EUR&amp;startStation=29&amp;endStation=52",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Colonia-Bonn</t>
        </is>
      </c>
      <c r="E400" t="inlineStr">
        <is>
          <t>2026-03-18</t>
        </is>
      </c>
      <c r="F400" t="inlineStr">
        <is>
          <t>2026-03-25</t>
        </is>
      </c>
      <c r="G400" t="inlineStr">
        <is>
          <t xml:space="preserve"> - Surfer Suite</t>
        </is>
      </c>
      <c r="H400">
        <f>HYPERLINK("https://booking.roadsurfer.com/es/rally/pick?pickup_date=2026-03-18&amp;return_date=2026-03-25&amp;currency=EUR&amp;startStation=29&amp;endStation=52",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2026-03-20</t>
        </is>
      </c>
      <c r="F401" t="inlineStr">
        <is>
          <t>2026-03-27</t>
        </is>
      </c>
      <c r="G401" t="inlineStr">
        <is>
          <t xml:space="preserve"> - Road House</t>
        </is>
      </c>
      <c r="H401">
        <f>HYPERLINK("https://booking.roadsurfer.com/es/rally/pick?pickup_date=2026-03-20&amp;return_date=2026-03-27&amp;currency=EUR&amp;startStation=29&amp;endStation=52",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Fráncfort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HYPERLINK("https://booking.roadsurfer.com/es/rally/pick?pickup_date=2026-03-16&amp;return_date=2026-03-23&amp;currency=EUR&amp;startStation=29&amp;endStation=2",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Fráncfort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Beach Hostel</t>
        </is>
      </c>
      <c r="H403">
        <f>HYPERLINK("https://booking.roadsurfer.com/es/rally/pick?pickup_date=2026-03-19&amp;return_date=2026-03-26&amp;currency=EUR&amp;startStation=29&amp;endStation=2",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2026-03-17</t>
        </is>
      </c>
      <c r="F404" t="inlineStr">
        <is>
          <t>2026-03-24</t>
        </is>
      </c>
      <c r="G404" t="inlineStr">
        <is>
          <t xml:space="preserve"> - Sunrise Suite</t>
        </is>
      </c>
      <c r="H404">
        <f>HYPERLINK("https://booking.roadsurfer.com/es/rally/pick?pickup_date=2026-03-17&amp;return_date=2026-03-24&amp;currency=EUR&amp;startStation=29&amp;endStation=2",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Colonia-Düsseldorf</t>
        </is>
      </c>
      <c r="E405" t="inlineStr">
        <is>
          <t>2026-03-13</t>
        </is>
      </c>
      <c r="F405" t="inlineStr">
        <is>
          <t>2026-03-20</t>
        </is>
      </c>
      <c r="G405" t="inlineStr">
        <is>
          <t xml:space="preserve"> - Family Finca</t>
        </is>
      </c>
      <c r="H405">
        <f>HYPERLINK("https://booking.roadsurfer.com/es/rally/pick?pickup_date=2026-03-13&amp;return_date=2026-03-20&amp;currency=EUR&amp;startStation=29&amp;endStation=4",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Colonia-Düsseldorf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Surfer Suite</t>
        </is>
      </c>
      <c r="H406">
        <f>HYPERLINK("https://booking.roadsurfer.com/es/rally/pick?pickup_date=2026-03-17&amp;return_date=2026-03-24&amp;currency=EUR&amp;startStation=29&amp;endStation=4",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2026-03-03</t>
        </is>
      </c>
      <c r="F407" t="inlineStr">
        <is>
          <t>2026-03-10</t>
        </is>
      </c>
      <c r="G407" t="inlineStr">
        <is>
          <t xml:space="preserve"> - Sunrise Suite</t>
        </is>
      </c>
      <c r="H407">
        <f>HYPERLINK("https://booking.roadsurfer.com/es/rally/pick?pickup_date=2026-03-03&amp;return_date=2026-03-10&amp;currency=EUR&amp;startStation=77&amp;endStation=22",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Beach Hostel</t>
        </is>
      </c>
      <c r="H408">
        <f>HYPERLINK("https://booking.roadsurfer.com/es/rally/pick?pickup_date=2026-03-17&amp;return_date=2026-03-24&amp;currency=EUR&amp;startStation=77&amp;endStation=22",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2026-03-05</t>
        </is>
      </c>
      <c r="F409" t="inlineStr">
        <is>
          <t>2026-03-12</t>
        </is>
      </c>
      <c r="G409" t="inlineStr">
        <is>
          <t xml:space="preserve"> - Couple Cottage</t>
        </is>
      </c>
      <c r="H409">
        <f>HYPERLINK("https://booking.roadsurfer.com/es/rally/pick?pickup_date=2026-03-05&amp;return_date=2026-03-12&amp;currency=EUR&amp;startStation=77&amp;endStation=22",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2026-02-27</t>
        </is>
      </c>
      <c r="F410" t="inlineStr">
        <is>
          <t>2026-03-06</t>
        </is>
      </c>
      <c r="G410" t="inlineStr">
        <is>
          <t xml:space="preserve"> - Family Finca</t>
        </is>
      </c>
      <c r="H410">
        <f>HYPERLINK("https://booking.roadsurfer.com/es/rally/pick?pickup_date=2026-02-27&amp;return_date=2026-03-06&amp;currency=EUR&amp;startStation=77&amp;endStation=56",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2026-03-12</t>
        </is>
      </c>
      <c r="F411" t="inlineStr">
        <is>
          <t>2026-03-19</t>
        </is>
      </c>
      <c r="G411" t="inlineStr">
        <is>
          <t xml:space="preserve"> - Family Finca</t>
        </is>
      </c>
      <c r="H411">
        <f>HYPERLINK("https://booking.roadsurfer.com/es/rally/pick?pickup_date=2026-03-12&amp;return_date=2026-03-19&amp;currency=EUR&amp;startStation=77&amp;endStation=3",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Hamburgo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SURFER SUITE</t>
        </is>
      </c>
      <c r="H412">
        <f>HYPERLINK("https://booking.roadsurfer.com/es/rally/pick?pickup_date=2026-03-14&amp;return_date=2026-03-21&amp;currency=EUR&amp;startStation=77&amp;endStation=3",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Hamburgo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Family Finca</t>
        </is>
      </c>
      <c r="H413">
        <f>HYPERLINK("https://booking.roadsurfer.com/es/rally/pick?pickup_date=2026-04-13&amp;return_date=2026-04-20&amp;currency=EUR&amp;startStation=77&amp;endStation=3",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2026-03-10</t>
        </is>
      </c>
      <c r="F414" t="inlineStr">
        <is>
          <t>2026-03-17</t>
        </is>
      </c>
      <c r="G414" t="inlineStr">
        <is>
          <t xml:space="preserve"> - BEACH HOSTEL</t>
        </is>
      </c>
      <c r="H414">
        <f>HYPERLINK("https://booking.roadsurfer.com/es/rally/pick?pickup_date=2026-03-10&amp;return_date=2026-03-17&amp;currency=EUR&amp;startStation=77&amp;endStation=6",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2026-03-11</t>
        </is>
      </c>
      <c r="F415" t="inlineStr">
        <is>
          <t>2026-03-18</t>
        </is>
      </c>
      <c r="G415" t="inlineStr">
        <is>
          <t xml:space="preserve"> - Family Finca</t>
        </is>
      </c>
      <c r="H415">
        <f>HYPERLINK("https://booking.roadsurfer.com/es/rally/pick?pickup_date=2026-03-11&amp;return_date=2026-03-18&amp;currency=EUR&amp;startStation=77&amp;endStation=6",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Road House</t>
        </is>
      </c>
      <c r="H416">
        <f>HYPERLINK("https://booking.roadsurfer.com/es/rally/pick?pickup_date=2026-04-14&amp;return_date=2026-04-21&amp;currency=EUR&amp;startStation=77&amp;endStation=51",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2026-03-19</t>
        </is>
      </c>
      <c r="F417" t="inlineStr">
        <is>
          <t>2026-03-26</t>
        </is>
      </c>
      <c r="G417" t="inlineStr">
        <is>
          <t xml:space="preserve"> - Surfer Suite</t>
        </is>
      </c>
      <c r="H417">
        <f>HYPERLINK("https://booking.roadsurfer.com/es/rally/pick?pickup_date=2026-03-19&amp;return_date=2026-03-26&amp;currency=EUR&amp;startStation=77&amp;endStation=51",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Berlín-Schönefeld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Surfer Suite</t>
        </is>
      </c>
      <c r="H418">
        <f>HYPERLINK("https://booking.roadsurfer.com/es/rally/pick?pickup_date=2026-03-20&amp;return_date=2026-03-27&amp;currency=EUR&amp;startStation=77&amp;endStation=51",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Road House</t>
        </is>
      </c>
      <c r="H419">
        <f>HYPERLINK("https://booking.roadsurfer.com/es/rally/pick?pickup_date=2026-04-14&amp;return_date=2026-04-21&amp;currency=EUR&amp;startStation=77&amp;endStation=90",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2026-03-06</t>
        </is>
      </c>
      <c r="F420" t="inlineStr">
        <is>
          <t>2026-03-13</t>
        </is>
      </c>
      <c r="G420" t="inlineStr">
        <is>
          <t xml:space="preserve"> - Road House</t>
        </is>
      </c>
      <c r="H420">
        <f>HYPERLINK("https://booking.roadsurfer.com/es/rally/pick?pickup_date=2026-03-06&amp;return_date=2026-03-13&amp;currency=EUR&amp;startStation=77&amp;endStation=90",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2026-03-24</t>
        </is>
      </c>
      <c r="F421" t="inlineStr">
        <is>
          <t>2026-03-31</t>
        </is>
      </c>
      <c r="G421" t="inlineStr">
        <is>
          <t xml:space="preserve"> - Beach Hostel</t>
        </is>
      </c>
      <c r="H421">
        <f>HYPERLINK("https://booking.roadsurfer.com/es/rally/pick?pickup_date=2026-03-24&amp;return_date=2026-03-31&amp;currency=EUR&amp;startStation=77&amp;endStation=91",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Karlsruhe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Camper Castle</t>
        </is>
      </c>
      <c r="H422">
        <f>HYPERLINK("https://booking.roadsurfer.com/es/rally/pick?pickup_date=2026-04-15&amp;return_date=2026-04-22&amp;currency=EUR&amp;startStation=77&amp;endStation=110",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Maguncia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Camper Castle</t>
        </is>
      </c>
      <c r="H423">
        <f>HYPERLINK("https://booking.roadsurfer.com/es/rally/pick?pickup_date=2026-04-14&amp;return_date=2026-04-21&amp;currency=EUR&amp;startStation=77&amp;endStation=54",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Maguncia</t>
        </is>
      </c>
      <c r="E424" t="inlineStr">
        <is>
          <t>2026-03-09</t>
        </is>
      </c>
      <c r="F424" t="inlineStr">
        <is>
          <t>2026-03-16</t>
        </is>
      </c>
      <c r="G424" t="inlineStr">
        <is>
          <t xml:space="preserve"> - Surfer Suite</t>
        </is>
      </c>
      <c r="H424">
        <f>HYPERLINK("https://booking.roadsurfer.com/es/rally/pick?pickup_date=2026-03-09&amp;return_date=2026-03-16&amp;currency=EUR&amp;startStation=77&amp;endStation=54",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2026-03-05</t>
        </is>
      </c>
      <c r="F425" t="inlineStr">
        <is>
          <t>2026-03-12</t>
        </is>
      </c>
      <c r="G425" t="inlineStr">
        <is>
          <t xml:space="preserve"> - Road House</t>
        </is>
      </c>
      <c r="H425">
        <f>HYPERLINK("https://booking.roadsurfer.com/es/rally/pick?pickup_date=2026-03-05&amp;return_date=2026-03-12&amp;currency=EUR&amp;startStation=77&amp;endStation=55",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Heidelberg</t>
        </is>
      </c>
      <c r="E426" t="inlineStr">
        <is>
          <t>2026-03-02</t>
        </is>
      </c>
      <c r="F426" t="inlineStr">
        <is>
          <t>2026-03-09</t>
        </is>
      </c>
      <c r="G426" t="inlineStr">
        <is>
          <t xml:space="preserve"> - Surfer Suite</t>
        </is>
      </c>
      <c r="H426">
        <f>HYPERLINK("https://booking.roadsurfer.com/es/rally/pick?pickup_date=2026-03-02&amp;return_date=2026-03-09&amp;currency=EUR&amp;startStation=77&amp;endStation=79",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Múnich</t>
        </is>
      </c>
      <c r="E427" t="inlineStr">
        <is>
          <t>2026-04-03</t>
        </is>
      </c>
      <c r="F427" t="inlineStr">
        <is>
          <t>2026-04-10</t>
        </is>
      </c>
      <c r="G427" t="inlineStr">
        <is>
          <t xml:space="preserve"> - Camper Castle</t>
        </is>
      </c>
      <c r="H427">
        <f>HYPERLINK("https://booking.roadsurfer.com/es/rally/pick?pickup_date=2026-04-03&amp;return_date=2026-04-10&amp;currency=EUR&amp;startStation=37&amp;endStation=1",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2026-03-05</t>
        </is>
      </c>
      <c r="F428" t="inlineStr">
        <is>
          <t>2026-03-12</t>
        </is>
      </c>
      <c r="G428" t="inlineStr">
        <is>
          <t xml:space="preserve"> - Camper Castle</t>
        </is>
      </c>
      <c r="H428">
        <f>HYPERLINK("https://booking.roadsurfer.com/es/rally/pick?pickup_date=2026-03-05&amp;return_date=2026-03-12&amp;currency=EUR&amp;startStation=37&amp;endStation=56",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Road House</t>
        </is>
      </c>
      <c r="H429">
        <f>HYPERLINK("https://booking.roadsurfer.com/es/rally/pick?pickup_date=2026-04-14&amp;return_date=2026-04-21&amp;currency=EUR&amp;startStation=37&amp;endStation=56",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Family Finca</t>
        </is>
      </c>
      <c r="H430">
        <f>HYPERLINK("https://booking.roadsurfer.com/es/rally/pick?pickup_date=2026-04-15&amp;return_date=2026-04-22&amp;currency=EUR&amp;startStation=37&amp;endStation=56",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Dresde</t>
        </is>
      </c>
      <c r="E431" t="inlineStr">
        <is>
          <t>2026-04-13</t>
        </is>
      </c>
      <c r="F431" t="inlineStr">
        <is>
          <t>2026-04-20</t>
        </is>
      </c>
      <c r="G431" t="inlineStr">
        <is>
          <t xml:space="preserve"> - Road House</t>
        </is>
      </c>
      <c r="H431">
        <f>HYPERLINK("https://booking.roadsurfer.com/es/rally/pick?pickup_date=2026-04-13&amp;return_date=2026-04-20&amp;currency=EUR&amp;startStation=37&amp;endStation=56",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2026-03-05</t>
        </is>
      </c>
      <c r="F432" t="inlineStr">
        <is>
          <t>2026-03-12</t>
        </is>
      </c>
      <c r="G432" t="inlineStr">
        <is>
          <t xml:space="preserve"> - No hay coche</t>
        </is>
      </c>
      <c r="H432">
        <f>HYPERLINK("https://booking.roadsurfer.com/es/rally/pick?pickup_date=2026-03-05&amp;return_date=2026-03-12&amp;currency=EUR&amp;startStation=37&amp;endStation=90",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2026-03-09</t>
        </is>
      </c>
      <c r="F433" t="inlineStr">
        <is>
          <t>2026-03-16</t>
        </is>
      </c>
      <c r="G433" t="inlineStr">
        <is>
          <t xml:space="preserve"> - Surfer Suite</t>
        </is>
      </c>
      <c r="H433">
        <f>HYPERLINK("https://booking.roadsurfer.com/es/rally/pick?pickup_date=2026-03-09&amp;return_date=2026-03-16&amp;currency=EUR&amp;startStation=37&amp;endStation=90",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2026-03-11</t>
        </is>
      </c>
      <c r="F434" t="inlineStr">
        <is>
          <t>2026-03-18</t>
        </is>
      </c>
      <c r="G434" t="inlineStr">
        <is>
          <t xml:space="preserve"> - Family Finca</t>
        </is>
      </c>
      <c r="H434">
        <f>HYPERLINK("https://booking.roadsurfer.com/es/rally/pick?pickup_date=2026-03-11&amp;return_date=2026-03-18&amp;currency=EUR&amp;startStation=37&amp;endStation=90",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2026-03-10</t>
        </is>
      </c>
      <c r="F435" t="inlineStr">
        <is>
          <t>2026-03-17</t>
        </is>
      </c>
      <c r="G435" t="inlineStr">
        <is>
          <t xml:space="preserve"> - Family Finca</t>
        </is>
      </c>
      <c r="H435">
        <f>HYPERLINK("https://booking.roadsurfer.com/es/rally/pick?pickup_date=2026-03-10&amp;return_date=2026-03-17&amp;currency=EUR&amp;startStation=37&amp;endStation=90",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2026-03-12</t>
        </is>
      </c>
      <c r="F436" t="inlineStr">
        <is>
          <t>2026-03-19</t>
        </is>
      </c>
      <c r="G436" t="inlineStr">
        <is>
          <t xml:space="preserve"> - SURFER SUITE</t>
        </is>
      </c>
      <c r="H436">
        <f>HYPERLINK("https://booking.roadsurfer.com/es/rally/pick?pickup_date=2026-03-12&amp;return_date=2026-03-19&amp;currency=EUR&amp;startStation=37&amp;endStation=8",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FAMILY FINCA</t>
        </is>
      </c>
      <c r="H437">
        <f>HYPERLINK("https://booking.roadsurfer.com/es/rally/pick?pickup_date=2026-03-09&amp;return_date=2026-03-16&amp;currency=EUR&amp;startStation=37&amp;endStation=8",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Road House</t>
        </is>
      </c>
      <c r="H438">
        <f>HYPERLINK("https://booking.roadsurfer.com/es/rally/pick?pickup_date=2026-03-09&amp;return_date=2026-03-16&amp;currency=EUR&amp;startStation=37&amp;endStation=52",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Austria</t>
        </is>
      </c>
      <c r="D439" t="inlineStr">
        <is>
          <t>Salzburgo</t>
        </is>
      </c>
      <c r="E439" t="inlineStr">
        <is>
          <t>2026-04-14</t>
        </is>
      </c>
      <c r="F439" t="inlineStr">
        <is>
          <t>2026-04-21</t>
        </is>
      </c>
      <c r="G439" t="inlineStr">
        <is>
          <t xml:space="preserve"> - Family Finca</t>
        </is>
      </c>
      <c r="H439">
        <f>HYPERLINK("https://booking.roadsurfer.com/es/rally/pick?pickup_date=2026-04-14&amp;return_date=2026-04-21&amp;currency=EUR&amp;startStation=37&amp;endStation=85",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FAMILY FINCA</t>
        </is>
      </c>
      <c r="H440">
        <f>HYPERLINK("https://booking.roadsurfer.com/es/rally/pick?pickup_date=2026-03-12&amp;return_date=2026-03-19&amp;currency=EUR&amp;startStation=37&amp;endStation=45",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Países Bajos</t>
        </is>
      </c>
      <c r="D441" t="inlineStr">
        <is>
          <t>Ámsterdam</t>
        </is>
      </c>
      <c r="E441" t="inlineStr">
        <is>
          <t>2026-03-06</t>
        </is>
      </c>
      <c r="F441" t="inlineStr">
        <is>
          <t>2026-03-13</t>
        </is>
      </c>
      <c r="G441" t="inlineStr">
        <is>
          <t xml:space="preserve"> - Camper Cabin Deluxe</t>
        </is>
      </c>
      <c r="H441">
        <f>HYPERLINK("https://booking.roadsurfer.com/es/rally/pick?pickup_date=2026-03-06&amp;return_date=2026-03-13&amp;currency=EUR&amp;startStation=3&amp;endStation=32",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2026-03-23</t>
        </is>
      </c>
      <c r="F442" t="inlineStr">
        <is>
          <t>2026-03-30</t>
        </is>
      </c>
      <c r="G442" t="inlineStr">
        <is>
          <t xml:space="preserve"> - Surfer Suite - Couple Cottage</t>
        </is>
      </c>
      <c r="H442">
        <f>HYPERLINK("https://booking.roadsurfer.com/es/rally/pick?pickup_date=2026-03-23&amp;return_date=2026-03-30&amp;currency=EUR&amp;startStation=3&amp;endStation=33",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Países Bajos</t>
        </is>
      </c>
      <c r="D443" t="inlineStr">
        <is>
          <t>Róterdam</t>
        </is>
      </c>
      <c r="E443" t="inlineStr">
        <is>
          <t>2026-03-19</t>
        </is>
      </c>
      <c r="F443" t="inlineStr">
        <is>
          <t>2026-03-26</t>
        </is>
      </c>
      <c r="G443" t="inlineStr">
        <is>
          <t xml:space="preserve"> - CAMPER CASTLE</t>
        </is>
      </c>
      <c r="H443">
        <f>HYPERLINK("https://booking.roadsurfer.com/es/rally/pick?pickup_date=2026-03-19&amp;return_date=2026-03-26&amp;currency=EUR&amp;startStation=3&amp;endStation=33",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España</t>
        </is>
      </c>
      <c r="D444" t="inlineStr">
        <is>
          <t>Valencia</t>
        </is>
      </c>
      <c r="E444" t="inlineStr">
        <is>
          <t>2026-03-02</t>
        </is>
      </c>
      <c r="F444" t="inlineStr">
        <is>
          <t>2026-03-09</t>
        </is>
      </c>
      <c r="G444" t="inlineStr">
        <is>
          <t xml:space="preserve"> - Camper Castle</t>
        </is>
      </c>
      <c r="H444">
        <f>HYPERLINK("https://booking.roadsurfer.com/es/rally/pick?pickup_date=2026-03-02&amp;return_date=2026-03-09&amp;currency=EUR&amp;startStation=3&amp;endStation=38",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España</t>
        </is>
      </c>
      <c r="D445" t="inlineStr">
        <is>
          <t>Valencia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Road House</t>
        </is>
      </c>
      <c r="H445">
        <f>HYPERLINK("https://booking.roadsurfer.com/es/rally/pick?pickup_date=2026-03-19&amp;return_date=2026-03-26&amp;currency=EUR&amp;startStation=3&amp;endStation=38",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2026-04-03</t>
        </is>
      </c>
      <c r="F446" t="inlineStr">
        <is>
          <t>2026-04-10</t>
        </is>
      </c>
      <c r="G446" t="inlineStr">
        <is>
          <t xml:space="preserve"> - No hay coche</t>
        </is>
      </c>
      <c r="H446">
        <f>HYPERLINK("https://booking.roadsurfer.com/es/rally/pick?pickup_date=2026-04-03&amp;return_date=2026-04-10&amp;currency=EUR&amp;startStation=3&amp;endStation=60",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2026-04-02</t>
        </is>
      </c>
      <c r="F447" t="inlineStr">
        <is>
          <t>2026-04-09</t>
        </is>
      </c>
      <c r="G447" t="inlineStr">
        <is>
          <t xml:space="preserve"> - Beach Hostel</t>
        </is>
      </c>
      <c r="H447">
        <f>HYPERLINK("https://booking.roadsurfer.com/es/rally/pick?pickup_date=2026-04-02&amp;return_date=2026-04-09&amp;currency=EUR&amp;startStation=3&amp;endStation=60",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Malmö</t>
        </is>
      </c>
      <c r="E448" t="inlineStr">
        <is>
          <t>2026-03-25</t>
        </is>
      </c>
      <c r="F448" t="inlineStr">
        <is>
          <t>2026-04-01</t>
        </is>
      </c>
      <c r="G448" t="inlineStr">
        <is>
          <t xml:space="preserve"> - Family Finca</t>
        </is>
      </c>
      <c r="H448">
        <f>HYPERLINK("https://booking.roadsurfer.com/es/rally/pick?pickup_date=2026-03-25&amp;return_date=2026-04-01&amp;currency=EUR&amp;startStation=3&amp;endStation=60",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Malmö</t>
        </is>
      </c>
      <c r="E449" t="inlineStr">
        <is>
          <t>2026-03-17</t>
        </is>
      </c>
      <c r="F449" t="inlineStr">
        <is>
          <t>2026-03-24</t>
        </is>
      </c>
      <c r="G449" t="inlineStr">
        <is>
          <t xml:space="preserve"> - Beach Hostel</t>
        </is>
      </c>
      <c r="H449">
        <f>HYPERLINK("https://booking.roadsurfer.com/es/rally/pick?pickup_date=2026-03-17&amp;return_date=2026-03-24&amp;currency=EUR&amp;startStation=3&amp;endStation=60",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2026-03-30</t>
        </is>
      </c>
      <c r="F450" t="inlineStr">
        <is>
          <t>2026-04-06</t>
        </is>
      </c>
      <c r="G450" t="inlineStr">
        <is>
          <t xml:space="preserve"> - No hay coche</t>
        </is>
      </c>
      <c r="H450">
        <f>HYPERLINK("https://booking.roadsurfer.com/es/rally/pick?pickup_date=2026-03-30&amp;return_date=2026-04-06&amp;currency=EUR&amp;startStation=3&amp;endStation=60",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2026-03-14</t>
        </is>
      </c>
      <c r="F451" t="inlineStr">
        <is>
          <t>2026-03-21</t>
        </is>
      </c>
      <c r="G451" t="inlineStr">
        <is>
          <t xml:space="preserve"> - Surfer Suite</t>
        </is>
      </c>
      <c r="H451">
        <f>HYPERLINK("https://booking.roadsurfer.com/es/rally/pick?pickup_date=2026-03-14&amp;return_date=2026-03-21&amp;currency=EUR&amp;startStation=3&amp;endStation=77",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Gotemburgo</t>
        </is>
      </c>
      <c r="E452" t="inlineStr">
        <is>
          <t>2026-03-27</t>
        </is>
      </c>
      <c r="F452" t="inlineStr">
        <is>
          <t>2026-04-03</t>
        </is>
      </c>
      <c r="G452" t="inlineStr">
        <is>
          <t xml:space="preserve"> - No hay coche</t>
        </is>
      </c>
      <c r="H452">
        <f>HYPERLINK("https://booking.roadsurfer.com/es/rally/pick?pickup_date=2026-03-27&amp;return_date=2026-04-03&amp;currency=EUR&amp;startStation=3&amp;endStation=77",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Gotemburgo</t>
        </is>
      </c>
      <c r="E453" t="inlineStr">
        <is>
          <t>2026-03-26</t>
        </is>
      </c>
      <c r="F453" t="inlineStr">
        <is>
          <t>2026-04-02</t>
        </is>
      </c>
      <c r="G453" t="inlineStr">
        <is>
          <t xml:space="preserve"> - Beach Hostel</t>
        </is>
      </c>
      <c r="H453">
        <f>HYPERLINK("https://booking.roadsurfer.com/es/rally/pick?pickup_date=2026-03-26&amp;return_date=2026-04-02&amp;currency=EUR&amp;startStation=3&amp;endStation=77",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2026-03-23</t>
        </is>
      </c>
      <c r="F454" t="inlineStr">
        <is>
          <t>2026-03-30</t>
        </is>
      </c>
      <c r="G454" t="inlineStr">
        <is>
          <t xml:space="preserve"> - Surfer Suite</t>
        </is>
      </c>
      <c r="H454">
        <f>HYPERLINK("https://booking.roadsurfer.com/es/rally/pick?pickup_date=2026-03-23&amp;return_date=2026-03-30&amp;currency=EUR&amp;startStation=3&amp;endStation=77",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2026-03-11</t>
        </is>
      </c>
      <c r="F455" t="inlineStr">
        <is>
          <t>2026-03-18</t>
        </is>
      </c>
      <c r="G455" t="inlineStr">
        <is>
          <t xml:space="preserve"> - Surfer Suite</t>
        </is>
      </c>
      <c r="H455">
        <f>HYPERLINK("https://booking.roadsurfer.com/es/rally/pick?pickup_date=2026-03-11&amp;return_date=2026-03-18&amp;currency=EUR&amp;startStation=3&amp;endStation=77",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Italia</t>
        </is>
      </c>
      <c r="D456" t="inlineStr">
        <is>
          <t>Bérgamo</t>
        </is>
      </c>
      <c r="E456" t="inlineStr">
        <is>
          <t>2026-03-30</t>
        </is>
      </c>
      <c r="F456" t="inlineStr">
        <is>
          <t>2026-04-06</t>
        </is>
      </c>
      <c r="G456" t="inlineStr">
        <is>
          <t xml:space="preserve"> - No hay coche</t>
        </is>
      </c>
      <c r="H456">
        <f>HYPERLINK("https://booking.roadsurfer.com/es/rally/pick?pickup_date=2026-03-30&amp;return_date=2026-04-06&amp;currency=EUR&amp;startStation=3&amp;endStation=94",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Italia</t>
        </is>
      </c>
      <c r="D457" t="inlineStr">
        <is>
          <t>Bérgamo</t>
        </is>
      </c>
      <c r="E457" t="inlineStr">
        <is>
          <t>2026-03-18</t>
        </is>
      </c>
      <c r="F457" t="inlineStr">
        <is>
          <t>2026-03-25</t>
        </is>
      </c>
      <c r="G457" t="inlineStr">
        <is>
          <t xml:space="preserve"> - Road House</t>
        </is>
      </c>
      <c r="H457">
        <f>HYPERLINK("https://booking.roadsurfer.com/es/rally/pick?pickup_date=2026-03-18&amp;return_date=2026-03-25&amp;currency=EUR&amp;startStation=3&amp;endStation=94",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HYPERLINK("https://booking.roadsurfer.com/es/rally/pick?pickup_date=2026-03-12&amp;return_date=2026-03-19&amp;currency=EUR&amp;startStation=3&amp;endStation=12",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Surfer Suite</t>
        </is>
      </c>
      <c r="H459">
        <f>HYPERLINK("https://booking.roadsurfer.com/es/rally/pick?pickup_date=2026-03-20&amp;return_date=2026-03-27&amp;currency=EUR&amp;startStation=3&amp;endStation=59",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2026-03-30</t>
        </is>
      </c>
      <c r="F460" t="inlineStr">
        <is>
          <t>2026-04-06</t>
        </is>
      </c>
      <c r="G460" t="inlineStr">
        <is>
          <t xml:space="preserve"> - No hay coche</t>
        </is>
      </c>
      <c r="H460">
        <f>HYPERLINK("https://booking.roadsurfer.com/es/rally/pick?pickup_date=2026-03-30&amp;return_date=2026-04-06&amp;currency=EUR&amp;startStation=3&amp;endStation=59",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2026-03-31</t>
        </is>
      </c>
      <c r="F461" t="inlineStr">
        <is>
          <t>2026-04-07</t>
        </is>
      </c>
      <c r="G461" t="inlineStr">
        <is>
          <t xml:space="preserve"> - Couple Cottage</t>
        </is>
      </c>
      <c r="H461">
        <f>HYPERLINK("https://booking.roadsurfer.com/es/rally/pick?pickup_date=2026-03-31&amp;return_date=2026-04-07&amp;currency=EUR&amp;startStation=3&amp;endStation=59",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Family Finca</t>
        </is>
      </c>
      <c r="H462">
        <f>HYPERLINK("https://booking.roadsurfer.com/es/rally/pick?pickup_date=2026-03-19&amp;return_date=2026-03-26&amp;currency=EUR&amp;startStation=3&amp;endStation=59",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2026-04-02</t>
        </is>
      </c>
      <c r="F463" t="inlineStr">
        <is>
          <t>2026-04-08</t>
        </is>
      </c>
      <c r="G463" t="inlineStr">
        <is>
          <t xml:space="preserve"> - Beach Hostel</t>
        </is>
      </c>
      <c r="H463">
        <f>HYPERLINK("https://booking.roadsurfer.com/es/rally/pick?pickup_date=2026-04-02&amp;return_date=2026-04-08&amp;currency=EUR&amp;startStation=3&amp;endStation=59",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Bélgica</t>
        </is>
      </c>
      <c r="D464" t="inlineStr">
        <is>
          <t>Bruselas</t>
        </is>
      </c>
      <c r="E464" t="inlineStr">
        <is>
          <t>2026-03-27</t>
        </is>
      </c>
      <c r="F464" t="inlineStr">
        <is>
          <t>2026-04-03</t>
        </is>
      </c>
      <c r="G464" t="inlineStr">
        <is>
          <t xml:space="preserve"> - No hay coche</t>
        </is>
      </c>
      <c r="H464">
        <f>HYPERLINK("https://booking.roadsurfer.com/es/rally/pick?pickup_date=2026-03-27&amp;return_date=2026-04-03&amp;currency=EUR&amp;startStation=3&amp;endStation=42",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Bélgica</t>
        </is>
      </c>
      <c r="D465" t="inlineStr">
        <is>
          <t>Bruselas</t>
        </is>
      </c>
      <c r="E465" t="inlineStr">
        <is>
          <t>2026-03-21</t>
        </is>
      </c>
      <c r="F465" t="inlineStr">
        <is>
          <t>2026-03-28</t>
        </is>
      </c>
      <c r="G465" t="inlineStr">
        <is>
          <t xml:space="preserve"> - Road House</t>
        </is>
      </c>
      <c r="H465">
        <f>HYPERLINK("https://booking.roadsurfer.com/es/rally/pick?pickup_date=2026-03-21&amp;return_date=2026-03-28&amp;currency=EUR&amp;startStation=3&amp;endStation=42",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Austria</t>
        </is>
      </c>
      <c r="D466" t="inlineStr">
        <is>
          <t>Graz</t>
        </is>
      </c>
      <c r="E466" t="inlineStr">
        <is>
          <t>2026-03-06</t>
        </is>
      </c>
      <c r="F466" t="inlineStr">
        <is>
          <t>2026-03-13</t>
        </is>
      </c>
      <c r="G466" t="inlineStr">
        <is>
          <t xml:space="preserve"> - ROAD HOUSE</t>
        </is>
      </c>
      <c r="H466">
        <f>HYPERLINK("https://booking.roadsurfer.com/es/rally/pick?pickup_date=2026-03-06&amp;return_date=2026-03-13&amp;currency=EUR&amp;startStation=3&amp;endStation=37",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Francia</t>
        </is>
      </c>
      <c r="D467" t="inlineStr">
        <is>
          <t>París Aeropuerto CDG</t>
        </is>
      </c>
      <c r="E467" t="inlineStr">
        <is>
          <t>2026-04-11</t>
        </is>
      </c>
      <c r="F467" t="inlineStr">
        <is>
          <t>2026-04-17</t>
        </is>
      </c>
      <c r="G467" t="inlineStr">
        <is>
          <t xml:space="preserve"> - FAMILY FINCA</t>
        </is>
      </c>
      <c r="H467">
        <f>HYPERLINK("https://booking.roadsurfer.com/es/rally/pick?pickup_date=2026-04-11&amp;return_date=2026-04-17&amp;currency=EUR&amp;startStation=3&amp;endStation=48",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2026-03-05</t>
        </is>
      </c>
      <c r="F468" t="inlineStr">
        <is>
          <t>2026-03-12</t>
        </is>
      </c>
      <c r="G468" t="inlineStr">
        <is>
          <t xml:space="preserve"> - Surfer Suite</t>
        </is>
      </c>
      <c r="H468">
        <f>HYPERLINK("https://booking.roadsurfer.com/es/rally/pick?pickup_date=2026-03-05&amp;return_date=2026-03-12&amp;currency=EUR&amp;startStation=7&amp;endStation=33",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Alemania</t>
        </is>
      </c>
      <c r="D469" t="inlineStr">
        <is>
          <t>Braunschweig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No hay coche</t>
        </is>
      </c>
      <c r="H469">
        <f>HYPERLINK("https://booking.roadsurfer.com/es/rally/pick?pickup_date=2026-04-20&amp;return_date=2026-04-27&amp;currency=EUR&amp;startStation=7&amp;endStation=128",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2026-03-13</t>
        </is>
      </c>
      <c r="F470" t="inlineStr">
        <is>
          <t>2026-03-20</t>
        </is>
      </c>
      <c r="G470" t="inlineStr">
        <is>
          <t xml:space="preserve"> - Surfer Suite</t>
        </is>
      </c>
      <c r="H470">
        <f>HYPERLINK("https://booking.roadsurfer.com/es/rally/pick?pickup_date=2026-03-13&amp;return_date=2026-03-20&amp;currency=EUR&amp;startStation=7&amp;endStation=60",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2026-03-02</t>
        </is>
      </c>
      <c r="F471" t="inlineStr">
        <is>
          <t>2026-03-09</t>
        </is>
      </c>
      <c r="G471" t="inlineStr">
        <is>
          <t xml:space="preserve"> - Road House</t>
        </is>
      </c>
      <c r="H471">
        <f>HYPERLINK("https://booking.roadsurfer.com/es/rally/pick?pickup_date=2026-03-02&amp;return_date=2026-03-09&amp;currency=EUR&amp;startStation=7&amp;endStation=29",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España</t>
        </is>
      </c>
      <c r="D472" t="inlineStr">
        <is>
          <t>Madrid</t>
        </is>
      </c>
      <c r="E472" t="inlineStr">
        <is>
          <t>2026-03-07</t>
        </is>
      </c>
      <c r="F472" t="inlineStr">
        <is>
          <t>2026-03-14</t>
        </is>
      </c>
      <c r="G472" t="inlineStr">
        <is>
          <t xml:space="preserve"> - Road House</t>
        </is>
      </c>
      <c r="H472">
        <f>HYPERLINK("https://booking.roadsurfer.com/es/rally/pick?pickup_date=2026-03-07&amp;return_date=2026-03-14&amp;currency=EUR&amp;startStation=7&amp;endStation=20",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España</t>
        </is>
      </c>
      <c r="D473" t="inlineStr">
        <is>
          <t>Málaga</t>
        </is>
      </c>
      <c r="E473" t="inlineStr">
        <is>
          <t>2026-03-18</t>
        </is>
      </c>
      <c r="F473" t="inlineStr">
        <is>
          <t>2026-03-25</t>
        </is>
      </c>
      <c r="G473" t="inlineStr">
        <is>
          <t xml:space="preserve"> - Camper Castle</t>
        </is>
      </c>
      <c r="H473">
        <f>HYPERLINK("https://booking.roadsurfer.com/es/rally/pick?pickup_date=2026-03-18&amp;return_date=2026-03-25&amp;currency=EUR&amp;startStation=7&amp;endStation=21",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2026-03-20</t>
        </is>
      </c>
      <c r="F474" t="inlineStr">
        <is>
          <t>2026-03-27</t>
        </is>
      </c>
      <c r="G474" t="inlineStr">
        <is>
          <t xml:space="preserve"> - Couple Cottage</t>
        </is>
      </c>
      <c r="H474">
        <f>HYPERLINK("https://booking.roadsurfer.com/es/rally/pick?pickup_date=2026-03-20&amp;return_date=2026-03-27&amp;currency=EUR&amp;startStation=7&amp;endStation=59",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Couple Cottage</t>
        </is>
      </c>
      <c r="H475">
        <f>HYPERLINK("https://booking.roadsurfer.com/es/rally/pick?pickup_date=2026-03-16&amp;return_date=2026-03-23&amp;currency=EUR&amp;startStation=7&amp;endStation=59",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Heidelberg</t>
        </is>
      </c>
      <c r="C476" t="inlineStr">
        <is>
          <t>Francia</t>
        </is>
      </c>
      <c r="D476" t="inlineStr">
        <is>
          <t>Burdeos</t>
        </is>
      </c>
      <c r="E476" t="inlineStr">
        <is>
          <t>2026-03-02</t>
        </is>
      </c>
      <c r="F476" t="inlineStr">
        <is>
          <t>2026-03-09</t>
        </is>
      </c>
      <c r="G476" t="inlineStr">
        <is>
          <t xml:space="preserve"> - ROAD HOUSE</t>
        </is>
      </c>
      <c r="H476">
        <f>HYPERLINK("https://booking.roadsurfer.com/es/rally/pick?pickup_date=2026-03-02&amp;return_date=2026-03-09&amp;currency=EUR&amp;startStation=79&amp;endStation=13", "Clic para verlo en la web de RoadSurfer")</f>
        <v/>
      </c>
    </row>
    <row r="477">
      <c r="A477" t="inlineStr">
        <is>
          <t>Alemania</t>
        </is>
      </c>
      <c r="B477" t="inlineStr">
        <is>
          <t>Heidelberg</t>
        </is>
      </c>
      <c r="C477" t="inlineStr">
        <is>
          <t>Francia</t>
        </is>
      </c>
      <c r="D477" t="inlineStr">
        <is>
          <t>Lyon</t>
        </is>
      </c>
      <c r="E477" t="inlineStr">
        <is>
          <t>2026-03-09</t>
        </is>
      </c>
      <c r="F477" t="inlineStr">
        <is>
          <t>2026-03-16</t>
        </is>
      </c>
      <c r="G477" t="inlineStr">
        <is>
          <t xml:space="preserve"> - Family Finca</t>
        </is>
      </c>
      <c r="H477">
        <f>HYPERLINK("https://booking.roadsurfer.com/es/rally/pick?pickup_date=2026-03-09&amp;return_date=2026-03-16&amp;currency=EUR&amp;startStation=79&amp;endStation=15", "Clic para verlo en la web de RoadSurfer")</f>
        <v/>
      </c>
    </row>
    <row r="478">
      <c r="A478" t="inlineStr">
        <is>
          <t>Alemania</t>
        </is>
      </c>
      <c r="B478" t="inlineStr">
        <is>
          <t>Heidelberg</t>
        </is>
      </c>
      <c r="C478" t="inlineStr">
        <is>
          <t>Austria</t>
        </is>
      </c>
      <c r="D478" t="inlineStr">
        <is>
          <t>Viena</t>
        </is>
      </c>
      <c r="E478" t="inlineStr">
        <is>
          <t>2026-03-04</t>
        </is>
      </c>
      <c r="F478" t="inlineStr">
        <is>
          <t>2026-03-11</t>
        </is>
      </c>
      <c r="G478" t="inlineStr">
        <is>
          <t xml:space="preserve"> - Camper Castle</t>
        </is>
      </c>
      <c r="H478">
        <f>HYPERLINK("https://booking.roadsurfer.com/es/rally/pick?pickup_date=2026-03-04&amp;return_date=2026-03-11&amp;currency=EUR&amp;startStation=79&amp;endStation=36", "Clic para verlo en la web de RoadSurfer")</f>
        <v/>
      </c>
    </row>
    <row r="479">
      <c r="A479" t="inlineStr">
        <is>
          <t>Austria</t>
        </is>
      </c>
      <c r="B479" t="inlineStr">
        <is>
          <t>Innsbruck-Wiesing</t>
        </is>
      </c>
      <c r="C479" t="inlineStr">
        <is>
          <t>Austria</t>
        </is>
      </c>
      <c r="D479" t="inlineStr">
        <is>
          <t>Viena</t>
        </is>
      </c>
      <c r="E479" t="inlineStr">
        <is>
          <t>2026-03-02</t>
        </is>
      </c>
      <c r="F479" t="inlineStr">
        <is>
          <t>2026-03-09</t>
        </is>
      </c>
      <c r="G479" t="inlineStr">
        <is>
          <t xml:space="preserve"> - SURFER SUITE - BEACH HOSTEL</t>
        </is>
      </c>
      <c r="H479">
        <f>HYPERLINK("https://booking.roadsurfer.com/es/rally/pick?pickup_date=2026-03-02&amp;return_date=2026-03-09&amp;currency=EUR&amp;startStation=46&amp;endStation=36", "Clic para verlo en la web de RoadSurfer")</f>
        <v/>
      </c>
    </row>
    <row r="480">
      <c r="A480" t="inlineStr">
        <is>
          <t>Austria</t>
        </is>
      </c>
      <c r="B480" t="inlineStr">
        <is>
          <t>Innsbruck-Wiesing</t>
        </is>
      </c>
      <c r="C480" t="inlineStr">
        <is>
          <t>Austria</t>
        </is>
      </c>
      <c r="D480" t="inlineStr">
        <is>
          <t>Viena</t>
        </is>
      </c>
      <c r="E480" t="inlineStr">
        <is>
          <t>2026-03-05</t>
        </is>
      </c>
      <c r="F480" t="inlineStr">
        <is>
          <t>2026-03-12</t>
        </is>
      </c>
      <c r="G480" t="inlineStr">
        <is>
          <t xml:space="preserve"> - Road House</t>
        </is>
      </c>
      <c r="H480">
        <f>HYPERLINK("https://booking.roadsurfer.com/es/rally/pick?pickup_date=2026-03-05&amp;return_date=2026-03-12&amp;currency=EUR&amp;startStation=46&amp;endStation=36", "Clic para verlo en la web de RoadSurfer")</f>
        <v/>
      </c>
    </row>
    <row r="481">
      <c r="A481" t="inlineStr">
        <is>
          <t>Austria</t>
        </is>
      </c>
      <c r="B481" t="inlineStr">
        <is>
          <t>Innsbruck-Wiesing</t>
        </is>
      </c>
      <c r="C481" t="inlineStr">
        <is>
          <t>Austria</t>
        </is>
      </c>
      <c r="D481" t="inlineStr">
        <is>
          <t>Viena Sur</t>
        </is>
      </c>
      <c r="E481" t="inlineStr">
        <is>
          <t>2026-03-07</t>
        </is>
      </c>
      <c r="F481" t="inlineStr">
        <is>
          <t>2026-03-14</t>
        </is>
      </c>
      <c r="G481" t="inlineStr">
        <is>
          <t xml:space="preserve"> - No hay coche</t>
        </is>
      </c>
      <c r="H481">
        <f>HYPERLINK("https://booking.roadsurfer.com/es/rally/pick?pickup_date=2026-03-07&amp;return_date=2026-03-14&amp;currency=EUR&amp;startStation=46&amp;endStation=45", "Clic para verlo en la web de RoadSurfer")</f>
        <v/>
      </c>
    </row>
    <row r="482">
      <c r="A482" t="inlineStr">
        <is>
          <t>Austria</t>
        </is>
      </c>
      <c r="B482" t="inlineStr">
        <is>
          <t>Innsbruck-Wiesing</t>
        </is>
      </c>
      <c r="C482" t="inlineStr">
        <is>
          <t>Austria</t>
        </is>
      </c>
      <c r="D482" t="inlineStr">
        <is>
          <t>Viena Sur</t>
        </is>
      </c>
      <c r="E482" t="inlineStr">
        <is>
          <t>2026-03-05</t>
        </is>
      </c>
      <c r="F482" t="inlineStr">
        <is>
          <t>2026-03-12</t>
        </is>
      </c>
      <c r="G482" t="inlineStr">
        <is>
          <t xml:space="preserve"> - Family Finca</t>
        </is>
      </c>
      <c r="H482">
        <f>HYPERLINK("https://booking.roadsurfer.com/es/rally/pick?pickup_date=2026-03-05&amp;return_date=2026-03-12&amp;currency=EUR&amp;startStation=46&amp;endStation=45", "Clic para verlo en la web de RoadSurfer")</f>
        <v/>
      </c>
    </row>
    <row r="483">
      <c r="A483" t="inlineStr">
        <is>
          <t>Austria</t>
        </is>
      </c>
      <c r="B483" t="inlineStr">
        <is>
          <t>Innsbruck-Wiesing</t>
        </is>
      </c>
      <c r="C483" t="inlineStr">
        <is>
          <t>Alemania</t>
        </is>
      </c>
      <c r="D483" t="inlineStr">
        <is>
          <t>Aquisgrán</t>
        </is>
      </c>
      <c r="E483" t="inlineStr">
        <is>
          <t>2026-03-02</t>
        </is>
      </c>
      <c r="F483" t="inlineStr">
        <is>
          <t>2026-03-09</t>
        </is>
      </c>
      <c r="G483" t="inlineStr">
        <is>
          <t xml:space="preserve"> - Camper Cabin</t>
        </is>
      </c>
      <c r="H483">
        <f>HYPERLINK("https://booking.roadsurfer.com/es/rally/pick?pickup_date=2026-03-02&amp;return_date=2026-03-09&amp;currency=EUR&amp;startStation=46&amp;endStation=114", "Clic para verlo en la web de RoadSurfer")</f>
        <v/>
      </c>
    </row>
    <row r="484">
      <c r="A484" t="inlineStr">
        <is>
          <t>Alemania</t>
        </is>
      </c>
      <c r="B484" t="inlineStr">
        <is>
          <t>Karlsruhe</t>
        </is>
      </c>
      <c r="C484" t="inlineStr">
        <is>
          <t>Francia</t>
        </is>
      </c>
      <c r="D484" t="inlineStr">
        <is>
          <t>Lyon</t>
        </is>
      </c>
      <c r="E484" t="inlineStr">
        <is>
          <t>2026-03-07</t>
        </is>
      </c>
      <c r="F484" t="inlineStr">
        <is>
          <t>2026-03-14</t>
        </is>
      </c>
      <c r="G484" t="inlineStr">
        <is>
          <t xml:space="preserve"> - Surfer Suite</t>
        </is>
      </c>
      <c r="H484">
        <f>HYPERLINK("https://booking.roadsurfer.com/es/rally/pick?pickup_date=2026-03-07&amp;return_date=2026-03-14&amp;currency=EUR&amp;startStation=110&amp;endStation=15", "Clic para verlo en la web de RoadSurfer")</f>
        <v/>
      </c>
    </row>
    <row r="485">
      <c r="A485" t="inlineStr">
        <is>
          <t>Alemania</t>
        </is>
      </c>
      <c r="B485" t="inlineStr">
        <is>
          <t>Karlsruhe</t>
        </is>
      </c>
      <c r="C485" t="inlineStr">
        <is>
          <t>Italia</t>
        </is>
      </c>
      <c r="D485" t="inlineStr">
        <is>
          <t>Venecia</t>
        </is>
      </c>
      <c r="E485" t="inlineStr">
        <is>
          <t>2026-03-20</t>
        </is>
      </c>
      <c r="F485" t="inlineStr">
        <is>
          <t>2026-03-27</t>
        </is>
      </c>
      <c r="G485" t="inlineStr">
        <is>
          <t xml:space="preserve"> - Camper Cabin</t>
        </is>
      </c>
      <c r="H485">
        <f>HYPERLINK("https://booking.roadsurfer.com/es/rally/pick?pickup_date=2026-03-20&amp;return_date=2026-03-27&amp;currency=EUR&amp;startStation=110&amp;endStation=78", "Clic para verlo en la web de RoadSurfer")</f>
        <v/>
      </c>
    </row>
    <row r="486">
      <c r="A486" t="inlineStr">
        <is>
          <t>Alemania</t>
        </is>
      </c>
      <c r="B486" t="inlineStr">
        <is>
          <t>Karlsruhe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2026-03-06</t>
        </is>
      </c>
      <c r="F486" t="inlineStr">
        <is>
          <t>2026-03-13</t>
        </is>
      </c>
      <c r="G486" t="inlineStr">
        <is>
          <t xml:space="preserve"> - Road House</t>
        </is>
      </c>
      <c r="H486">
        <f>HYPERLINK("https://booking.roadsurfer.com/es/rally/pick?pickup_date=2026-03-06&amp;return_date=2026-03-13&amp;currency=EUR&amp;startStation=110&amp;endStation=30", "Clic para verlo en la web de RoadSurfer")</f>
        <v/>
      </c>
    </row>
    <row r="487">
      <c r="A487" t="inlineStr">
        <is>
          <t>Alemania</t>
        </is>
      </c>
      <c r="B487" t="inlineStr">
        <is>
          <t>Kassel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2026-03-02</t>
        </is>
      </c>
      <c r="F487" t="inlineStr">
        <is>
          <t>2026-03-09</t>
        </is>
      </c>
      <c r="G487" t="inlineStr">
        <is>
          <t xml:space="preserve"> - Surfer Suite</t>
        </is>
      </c>
      <c r="H487">
        <f>HYPERLINK("https://booking.roadsurfer.com/es/rally/pick?pickup_date=2026-03-02&amp;return_date=2026-03-09&amp;currency=EUR&amp;startStation=92&amp;endStation=77", "Clic para verlo en la web de RoadSurfer")</f>
        <v/>
      </c>
    </row>
    <row r="488">
      <c r="A488" t="inlineStr">
        <is>
          <t>Alemania</t>
        </is>
      </c>
      <c r="B488" t="inlineStr">
        <is>
          <t>Kassel</t>
        </is>
      </c>
      <c r="C488" t="inlineStr">
        <is>
          <t>Alemania</t>
        </is>
      </c>
      <c r="D488" t="inlineStr">
        <is>
          <t>Heidelberg</t>
        </is>
      </c>
      <c r="E488" t="inlineStr">
        <is>
          <t>2026-03-09</t>
        </is>
      </c>
      <c r="F488" t="inlineStr">
        <is>
          <t>2026-03-16</t>
        </is>
      </c>
      <c r="G488" t="inlineStr">
        <is>
          <t xml:space="preserve"> - Surfer Suite</t>
        </is>
      </c>
      <c r="H488">
        <f>HYPERLINK("https://booking.roadsurfer.com/es/rally/pick?pickup_date=2026-03-09&amp;return_date=2026-03-16&amp;currency=EUR&amp;startStation=92&amp;endStation=79", "Clic para verlo en la web de RoadSurfer")</f>
        <v/>
      </c>
    </row>
    <row r="489">
      <c r="A489" t="inlineStr">
        <is>
          <t>Alemania</t>
        </is>
      </c>
      <c r="B489" t="inlineStr">
        <is>
          <t>Kassel</t>
        </is>
      </c>
      <c r="C489" t="inlineStr">
        <is>
          <t>Alemania</t>
        </is>
      </c>
      <c r="D489" t="inlineStr">
        <is>
          <t>Heidelberg</t>
        </is>
      </c>
      <c r="E489" t="inlineStr">
        <is>
          <t>2026-03-12</t>
        </is>
      </c>
      <c r="F489" t="inlineStr">
        <is>
          <t>2026-03-19</t>
        </is>
      </c>
      <c r="G489" t="inlineStr">
        <is>
          <t xml:space="preserve"> - Surfer Suite</t>
        </is>
      </c>
      <c r="H489">
        <f>HYPERLINK("https://booking.roadsurfer.com/es/rally/pick?pickup_date=2026-03-12&amp;return_date=2026-03-19&amp;currency=EUR&amp;startStation=92&amp;endStation=79", "Clic para verlo en la web de RoadSurfer")</f>
        <v/>
      </c>
    </row>
    <row r="490">
      <c r="A490" t="inlineStr">
        <is>
          <t>Alemania</t>
        </is>
      </c>
      <c r="B490" t="inlineStr">
        <is>
          <t>Kassel</t>
        </is>
      </c>
      <c r="C490" t="inlineStr">
        <is>
          <t>Alemania</t>
        </is>
      </c>
      <c r="D490" t="inlineStr">
        <is>
          <t>Ulm</t>
        </is>
      </c>
      <c r="E490" t="inlineStr">
        <is>
          <t>2026-03-16</t>
        </is>
      </c>
      <c r="F490" t="inlineStr">
        <is>
          <t>2026-03-23</t>
        </is>
      </c>
      <c r="G490" t="inlineStr">
        <is>
          <t xml:space="preserve"> - Surfer Suite</t>
        </is>
      </c>
      <c r="H490">
        <f>HYPERLINK("https://booking.roadsurfer.com/es/rally/pick?pickup_date=2026-03-16&amp;return_date=2026-03-23&amp;currency=EUR&amp;startStation=92&amp;endStation=112", "Clic para verlo en la web de RoadSurfer")</f>
        <v/>
      </c>
    </row>
    <row r="491">
      <c r="A491" t="inlineStr">
        <is>
          <t>EE.UU.</t>
        </is>
      </c>
      <c r="B491" t="inlineStr">
        <is>
          <t>Las Vegas</t>
        </is>
      </c>
      <c r="C491" t="inlineStr">
        <is>
          <t>EE.UU.</t>
        </is>
      </c>
      <c r="D491" t="inlineStr">
        <is>
          <t>Seattle</t>
        </is>
      </c>
      <c r="E491" t="inlineStr">
        <is>
          <t>2026-03-20</t>
        </is>
      </c>
      <c r="F491" t="inlineStr">
        <is>
          <t>2026-03-27</t>
        </is>
      </c>
      <c r="G491" t="inlineStr">
        <is>
          <t xml:space="preserve"> - Family Freedom</t>
        </is>
      </c>
      <c r="H491">
        <f>HYPERLINK("https://booking.roadsurfer.com/es/rally/pick?pickup_date=2026-03-20&amp;return_date=2026-03-27&amp;currency=EUR&amp;startStation=76&amp;endStation=107", "Clic para verlo en la web de RoadSurfer")</f>
        <v/>
      </c>
    </row>
    <row r="492">
      <c r="A492" t="inlineStr">
        <is>
          <t>EE.UU.</t>
        </is>
      </c>
      <c r="B492" t="inlineStr">
        <is>
          <t>Las Vegas</t>
        </is>
      </c>
      <c r="C492" t="inlineStr">
        <is>
          <t>EE.UU.</t>
        </is>
      </c>
      <c r="D492" t="inlineStr">
        <is>
          <t>Seattle</t>
        </is>
      </c>
      <c r="E492" t="inlineStr">
        <is>
          <t>2026-03-27</t>
        </is>
      </c>
      <c r="F492" t="inlineStr">
        <is>
          <t>2026-04-03</t>
        </is>
      </c>
      <c r="G492" t="inlineStr">
        <is>
          <t xml:space="preserve"> - Family Freedom</t>
        </is>
      </c>
      <c r="H492">
        <f>HYPERLINK("https://booking.roadsurfer.com/es/rally/pick?pickup_date=2026-03-27&amp;return_date=2026-04-03&amp;currency=EUR&amp;startStation=76&amp;endStation=107", "Clic para verlo en la web de RoadSurfer")</f>
        <v/>
      </c>
    </row>
    <row r="493">
      <c r="A493" t="inlineStr">
        <is>
          <t>EE.UU.</t>
        </is>
      </c>
      <c r="B493" t="inlineStr">
        <is>
          <t>Las Vegas</t>
        </is>
      </c>
      <c r="C493" t="inlineStr">
        <is>
          <t>EE.UU.</t>
        </is>
      </c>
      <c r="D493" t="inlineStr">
        <is>
          <t>Seattle</t>
        </is>
      </c>
      <c r="E493" t="inlineStr">
        <is>
          <t>2026-03-25</t>
        </is>
      </c>
      <c r="F493" t="inlineStr">
        <is>
          <t>2026-04-01</t>
        </is>
      </c>
      <c r="G493" t="inlineStr">
        <is>
          <t xml:space="preserve"> - Liberty Lodge</t>
        </is>
      </c>
      <c r="H493">
        <f>HYPERLINK("https://booking.roadsurfer.com/es/rally/pick?pickup_date=2026-03-25&amp;return_date=2026-04-01&amp;currency=EUR&amp;startStation=76&amp;endStation=107", "Clic para verlo en la web de RoadSurfer")</f>
        <v/>
      </c>
    </row>
    <row r="494">
      <c r="A494" t="inlineStr">
        <is>
          <t>EE.UU.</t>
        </is>
      </c>
      <c r="B494" t="inlineStr">
        <is>
          <t>Las Vegas</t>
        </is>
      </c>
      <c r="C494" t="inlineStr">
        <is>
          <t>EE.UU.</t>
        </is>
      </c>
      <c r="D494" t="inlineStr">
        <is>
          <t>Salt Lake City</t>
        </is>
      </c>
      <c r="E494" t="inlineStr">
        <is>
          <t>2026-03-27</t>
        </is>
      </c>
      <c r="F494" t="inlineStr">
        <is>
          <t>2026-04-03</t>
        </is>
      </c>
      <c r="G494" t="inlineStr">
        <is>
          <t xml:space="preserve"> - Family Freedom</t>
        </is>
      </c>
      <c r="H494">
        <f>HYPERLINK("https://booking.roadsurfer.com/es/rally/pick?pickup_date=2026-03-27&amp;return_date=2026-04-03&amp;currency=EUR&amp;startStation=76&amp;endStation=106",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Países Bajos</t>
        </is>
      </c>
      <c r="D495" t="inlineStr">
        <is>
          <t>Ámsterdam</t>
        </is>
      </c>
      <c r="E495" t="inlineStr">
        <is>
          <t>2026-03-07</t>
        </is>
      </c>
      <c r="F495" t="inlineStr">
        <is>
          <t>2026-03-14</t>
        </is>
      </c>
      <c r="G495" t="inlineStr">
        <is>
          <t xml:space="preserve"> - No hay coche</t>
        </is>
      </c>
      <c r="H495">
        <f>HYPERLINK("https://booking.roadsurfer.com/es/rally/pick?pickup_date=2026-03-07&amp;return_date=2026-03-14&amp;currency=EUR&amp;startStation=8&amp;endStation=32",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Países Bajos</t>
        </is>
      </c>
      <c r="D496" t="inlineStr">
        <is>
          <t>Ámsterdam</t>
        </is>
      </c>
      <c r="E496" t="inlineStr">
        <is>
          <t>2026-03-19</t>
        </is>
      </c>
      <c r="F496" t="inlineStr">
        <is>
          <t>2026-03-26</t>
        </is>
      </c>
      <c r="G496" t="inlineStr">
        <is>
          <t xml:space="preserve"> - Camper Cabin Deluxe</t>
        </is>
      </c>
      <c r="H496">
        <f>HYPERLINK("https://booking.roadsurfer.com/es/rally/pick?pickup_date=2026-03-19&amp;return_date=2026-03-26&amp;currency=EUR&amp;startStation=8&amp;endStation=32", "Clic para verlo en la web de RoadSurfer")</f>
        <v/>
      </c>
    </row>
    <row r="497">
      <c r="A497" t="inlineStr">
        <is>
          <t>Alemania</t>
        </is>
      </c>
      <c r="B497" t="inlineStr">
        <is>
          <t>Leipzig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2026-03-03</t>
        </is>
      </c>
      <c r="F497" t="inlineStr">
        <is>
          <t>2026-03-10</t>
        </is>
      </c>
      <c r="G497" t="inlineStr">
        <is>
          <t xml:space="preserve"> - Road House</t>
        </is>
      </c>
      <c r="H497">
        <f>HYPERLINK("https://booking.roadsurfer.com/es/rally/pick?pickup_date=2026-03-03&amp;return_date=2026-03-10&amp;currency=EUR&amp;startStation=8&amp;endStation=33", "Clic para verlo en la web de RoadSurfer")</f>
        <v/>
      </c>
    </row>
    <row r="498">
      <c r="A498" t="inlineStr">
        <is>
          <t>Alemania</t>
        </is>
      </c>
      <c r="B498" t="inlineStr">
        <is>
          <t>Leipzig</t>
        </is>
      </c>
      <c r="C498" t="inlineStr">
        <is>
          <t>Países Bajos</t>
        </is>
      </c>
      <c r="D498" t="inlineStr">
        <is>
          <t>Róterdam</t>
        </is>
      </c>
      <c r="E498" t="inlineStr">
        <is>
          <t>2026-03-05</t>
        </is>
      </c>
      <c r="F498" t="inlineStr">
        <is>
          <t>2026-03-12</t>
        </is>
      </c>
      <c r="G498" t="inlineStr">
        <is>
          <t xml:space="preserve"> - Road House</t>
        </is>
      </c>
      <c r="H498">
        <f>HYPERLINK("https://booking.roadsurfer.com/es/rally/pick?pickup_date=2026-03-05&amp;return_date=2026-03-12&amp;currency=EUR&amp;startStation=8&amp;endStation=33", "Clic para verlo en la web de RoadSurfer")</f>
        <v/>
      </c>
    </row>
    <row r="499">
      <c r="A499" t="inlineStr">
        <is>
          <t>Alemania</t>
        </is>
      </c>
      <c r="B499" t="inlineStr">
        <is>
          <t>Leipzig</t>
        </is>
      </c>
      <c r="C499" t="inlineStr">
        <is>
          <t>Países Bajos</t>
        </is>
      </c>
      <c r="D499" t="inlineStr">
        <is>
          <t>Róterdam</t>
        </is>
      </c>
      <c r="E499" t="inlineStr">
        <is>
          <t>2026-03-06</t>
        </is>
      </c>
      <c r="F499" t="inlineStr">
        <is>
          <t>2026-03-13</t>
        </is>
      </c>
      <c r="G499" t="inlineStr">
        <is>
          <t xml:space="preserve"> - Road House</t>
        </is>
      </c>
      <c r="H499">
        <f>HYPERLINK("https://booking.roadsurfer.com/es/rally/pick?pickup_date=2026-03-06&amp;return_date=2026-03-13&amp;currency=EUR&amp;startStation=8&amp;endStation=33",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Alemania</t>
        </is>
      </c>
      <c r="D500" t="inlineStr">
        <is>
          <t>Berlín-Schönefeld</t>
        </is>
      </c>
      <c r="E500" t="inlineStr">
        <is>
          <t>2026-03-16</t>
        </is>
      </c>
      <c r="F500" t="inlineStr">
        <is>
          <t>2026-03-23</t>
        </is>
      </c>
      <c r="G500" t="inlineStr">
        <is>
          <t xml:space="preserve"> - Camper Cabin Deluxe</t>
        </is>
      </c>
      <c r="H500">
        <f>HYPERLINK("https://booking.roadsurfer.com/es/rally/pick?pickup_date=2026-03-16&amp;return_date=2026-03-23&amp;currency=EUR&amp;startStation=8&amp;endStation=51",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Alemania</t>
        </is>
      </c>
      <c r="D501" t="inlineStr">
        <is>
          <t>Braunschweig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No hay coche</t>
        </is>
      </c>
      <c r="H501">
        <f>HYPERLINK("https://booking.roadsurfer.com/es/rally/pick?pickup_date=2026-04-20&amp;return_date=2026-04-27&amp;currency=EUR&amp;startStation=8&amp;endStation=128",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Bélgica</t>
        </is>
      </c>
      <c r="D502" t="inlineStr">
        <is>
          <t>Bruselas</t>
        </is>
      </c>
      <c r="E502" t="inlineStr">
        <is>
          <t>2026-03-18</t>
        </is>
      </c>
      <c r="F502" t="inlineStr">
        <is>
          <t>2026-03-25</t>
        </is>
      </c>
      <c r="G502" t="inlineStr">
        <is>
          <t xml:space="preserve"> - Family Finca</t>
        </is>
      </c>
      <c r="H502">
        <f>HYPERLINK("https://booking.roadsurfer.com/es/rally/pick?pickup_date=2026-03-18&amp;return_date=2026-03-25&amp;currency=EUR&amp;startStation=8&amp;endStation=42",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Bélgica</t>
        </is>
      </c>
      <c r="D503" t="inlineStr">
        <is>
          <t>Bruselas</t>
        </is>
      </c>
      <c r="E503" t="inlineStr">
        <is>
          <t>2026-03-28</t>
        </is>
      </c>
      <c r="F503" t="inlineStr">
        <is>
          <t>2026-04-04</t>
        </is>
      </c>
      <c r="G503" t="inlineStr">
        <is>
          <t xml:space="preserve"> - Family Finca</t>
        </is>
      </c>
      <c r="H503">
        <f>HYPERLINK("https://booking.roadsurfer.com/es/rally/pick?pickup_date=2026-03-28&amp;return_date=2026-04-04&amp;currency=EUR&amp;startStation=8&amp;endStation=42",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Francia</t>
        </is>
      </c>
      <c r="D504" t="inlineStr">
        <is>
          <t>Lille</t>
        </is>
      </c>
      <c r="E504" t="inlineStr">
        <is>
          <t>2026-03-12</t>
        </is>
      </c>
      <c r="F504" t="inlineStr">
        <is>
          <t>2026-03-19</t>
        </is>
      </c>
      <c r="G504" t="inlineStr">
        <is>
          <t xml:space="preserve"> - Family Finca</t>
        </is>
      </c>
      <c r="H504">
        <f>HYPERLINK("https://booking.roadsurfer.com/es/rally/pick?pickup_date=2026-03-12&amp;return_date=2026-03-19&amp;currency=EUR&amp;startStation=8&amp;endStation=87",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Francia</t>
        </is>
      </c>
      <c r="D505" t="inlineStr">
        <is>
          <t>Lille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Road House</t>
        </is>
      </c>
      <c r="H505">
        <f>HYPERLINK("https://booking.roadsurfer.com/es/rally/pick?pickup_date=2026-03-17&amp;return_date=2026-03-24&amp;currency=EUR&amp;startStation=8&amp;endStation=87",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2026-03-11</t>
        </is>
      </c>
      <c r="F506" t="inlineStr">
        <is>
          <t>2026-03-18</t>
        </is>
      </c>
      <c r="G506" t="inlineStr">
        <is>
          <t xml:space="preserve"> - Couple Cottage</t>
        </is>
      </c>
      <c r="H506">
        <f>HYPERLINK("https://booking.roadsurfer.com/es/rally/pick?pickup_date=2026-03-11&amp;return_date=2026-03-18&amp;currency=EUR&amp;startStation=8&amp;endStation=12",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ROAD HOUSE</t>
        </is>
      </c>
      <c r="H507">
        <f>HYPERLINK("https://booking.roadsurfer.com/es/rally/pick?pickup_date=2026-03-20&amp;return_date=2026-03-27&amp;currency=EUR&amp;startStation=8&amp;endStation=12",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Francia</t>
        </is>
      </c>
      <c r="D508" t="inlineStr">
        <is>
          <t>París Sur (Orly)</t>
        </is>
      </c>
      <c r="E508" t="inlineStr">
        <is>
          <t>2026-03-10</t>
        </is>
      </c>
      <c r="F508" t="inlineStr">
        <is>
          <t>2026-03-17</t>
        </is>
      </c>
      <c r="G508" t="inlineStr">
        <is>
          <t xml:space="preserve"> - Family Finca</t>
        </is>
      </c>
      <c r="H508">
        <f>HYPERLINK("https://booking.roadsurfer.com/es/rally/pick?pickup_date=2026-03-10&amp;return_date=2026-03-17&amp;currency=EUR&amp;startStation=8&amp;endStation=12",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2026-03-12</t>
        </is>
      </c>
      <c r="F509" t="inlineStr">
        <is>
          <t>2026-03-19</t>
        </is>
      </c>
      <c r="G509" t="inlineStr">
        <is>
          <t xml:space="preserve"> - Road House</t>
        </is>
      </c>
      <c r="H509">
        <f>HYPERLINK("https://booking.roadsurfer.com/es/rally/pick?pickup_date=2026-03-12&amp;return_date=2026-03-19&amp;currency=EUR&amp;startStation=8&amp;endStation=45",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Austria</t>
        </is>
      </c>
      <c r="D510" t="inlineStr">
        <is>
          <t>Viena Sur</t>
        </is>
      </c>
      <c r="E510" t="inlineStr">
        <is>
          <t>2026-03-16</t>
        </is>
      </c>
      <c r="F510" t="inlineStr">
        <is>
          <t>2026-03-23</t>
        </is>
      </c>
      <c r="G510" t="inlineStr">
        <is>
          <t xml:space="preserve"> - Road House</t>
        </is>
      </c>
      <c r="H510">
        <f>HYPERLINK("https://booking.roadsurfer.com/es/rally/pick?pickup_date=2026-03-16&amp;return_date=2026-03-23&amp;currency=EUR&amp;startStation=8&amp;endStation=45",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2026-03-09</t>
        </is>
      </c>
      <c r="F511" t="inlineStr">
        <is>
          <t>2026-03-16</t>
        </is>
      </c>
      <c r="G511" t="inlineStr">
        <is>
          <t xml:space="preserve"> - Road House</t>
        </is>
      </c>
      <c r="H511">
        <f>HYPERLINK("https://booking.roadsurfer.com/es/rally/pick?pickup_date=2026-03-09&amp;return_date=2026-03-16&amp;currency=EUR&amp;startStation=8&amp;endStation=45",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Italia</t>
        </is>
      </c>
      <c r="D512" t="inlineStr">
        <is>
          <t>Roma Aeropuerto Fiumicino</t>
        </is>
      </c>
      <c r="E512" t="inlineStr">
        <is>
          <t>2026-03-02</t>
        </is>
      </c>
      <c r="F512" t="inlineStr">
        <is>
          <t>2026-03-09</t>
        </is>
      </c>
      <c r="G512" t="inlineStr">
        <is>
          <t xml:space="preserve"> - Road House</t>
        </is>
      </c>
      <c r="H512">
        <f>HYPERLINK("https://booking.roadsurfer.com/es/rally/pick?pickup_date=2026-03-02&amp;return_date=2026-03-09&amp;currency=EUR&amp;startStation=8&amp;endStation=35", "Clic para verlo en la web de RoadSurfer")</f>
        <v/>
      </c>
    </row>
    <row r="513">
      <c r="A513" t="inlineStr">
        <is>
          <t>Francia</t>
        </is>
      </c>
      <c r="B513" t="inlineStr">
        <is>
          <t>Lille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2026-03-04</t>
        </is>
      </c>
      <c r="F513" t="inlineStr">
        <is>
          <t>2026-03-11</t>
        </is>
      </c>
      <c r="G513" t="inlineStr">
        <is>
          <t xml:space="preserve"> - Surfer Suite</t>
        </is>
      </c>
      <c r="H513">
        <f>HYPERLINK("https://booking.roadsurfer.com/es/rally/pick?pickup_date=2026-03-04&amp;return_date=2026-03-11&amp;currency=EUR&amp;startStation=87&amp;endStation=56", "Clic para verlo en la web de RoadSurfer")</f>
        <v/>
      </c>
    </row>
    <row r="514">
      <c r="A514" t="inlineStr">
        <is>
          <t>Francia</t>
        </is>
      </c>
      <c r="B514" t="inlineStr">
        <is>
          <t>Lille</t>
        </is>
      </c>
      <c r="C514" t="inlineStr">
        <is>
          <t>Alemania</t>
        </is>
      </c>
      <c r="D514" t="inlineStr">
        <is>
          <t>Dresde</t>
        </is>
      </c>
      <c r="E514" t="inlineStr">
        <is>
          <t>2026-03-10</t>
        </is>
      </c>
      <c r="F514" t="inlineStr">
        <is>
          <t>2026-03-17</t>
        </is>
      </c>
      <c r="G514" t="inlineStr">
        <is>
          <t xml:space="preserve"> - Road House</t>
        </is>
      </c>
      <c r="H514">
        <f>HYPERLINK("https://booking.roadsurfer.com/es/rally/pick?pickup_date=2026-03-10&amp;return_date=2026-03-17&amp;currency=EUR&amp;startStation=87&amp;endStation=56", "Clic para verlo en la web de RoadSurfer")</f>
        <v/>
      </c>
    </row>
    <row r="515">
      <c r="A515" t="inlineStr">
        <is>
          <t>Francia</t>
        </is>
      </c>
      <c r="B515" t="inlineStr">
        <is>
          <t>Lille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2026-03-13</t>
        </is>
      </c>
      <c r="F515" t="inlineStr">
        <is>
          <t>2026-03-19</t>
        </is>
      </c>
      <c r="G515" t="inlineStr">
        <is>
          <t xml:space="preserve"> - Surfer Suite</t>
        </is>
      </c>
      <c r="H515">
        <f>HYPERLINK("https://booking.roadsurfer.com/es/rally/pick?pickup_date=2026-03-13&amp;return_date=2026-03-19&amp;currency=EUR&amp;startStation=87&amp;endStation=56", "Clic para verlo en la web de RoadSurfer")</f>
        <v/>
      </c>
    </row>
    <row r="516">
      <c r="A516" t="inlineStr">
        <is>
          <t>Francia</t>
        </is>
      </c>
      <c r="B516" t="inlineStr">
        <is>
          <t>Lille</t>
        </is>
      </c>
      <c r="C516" t="inlineStr">
        <is>
          <t>Alemania</t>
        </is>
      </c>
      <c r="D516" t="inlineStr">
        <is>
          <t>Bielefeld</t>
        </is>
      </c>
      <c r="E516" t="inlineStr">
        <is>
          <t>2026-05-04</t>
        </is>
      </c>
      <c r="F516" t="inlineStr">
        <is>
          <t>2026-05-11</t>
        </is>
      </c>
      <c r="G516" t="inlineStr">
        <is>
          <t xml:space="preserve"> - Family Finca</t>
        </is>
      </c>
      <c r="H516">
        <f>HYPERLINK("https://booking.roadsurfer.com/es/rally/pick?pickup_date=2026-05-04&amp;return_date=2026-05-11&amp;currency=EUR&amp;startStation=87&amp;endStation=91", "Clic para verlo en la web de RoadSurfer")</f>
        <v/>
      </c>
    </row>
    <row r="517">
      <c r="A517" t="inlineStr">
        <is>
          <t>Francia</t>
        </is>
      </c>
      <c r="B517" t="inlineStr">
        <is>
          <t>Lille</t>
        </is>
      </c>
      <c r="C517" t="inlineStr">
        <is>
          <t>Alemania</t>
        </is>
      </c>
      <c r="D517" t="inlineStr">
        <is>
          <t>Bielefeld</t>
        </is>
      </c>
      <c r="E517" t="inlineStr">
        <is>
          <t>2026-03-17</t>
        </is>
      </c>
      <c r="F517" t="inlineStr">
        <is>
          <t>2026-03-24</t>
        </is>
      </c>
      <c r="G517" t="inlineStr">
        <is>
          <t xml:space="preserve"> - Surfer Suite</t>
        </is>
      </c>
      <c r="H517">
        <f>HYPERLINK("https://booking.roadsurfer.com/es/rally/pick?pickup_date=2026-03-17&amp;return_date=2026-03-24&amp;currency=EUR&amp;startStation=87&amp;endStation=91", "Clic para verlo en la web de RoadSurfer")</f>
        <v/>
      </c>
    </row>
    <row r="518">
      <c r="A518" t="inlineStr">
        <is>
          <t>Francia</t>
        </is>
      </c>
      <c r="B518" t="inlineStr">
        <is>
          <t>Lille</t>
        </is>
      </c>
      <c r="C518" t="inlineStr">
        <is>
          <t>Alemania</t>
        </is>
      </c>
      <c r="D518" t="inlineStr">
        <is>
          <t>Bielefeld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Surfer Suite</t>
        </is>
      </c>
      <c r="H518">
        <f>HYPERLINK("https://booking.roadsurfer.com/es/rally/pick?pickup_date=2026-03-19&amp;return_date=2026-03-26&amp;currency=EUR&amp;startStation=87&amp;endStation=91", "Clic para verlo en la web de RoadSurfer")</f>
        <v/>
      </c>
    </row>
    <row r="519">
      <c r="A519" t="inlineStr">
        <is>
          <t>Francia</t>
        </is>
      </c>
      <c r="B519" t="inlineStr">
        <is>
          <t>Lille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2026-02-27</t>
        </is>
      </c>
      <c r="F519" t="inlineStr">
        <is>
          <t>2026-03-06</t>
        </is>
      </c>
      <c r="G519" t="inlineStr">
        <is>
          <t xml:space="preserve"> - Surfer Suite</t>
        </is>
      </c>
      <c r="H519">
        <f>HYPERLINK("https://booking.roadsurfer.com/es/rally/pick?pickup_date=2026-02-27&amp;return_date=2026-03-06&amp;currency=EUR&amp;startStation=87&amp;endStation=22", "Clic para verlo en la web de RoadSurfer")</f>
        <v/>
      </c>
    </row>
    <row r="520">
      <c r="A520" t="inlineStr">
        <is>
          <t>Francia</t>
        </is>
      </c>
      <c r="B520" t="inlineStr">
        <is>
          <t>Lille</t>
        </is>
      </c>
      <c r="C520" t="inlineStr">
        <is>
          <t>Alemania</t>
        </is>
      </c>
      <c r="D520" t="inlineStr">
        <is>
          <t>Erfurt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Family Finca</t>
        </is>
      </c>
      <c r="H520">
        <f>HYPERLINK("https://booking.roadsurfer.com/es/rally/pick?pickup_date=2026-03-09&amp;return_date=2026-03-16&amp;currency=EUR&amp;startStation=87&amp;endStation=90", "Clic para verlo en la web de RoadSurfer")</f>
        <v/>
      </c>
    </row>
    <row r="521">
      <c r="A521" t="inlineStr">
        <is>
          <t>Francia</t>
        </is>
      </c>
      <c r="B521" t="inlineStr">
        <is>
          <t>Lille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2026-03-11</t>
        </is>
      </c>
      <c r="F521" t="inlineStr">
        <is>
          <t>2026-03-18</t>
        </is>
      </c>
      <c r="G521" t="inlineStr">
        <is>
          <t xml:space="preserve"> - Surfer Suite</t>
        </is>
      </c>
      <c r="H521">
        <f>HYPERLINK("https://booking.roadsurfer.com/es/rally/pick?pickup_date=2026-03-11&amp;return_date=2026-03-18&amp;currency=EUR&amp;startStation=87&amp;endStation=90", "Clic para verlo en la web de RoadSurfer")</f>
        <v/>
      </c>
    </row>
    <row r="522">
      <c r="A522" t="inlineStr">
        <is>
          <t>Alemania</t>
        </is>
      </c>
      <c r="B522" t="inlineStr">
        <is>
          <t>Lindau-Wangen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2026-03-02</t>
        </is>
      </c>
      <c r="F522" t="inlineStr">
        <is>
          <t>2026-03-09</t>
        </is>
      </c>
      <c r="G522" t="inlineStr">
        <is>
          <t xml:space="preserve"> - Road House</t>
        </is>
      </c>
      <c r="H522">
        <f>HYPERLINK("https://booking.roadsurfer.com/es/rally/pick?pickup_date=2026-03-02&amp;return_date=2026-03-09&amp;currency=EUR&amp;startStation=117&amp;endStation=13", "Clic para verlo en la web de RoadSurfer")</f>
        <v/>
      </c>
    </row>
    <row r="523">
      <c r="A523" t="inlineStr">
        <is>
          <t>Alemania</t>
        </is>
      </c>
      <c r="B523" t="inlineStr">
        <is>
          <t>Lindau-Wangen</t>
        </is>
      </c>
      <c r="C523" t="inlineStr">
        <is>
          <t>Italia</t>
        </is>
      </c>
      <c r="D523" t="inlineStr">
        <is>
          <t>Bolonia</t>
        </is>
      </c>
      <c r="E523" t="inlineStr">
        <is>
          <t>2026-03-30</t>
        </is>
      </c>
      <c r="F523" t="inlineStr">
        <is>
          <t>2026-04-06</t>
        </is>
      </c>
      <c r="G523" t="inlineStr">
        <is>
          <t xml:space="preserve"> - No hay coche</t>
        </is>
      </c>
      <c r="H523">
        <f>HYPERLINK("https://booking.roadsurfer.com/es/rally/pick?pickup_date=2026-03-30&amp;return_date=2026-04-06&amp;currency=EUR&amp;startStation=117&amp;endStation=57", "Clic para verlo en la web de RoadSurfer")</f>
        <v/>
      </c>
    </row>
    <row r="524">
      <c r="A524" t="inlineStr">
        <is>
          <t>Austria</t>
        </is>
      </c>
      <c r="B524" t="inlineStr">
        <is>
          <t>Linz</t>
        </is>
      </c>
      <c r="C524" t="inlineStr">
        <is>
          <t>Alemania</t>
        </is>
      </c>
      <c r="D524" t="inlineStr">
        <is>
          <t>Núremberg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Couple Cottage</t>
        </is>
      </c>
      <c r="H524">
        <f>HYPERLINK("https://booking.roadsurfer.com/es/rally/pick?pickup_date=2026-03-02&amp;return_date=2026-03-09&amp;currency=EUR&amp;startStation=116&amp;endStation=11", "Clic para verlo en la web de RoadSurfer")</f>
        <v/>
      </c>
    </row>
    <row r="525">
      <c r="A525" t="inlineStr">
        <is>
          <t>EE.UU.</t>
        </is>
      </c>
      <c r="B525" t="inlineStr">
        <is>
          <t>Los Ángeles</t>
        </is>
      </c>
      <c r="C525" t="inlineStr">
        <is>
          <t>EE.UU.</t>
        </is>
      </c>
      <c r="D525" t="inlineStr">
        <is>
          <t>Seattle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Liberty Lodge</t>
        </is>
      </c>
      <c r="H525">
        <f>HYPERLINK("https://booking.roadsurfer.com/es/rally/pick?pickup_date=2026-03-02&amp;return_date=2026-03-09&amp;currency=EUR&amp;startStation=72&amp;endStation=107", "Clic para verlo en la web de RoadSurfer")</f>
        <v/>
      </c>
    </row>
    <row r="526">
      <c r="A526" t="inlineStr">
        <is>
          <t>Alemania</t>
        </is>
      </c>
      <c r="B526" t="inlineStr">
        <is>
          <t>Lübeck</t>
        </is>
      </c>
      <c r="C526" t="inlineStr">
        <is>
          <t>Francia</t>
        </is>
      </c>
      <c r="D526" t="inlineStr">
        <is>
          <t>Lyon</t>
        </is>
      </c>
      <c r="E526" t="inlineStr">
        <is>
          <t>2026-03-02</t>
        </is>
      </c>
      <c r="F526" t="inlineStr">
        <is>
          <t>2026-03-09</t>
        </is>
      </c>
      <c r="G526" t="inlineStr">
        <is>
          <t xml:space="preserve"> - Road House</t>
        </is>
      </c>
      <c r="H526">
        <f>HYPERLINK("https://booking.roadsurfer.com/es/rally/pick?pickup_date=2026-03-02&amp;return_date=2026-03-09&amp;currency=EUR&amp;startStation=109&amp;endStation=15", "Clic para verlo en la web de RoadSurfer")</f>
        <v/>
      </c>
    </row>
    <row r="527">
      <c r="A527" t="inlineStr">
        <is>
          <t>Alemania</t>
        </is>
      </c>
      <c r="B527" t="inlineStr">
        <is>
          <t>Lübeck</t>
        </is>
      </c>
      <c r="C527" t="inlineStr">
        <is>
          <t>España</t>
        </is>
      </c>
      <c r="D527" t="inlineStr">
        <is>
          <t>Madrid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Road House</t>
        </is>
      </c>
      <c r="H527">
        <f>HYPERLINK("https://booking.roadsurfer.com/es/rally/pick?pickup_date=2026-03-02&amp;return_date=2026-03-09&amp;currency=EUR&amp;startStation=109&amp;endStation=20", "Clic para verlo en la web de RoadSurfer")</f>
        <v/>
      </c>
    </row>
    <row r="528">
      <c r="A528" t="inlineStr">
        <is>
          <t>Alemania</t>
        </is>
      </c>
      <c r="B528" t="inlineStr">
        <is>
          <t>Lübeck</t>
        </is>
      </c>
      <c r="C528" t="inlineStr">
        <is>
          <t>Alemania</t>
        </is>
      </c>
      <c r="D528" t="inlineStr">
        <is>
          <t>Núremberg</t>
        </is>
      </c>
      <c r="E528" t="inlineStr">
        <is>
          <t>2026-03-12</t>
        </is>
      </c>
      <c r="F528" t="inlineStr">
        <is>
          <t>2026-03-19</t>
        </is>
      </c>
      <c r="G528" t="inlineStr">
        <is>
          <t xml:space="preserve"> - Road House</t>
        </is>
      </c>
      <c r="H528">
        <f>HYPERLINK("https://booking.roadsurfer.com/es/rally/pick?pickup_date=2026-03-12&amp;return_date=2026-03-19&amp;currency=EUR&amp;startStation=109&amp;endStation=11", "Clic para verlo en la web de RoadSurfer")</f>
        <v/>
      </c>
    </row>
    <row r="529">
      <c r="A529" t="inlineStr">
        <is>
          <t>Alemania</t>
        </is>
      </c>
      <c r="B529" t="inlineStr">
        <is>
          <t>Lübeck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2026-03-09</t>
        </is>
      </c>
      <c r="F529" t="inlineStr">
        <is>
          <t>2026-03-16</t>
        </is>
      </c>
      <c r="G529" t="inlineStr">
        <is>
          <t xml:space="preserve"> - Surfer Suite</t>
        </is>
      </c>
      <c r="H529">
        <f>HYPERLINK("https://booking.roadsurfer.com/es/rally/pick?pickup_date=2026-03-09&amp;return_date=2026-03-16&amp;currency=EUR&amp;startStation=109&amp;endStation=77",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Karlsruhe</t>
        </is>
      </c>
      <c r="E530" t="inlineStr">
        <is>
          <t>2026-02-27</t>
        </is>
      </c>
      <c r="F530" t="inlineStr">
        <is>
          <t>2026-03-06</t>
        </is>
      </c>
      <c r="G530" t="inlineStr">
        <is>
          <t xml:space="preserve"> - SURFER SUITE</t>
        </is>
      </c>
      <c r="H530">
        <f>HYPERLINK("https://booking.roadsurfer.com/es/rally/pick?pickup_date=2026-02-27&amp;return_date=2026-03-06&amp;currency=EUR&amp;startStation=15&amp;endStation=110",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2026-02-28</t>
        </is>
      </c>
      <c r="F531" t="inlineStr">
        <is>
          <t>2026-03-07</t>
        </is>
      </c>
      <c r="G531" t="inlineStr">
        <is>
          <t xml:space="preserve"> - No hay coche</t>
        </is>
      </c>
      <c r="H531">
        <f>HYPERLINK("https://booking.roadsurfer.com/es/rally/pick?pickup_date=2026-02-28&amp;return_date=2026-03-07&amp;currency=EUR&amp;startStation=15&amp;endStation=22",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2026-03-16</t>
        </is>
      </c>
      <c r="F532" t="inlineStr">
        <is>
          <t>2026-03-23</t>
        </is>
      </c>
      <c r="G532" t="inlineStr">
        <is>
          <t xml:space="preserve"> - Beach Hostel</t>
        </is>
      </c>
      <c r="H532">
        <f>HYPERLINK("https://booking.roadsurfer.com/es/rally/pick?pickup_date=2026-03-16&amp;return_date=2026-03-23&amp;currency=EUR&amp;startStation=15&amp;endStation=22",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Constanza (Aach)</t>
        </is>
      </c>
      <c r="E533" t="inlineStr">
        <is>
          <t>2026-03-05</t>
        </is>
      </c>
      <c r="F533" t="inlineStr">
        <is>
          <t>2026-03-12</t>
        </is>
      </c>
      <c r="G533" t="inlineStr">
        <is>
          <t xml:space="preserve"> - Road House</t>
        </is>
      </c>
      <c r="H533">
        <f>HYPERLINK("https://booking.roadsurfer.com/es/rally/pick?pickup_date=2026-03-05&amp;return_date=2026-03-12&amp;currency=EUR&amp;startStation=15&amp;endStation=10",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Constanza (Aach)</t>
        </is>
      </c>
      <c r="E534" t="inlineStr">
        <is>
          <t>2026-03-23</t>
        </is>
      </c>
      <c r="F534" t="inlineStr">
        <is>
          <t>2026-03-30</t>
        </is>
      </c>
      <c r="G534" t="inlineStr">
        <is>
          <t xml:space="preserve"> - SURFER SUITE</t>
        </is>
      </c>
      <c r="H534">
        <f>HYPERLINK("https://booking.roadsurfer.com/es/rally/pick?pickup_date=2026-03-23&amp;return_date=2026-03-30&amp;currency=EUR&amp;startStation=15&amp;endStation=10",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Heidelberg</t>
        </is>
      </c>
      <c r="E535" t="inlineStr">
        <is>
          <t>2026-03-10</t>
        </is>
      </c>
      <c r="F535" t="inlineStr">
        <is>
          <t>2026-03-17</t>
        </is>
      </c>
      <c r="G535" t="inlineStr">
        <is>
          <t xml:space="preserve"> - SURFER SUITE</t>
        </is>
      </c>
      <c r="H535">
        <f>HYPERLINK("https://booking.roadsurfer.com/es/rally/pick?pickup_date=2026-03-10&amp;return_date=2026-03-17&amp;currency=EUR&amp;startStation=15&amp;endStation=79",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Heidelberg</t>
        </is>
      </c>
      <c r="E536" t="inlineStr">
        <is>
          <t>2026-03-11</t>
        </is>
      </c>
      <c r="F536" t="inlineStr">
        <is>
          <t>2026-03-18</t>
        </is>
      </c>
      <c r="G536" t="inlineStr">
        <is>
          <t xml:space="preserve"> - Beach Hostel</t>
        </is>
      </c>
      <c r="H536">
        <f>HYPERLINK("https://booking.roadsurfer.com/es/rally/pick?pickup_date=2026-03-11&amp;return_date=2026-03-18&amp;currency=EUR&amp;startStation=15&amp;endStation=79",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Fráncfort</t>
        </is>
      </c>
      <c r="E537" t="inlineStr">
        <is>
          <t>2026-03-14</t>
        </is>
      </c>
      <c r="F537" t="inlineStr">
        <is>
          <t>2026-03-21</t>
        </is>
      </c>
      <c r="G537" t="inlineStr">
        <is>
          <t xml:space="preserve"> - Road House</t>
        </is>
      </c>
      <c r="H537">
        <f>HYPERLINK("https://booking.roadsurfer.com/es/rally/pick?pickup_date=2026-03-14&amp;return_date=2026-03-21&amp;currency=EUR&amp;startStation=15&amp;endStation=2",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2026-03-09</t>
        </is>
      </c>
      <c r="F538" t="inlineStr">
        <is>
          <t>2026-03-16</t>
        </is>
      </c>
      <c r="G538" t="inlineStr">
        <is>
          <t xml:space="preserve"> - Beach Hostel</t>
        </is>
      </c>
      <c r="H538">
        <f>HYPERLINK("https://booking.roadsurfer.com/es/rally/pick?pickup_date=2026-03-09&amp;return_date=2026-03-16&amp;currency=EUR&amp;startStation=15&amp;endStation=2",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Fráncfort</t>
        </is>
      </c>
      <c r="E539" t="inlineStr">
        <is>
          <t>2026-03-10</t>
        </is>
      </c>
      <c r="F539" t="inlineStr">
        <is>
          <t>2026-03-17</t>
        </is>
      </c>
      <c r="G539" t="inlineStr">
        <is>
          <t xml:space="preserve"> - Couple Cottage</t>
        </is>
      </c>
      <c r="H539">
        <f>HYPERLINK("https://booking.roadsurfer.com/es/rally/pick?pickup_date=2026-03-10&amp;return_date=2026-03-17&amp;currency=EUR&amp;startStation=15&amp;endStation=2",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Fráncfort</t>
        </is>
      </c>
      <c r="E540" t="inlineStr">
        <is>
          <t>2026-03-11</t>
        </is>
      </c>
      <c r="F540" t="inlineStr">
        <is>
          <t>2026-03-18</t>
        </is>
      </c>
      <c r="G540" t="inlineStr">
        <is>
          <t xml:space="preserve"> - Camper Cabin Deluxe</t>
        </is>
      </c>
      <c r="H540">
        <f>HYPERLINK("https://booking.roadsurfer.com/es/rally/pick?pickup_date=2026-03-11&amp;return_date=2026-03-18&amp;currency=EUR&amp;startStation=15&amp;endStation=2",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Fráncfort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Road House - Family Finca</t>
        </is>
      </c>
      <c r="H541">
        <f>HYPERLINK("https://booking.roadsurfer.com/es/rally/pick?pickup_date=2026-03-10&amp;return_date=2026-03-17&amp;currency=EUR&amp;startStation=20&amp;endStation=2",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2026-03-09</t>
        </is>
      </c>
      <c r="F542" t="inlineStr">
        <is>
          <t>2026-03-16</t>
        </is>
      </c>
      <c r="G542" t="inlineStr">
        <is>
          <t xml:space="preserve"> - Surfer Suite</t>
        </is>
      </c>
      <c r="H542">
        <f>HYPERLINK("https://booking.roadsurfer.com/es/rally/pick?pickup_date=2026-03-09&amp;return_date=2026-03-16&amp;currency=EUR&amp;startStation=20&amp;endStation=2",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Fráncfort</t>
        </is>
      </c>
      <c r="E543" t="inlineStr">
        <is>
          <t>2026-03-12</t>
        </is>
      </c>
      <c r="F543" t="inlineStr">
        <is>
          <t>2026-03-19</t>
        </is>
      </c>
      <c r="G543" t="inlineStr">
        <is>
          <t xml:space="preserve"> - Family Finca</t>
        </is>
      </c>
      <c r="H543">
        <f>HYPERLINK("https://booking.roadsurfer.com/es/rally/pick?pickup_date=2026-03-12&amp;return_date=2026-03-19&amp;currency=EUR&amp;startStation=20&amp;endStation=2",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Surfer Suite</t>
        </is>
      </c>
      <c r="H544">
        <f>HYPERLINK("https://booking.roadsurfer.com/es/rally/pick?pickup_date=2026-03-19&amp;return_date=2026-03-26&amp;currency=EUR&amp;startStation=20&amp;endStation=2",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2026-03-16</t>
        </is>
      </c>
      <c r="F545" t="inlineStr">
        <is>
          <t>2026-03-23</t>
        </is>
      </c>
      <c r="G545" t="inlineStr">
        <is>
          <t xml:space="preserve"> - Surfer Suite</t>
        </is>
      </c>
      <c r="H545">
        <f>HYPERLINK("https://booking.roadsurfer.com/es/rally/pick?pickup_date=2026-03-16&amp;return_date=2026-03-23&amp;currency=EUR&amp;startStation=20&amp;endStation=2",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2026-04-14</t>
        </is>
      </c>
      <c r="F546" t="inlineStr">
        <is>
          <t>2026-04-21</t>
        </is>
      </c>
      <c r="G546" t="inlineStr">
        <is>
          <t xml:space="preserve"> - Camper Castle</t>
        </is>
      </c>
      <c r="H546">
        <f>HYPERLINK("https://booking.roadsurfer.com/es/rally/pick?pickup_date=2026-04-14&amp;return_date=2026-04-21&amp;currency=EUR&amp;startStation=20&amp;endStation=2",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Friburgo-Basilea (Alemania)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Couple Cottage</t>
        </is>
      </c>
      <c r="H547">
        <f>HYPERLINK("https://booking.roadsurfer.com/es/rally/pick?pickup_date=2026-04-15&amp;return_date=2026-04-22&amp;currency=EUR&amp;startStation=20&amp;endStation=9",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Friburgo-Basilea (Alemania)</t>
        </is>
      </c>
      <c r="E548" t="inlineStr">
        <is>
          <t>2026-03-24</t>
        </is>
      </c>
      <c r="F548" t="inlineStr">
        <is>
          <t>2026-03-30</t>
        </is>
      </c>
      <c r="G548" t="inlineStr">
        <is>
          <t xml:space="preserve"> - No hay coche</t>
        </is>
      </c>
      <c r="H548">
        <f>HYPERLINK("https://booking.roadsurfer.com/es/rally/pick?pickup_date=2026-03-24&amp;return_date=2026-03-30&amp;currency=EUR&amp;startStation=20&amp;endStation=9",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2026-03-18</t>
        </is>
      </c>
      <c r="F549" t="inlineStr">
        <is>
          <t>2026-03-25</t>
        </is>
      </c>
      <c r="G549" t="inlineStr">
        <is>
          <t xml:space="preserve"> - CAMPER CASTLE</t>
        </is>
      </c>
      <c r="H549">
        <f>HYPERLINK("https://booking.roadsurfer.com/es/rally/pick?pickup_date=2026-03-18&amp;return_date=2026-03-25&amp;currency=EUR&amp;startStation=20&amp;endStation=22",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2026-03-09</t>
        </is>
      </c>
      <c r="F550" t="inlineStr">
        <is>
          <t>2026-03-16</t>
        </is>
      </c>
      <c r="G550" t="inlineStr">
        <is>
          <t xml:space="preserve"> - Family Finca</t>
        </is>
      </c>
      <c r="H550">
        <f>HYPERLINK("https://booking.roadsurfer.com/es/rally/pick?pickup_date=2026-03-09&amp;return_date=2026-03-16&amp;currency=EUR&amp;startStation=20&amp;endStation=22",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2026-02-27</t>
        </is>
      </c>
      <c r="F551" t="inlineStr">
        <is>
          <t>2026-03-06</t>
        </is>
      </c>
      <c r="G551" t="inlineStr">
        <is>
          <t xml:space="preserve"> - Camper Cabin Deluxe</t>
        </is>
      </c>
      <c r="H551">
        <f>HYPERLINK("https://booking.roadsurfer.com/es/rally/pick?pickup_date=2026-02-27&amp;return_date=2026-03-06&amp;currency=EUR&amp;startStation=54&amp;endStation=15",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Francia</t>
        </is>
      </c>
      <c r="D552" t="inlineStr">
        <is>
          <t>Lyon</t>
        </is>
      </c>
      <c r="E552" t="inlineStr">
        <is>
          <t>2026-03-09</t>
        </is>
      </c>
      <c r="F552" t="inlineStr">
        <is>
          <t>2026-03-16</t>
        </is>
      </c>
      <c r="G552" t="inlineStr">
        <is>
          <t xml:space="preserve"> - Family Finca</t>
        </is>
      </c>
      <c r="H552">
        <f>HYPERLINK("https://booking.roadsurfer.com/es/rally/pick?pickup_date=2026-03-09&amp;return_date=2026-03-16&amp;currency=EUR&amp;startStation=54&amp;endStation=15",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Toulouse</t>
        </is>
      </c>
      <c r="E553" t="inlineStr">
        <is>
          <t>2026-03-27</t>
        </is>
      </c>
      <c r="F553" t="inlineStr">
        <is>
          <t>2026-04-03</t>
        </is>
      </c>
      <c r="G553" t="inlineStr">
        <is>
          <t xml:space="preserve"> - SURFER SUITE</t>
        </is>
      </c>
      <c r="H553">
        <f>HYPERLINK("https://booking.roadsurfer.com/es/rally/pick?pickup_date=2026-03-27&amp;return_date=2026-04-03&amp;currency=EUR&amp;startStation=54&amp;endStation=30",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Francia</t>
        </is>
      </c>
      <c r="D554" t="inlineStr">
        <is>
          <t>Burdeos</t>
        </is>
      </c>
      <c r="E554" t="inlineStr">
        <is>
          <t>2026-03-18</t>
        </is>
      </c>
      <c r="F554" t="inlineStr">
        <is>
          <t>2026-03-25</t>
        </is>
      </c>
      <c r="G554" t="inlineStr">
        <is>
          <t xml:space="preserve"> - Family Finca</t>
        </is>
      </c>
      <c r="H554">
        <f>HYPERLINK("https://booking.roadsurfer.com/es/rally/pick?pickup_date=2026-03-18&amp;return_date=2026-03-25&amp;currency=EUR&amp;startStation=54&amp;endStation=13",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Francia</t>
        </is>
      </c>
      <c r="D555" t="inlineStr">
        <is>
          <t>Burdeos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Couple Cottage</t>
        </is>
      </c>
      <c r="H555">
        <f>HYPERLINK("https://booking.roadsurfer.com/es/rally/pick?pickup_date=2026-03-09&amp;return_date=2026-03-16&amp;currency=EUR&amp;startStation=54&amp;endStation=13", "Clic para verlo en la web de RoadSurfer")</f>
        <v/>
      </c>
    </row>
    <row r="556">
      <c r="A556" t="inlineStr">
        <is>
          <t>Alemania</t>
        </is>
      </c>
      <c r="B556" t="inlineStr">
        <is>
          <t>Maguncia</t>
        </is>
      </c>
      <c r="C556" t="inlineStr">
        <is>
          <t>Francia</t>
        </is>
      </c>
      <c r="D556" t="inlineStr">
        <is>
          <t>Nantes</t>
        </is>
      </c>
      <c r="E556" t="inlineStr">
        <is>
          <t>2026-03-28</t>
        </is>
      </c>
      <c r="F556" t="inlineStr">
        <is>
          <t>2026-04-04</t>
        </is>
      </c>
      <c r="G556" t="inlineStr">
        <is>
          <t xml:space="preserve"> - Couple Cottage</t>
        </is>
      </c>
      <c r="H556">
        <f>HYPERLINK("https://booking.roadsurfer.com/es/rally/pick?pickup_date=2026-03-28&amp;return_date=2026-04-04&amp;currency=EUR&amp;startStation=54&amp;endStation=31", "Clic para verlo en la web de RoadSurfer")</f>
        <v/>
      </c>
    </row>
    <row r="557">
      <c r="A557" t="inlineStr">
        <is>
          <t>Alemania</t>
        </is>
      </c>
      <c r="B557" t="inlineStr">
        <is>
          <t>Maguncia</t>
        </is>
      </c>
      <c r="C557" t="inlineStr">
        <is>
          <t>Francia</t>
        </is>
      </c>
      <c r="D557" t="inlineStr">
        <is>
          <t>Ginebra-Pays de Gex (Francia)</t>
        </is>
      </c>
      <c r="E557" t="inlineStr">
        <is>
          <t>2026-03-13</t>
        </is>
      </c>
      <c r="F557" t="inlineStr">
        <is>
          <t>2026-03-20</t>
        </is>
      </c>
      <c r="G557" t="inlineStr">
        <is>
          <t xml:space="preserve"> - Beach Hostel</t>
        </is>
      </c>
      <c r="H557">
        <f>HYPERLINK("https://booking.roadsurfer.com/es/rally/pick?pickup_date=2026-03-13&amp;return_date=2026-03-20&amp;currency=EUR&amp;startStation=54&amp;endStation=29", "Clic para verlo en la web de RoadSurfer")</f>
        <v/>
      </c>
    </row>
    <row r="558">
      <c r="A558" t="inlineStr">
        <is>
          <t>Alemania</t>
        </is>
      </c>
      <c r="B558" t="inlineStr">
        <is>
          <t>Maguncia</t>
        </is>
      </c>
      <c r="C558" t="inlineStr">
        <is>
          <t>Francia</t>
        </is>
      </c>
      <c r="D558" t="inlineStr">
        <is>
          <t>Ginebra-Pays de Gex (Francia)</t>
        </is>
      </c>
      <c r="E558" t="inlineStr">
        <is>
          <t>2026-03-19</t>
        </is>
      </c>
      <c r="F558" t="inlineStr">
        <is>
          <t>2026-03-26</t>
        </is>
      </c>
      <c r="G558" t="inlineStr">
        <is>
          <t xml:space="preserve"> - Surfer Suite</t>
        </is>
      </c>
      <c r="H558">
        <f>HYPERLINK("https://booking.roadsurfer.com/es/rally/pick?pickup_date=2026-03-19&amp;return_date=2026-03-26&amp;currency=EUR&amp;startStation=54&amp;endStation=29", "Clic para verlo en la web de RoadSurfer")</f>
        <v/>
      </c>
    </row>
    <row r="559">
      <c r="A559" t="inlineStr">
        <is>
          <t>Alemania</t>
        </is>
      </c>
      <c r="B559" t="inlineStr">
        <is>
          <t>Maguncia</t>
        </is>
      </c>
      <c r="C559" t="inlineStr">
        <is>
          <t>Francia</t>
        </is>
      </c>
      <c r="D559" t="inlineStr">
        <is>
          <t>Ginebra-Pays de Gex (Francia)</t>
        </is>
      </c>
      <c r="E559" t="inlineStr">
        <is>
          <t>2026-03-03</t>
        </is>
      </c>
      <c r="F559" t="inlineStr">
        <is>
          <t>2026-03-10</t>
        </is>
      </c>
      <c r="G559" t="inlineStr">
        <is>
          <t xml:space="preserve"> - Surfer Suite</t>
        </is>
      </c>
      <c r="H559">
        <f>HYPERLINK("https://booking.roadsurfer.com/es/rally/pick?pickup_date=2026-03-03&amp;return_date=2026-03-10&amp;currency=EUR&amp;startStation=54&amp;endStation=29",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Bélgica</t>
        </is>
      </c>
      <c r="D560" t="inlineStr">
        <is>
          <t>Bruselas</t>
        </is>
      </c>
      <c r="E560" t="inlineStr">
        <is>
          <t>2026-03-07</t>
        </is>
      </c>
      <c r="F560" t="inlineStr">
        <is>
          <t>2026-03-14</t>
        </is>
      </c>
      <c r="G560" t="inlineStr">
        <is>
          <t xml:space="preserve"> - Road House</t>
        </is>
      </c>
      <c r="H560">
        <f>HYPERLINK("https://booking.roadsurfer.com/es/rally/pick?pickup_date=2026-03-07&amp;return_date=2026-03-14&amp;currency=EUR&amp;startStation=54&amp;endStation=42", "Clic para verlo en la web de RoadSurfer")</f>
        <v/>
      </c>
    </row>
    <row r="561">
      <c r="A561" t="inlineStr">
        <is>
          <t>Alemania</t>
        </is>
      </c>
      <c r="B561" t="inlineStr">
        <is>
          <t>Maguncia</t>
        </is>
      </c>
      <c r="C561" t="inlineStr">
        <is>
          <t>Francia</t>
        </is>
      </c>
      <c r="D561" t="inlineStr">
        <is>
          <t>París Sur (Orly)</t>
        </is>
      </c>
      <c r="E561" t="inlineStr">
        <is>
          <t>2026-03-05</t>
        </is>
      </c>
      <c r="F561" t="inlineStr">
        <is>
          <t>2026-03-12</t>
        </is>
      </c>
      <c r="G561" t="inlineStr">
        <is>
          <t xml:space="preserve"> - Camper Cabin</t>
        </is>
      </c>
      <c r="H561">
        <f>HYPERLINK("https://booking.roadsurfer.com/es/rally/pick?pickup_date=2026-03-05&amp;return_date=2026-03-12&amp;currency=EUR&amp;startStation=54&amp;endStation=12", "Clic para verlo en la web de RoadSurfer")</f>
        <v/>
      </c>
    </row>
    <row r="562">
      <c r="A562" t="inlineStr">
        <is>
          <t>España</t>
        </is>
      </c>
      <c r="B562" t="inlineStr">
        <is>
          <t>Málaga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2026-03-26</t>
        </is>
      </c>
      <c r="F562" t="inlineStr">
        <is>
          <t>2026-04-02</t>
        </is>
      </c>
      <c r="G562" t="inlineStr">
        <is>
          <t xml:space="preserve"> - Family Finca</t>
        </is>
      </c>
      <c r="H562">
        <f>HYPERLINK("https://booking.roadsurfer.com/es/rally/pick?pickup_date=2026-03-26&amp;return_date=2026-04-02&amp;currency=EUR&amp;startStation=21&amp;endStation=9", "Clic para verlo en la web de RoadSurfer")</f>
        <v/>
      </c>
    </row>
    <row r="563">
      <c r="A563" t="inlineStr">
        <is>
          <t>España</t>
        </is>
      </c>
      <c r="B563" t="inlineStr">
        <is>
          <t>Málaga</t>
        </is>
      </c>
      <c r="C563" t="inlineStr">
        <is>
          <t>Alemania</t>
        </is>
      </c>
      <c r="D563" t="inlineStr">
        <is>
          <t>Friburgo-Basilea (Alemania)</t>
        </is>
      </c>
      <c r="E563" t="inlineStr">
        <is>
          <t>2026-03-17</t>
        </is>
      </c>
      <c r="F563" t="inlineStr">
        <is>
          <t>2026-03-24</t>
        </is>
      </c>
      <c r="G563" t="inlineStr">
        <is>
          <t xml:space="preserve"> - Surfer Suite</t>
        </is>
      </c>
      <c r="H563">
        <f>HYPERLINK("https://booking.roadsurfer.com/es/rally/pick?pickup_date=2026-03-17&amp;return_date=2026-03-24&amp;currency=EUR&amp;startStation=21&amp;endStation=9", "Clic para verlo en la web de RoadSurfer")</f>
        <v/>
      </c>
    </row>
    <row r="564">
      <c r="A564" t="inlineStr">
        <is>
          <t>España</t>
        </is>
      </c>
      <c r="B564" t="inlineStr">
        <is>
          <t>Málaga</t>
        </is>
      </c>
      <c r="C564" t="inlineStr">
        <is>
          <t>Alemania</t>
        </is>
      </c>
      <c r="D564" t="inlineStr">
        <is>
          <t>Friburgo-Basilea (Alemania)</t>
        </is>
      </c>
      <c r="E564" t="inlineStr">
        <is>
          <t>2026-03-04</t>
        </is>
      </c>
      <c r="F564" t="inlineStr">
        <is>
          <t>2026-03-11</t>
        </is>
      </c>
      <c r="G564" t="inlineStr">
        <is>
          <t xml:space="preserve"> - Surfer Suite</t>
        </is>
      </c>
      <c r="H564">
        <f>HYPERLINK("https://booking.roadsurfer.com/es/rally/pick?pickup_date=2026-03-04&amp;return_date=2026-03-11&amp;currency=EUR&amp;startStation=21&amp;endStation=9", "Clic para verlo en la web de RoadSurfer")</f>
        <v/>
      </c>
    </row>
    <row r="565">
      <c r="A565" t="inlineStr">
        <is>
          <t>España</t>
        </is>
      </c>
      <c r="B565" t="inlineStr">
        <is>
          <t>Málaga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Beach Hostel</t>
        </is>
      </c>
      <c r="H565">
        <f>HYPERLINK("https://booking.roadsurfer.com/es/rally/pick?pickup_date=2026-03-10&amp;return_date=2026-03-17&amp;currency=EUR&amp;startStation=21&amp;endStation=22", "Clic para verlo en la web de RoadSurfer")</f>
        <v/>
      </c>
    </row>
    <row r="566">
      <c r="A566" t="inlineStr">
        <is>
          <t>España</t>
        </is>
      </c>
      <c r="B566" t="inlineStr">
        <is>
          <t>Málaga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Road House</t>
        </is>
      </c>
      <c r="H566">
        <f>HYPERLINK("https://booking.roadsurfer.com/es/rally/pick?pickup_date=2026-03-11&amp;return_date=2026-03-18&amp;currency=EUR&amp;startStation=21&amp;endStation=22",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Stuttgart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Camper Castle</t>
        </is>
      </c>
      <c r="H567">
        <f>HYPERLINK("https://booking.roadsurfer.com/es/rally/pick?pickup_date=2026-04-20&amp;return_date=2026-04-27&amp;currency=EUR&amp;startStation=60&amp;endStation=5",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2026-02-28</t>
        </is>
      </c>
      <c r="F568" t="inlineStr">
        <is>
          <t>2026-03-07</t>
        </is>
      </c>
      <c r="G568" t="inlineStr">
        <is>
          <t xml:space="preserve"> - Road House</t>
        </is>
      </c>
      <c r="H568">
        <f>HYPERLINK("https://booking.roadsurfer.com/es/rally/pick?pickup_date=2026-02-28&amp;return_date=2026-03-07&amp;currency=EUR&amp;startStation=60&amp;endStation=55",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Bremen</t>
        </is>
      </c>
      <c r="E569" t="inlineStr">
        <is>
          <t>2026-03-05</t>
        </is>
      </c>
      <c r="F569" t="inlineStr">
        <is>
          <t>2026-03-12</t>
        </is>
      </c>
      <c r="G569" t="inlineStr">
        <is>
          <t xml:space="preserve"> - Road House</t>
        </is>
      </c>
      <c r="H569">
        <f>HYPERLINK("https://booking.roadsurfer.com/es/rally/pick?pickup_date=2026-03-05&amp;return_date=2026-03-12&amp;currency=EUR&amp;startStation=60&amp;endStation=55",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Bremen</t>
        </is>
      </c>
      <c r="E570" t="inlineStr">
        <is>
          <t>2026-03-03</t>
        </is>
      </c>
      <c r="F570" t="inlineStr">
        <is>
          <t>2026-03-10</t>
        </is>
      </c>
      <c r="G570" t="inlineStr">
        <is>
          <t xml:space="preserve"> - Surfer Suite</t>
        </is>
      </c>
      <c r="H570">
        <f>HYPERLINK("https://booking.roadsurfer.com/es/rally/pick?pickup_date=2026-03-03&amp;return_date=2026-03-10&amp;currency=EUR&amp;startStation=60&amp;endStation=55",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Hamburgo</t>
        </is>
      </c>
      <c r="E571" t="inlineStr">
        <is>
          <t>2026-02-28</t>
        </is>
      </c>
      <c r="F571" t="inlineStr">
        <is>
          <t>2026-03-07</t>
        </is>
      </c>
      <c r="G571" t="inlineStr">
        <is>
          <t xml:space="preserve"> - Surfer Suite</t>
        </is>
      </c>
      <c r="H571">
        <f>HYPERLINK("https://booking.roadsurfer.com/es/rally/pick?pickup_date=2026-02-28&amp;return_date=2026-03-07&amp;currency=EUR&amp;startStation=60&amp;endStation=3",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Hamburgo</t>
        </is>
      </c>
      <c r="E572" t="inlineStr">
        <is>
          <t>2026-03-05</t>
        </is>
      </c>
      <c r="F572" t="inlineStr">
        <is>
          <t>2026-03-12</t>
        </is>
      </c>
      <c r="G572" t="inlineStr">
        <is>
          <t xml:space="preserve"> - Road House</t>
        </is>
      </c>
      <c r="H572">
        <f>HYPERLINK("https://booking.roadsurfer.com/es/rally/pick?pickup_date=2026-03-05&amp;return_date=2026-03-12&amp;currency=EUR&amp;startStation=60&amp;endStation=3",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Berlín-Schönefeld</t>
        </is>
      </c>
      <c r="E573" t="inlineStr">
        <is>
          <t>2026-03-20</t>
        </is>
      </c>
      <c r="F573" t="inlineStr">
        <is>
          <t>2026-03-27</t>
        </is>
      </c>
      <c r="G573" t="inlineStr">
        <is>
          <t xml:space="preserve"> - Beach Hostel</t>
        </is>
      </c>
      <c r="H573">
        <f>HYPERLINK("https://booking.roadsurfer.com/es/rally/pick?pickup_date=2026-03-20&amp;return_date=2026-03-27&amp;currency=EUR&amp;startStation=60&amp;endStation=51",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Berlín-Schönefeld</t>
        </is>
      </c>
      <c r="E574" t="inlineStr">
        <is>
          <t>2026-04-15</t>
        </is>
      </c>
      <c r="F574" t="inlineStr">
        <is>
          <t>2026-04-22</t>
        </is>
      </c>
      <c r="G574" t="inlineStr">
        <is>
          <t xml:space="preserve"> - Family Finca</t>
        </is>
      </c>
      <c r="H574">
        <f>HYPERLINK("https://booking.roadsurfer.com/es/rally/pick?pickup_date=2026-04-15&amp;return_date=2026-04-22&amp;currency=EUR&amp;startStation=60&amp;endStation=51",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Berlín</t>
        </is>
      </c>
      <c r="E575" t="inlineStr">
        <is>
          <t>2026-03-18</t>
        </is>
      </c>
      <c r="F575" t="inlineStr">
        <is>
          <t>2026-03-25</t>
        </is>
      </c>
      <c r="G575" t="inlineStr">
        <is>
          <t xml:space="preserve"> - Beach Hostel</t>
        </is>
      </c>
      <c r="H575">
        <f>HYPERLINK("https://booking.roadsurfer.com/es/rally/pick?pickup_date=2026-03-18&amp;return_date=2026-03-25&amp;currency=EUR&amp;startStation=60&amp;endStation=6",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Berlín</t>
        </is>
      </c>
      <c r="E576" t="inlineStr">
        <is>
          <t>2026-04-14</t>
        </is>
      </c>
      <c r="F576" t="inlineStr">
        <is>
          <t>2026-04-21</t>
        </is>
      </c>
      <c r="G576" t="inlineStr">
        <is>
          <t xml:space="preserve"> - Family Finca</t>
        </is>
      </c>
      <c r="H576">
        <f>HYPERLINK("https://booking.roadsurfer.com/es/rally/pick?pickup_date=2026-04-14&amp;return_date=2026-04-21&amp;currency=EUR&amp;startStation=60&amp;endStation=6",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2026-03-10</t>
        </is>
      </c>
      <c r="F577" t="inlineStr">
        <is>
          <t>2026-03-17</t>
        </is>
      </c>
      <c r="G577" t="inlineStr">
        <is>
          <t xml:space="preserve"> - SURFER SUITE</t>
        </is>
      </c>
      <c r="H577">
        <f>HYPERLINK("https://booking.roadsurfer.com/es/rally/pick?pickup_date=2026-03-10&amp;return_date=2026-03-17&amp;currency=EUR&amp;startStation=60&amp;endStation=22",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Beach Hostel</t>
        </is>
      </c>
      <c r="H578">
        <f>HYPERLINK("https://booking.roadsurfer.com/es/rally/pick?pickup_date=2026-03-09&amp;return_date=2026-03-16&amp;currency=EUR&amp;startStation=60&amp;endStation=22",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2026-02-27</t>
        </is>
      </c>
      <c r="F579" t="inlineStr">
        <is>
          <t>2026-03-06</t>
        </is>
      </c>
      <c r="G579" t="inlineStr">
        <is>
          <t xml:space="preserve"> - Family Finca</t>
        </is>
      </c>
      <c r="H579">
        <f>HYPERLINK("https://booking.roadsurfer.com/es/rally/pick?pickup_date=2026-02-27&amp;return_date=2026-03-06&amp;currency=EUR&amp;startStation=60&amp;endStation=22",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Bielefeld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Family Finca</t>
        </is>
      </c>
      <c r="H580">
        <f>HYPERLINK("https://booking.roadsurfer.com/es/rally/pick?pickup_date=2026-04-14&amp;return_date=2026-04-21&amp;currency=EUR&amp;startStation=60&amp;endStation=91",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2026-03-10</t>
        </is>
      </c>
      <c r="F581" t="inlineStr">
        <is>
          <t>2026-03-17</t>
        </is>
      </c>
      <c r="G581" t="inlineStr">
        <is>
          <t xml:space="preserve"> - Family Finca</t>
        </is>
      </c>
      <c r="H581">
        <f>HYPERLINK("https://booking.roadsurfer.com/es/rally/pick?pickup_date=2026-03-10&amp;return_date=2026-03-17&amp;currency=EUR&amp;startStation=60&amp;endStation=2",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Family Finca</t>
        </is>
      </c>
      <c r="H582">
        <f>HYPERLINK("https://booking.roadsurfer.com/es/rally/pick?pickup_date=2026-03-11&amp;return_date=2026-03-18&amp;currency=EUR&amp;startStation=60&amp;endStation=2",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Augsburgo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Camper Castle</t>
        </is>
      </c>
      <c r="H583">
        <f>HYPERLINK("https://booking.roadsurfer.com/es/rally/pick?pickup_date=2026-03-12&amp;return_date=2026-03-19&amp;currency=EUR&amp;startStation=60&amp;endStation=108",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2026-03-02</t>
        </is>
      </c>
      <c r="F584" t="inlineStr">
        <is>
          <t>2026-03-09</t>
        </is>
      </c>
      <c r="G584" t="inlineStr">
        <is>
          <t xml:space="preserve"> - Road House</t>
        </is>
      </c>
      <c r="H584">
        <f>HYPERLINK("https://booking.roadsurfer.com/es/rally/pick?pickup_date=2026-03-02&amp;return_date=2026-03-09&amp;currency=EUR&amp;startStation=60&amp;endStation=77",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Núremberg</t>
        </is>
      </c>
      <c r="E585" t="inlineStr">
        <is>
          <t>2026-03-12</t>
        </is>
      </c>
      <c r="F585" t="inlineStr">
        <is>
          <t>2026-03-19</t>
        </is>
      </c>
      <c r="G585" t="inlineStr">
        <is>
          <t xml:space="preserve"> - Beach Hostel</t>
        </is>
      </c>
      <c r="H585">
        <f>HYPERLINK("https://booking.roadsurfer.com/es/rally/pick?pickup_date=2026-03-12&amp;return_date=2026-03-19&amp;currency=EUR&amp;startStation=60&amp;endStation=11",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2026-05-11</t>
        </is>
      </c>
      <c r="F586" t="inlineStr">
        <is>
          <t>2026-05-18</t>
        </is>
      </c>
      <c r="G586" t="inlineStr">
        <is>
          <t xml:space="preserve"> - ROAD HOUSE</t>
        </is>
      </c>
      <c r="H586">
        <f>HYPERLINK("https://booking.roadsurfer.com/es/rally/pick?pickup_date=2026-05-11&amp;return_date=2026-05-18&amp;currency=EUR&amp;startStation=60&amp;endStation=59",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Suecia</t>
        </is>
      </c>
      <c r="D587" t="inlineStr">
        <is>
          <t>Estocolmo</t>
        </is>
      </c>
      <c r="E587" t="inlineStr">
        <is>
          <t>2026-03-05</t>
        </is>
      </c>
      <c r="F587" t="inlineStr">
        <is>
          <t>2026-03-12</t>
        </is>
      </c>
      <c r="G587" t="inlineStr">
        <is>
          <t xml:space="preserve"> - Couple Cottage</t>
        </is>
      </c>
      <c r="H587">
        <f>HYPERLINK("https://booking.roadsurfer.com/es/rally/pick?pickup_date=2026-03-05&amp;return_date=2026-03-12&amp;currency=EUR&amp;startStation=60&amp;endStation=59",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Hannover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Surfer Suite</t>
        </is>
      </c>
      <c r="H588">
        <f>HYPERLINK("https://booking.roadsurfer.com/es/rally/pick?pickup_date=2026-03-09&amp;return_date=2026-03-16&amp;currency=EUR&amp;startStation=60&amp;endStation=7",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Maguncia</t>
        </is>
      </c>
      <c r="E589" t="inlineStr">
        <is>
          <t>2026-03-23</t>
        </is>
      </c>
      <c r="F589" t="inlineStr">
        <is>
          <t>2026-03-30</t>
        </is>
      </c>
      <c r="G589" t="inlineStr">
        <is>
          <t xml:space="preserve"> - Surfer Suite</t>
        </is>
      </c>
      <c r="H589">
        <f>HYPERLINK("https://booking.roadsurfer.com/es/rally/pick?pickup_date=2026-03-23&amp;return_date=2026-03-30&amp;currency=EUR&amp;startStation=60&amp;endStation=54",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2026-03-25</t>
        </is>
      </c>
      <c r="F590" t="inlineStr">
        <is>
          <t>2026-04-01</t>
        </is>
      </c>
      <c r="G590" t="inlineStr">
        <is>
          <t xml:space="preserve"> - SURFER SUITE</t>
        </is>
      </c>
      <c r="H590">
        <f>HYPERLINK("https://booking.roadsurfer.com/es/rally/pick?pickup_date=2026-03-25&amp;return_date=2026-04-01&amp;currency=EUR&amp;startStation=60&amp;endStation=56",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2026-02-27</t>
        </is>
      </c>
      <c r="F591" t="inlineStr">
        <is>
          <t>2026-03-06</t>
        </is>
      </c>
      <c r="G591" t="inlineStr">
        <is>
          <t xml:space="preserve"> - Surfer Suite</t>
        </is>
      </c>
      <c r="H591">
        <f>HYPERLINK("https://booking.roadsurfer.com/es/rally/pick?pickup_date=2026-02-27&amp;return_date=2026-03-06&amp;currency=EUR&amp;startStation=22&amp;endStation=77",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2026-03-27</t>
        </is>
      </c>
      <c r="F592" t="inlineStr">
        <is>
          <t>2026-04-03</t>
        </is>
      </c>
      <c r="G592" t="inlineStr">
        <is>
          <t xml:space="preserve"> - No hay coche</t>
        </is>
      </c>
      <c r="H592">
        <f>HYPERLINK("https://booking.roadsurfer.com/es/rally/pick?pickup_date=2026-03-27&amp;return_date=2026-04-03&amp;currency=EUR&amp;startStation=22&amp;endStation=77",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Suecia</t>
        </is>
      </c>
      <c r="D593" t="inlineStr">
        <is>
          <t>Gotemburgo</t>
        </is>
      </c>
      <c r="E593" t="inlineStr">
        <is>
          <t>2026-03-31</t>
        </is>
      </c>
      <c r="F593" t="inlineStr">
        <is>
          <t>2026-04-07</t>
        </is>
      </c>
      <c r="G593" t="inlineStr">
        <is>
          <t xml:space="preserve"> - Surfer Suite</t>
        </is>
      </c>
      <c r="H593">
        <f>HYPERLINK("https://booking.roadsurfer.com/es/rally/pick?pickup_date=2026-03-31&amp;return_date=2026-04-07&amp;currency=EUR&amp;startStation=22&amp;endStation=77",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Suecia</t>
        </is>
      </c>
      <c r="D594" t="inlineStr">
        <is>
          <t>Gotemburgo</t>
        </is>
      </c>
      <c r="E594" t="inlineStr">
        <is>
          <t>2026-04-02</t>
        </is>
      </c>
      <c r="F594" t="inlineStr">
        <is>
          <t>2026-04-09</t>
        </is>
      </c>
      <c r="G594" t="inlineStr">
        <is>
          <t xml:space="preserve"> - Couple Cottage</t>
        </is>
      </c>
      <c r="H594">
        <f>HYPERLINK("https://booking.roadsurfer.com/es/rally/pick?pickup_date=2026-04-02&amp;return_date=2026-04-09&amp;currency=EUR&amp;startStation=22&amp;endStation=77",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París Sur (Orly)</t>
        </is>
      </c>
      <c r="E595" t="inlineStr">
        <is>
          <t>2026-03-04</t>
        </is>
      </c>
      <c r="F595" t="inlineStr">
        <is>
          <t>2026-03-11</t>
        </is>
      </c>
      <c r="G595" t="inlineStr">
        <is>
          <t xml:space="preserve"> - Surfer Suite</t>
        </is>
      </c>
      <c r="H595">
        <f>HYPERLINK("https://booking.roadsurfer.com/es/rally/pick?pickup_date=2026-03-04&amp;return_date=2026-03-11&amp;currency=EUR&amp;startStation=22&amp;endStation=12",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París Sur (Orly)</t>
        </is>
      </c>
      <c r="E596" t="inlineStr">
        <is>
          <t>2026-03-28</t>
        </is>
      </c>
      <c r="F596" t="inlineStr">
        <is>
          <t>2026-04-04</t>
        </is>
      </c>
      <c r="G596" t="inlineStr">
        <is>
          <t xml:space="preserve"> - No hay coche</t>
        </is>
      </c>
      <c r="H596">
        <f>HYPERLINK("https://booking.roadsurfer.com/es/rally/pick?pickup_date=2026-03-28&amp;return_date=2026-04-04&amp;currency=EUR&amp;startStation=22&amp;endStation=12",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Aix-Marsella</t>
        </is>
      </c>
      <c r="E597" t="inlineStr">
        <is>
          <t>2026-03-06</t>
        </is>
      </c>
      <c r="F597" t="inlineStr">
        <is>
          <t>2026-03-13</t>
        </is>
      </c>
      <c r="G597" t="inlineStr">
        <is>
          <t xml:space="preserve"> - Surfer Suite</t>
        </is>
      </c>
      <c r="H597">
        <f>HYPERLINK("https://booking.roadsurfer.com/es/rally/pick?pickup_date=2026-03-06&amp;return_date=2026-03-13&amp;currency=EUR&amp;startStation=22&amp;endStation=16",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Aix-Marsella</t>
        </is>
      </c>
      <c r="E598" t="inlineStr">
        <is>
          <t>2026-03-23</t>
        </is>
      </c>
      <c r="F598" t="inlineStr">
        <is>
          <t>2026-03-30</t>
        </is>
      </c>
      <c r="G598" t="inlineStr">
        <is>
          <t xml:space="preserve"> - Surfer Suite</t>
        </is>
      </c>
      <c r="H598">
        <f>HYPERLINK("https://booking.roadsurfer.com/es/rally/pick?pickup_date=2026-03-23&amp;return_date=2026-03-30&amp;currency=EUR&amp;startStation=22&amp;endStation=16",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Bérgamo</t>
        </is>
      </c>
      <c r="E599" t="inlineStr">
        <is>
          <t>2026-03-06</t>
        </is>
      </c>
      <c r="F599" t="inlineStr">
        <is>
          <t>2026-03-13</t>
        </is>
      </c>
      <c r="G599" t="inlineStr">
        <is>
          <t xml:space="preserve"> - Surfer Suite</t>
        </is>
      </c>
      <c r="H599">
        <f>HYPERLINK("https://booking.roadsurfer.com/es/rally/pick?pickup_date=2026-03-06&amp;return_date=2026-03-13&amp;currency=EUR&amp;startStation=22&amp;endStation=94",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Estrasburgo</t>
        </is>
      </c>
      <c r="E600" t="inlineStr">
        <is>
          <t>2026-03-06</t>
        </is>
      </c>
      <c r="F600" t="inlineStr">
        <is>
          <t>2026-03-13</t>
        </is>
      </c>
      <c r="G600" t="inlineStr">
        <is>
          <t xml:space="preserve"> - Surfer Suite</t>
        </is>
      </c>
      <c r="H600">
        <f>HYPERLINK("https://booking.roadsurfer.com/es/rally/pick?pickup_date=2026-03-06&amp;return_date=2026-03-13&amp;currency=EUR&amp;startStation=22&amp;endStation=49",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Aeropuerto CDG</t>
        </is>
      </c>
      <c r="E601" t="inlineStr">
        <is>
          <t>2026-03-03</t>
        </is>
      </c>
      <c r="F601" t="inlineStr">
        <is>
          <t>2026-03-13</t>
        </is>
      </c>
      <c r="G601" t="inlineStr">
        <is>
          <t xml:space="preserve"> - Surfer Suite</t>
        </is>
      </c>
      <c r="H601">
        <f>HYPERLINK("https://booking.roadsurfer.com/es/rally/pick?pickup_date=2026-03-03&amp;return_date=2026-03-13&amp;currency=EUR&amp;startStation=22&amp;endStation=48",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París Aeropuerto CDG</t>
        </is>
      </c>
      <c r="E602" t="inlineStr">
        <is>
          <t>2026-03-02</t>
        </is>
      </c>
      <c r="F602" t="inlineStr">
        <is>
          <t>2026-03-12</t>
        </is>
      </c>
      <c r="G602" t="inlineStr">
        <is>
          <t xml:space="preserve"> - Family Finca</t>
        </is>
      </c>
      <c r="H602">
        <f>HYPERLINK("https://booking.roadsurfer.com/es/rally/pick?pickup_date=2026-03-02&amp;return_date=2026-03-12&amp;currency=EUR&amp;startStation=22&amp;endStation=48",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Ginebra-Pays de Gex (Francia)</t>
        </is>
      </c>
      <c r="E603" t="inlineStr">
        <is>
          <t>2026-03-05</t>
        </is>
      </c>
      <c r="F603" t="inlineStr">
        <is>
          <t>2026-03-12</t>
        </is>
      </c>
      <c r="G603" t="inlineStr">
        <is>
          <t xml:space="preserve"> - Surfer Suite</t>
        </is>
      </c>
      <c r="H603">
        <f>HYPERLINK("https://booking.roadsurfer.com/es/rally/pick?pickup_date=2026-03-05&amp;return_date=2026-03-12&amp;currency=EUR&amp;startStation=22&amp;endStation=29",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Ginebra-Pays de Gex (Francia)</t>
        </is>
      </c>
      <c r="E604" t="inlineStr">
        <is>
          <t>2026-03-23</t>
        </is>
      </c>
      <c r="F604" t="inlineStr">
        <is>
          <t>2026-03-30</t>
        </is>
      </c>
      <c r="G604" t="inlineStr">
        <is>
          <t xml:space="preserve"> - Family Finca</t>
        </is>
      </c>
      <c r="H604">
        <f>HYPERLINK("https://booking.roadsurfer.com/es/rally/pick?pickup_date=2026-03-23&amp;return_date=2026-03-30&amp;currency=EUR&amp;startStation=22&amp;endStation=29",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Ginebra-Pays de Gex (Francia)</t>
        </is>
      </c>
      <c r="E605" t="inlineStr">
        <is>
          <t>2026-04-07</t>
        </is>
      </c>
      <c r="F605" t="inlineStr">
        <is>
          <t>2026-04-14</t>
        </is>
      </c>
      <c r="G605" t="inlineStr">
        <is>
          <t xml:space="preserve"> - Family Finca</t>
        </is>
      </c>
      <c r="H605">
        <f>HYPERLINK("https://booking.roadsurfer.com/es/rally/pick?pickup_date=2026-04-07&amp;return_date=2026-04-14&amp;currency=EUR&amp;startStation=22&amp;endStation=29",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Ginebra-Pays de Gex (Francia)</t>
        </is>
      </c>
      <c r="E606" t="inlineStr">
        <is>
          <t>2026-02-27</t>
        </is>
      </c>
      <c r="F606" t="inlineStr">
        <is>
          <t>2026-03-06</t>
        </is>
      </c>
      <c r="G606" t="inlineStr">
        <is>
          <t xml:space="preserve"> - SURFER SUITE</t>
        </is>
      </c>
      <c r="H606">
        <f>HYPERLINK("https://booking.roadsurfer.com/es/rally/pick?pickup_date=2026-02-27&amp;return_date=2026-03-06&amp;currency=EUR&amp;startStation=22&amp;endStation=29",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Milán</t>
        </is>
      </c>
      <c r="E607" t="inlineStr">
        <is>
          <t>2026-03-02</t>
        </is>
      </c>
      <c r="F607" t="inlineStr">
        <is>
          <t>2026-03-09</t>
        </is>
      </c>
      <c r="G607" t="inlineStr">
        <is>
          <t xml:space="preserve"> - Beach Hostel</t>
        </is>
      </c>
      <c r="H607">
        <f>HYPERLINK("https://booking.roadsurfer.com/es/rally/pick?pickup_date=2026-03-02&amp;return_date=2026-03-09&amp;currency=EUR&amp;startStation=22&amp;endStation=34",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Milán</t>
        </is>
      </c>
      <c r="E608" t="inlineStr">
        <is>
          <t>2026-03-19</t>
        </is>
      </c>
      <c r="F608" t="inlineStr">
        <is>
          <t>2026-03-26</t>
        </is>
      </c>
      <c r="G608" t="inlineStr">
        <is>
          <t xml:space="preserve"> - Surfer Suite</t>
        </is>
      </c>
      <c r="H608">
        <f>HYPERLINK("https://booking.roadsurfer.com/es/rally/pick?pickup_date=2026-03-19&amp;return_date=2026-03-26&amp;currency=EUR&amp;startStation=22&amp;endStation=34",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2026-03-20</t>
        </is>
      </c>
      <c r="F609" t="inlineStr">
        <is>
          <t>2026-03-27</t>
        </is>
      </c>
      <c r="G609" t="inlineStr">
        <is>
          <t xml:space="preserve"> - Road House</t>
        </is>
      </c>
      <c r="H609">
        <f>HYPERLINK("https://booking.roadsurfer.com/es/rally/pick?pickup_date=2026-03-20&amp;return_date=2026-03-27&amp;currency=EUR&amp;startStation=22&amp;endStation=59",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2026-03-23</t>
        </is>
      </c>
      <c r="F610" t="inlineStr">
        <is>
          <t>2026-03-30</t>
        </is>
      </c>
      <c r="G610" t="inlineStr">
        <is>
          <t xml:space="preserve"> - Surfer Suite</t>
        </is>
      </c>
      <c r="H610">
        <f>HYPERLINK("https://booking.roadsurfer.com/es/rally/pick?pickup_date=2026-03-23&amp;return_date=2026-03-30&amp;currency=EUR&amp;startStation=22&amp;endStation=59",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2026-03-19</t>
        </is>
      </c>
      <c r="F611" t="inlineStr">
        <is>
          <t>2026-03-26</t>
        </is>
      </c>
      <c r="G611" t="inlineStr">
        <is>
          <t xml:space="preserve"> - Road House</t>
        </is>
      </c>
      <c r="H611">
        <f>HYPERLINK("https://booking.roadsurfer.com/es/rally/pick?pickup_date=2026-03-19&amp;return_date=2026-03-26&amp;currency=EUR&amp;startStation=22&amp;endStation=59",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2026-04-02</t>
        </is>
      </c>
      <c r="F612" t="inlineStr">
        <is>
          <t>2026-04-09</t>
        </is>
      </c>
      <c r="G612" t="inlineStr">
        <is>
          <t xml:space="preserve"> - Family Finca</t>
        </is>
      </c>
      <c r="H612">
        <f>HYPERLINK("https://booking.roadsurfer.com/es/rally/pick?pickup_date=2026-04-02&amp;return_date=2026-04-09&amp;currency=EUR&amp;startStation=22&amp;endStation=59",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2026-03-30</t>
        </is>
      </c>
      <c r="F613" t="inlineStr">
        <is>
          <t>2026-04-06</t>
        </is>
      </c>
      <c r="G613" t="inlineStr">
        <is>
          <t xml:space="preserve"> - No hay coche</t>
        </is>
      </c>
      <c r="H613">
        <f>HYPERLINK("https://booking.roadsurfer.com/es/rally/pick?pickup_date=2026-03-30&amp;return_date=2026-04-06&amp;currency=EUR&amp;startStation=22&amp;endStation=59",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2026-03-02</t>
        </is>
      </c>
      <c r="F614" t="inlineStr">
        <is>
          <t>2026-03-09</t>
        </is>
      </c>
      <c r="G614" t="inlineStr">
        <is>
          <t xml:space="preserve"> - Beach Hostel - Family Finca</t>
        </is>
      </c>
      <c r="H614">
        <f>HYPERLINK("https://booking.roadsurfer.com/es/rally/pick?pickup_date=2026-03-02&amp;return_date=2026-03-09&amp;currency=EUR&amp;startStation=22&amp;endStation=20",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Roma Aeropuerto Fiumicino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Beach Hostel</t>
        </is>
      </c>
      <c r="H615">
        <f>HYPERLINK("https://booking.roadsurfer.com/es/rally/pick?pickup_date=2026-03-05&amp;return_date=2026-03-12&amp;currency=EUR&amp;startStation=22&amp;endStation=35",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España</t>
        </is>
      </c>
      <c r="D616" t="inlineStr">
        <is>
          <t>Sevilla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Beach Hostel</t>
        </is>
      </c>
      <c r="H616">
        <f>HYPERLINK("https://booking.roadsurfer.com/es/rally/pick?pickup_date=2026-03-09&amp;return_date=2026-03-16&amp;currency=EUR&amp;startStation=22&amp;endStation=39",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Toulouse</t>
        </is>
      </c>
      <c r="E617" t="inlineStr">
        <is>
          <t>2026-03-20</t>
        </is>
      </c>
      <c r="F617" t="inlineStr">
        <is>
          <t>2026-03-27</t>
        </is>
      </c>
      <c r="G617" t="inlineStr">
        <is>
          <t xml:space="preserve"> - Family Finca</t>
        </is>
      </c>
      <c r="H617">
        <f>HYPERLINK("https://booking.roadsurfer.com/es/rally/pick?pickup_date=2026-03-20&amp;return_date=2026-03-27&amp;currency=EUR&amp;startStation=22&amp;endStation=30",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Toulouse</t>
        </is>
      </c>
      <c r="E618" t="inlineStr">
        <is>
          <t>2026-03-30</t>
        </is>
      </c>
      <c r="F618" t="inlineStr">
        <is>
          <t>2026-04-06</t>
        </is>
      </c>
      <c r="G618" t="inlineStr">
        <is>
          <t xml:space="preserve"> - No hay coche</t>
        </is>
      </c>
      <c r="H618">
        <f>HYPERLINK("https://booking.roadsurfer.com/es/rally/pick?pickup_date=2026-03-30&amp;return_date=2026-04-06&amp;currency=EUR&amp;startStation=22&amp;endStation=30",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España</t>
        </is>
      </c>
      <c r="D619" t="inlineStr">
        <is>
          <t>Bilbao</t>
        </is>
      </c>
      <c r="E619" t="inlineStr">
        <is>
          <t>2026-03-02</t>
        </is>
      </c>
      <c r="F619" t="inlineStr">
        <is>
          <t>2026-03-09</t>
        </is>
      </c>
      <c r="G619" t="inlineStr">
        <is>
          <t xml:space="preserve"> - CAMPER CABIN</t>
        </is>
      </c>
      <c r="H619">
        <f>HYPERLINK("https://booking.roadsurfer.com/es/rally/pick?pickup_date=2026-03-02&amp;return_date=2026-03-09&amp;currency=EUR&amp;startStation=22&amp;endStation=40",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2026-03-20</t>
        </is>
      </c>
      <c r="F620" t="inlineStr">
        <is>
          <t>2026-03-27</t>
        </is>
      </c>
      <c r="G620" t="inlineStr">
        <is>
          <t xml:space="preserve"> - Road House</t>
        </is>
      </c>
      <c r="H620">
        <f>HYPERLINK("https://booking.roadsurfer.com/es/rally/pick?pickup_date=2026-03-20&amp;return_date=2026-03-27&amp;currency=EUR&amp;startStation=22&amp;endStation=32",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Turín</t>
        </is>
      </c>
      <c r="E621" t="inlineStr">
        <is>
          <t>2026-03-06</t>
        </is>
      </c>
      <c r="F621" t="inlineStr">
        <is>
          <t>2026-03-13</t>
        </is>
      </c>
      <c r="G621" t="inlineStr">
        <is>
          <t xml:space="preserve"> - Family Finca</t>
        </is>
      </c>
      <c r="H621">
        <f>HYPERLINK("https://booking.roadsurfer.com/es/rally/pick?pickup_date=2026-03-06&amp;return_date=2026-03-13&amp;currency=EUR&amp;startStation=22&amp;endStation=58",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Turín</t>
        </is>
      </c>
      <c r="E622" t="inlineStr">
        <is>
          <t>2026-03-05</t>
        </is>
      </c>
      <c r="F622" t="inlineStr">
        <is>
          <t>2026-03-12</t>
        </is>
      </c>
      <c r="G622" t="inlineStr">
        <is>
          <t xml:space="preserve"> - Family Finca</t>
        </is>
      </c>
      <c r="H622">
        <f>HYPERLINK("https://booking.roadsurfer.com/es/rally/pick?pickup_date=2026-03-05&amp;return_date=2026-03-12&amp;currency=EUR&amp;startStation=22&amp;endStation=58",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HYPERLINK("https://booking.roadsurfer.com/es/rally/pick?pickup_date=2026-03-16&amp;return_date=2026-03-23&amp;currency=EUR&amp;startStation=22&amp;endStation=15",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Malmö</t>
        </is>
      </c>
      <c r="E624" t="inlineStr">
        <is>
          <t>2026-03-17</t>
        </is>
      </c>
      <c r="F624" t="inlineStr">
        <is>
          <t>2026-03-24</t>
        </is>
      </c>
      <c r="G624" t="inlineStr">
        <is>
          <t xml:space="preserve"> - Family Finca</t>
        </is>
      </c>
      <c r="H624">
        <f>HYPERLINK("https://booking.roadsurfer.com/es/rally/pick?pickup_date=2026-03-17&amp;return_date=2026-03-24&amp;currency=EUR&amp;startStation=22&amp;endStation=60",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Malmö</t>
        </is>
      </c>
      <c r="E625" t="inlineStr">
        <is>
          <t>2026-03-27</t>
        </is>
      </c>
      <c r="F625" t="inlineStr">
        <is>
          <t>2026-04-03</t>
        </is>
      </c>
      <c r="G625" t="inlineStr">
        <is>
          <t xml:space="preserve"> - No hay coche</t>
        </is>
      </c>
      <c r="H625">
        <f>HYPERLINK("https://booking.roadsurfer.com/es/rally/pick?pickup_date=2026-03-27&amp;return_date=2026-04-03&amp;currency=EUR&amp;startStation=22&amp;endStation=60",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Alemania</t>
        </is>
      </c>
      <c r="D626" t="inlineStr">
        <is>
          <t>Múnich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Family Finca</t>
        </is>
      </c>
      <c r="H626">
        <f>HYPERLINK("https://booking.roadsurfer.com/es/rally/pick?pickup_date=2026-03-23&amp;return_date=2026-03-30&amp;currency=EUR&amp;startStation=22&amp;endStation=1",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Surfer Suite</t>
        </is>
      </c>
      <c r="H627">
        <f>HYPERLINK("https://booking.roadsurfer.com/es/rally/pick?pickup_date=2026-03-09&amp;return_date=2026-03-16&amp;currency=EUR&amp;startStation=34&amp;endStation=52",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Hamburgo</t>
        </is>
      </c>
      <c r="E628" t="inlineStr">
        <is>
          <t>2026-03-14</t>
        </is>
      </c>
      <c r="F628" t="inlineStr">
        <is>
          <t>2026-03-21</t>
        </is>
      </c>
      <c r="G628" t="inlineStr">
        <is>
          <t xml:space="preserve"> - Road House</t>
        </is>
      </c>
      <c r="H628">
        <f>HYPERLINK("https://booking.roadsurfer.com/es/rally/pick?pickup_date=2026-03-14&amp;return_date=2026-03-21&amp;currency=EUR&amp;startStation=34&amp;endStation=3",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Hamburgo</t>
        </is>
      </c>
      <c r="E629" t="inlineStr">
        <is>
          <t>2026-03-16</t>
        </is>
      </c>
      <c r="F629" t="inlineStr">
        <is>
          <t>2026-03-23</t>
        </is>
      </c>
      <c r="G629" t="inlineStr">
        <is>
          <t xml:space="preserve"> - Surfer Suite</t>
        </is>
      </c>
      <c r="H629">
        <f>HYPERLINK("https://booking.roadsurfer.com/es/rally/pick?pickup_date=2026-03-16&amp;return_date=2026-03-23&amp;currency=EUR&amp;startStation=34&amp;endStation=3",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Surfer Suite</t>
        </is>
      </c>
      <c r="H630">
        <f>HYPERLINK("https://booking.roadsurfer.com/es/rally/pick?pickup_date=2026-03-16&amp;return_date=2026-03-23&amp;currency=EUR&amp;startStation=34&amp;endStation=1",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Múnich</t>
        </is>
      </c>
      <c r="E631" t="inlineStr">
        <is>
          <t>2026-04-14</t>
        </is>
      </c>
      <c r="F631" t="inlineStr">
        <is>
          <t>2026-04-21</t>
        </is>
      </c>
      <c r="G631" t="inlineStr">
        <is>
          <t xml:space="preserve"> - Family Finca</t>
        </is>
      </c>
      <c r="H631">
        <f>HYPERLINK("https://booking.roadsurfer.com/es/rally/pick?pickup_date=2026-04-14&amp;return_date=2026-04-21&amp;currency=EUR&amp;startStation=34&amp;endStation=1",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SURFER SUITE</t>
        </is>
      </c>
      <c r="H632">
        <f>HYPERLINK("https://booking.roadsurfer.com/es/rally/pick?pickup_date=2026-03-19&amp;return_date=2026-03-26&amp;currency=EUR&amp;startStation=34&amp;endStation=22",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2026-04-14</t>
        </is>
      </c>
      <c r="F633" t="inlineStr">
        <is>
          <t>2026-04-21</t>
        </is>
      </c>
      <c r="G633" t="inlineStr">
        <is>
          <t xml:space="preserve"> - Family Finca</t>
        </is>
      </c>
      <c r="H633">
        <f>HYPERLINK("https://booking.roadsurfer.com/es/rally/pick?pickup_date=2026-04-14&amp;return_date=2026-04-21&amp;currency=EUR&amp;startStation=34&amp;endStation=22",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Beach Hostel</t>
        </is>
      </c>
      <c r="H634">
        <f>HYPERLINK("https://booking.roadsurfer.com/es/rally/pick?pickup_date=2026-03-09&amp;return_date=2026-03-16&amp;currency=EUR&amp;startStation=34&amp;endStation=22",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Surfer Suite</t>
        </is>
      </c>
      <c r="H635">
        <f>HYPERLINK("https://booking.roadsurfer.com/es/rally/pick?pickup_date=2026-03-10&amp;return_date=2026-03-17&amp;currency=EUR&amp;startStation=34&amp;endStation=22",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2026-03-15</t>
        </is>
      </c>
      <c r="F636" t="inlineStr">
        <is>
          <t>2026-03-22</t>
        </is>
      </c>
      <c r="G636" t="inlineStr">
        <is>
          <t xml:space="preserve"> - No hay coche</t>
        </is>
      </c>
      <c r="H636">
        <f>HYPERLINK("https://booking.roadsurfer.com/es/rally/pick?pickup_date=2026-03-15&amp;return_date=2026-03-22&amp;currency=EUR&amp;startStation=34&amp;endStation=22",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Bielefeld</t>
        </is>
      </c>
      <c r="E637" t="inlineStr">
        <is>
          <t>2026-03-11</t>
        </is>
      </c>
      <c r="F637" t="inlineStr">
        <is>
          <t>2026-03-18</t>
        </is>
      </c>
      <c r="G637" t="inlineStr">
        <is>
          <t xml:space="preserve"> - Family Finca</t>
        </is>
      </c>
      <c r="H637">
        <f>HYPERLINK("https://booking.roadsurfer.com/es/rally/pick?pickup_date=2026-03-11&amp;return_date=2026-03-18&amp;currency=EUR&amp;startStation=34&amp;endStation=91",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Fráncfort</t>
        </is>
      </c>
      <c r="E638" t="inlineStr">
        <is>
          <t>2026-03-13</t>
        </is>
      </c>
      <c r="F638" t="inlineStr">
        <is>
          <t>2026-03-20</t>
        </is>
      </c>
      <c r="G638" t="inlineStr">
        <is>
          <t xml:space="preserve"> - Surfer Suite</t>
        </is>
      </c>
      <c r="H638">
        <f>HYPERLINK("https://booking.roadsurfer.com/es/rally/pick?pickup_date=2026-03-13&amp;return_date=2026-03-20&amp;currency=EUR&amp;startStation=34&amp;endStation=2",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2026-03-06</t>
        </is>
      </c>
      <c r="F639" t="inlineStr">
        <is>
          <t>2026-03-13</t>
        </is>
      </c>
      <c r="G639" t="inlineStr">
        <is>
          <t xml:space="preserve"> - Couple Cottage</t>
        </is>
      </c>
      <c r="H639">
        <f>HYPERLINK("https://booking.roadsurfer.com/es/rally/pick?pickup_date=2026-03-06&amp;return_date=2026-03-13&amp;currency=EUR&amp;startStation=34&amp;endStation=110",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Dresde</t>
        </is>
      </c>
      <c r="E640" t="inlineStr">
        <is>
          <t>2026-03-12</t>
        </is>
      </c>
      <c r="F640" t="inlineStr">
        <is>
          <t>2026-03-19</t>
        </is>
      </c>
      <c r="G640" t="inlineStr">
        <is>
          <t xml:space="preserve"> - Family Finca</t>
        </is>
      </c>
      <c r="H640">
        <f>HYPERLINK("https://booking.roadsurfer.com/es/rally/pick?pickup_date=2026-03-12&amp;return_date=2026-03-19&amp;currency=EUR&amp;startStation=34&amp;endStation=56",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2026-03-14</t>
        </is>
      </c>
      <c r="F641" t="inlineStr">
        <is>
          <t>2026-03-21</t>
        </is>
      </c>
      <c r="G641" t="inlineStr">
        <is>
          <t xml:space="preserve"> - Surfer Suite</t>
        </is>
      </c>
      <c r="H641">
        <f>HYPERLINK("https://booking.roadsurfer.com/es/rally/pick?pickup_date=2026-03-14&amp;return_date=2026-03-21&amp;currency=EUR&amp;startStation=34&amp;endStation=90",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2026-03-20</t>
        </is>
      </c>
      <c r="F642" t="inlineStr">
        <is>
          <t>2026-03-27</t>
        </is>
      </c>
      <c r="G642" t="inlineStr">
        <is>
          <t xml:space="preserve"> - Beach Hostel - Family Finca</t>
        </is>
      </c>
      <c r="H642">
        <f>HYPERLINK("https://booking.roadsurfer.com/es/rally/pick?pickup_date=2026-03-20&amp;return_date=2026-03-27&amp;currency=EUR&amp;startStation=1&amp;endStation=57",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2026-03-03</t>
        </is>
      </c>
      <c r="F643" t="inlineStr">
        <is>
          <t>2026-03-10</t>
        </is>
      </c>
      <c r="G643" t="inlineStr">
        <is>
          <t xml:space="preserve"> - Surfer Suite</t>
        </is>
      </c>
      <c r="H643">
        <f>HYPERLINK("https://booking.roadsurfer.com/es/rally/pick?pickup_date=2026-03-03&amp;return_date=2026-03-10&amp;currency=EUR&amp;startStation=1&amp;endStation=57",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2026-03-11</t>
        </is>
      </c>
      <c r="F644" t="inlineStr">
        <is>
          <t>2026-03-18</t>
        </is>
      </c>
      <c r="G644" t="inlineStr">
        <is>
          <t xml:space="preserve"> - Beach Hostel</t>
        </is>
      </c>
      <c r="H644">
        <f>HYPERLINK("https://booking.roadsurfer.com/es/rally/pick?pickup_date=2026-03-11&amp;return_date=2026-03-18&amp;currency=EUR&amp;startStation=1&amp;endStation=57",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2026-03-06</t>
        </is>
      </c>
      <c r="F645" t="inlineStr">
        <is>
          <t>2026-03-13</t>
        </is>
      </c>
      <c r="G645" t="inlineStr">
        <is>
          <t xml:space="preserve"> - Beach Hostel</t>
        </is>
      </c>
      <c r="H645">
        <f>HYPERLINK("https://booking.roadsurfer.com/es/rally/pick?pickup_date=2026-03-06&amp;return_date=2026-03-13&amp;currency=EUR&amp;startStation=1&amp;endStation=57",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Family Finca - FAMILY FINCA</t>
        </is>
      </c>
      <c r="H646">
        <f>HYPERLINK("https://booking.roadsurfer.com/es/rally/pick?pickup_date=2026-03-16&amp;return_date=2026-03-23&amp;currency=EUR&amp;startStation=1&amp;endStation=57",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Florencia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Surfer Suite</t>
        </is>
      </c>
      <c r="H647">
        <f>HYPERLINK("https://booking.roadsurfer.com/es/rally/pick?pickup_date=2026-03-02&amp;return_date=2026-03-09&amp;currency=EUR&amp;startStation=1&amp;endStation=80",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Surfer Suite</t>
        </is>
      </c>
      <c r="H648">
        <f>HYPERLINK("https://booking.roadsurfer.com/es/rally/pick?pickup_date=2026-03-12&amp;return_date=2026-03-19&amp;currency=EUR&amp;startStation=1&amp;endStation=32",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Ámsterdam</t>
        </is>
      </c>
      <c r="E649" t="inlineStr">
        <is>
          <t>2026-03-14</t>
        </is>
      </c>
      <c r="F649" t="inlineStr">
        <is>
          <t>2026-03-21</t>
        </is>
      </c>
      <c r="G649" t="inlineStr">
        <is>
          <t xml:space="preserve"> - Surfer Suite</t>
        </is>
      </c>
      <c r="H649">
        <f>HYPERLINK("https://booking.roadsurfer.com/es/rally/pick?pickup_date=2026-03-14&amp;return_date=2026-03-21&amp;currency=EUR&amp;startStation=1&amp;endStation=32",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2026-03-16</t>
        </is>
      </c>
      <c r="F650" t="inlineStr">
        <is>
          <t>2026-03-23</t>
        </is>
      </c>
      <c r="G650" t="inlineStr">
        <is>
          <t xml:space="preserve"> - Road House</t>
        </is>
      </c>
      <c r="H650">
        <f>HYPERLINK("https://booking.roadsurfer.com/es/rally/pick?pickup_date=2026-03-16&amp;return_date=2026-03-23&amp;currency=EUR&amp;startStation=1&amp;endStation=32",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2026-03-17</t>
        </is>
      </c>
      <c r="F651" t="inlineStr">
        <is>
          <t>2026-03-24</t>
        </is>
      </c>
      <c r="G651" t="inlineStr">
        <is>
          <t xml:space="preserve"> - Camper Cabin</t>
        </is>
      </c>
      <c r="H651">
        <f>HYPERLINK("https://booking.roadsurfer.com/es/rally/pick?pickup_date=2026-03-17&amp;return_date=2026-03-24&amp;currency=EUR&amp;startStation=1&amp;endStation=32",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Ámsterdam</t>
        </is>
      </c>
      <c r="E652" t="inlineStr">
        <is>
          <t>2026-03-19</t>
        </is>
      </c>
      <c r="F652" t="inlineStr">
        <is>
          <t>2026-03-26</t>
        </is>
      </c>
      <c r="G652" t="inlineStr">
        <is>
          <t xml:space="preserve"> - Camper Castle</t>
        </is>
      </c>
      <c r="H652">
        <f>HYPERLINK("https://booking.roadsurfer.com/es/rally/pick?pickup_date=2026-03-19&amp;return_date=2026-03-26&amp;currency=EUR&amp;startStation=1&amp;endStation=32",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Róterdam</t>
        </is>
      </c>
      <c r="E653" t="inlineStr">
        <is>
          <t>2026-03-06</t>
        </is>
      </c>
      <c r="F653" t="inlineStr">
        <is>
          <t>2026-03-13</t>
        </is>
      </c>
      <c r="G653" t="inlineStr">
        <is>
          <t xml:space="preserve"> - Surfer Suite</t>
        </is>
      </c>
      <c r="H653">
        <f>HYPERLINK("https://booking.roadsurfer.com/es/rally/pick?pickup_date=2026-03-06&amp;return_date=2026-03-13&amp;currency=EUR&amp;startStation=1&amp;endStation=33",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Países Bajos</t>
        </is>
      </c>
      <c r="D654" t="inlineStr">
        <is>
          <t>Róterdam</t>
        </is>
      </c>
      <c r="E654" t="inlineStr">
        <is>
          <t>2026-03-23</t>
        </is>
      </c>
      <c r="F654" t="inlineStr">
        <is>
          <t>2026-03-30</t>
        </is>
      </c>
      <c r="G654" t="inlineStr">
        <is>
          <t xml:space="preserve"> - SURFER SUITE</t>
        </is>
      </c>
      <c r="H654">
        <f>HYPERLINK("https://booking.roadsurfer.com/es/rally/pick?pickup_date=2026-03-23&amp;return_date=2026-03-30&amp;currency=EUR&amp;startStation=1&amp;endStation=33",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Aix-Marsella</t>
        </is>
      </c>
      <c r="E655" t="inlineStr">
        <is>
          <t>2026-03-04</t>
        </is>
      </c>
      <c r="F655" t="inlineStr">
        <is>
          <t>2026-03-11</t>
        </is>
      </c>
      <c r="G655" t="inlineStr">
        <is>
          <t xml:space="preserve"> - Surfer Suite</t>
        </is>
      </c>
      <c r="H655">
        <f>HYPERLINK("https://booking.roadsurfer.com/es/rally/pick?pickup_date=2026-03-04&amp;return_date=2026-03-11&amp;currency=EUR&amp;startStation=1&amp;endStation=16",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Aix-Marsella</t>
        </is>
      </c>
      <c r="E656" t="inlineStr">
        <is>
          <t>2026-03-21</t>
        </is>
      </c>
      <c r="F656" t="inlineStr">
        <is>
          <t>2026-03-28</t>
        </is>
      </c>
      <c r="G656" t="inlineStr">
        <is>
          <t xml:space="preserve"> - Camper Castle</t>
        </is>
      </c>
      <c r="H656">
        <f>HYPERLINK("https://booking.roadsurfer.com/es/rally/pick?pickup_date=2026-03-21&amp;return_date=2026-03-28&amp;currency=EUR&amp;startStation=1&amp;endStation=16",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Austria</t>
        </is>
      </c>
      <c r="D657" t="inlineStr">
        <is>
          <t>Viena</t>
        </is>
      </c>
      <c r="E657" t="inlineStr">
        <is>
          <t>2026-03-07</t>
        </is>
      </c>
      <c r="F657" t="inlineStr">
        <is>
          <t>2026-03-14</t>
        </is>
      </c>
      <c r="G657" t="inlineStr">
        <is>
          <t xml:space="preserve"> - Surfer Suite</t>
        </is>
      </c>
      <c r="H657">
        <f>HYPERLINK("https://booking.roadsurfer.com/es/rally/pick?pickup_date=2026-03-07&amp;return_date=2026-03-14&amp;currency=EUR&amp;startStation=1&amp;endStation=36",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2026-03-21</t>
        </is>
      </c>
      <c r="F658" t="inlineStr">
        <is>
          <t>2026-03-28</t>
        </is>
      </c>
      <c r="G658" t="inlineStr">
        <is>
          <t xml:space="preserve"> - Surfer Suite</t>
        </is>
      </c>
      <c r="H658">
        <f>HYPERLINK("https://booking.roadsurfer.com/es/rally/pick?pickup_date=2026-03-21&amp;return_date=2026-03-28&amp;currency=EUR&amp;startStation=1&amp;endStation=36",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2026-03-13</t>
        </is>
      </c>
      <c r="F659" t="inlineStr">
        <is>
          <t>2026-03-20</t>
        </is>
      </c>
      <c r="G659" t="inlineStr">
        <is>
          <t xml:space="preserve"> - Family Finca</t>
        </is>
      </c>
      <c r="H659">
        <f>HYPERLINK("https://booking.roadsurfer.com/es/rally/pick?pickup_date=2026-03-13&amp;return_date=2026-03-20&amp;currency=EUR&amp;startStation=1&amp;endStation=36",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Viena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Surfer Suite</t>
        </is>
      </c>
      <c r="H660">
        <f>HYPERLINK("https://booking.roadsurfer.com/es/rally/pick?pickup_date=2026-03-12&amp;return_date=2026-03-19&amp;currency=EUR&amp;startStation=1&amp;endStation=36",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Viena</t>
        </is>
      </c>
      <c r="E661" t="inlineStr">
        <is>
          <t>2026-03-16</t>
        </is>
      </c>
      <c r="F661" t="inlineStr">
        <is>
          <t>2026-03-23</t>
        </is>
      </c>
      <c r="G661" t="inlineStr">
        <is>
          <t xml:space="preserve"> - Road House</t>
        </is>
      </c>
      <c r="H661">
        <f>HYPERLINK("https://booking.roadsurfer.com/es/rally/pick?pickup_date=2026-03-16&amp;return_date=2026-03-23&amp;currency=EUR&amp;startStation=1&amp;endStation=36",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Viena</t>
        </is>
      </c>
      <c r="E662" t="inlineStr">
        <is>
          <t>2026-03-09</t>
        </is>
      </c>
      <c r="F662" t="inlineStr">
        <is>
          <t>2026-03-16</t>
        </is>
      </c>
      <c r="G662" t="inlineStr">
        <is>
          <t xml:space="preserve"> - Surfer Suite</t>
        </is>
      </c>
      <c r="H662">
        <f>HYPERLINK("https://booking.roadsurfer.com/es/rally/pick?pickup_date=2026-03-09&amp;return_date=2026-03-16&amp;currency=EUR&amp;startStation=1&amp;endStation=36",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Viena</t>
        </is>
      </c>
      <c r="E663" t="inlineStr">
        <is>
          <t>2026-03-11</t>
        </is>
      </c>
      <c r="F663" t="inlineStr">
        <is>
          <t>2026-03-18</t>
        </is>
      </c>
      <c r="G663" t="inlineStr">
        <is>
          <t xml:space="preserve"> - Surfer Suite</t>
        </is>
      </c>
      <c r="H663">
        <f>HYPERLINK("https://booking.roadsurfer.com/es/rally/pick?pickup_date=2026-03-11&amp;return_date=2026-03-18&amp;currency=EUR&amp;startStation=1&amp;endStation=36",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Milán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Surfer Suite</t>
        </is>
      </c>
      <c r="H664">
        <f>HYPERLINK("https://booking.roadsurfer.com/es/rally/pick?pickup_date=2026-03-12&amp;return_date=2026-03-19&amp;currency=EUR&amp;startStation=1&amp;endStation=34",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2026-03-14</t>
        </is>
      </c>
      <c r="F665" t="inlineStr">
        <is>
          <t>2026-03-21</t>
        </is>
      </c>
      <c r="G665" t="inlineStr">
        <is>
          <t xml:space="preserve"> - Surfer Suite</t>
        </is>
      </c>
      <c r="H665">
        <f>HYPERLINK("https://booking.roadsurfer.com/es/rally/pick?pickup_date=2026-03-14&amp;return_date=2026-03-21&amp;currency=EUR&amp;startStation=1&amp;endStation=34",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Milán</t>
        </is>
      </c>
      <c r="E666" t="inlineStr">
        <is>
          <t>2026-03-16</t>
        </is>
      </c>
      <c r="F666" t="inlineStr">
        <is>
          <t>2026-03-23</t>
        </is>
      </c>
      <c r="G666" t="inlineStr">
        <is>
          <t xml:space="preserve"> - BEACH HOSTEL</t>
        </is>
      </c>
      <c r="H666">
        <f>HYPERLINK("https://booking.roadsurfer.com/es/rally/pick?pickup_date=2026-03-16&amp;return_date=2026-03-23&amp;currency=EUR&amp;startStation=1&amp;endStation=34",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Toulouse</t>
        </is>
      </c>
      <c r="E667" t="inlineStr">
        <is>
          <t>2026-03-20</t>
        </is>
      </c>
      <c r="F667" t="inlineStr">
        <is>
          <t>2026-03-27</t>
        </is>
      </c>
      <c r="G667" t="inlineStr">
        <is>
          <t xml:space="preserve"> - Surfer Suite</t>
        </is>
      </c>
      <c r="H667">
        <f>HYPERLINK("https://booking.roadsurfer.com/es/rally/pick?pickup_date=2026-03-20&amp;return_date=2026-03-27&amp;currency=EUR&amp;startStation=1&amp;endStation=30",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Toulouse</t>
        </is>
      </c>
      <c r="E668" t="inlineStr">
        <is>
          <t>2026-03-16</t>
        </is>
      </c>
      <c r="F668" t="inlineStr">
        <is>
          <t>2026-03-23</t>
        </is>
      </c>
      <c r="G668" t="inlineStr">
        <is>
          <t xml:space="preserve"> - Surfer Suite</t>
        </is>
      </c>
      <c r="H668">
        <f>HYPERLINK("https://booking.roadsurfer.com/es/rally/pick?pickup_date=2026-03-16&amp;return_date=2026-03-23&amp;currency=EUR&amp;startStation=1&amp;endStation=30",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2026-03-07</t>
        </is>
      </c>
      <c r="F669" t="inlineStr">
        <is>
          <t>2026-03-14</t>
        </is>
      </c>
      <c r="G669" t="inlineStr">
        <is>
          <t xml:space="preserve"> - Couple Cottage</t>
        </is>
      </c>
      <c r="H669">
        <f>HYPERLINK("https://booking.roadsurfer.com/es/rally/pick?pickup_date=2026-03-07&amp;return_date=2026-03-14&amp;currency=EUR&amp;startStation=1&amp;endStation=78",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No hay coche</t>
        </is>
      </c>
      <c r="H670">
        <f>HYPERLINK("https://booking.roadsurfer.com/es/rally/pick?pickup_date=2026-03-14&amp;return_date=2026-03-21&amp;currency=EUR&amp;startStation=1&amp;endStation=78",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Camper Castle</t>
        </is>
      </c>
      <c r="H671">
        <f>HYPERLINK("https://booking.roadsurfer.com/es/rally/pick?pickup_date=2026-03-12&amp;return_date=2026-03-19&amp;currency=EUR&amp;startStation=1&amp;endStation=78",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Venecia</t>
        </is>
      </c>
      <c r="E672" t="inlineStr">
        <is>
          <t>2026-03-15</t>
        </is>
      </c>
      <c r="F672" t="inlineStr">
        <is>
          <t>2026-03-22</t>
        </is>
      </c>
      <c r="G672" t="inlineStr">
        <is>
          <t xml:space="preserve"> - No hay coche</t>
        </is>
      </c>
      <c r="H672">
        <f>HYPERLINK("https://booking.roadsurfer.com/es/rally/pick?pickup_date=2026-03-15&amp;return_date=2026-03-22&amp;currency=EUR&amp;startStation=1&amp;endStation=78",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Venecia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Surfer Suite - Camper Castle</t>
        </is>
      </c>
      <c r="H673">
        <f>HYPERLINK("https://booking.roadsurfer.com/es/rally/pick?pickup_date=2026-03-13&amp;return_date=2026-03-20&amp;currency=EUR&amp;startStation=1&amp;endStation=78",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Family Finca - FAMILY FINCA</t>
        </is>
      </c>
      <c r="H674">
        <f>HYPERLINK("https://booking.roadsurfer.com/es/rally/pick?pickup_date=2026-03-16&amp;return_date=2026-03-23&amp;currency=EUR&amp;startStation=1&amp;endStation=78",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Venecia</t>
        </is>
      </c>
      <c r="E675" t="inlineStr">
        <is>
          <t>2026-03-17</t>
        </is>
      </c>
      <c r="F675" t="inlineStr">
        <is>
          <t>2026-03-24</t>
        </is>
      </c>
      <c r="G675" t="inlineStr">
        <is>
          <t xml:space="preserve"> - Surfer Suite - Couple Cottage</t>
        </is>
      </c>
      <c r="H675">
        <f>HYPERLINK("https://booking.roadsurfer.com/es/rally/pick?pickup_date=2026-03-17&amp;return_date=2026-03-24&amp;currency=EUR&amp;startStation=1&amp;endStation=78",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2026-03-18</t>
        </is>
      </c>
      <c r="F676" t="inlineStr">
        <is>
          <t>2026-03-25</t>
        </is>
      </c>
      <c r="G676" t="inlineStr">
        <is>
          <t xml:space="preserve"> - Road House</t>
        </is>
      </c>
      <c r="H676">
        <f>HYPERLINK("https://booking.roadsurfer.com/es/rally/pick?pickup_date=2026-03-18&amp;return_date=2026-03-25&amp;currency=EUR&amp;startStation=1&amp;endStation=78",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Road House</t>
        </is>
      </c>
      <c r="H677">
        <f>HYPERLINK("https://booking.roadsurfer.com/es/rally/pick?pickup_date=2026-03-19&amp;return_date=2026-03-26&amp;currency=EUR&amp;startStation=1&amp;endStation=78",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2026-03-26</t>
        </is>
      </c>
      <c r="F678" t="inlineStr">
        <is>
          <t>2026-04-02</t>
        </is>
      </c>
      <c r="G678" t="inlineStr">
        <is>
          <t xml:space="preserve"> - Beach Hostel</t>
        </is>
      </c>
      <c r="H678">
        <f>HYPERLINK("https://booking.roadsurfer.com/es/rally/pick?pickup_date=2026-03-26&amp;return_date=2026-04-02&amp;currency=EUR&amp;startStation=1&amp;endStation=78",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España</t>
        </is>
      </c>
      <c r="D679" t="inlineStr">
        <is>
          <t>Sevilla</t>
        </is>
      </c>
      <c r="E679" t="inlineStr">
        <is>
          <t>2026-03-05</t>
        </is>
      </c>
      <c r="F679" t="inlineStr">
        <is>
          <t>2026-03-12</t>
        </is>
      </c>
      <c r="G679" t="inlineStr">
        <is>
          <t xml:space="preserve"> - Surfer Suite</t>
        </is>
      </c>
      <c r="H679">
        <f>HYPERLINK("https://booking.roadsurfer.com/es/rally/pick?pickup_date=2026-03-05&amp;return_date=2026-03-12&amp;currency=EUR&amp;startStation=1&amp;endStation=39",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 Sur</t>
        </is>
      </c>
      <c r="E680" t="inlineStr">
        <is>
          <t>2026-03-02</t>
        </is>
      </c>
      <c r="F680" t="inlineStr">
        <is>
          <t>2026-03-09</t>
        </is>
      </c>
      <c r="G680" t="inlineStr">
        <is>
          <t xml:space="preserve"> - CAMPER CABIN DELUXE</t>
        </is>
      </c>
      <c r="H680">
        <f>HYPERLINK("https://booking.roadsurfer.com/es/rally/pick?pickup_date=2026-03-02&amp;return_date=2026-03-09&amp;currency=EUR&amp;startStation=1&amp;endStation=45",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 Sur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Surfer Suite</t>
        </is>
      </c>
      <c r="H681">
        <f>HYPERLINK("https://booking.roadsurfer.com/es/rally/pick?pickup_date=2026-03-09&amp;return_date=2026-03-16&amp;currency=EUR&amp;startStation=1&amp;endStation=45",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Bérgamo</t>
        </is>
      </c>
      <c r="E682" t="inlineStr">
        <is>
          <t>2026-03-14</t>
        </is>
      </c>
      <c r="F682" t="inlineStr">
        <is>
          <t>2026-03-21</t>
        </is>
      </c>
      <c r="G682" t="inlineStr">
        <is>
          <t xml:space="preserve"> - Beach Hostel</t>
        </is>
      </c>
      <c r="H682">
        <f>HYPERLINK("https://booking.roadsurfer.com/es/rally/pick?pickup_date=2026-03-14&amp;return_date=2026-03-21&amp;currency=EUR&amp;startStation=1&amp;endStation=94",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Bérgamo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Beach Hostel</t>
        </is>
      </c>
      <c r="H683">
        <f>HYPERLINK("https://booking.roadsurfer.com/es/rally/pick?pickup_date=2026-03-09&amp;return_date=2026-03-16&amp;currency=EUR&amp;startStation=1&amp;endStation=94",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España</t>
        </is>
      </c>
      <c r="D684" t="inlineStr">
        <is>
          <t>Valencia</t>
        </is>
      </c>
      <c r="E684" t="inlineStr">
        <is>
          <t>2026-03-20</t>
        </is>
      </c>
      <c r="F684" t="inlineStr">
        <is>
          <t>2026-03-27</t>
        </is>
      </c>
      <c r="G684" t="inlineStr">
        <is>
          <t xml:space="preserve"> - Road House</t>
        </is>
      </c>
      <c r="H684">
        <f>HYPERLINK("https://booking.roadsurfer.com/es/rally/pick?pickup_date=2026-03-20&amp;return_date=2026-03-27&amp;currency=EUR&amp;startStation=1&amp;endStation=38",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España</t>
        </is>
      </c>
      <c r="D685" t="inlineStr">
        <is>
          <t>Valencia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BEACH HOSTEL</t>
        </is>
      </c>
      <c r="H685">
        <f>HYPERLINK("https://booking.roadsurfer.com/es/rally/pick?pickup_date=2026-03-02&amp;return_date=2026-03-09&amp;currency=EUR&amp;startStation=1&amp;endStation=38",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España</t>
        </is>
      </c>
      <c r="D686" t="inlineStr">
        <is>
          <t>Bilbao</t>
        </is>
      </c>
      <c r="E686" t="inlineStr">
        <is>
          <t>2026-03-19</t>
        </is>
      </c>
      <c r="F686" t="inlineStr">
        <is>
          <t>2026-03-26</t>
        </is>
      </c>
      <c r="G686" t="inlineStr">
        <is>
          <t xml:space="preserve"> - Road House</t>
        </is>
      </c>
      <c r="H686">
        <f>HYPERLINK("https://booking.roadsurfer.com/es/rally/pick?pickup_date=2026-03-19&amp;return_date=2026-03-26&amp;currency=EUR&amp;startStation=1&amp;endStation=40",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Bilbao</t>
        </is>
      </c>
      <c r="E687" t="inlineStr">
        <is>
          <t>2026-03-02</t>
        </is>
      </c>
      <c r="F687" t="inlineStr">
        <is>
          <t>2026-03-09</t>
        </is>
      </c>
      <c r="G687" t="inlineStr">
        <is>
          <t xml:space="preserve"> - Family Finca</t>
        </is>
      </c>
      <c r="H687">
        <f>HYPERLINK("https://booking.roadsurfer.com/es/rally/pick?pickup_date=2026-03-02&amp;return_date=2026-03-09&amp;currency=EUR&amp;startStation=1&amp;endStation=40",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Bilbao</t>
        </is>
      </c>
      <c r="E688" t="inlineStr">
        <is>
          <t>2026-03-05</t>
        </is>
      </c>
      <c r="F688" t="inlineStr">
        <is>
          <t>2026-03-12</t>
        </is>
      </c>
      <c r="G688" t="inlineStr">
        <is>
          <t xml:space="preserve"> - Camper Cabin</t>
        </is>
      </c>
      <c r="H688">
        <f>HYPERLINK("https://booking.roadsurfer.com/es/rally/pick?pickup_date=2026-03-05&amp;return_date=2026-03-12&amp;currency=EUR&amp;startStation=1&amp;endStation=40",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Niza</t>
        </is>
      </c>
      <c r="E689" t="inlineStr">
        <is>
          <t>2026-03-02</t>
        </is>
      </c>
      <c r="F689" t="inlineStr">
        <is>
          <t>2026-03-09</t>
        </is>
      </c>
      <c r="G689" t="inlineStr">
        <is>
          <t xml:space="preserve"> - Camper Castle</t>
        </is>
      </c>
      <c r="H689">
        <f>HYPERLINK("https://booking.roadsurfer.com/es/rally/pick?pickup_date=2026-03-02&amp;return_date=2026-03-09&amp;currency=EUR&amp;startStation=1&amp;endStation=88",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Graz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Camper Castle</t>
        </is>
      </c>
      <c r="H690">
        <f>HYPERLINK("https://booking.roadsurfer.com/es/rally/pick?pickup_date=2026-03-02&amp;return_date=2026-03-09&amp;currency=EUR&amp;startStation=1&amp;endStation=37",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Alemania</t>
        </is>
      </c>
      <c r="D691" t="inlineStr">
        <is>
          <t>Braunschweig</t>
        </is>
      </c>
      <c r="E691" t="inlineStr">
        <is>
          <t>2026-04-20</t>
        </is>
      </c>
      <c r="F691" t="inlineStr">
        <is>
          <t>2026-04-27</t>
        </is>
      </c>
      <c r="G691" t="inlineStr">
        <is>
          <t xml:space="preserve"> - No hay coche</t>
        </is>
      </c>
      <c r="H691">
        <f>HYPERLINK("https://booking.roadsurfer.com/es/rally/pick?pickup_date=2026-04-20&amp;return_date=2026-04-27&amp;currency=EUR&amp;startStation=1&amp;endStation=128",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Francia</t>
        </is>
      </c>
      <c r="D692" t="inlineStr">
        <is>
          <t>Burdeos</t>
        </is>
      </c>
      <c r="E692" t="inlineStr">
        <is>
          <t>2026-03-06</t>
        </is>
      </c>
      <c r="F692" t="inlineStr">
        <is>
          <t>2026-03-13</t>
        </is>
      </c>
      <c r="G692" t="inlineStr">
        <is>
          <t xml:space="preserve"> - Sunrise Suite</t>
        </is>
      </c>
      <c r="H692">
        <f>HYPERLINK("https://booking.roadsurfer.com/es/rally/pick?pickup_date=2026-03-06&amp;return_date=2026-03-13&amp;currency=EUR&amp;startStation=1&amp;endStation=13",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2026-02-27</t>
        </is>
      </c>
      <c r="F693" t="inlineStr">
        <is>
          <t>2026-03-06</t>
        </is>
      </c>
      <c r="G693" t="inlineStr">
        <is>
          <t xml:space="preserve"> - No hay coche</t>
        </is>
      </c>
      <c r="H693">
        <f>HYPERLINK("https://booking.roadsurfer.com/es/rally/pick?pickup_date=2026-02-27&amp;return_date=2026-03-06&amp;currency=EUR&amp;startStation=31&amp;endStation=22",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2026-03-02</t>
        </is>
      </c>
      <c r="F694" t="inlineStr">
        <is>
          <t>2026-03-09</t>
        </is>
      </c>
      <c r="G694" t="inlineStr">
        <is>
          <t xml:space="preserve"> - Surfer Suite - CAMPER CABIN</t>
        </is>
      </c>
      <c r="H694">
        <f>HYPERLINK("https://booking.roadsurfer.com/es/rally/pick?pickup_date=2026-03-02&amp;return_date=2026-03-09&amp;currency=EUR&amp;startStation=31&amp;endStation=22",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2026-03-05</t>
        </is>
      </c>
      <c r="F695" t="inlineStr">
        <is>
          <t>2026-03-12</t>
        </is>
      </c>
      <c r="G695" t="inlineStr">
        <is>
          <t xml:space="preserve"> - No hay coche</t>
        </is>
      </c>
      <c r="H695">
        <f>HYPERLINK("https://booking.roadsurfer.com/es/rally/pick?pickup_date=2026-03-05&amp;return_date=2026-03-12&amp;currency=EUR&amp;startStation=31&amp;endStation=22",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Surfer Suite</t>
        </is>
      </c>
      <c r="H696">
        <f>HYPERLINK("https://booking.roadsurfer.com/es/rally/pick?pickup_date=2026-03-09&amp;return_date=2026-03-16&amp;currency=EUR&amp;startStation=31&amp;endStation=22",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2026-03-10</t>
        </is>
      </c>
      <c r="F697" t="inlineStr">
        <is>
          <t>2026-03-17</t>
        </is>
      </c>
      <c r="G697" t="inlineStr">
        <is>
          <t xml:space="preserve"> - Surfer Suite</t>
        </is>
      </c>
      <c r="H697">
        <f>HYPERLINK("https://booking.roadsurfer.com/es/rally/pick?pickup_date=2026-03-10&amp;return_date=2026-03-17&amp;currency=EUR&amp;startStation=31&amp;endStation=22",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Kassel</t>
        </is>
      </c>
      <c r="E698" t="inlineStr">
        <is>
          <t>2026-03-09</t>
        </is>
      </c>
      <c r="F698" t="inlineStr">
        <is>
          <t>2026-03-16</t>
        </is>
      </c>
      <c r="G698" t="inlineStr">
        <is>
          <t xml:space="preserve"> - Camper Cabin</t>
        </is>
      </c>
      <c r="H698">
        <f>HYPERLINK("https://booking.roadsurfer.com/es/rally/pick?pickup_date=2026-03-09&amp;return_date=2026-03-16&amp;currency=EUR&amp;startStation=31&amp;endStation=92",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Bielefeld</t>
        </is>
      </c>
      <c r="E699" t="inlineStr">
        <is>
          <t>2026-03-10</t>
        </is>
      </c>
      <c r="F699" t="inlineStr">
        <is>
          <t>2026-03-17</t>
        </is>
      </c>
      <c r="G699" t="inlineStr">
        <is>
          <t xml:space="preserve"> - BEACH HOSTEL</t>
        </is>
      </c>
      <c r="H699">
        <f>HYPERLINK("https://booking.roadsurfer.com/es/rally/pick?pickup_date=2026-03-10&amp;return_date=2026-03-17&amp;currency=EUR&amp;startStation=31&amp;endStation=91",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Colonia-Düsseldorf</t>
        </is>
      </c>
      <c r="E700" t="inlineStr">
        <is>
          <t>2026-03-06</t>
        </is>
      </c>
      <c r="F700" t="inlineStr">
        <is>
          <t>2026-03-13</t>
        </is>
      </c>
      <c r="G700" t="inlineStr">
        <is>
          <t xml:space="preserve"> - Surfer Suite</t>
        </is>
      </c>
      <c r="H700">
        <f>HYPERLINK("https://booking.roadsurfer.com/es/rally/pick?pickup_date=2026-03-06&amp;return_date=2026-03-13&amp;currency=EUR&amp;startStation=31&amp;endStation=4",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Colonia-Düsseldorf</t>
        </is>
      </c>
      <c r="E701" t="inlineStr">
        <is>
          <t>2026-02-27</t>
        </is>
      </c>
      <c r="F701" t="inlineStr">
        <is>
          <t>2026-03-06</t>
        </is>
      </c>
      <c r="G701" t="inlineStr">
        <is>
          <t xml:space="preserve"> - No hay coche</t>
        </is>
      </c>
      <c r="H701">
        <f>HYPERLINK("https://booking.roadsurfer.com/es/rally/pick?pickup_date=2026-02-27&amp;return_date=2026-03-06&amp;currency=EUR&amp;startStation=31&amp;endStation=4",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Colonia-Düsseldorf</t>
        </is>
      </c>
      <c r="E702" t="inlineStr">
        <is>
          <t>2026-03-13</t>
        </is>
      </c>
      <c r="F702" t="inlineStr">
        <is>
          <t>2026-03-20</t>
        </is>
      </c>
      <c r="G702" t="inlineStr">
        <is>
          <t xml:space="preserve"> - Road House</t>
        </is>
      </c>
      <c r="H702">
        <f>HYPERLINK("https://booking.roadsurfer.com/es/rally/pick?pickup_date=2026-03-13&amp;return_date=2026-03-20&amp;currency=EUR&amp;startStation=31&amp;endStation=4",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2026-03-09</t>
        </is>
      </c>
      <c r="F703" t="inlineStr">
        <is>
          <t>2026-03-16</t>
        </is>
      </c>
      <c r="G703" t="inlineStr">
        <is>
          <t xml:space="preserve"> - Camper Castle</t>
        </is>
      </c>
      <c r="H703">
        <f>HYPERLINK("https://booking.roadsurfer.com/es/rally/pick?pickup_date=2026-03-09&amp;return_date=2026-03-16&amp;currency=EUR&amp;startStation=31&amp;endStation=56",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Stuttgart</t>
        </is>
      </c>
      <c r="E704" t="inlineStr">
        <is>
          <t>2026-03-10</t>
        </is>
      </c>
      <c r="F704" t="inlineStr">
        <is>
          <t>2026-03-20</t>
        </is>
      </c>
      <c r="G704" t="inlineStr">
        <is>
          <t xml:space="preserve"> - Beach Hostel</t>
        </is>
      </c>
      <c r="H704">
        <f>HYPERLINK("https://booking.roadsurfer.com/es/rally/pick?pickup_date=2026-03-10&amp;return_date=2026-03-20&amp;currency=EUR&amp;startStation=31&amp;endStation=5",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Stuttgart</t>
        </is>
      </c>
      <c r="E705" t="inlineStr">
        <is>
          <t>2026-03-06</t>
        </is>
      </c>
      <c r="F705" t="inlineStr">
        <is>
          <t>2026-03-13</t>
        </is>
      </c>
      <c r="G705" t="inlineStr">
        <is>
          <t xml:space="preserve"> - Family Finca</t>
        </is>
      </c>
      <c r="H705">
        <f>HYPERLINK("https://booking.roadsurfer.com/es/rally/pick?pickup_date=2026-03-06&amp;return_date=2026-03-13&amp;currency=EUR&amp;startStation=31&amp;endStation=5",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Colonia-Bonn</t>
        </is>
      </c>
      <c r="E706" t="inlineStr">
        <is>
          <t>2026-03-13</t>
        </is>
      </c>
      <c r="F706" t="inlineStr">
        <is>
          <t>2026-03-20</t>
        </is>
      </c>
      <c r="G706" t="inlineStr">
        <is>
          <t xml:space="preserve"> - Road House</t>
        </is>
      </c>
      <c r="H706">
        <f>HYPERLINK("https://booking.roadsurfer.com/es/rally/pick?pickup_date=2026-03-13&amp;return_date=2026-03-20&amp;currency=EUR&amp;startStation=31&amp;endStation=52",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Colonia-Bonn</t>
        </is>
      </c>
      <c r="E707" t="inlineStr">
        <is>
          <t>2026-03-17</t>
        </is>
      </c>
      <c r="F707" t="inlineStr">
        <is>
          <t>2026-03-24</t>
        </is>
      </c>
      <c r="G707" t="inlineStr">
        <is>
          <t xml:space="preserve"> - Travel Home</t>
        </is>
      </c>
      <c r="H707">
        <f>HYPERLINK("https://booking.roadsurfer.com/es/rally/pick?pickup_date=2026-03-17&amp;return_date=2026-03-24&amp;currency=EUR&amp;startStation=31&amp;endStation=52",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2026-03-14</t>
        </is>
      </c>
      <c r="F708" t="inlineStr">
        <is>
          <t>2026-03-21</t>
        </is>
      </c>
      <c r="G708" t="inlineStr">
        <is>
          <t xml:space="preserve"> - Surfer Suite</t>
        </is>
      </c>
      <c r="H708">
        <f>HYPERLINK("https://booking.roadsurfer.com/es/rally/pick?pickup_date=2026-03-14&amp;return_date=2026-03-21&amp;currency=EUR&amp;startStation=31&amp;endStation=52",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2026-03-16</t>
        </is>
      </c>
      <c r="F709" t="inlineStr">
        <is>
          <t>2026-03-23</t>
        </is>
      </c>
      <c r="G709" t="inlineStr">
        <is>
          <t xml:space="preserve"> - Surfer Suite</t>
        </is>
      </c>
      <c r="H709">
        <f>HYPERLINK("https://booking.roadsurfer.com/es/rally/pick?pickup_date=2026-03-16&amp;return_date=2026-03-23&amp;currency=EUR&amp;startStation=31&amp;endStation=52",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2026-04-07</t>
        </is>
      </c>
      <c r="F710" t="inlineStr">
        <is>
          <t>2026-04-14</t>
        </is>
      </c>
      <c r="G710" t="inlineStr">
        <is>
          <t xml:space="preserve"> - Family Finca</t>
        </is>
      </c>
      <c r="H710">
        <f>HYPERLINK("https://booking.roadsurfer.com/es/rally/pick?pickup_date=2026-04-07&amp;return_date=2026-04-14&amp;currency=EUR&amp;startStation=31&amp;endStation=52",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Ulm</t>
        </is>
      </c>
      <c r="E711" t="inlineStr">
        <is>
          <t>2026-03-11</t>
        </is>
      </c>
      <c r="F711" t="inlineStr">
        <is>
          <t>2026-03-18</t>
        </is>
      </c>
      <c r="G711" t="inlineStr">
        <is>
          <t xml:space="preserve"> - Beach Hostel</t>
        </is>
      </c>
      <c r="H711">
        <f>HYPERLINK("https://booking.roadsurfer.com/es/rally/pick?pickup_date=2026-03-11&amp;return_date=2026-03-18&amp;currency=EUR&amp;startStation=31&amp;endStation=112",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Núremberg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Camper Cabin</t>
        </is>
      </c>
      <c r="H712">
        <f>HYPERLINK("https://booking.roadsurfer.com/es/rally/pick?pickup_date=2026-03-09&amp;return_date=2026-03-16&amp;currency=EUR&amp;startStation=31&amp;endStation=11",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Kiel</t>
        </is>
      </c>
      <c r="E713" t="inlineStr">
        <is>
          <t>2026-03-09</t>
        </is>
      </c>
      <c r="F713" t="inlineStr">
        <is>
          <t>2026-03-16</t>
        </is>
      </c>
      <c r="G713" t="inlineStr"/>
      <c r="H713">
        <f>HYPERLINK("https://booking.roadsurfer.com/es/rally/pick?pickup_date=2026-03-09&amp;return_date=2026-03-16&amp;currency=EUR&amp;startStation=31&amp;endStation=111", "Clic para verlo en la web de RoadSurfer")</f>
        <v/>
      </c>
    </row>
    <row r="714">
      <c r="A714" t="inlineStr">
        <is>
          <t>Francia</t>
        </is>
      </c>
      <c r="B714" t="inlineStr">
        <is>
          <t>Niza</t>
        </is>
      </c>
      <c r="C714" t="inlineStr">
        <is>
          <t>Alemania</t>
        </is>
      </c>
      <c r="D714" t="inlineStr">
        <is>
          <t>Múnich</t>
        </is>
      </c>
      <c r="E714" t="inlineStr">
        <is>
          <t>2026-03-20</t>
        </is>
      </c>
      <c r="F714" t="inlineStr">
        <is>
          <t>2026-03-27</t>
        </is>
      </c>
      <c r="G714" t="inlineStr">
        <is>
          <t xml:space="preserve"> - Surfer Suite</t>
        </is>
      </c>
      <c r="H714">
        <f>HYPERLINK("https://booking.roadsurfer.com/es/rally/pick?pickup_date=2026-03-20&amp;return_date=2026-03-27&amp;currency=EUR&amp;startStation=88&amp;endStation=1", "Clic para verlo en la web de RoadSurfer")</f>
        <v/>
      </c>
    </row>
    <row r="715">
      <c r="A715" t="inlineStr">
        <is>
          <t>Alemania</t>
        </is>
      </c>
      <c r="B715" t="inlineStr">
        <is>
          <t>Núremberg</t>
        </is>
      </c>
      <c r="C715" t="inlineStr">
        <is>
          <t>Austria</t>
        </is>
      </c>
      <c r="D715" t="inlineStr">
        <is>
          <t>Viena Sur</t>
        </is>
      </c>
      <c r="E715" t="inlineStr">
        <is>
          <t>2026-02-27</t>
        </is>
      </c>
      <c r="F715" t="inlineStr">
        <is>
          <t>2026-03-06</t>
        </is>
      </c>
      <c r="G715" t="inlineStr">
        <is>
          <t xml:space="preserve"> - Camper Cabin Deluxe</t>
        </is>
      </c>
      <c r="H715">
        <f>HYPERLINK("https://booking.roadsurfer.com/es/rally/pick?pickup_date=2026-02-27&amp;return_date=2026-03-06&amp;currency=EUR&amp;startStation=11&amp;endStation=45", "Clic para verlo en la web de RoadSurfer")</f>
        <v/>
      </c>
    </row>
    <row r="716">
      <c r="A716" t="inlineStr">
        <is>
          <t>Alemania</t>
        </is>
      </c>
      <c r="B716" t="inlineStr">
        <is>
          <t>Núremberg</t>
        </is>
      </c>
      <c r="C716" t="inlineStr">
        <is>
          <t>Francia</t>
        </is>
      </c>
      <c r="D716" t="inlineStr">
        <is>
          <t>Toulouse</t>
        </is>
      </c>
      <c r="E716" t="inlineStr">
        <is>
          <t>2026-03-09</t>
        </is>
      </c>
      <c r="F716" t="inlineStr">
        <is>
          <t>2026-03-16</t>
        </is>
      </c>
      <c r="G716" t="inlineStr"/>
      <c r="H716">
        <f>HYPERLINK("https://booking.roadsurfer.com/es/rally/pick?pickup_date=2026-03-09&amp;return_date=2026-03-16&amp;currency=EUR&amp;startStation=11&amp;endStation=30",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Fráncfort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Surfer Suite</t>
        </is>
      </c>
      <c r="H717">
        <f>HYPERLINK("https://booking.roadsurfer.com/es/rally/pick?pickup_date=2026-03-20&amp;return_date=2026-03-27&amp;currency=EUR&amp;startStation=12&amp;endStation=2",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Fráncfort</t>
        </is>
      </c>
      <c r="E718" t="inlineStr">
        <is>
          <t>2026-03-21</t>
        </is>
      </c>
      <c r="F718" t="inlineStr">
        <is>
          <t>2026-03-28</t>
        </is>
      </c>
      <c r="G718" t="inlineStr">
        <is>
          <t xml:space="preserve"> - BEACH HOSTEL</t>
        </is>
      </c>
      <c r="H718">
        <f>HYPERLINK("https://booking.roadsurfer.com/es/rally/pick?pickup_date=2026-03-21&amp;return_date=2026-03-28&amp;currency=EUR&amp;startStation=12&amp;endStation=2",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Francia</t>
        </is>
      </c>
      <c r="D719" t="inlineStr">
        <is>
          <t>París Aeropuerto CDG</t>
        </is>
      </c>
      <c r="E719" t="inlineStr">
        <is>
          <t>2026-03-05</t>
        </is>
      </c>
      <c r="F719" t="inlineStr">
        <is>
          <t>2026-03-12</t>
        </is>
      </c>
      <c r="G719" t="inlineStr"/>
      <c r="H719">
        <f>HYPERLINK("https://booking.roadsurfer.com/es/rally/pick?pickup_date=2026-03-05&amp;return_date=2026-03-12&amp;currency=EUR&amp;startStation=12&amp;endStation=48",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Francia</t>
        </is>
      </c>
      <c r="D720" t="inlineStr">
        <is>
          <t>París Aeropuerto CDG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Surfer Suite</t>
        </is>
      </c>
      <c r="H720">
        <f>HYPERLINK("https://booking.roadsurfer.com/es/rally/pick?pickup_date=2026-03-09&amp;return_date=2026-03-16&amp;currency=EUR&amp;startStation=12&amp;endStation=48",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Francia</t>
        </is>
      </c>
      <c r="D721" t="inlineStr">
        <is>
          <t>París Aeropuerto CDG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Surfer Suite</t>
        </is>
      </c>
      <c r="H721">
        <f>HYPERLINK("https://booking.roadsurfer.com/es/rally/pick?pickup_date=2026-03-12&amp;return_date=2026-03-19&amp;currency=EUR&amp;startStation=12&amp;endStation=48",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Aquisgrán</t>
        </is>
      </c>
      <c r="E722" t="inlineStr">
        <is>
          <t>2026-03-23</t>
        </is>
      </c>
      <c r="F722" t="inlineStr">
        <is>
          <t>2026-03-30</t>
        </is>
      </c>
      <c r="G722" t="inlineStr"/>
      <c r="H722">
        <f>HYPERLINK("https://booking.roadsurfer.com/es/rally/pick?pickup_date=2026-03-23&amp;return_date=2026-03-30&amp;currency=EUR&amp;startStation=12&amp;endStation=114",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Friburgo-Basilea (Alemania)</t>
        </is>
      </c>
      <c r="E723" t="inlineStr">
        <is>
          <t>2026-03-09</t>
        </is>
      </c>
      <c r="F723" t="inlineStr">
        <is>
          <t>2026-03-16</t>
        </is>
      </c>
      <c r="G723" t="inlineStr"/>
      <c r="H723">
        <f>HYPERLINK("https://booking.roadsurfer.com/es/rally/pick?pickup_date=2026-03-09&amp;return_date=2026-03-16&amp;currency=EUR&amp;startStation=12&amp;endStation=9",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Bochum</t>
        </is>
      </c>
      <c r="E724" t="inlineStr">
        <is>
          <t>2026-03-12</t>
        </is>
      </c>
      <c r="F724" t="inlineStr">
        <is>
          <t>2026-03-19</t>
        </is>
      </c>
      <c r="G724" t="inlineStr">
        <is>
          <t xml:space="preserve"> - Road House</t>
        </is>
      </c>
      <c r="H724">
        <f>HYPERLINK("https://booking.roadsurfer.com/es/rally/pick?pickup_date=2026-03-12&amp;return_date=2026-03-19&amp;currency=EUR&amp;startStation=12&amp;endStation=24",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2026-03-17</t>
        </is>
      </c>
      <c r="F725" t="inlineStr">
        <is>
          <t>2026-03-24</t>
        </is>
      </c>
      <c r="G725" t="inlineStr"/>
      <c r="H725">
        <f>HYPERLINK("https://booking.roadsurfer.com/es/rally/pick?pickup_date=2026-03-17&amp;return_date=2026-03-24&amp;currency=EUR&amp;startStation=12&amp;endStation=52",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2026-03-18</t>
        </is>
      </c>
      <c r="F726" t="inlineStr">
        <is>
          <t>2026-03-25</t>
        </is>
      </c>
      <c r="G726" t="inlineStr">
        <is>
          <t xml:space="preserve"> - Family Finca</t>
        </is>
      </c>
      <c r="H726">
        <f>HYPERLINK("https://booking.roadsurfer.com/es/rally/pick?pickup_date=2026-03-18&amp;return_date=2026-03-25&amp;currency=EUR&amp;startStation=12&amp;endStation=52",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Francia</t>
        </is>
      </c>
      <c r="D727" t="inlineStr">
        <is>
          <t>Ginebra-Pays de Gex (Francia)</t>
        </is>
      </c>
      <c r="E727" t="inlineStr">
        <is>
          <t>2026-03-12</t>
        </is>
      </c>
      <c r="F727" t="inlineStr">
        <is>
          <t>2026-03-19</t>
        </is>
      </c>
      <c r="G727" t="inlineStr">
        <is>
          <t xml:space="preserve"> - Family Finca</t>
        </is>
      </c>
      <c r="H727">
        <f>HYPERLINK("https://booking.roadsurfer.com/es/rally/pick?pickup_date=2026-03-12&amp;return_date=2026-03-19&amp;currency=EUR&amp;startStation=12&amp;endStation=29", "Clic para verlo en la web de RoadSurfer")</f>
        <v/>
      </c>
    </row>
    <row r="728">
      <c r="A728" t="inlineStr">
        <is>
          <t>Francia</t>
        </is>
      </c>
      <c r="B728" t="inlineStr">
        <is>
          <t>París Aeropuerto CDG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2026-03-02</t>
        </is>
      </c>
      <c r="F728" t="inlineStr">
        <is>
          <t>2026-03-09</t>
        </is>
      </c>
      <c r="G728" t="inlineStr">
        <is>
          <t xml:space="preserve"> - SURFER SUITE</t>
        </is>
      </c>
      <c r="H728">
        <f>HYPERLINK("https://booking.roadsurfer.com/es/rally/pick?pickup_date=2026-03-02&amp;return_date=2026-03-09&amp;currency=EUR&amp;startStation=48&amp;endStation=90", "Clic para verlo en la web de RoadSurfer")</f>
        <v/>
      </c>
    </row>
    <row r="729">
      <c r="A729" t="inlineStr">
        <is>
          <t>Francia</t>
        </is>
      </c>
      <c r="B729" t="inlineStr">
        <is>
          <t>París Aeropuerto CDG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2026-03-19</t>
        </is>
      </c>
      <c r="F729" t="inlineStr">
        <is>
          <t>2026-03-26</t>
        </is>
      </c>
      <c r="G729" t="inlineStr">
        <is>
          <t xml:space="preserve"> - Family Finca</t>
        </is>
      </c>
      <c r="H729">
        <f>HYPERLINK("https://booking.roadsurfer.com/es/rally/pick?pickup_date=2026-03-19&amp;return_date=2026-03-26&amp;currency=EUR&amp;startStation=48&amp;endStation=52", "Clic para verlo en la web de RoadSurfer")</f>
        <v/>
      </c>
    </row>
    <row r="730">
      <c r="A730" t="inlineStr">
        <is>
          <t>Francia</t>
        </is>
      </c>
      <c r="B730" t="inlineStr">
        <is>
          <t>París Aeropuerto CDG</t>
        </is>
      </c>
      <c r="C730" t="inlineStr">
        <is>
          <t>Alemania</t>
        </is>
      </c>
      <c r="D730" t="inlineStr">
        <is>
          <t>Colonia-Bonn</t>
        </is>
      </c>
      <c r="E730" t="inlineStr">
        <is>
          <t>2026-03-20</t>
        </is>
      </c>
      <c r="F730" t="inlineStr">
        <is>
          <t>2026-03-27</t>
        </is>
      </c>
      <c r="G730" t="inlineStr">
        <is>
          <t xml:space="preserve"> - Family Finca</t>
        </is>
      </c>
      <c r="H730">
        <f>HYPERLINK("https://booking.roadsurfer.com/es/rally/pick?pickup_date=2026-03-20&amp;return_date=2026-03-27&amp;currency=EUR&amp;startStation=48&amp;endStation=52", "Clic para verlo en la web de RoadSurfer")</f>
        <v/>
      </c>
    </row>
    <row r="731">
      <c r="A731" t="inlineStr">
        <is>
          <t>Francia</t>
        </is>
      </c>
      <c r="B731" t="inlineStr">
        <is>
          <t>París Aeropuerto CDG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2026-03-06</t>
        </is>
      </c>
      <c r="F731" t="inlineStr">
        <is>
          <t>2026-03-13</t>
        </is>
      </c>
      <c r="G731" t="inlineStr">
        <is>
          <t xml:space="preserve"> - SURFER SUITE</t>
        </is>
      </c>
      <c r="H731">
        <f>HYPERLINK("https://booking.roadsurfer.com/es/rally/pick?pickup_date=2026-03-06&amp;return_date=2026-03-13&amp;currency=EUR&amp;startStation=48&amp;endStation=52", "Clic para verlo en la web de RoadSurfer")</f>
        <v/>
      </c>
    </row>
    <row r="732">
      <c r="A732" t="inlineStr">
        <is>
          <t>Francia</t>
        </is>
      </c>
      <c r="B732" t="inlineStr">
        <is>
          <t>París Aeropuerto CDG</t>
        </is>
      </c>
      <c r="C732" t="inlineStr">
        <is>
          <t>Alemania</t>
        </is>
      </c>
      <c r="D732" t="inlineStr">
        <is>
          <t>Fráncfort</t>
        </is>
      </c>
      <c r="E732" t="inlineStr">
        <is>
          <t>2026-03-14</t>
        </is>
      </c>
      <c r="F732" t="inlineStr">
        <is>
          <t>2026-03-21</t>
        </is>
      </c>
      <c r="G732" t="inlineStr">
        <is>
          <t xml:space="preserve"> - Road House</t>
        </is>
      </c>
      <c r="H732">
        <f>HYPERLINK("https://booking.roadsurfer.com/es/rally/pick?pickup_date=2026-03-14&amp;return_date=2026-03-21&amp;currency=EUR&amp;startStation=48&amp;endStation=2", "Clic para verlo en la web de RoadSurfer")</f>
        <v/>
      </c>
    </row>
    <row r="733">
      <c r="A733" t="inlineStr">
        <is>
          <t>Francia</t>
        </is>
      </c>
      <c r="B733" t="inlineStr">
        <is>
          <t>París Aeropuerto CDG</t>
        </is>
      </c>
      <c r="C733" t="inlineStr">
        <is>
          <t>Alemania</t>
        </is>
      </c>
      <c r="D733" t="inlineStr">
        <is>
          <t>Fráncfort</t>
        </is>
      </c>
      <c r="E733" t="inlineStr">
        <is>
          <t>2026-03-16</t>
        </is>
      </c>
      <c r="F733" t="inlineStr">
        <is>
          <t>2026-03-23</t>
        </is>
      </c>
      <c r="G733" t="inlineStr">
        <is>
          <t xml:space="preserve"> - Surfer Suite</t>
        </is>
      </c>
      <c r="H733">
        <f>HYPERLINK("https://booking.roadsurfer.com/es/rally/pick?pickup_date=2026-03-16&amp;return_date=2026-03-23&amp;currency=EUR&amp;startStation=48&amp;endStation=2",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2026-03-17</t>
        </is>
      </c>
      <c r="F734" t="inlineStr">
        <is>
          <t>2026-03-24</t>
        </is>
      </c>
      <c r="G734" t="inlineStr">
        <is>
          <t xml:space="preserve"> - Surfer Suite</t>
        </is>
      </c>
      <c r="H734">
        <f>HYPERLINK("https://booking.roadsurfer.com/es/rally/pick?pickup_date=2026-03-17&amp;return_date=2026-03-24&amp;currency=EUR&amp;startStation=48&amp;endStation=2",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Hamburgo</t>
        </is>
      </c>
      <c r="E735" t="inlineStr">
        <is>
          <t>2026-03-06</t>
        </is>
      </c>
      <c r="F735" t="inlineStr">
        <is>
          <t>2026-03-13</t>
        </is>
      </c>
      <c r="G735" t="inlineStr">
        <is>
          <t xml:space="preserve"> - Travel Home</t>
        </is>
      </c>
      <c r="H735">
        <f>HYPERLINK("https://booking.roadsurfer.com/es/rally/pick?pickup_date=2026-03-06&amp;return_date=2026-03-13&amp;currency=EUR&amp;startStation=48&amp;endStation=3",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Hamburgo</t>
        </is>
      </c>
      <c r="E736" t="inlineStr">
        <is>
          <t>2026-03-18</t>
        </is>
      </c>
      <c r="F736" t="inlineStr">
        <is>
          <t>2026-03-25</t>
        </is>
      </c>
      <c r="G736" t="inlineStr">
        <is>
          <t xml:space="preserve"> - FAMILY FINCA</t>
        </is>
      </c>
      <c r="H736">
        <f>HYPERLINK("https://booking.roadsurfer.com/es/rally/pick?pickup_date=2026-03-18&amp;return_date=2026-03-25&amp;currency=EUR&amp;startStation=48&amp;endStation=3", "Clic para verlo en la web de RoadSurfer")</f>
        <v/>
      </c>
    </row>
    <row r="737">
      <c r="A737" t="inlineStr">
        <is>
          <t>EE.UU.</t>
        </is>
      </c>
      <c r="B737" t="inlineStr">
        <is>
          <t>Phoenix</t>
        </is>
      </c>
      <c r="C737" t="inlineStr">
        <is>
          <t>EE.UU.</t>
        </is>
      </c>
      <c r="D737" t="inlineStr">
        <is>
          <t>Dallas</t>
        </is>
      </c>
      <c r="E737" t="inlineStr">
        <is>
          <t>2026-03-19</t>
        </is>
      </c>
      <c r="F737" t="inlineStr">
        <is>
          <t>2026-03-26</t>
        </is>
      </c>
      <c r="G737" t="inlineStr"/>
      <c r="H737">
        <f>HYPERLINK("https://booking.roadsurfer.com/es/rally/pick?pickup_date=2026-03-19&amp;return_date=2026-03-26&amp;currency=EUR&amp;startStation=105&amp;endStation=125", "Clic para verlo en la web de RoadSurfer")</f>
        <v/>
      </c>
    </row>
    <row r="738">
      <c r="A738" t="inlineStr">
        <is>
          <t>Alemania</t>
        </is>
      </c>
      <c r="B738" t="inlineStr">
        <is>
          <t>Ratisbona</t>
        </is>
      </c>
      <c r="C738" t="inlineStr">
        <is>
          <t>Francia</t>
        </is>
      </c>
      <c r="D738" t="inlineStr">
        <is>
          <t>Lyon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Travel Home</t>
        </is>
      </c>
      <c r="H738">
        <f>HYPERLINK("https://booking.roadsurfer.com/es/rally/pick?pickup_date=2026-03-09&amp;return_date=2026-03-16&amp;currency=EUR&amp;startStation=89&amp;endStation=15", "Clic para verlo en la web de RoadSurfer")</f>
        <v/>
      </c>
    </row>
    <row r="739">
      <c r="A739" t="inlineStr">
        <is>
          <t>Alemania</t>
        </is>
      </c>
      <c r="B739" t="inlineStr">
        <is>
          <t>Ratisbona</t>
        </is>
      </c>
      <c r="C739" t="inlineStr">
        <is>
          <t>Alemania</t>
        </is>
      </c>
      <c r="D739" t="inlineStr">
        <is>
          <t>Bremen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Travel Home - TRAVEL HOME</t>
        </is>
      </c>
      <c r="H739">
        <f>HYPERLINK("https://booking.roadsurfer.com/es/rally/pick?pickup_date=2026-03-09&amp;return_date=2026-03-16&amp;currency=EUR&amp;startStation=89&amp;endStation=55", "Clic para verlo en la web de RoadSurfer")</f>
        <v/>
      </c>
    </row>
    <row r="740">
      <c r="A740" t="inlineStr">
        <is>
          <t>Italia</t>
        </is>
      </c>
      <c r="B740" t="inlineStr">
        <is>
          <t>Roma Aeropuerto Fiumicino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2026-04-14</t>
        </is>
      </c>
      <c r="F740" t="inlineStr">
        <is>
          <t>2026-04-21</t>
        </is>
      </c>
      <c r="G740" t="inlineStr">
        <is>
          <t xml:space="preserve"> - Road House - Family Finca</t>
        </is>
      </c>
      <c r="H740">
        <f>HYPERLINK("https://booking.roadsurfer.com/es/rally/pick?pickup_date=2026-04-14&amp;return_date=2026-04-21&amp;currency=EUR&amp;startStation=35&amp;endStation=1",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Beach Hostel</t>
        </is>
      </c>
      <c r="H741">
        <f>HYPERLINK("https://booking.roadsurfer.com/es/rally/pick?pickup_date=2026-03-09&amp;return_date=2026-03-16&amp;currency=EUR&amp;startStation=35&amp;endStation=1",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2026-03-20</t>
        </is>
      </c>
      <c r="F742" t="inlineStr">
        <is>
          <t>2026-03-27</t>
        </is>
      </c>
      <c r="G742" t="inlineStr">
        <is>
          <t xml:space="preserve"> - Surfer Suite</t>
        </is>
      </c>
      <c r="H742">
        <f>HYPERLINK("https://booking.roadsurfer.com/es/rally/pick?pickup_date=2026-03-20&amp;return_date=2026-03-27&amp;currency=EUR&amp;startStation=35&amp;endStation=2",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Núremberg</t>
        </is>
      </c>
      <c r="E743" t="inlineStr">
        <is>
          <t>2026-03-10</t>
        </is>
      </c>
      <c r="F743" t="inlineStr">
        <is>
          <t>2026-03-17</t>
        </is>
      </c>
      <c r="G743" t="inlineStr">
        <is>
          <t xml:space="preserve"> - Family Finca</t>
        </is>
      </c>
      <c r="H743">
        <f>HYPERLINK("https://booking.roadsurfer.com/es/rally/pick?pickup_date=2026-03-10&amp;return_date=2026-03-17&amp;currency=EUR&amp;startStation=35&amp;endStation=11", "Clic para verlo en la web de RoadSurfer")</f>
        <v/>
      </c>
    </row>
    <row r="744">
      <c r="A744" t="inlineStr">
        <is>
          <t>Países Bajos</t>
        </is>
      </c>
      <c r="B744" t="inlineStr">
        <is>
          <t>Róterdam</t>
        </is>
      </c>
      <c r="C744" t="inlineStr">
        <is>
          <t>Alemania</t>
        </is>
      </c>
      <c r="D744" t="inlineStr">
        <is>
          <t>Dresde</t>
        </is>
      </c>
      <c r="E744" t="inlineStr">
        <is>
          <t>2026-03-05</t>
        </is>
      </c>
      <c r="F744" t="inlineStr">
        <is>
          <t>2026-03-12</t>
        </is>
      </c>
      <c r="G744" t="inlineStr">
        <is>
          <t xml:space="preserve"> - Camper Castle</t>
        </is>
      </c>
      <c r="H744">
        <f>HYPERLINK("https://booking.roadsurfer.com/es/rally/pick?pickup_date=2026-03-05&amp;return_date=2026-03-12&amp;currency=EUR&amp;startStation=33&amp;endStation=56", "Clic para verlo en la web de RoadSurfer")</f>
        <v/>
      </c>
    </row>
    <row r="745">
      <c r="A745" t="inlineStr">
        <is>
          <t>Austria</t>
        </is>
      </c>
      <c r="B745" t="inlineStr">
        <is>
          <t>Salzburgo</t>
        </is>
      </c>
      <c r="C745" t="inlineStr">
        <is>
          <t>Francia</t>
        </is>
      </c>
      <c r="D745" t="inlineStr">
        <is>
          <t>Aix-Marsella</t>
        </is>
      </c>
      <c r="E745" t="inlineStr">
        <is>
          <t>2026-03-16</t>
        </is>
      </c>
      <c r="F745" t="inlineStr">
        <is>
          <t>2026-03-23</t>
        </is>
      </c>
      <c r="G745" t="inlineStr">
        <is>
          <t xml:space="preserve"> - Road House</t>
        </is>
      </c>
      <c r="H745">
        <f>HYPERLINK("https://booking.roadsurfer.com/es/rally/pick?pickup_date=2026-03-16&amp;return_date=2026-03-23&amp;currency=EUR&amp;startStation=85&amp;endStation=16", "Clic para verlo en la web de RoadSurfer")</f>
        <v/>
      </c>
    </row>
    <row r="746">
      <c r="A746" t="inlineStr">
        <is>
          <t>Austria</t>
        </is>
      </c>
      <c r="B746" t="inlineStr">
        <is>
          <t>Salzburgo</t>
        </is>
      </c>
      <c r="C746" t="inlineStr">
        <is>
          <t>Alemania</t>
        </is>
      </c>
      <c r="D746" t="inlineStr">
        <is>
          <t>Colonia-Bonn</t>
        </is>
      </c>
      <c r="E746" t="inlineStr">
        <is>
          <t>2026-03-04</t>
        </is>
      </c>
      <c r="F746" t="inlineStr">
        <is>
          <t>2026-03-11</t>
        </is>
      </c>
      <c r="G746" t="inlineStr">
        <is>
          <t xml:space="preserve"> - Road House</t>
        </is>
      </c>
      <c r="H746">
        <f>HYPERLINK("https://booking.roadsurfer.com/es/rally/pick?pickup_date=2026-03-04&amp;return_date=2026-03-11&amp;currency=EUR&amp;startStation=85&amp;endStation=52", "Clic para verlo en la web de RoadSurfer")</f>
        <v/>
      </c>
    </row>
    <row r="747">
      <c r="A747" t="inlineStr">
        <is>
          <t>Austria</t>
        </is>
      </c>
      <c r="B747" t="inlineStr">
        <is>
          <t>Salzburgo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2026-03-03</t>
        </is>
      </c>
      <c r="F747" t="inlineStr">
        <is>
          <t>2026-03-10</t>
        </is>
      </c>
      <c r="G747" t="inlineStr">
        <is>
          <t xml:space="preserve"> - Family Finca</t>
        </is>
      </c>
      <c r="H747">
        <f>HYPERLINK("https://booking.roadsurfer.com/es/rally/pick?pickup_date=2026-03-03&amp;return_date=2026-03-10&amp;currency=EUR&amp;startStation=85&amp;endStation=91", "Clic para verlo en la web de RoadSurfer")</f>
        <v/>
      </c>
    </row>
    <row r="748">
      <c r="A748" t="inlineStr">
        <is>
          <t>España</t>
        </is>
      </c>
      <c r="B748" t="inlineStr">
        <is>
          <t>Sevilla</t>
        </is>
      </c>
      <c r="C748" t="inlineStr">
        <is>
          <t>Alemania</t>
        </is>
      </c>
      <c r="D748" t="inlineStr">
        <is>
          <t>Maguncia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Family Finca</t>
        </is>
      </c>
      <c r="H748">
        <f>HYPERLINK("https://booking.roadsurfer.com/es/rally/pick?pickup_date=2026-03-12&amp;return_date=2026-03-19&amp;currency=EUR&amp;startStation=39&amp;endStation=54", "Clic para verlo en la web de RoadSurfer")</f>
        <v/>
      </c>
    </row>
    <row r="749">
      <c r="A749" t="inlineStr">
        <is>
          <t>España</t>
        </is>
      </c>
      <c r="B749" t="inlineStr">
        <is>
          <t>Sevilla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No hay coche</t>
        </is>
      </c>
      <c r="H749">
        <f>HYPERLINK("https://booking.roadsurfer.com/es/rally/pick?pickup_date=2026-03-12&amp;return_date=2026-03-19&amp;currency=EUR&amp;startStation=39&amp;endStation=91", "Clic para verlo en la web de RoadSurfer")</f>
        <v/>
      </c>
    </row>
    <row r="750">
      <c r="A750" t="inlineStr">
        <is>
          <t>España</t>
        </is>
      </c>
      <c r="B750" t="inlineStr">
        <is>
          <t>Sevilla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2026-03-02</t>
        </is>
      </c>
      <c r="F750" t="inlineStr">
        <is>
          <t>2026-03-09</t>
        </is>
      </c>
      <c r="G750" t="inlineStr">
        <is>
          <t xml:space="preserve"> - Family Finca</t>
        </is>
      </c>
      <c r="H750">
        <f>HYPERLINK("https://booking.roadsurfer.com/es/rally/pick?pickup_date=2026-03-02&amp;return_date=2026-03-09&amp;currency=EUR&amp;startStation=39&amp;endStation=1", "Clic para verlo en la web de RoadSurfer")</f>
        <v/>
      </c>
    </row>
    <row r="751">
      <c r="A751" t="inlineStr">
        <is>
          <t>España</t>
        </is>
      </c>
      <c r="B751" t="inlineStr">
        <is>
          <t>Sevilla</t>
        </is>
      </c>
      <c r="C751" t="inlineStr">
        <is>
          <t>Alemania</t>
        </is>
      </c>
      <c r="D751" t="inlineStr">
        <is>
          <t>Duisburgo</t>
        </is>
      </c>
      <c r="E751" t="inlineStr">
        <is>
          <t>2026-03-03</t>
        </is>
      </c>
      <c r="F751" t="inlineStr">
        <is>
          <t>2026-03-10</t>
        </is>
      </c>
      <c r="G751" t="inlineStr">
        <is>
          <t xml:space="preserve"> - Surfer Suite</t>
        </is>
      </c>
      <c r="H751">
        <f>HYPERLINK("https://booking.roadsurfer.com/es/rally/pick?pickup_date=2026-03-03&amp;return_date=2026-03-10&amp;currency=EUR&amp;startStation=39&amp;endStation=113",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2026-03-03</t>
        </is>
      </c>
      <c r="F752" t="inlineStr">
        <is>
          <t>2026-03-10</t>
        </is>
      </c>
      <c r="G752" t="inlineStr">
        <is>
          <t xml:space="preserve"> - Surfer Suite</t>
        </is>
      </c>
      <c r="H752">
        <f>HYPERLINK("https://booking.roadsurfer.com/es/rally/pick?pickup_date=2026-03-03&amp;return_date=2026-03-10&amp;currency=EUR&amp;startStation=59&amp;endStation=22",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2026-03-09</t>
        </is>
      </c>
      <c r="F753" t="inlineStr">
        <is>
          <t>2026-03-16</t>
        </is>
      </c>
      <c r="G753" t="inlineStr">
        <is>
          <t xml:space="preserve"> - Surfer Suite</t>
        </is>
      </c>
      <c r="H753">
        <f>HYPERLINK("https://booking.roadsurfer.com/es/rally/pick?pickup_date=2026-03-09&amp;return_date=2026-03-16&amp;currency=EUR&amp;startStation=59&amp;endStation=22",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2026-03-16</t>
        </is>
      </c>
      <c r="F754" t="inlineStr">
        <is>
          <t>2026-03-23</t>
        </is>
      </c>
      <c r="G754" t="inlineStr">
        <is>
          <t xml:space="preserve"> - Sunrise Suite</t>
        </is>
      </c>
      <c r="H754">
        <f>HYPERLINK("https://booking.roadsurfer.com/es/rally/pick?pickup_date=2026-03-16&amp;return_date=2026-03-23&amp;currency=EUR&amp;startStation=59&amp;endStation=22",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2026-03-17</t>
        </is>
      </c>
      <c r="F755" t="inlineStr">
        <is>
          <t>2026-03-24</t>
        </is>
      </c>
      <c r="G755" t="inlineStr">
        <is>
          <t xml:space="preserve"> - Surfer Suite</t>
        </is>
      </c>
      <c r="H755">
        <f>HYPERLINK("https://booking.roadsurfer.com/es/rally/pick?pickup_date=2026-03-17&amp;return_date=2026-03-24&amp;currency=EUR&amp;startStation=59&amp;endStation=22",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2026-03-05</t>
        </is>
      </c>
      <c r="F756" t="inlineStr">
        <is>
          <t>2026-03-12</t>
        </is>
      </c>
      <c r="G756" t="inlineStr">
        <is>
          <t xml:space="preserve"> - Surfer Suite - Camper Castle - Family Finca</t>
        </is>
      </c>
      <c r="H756">
        <f>HYPERLINK("https://booking.roadsurfer.com/es/rally/pick?pickup_date=2026-03-05&amp;return_date=2026-03-12&amp;currency=EUR&amp;startStation=59&amp;endStation=22",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2026-02-27</t>
        </is>
      </c>
      <c r="F757" t="inlineStr">
        <is>
          <t>2026-03-06</t>
        </is>
      </c>
      <c r="G757" t="inlineStr">
        <is>
          <t xml:space="preserve"> - Surfer Suite</t>
        </is>
      </c>
      <c r="H757">
        <f>HYPERLINK("https://booking.roadsurfer.com/es/rally/pick?pickup_date=2026-02-27&amp;return_date=2026-03-06&amp;currency=EUR&amp;startStation=59&amp;endStation=22",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Bremen</t>
        </is>
      </c>
      <c r="E758" t="inlineStr">
        <is>
          <t>2026-03-01</t>
        </is>
      </c>
      <c r="F758" t="inlineStr">
        <is>
          <t>2026-03-08</t>
        </is>
      </c>
      <c r="G758" t="inlineStr">
        <is>
          <t xml:space="preserve"> - No hay coche</t>
        </is>
      </c>
      <c r="H758">
        <f>HYPERLINK("https://booking.roadsurfer.com/es/rally/pick?pickup_date=2026-03-01&amp;return_date=2026-03-08&amp;currency=EUR&amp;startStation=59&amp;endStation=55",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Bremen</t>
        </is>
      </c>
      <c r="E759" t="inlineStr">
        <is>
          <t>2026-02-28</t>
        </is>
      </c>
      <c r="F759" t="inlineStr">
        <is>
          <t>2026-03-07</t>
        </is>
      </c>
      <c r="G759" t="inlineStr">
        <is>
          <t xml:space="preserve"> - Road House</t>
        </is>
      </c>
      <c r="H759">
        <f>HYPERLINK("https://booking.roadsurfer.com/es/rally/pick?pickup_date=2026-02-28&amp;return_date=2026-03-07&amp;currency=EUR&amp;startStation=59&amp;endStation=55",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Bremen</t>
        </is>
      </c>
      <c r="E760" t="inlineStr">
        <is>
          <t>2026-03-05</t>
        </is>
      </c>
      <c r="F760" t="inlineStr">
        <is>
          <t>2026-03-12</t>
        </is>
      </c>
      <c r="G760" t="inlineStr">
        <is>
          <t xml:space="preserve"> - Surfer Suite</t>
        </is>
      </c>
      <c r="H760">
        <f>HYPERLINK("https://booking.roadsurfer.com/es/rally/pick?pickup_date=2026-03-05&amp;return_date=2026-03-12&amp;currency=EUR&amp;startStation=59&amp;endStation=55",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</t>
        </is>
      </c>
      <c r="E761" t="inlineStr">
        <is>
          <t>2026-03-20</t>
        </is>
      </c>
      <c r="F761" t="inlineStr">
        <is>
          <t>2026-03-27</t>
        </is>
      </c>
      <c r="G761" t="inlineStr">
        <is>
          <t xml:space="preserve"> - Surfer Suite</t>
        </is>
      </c>
      <c r="H761">
        <f>HYPERLINK("https://booking.roadsurfer.com/es/rally/pick?pickup_date=2026-03-20&amp;return_date=2026-03-27&amp;currency=EUR&amp;startStation=59&amp;endStation=6",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2026-04-14</t>
        </is>
      </c>
      <c r="F762" t="inlineStr">
        <is>
          <t>2026-04-21</t>
        </is>
      </c>
      <c r="G762" t="inlineStr">
        <is>
          <t xml:space="preserve"> - Couple Cottage</t>
        </is>
      </c>
      <c r="H762">
        <f>HYPERLINK("https://booking.roadsurfer.com/es/rally/pick?pickup_date=2026-04-14&amp;return_date=2026-04-21&amp;currency=EUR&amp;startStation=59&amp;endStation=90",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Erfurt</t>
        </is>
      </c>
      <c r="E763" t="inlineStr">
        <is>
          <t>2026-03-24</t>
        </is>
      </c>
      <c r="F763" t="inlineStr">
        <is>
          <t>2026-03-31</t>
        </is>
      </c>
      <c r="G763" t="inlineStr">
        <is>
          <t xml:space="preserve"> - Surfer Suite - Sunrise Suite</t>
        </is>
      </c>
      <c r="H763">
        <f>HYPERLINK("https://booking.roadsurfer.com/es/rally/pick?pickup_date=2026-03-24&amp;return_date=2026-03-31&amp;currency=EUR&amp;startStation=59&amp;endStation=90",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2026-04-16</t>
        </is>
      </c>
      <c r="F764" t="inlineStr">
        <is>
          <t>2026-04-23</t>
        </is>
      </c>
      <c r="G764" t="inlineStr">
        <is>
          <t xml:space="preserve"> - Road House</t>
        </is>
      </c>
      <c r="H764">
        <f>HYPERLINK("https://booking.roadsurfer.com/es/rally/pick?pickup_date=2026-04-16&amp;return_date=2026-04-23&amp;currency=EUR&amp;startStation=59&amp;endStation=90",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2026-03-20</t>
        </is>
      </c>
      <c r="F765" t="inlineStr">
        <is>
          <t>2026-03-27</t>
        </is>
      </c>
      <c r="G765" t="inlineStr"/>
      <c r="H765">
        <f>HYPERLINK("https://booking.roadsurfer.com/es/rally/pick?pickup_date=2026-03-20&amp;return_date=2026-03-27&amp;currency=EUR&amp;startStation=59&amp;endStation=90",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2026-03-21</t>
        </is>
      </c>
      <c r="F766" t="inlineStr">
        <is>
          <t>2026-03-28</t>
        </is>
      </c>
      <c r="G766" t="inlineStr"/>
      <c r="H766">
        <f>HYPERLINK("https://booking.roadsurfer.com/es/rally/pick?pickup_date=2026-03-21&amp;return_date=2026-03-28&amp;currency=EUR&amp;startStation=59&amp;endStation=90",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Ratisbona</t>
        </is>
      </c>
      <c r="E767" t="inlineStr">
        <is>
          <t>2026-03-12</t>
        </is>
      </c>
      <c r="F767" t="inlineStr">
        <is>
          <t>2026-03-19</t>
        </is>
      </c>
      <c r="G767" t="inlineStr">
        <is>
          <t xml:space="preserve"> - Camper Castle</t>
        </is>
      </c>
      <c r="H767">
        <f>HYPERLINK("https://booking.roadsurfer.com/es/rally/pick?pickup_date=2026-03-12&amp;return_date=2026-03-19&amp;currency=EUR&amp;startStation=59&amp;endStation=89",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Ratisbona</t>
        </is>
      </c>
      <c r="E768" t="inlineStr">
        <is>
          <t>2026-03-06</t>
        </is>
      </c>
      <c r="F768" t="inlineStr">
        <is>
          <t>2026-03-13</t>
        </is>
      </c>
      <c r="G768" t="inlineStr">
        <is>
          <t xml:space="preserve"> - Camper Castle</t>
        </is>
      </c>
      <c r="H768">
        <f>HYPERLINK("https://booking.roadsurfer.com/es/rally/pick?pickup_date=2026-03-06&amp;return_date=2026-03-13&amp;currency=EUR&amp;startStation=59&amp;endStation=89",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Ratisbona</t>
        </is>
      </c>
      <c r="E769" t="inlineStr">
        <is>
          <t>2026-03-21</t>
        </is>
      </c>
      <c r="F769" t="inlineStr">
        <is>
          <t>2026-03-28</t>
        </is>
      </c>
      <c r="G769" t="inlineStr">
        <is>
          <t xml:space="preserve"> - Surfer Suite</t>
        </is>
      </c>
      <c r="H769">
        <f>HYPERLINK("https://booking.roadsurfer.com/es/rally/pick?pickup_date=2026-03-21&amp;return_date=2026-03-28&amp;currency=EUR&amp;startStation=59&amp;endStation=89",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Hamburgo</t>
        </is>
      </c>
      <c r="E770" t="inlineStr">
        <is>
          <t>2026-02-28</t>
        </is>
      </c>
      <c r="F770" t="inlineStr">
        <is>
          <t>2026-03-07</t>
        </is>
      </c>
      <c r="G770" t="inlineStr">
        <is>
          <t xml:space="preserve"> - Family Finca</t>
        </is>
      </c>
      <c r="H770">
        <f>HYPERLINK("https://booking.roadsurfer.com/es/rally/pick?pickup_date=2026-02-28&amp;return_date=2026-03-07&amp;currency=EUR&amp;startStation=59&amp;endStation=3",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Hamburgo</t>
        </is>
      </c>
      <c r="E771" t="inlineStr">
        <is>
          <t>2026-03-05</t>
        </is>
      </c>
      <c r="F771" t="inlineStr">
        <is>
          <t>2026-03-12</t>
        </is>
      </c>
      <c r="G771" t="inlineStr">
        <is>
          <t xml:space="preserve"> - Beach Hostel</t>
        </is>
      </c>
      <c r="H771">
        <f>HYPERLINK("https://booking.roadsurfer.com/es/rally/pick?pickup_date=2026-03-05&amp;return_date=2026-03-12&amp;currency=EUR&amp;startStation=59&amp;endStation=3",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Hamburgo</t>
        </is>
      </c>
      <c r="E772" t="inlineStr">
        <is>
          <t>2026-03-03</t>
        </is>
      </c>
      <c r="F772" t="inlineStr">
        <is>
          <t>2026-03-10</t>
        </is>
      </c>
      <c r="G772" t="inlineStr">
        <is>
          <t xml:space="preserve"> - Surfer Suite</t>
        </is>
      </c>
      <c r="H772">
        <f>HYPERLINK("https://booking.roadsurfer.com/es/rally/pick?pickup_date=2026-03-03&amp;return_date=2026-03-10&amp;currency=EUR&amp;startStation=59&amp;endStation=3",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2026-03-05</t>
        </is>
      </c>
      <c r="F773" t="inlineStr">
        <is>
          <t>2026-03-12</t>
        </is>
      </c>
      <c r="G773" t="inlineStr">
        <is>
          <t xml:space="preserve"> - Road House</t>
        </is>
      </c>
      <c r="H773">
        <f>HYPERLINK("https://booking.roadsurfer.com/es/rally/pick?pickup_date=2026-03-05&amp;return_date=2026-03-12&amp;currency=EUR&amp;startStation=59&amp;endStation=56",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2026-03-04</t>
        </is>
      </c>
      <c r="F774" t="inlineStr">
        <is>
          <t>2026-03-11</t>
        </is>
      </c>
      <c r="G774" t="inlineStr">
        <is>
          <t xml:space="preserve"> - Family Finca</t>
        </is>
      </c>
      <c r="H774">
        <f>HYPERLINK("https://booking.roadsurfer.com/es/rally/pick?pickup_date=2026-03-04&amp;return_date=2026-03-11&amp;currency=EUR&amp;startStation=59&amp;endStation=56",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Dresde</t>
        </is>
      </c>
      <c r="E775" t="inlineStr">
        <is>
          <t>2026-03-10</t>
        </is>
      </c>
      <c r="F775" t="inlineStr">
        <is>
          <t>2026-03-17</t>
        </is>
      </c>
      <c r="G775" t="inlineStr">
        <is>
          <t xml:space="preserve"> - Road House</t>
        </is>
      </c>
      <c r="H775">
        <f>HYPERLINK("https://booking.roadsurfer.com/es/rally/pick?pickup_date=2026-03-10&amp;return_date=2026-03-17&amp;currency=EUR&amp;startStation=59&amp;endStation=56",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Dresde</t>
        </is>
      </c>
      <c r="E776" t="inlineStr">
        <is>
          <t>2026-03-24</t>
        </is>
      </c>
      <c r="F776" t="inlineStr">
        <is>
          <t>2026-03-31</t>
        </is>
      </c>
      <c r="G776" t="inlineStr">
        <is>
          <t xml:space="preserve"> - Surfer Suite</t>
        </is>
      </c>
      <c r="H776">
        <f>HYPERLINK("https://booking.roadsurfer.com/es/rally/pick?pickup_date=2026-03-24&amp;return_date=2026-03-31&amp;currency=EUR&amp;startStation=59&amp;endStation=56",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Bielefeld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Road House</t>
        </is>
      </c>
      <c r="H777">
        <f>HYPERLINK("https://booking.roadsurfer.com/es/rally/pick?pickup_date=2026-04-13&amp;return_date=2026-04-20&amp;currency=EUR&amp;startStation=59&amp;endStation=91",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Bielefeld</t>
        </is>
      </c>
      <c r="E778" t="inlineStr">
        <is>
          <t>2026-04-14</t>
        </is>
      </c>
      <c r="F778" t="inlineStr">
        <is>
          <t>2026-04-21</t>
        </is>
      </c>
      <c r="G778" t="inlineStr">
        <is>
          <t xml:space="preserve"> - Road House</t>
        </is>
      </c>
      <c r="H778">
        <f>HYPERLINK("https://booking.roadsurfer.com/es/rally/pick?pickup_date=2026-04-14&amp;return_date=2026-04-21&amp;currency=EUR&amp;startStation=59&amp;endStation=91",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Bielefeld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Beach Hostel</t>
        </is>
      </c>
      <c r="H779">
        <f>HYPERLINK("https://booking.roadsurfer.com/es/rally/pick?pickup_date=2026-03-17&amp;return_date=2026-03-24&amp;currency=EUR&amp;startStation=59&amp;endStation=91",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Augsburgo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Camper Castle</t>
        </is>
      </c>
      <c r="H780">
        <f>HYPERLINK("https://booking.roadsurfer.com/es/rally/pick?pickup_date=2026-03-12&amp;return_date=2026-03-19&amp;currency=EUR&amp;startStation=59&amp;endStation=108",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Augsburgo</t>
        </is>
      </c>
      <c r="E781" t="inlineStr">
        <is>
          <t>2026-04-15</t>
        </is>
      </c>
      <c r="F781" t="inlineStr">
        <is>
          <t>2026-04-22</t>
        </is>
      </c>
      <c r="G781" t="inlineStr">
        <is>
          <t xml:space="preserve"> - Camper Castle</t>
        </is>
      </c>
      <c r="H781">
        <f>HYPERLINK("https://booking.roadsurfer.com/es/rally/pick?pickup_date=2026-04-15&amp;return_date=2026-04-22&amp;currency=EUR&amp;startStation=59&amp;endStation=108",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Karlsruhe</t>
        </is>
      </c>
      <c r="E782" t="inlineStr">
        <is>
          <t>2026-04-14</t>
        </is>
      </c>
      <c r="F782" t="inlineStr">
        <is>
          <t>2026-04-21</t>
        </is>
      </c>
      <c r="G782" t="inlineStr">
        <is>
          <t xml:space="preserve"> - Camper Castle</t>
        </is>
      </c>
      <c r="H782">
        <f>HYPERLINK("https://booking.roadsurfer.com/es/rally/pick?pickup_date=2026-04-14&amp;return_date=2026-04-21&amp;currency=EUR&amp;startStation=59&amp;endStation=110",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Karlsruhe</t>
        </is>
      </c>
      <c r="E783" t="inlineStr">
        <is>
          <t>2026-03-13</t>
        </is>
      </c>
      <c r="F783" t="inlineStr">
        <is>
          <t>2026-03-20</t>
        </is>
      </c>
      <c r="G783" t="inlineStr">
        <is>
          <t xml:space="preserve"> - Camper Castle</t>
        </is>
      </c>
      <c r="H783">
        <f>HYPERLINK("https://booking.roadsurfer.com/es/rally/pick?pickup_date=2026-03-13&amp;return_date=2026-03-20&amp;currency=EUR&amp;startStation=59&amp;endStation=110",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Lindau-Wangen</t>
        </is>
      </c>
      <c r="E784" t="inlineStr">
        <is>
          <t>2026-04-15</t>
        </is>
      </c>
      <c r="F784" t="inlineStr">
        <is>
          <t>2026-04-22</t>
        </is>
      </c>
      <c r="G784" t="inlineStr">
        <is>
          <t xml:space="preserve"> - Camper Castle</t>
        </is>
      </c>
      <c r="H784">
        <f>HYPERLINK("https://booking.roadsurfer.com/es/rally/pick?pickup_date=2026-04-15&amp;return_date=2026-04-22&amp;currency=EUR&amp;startStation=59&amp;endStation=117",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Duisburgo</t>
        </is>
      </c>
      <c r="E785" t="inlineStr">
        <is>
          <t>2026-04-20</t>
        </is>
      </c>
      <c r="F785" t="inlineStr">
        <is>
          <t>2026-04-27</t>
        </is>
      </c>
      <c r="G785" t="inlineStr">
        <is>
          <t xml:space="preserve"> - Camper Castle</t>
        </is>
      </c>
      <c r="H785">
        <f>HYPERLINK("https://booking.roadsurfer.com/es/rally/pick?pickup_date=2026-04-20&amp;return_date=2026-04-27&amp;currency=EUR&amp;startStation=59&amp;endStation=113",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2026-03-09</t>
        </is>
      </c>
      <c r="F786" t="inlineStr">
        <is>
          <t>2026-03-16</t>
        </is>
      </c>
      <c r="G786" t="inlineStr">
        <is>
          <t xml:space="preserve"> - Sunrise Suite</t>
        </is>
      </c>
      <c r="H786">
        <f>HYPERLINK("https://booking.roadsurfer.com/es/rally/pick?pickup_date=2026-03-09&amp;return_date=2026-03-16&amp;currency=EUR&amp;startStation=59&amp;endStation=2",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Fráncfort</t>
        </is>
      </c>
      <c r="E787" t="inlineStr">
        <is>
          <t>2026-03-10</t>
        </is>
      </c>
      <c r="F787" t="inlineStr">
        <is>
          <t>2026-03-17</t>
        </is>
      </c>
      <c r="G787" t="inlineStr">
        <is>
          <t xml:space="preserve"> - Sunrise Suite</t>
        </is>
      </c>
      <c r="H787">
        <f>HYPERLINK("https://booking.roadsurfer.com/es/rally/pick?pickup_date=2026-03-10&amp;return_date=2026-03-17&amp;currency=EUR&amp;startStation=59&amp;endStation=2", "Clic para verlo en la web de RoadSurfer")</f>
        <v/>
      </c>
    </row>
    <row r="788">
      <c r="A788" t="inlineStr">
        <is>
          <t>Francia</t>
        </is>
      </c>
      <c r="B788" t="inlineStr">
        <is>
          <t>Estrasburgo</t>
        </is>
      </c>
      <c r="C788" t="inlineStr">
        <is>
          <t>Alemania</t>
        </is>
      </c>
      <c r="D788" t="inlineStr">
        <is>
          <t>Fráncfort</t>
        </is>
      </c>
      <c r="E788" t="inlineStr">
        <is>
          <t>2026-03-09</t>
        </is>
      </c>
      <c r="F788" t="inlineStr">
        <is>
          <t>2026-03-16</t>
        </is>
      </c>
      <c r="G788" t="inlineStr">
        <is>
          <t xml:space="preserve"> - Beach Hostel</t>
        </is>
      </c>
      <c r="H788">
        <f>HYPERLINK("https://booking.roadsurfer.com/es/rally/pick?pickup_date=2026-03-09&amp;return_date=2026-03-16&amp;currency=EUR&amp;startStation=49&amp;endStation=2",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Surfer Suite - Road House</t>
        </is>
      </c>
      <c r="H789">
        <f>HYPERLINK("https://booking.roadsurfer.com/es/rally/pick?pickup_date=2026-03-19&amp;return_date=2026-03-26&amp;currency=EUR&amp;startStation=5&amp;endStation=40",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2026-03-30</t>
        </is>
      </c>
      <c r="F790" t="inlineStr">
        <is>
          <t>2026-04-06</t>
        </is>
      </c>
      <c r="G790" t="inlineStr">
        <is>
          <t xml:space="preserve"> - No hay coche</t>
        </is>
      </c>
      <c r="H790">
        <f>HYPERLINK("https://booking.roadsurfer.com/es/rally/pick?pickup_date=2026-03-30&amp;return_date=2026-04-06&amp;currency=EUR&amp;startStation=5&amp;endStation=40",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Bilbao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Road House</t>
        </is>
      </c>
      <c r="H791">
        <f>HYPERLINK("https://booking.roadsurfer.com/es/rally/pick?pickup_date=2026-03-16&amp;return_date=2026-03-23&amp;currency=EUR&amp;startStation=5&amp;endStation=40",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Bilbao</t>
        </is>
      </c>
      <c r="E792" t="inlineStr">
        <is>
          <t>2026-02-28</t>
        </is>
      </c>
      <c r="F792" t="inlineStr">
        <is>
          <t>2026-03-07</t>
        </is>
      </c>
      <c r="G792" t="inlineStr">
        <is>
          <t xml:space="preserve"> - Beach Hostel</t>
        </is>
      </c>
      <c r="H792">
        <f>HYPERLINK("https://booking.roadsurfer.com/es/rally/pick?pickup_date=2026-02-28&amp;return_date=2026-03-07&amp;currency=EUR&amp;startStation=5&amp;endStation=40",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Italia</t>
        </is>
      </c>
      <c r="D793" t="inlineStr">
        <is>
          <t>Milán</t>
        </is>
      </c>
      <c r="E793" t="inlineStr">
        <is>
          <t>2026-02-27</t>
        </is>
      </c>
      <c r="F793" t="inlineStr">
        <is>
          <t>2026-03-06</t>
        </is>
      </c>
      <c r="G793" t="inlineStr">
        <is>
          <t xml:space="preserve"> - No hay coche</t>
        </is>
      </c>
      <c r="H793">
        <f>HYPERLINK("https://booking.roadsurfer.com/es/rally/pick?pickup_date=2026-02-27&amp;return_date=2026-03-06&amp;currency=EUR&amp;startStation=5&amp;endStation=34",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Italia</t>
        </is>
      </c>
      <c r="D794" t="inlineStr">
        <is>
          <t>Milán</t>
        </is>
      </c>
      <c r="E794" t="inlineStr">
        <is>
          <t>2026-03-13</t>
        </is>
      </c>
      <c r="F794" t="inlineStr">
        <is>
          <t>2026-03-20</t>
        </is>
      </c>
      <c r="G794" t="inlineStr">
        <is>
          <t xml:space="preserve"> - Surfer Suite</t>
        </is>
      </c>
      <c r="H794">
        <f>HYPERLINK("https://booking.roadsurfer.com/es/rally/pick?pickup_date=2026-03-13&amp;return_date=2026-03-20&amp;currency=EUR&amp;startStation=5&amp;endStation=34",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Italia</t>
        </is>
      </c>
      <c r="D795" t="inlineStr">
        <is>
          <t>Turín</t>
        </is>
      </c>
      <c r="E795" t="inlineStr">
        <is>
          <t>2026-03-03</t>
        </is>
      </c>
      <c r="F795" t="inlineStr">
        <is>
          <t>2026-03-10</t>
        </is>
      </c>
      <c r="G795" t="inlineStr">
        <is>
          <t xml:space="preserve"> - Surfer Suite</t>
        </is>
      </c>
      <c r="H795">
        <f>HYPERLINK("https://booking.roadsurfer.com/es/rally/pick?pickup_date=2026-03-03&amp;return_date=2026-03-10&amp;currency=EUR&amp;startStation=5&amp;endStation=58",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Italia</t>
        </is>
      </c>
      <c r="D796" t="inlineStr">
        <is>
          <t>Turín</t>
        </is>
      </c>
      <c r="E796" t="inlineStr">
        <is>
          <t>2026-03-05</t>
        </is>
      </c>
      <c r="F796" t="inlineStr">
        <is>
          <t>2026-03-12</t>
        </is>
      </c>
      <c r="G796" t="inlineStr">
        <is>
          <t xml:space="preserve"> - Road House</t>
        </is>
      </c>
      <c r="H796">
        <f>HYPERLINK("https://booking.roadsurfer.com/es/rally/pick?pickup_date=2026-03-05&amp;return_date=2026-03-12&amp;currency=EUR&amp;startStation=5&amp;endStation=58",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Austria</t>
        </is>
      </c>
      <c r="D797" t="inlineStr">
        <is>
          <t>Viena</t>
        </is>
      </c>
      <c r="E797" t="inlineStr">
        <is>
          <t>2026-03-23</t>
        </is>
      </c>
      <c r="F797" t="inlineStr">
        <is>
          <t>2026-03-30</t>
        </is>
      </c>
      <c r="G797" t="inlineStr">
        <is>
          <t xml:space="preserve"> - Surfer Suite</t>
        </is>
      </c>
      <c r="H797">
        <f>HYPERLINK("https://booking.roadsurfer.com/es/rally/pick?pickup_date=2026-03-23&amp;return_date=2026-03-30&amp;currency=EUR&amp;startStation=5&amp;endStation=36",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Austria</t>
        </is>
      </c>
      <c r="D798" t="inlineStr">
        <is>
          <t>Viena Sur</t>
        </is>
      </c>
      <c r="E798" t="inlineStr">
        <is>
          <t>2026-03-04</t>
        </is>
      </c>
      <c r="F798" t="inlineStr">
        <is>
          <t>2026-03-11</t>
        </is>
      </c>
      <c r="G798" t="inlineStr">
        <is>
          <t xml:space="preserve"> - Surfer Suite</t>
        </is>
      </c>
      <c r="H798">
        <f>HYPERLINK("https://booking.roadsurfer.com/es/rally/pick?pickup_date=2026-03-04&amp;return_date=2026-03-11&amp;currency=EUR&amp;startStation=5&amp;endStation=45",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Madrid</t>
        </is>
      </c>
      <c r="E799" t="inlineStr">
        <is>
          <t>2026-04-01</t>
        </is>
      </c>
      <c r="F799" t="inlineStr">
        <is>
          <t>2026-04-08</t>
        </is>
      </c>
      <c r="G799" t="inlineStr">
        <is>
          <t xml:space="preserve"> - Beach Hostel</t>
        </is>
      </c>
      <c r="H799">
        <f>HYPERLINK("https://booking.roadsurfer.com/es/rally/pick?pickup_date=2026-04-01&amp;return_date=2026-04-08&amp;currency=EUR&amp;startStation=5&amp;endStation=20",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Madrid</t>
        </is>
      </c>
      <c r="E800" t="inlineStr">
        <is>
          <t>2026-03-02</t>
        </is>
      </c>
      <c r="F800" t="inlineStr">
        <is>
          <t>2026-03-09</t>
        </is>
      </c>
      <c r="G800" t="inlineStr">
        <is>
          <t xml:space="preserve"> - Surfer Suite</t>
        </is>
      </c>
      <c r="H800">
        <f>HYPERLINK("https://booking.roadsurfer.com/es/rally/pick?pickup_date=2026-03-02&amp;return_date=2026-03-09&amp;currency=EUR&amp;startStation=5&amp;endStation=20",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Portugal</t>
        </is>
      </c>
      <c r="D801" t="inlineStr">
        <is>
          <t>Lisboa</t>
        </is>
      </c>
      <c r="E801" t="inlineStr">
        <is>
          <t>2026-03-02</t>
        </is>
      </c>
      <c r="F801" t="inlineStr">
        <is>
          <t>2026-03-09</t>
        </is>
      </c>
      <c r="G801" t="inlineStr">
        <is>
          <t xml:space="preserve"> - Surfer Suite</t>
        </is>
      </c>
      <c r="H801">
        <f>HYPERLINK("https://booking.roadsurfer.com/es/rally/pick?pickup_date=2026-03-02&amp;return_date=2026-03-09&amp;currency=EUR&amp;startStation=5&amp;endStation=18",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Países Bajos</t>
        </is>
      </c>
      <c r="D802" t="inlineStr">
        <is>
          <t>Ámsterdam</t>
        </is>
      </c>
      <c r="E802" t="inlineStr">
        <is>
          <t>2026-03-03</t>
        </is>
      </c>
      <c r="F802" t="inlineStr">
        <is>
          <t>2026-03-10</t>
        </is>
      </c>
      <c r="G802" t="inlineStr">
        <is>
          <t xml:space="preserve"> - SURFER SUITE</t>
        </is>
      </c>
      <c r="H802">
        <f>HYPERLINK("https://booking.roadsurfer.com/es/rally/pick?pickup_date=2026-03-03&amp;return_date=2026-03-10&amp;currency=EUR&amp;startStation=5&amp;endStation=32",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Niza</t>
        </is>
      </c>
      <c r="E803" t="inlineStr">
        <is>
          <t>2026-03-19</t>
        </is>
      </c>
      <c r="F803" t="inlineStr">
        <is>
          <t>2026-03-26</t>
        </is>
      </c>
      <c r="G803" t="inlineStr">
        <is>
          <t xml:space="preserve"> - Beach Hostel</t>
        </is>
      </c>
      <c r="H803">
        <f>HYPERLINK("https://booking.roadsurfer.com/es/rally/pick?pickup_date=2026-03-19&amp;return_date=2026-03-26&amp;currency=EUR&amp;startStation=5&amp;endStation=88",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Sevilla</t>
        </is>
      </c>
      <c r="E804" t="inlineStr">
        <is>
          <t>2026-03-03</t>
        </is>
      </c>
      <c r="F804" t="inlineStr">
        <is>
          <t>2026-03-10</t>
        </is>
      </c>
      <c r="G804" t="inlineStr">
        <is>
          <t xml:space="preserve"> - BEACH HOSTEL</t>
        </is>
      </c>
      <c r="H804">
        <f>HYPERLINK("https://booking.roadsurfer.com/es/rally/pick?pickup_date=2026-03-03&amp;return_date=2026-03-10&amp;currency=EUR&amp;startStation=5&amp;endStation=39",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España</t>
        </is>
      </c>
      <c r="D805" t="inlineStr">
        <is>
          <t>Sevilla</t>
        </is>
      </c>
      <c r="E805" t="inlineStr">
        <is>
          <t>2026-03-18</t>
        </is>
      </c>
      <c r="F805" t="inlineStr">
        <is>
          <t>2026-03-25</t>
        </is>
      </c>
      <c r="G805" t="inlineStr">
        <is>
          <t xml:space="preserve"> - Beach Hostel</t>
        </is>
      </c>
      <c r="H805">
        <f>HYPERLINK("https://booking.roadsurfer.com/es/rally/pick?pickup_date=2026-03-18&amp;return_date=2026-03-25&amp;currency=EUR&amp;startStation=5&amp;endStation=39",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España</t>
        </is>
      </c>
      <c r="D806" t="inlineStr">
        <is>
          <t>Sevilla</t>
        </is>
      </c>
      <c r="E806" t="inlineStr">
        <is>
          <t>2026-03-02</t>
        </is>
      </c>
      <c r="F806" t="inlineStr">
        <is>
          <t>2026-03-09</t>
        </is>
      </c>
      <c r="G806" t="inlineStr">
        <is>
          <t xml:space="preserve"> - Road House</t>
        </is>
      </c>
      <c r="H806">
        <f>HYPERLINK("https://booking.roadsurfer.com/es/rally/pick?pickup_date=2026-03-02&amp;return_date=2026-03-09&amp;currency=EUR&amp;startStation=5&amp;endStation=39",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España</t>
        </is>
      </c>
      <c r="D807" t="inlineStr">
        <is>
          <t>Sevilla</t>
        </is>
      </c>
      <c r="E807" t="inlineStr">
        <is>
          <t>2026-03-05</t>
        </is>
      </c>
      <c r="F807" t="inlineStr">
        <is>
          <t>2026-03-12</t>
        </is>
      </c>
      <c r="G807" t="inlineStr">
        <is>
          <t xml:space="preserve"> - Couple Cottage</t>
        </is>
      </c>
      <c r="H807">
        <f>HYPERLINK("https://booking.roadsurfer.com/es/rally/pick?pickup_date=2026-03-05&amp;return_date=2026-03-12&amp;currency=EUR&amp;startStation=5&amp;endStation=39",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España</t>
        </is>
      </c>
      <c r="D808" t="inlineStr">
        <is>
          <t>Valencia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Camper Castle</t>
        </is>
      </c>
      <c r="H808">
        <f>HYPERLINK("https://booking.roadsurfer.com/es/rally/pick?pickup_date=2026-03-19&amp;return_date=2026-03-26&amp;currency=EUR&amp;startStation=5&amp;endStation=38",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España</t>
        </is>
      </c>
      <c r="D809" t="inlineStr">
        <is>
          <t>Valencia</t>
        </is>
      </c>
      <c r="E809" t="inlineStr">
        <is>
          <t>2026-03-25</t>
        </is>
      </c>
      <c r="F809" t="inlineStr">
        <is>
          <t>2026-04-01</t>
        </is>
      </c>
      <c r="G809" t="inlineStr">
        <is>
          <t xml:space="preserve"> - Beach Hostel</t>
        </is>
      </c>
      <c r="H809">
        <f>HYPERLINK("https://booking.roadsurfer.com/es/rally/pick?pickup_date=2026-03-25&amp;return_date=2026-04-01&amp;currency=EUR&amp;startStation=5&amp;endStation=38",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Austria</t>
        </is>
      </c>
      <c r="D810" t="inlineStr">
        <is>
          <t>Linz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Beach Hostel</t>
        </is>
      </c>
      <c r="H810">
        <f>HYPERLINK("https://booking.roadsurfer.com/es/rally/pick?pickup_date=2026-03-20&amp;return_date=2026-03-27&amp;currency=EUR&amp;startStation=5&amp;endStation=116",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Países Bajos</t>
        </is>
      </c>
      <c r="D811" t="inlineStr">
        <is>
          <t>Róterdam</t>
        </is>
      </c>
      <c r="E811" t="inlineStr">
        <is>
          <t>2026-03-04</t>
        </is>
      </c>
      <c r="F811" t="inlineStr">
        <is>
          <t>2026-03-11</t>
        </is>
      </c>
      <c r="G811" t="inlineStr">
        <is>
          <t xml:space="preserve"> - Camper Castle</t>
        </is>
      </c>
      <c r="H811">
        <f>HYPERLINK("https://booking.roadsurfer.com/es/rally/pick?pickup_date=2026-03-04&amp;return_date=2026-03-11&amp;currency=EUR&amp;startStation=5&amp;endStation=33",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Países Bajos</t>
        </is>
      </c>
      <c r="D812" t="inlineStr">
        <is>
          <t>Róterdam</t>
        </is>
      </c>
      <c r="E812" t="inlineStr">
        <is>
          <t>2026-03-23</t>
        </is>
      </c>
      <c r="F812" t="inlineStr">
        <is>
          <t>2026-03-30</t>
        </is>
      </c>
      <c r="G812" t="inlineStr">
        <is>
          <t xml:space="preserve"> - Camper Cabin</t>
        </is>
      </c>
      <c r="H812">
        <f>HYPERLINK("https://booking.roadsurfer.com/es/rally/pick?pickup_date=2026-03-23&amp;return_date=2026-03-30&amp;currency=EUR&amp;startStation=5&amp;endStation=33",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Francia</t>
        </is>
      </c>
      <c r="D813" t="inlineStr">
        <is>
          <t>Ginebra-Pays de Gex (Francia)</t>
        </is>
      </c>
      <c r="E813" t="inlineStr">
        <is>
          <t>2026-03-05</t>
        </is>
      </c>
      <c r="F813" t="inlineStr">
        <is>
          <t>2026-03-12</t>
        </is>
      </c>
      <c r="G813" t="inlineStr">
        <is>
          <t xml:space="preserve"> - Camper Cabin</t>
        </is>
      </c>
      <c r="H813">
        <f>HYPERLINK("https://booking.roadsurfer.com/es/rally/pick?pickup_date=2026-03-05&amp;return_date=2026-03-12&amp;currency=EUR&amp;startStation=5&amp;endStation=29",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Ginebra-Pays de Gex (Francia)</t>
        </is>
      </c>
      <c r="E814" t="inlineStr">
        <is>
          <t>2026-03-02</t>
        </is>
      </c>
      <c r="F814" t="inlineStr">
        <is>
          <t>2026-03-09</t>
        </is>
      </c>
      <c r="G814" t="inlineStr">
        <is>
          <t xml:space="preserve"> - Road House</t>
        </is>
      </c>
      <c r="H814">
        <f>HYPERLINK("https://booking.roadsurfer.com/es/rally/pick?pickup_date=2026-03-02&amp;return_date=2026-03-09&amp;currency=EUR&amp;startStation=5&amp;endStation=29",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Austria</t>
        </is>
      </c>
      <c r="D815" t="inlineStr">
        <is>
          <t>Graz</t>
        </is>
      </c>
      <c r="E815" t="inlineStr">
        <is>
          <t>2026-03-24</t>
        </is>
      </c>
      <c r="F815" t="inlineStr">
        <is>
          <t>2026-03-31</t>
        </is>
      </c>
      <c r="G815" t="inlineStr">
        <is>
          <t xml:space="preserve"> - Road House</t>
        </is>
      </c>
      <c r="H815">
        <f>HYPERLINK("https://booking.roadsurfer.com/es/rally/pick?pickup_date=2026-03-24&amp;return_date=2026-03-31&amp;currency=EUR&amp;startStation=5&amp;endStation=37",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2026-03-15</t>
        </is>
      </c>
      <c r="F816" t="inlineStr">
        <is>
          <t>2026-03-22</t>
        </is>
      </c>
      <c r="G816" t="inlineStr">
        <is>
          <t xml:space="preserve"> - No hay coche</t>
        </is>
      </c>
      <c r="H816">
        <f>HYPERLINK("https://booking.roadsurfer.com/es/rally/pick?pickup_date=2026-03-15&amp;return_date=2026-03-22&amp;currency=EUR&amp;startStation=5&amp;endStation=56",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Austria</t>
        </is>
      </c>
      <c r="D817" t="inlineStr">
        <is>
          <t>Innsbruck-Wiesing</t>
        </is>
      </c>
      <c r="E817" t="inlineStr">
        <is>
          <t>2026-03-03</t>
        </is>
      </c>
      <c r="F817" t="inlineStr">
        <is>
          <t>2026-03-10</t>
        </is>
      </c>
      <c r="G817" t="inlineStr">
        <is>
          <t xml:space="preserve"> - Camper Castle</t>
        </is>
      </c>
      <c r="H817">
        <f>HYPERLINK("https://booking.roadsurfer.com/es/rally/pick?pickup_date=2026-03-03&amp;return_date=2026-03-10&amp;currency=EUR&amp;startStation=5&amp;endStation=46",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París Aeropuerto CDG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Family Finca</t>
        </is>
      </c>
      <c r="H818">
        <f>HYPERLINK("https://booking.roadsurfer.com/es/rally/pick?pickup_date=2026-03-20&amp;return_date=2026-03-27&amp;currency=EUR&amp;startStation=5&amp;endStation=48",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Francia</t>
        </is>
      </c>
      <c r="D819" t="inlineStr">
        <is>
          <t>Burdeos</t>
        </is>
      </c>
      <c r="E819" t="inlineStr">
        <is>
          <t>2026-03-02</t>
        </is>
      </c>
      <c r="F819" t="inlineStr">
        <is>
          <t>2026-03-09</t>
        </is>
      </c>
      <c r="G819" t="inlineStr"/>
      <c r="H819">
        <f>HYPERLINK("https://booking.roadsurfer.com/es/rally/pick?pickup_date=2026-03-02&amp;return_date=2026-03-09&amp;currency=EUR&amp;startStation=5&amp;endStation=13",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Francia</t>
        </is>
      </c>
      <c r="D820" t="inlineStr">
        <is>
          <t>Burdeos</t>
        </is>
      </c>
      <c r="E820" t="inlineStr">
        <is>
          <t>2026-03-06</t>
        </is>
      </c>
      <c r="F820" t="inlineStr">
        <is>
          <t>2026-03-13</t>
        </is>
      </c>
      <c r="G820" t="inlineStr">
        <is>
          <t xml:space="preserve"> - Family Finca</t>
        </is>
      </c>
      <c r="H820">
        <f>HYPERLINK("https://booking.roadsurfer.com/es/rally/pick?pickup_date=2026-03-06&amp;return_date=2026-03-13&amp;currency=EUR&amp;startStation=5&amp;endStation=13",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Francia</t>
        </is>
      </c>
      <c r="D821" t="inlineStr">
        <is>
          <t>Aix-Marsella</t>
        </is>
      </c>
      <c r="E821" t="inlineStr">
        <is>
          <t>2026-03-31</t>
        </is>
      </c>
      <c r="F821" t="inlineStr">
        <is>
          <t>2026-04-07</t>
        </is>
      </c>
      <c r="G821" t="inlineStr">
        <is>
          <t xml:space="preserve"> - Family Finca</t>
        </is>
      </c>
      <c r="H821">
        <f>HYPERLINK("https://booking.roadsurfer.com/es/rally/pick?pickup_date=2026-03-31&amp;return_date=2026-04-07&amp;currency=EUR&amp;startStation=5&amp;endStation=16",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Florencia</t>
        </is>
      </c>
      <c r="E822" t="inlineStr">
        <is>
          <t>2026-02-28</t>
        </is>
      </c>
      <c r="F822" t="inlineStr">
        <is>
          <t>2026-03-07</t>
        </is>
      </c>
      <c r="G822" t="inlineStr">
        <is>
          <t xml:space="preserve"> - Family Finca</t>
        </is>
      </c>
      <c r="H822">
        <f>HYPERLINK("https://booking.roadsurfer.com/es/rally/pick?pickup_date=2026-02-28&amp;return_date=2026-03-07&amp;currency=EUR&amp;startStation=5&amp;endStation=80",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España</t>
        </is>
      </c>
      <c r="D823" t="inlineStr">
        <is>
          <t>Barcelona</t>
        </is>
      </c>
      <c r="E823" t="inlineStr">
        <is>
          <t>2026-03-19</t>
        </is>
      </c>
      <c r="F823" t="inlineStr">
        <is>
          <t>2026-03-26</t>
        </is>
      </c>
      <c r="G823" t="inlineStr"/>
      <c r="H823">
        <f>HYPERLINK("https://booking.roadsurfer.com/es/rally/pick?pickup_date=2026-03-19&amp;return_date=2026-03-26&amp;currency=EUR&amp;startStation=5&amp;endStation=17",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Barcelona</t>
        </is>
      </c>
      <c r="E824" t="inlineStr">
        <is>
          <t>2026-03-20</t>
        </is>
      </c>
      <c r="F824" t="inlineStr">
        <is>
          <t>2026-03-27</t>
        </is>
      </c>
      <c r="G824" t="inlineStr"/>
      <c r="H824">
        <f>HYPERLINK("https://booking.roadsurfer.com/es/rally/pick?pickup_date=2026-03-20&amp;return_date=2026-03-27&amp;currency=EUR&amp;startStation=5&amp;endStation=17",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2026-03-23</t>
        </is>
      </c>
      <c r="F825" t="inlineStr">
        <is>
          <t>2026-03-30</t>
        </is>
      </c>
      <c r="G825" t="inlineStr"/>
      <c r="H825">
        <f>HYPERLINK("https://booking.roadsurfer.com/es/rally/pick?pickup_date=2026-03-23&amp;return_date=2026-03-30&amp;currency=EUR&amp;startStation=30&amp;endStation=22",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Alemania</t>
        </is>
      </c>
      <c r="D826" t="inlineStr">
        <is>
          <t>Friburgo-Basilea (Alemania)</t>
        </is>
      </c>
      <c r="E826" t="inlineStr">
        <is>
          <t>2026-05-05</t>
        </is>
      </c>
      <c r="F826" t="inlineStr">
        <is>
          <t>2026-05-12</t>
        </is>
      </c>
      <c r="G826" t="inlineStr">
        <is>
          <t xml:space="preserve"> - Family Finca</t>
        </is>
      </c>
      <c r="H826">
        <f>HYPERLINK("https://booking.roadsurfer.com/es/rally/pick?pickup_date=2026-05-05&amp;return_date=2026-05-12&amp;currency=EUR&amp;startStation=30&amp;endStation=9",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Alemania</t>
        </is>
      </c>
      <c r="D827" t="inlineStr">
        <is>
          <t>Friburgo-Basilea (Alemania)</t>
        </is>
      </c>
      <c r="E827" t="inlineStr">
        <is>
          <t>2026-03-16</t>
        </is>
      </c>
      <c r="F827" t="inlineStr">
        <is>
          <t>2026-03-23</t>
        </is>
      </c>
      <c r="G827" t="inlineStr">
        <is>
          <t xml:space="preserve"> - Surfer Suite</t>
        </is>
      </c>
      <c r="H827">
        <f>HYPERLINK("https://booking.roadsurfer.com/es/rally/pick?pickup_date=2026-03-16&amp;return_date=2026-03-23&amp;currency=EUR&amp;startStation=30&amp;endStation=9",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Friburgo-Basilea (Alemania)</t>
        </is>
      </c>
      <c r="E828" t="inlineStr">
        <is>
          <t>2026-04-13</t>
        </is>
      </c>
      <c r="F828" t="inlineStr">
        <is>
          <t>2026-04-20</t>
        </is>
      </c>
      <c r="G828" t="inlineStr">
        <is>
          <t xml:space="preserve"> - Family Finca</t>
        </is>
      </c>
      <c r="H828">
        <f>HYPERLINK("https://booking.roadsurfer.com/es/rally/pick?pickup_date=2026-04-13&amp;return_date=2026-04-20&amp;currency=EUR&amp;startStation=30&amp;endStation=9",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Beach Hostel</t>
        </is>
      </c>
      <c r="H829">
        <f>HYPERLINK("https://booking.roadsurfer.com/es/rally/pick?pickup_date=2026-03-19&amp;return_date=2026-03-26&amp;currency=EUR&amp;startStation=30&amp;endStation=2", "Clic para verlo en la web de RoadSurfer")</f>
        <v/>
      </c>
    </row>
    <row r="830">
      <c r="A830" t="inlineStr">
        <is>
          <t>Francia</t>
        </is>
      </c>
      <c r="B830" t="inlineStr">
        <is>
          <t>Toulouse</t>
        </is>
      </c>
      <c r="C830" t="inlineStr">
        <is>
          <t>Alemania</t>
        </is>
      </c>
      <c r="D830" t="inlineStr">
        <is>
          <t>Erfurt</t>
        </is>
      </c>
      <c r="E830" t="inlineStr">
        <is>
          <t>2026-04-13</t>
        </is>
      </c>
      <c r="F830" t="inlineStr">
        <is>
          <t>2026-04-20</t>
        </is>
      </c>
      <c r="G830" t="inlineStr">
        <is>
          <t xml:space="preserve"> - Camper Castle</t>
        </is>
      </c>
      <c r="H830">
        <f>HYPERLINK("https://booking.roadsurfer.com/es/rally/pick?pickup_date=2026-04-13&amp;return_date=2026-04-20&amp;currency=EUR&amp;startStation=30&amp;endStation=90", "Clic para verlo en la web de RoadSurfer")</f>
        <v/>
      </c>
    </row>
    <row r="831">
      <c r="A831" t="inlineStr">
        <is>
          <t>Francia</t>
        </is>
      </c>
      <c r="B831" t="inlineStr">
        <is>
          <t>Toulouse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2026-04-14</t>
        </is>
      </c>
      <c r="F831" t="inlineStr">
        <is>
          <t>2026-04-21</t>
        </is>
      </c>
      <c r="G831" t="inlineStr">
        <is>
          <t xml:space="preserve"> - Road House</t>
        </is>
      </c>
      <c r="H831">
        <f>HYPERLINK("https://booking.roadsurfer.com/es/rally/pick?pickup_date=2026-04-14&amp;return_date=2026-04-21&amp;currency=EUR&amp;startStation=30&amp;endStation=90",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2026-03-18</t>
        </is>
      </c>
      <c r="F832" t="inlineStr">
        <is>
          <t>2026-03-25</t>
        </is>
      </c>
      <c r="G832" t="inlineStr">
        <is>
          <t xml:space="preserve"> - Family Finca</t>
        </is>
      </c>
      <c r="H832">
        <f>HYPERLINK("https://booking.roadsurfer.com/es/rally/pick?pickup_date=2026-03-18&amp;return_date=2026-03-25&amp;currency=EUR&amp;startStation=30&amp;endStation=90",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Kassel</t>
        </is>
      </c>
      <c r="E833" t="inlineStr">
        <is>
          <t>2026-03-12</t>
        </is>
      </c>
      <c r="F833" t="inlineStr">
        <is>
          <t>2026-03-19</t>
        </is>
      </c>
      <c r="G833" t="inlineStr">
        <is>
          <t xml:space="preserve"> - Family Finca</t>
        </is>
      </c>
      <c r="H833">
        <f>HYPERLINK("https://booking.roadsurfer.com/es/rally/pick?pickup_date=2026-03-12&amp;return_date=2026-03-19&amp;currency=EUR&amp;startStation=30&amp;endStation=92", "Clic para verlo en la web de RoadSurfer")</f>
        <v/>
      </c>
    </row>
    <row r="834">
      <c r="A834" t="inlineStr">
        <is>
          <t>Alemania</t>
        </is>
      </c>
      <c r="B834" t="inlineStr">
        <is>
          <t>Tréveris</t>
        </is>
      </c>
      <c r="C834" t="inlineStr">
        <is>
          <t>Países Bajos</t>
        </is>
      </c>
      <c r="D834" t="inlineStr">
        <is>
          <t>Róterdam</t>
        </is>
      </c>
      <c r="E834" t="inlineStr">
        <is>
          <t>2026-03-03</t>
        </is>
      </c>
      <c r="F834" t="inlineStr">
        <is>
          <t>2026-03-10</t>
        </is>
      </c>
      <c r="G834" t="inlineStr">
        <is>
          <t xml:space="preserve"> - Road House</t>
        </is>
      </c>
      <c r="H834">
        <f>HYPERLINK("https://booking.roadsurfer.com/es/rally/pick?pickup_date=2026-03-03&amp;return_date=2026-03-10&amp;currency=EUR&amp;startStation=28&amp;endStation=33", "Clic para verlo en la web de RoadSurfer")</f>
        <v/>
      </c>
    </row>
    <row r="835">
      <c r="A835" t="inlineStr">
        <is>
          <t>Alemania</t>
        </is>
      </c>
      <c r="B835" t="inlineStr">
        <is>
          <t>Tréveris</t>
        </is>
      </c>
      <c r="C835" t="inlineStr">
        <is>
          <t>Alemania</t>
        </is>
      </c>
      <c r="D835" t="inlineStr">
        <is>
          <t>Augsburgo</t>
        </is>
      </c>
      <c r="E835" t="inlineStr">
        <is>
          <t>2026-03-16</t>
        </is>
      </c>
      <c r="F835" t="inlineStr">
        <is>
          <t>2026-03-23</t>
        </is>
      </c>
      <c r="G835" t="inlineStr">
        <is>
          <t xml:space="preserve"> - Camper Cabin</t>
        </is>
      </c>
      <c r="H835">
        <f>HYPERLINK("https://booking.roadsurfer.com/es/rally/pick?pickup_date=2026-03-16&amp;return_date=2026-03-23&amp;currency=EUR&amp;startStation=28&amp;endStation=108", "Clic para verlo en la web de RoadSurfer")</f>
        <v/>
      </c>
    </row>
    <row r="836">
      <c r="A836" t="inlineStr">
        <is>
          <t>Alemania</t>
        </is>
      </c>
      <c r="B836" t="inlineStr">
        <is>
          <t>Tréveris</t>
        </is>
      </c>
      <c r="C836" t="inlineStr">
        <is>
          <t>Alemania</t>
        </is>
      </c>
      <c r="D836" t="inlineStr">
        <is>
          <t>Múnich</t>
        </is>
      </c>
      <c r="E836" t="inlineStr">
        <is>
          <t>2026-03-12</t>
        </is>
      </c>
      <c r="F836" t="inlineStr">
        <is>
          <t>2026-03-19</t>
        </is>
      </c>
      <c r="G836" t="inlineStr">
        <is>
          <t xml:space="preserve"> - Camper Cabin</t>
        </is>
      </c>
      <c r="H836">
        <f>HYPERLINK("https://booking.roadsurfer.com/es/rally/pick?pickup_date=2026-03-12&amp;return_date=2026-03-19&amp;currency=EUR&amp;startStation=28&amp;endStation=1", "Clic para verlo en la web de RoadSurfer")</f>
        <v/>
      </c>
    </row>
    <row r="837">
      <c r="A837" t="inlineStr">
        <is>
          <t>Alemania</t>
        </is>
      </c>
      <c r="B837" t="inlineStr">
        <is>
          <t>Tréveris</t>
        </is>
      </c>
      <c r="C837" t="inlineStr">
        <is>
          <t>Alemania</t>
        </is>
      </c>
      <c r="D837" t="inlineStr">
        <is>
          <t>Hamburgo Aeropuerto</t>
        </is>
      </c>
      <c r="E837" t="inlineStr">
        <is>
          <t>2026-03-06</t>
        </is>
      </c>
      <c r="F837" t="inlineStr">
        <is>
          <t>2026-03-13</t>
        </is>
      </c>
      <c r="G837" t="inlineStr">
        <is>
          <t xml:space="preserve"> - Family Finca</t>
        </is>
      </c>
      <c r="H837">
        <f>HYPERLINK("https://booking.roadsurfer.com/es/rally/pick?pickup_date=2026-03-06&amp;return_date=2026-03-13&amp;currency=EUR&amp;startStation=28&amp;endStation=65", "Clic para verlo en la web de RoadSurfer")</f>
        <v/>
      </c>
    </row>
    <row r="838">
      <c r="A838" t="inlineStr">
        <is>
          <t>Italia</t>
        </is>
      </c>
      <c r="B838" t="inlineStr">
        <is>
          <t>Turín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2026-02-28</t>
        </is>
      </c>
      <c r="F838" t="inlineStr">
        <is>
          <t>2026-03-07</t>
        </is>
      </c>
      <c r="G838" t="inlineStr">
        <is>
          <t xml:space="preserve"> - No hay coche</t>
        </is>
      </c>
      <c r="H838">
        <f>HYPERLINK("https://booking.roadsurfer.com/es/rally/pick?pickup_date=2026-02-28&amp;return_date=2026-03-07&amp;currency=EUR&amp;startStation=58&amp;endStation=22", "Clic para verlo en la web de RoadSurfer")</f>
        <v/>
      </c>
    </row>
    <row r="839">
      <c r="A839" t="inlineStr">
        <is>
          <t>Italia</t>
        </is>
      </c>
      <c r="B839" t="inlineStr">
        <is>
          <t>Turín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2026-03-02</t>
        </is>
      </c>
      <c r="F839" t="inlineStr">
        <is>
          <t>2026-03-09</t>
        </is>
      </c>
      <c r="G839" t="inlineStr">
        <is>
          <t xml:space="preserve"> - Family Finca</t>
        </is>
      </c>
      <c r="H839">
        <f>HYPERLINK("https://booking.roadsurfer.com/es/rally/pick?pickup_date=2026-03-02&amp;return_date=2026-03-09&amp;currency=EUR&amp;startStation=58&amp;endStation=22", "Clic para verlo en la web de RoadSurfer")</f>
        <v/>
      </c>
    </row>
    <row r="840">
      <c r="A840" t="inlineStr">
        <is>
          <t>Italia</t>
        </is>
      </c>
      <c r="B840" t="inlineStr">
        <is>
          <t>Turín</t>
        </is>
      </c>
      <c r="C840" t="inlineStr">
        <is>
          <t>Alemania</t>
        </is>
      </c>
      <c r="D840" t="inlineStr">
        <is>
          <t>Múnich</t>
        </is>
      </c>
      <c r="E840" t="inlineStr">
        <is>
          <t>2026-03-14</t>
        </is>
      </c>
      <c r="F840" t="inlineStr">
        <is>
          <t>2026-03-21</t>
        </is>
      </c>
      <c r="G840" t="inlineStr"/>
      <c r="H840">
        <f>HYPERLINK("https://booking.roadsurfer.com/es/rally/pick?pickup_date=2026-03-14&amp;return_date=2026-03-21&amp;currency=EUR&amp;startStation=58&amp;endStation=1", "Clic para verlo en la web de RoadSurfer")</f>
        <v/>
      </c>
    </row>
    <row r="841">
      <c r="A841" t="inlineStr">
        <is>
          <t>Italia</t>
        </is>
      </c>
      <c r="B841" t="inlineStr">
        <is>
          <t>Turín</t>
        </is>
      </c>
      <c r="C841" t="inlineStr">
        <is>
          <t>Alemania</t>
        </is>
      </c>
      <c r="D841" t="inlineStr">
        <is>
          <t>Núremberg</t>
        </is>
      </c>
      <c r="E841" t="inlineStr">
        <is>
          <t>2026-04-16</t>
        </is>
      </c>
      <c r="F841" t="inlineStr">
        <is>
          <t>2026-04-23</t>
        </is>
      </c>
      <c r="G841" t="inlineStr"/>
      <c r="H841">
        <f>HYPERLINK("https://booking.roadsurfer.com/es/rally/pick?pickup_date=2026-04-16&amp;return_date=2026-04-23&amp;currency=EUR&amp;startStation=58&amp;endStation=11", "Clic para verlo en la web de RoadSurfer")</f>
        <v/>
      </c>
    </row>
    <row r="842">
      <c r="A842" t="inlineStr">
        <is>
          <t>Italia</t>
        </is>
      </c>
      <c r="B842" t="inlineStr">
        <is>
          <t>Turín</t>
        </is>
      </c>
      <c r="C842" t="inlineStr">
        <is>
          <t>Alemania</t>
        </is>
      </c>
      <c r="D842" t="inlineStr">
        <is>
          <t>Núremberg</t>
        </is>
      </c>
      <c r="E842" t="inlineStr">
        <is>
          <t>2026-03-20</t>
        </is>
      </c>
      <c r="F842" t="inlineStr">
        <is>
          <t>2026-03-27</t>
        </is>
      </c>
      <c r="G842" t="inlineStr">
        <is>
          <t xml:space="preserve"> - Surfer Suite</t>
        </is>
      </c>
      <c r="H842">
        <f>HYPERLINK("https://booking.roadsurfer.com/es/rally/pick?pickup_date=2026-03-20&amp;return_date=2026-03-27&amp;currency=EUR&amp;startStation=58&amp;endStation=11", "Clic para verlo en la web de RoadSurfer")</f>
        <v/>
      </c>
    </row>
    <row r="843">
      <c r="A843" t="inlineStr">
        <is>
          <t>Italia</t>
        </is>
      </c>
      <c r="B843" t="inlineStr">
        <is>
          <t>Turín</t>
        </is>
      </c>
      <c r="C843" t="inlineStr">
        <is>
          <t>Alemania</t>
        </is>
      </c>
      <c r="D843" t="inlineStr">
        <is>
          <t>Kiel</t>
        </is>
      </c>
      <c r="E843" t="inlineStr">
        <is>
          <t>2026-03-12</t>
        </is>
      </c>
      <c r="F843" t="inlineStr">
        <is>
          <t>2026-03-19</t>
        </is>
      </c>
      <c r="G843" t="inlineStr"/>
      <c r="H843">
        <f>HYPERLINK("https://booking.roadsurfer.com/es/rally/pick?pickup_date=2026-03-12&amp;return_date=2026-03-19&amp;currency=EUR&amp;startStation=58&amp;endStation=111", "Clic para verlo en la web de RoadSurfer")</f>
        <v/>
      </c>
    </row>
    <row r="844">
      <c r="A844" t="inlineStr">
        <is>
          <t>Italia</t>
        </is>
      </c>
      <c r="B844" t="inlineStr">
        <is>
          <t>Turín</t>
        </is>
      </c>
      <c r="C844" t="inlineStr">
        <is>
          <t>Alemania</t>
        </is>
      </c>
      <c r="D844" t="inlineStr">
        <is>
          <t>Dresde</t>
        </is>
      </c>
      <c r="E844" t="inlineStr">
        <is>
          <t>2026-04-20</t>
        </is>
      </c>
      <c r="F844" t="inlineStr">
        <is>
          <t>2026-04-27</t>
        </is>
      </c>
      <c r="G844" t="inlineStr">
        <is>
          <t xml:space="preserve"> - Family Finca</t>
        </is>
      </c>
      <c r="H844">
        <f>HYPERLINK("https://booking.roadsurfer.com/es/rally/pick?pickup_date=2026-04-20&amp;return_date=2026-04-27&amp;currency=EUR&amp;startStation=58&amp;endStation=56", "Clic para verlo en la web de RoadSurfer")</f>
        <v/>
      </c>
    </row>
    <row r="845">
      <c r="A845" t="inlineStr">
        <is>
          <t>Italia</t>
        </is>
      </c>
      <c r="B845" t="inlineStr">
        <is>
          <t>Turín</t>
        </is>
      </c>
      <c r="C845" t="inlineStr">
        <is>
          <t>Alemania</t>
        </is>
      </c>
      <c r="D845" t="inlineStr">
        <is>
          <t>Erfurt</t>
        </is>
      </c>
      <c r="E845" t="inlineStr">
        <is>
          <t>2026-03-13</t>
        </is>
      </c>
      <c r="F845" t="inlineStr">
        <is>
          <t>2026-03-20</t>
        </is>
      </c>
      <c r="G845" t="inlineStr"/>
      <c r="H845">
        <f>HYPERLINK("https://booking.roadsurfer.com/es/rally/pick?pickup_date=2026-03-13&amp;return_date=2026-03-20&amp;currency=EUR&amp;startStation=58&amp;endStation=90", "Clic para verlo en la web de RoadSurfer")</f>
        <v/>
      </c>
    </row>
    <row r="846">
      <c r="A846" t="inlineStr">
        <is>
          <t>Alemania</t>
        </is>
      </c>
      <c r="B846" t="inlineStr">
        <is>
          <t>Ulm</t>
        </is>
      </c>
      <c r="C846" t="inlineStr">
        <is>
          <t>España</t>
        </is>
      </c>
      <c r="D846" t="inlineStr">
        <is>
          <t>Madrid</t>
        </is>
      </c>
      <c r="E846" t="inlineStr">
        <is>
          <t>2026-03-19</t>
        </is>
      </c>
      <c r="F846" t="inlineStr">
        <is>
          <t>2026-03-26</t>
        </is>
      </c>
      <c r="G846" t="inlineStr">
        <is>
          <t xml:space="preserve"> - Travel Home</t>
        </is>
      </c>
      <c r="H846">
        <f>HYPERLINK("https://booking.roadsurfer.com/es/rally/pick?pickup_date=2026-03-19&amp;return_date=2026-03-26&amp;currency=EUR&amp;startStation=112&amp;endStation=20", "Clic para verlo en la web de RoadSurfer")</f>
        <v/>
      </c>
    </row>
    <row r="847">
      <c r="A847" t="inlineStr">
        <is>
          <t>Alemania</t>
        </is>
      </c>
      <c r="B847" t="inlineStr">
        <is>
          <t>Ulm</t>
        </is>
      </c>
      <c r="C847" t="inlineStr">
        <is>
          <t>España</t>
        </is>
      </c>
      <c r="D847" t="inlineStr">
        <is>
          <t>Madrid</t>
        </is>
      </c>
      <c r="E847" t="inlineStr">
        <is>
          <t>2026-02-27</t>
        </is>
      </c>
      <c r="F847" t="inlineStr">
        <is>
          <t>2026-03-06</t>
        </is>
      </c>
      <c r="G847" t="inlineStr">
        <is>
          <t xml:space="preserve"> - Surfer Suite</t>
        </is>
      </c>
      <c r="H847">
        <f>HYPERLINK("https://booking.roadsurfer.com/es/rally/pick?pickup_date=2026-02-27&amp;return_date=2026-03-06&amp;currency=EUR&amp;startStation=112&amp;endStation=20", "Clic para verlo en la web de RoadSurfer")</f>
        <v/>
      </c>
    </row>
    <row r="848">
      <c r="A848" t="inlineStr">
        <is>
          <t>Alemania</t>
        </is>
      </c>
      <c r="B848" t="inlineStr">
        <is>
          <t>Ulm</t>
        </is>
      </c>
      <c r="C848" t="inlineStr">
        <is>
          <t>Francia</t>
        </is>
      </c>
      <c r="D848" t="inlineStr">
        <is>
          <t>Ginebra-Pays de Gex (Francia)</t>
        </is>
      </c>
      <c r="E848" t="inlineStr">
        <is>
          <t>2026-02-25</t>
        </is>
      </c>
      <c r="F848" t="inlineStr">
        <is>
          <t>2026-03-04</t>
        </is>
      </c>
      <c r="G848" t="inlineStr"/>
      <c r="H848">
        <f>HYPERLINK("https://booking.roadsurfer.com/es/rally/pick?pickup_date=2026-02-25&amp;return_date=2026-03-04&amp;currency=EUR&amp;startStation=112&amp;endStation=29", "Clic para verlo en la web de RoadSurfer")</f>
        <v/>
      </c>
    </row>
    <row r="849">
      <c r="A849" t="inlineStr">
        <is>
          <t>Alemania</t>
        </is>
      </c>
      <c r="B849" t="inlineStr">
        <is>
          <t>Ulm</t>
        </is>
      </c>
      <c r="C849" t="inlineStr">
        <is>
          <t>Francia</t>
        </is>
      </c>
      <c r="D849" t="inlineStr">
        <is>
          <t>Ginebra-Pays de Gex (Francia)</t>
        </is>
      </c>
      <c r="E849" t="inlineStr">
        <is>
          <t>2026-02-27</t>
        </is>
      </c>
      <c r="F849" t="inlineStr">
        <is>
          <t>2026-03-06</t>
        </is>
      </c>
      <c r="G849" t="inlineStr">
        <is>
          <t xml:space="preserve"> - Road House</t>
        </is>
      </c>
      <c r="H849">
        <f>HYPERLINK("https://booking.roadsurfer.com/es/rally/pick?pickup_date=2026-02-27&amp;return_date=2026-03-06&amp;currency=EUR&amp;startStation=112&amp;endStation=29", "Clic para verlo en la web de RoadSurfer")</f>
        <v/>
      </c>
    </row>
    <row r="850">
      <c r="A850" t="inlineStr">
        <is>
          <t>Alemania</t>
        </is>
      </c>
      <c r="B850" t="inlineStr">
        <is>
          <t>Ulm</t>
        </is>
      </c>
      <c r="C850" t="inlineStr">
        <is>
          <t>España</t>
        </is>
      </c>
      <c r="D850" t="inlineStr">
        <is>
          <t>Sevilla</t>
        </is>
      </c>
      <c r="E850" t="inlineStr">
        <is>
          <t>2026-03-05</t>
        </is>
      </c>
      <c r="F850" t="inlineStr">
        <is>
          <t>2026-03-12</t>
        </is>
      </c>
      <c r="G850" t="inlineStr">
        <is>
          <t xml:space="preserve"> - Road House</t>
        </is>
      </c>
      <c r="H850">
        <f>HYPERLINK("https://booking.roadsurfer.com/es/rally/pick?pickup_date=2026-03-05&amp;return_date=2026-03-12&amp;currency=EUR&amp;startStation=112&amp;endStation=39", "Clic para verlo en la web de RoadSurfer")</f>
        <v/>
      </c>
    </row>
    <row r="851">
      <c r="A851" t="inlineStr">
        <is>
          <t>Alemania</t>
        </is>
      </c>
      <c r="B851" t="inlineStr">
        <is>
          <t>Ulm</t>
        </is>
      </c>
      <c r="C851" t="inlineStr">
        <is>
          <t>España</t>
        </is>
      </c>
      <c r="D851" t="inlineStr">
        <is>
          <t>Sevilla</t>
        </is>
      </c>
      <c r="E851" t="inlineStr">
        <is>
          <t>2026-03-02</t>
        </is>
      </c>
      <c r="F851" t="inlineStr">
        <is>
          <t>2026-03-09</t>
        </is>
      </c>
      <c r="G851" t="inlineStr">
        <is>
          <t xml:space="preserve"> - No hay coche</t>
        </is>
      </c>
      <c r="H851">
        <f>HYPERLINK("https://booking.roadsurfer.com/es/rally/pick?pickup_date=2026-03-02&amp;return_date=2026-03-09&amp;currency=EUR&amp;startStation=112&amp;endStation=39", "Clic para verlo en la web de RoadSurfer")</f>
        <v/>
      </c>
    </row>
    <row r="852">
      <c r="A852" t="inlineStr">
        <is>
          <t>España</t>
        </is>
      </c>
      <c r="B852" t="inlineStr">
        <is>
          <t>Valencia</t>
        </is>
      </c>
      <c r="C852" t="inlineStr">
        <is>
          <t>Alemania</t>
        </is>
      </c>
      <c r="D852" t="inlineStr">
        <is>
          <t>Maguncia</t>
        </is>
      </c>
      <c r="E852" t="inlineStr">
        <is>
          <t>2026-03-09</t>
        </is>
      </c>
      <c r="F852" t="inlineStr">
        <is>
          <t>2026-03-16</t>
        </is>
      </c>
      <c r="G852" t="inlineStr"/>
      <c r="H852">
        <f>HYPERLINK("https://booking.roadsurfer.com/es/rally/pick?pickup_date=2026-03-09&amp;return_date=2026-03-16&amp;currency=EUR&amp;startStation=38&amp;endStation=54",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Karlsruhe</t>
        </is>
      </c>
      <c r="E853" t="inlineStr">
        <is>
          <t>2026-03-02</t>
        </is>
      </c>
      <c r="F853" t="inlineStr">
        <is>
          <t>2026-03-09</t>
        </is>
      </c>
      <c r="G853" t="inlineStr"/>
      <c r="H853">
        <f>HYPERLINK("https://booking.roadsurfer.com/es/rally/pick?pickup_date=2026-03-02&amp;return_date=2026-03-09&amp;currency=EUR&amp;startStation=38&amp;endStation=110", "Clic para verlo en la web de RoadSurfer")</f>
        <v/>
      </c>
    </row>
    <row r="854">
      <c r="A854" t="inlineStr">
        <is>
          <t>España</t>
        </is>
      </c>
      <c r="B854" t="inlineStr">
        <is>
          <t>Valencia</t>
        </is>
      </c>
      <c r="C854" t="inlineStr">
        <is>
          <t>Alemania</t>
        </is>
      </c>
      <c r="D854" t="inlineStr">
        <is>
          <t>Núremberg</t>
        </is>
      </c>
      <c r="E854" t="inlineStr">
        <is>
          <t>2026-03-09</t>
        </is>
      </c>
      <c r="F854" t="inlineStr">
        <is>
          <t>2026-03-16</t>
        </is>
      </c>
      <c r="G854" t="inlineStr">
        <is>
          <t xml:space="preserve"> - Road House</t>
        </is>
      </c>
      <c r="H854">
        <f>HYPERLINK("https://booking.roadsurfer.com/es/rally/pick?pickup_date=2026-03-09&amp;return_date=2026-03-16&amp;currency=EUR&amp;startStation=38&amp;endStation=11",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Fráncfort</t>
        </is>
      </c>
      <c r="E855" t="inlineStr">
        <is>
          <t>2026-03-20</t>
        </is>
      </c>
      <c r="F855" t="inlineStr">
        <is>
          <t>2026-03-27</t>
        </is>
      </c>
      <c r="G855" t="inlineStr">
        <is>
          <t xml:space="preserve"> - Surfer Suite</t>
        </is>
      </c>
      <c r="H855">
        <f>HYPERLINK("https://booking.roadsurfer.com/es/rally/pick?pickup_date=2026-03-20&amp;return_date=2026-03-27&amp;currency=EUR&amp;startStation=78&amp;endStation=2",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Heidelberg</t>
        </is>
      </c>
      <c r="E856" t="inlineStr">
        <is>
          <t>2026-03-12</t>
        </is>
      </c>
      <c r="F856" t="inlineStr">
        <is>
          <t>2026-03-19</t>
        </is>
      </c>
      <c r="G856" t="inlineStr">
        <is>
          <t xml:space="preserve"> - Family Finca</t>
        </is>
      </c>
      <c r="H856">
        <f>HYPERLINK("https://booking.roadsurfer.com/es/rally/pick?pickup_date=2026-03-12&amp;return_date=2026-03-19&amp;currency=EUR&amp;startStation=78&amp;endStation=79",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Heidelberg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Surfer Suite</t>
        </is>
      </c>
      <c r="H857">
        <f>HYPERLINK("https://booking.roadsurfer.com/es/rally/pick?pickup_date=2026-03-16&amp;return_date=2026-03-23&amp;currency=EUR&amp;startStation=78&amp;endStation=79",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Leipzig</t>
        </is>
      </c>
      <c r="E858" t="inlineStr">
        <is>
          <t>2026-04-14</t>
        </is>
      </c>
      <c r="F858" t="inlineStr">
        <is>
          <t>2026-04-21</t>
        </is>
      </c>
      <c r="G858" t="inlineStr">
        <is>
          <t xml:space="preserve"> - Family Finca</t>
        </is>
      </c>
      <c r="H858">
        <f>HYPERLINK("https://booking.roadsurfer.com/es/rally/pick?pickup_date=2026-04-14&amp;return_date=2026-04-21&amp;currency=EUR&amp;startStation=78&amp;endStation=8",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2026-04-15</t>
        </is>
      </c>
      <c r="F859" t="inlineStr">
        <is>
          <t>2026-04-22</t>
        </is>
      </c>
      <c r="G859" t="inlineStr"/>
      <c r="H859">
        <f>HYPERLINK("https://booking.roadsurfer.com/es/rally/pick?pickup_date=2026-04-15&amp;return_date=2026-04-22&amp;currency=EUR&amp;startStation=78&amp;endStation=8",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Leipzig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TRAVEL HOME</t>
        </is>
      </c>
      <c r="H860">
        <f>HYPERLINK("https://booking.roadsurfer.com/es/rally/pick?pickup_date=2026-03-16&amp;return_date=2026-03-23&amp;currency=EUR&amp;startStation=78&amp;endStation=8",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2026-03-10</t>
        </is>
      </c>
      <c r="F861" t="inlineStr">
        <is>
          <t>2026-03-17</t>
        </is>
      </c>
      <c r="G861" t="inlineStr">
        <is>
          <t xml:space="preserve"> - Road House</t>
        </is>
      </c>
      <c r="H861">
        <f>HYPERLINK("https://booking.roadsurfer.com/es/rally/pick?pickup_date=2026-03-10&amp;return_date=2026-03-17&amp;currency=EUR&amp;startStation=78&amp;endStation=22",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2026-03-11</t>
        </is>
      </c>
      <c r="F862" t="inlineStr">
        <is>
          <t>2026-03-18</t>
        </is>
      </c>
      <c r="G862" t="inlineStr">
        <is>
          <t xml:space="preserve"> - Surfer Suite</t>
        </is>
      </c>
      <c r="H862">
        <f>HYPERLINK("https://booking.roadsurfer.com/es/rally/pick?pickup_date=2026-03-11&amp;return_date=2026-03-18&amp;currency=EUR&amp;startStation=78&amp;endStation=22",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2026-03-12</t>
        </is>
      </c>
      <c r="F863" t="inlineStr">
        <is>
          <t>2026-03-19</t>
        </is>
      </c>
      <c r="G863" t="inlineStr">
        <is>
          <t xml:space="preserve"> - Surfer Suite</t>
        </is>
      </c>
      <c r="H863">
        <f>HYPERLINK("https://booking.roadsurfer.com/es/rally/pick?pickup_date=2026-03-12&amp;return_date=2026-03-19&amp;currency=EUR&amp;startStation=78&amp;endStation=22",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2026-03-20</t>
        </is>
      </c>
      <c r="F864" t="inlineStr">
        <is>
          <t>2026-03-27</t>
        </is>
      </c>
      <c r="G864" t="inlineStr">
        <is>
          <t xml:space="preserve"> - Beach Hostel</t>
        </is>
      </c>
      <c r="H864">
        <f>HYPERLINK("https://booking.roadsurfer.com/es/rally/pick?pickup_date=2026-03-20&amp;return_date=2026-03-27&amp;currency=EUR&amp;startStation=78&amp;endStation=22",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2026-03-03</t>
        </is>
      </c>
      <c r="F865" t="inlineStr">
        <is>
          <t>2026-03-10</t>
        </is>
      </c>
      <c r="G865" t="inlineStr">
        <is>
          <t xml:space="preserve"> - FAMILY FINCA</t>
        </is>
      </c>
      <c r="H865">
        <f>HYPERLINK("https://booking.roadsurfer.com/es/rally/pick?pickup_date=2026-03-03&amp;return_date=2026-03-10&amp;currency=EUR&amp;startStation=78&amp;endStation=22",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2026-03-10</t>
        </is>
      </c>
      <c r="F866" t="inlineStr">
        <is>
          <t>2026-03-17</t>
        </is>
      </c>
      <c r="G866" t="inlineStr"/>
      <c r="H866">
        <f>HYPERLINK("https://booking.roadsurfer.com/es/rally/pick?pickup_date=2026-03-10&amp;return_date=2026-03-17&amp;currency=EUR&amp;startStation=78&amp;endStation=11",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Stuttgart</t>
        </is>
      </c>
      <c r="E867" t="inlineStr">
        <is>
          <t>2026-05-11</t>
        </is>
      </c>
      <c r="F867" t="inlineStr">
        <is>
          <t>2026-05-18</t>
        </is>
      </c>
      <c r="G867" t="inlineStr">
        <is>
          <t xml:space="preserve"> - Road House</t>
        </is>
      </c>
      <c r="H867">
        <f>HYPERLINK("https://booking.roadsurfer.com/es/rally/pick?pickup_date=2026-05-11&amp;return_date=2026-05-18&amp;currency=EUR&amp;startStation=78&amp;endStation=5",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Stuttgart</t>
        </is>
      </c>
      <c r="E868" t="inlineStr">
        <is>
          <t>2026-04-14</t>
        </is>
      </c>
      <c r="F868" t="inlineStr">
        <is>
          <t>2026-04-21</t>
        </is>
      </c>
      <c r="G868" t="inlineStr">
        <is>
          <t xml:space="preserve"> - Road House</t>
        </is>
      </c>
      <c r="H868">
        <f>HYPERLINK("https://booking.roadsurfer.com/es/rally/pick?pickup_date=2026-04-14&amp;return_date=2026-04-21&amp;currency=EUR&amp;startStation=78&amp;endStation=5",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Maguncia</t>
        </is>
      </c>
      <c r="E869" t="inlineStr">
        <is>
          <t>2026-03-12</t>
        </is>
      </c>
      <c r="F869" t="inlineStr">
        <is>
          <t>2026-03-19</t>
        </is>
      </c>
      <c r="G869" t="inlineStr">
        <is>
          <t xml:space="preserve"> - Beach Hostel</t>
        </is>
      </c>
      <c r="H869">
        <f>HYPERLINK("https://booking.roadsurfer.com/es/rally/pick?pickup_date=2026-03-12&amp;return_date=2026-03-19&amp;currency=EUR&amp;startStation=78&amp;endStation=54",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Duisburgo</t>
        </is>
      </c>
      <c r="E870" t="inlineStr">
        <is>
          <t>2026-04-13</t>
        </is>
      </c>
      <c r="F870" t="inlineStr">
        <is>
          <t>2026-04-20</t>
        </is>
      </c>
      <c r="G870" t="inlineStr"/>
      <c r="H870">
        <f>HYPERLINK("https://booking.roadsurfer.com/es/rally/pick?pickup_date=2026-04-13&amp;return_date=2026-04-20&amp;currency=EUR&amp;startStation=78&amp;endStation=113",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Dresde</t>
        </is>
      </c>
      <c r="E871" t="inlineStr">
        <is>
          <t>2026-03-11</t>
        </is>
      </c>
      <c r="F871" t="inlineStr">
        <is>
          <t>2026-03-18</t>
        </is>
      </c>
      <c r="G871" t="inlineStr">
        <is>
          <t xml:space="preserve"> - Sunrise Suite</t>
        </is>
      </c>
      <c r="H871">
        <f>HYPERLINK("https://booking.roadsurfer.com/es/rally/pick?pickup_date=2026-03-11&amp;return_date=2026-03-18&amp;currency=EUR&amp;startStation=78&amp;endStation=56",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Dresde</t>
        </is>
      </c>
      <c r="E872" t="inlineStr">
        <is>
          <t>2026-03-13</t>
        </is>
      </c>
      <c r="F872" t="inlineStr">
        <is>
          <t>2026-03-20</t>
        </is>
      </c>
      <c r="G872" t="inlineStr">
        <is>
          <t xml:space="preserve"> - Sunrise Suite</t>
        </is>
      </c>
      <c r="H872">
        <f>HYPERLINK("https://booking.roadsurfer.com/es/rally/pick?pickup_date=2026-03-13&amp;return_date=2026-03-20&amp;currency=EUR&amp;startStation=78&amp;endStation=56",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Erfurt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Sunrise Suite</t>
        </is>
      </c>
      <c r="H873">
        <f>HYPERLINK("https://booking.roadsurfer.com/es/rally/pick?pickup_date=2026-03-12&amp;return_date=2026-03-19&amp;currency=EUR&amp;startStation=78&amp;endStation=90", "Clic para verlo en la web de RoadSurfer")</f>
        <v/>
      </c>
    </row>
    <row r="874">
      <c r="A874" t="inlineStr">
        <is>
          <t>Austria</t>
        </is>
      </c>
      <c r="B874" t="inlineStr">
        <is>
          <t>Viena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2026-02-27</t>
        </is>
      </c>
      <c r="F874" t="inlineStr">
        <is>
          <t>2026-03-06</t>
        </is>
      </c>
      <c r="G874" t="inlineStr">
        <is>
          <t xml:space="preserve"> - CAMPER CABIN</t>
        </is>
      </c>
      <c r="H874">
        <f>HYPERLINK("https://booking.roadsurfer.com/es/rally/pick?pickup_date=2026-02-27&amp;return_date=2026-03-06&amp;currency=EUR&amp;startStation=36&amp;endStation=22", "Clic para verlo en la web de RoadSurfer")</f>
        <v/>
      </c>
    </row>
    <row r="875">
      <c r="A875" t="inlineStr">
        <is>
          <t>Austria</t>
        </is>
      </c>
      <c r="B875" t="inlineStr">
        <is>
          <t>Viena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2026-03-05</t>
        </is>
      </c>
      <c r="F875" t="inlineStr">
        <is>
          <t>2026-03-12</t>
        </is>
      </c>
      <c r="G875" t="inlineStr"/>
      <c r="H875">
        <f>HYPERLINK("https://booking.roadsurfer.com/es/rally/pick?pickup_date=2026-03-05&amp;return_date=2026-03-12&amp;currency=EUR&amp;startStation=36&amp;endStation=22", "Clic para verlo en la web de RoadSurfer")</f>
        <v/>
      </c>
    </row>
    <row r="876">
      <c r="A876" t="inlineStr">
        <is>
          <t>Austria</t>
        </is>
      </c>
      <c r="B876" t="inlineStr">
        <is>
          <t>Viena</t>
        </is>
      </c>
      <c r="C876" t="inlineStr">
        <is>
          <t>Alemania</t>
        </is>
      </c>
      <c r="D876" t="inlineStr">
        <is>
          <t>Berlín-Schönefeld</t>
        </is>
      </c>
      <c r="E876" t="inlineStr">
        <is>
          <t>2026-03-04</t>
        </is>
      </c>
      <c r="F876" t="inlineStr">
        <is>
          <t>2026-03-11</t>
        </is>
      </c>
      <c r="G876" t="inlineStr">
        <is>
          <t xml:space="preserve"> - FAMILY FINCA</t>
        </is>
      </c>
      <c r="H876">
        <f>HYPERLINK("https://booking.roadsurfer.com/es/rally/pick?pickup_date=2026-03-04&amp;return_date=2026-03-11&amp;currency=EUR&amp;startStation=36&amp;endStation=51", "Clic para verlo en la web de RoadSurfer")</f>
        <v/>
      </c>
    </row>
    <row r="877">
      <c r="A877" t="inlineStr">
        <is>
          <t>Austria</t>
        </is>
      </c>
      <c r="B877" t="inlineStr">
        <is>
          <t>Viena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2026-03-14</t>
        </is>
      </c>
      <c r="F877" t="inlineStr">
        <is>
          <t>2026-03-21</t>
        </is>
      </c>
      <c r="G877" t="inlineStr">
        <is>
          <t xml:space="preserve"> - Family Finca</t>
        </is>
      </c>
      <c r="H877">
        <f>HYPERLINK("https://booking.roadsurfer.com/es/rally/pick?pickup_date=2026-03-14&amp;return_date=2026-03-21&amp;currency=EUR&amp;startStation=36&amp;endStation=56", "Clic para verlo en la web de RoadSurfer")</f>
        <v/>
      </c>
    </row>
    <row r="878">
      <c r="A878" t="inlineStr">
        <is>
          <t>Austria</t>
        </is>
      </c>
      <c r="B878" t="inlineStr">
        <is>
          <t>Viena</t>
        </is>
      </c>
      <c r="C878" t="inlineStr">
        <is>
          <t>Alemania</t>
        </is>
      </c>
      <c r="D878" t="inlineStr">
        <is>
          <t>Dresde</t>
        </is>
      </c>
      <c r="E878" t="inlineStr">
        <is>
          <t>2026-03-20</t>
        </is>
      </c>
      <c r="F878" t="inlineStr">
        <is>
          <t>2026-03-27</t>
        </is>
      </c>
      <c r="G878" t="inlineStr"/>
      <c r="H878">
        <f>HYPERLINK("https://booking.roadsurfer.com/es/rally/pick?pickup_date=2026-03-20&amp;return_date=2026-03-27&amp;currency=EUR&amp;startStation=36&amp;endStation=56", "Clic para verlo en la web de RoadSurfer")</f>
        <v/>
      </c>
    </row>
    <row r="879">
      <c r="A879" t="inlineStr">
        <is>
          <t>Austria</t>
        </is>
      </c>
      <c r="B879" t="inlineStr">
        <is>
          <t>Viena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2026-04-14</t>
        </is>
      </c>
      <c r="F879" t="inlineStr">
        <is>
          <t>2026-04-21</t>
        </is>
      </c>
      <c r="G879" t="inlineStr">
        <is>
          <t xml:space="preserve"> - Cozy Cottage</t>
        </is>
      </c>
      <c r="H879">
        <f>HYPERLINK("https://booking.roadsurfer.com/es/rally/pick?pickup_date=2026-04-14&amp;return_date=2026-04-21&amp;currency=EUR&amp;startStation=36&amp;endStation=8", "Clic para verlo en la web de RoadSurfer")</f>
        <v/>
      </c>
    </row>
    <row r="880">
      <c r="A880" t="inlineStr">
        <is>
          <t>Austria</t>
        </is>
      </c>
      <c r="B880" t="inlineStr">
        <is>
          <t>Viena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2026-03-14</t>
        </is>
      </c>
      <c r="F880" t="inlineStr">
        <is>
          <t>2026-03-21</t>
        </is>
      </c>
      <c r="G880" t="inlineStr"/>
      <c r="H880">
        <f>HYPERLINK("https://booking.roadsurfer.com/es/rally/pick?pickup_date=2026-03-14&amp;return_date=2026-03-21&amp;currency=EUR&amp;startStation=36&amp;endStation=90", "Clic para verlo en la web de RoadSurfer")</f>
        <v/>
      </c>
    </row>
    <row r="881">
      <c r="A881" t="inlineStr">
        <is>
          <t>Austria</t>
        </is>
      </c>
      <c r="B881" t="inlineStr">
        <is>
          <t>Viena Sur</t>
        </is>
      </c>
      <c r="C881" t="inlineStr">
        <is>
          <t>Alemania</t>
        </is>
      </c>
      <c r="D881" t="inlineStr">
        <is>
          <t>Leipzig</t>
        </is>
      </c>
      <c r="E881" t="inlineStr">
        <is>
          <t>2026-03-02</t>
        </is>
      </c>
      <c r="F881" t="inlineStr">
        <is>
          <t>2026-03-09</t>
        </is>
      </c>
      <c r="G881" t="inlineStr">
        <is>
          <t xml:space="preserve"> - Travel Home</t>
        </is>
      </c>
      <c r="H881">
        <f>HYPERLINK("https://booking.roadsurfer.com/es/rally/pick?pickup_date=2026-03-02&amp;return_date=2026-03-09&amp;currency=EUR&amp;startStation=45&amp;endStation=8", "Clic para verlo en la web de RoadSurfer")</f>
        <v/>
      </c>
    </row>
    <row r="882">
      <c r="A882" t="inlineStr">
        <is>
          <t>Austria</t>
        </is>
      </c>
      <c r="B882" t="inlineStr">
        <is>
          <t>Viena Sur</t>
        </is>
      </c>
      <c r="C882" t="inlineStr">
        <is>
          <t>Alemania</t>
        </is>
      </c>
      <c r="D882" t="inlineStr">
        <is>
          <t>Leipzig</t>
        </is>
      </c>
      <c r="E882" t="inlineStr">
        <is>
          <t>2026-04-13</t>
        </is>
      </c>
      <c r="F882" t="inlineStr">
        <is>
          <t>2026-04-20</t>
        </is>
      </c>
      <c r="G882" t="inlineStr">
        <is>
          <t xml:space="preserve"> - Family Finca</t>
        </is>
      </c>
      <c r="H882">
        <f>HYPERLINK("https://booking.roadsurfer.com/es/rally/pick?pickup_date=2026-04-13&amp;return_date=2026-04-20&amp;currency=EUR&amp;startStation=45&amp;endStation=8", "Clic para verlo en la web de RoadSurfer")</f>
        <v/>
      </c>
    </row>
    <row r="883">
      <c r="A883" t="inlineStr">
        <is>
          <t>Austria</t>
        </is>
      </c>
      <c r="B883" t="inlineStr">
        <is>
          <t>Viena Sur</t>
        </is>
      </c>
      <c r="C883" t="inlineStr">
        <is>
          <t>Alemania</t>
        </is>
      </c>
      <c r="D883" t="inlineStr">
        <is>
          <t>Leipzig</t>
        </is>
      </c>
      <c r="E883" t="inlineStr">
        <is>
          <t>2026-04-14</t>
        </is>
      </c>
      <c r="F883" t="inlineStr">
        <is>
          <t>2026-04-21</t>
        </is>
      </c>
      <c r="G883" t="inlineStr"/>
      <c r="H883">
        <f>HYPERLINK("https://booking.roadsurfer.com/es/rally/pick?pickup_date=2026-04-14&amp;return_date=2026-04-21&amp;currency=EUR&amp;startStation=45&amp;endStation=8", "Clic para verlo en la web de RoadSurfer")</f>
        <v/>
      </c>
    </row>
    <row r="884">
      <c r="A884" t="inlineStr">
        <is>
          <t>Austria</t>
        </is>
      </c>
      <c r="B884" t="inlineStr">
        <is>
          <t>Viena Sur</t>
        </is>
      </c>
      <c r="C884" t="inlineStr">
        <is>
          <t>Alemania</t>
        </is>
      </c>
      <c r="D884" t="inlineStr">
        <is>
          <t>Constanza (Aach)</t>
        </is>
      </c>
      <c r="E884" t="inlineStr">
        <is>
          <t>2026-03-02</t>
        </is>
      </c>
      <c r="F884" t="inlineStr">
        <is>
          <t>2026-03-09</t>
        </is>
      </c>
      <c r="G884" t="inlineStr">
        <is>
          <t xml:space="preserve"> - Travel Home</t>
        </is>
      </c>
      <c r="H884">
        <f>HYPERLINK("https://booking.roadsurfer.com/es/rally/pick?pickup_date=2026-03-02&amp;return_date=2026-03-09&amp;currency=EUR&amp;startStation=45&amp;endStation=10", "Clic para verlo en la web de RoadSurfer")</f>
        <v/>
      </c>
    </row>
    <row r="885">
      <c r="A885" t="inlineStr">
        <is>
          <t>Austria</t>
        </is>
      </c>
      <c r="B885" t="inlineStr">
        <is>
          <t>Viena Sur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2026-03-05</t>
        </is>
      </c>
      <c r="F885" t="inlineStr">
        <is>
          <t>2026-03-12</t>
        </is>
      </c>
      <c r="G885" t="inlineStr">
        <is>
          <t xml:space="preserve"> - Surfer Suite - Road House</t>
        </is>
      </c>
      <c r="H885">
        <f>HYPERLINK("https://booking.roadsurfer.com/es/rally/pick?pickup_date=2026-03-05&amp;return_date=2026-03-12&amp;currency=EUR&amp;startStation=45&amp;endStation=22", "Clic para verlo en la web de RoadSurfer")</f>
        <v/>
      </c>
    </row>
    <row r="886">
      <c r="A886" t="inlineStr">
        <is>
          <t>Austria</t>
        </is>
      </c>
      <c r="B886" t="inlineStr">
        <is>
          <t>Viena Sur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2026-03-11</t>
        </is>
      </c>
      <c r="F886" t="inlineStr">
        <is>
          <t>2026-03-18</t>
        </is>
      </c>
      <c r="G886" t="inlineStr">
        <is>
          <t xml:space="preserve"> - SURFER SUITE</t>
        </is>
      </c>
      <c r="H886">
        <f>HYPERLINK("https://booking.roadsurfer.com/es/rally/pick?pickup_date=2026-03-11&amp;return_date=2026-03-18&amp;currency=EUR&amp;startStation=45&amp;endStation=90", "Clic para verlo en la web de RoadSurfer")</f>
        <v/>
      </c>
    </row>
    <row r="887">
      <c r="A887" t="inlineStr">
        <is>
          <t>Austria</t>
        </is>
      </c>
      <c r="B887" t="inlineStr">
        <is>
          <t>Viena Sur</t>
        </is>
      </c>
      <c r="C887" t="inlineStr">
        <is>
          <t>Alemania</t>
        </is>
      </c>
      <c r="D887" t="inlineStr">
        <is>
          <t>Erfurt</t>
        </is>
      </c>
      <c r="E887" t="inlineStr">
        <is>
          <t>2026-04-13</t>
        </is>
      </c>
      <c r="F887" t="inlineStr">
        <is>
          <t>2026-04-20</t>
        </is>
      </c>
      <c r="G887" t="inlineStr">
        <is>
          <t xml:space="preserve"> - Family Finca</t>
        </is>
      </c>
      <c r="H887">
        <f>HYPERLINK("https://booking.roadsurfer.com/es/rally/pick?pickup_date=2026-04-13&amp;return_date=2026-04-20&amp;currency=EUR&amp;startStation=45&amp;endStation=90", "Clic para verlo en la web de RoadSurfer")</f>
        <v/>
      </c>
    </row>
    <row r="888">
      <c r="A888" t="inlineStr">
        <is>
          <t>Austria</t>
        </is>
      </c>
      <c r="B888" t="inlineStr">
        <is>
          <t>Viena Sur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2026-03-10</t>
        </is>
      </c>
      <c r="F888" t="inlineStr">
        <is>
          <t>2026-03-17</t>
        </is>
      </c>
      <c r="G888" t="inlineStr">
        <is>
          <t xml:space="preserve"> - Surfer Suite</t>
        </is>
      </c>
      <c r="H888">
        <f>HYPERLINK("https://booking.roadsurfer.com/es/rally/pick?pickup_date=2026-03-10&amp;return_date=2026-03-17&amp;currency=EUR&amp;startStation=45&amp;endStation=90", "Clic para verlo en la web de RoadSurfer")</f>
        <v/>
      </c>
    </row>
    <row r="889">
      <c r="A889" t="inlineStr">
        <is>
          <t>Austria</t>
        </is>
      </c>
      <c r="B889" t="inlineStr">
        <is>
          <t>Viena Sur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2026-04-14</t>
        </is>
      </c>
      <c r="F889" t="inlineStr">
        <is>
          <t>2026-04-21</t>
        </is>
      </c>
      <c r="G889" t="inlineStr">
        <is>
          <t xml:space="preserve"> - Family Finca</t>
        </is>
      </c>
      <c r="H889">
        <f>HYPERLINK("https://booking.roadsurfer.com/es/rally/pick?pickup_date=2026-04-14&amp;return_date=2026-04-21&amp;currency=EUR&amp;startStation=45&amp;endStation=56", "Clic para verlo en la web de RoadSurfer")</f>
        <v/>
      </c>
    </row>
    <row r="890">
      <c r="A890" t="inlineStr">
        <is>
          <t>Alemania</t>
        </is>
      </c>
      <c r="B890" t="inlineStr">
        <is>
          <t>Wurzburgo</t>
        </is>
      </c>
      <c r="C890" t="inlineStr">
        <is>
          <t>España</t>
        </is>
      </c>
      <c r="D890" t="inlineStr">
        <is>
          <t>Málaga</t>
        </is>
      </c>
      <c r="E890" t="inlineStr">
        <is>
          <t>2026-03-23</t>
        </is>
      </c>
      <c r="F890" t="inlineStr">
        <is>
          <t>2026-03-30</t>
        </is>
      </c>
      <c r="G890" t="inlineStr">
        <is>
          <t xml:space="preserve"> - Beach Hostel</t>
        </is>
      </c>
      <c r="H890">
        <f>HYPERLINK("https://booking.roadsurfer.com/es/rally/pick?pickup_date=2026-03-23&amp;return_date=2026-03-30&amp;currency=EUR&amp;startStation=115&amp;endStation=21", "Clic para verlo en la web de RoadSurfer")</f>
        <v/>
      </c>
    </row>
    <row r="891">
      <c r="A891" t="inlineStr">
        <is>
          <t>Alemania</t>
        </is>
      </c>
      <c r="B891" t="inlineStr">
        <is>
          <t>Wurzburgo</t>
        </is>
      </c>
      <c r="C891" t="inlineStr">
        <is>
          <t>España</t>
        </is>
      </c>
      <c r="D891" t="inlineStr">
        <is>
          <t>Málaga</t>
        </is>
      </c>
      <c r="E891" t="inlineStr">
        <is>
          <t>2026-03-14</t>
        </is>
      </c>
      <c r="F891" t="inlineStr">
        <is>
          <t>2026-03-21</t>
        </is>
      </c>
      <c r="G891" t="inlineStr">
        <is>
          <t xml:space="preserve"> - Beach Hostel</t>
        </is>
      </c>
      <c r="H891">
        <f>HYPERLINK("https://booking.roadsurfer.com/es/rally/pick?pickup_date=2026-03-14&amp;return_date=2026-03-21&amp;currency=EUR&amp;startStation=115&amp;endStation=21", "Clic para verlo en la web de RoadSurfer")</f>
        <v/>
      </c>
    </row>
    <row r="892">
      <c r="A892" t="inlineStr">
        <is>
          <t>Alemania</t>
        </is>
      </c>
      <c r="B892" t="inlineStr">
        <is>
          <t>Wurzburgo</t>
        </is>
      </c>
      <c r="C892" t="inlineStr">
        <is>
          <t>Países Bajos</t>
        </is>
      </c>
      <c r="D892" t="inlineStr">
        <is>
          <t>Ámsterdam</t>
        </is>
      </c>
      <c r="E892" t="inlineStr">
        <is>
          <t>2026-03-02</t>
        </is>
      </c>
      <c r="F892" t="inlineStr">
        <is>
          <t>2026-03-09</t>
        </is>
      </c>
      <c r="G892" t="inlineStr">
        <is>
          <t xml:space="preserve"> - Road House</t>
        </is>
      </c>
      <c r="H892">
        <f>HYPERLINK("https://booking.roadsurfer.com/es/rally/pick?pickup_date=2026-03-02&amp;return_date=2026-03-09&amp;currency=EUR&amp;startStation=115&amp;endStation=32", "Clic para verlo en la web de RoadSurfer")</f>
        <v/>
      </c>
    </row>
    <row r="893">
      <c r="A893" t="inlineStr">
        <is>
          <t>Alemania</t>
        </is>
      </c>
      <c r="B893" t="inlineStr">
        <is>
          <t>Wurzburgo</t>
        </is>
      </c>
      <c r="C893" t="inlineStr">
        <is>
          <t>Francia</t>
        </is>
      </c>
      <c r="D893" t="inlineStr">
        <is>
          <t>Ginebra-Pays de Gex (Francia)</t>
        </is>
      </c>
      <c r="E893" t="inlineStr">
        <is>
          <t>2026-03-23</t>
        </is>
      </c>
      <c r="F893" t="inlineStr">
        <is>
          <t>2026-03-30</t>
        </is>
      </c>
      <c r="G893" t="inlineStr">
        <is>
          <t xml:space="preserve"> - Road House</t>
        </is>
      </c>
      <c r="H893">
        <f>HYPERLINK("https://booking.roadsurfer.com/es/rally/pick?pickup_date=2026-03-23&amp;return_date=2026-03-30&amp;currency=EUR&amp;startStation=115&amp;endStation=29", "Clic para verlo en la web de RoadSurfer")</f>
        <v/>
      </c>
    </row>
    <row r="894">
      <c r="A894" t="inlineStr">
        <is>
          <t>Alemania</t>
        </is>
      </c>
      <c r="B894" t="inlineStr">
        <is>
          <t>Wurzburgo</t>
        </is>
      </c>
      <c r="C894" t="inlineStr">
        <is>
          <t>España</t>
        </is>
      </c>
      <c r="D894" t="inlineStr">
        <is>
          <t>Sevilla</t>
        </is>
      </c>
      <c r="E894" t="inlineStr">
        <is>
          <t>2026-03-23</t>
        </is>
      </c>
      <c r="F894" t="inlineStr">
        <is>
          <t>2026-03-30</t>
        </is>
      </c>
      <c r="G894" t="inlineStr">
        <is>
          <t xml:space="preserve"> - Beach Hostel</t>
        </is>
      </c>
      <c r="H894">
        <f>HYPERLINK("https://booking.roadsurfer.com/es/rally/pick?pickup_date=2026-03-23&amp;return_date=2026-03-30&amp;currency=EUR&amp;startStation=115&amp;endStation=39", "Clic para verlo en la web de RoadSurfer")</f>
        <v/>
      </c>
    </row>
    <row r="895">
      <c r="A895" t="inlineStr">
        <is>
          <t>Alemania</t>
        </is>
      </c>
      <c r="B895" t="inlineStr">
        <is>
          <t>Wurzburgo</t>
        </is>
      </c>
      <c r="C895" t="inlineStr">
        <is>
          <t>Alemania</t>
        </is>
      </c>
      <c r="D895" t="inlineStr">
        <is>
          <t>Maguncia</t>
        </is>
      </c>
      <c r="E895" t="inlineStr">
        <is>
          <t>2026-03-30</t>
        </is>
      </c>
      <c r="F895" t="inlineStr">
        <is>
          <t>2026-04-06</t>
        </is>
      </c>
      <c r="G895" t="inlineStr"/>
      <c r="H895">
        <f>HYPERLINK("https://booking.roadsurfer.com/es/rally/pick?pickup_date=2026-03-30&amp;return_date=2026-04-06&amp;currency=EUR&amp;startStation=115&amp;endStation=54",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2026-02-24T09:00:18Z</dcterms:created>
  <dcterms:modified xsi:type="dcterms:W3CDTF">2026-02-24T09:00:19Z</dcterms:modified>
</cp:coreProperties>
</file>