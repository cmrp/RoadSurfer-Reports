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España</t>
        </is>
      </c>
      <c r="D2" t="inlineStr">
        <is>
          <t>Bilbao</t>
        </is>
      </c>
      <c r="E2" t="inlineStr">
        <is>
          <t>2026-07-06</t>
        </is>
      </c>
      <c r="F2" t="inlineStr">
        <is>
          <t>2026-07-13</t>
        </is>
      </c>
      <c r="G2" t="inlineStr">
        <is>
          <t xml:space="preserve"> - Couple Cottage</t>
        </is>
      </c>
      <c r="H2">
        <f>HYPERLINK("https://booking.roadsurfer.com/es/rally/pick?pickup_date=2026-07-06&amp;return_date=2026-07-13&amp;currency=EUR&amp;startStation=114&amp;endStation=40",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Francia</t>
        </is>
      </c>
      <c r="D3" t="inlineStr">
        <is>
          <t>Estrasburgo</t>
        </is>
      </c>
      <c r="E3" t="inlineStr">
        <is>
          <t>2026-07-06</t>
        </is>
      </c>
      <c r="F3" t="inlineStr">
        <is>
          <t>2026-07-13</t>
        </is>
      </c>
      <c r="G3" t="inlineStr">
        <is>
          <t xml:space="preserve"> - Beach Hostel</t>
        </is>
      </c>
      <c r="H3">
        <f>HYPERLINK("https://booking.roadsurfer.com/es/rally/pick?pickup_date=2026-07-06&amp;return_date=2026-07-13&amp;currency=EUR&amp;startStation=16&amp;endStation=49",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España</t>
        </is>
      </c>
      <c r="D4" t="inlineStr">
        <is>
          <t>Barcelona</t>
        </is>
      </c>
      <c r="E4" t="inlineStr">
        <is>
          <t>2026-07-31</t>
        </is>
      </c>
      <c r="F4" t="inlineStr">
        <is>
          <t>2026-08-07</t>
        </is>
      </c>
      <c r="G4" t="inlineStr">
        <is>
          <t xml:space="preserve"> - Travel Home</t>
        </is>
      </c>
      <c r="H4">
        <f>HYPERLINK("https://booking.roadsurfer.com/es/rally/pick?pickup_date=2026-07-31&amp;return_date=2026-08-07&amp;currency=EUR&amp;startStation=108&amp;endStation=17", "Clic para verlo en la web de RoadSurfer")</f>
        <v/>
      </c>
    </row>
    <row r="5">
      <c r="A5" t="inlineStr">
        <is>
          <t>Italia</t>
        </is>
      </c>
      <c r="B5" t="inlineStr">
        <is>
          <t>Bérgamo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2026-07-06</t>
        </is>
      </c>
      <c r="F5" t="inlineStr">
        <is>
          <t>2026-07-13</t>
        </is>
      </c>
      <c r="G5" t="inlineStr">
        <is>
          <t xml:space="preserve"> - CAMPER CABIN</t>
        </is>
      </c>
      <c r="H5">
        <f>HYPERLINK("https://booking.roadsurfer.com/es/rally/pick?pickup_date=2026-07-06&amp;return_date=2026-07-13&amp;currency=EUR&amp;startStation=94&amp;endStation=10", "Clic para verlo en la web de RoadSurfer")</f>
        <v/>
      </c>
    </row>
    <row r="6">
      <c r="A6" t="inlineStr">
        <is>
          <t>Alemania</t>
        </is>
      </c>
      <c r="B6" t="inlineStr">
        <is>
          <t>Bielefeld</t>
        </is>
      </c>
      <c r="C6" t="inlineStr">
        <is>
          <t>Austria</t>
        </is>
      </c>
      <c r="D6" t="inlineStr">
        <is>
          <t>Graz</t>
        </is>
      </c>
      <c r="E6" t="inlineStr">
        <is>
          <t>2026-07-27</t>
        </is>
      </c>
      <c r="F6" t="inlineStr">
        <is>
          <t>2026-08-03</t>
        </is>
      </c>
      <c r="G6" t="inlineStr">
        <is>
          <t xml:space="preserve"> - Road House</t>
        </is>
      </c>
      <c r="H6">
        <f>HYPERLINK("https://booking.roadsurfer.com/es/rally/pick?pickup_date=2026-07-27&amp;return_date=2026-08-03&amp;currency=EUR&amp;startStation=91&amp;endStation=37", "Clic para verlo en la web de RoadSurfer")</f>
        <v/>
      </c>
    </row>
    <row r="7">
      <c r="A7" t="inlineStr">
        <is>
          <t>Suecia</t>
        </is>
      </c>
      <c r="B7" t="inlineStr">
        <is>
          <t>Gotemburgo</t>
        </is>
      </c>
      <c r="C7" t="inlineStr">
        <is>
          <t>Bélgica</t>
        </is>
      </c>
      <c r="D7" t="inlineStr">
        <is>
          <t>Amberes</t>
        </is>
      </c>
      <c r="E7" t="inlineStr">
        <is>
          <t>2026-07-24</t>
        </is>
      </c>
      <c r="F7" t="inlineStr">
        <is>
          <t>2026-07-31</t>
        </is>
      </c>
      <c r="G7" t="inlineStr">
        <is>
          <t xml:space="preserve"> - Couple Cottage</t>
        </is>
      </c>
      <c r="H7">
        <f>HYPERLINK("https://booking.roadsurfer.com/es/rally/pick?pickup_date=2026-07-24&amp;return_date=2026-07-31&amp;currency=EUR&amp;startStation=77&amp;endStation=47", "Clic para verlo en la web de RoadSurfer")</f>
        <v/>
      </c>
    </row>
    <row r="8">
      <c r="A8" t="inlineStr">
        <is>
          <t>Austria</t>
        </is>
      </c>
      <c r="B8" t="inlineStr">
        <is>
          <t>Graz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2026-07-22</t>
        </is>
      </c>
      <c r="F8" t="inlineStr">
        <is>
          <t>2026-07-29</t>
        </is>
      </c>
      <c r="G8" t="inlineStr">
        <is>
          <t xml:space="preserve"> - Camper Cabin Deluxe</t>
        </is>
      </c>
      <c r="H8">
        <f>HYPERLINK("https://booking.roadsurfer.com/es/rally/pick?pickup_date=2026-07-22&amp;return_date=2026-07-29&amp;currency=EUR&amp;startStation=37&amp;endStation=79", "Clic para verlo en la web de RoadSurfer")</f>
        <v/>
      </c>
    </row>
    <row r="9">
      <c r="A9" t="inlineStr">
        <is>
          <t>Alemania</t>
        </is>
      </c>
      <c r="B9" t="inlineStr">
        <is>
          <t>Hamburgo Aeropuerto</t>
        </is>
      </c>
      <c r="C9" t="inlineStr">
        <is>
          <t>Austria</t>
        </is>
      </c>
      <c r="D9" t="inlineStr">
        <is>
          <t>Salzburgo</t>
        </is>
      </c>
      <c r="E9" t="inlineStr">
        <is>
          <t>2026-07-18</t>
        </is>
      </c>
      <c r="F9" t="inlineStr">
        <is>
          <t>2026-07-25</t>
        </is>
      </c>
      <c r="G9" t="inlineStr">
        <is>
          <t xml:space="preserve"> - Road House</t>
        </is>
      </c>
      <c r="H9">
        <f>HYPERLINK("https://booking.roadsurfer.com/es/rally/pick?pickup_date=2026-07-18&amp;return_date=2026-07-25&amp;currency=EUR&amp;startStation=65&amp;endStation=85", "Clic para verlo en la web de RoadSurfer")</f>
        <v/>
      </c>
    </row>
    <row r="10">
      <c r="A10" t="inlineStr">
        <is>
          <t>Austria</t>
        </is>
      </c>
      <c r="B10" t="inlineStr">
        <is>
          <t>Innsbruck-Wiesing</t>
        </is>
      </c>
      <c r="C10" t="inlineStr">
        <is>
          <t>Alemania</t>
        </is>
      </c>
      <c r="D10" t="inlineStr">
        <is>
          <t>Colonia-Bonn</t>
        </is>
      </c>
      <c r="E10" t="inlineStr">
        <is>
          <t>2026-07-06</t>
        </is>
      </c>
      <c r="F10" t="inlineStr">
        <is>
          <t>2026-07-13</t>
        </is>
      </c>
      <c r="G10" t="inlineStr">
        <is>
          <t xml:space="preserve"> - Couple Cottage</t>
        </is>
      </c>
      <c r="H10">
        <f>HYPERLINK("https://booking.roadsurfer.com/es/rally/pick?pickup_date=2026-07-06&amp;return_date=2026-07-13&amp;currency=EUR&amp;startStation=46&amp;endStation=52", "Clic para verlo en la web de RoadSurfer")</f>
        <v/>
      </c>
    </row>
    <row r="11">
      <c r="A11" t="inlineStr">
        <is>
          <t>Austria</t>
        </is>
      </c>
      <c r="B11" t="inlineStr">
        <is>
          <t>Innsbruck-Wiesing</t>
        </is>
      </c>
      <c r="C11" t="inlineStr">
        <is>
          <t>Austria</t>
        </is>
      </c>
      <c r="D11" t="inlineStr">
        <is>
          <t>Graz</t>
        </is>
      </c>
      <c r="E11" t="inlineStr">
        <is>
          <t>2026-07-06</t>
        </is>
      </c>
      <c r="F11" t="inlineStr">
        <is>
          <t>2026-07-13</t>
        </is>
      </c>
      <c r="G11" t="inlineStr">
        <is>
          <t xml:space="preserve"> - Road House</t>
        </is>
      </c>
      <c r="H11">
        <f>HYPERLINK("https://booking.roadsurfer.com/es/rally/pick?pickup_date=2026-07-06&amp;return_date=2026-07-13&amp;currency=EUR&amp;startStation=46&amp;endStation=37", "Clic para verlo en la web de RoadSurfer")</f>
        <v/>
      </c>
    </row>
    <row r="12">
      <c r="A12" t="inlineStr">
        <is>
          <t>Alemania</t>
        </is>
      </c>
      <c r="B12" t="inlineStr">
        <is>
          <t>Kassel</t>
        </is>
      </c>
      <c r="C12" t="inlineStr">
        <is>
          <t>Francia</t>
        </is>
      </c>
      <c r="D12" t="inlineStr">
        <is>
          <t>Toulouse</t>
        </is>
      </c>
      <c r="E12" t="inlineStr">
        <is>
          <t>2026-07-01</t>
        </is>
      </c>
      <c r="F12" t="inlineStr">
        <is>
          <t>2026-07-08</t>
        </is>
      </c>
      <c r="G12" t="inlineStr">
        <is>
          <t xml:space="preserve"> - Surfer Suite</t>
        </is>
      </c>
      <c r="H12">
        <f>HYPERLINK("https://booking.roadsurfer.com/es/rally/pick?pickup_date=2026-07-01&amp;return_date=2026-07-08&amp;currency=EUR&amp;startStation=92&amp;endStation=30", "Clic para verlo en la web de RoadSurfer")</f>
        <v/>
      </c>
    </row>
    <row r="13">
      <c r="A13" t="inlineStr">
        <is>
          <t>Alemania</t>
        </is>
      </c>
      <c r="B13" t="inlineStr">
        <is>
          <t>Kiel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2026-07-06</t>
        </is>
      </c>
      <c r="F13" t="inlineStr">
        <is>
          <t>2026-07-13</t>
        </is>
      </c>
      <c r="G13" t="inlineStr">
        <is>
          <t xml:space="preserve"> - Camper Cabin</t>
        </is>
      </c>
      <c r="H13">
        <f>HYPERLINK("https://booking.roadsurfer.com/es/rally/pick?pickup_date=2026-07-06&amp;return_date=2026-07-13&amp;currency=EUR&amp;startStation=111&amp;endStation=52", "Clic para verlo en la web de RoadSurfer")</f>
        <v/>
      </c>
    </row>
    <row r="14">
      <c r="A14" t="inlineStr">
        <is>
          <t>EE.UU.</t>
        </is>
      </c>
      <c r="B14" t="inlineStr">
        <is>
          <t>Las Vegas</t>
        </is>
      </c>
      <c r="C14" t="inlineStr">
        <is>
          <t>EE.UU.</t>
        </is>
      </c>
      <c r="D14" t="inlineStr">
        <is>
          <t>Dallas</t>
        </is>
      </c>
      <c r="E14" t="inlineStr">
        <is>
          <t>2026-07-30</t>
        </is>
      </c>
      <c r="F14" t="inlineStr">
        <is>
          <t>2026-08-06</t>
        </is>
      </c>
      <c r="G14" t="inlineStr">
        <is>
          <t xml:space="preserve"> - Family Freedom</t>
        </is>
      </c>
      <c r="H14">
        <f>HYPERLINK("https://booking.roadsurfer.com/es/rally/pick?pickup_date=2026-07-30&amp;return_date=2026-08-06&amp;currency=EUR&amp;startStation=76&amp;endStation=125", "Clic para verlo en la web de RoadSurfer")</f>
        <v/>
      </c>
    </row>
    <row r="15">
      <c r="A15" t="inlineStr">
        <is>
          <t>EE.UU.</t>
        </is>
      </c>
      <c r="B15" t="inlineStr">
        <is>
          <t>Las Vegas</t>
        </is>
      </c>
      <c r="C15" t="inlineStr">
        <is>
          <t>EE.UU.</t>
        </is>
      </c>
      <c r="D15" t="inlineStr">
        <is>
          <t>Dallas</t>
        </is>
      </c>
      <c r="E15" t="inlineStr">
        <is>
          <t>2026-06-30</t>
        </is>
      </c>
      <c r="F15" t="inlineStr">
        <is>
          <t>2026-07-07</t>
        </is>
      </c>
      <c r="G15" t="inlineStr">
        <is>
          <t xml:space="preserve"> - Liberty Lodge</t>
        </is>
      </c>
      <c r="H15">
        <f>HYPERLINK("https://booking.roadsurfer.com/es/rally/pick?pickup_date=2026-06-30&amp;return_date=2026-07-07&amp;currency=EUR&amp;startStation=76&amp;endStation=125", "Clic para verlo en la web de RoadSurfer")</f>
        <v/>
      </c>
    </row>
    <row r="16">
      <c r="A16" t="inlineStr">
        <is>
          <t>Portugal</t>
        </is>
      </c>
      <c r="B16" t="inlineStr">
        <is>
          <t>Lisboa</t>
        </is>
      </c>
      <c r="C16" t="inlineStr">
        <is>
          <t>Portugal</t>
        </is>
      </c>
      <c r="D16" t="inlineStr">
        <is>
          <t>Oporto</t>
        </is>
      </c>
      <c r="E16" t="inlineStr">
        <is>
          <t>2026-06-26</t>
        </is>
      </c>
      <c r="F16" t="inlineStr">
        <is>
          <t>2026-07-02</t>
        </is>
      </c>
      <c r="G16" t="inlineStr">
        <is>
          <t xml:space="preserve"> - Road House</t>
        </is>
      </c>
      <c r="H16">
        <f>HYPERLINK("https://booking.roadsurfer.com/es/rally/pick?pickup_date=2026-06-26&amp;return_date=2026-07-02&amp;currency=EUR&amp;startStation=18&amp;endStation=41", "Clic para verlo en la web de RoadSurfer")</f>
        <v/>
      </c>
    </row>
    <row r="17">
      <c r="A17" t="inlineStr">
        <is>
          <t>EE.UU.</t>
        </is>
      </c>
      <c r="B17" t="inlineStr">
        <is>
          <t>Los Ángeles</t>
        </is>
      </c>
      <c r="C17" t="inlineStr">
        <is>
          <t>EE.UU.</t>
        </is>
      </c>
      <c r="D17" t="inlineStr">
        <is>
          <t>Dallas</t>
        </is>
      </c>
      <c r="E17" t="inlineStr">
        <is>
          <t>2026-07-09</t>
        </is>
      </c>
      <c r="F17" t="inlineStr">
        <is>
          <t>2026-07-16</t>
        </is>
      </c>
      <c r="G17" t="inlineStr">
        <is>
          <t xml:space="preserve"> - Family Freedom</t>
        </is>
      </c>
      <c r="H17">
        <f>HYPERLINK("https://booking.roadsurfer.com/es/rally/pick?pickup_date=2026-07-09&amp;return_date=2026-07-16&amp;currency=EUR&amp;startStation=72&amp;endStation=125", "Clic para verlo en la web de RoadSurfer")</f>
        <v/>
      </c>
    </row>
    <row r="18">
      <c r="A18" t="inlineStr">
        <is>
          <t>Alemania</t>
        </is>
      </c>
      <c r="B18" t="inlineStr">
        <is>
          <t>Múnich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2026-07-06</t>
        </is>
      </c>
      <c r="F18" t="inlineStr">
        <is>
          <t>2026-07-13</t>
        </is>
      </c>
      <c r="G18" t="inlineStr">
        <is>
          <t xml:space="preserve"> - Couple Cottage</t>
        </is>
      </c>
      <c r="H18">
        <f>HYPERLINK("https://booking.roadsurfer.com/es/rally/pick?pickup_date=2026-07-06&amp;return_date=2026-07-13&amp;currency=EUR&amp;startStation=1&amp;endStation=17", "Clic para verlo en la web de RoadSurfer")</f>
        <v/>
      </c>
    </row>
    <row r="19">
      <c r="A19" t="inlineStr">
        <is>
          <t>Francia</t>
        </is>
      </c>
      <c r="B19" t="inlineStr">
        <is>
          <t>Nantes</t>
        </is>
      </c>
      <c r="C19" t="inlineStr">
        <is>
          <t>Francia</t>
        </is>
      </c>
      <c r="D19" t="inlineStr">
        <is>
          <t>Toulouse</t>
        </is>
      </c>
      <c r="E19" t="inlineStr">
        <is>
          <t>2026-07-06</t>
        </is>
      </c>
      <c r="F19" t="inlineStr">
        <is>
          <t>2026-07-13</t>
        </is>
      </c>
      <c r="G19" t="inlineStr">
        <is>
          <t xml:space="preserve"> - Camper Castle</t>
        </is>
      </c>
      <c r="H19">
        <f>HYPERLINK("https://booking.roadsurfer.com/es/rally/pick?pickup_date=2026-07-06&amp;return_date=2026-07-13&amp;currency=EUR&amp;startStation=31&amp;endStation=30", "Clic para verlo en la web de RoadSurfer")</f>
        <v/>
      </c>
    </row>
    <row r="20">
      <c r="A20" t="inlineStr">
        <is>
          <t>Alemania</t>
        </is>
      </c>
      <c r="B20" t="inlineStr">
        <is>
          <t>Tréveris</t>
        </is>
      </c>
      <c r="C20" t="inlineStr">
        <is>
          <t>Italia</t>
        </is>
      </c>
      <c r="D20" t="inlineStr">
        <is>
          <t>Milán</t>
        </is>
      </c>
      <c r="E20" t="inlineStr">
        <is>
          <t>2026-07-13</t>
        </is>
      </c>
      <c r="F20" t="inlineStr">
        <is>
          <t>2026-07-20</t>
        </is>
      </c>
      <c r="G20" t="inlineStr">
        <is>
          <t xml:space="preserve"> - Road House</t>
        </is>
      </c>
      <c r="H20">
        <f>HYPERLINK("https://booking.roadsurfer.com/es/rally/pick?pickup_date=2026-07-13&amp;return_date=2026-07-20&amp;currency=EUR&amp;startStation=28&amp;endStation=34", "Clic para verlo en la web de RoadSurfer")</f>
        <v/>
      </c>
    </row>
    <row r="21">
      <c r="A21" t="inlineStr">
        <is>
          <t>Italia</t>
        </is>
      </c>
      <c r="B21" t="inlineStr">
        <is>
          <t>Venecia</t>
        </is>
      </c>
      <c r="C21" t="inlineStr">
        <is>
          <t>Italia</t>
        </is>
      </c>
      <c r="D21" t="inlineStr">
        <is>
          <t>Bolonia</t>
        </is>
      </c>
      <c r="E21" t="inlineStr">
        <is>
          <t>2026-07-03</t>
        </is>
      </c>
      <c r="F21" t="inlineStr">
        <is>
          <t>2026-07-06</t>
        </is>
      </c>
      <c r="G21" t="inlineStr">
        <is>
          <t xml:space="preserve"> - No hay coche</t>
        </is>
      </c>
      <c r="H21">
        <f>HYPERLINK("https://booking.roadsurfer.com/es/rally/pick?pickup_date=2026-07-03&amp;return_date=2026-07-06&amp;currency=EUR&amp;startStation=78&amp;endStation=57",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2026-06-30T16:21:35Z</dcterms:created>
  <dcterms:modified xsi:type="dcterms:W3CDTF">2026-06-30T16:21:35Z</dcterms:modified>
</cp:coreProperties>
</file>