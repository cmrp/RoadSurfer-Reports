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Colonia-Düsseldorf</t>
        </is>
      </c>
      <c r="E2" t="inlineStr">
        <is>
          <t>2026-09-05</t>
        </is>
      </c>
      <c r="F2" t="inlineStr">
        <is>
          <t>2026-09-12</t>
        </is>
      </c>
      <c r="G2" t="inlineStr">
        <is>
          <t xml:space="preserve"> - No hay coche</t>
        </is>
      </c>
      <c r="H2">
        <f>HYPERLINK("https://booking.roadsurfer.com/es/rally/pick?pickup_date=2026-09-05&amp;return_date=2026-09-12&amp;currency=EUR&amp;startStation=17&amp;endStation=4",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2026-09-03</t>
        </is>
      </c>
      <c r="F3" t="inlineStr">
        <is>
          <t>2026-09-10</t>
        </is>
      </c>
      <c r="G3" t="inlineStr">
        <is>
          <t xml:space="preserve"> - Surfer Suite</t>
        </is>
      </c>
      <c r="H3">
        <f>HYPERLINK("https://booking.roadsurfer.com/es/rally/pick?pickup_date=2026-09-03&amp;return_date=2026-09-10&amp;currency=EUR&amp;startStation=17&amp;endStation=39",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Camper Castle - COUPLE COTTAGE</t>
        </is>
      </c>
      <c r="H5">
        <f>HYPERLINK("https://booking.roadsurfer.com/es/rally/pick?pickup_date=2026-09-25&amp;return_date=2026-10-02&amp;currency=EUR&amp;startStation=40&amp;endStation=22",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2026-08-21</t>
        </is>
      </c>
      <c r="F6" t="inlineStr">
        <is>
          <t>2026-08-28</t>
        </is>
      </c>
      <c r="G6" t="inlineStr">
        <is>
          <t xml:space="preserve"> - Surfer Suite</t>
        </is>
      </c>
      <c r="H6">
        <f>HYPERLINK("https://booking.roadsurfer.com/es/rally/pick?pickup_date=2026-08-21&amp;return_date=2026-08-28&amp;currency=EUR&amp;startStation=24&amp;endStation=30",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2026-09-26</t>
        </is>
      </c>
      <c r="F7" t="inlineStr">
        <is>
          <t>2026-10-03</t>
        </is>
      </c>
      <c r="G7" t="inlineStr">
        <is>
          <t xml:space="preserve"> - No hay coche</t>
        </is>
      </c>
      <c r="H7">
        <f>HYPERLINK("https://booking.roadsurfer.com/es/rally/pick?pickup_date=2026-09-26&amp;return_date=2026-10-03&amp;currency=EUR&amp;startStation=13&amp;endStation=3",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No hay coche</t>
        </is>
      </c>
      <c r="H8">
        <f>HYPERLINK("https://booking.roadsurfer.com/es/rally/pick?pickup_date=2026-09-15&amp;return_date=2026-09-22&amp;currency=EUR&amp;startStation=13&amp;endStation=3",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2026-10-07</t>
        </is>
      </c>
      <c r="F9" t="inlineStr">
        <is>
          <t>2026-10-14</t>
        </is>
      </c>
      <c r="G9" t="inlineStr">
        <is>
          <t xml:space="preserve"> - Road House</t>
        </is>
      </c>
      <c r="H9">
        <f>HYPERLINK("https://booking.roadsurfer.com/es/rally/pick?pickup_date=2026-10-07&amp;return_date=2026-10-14&amp;currency=EUR&amp;startStation=13&amp;endStation=22",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2026-10-25</t>
        </is>
      </c>
      <c r="F10" t="inlineStr">
        <is>
          <t>2026-11-02</t>
        </is>
      </c>
      <c r="G10" t="inlineStr">
        <is>
          <t xml:space="preserve"> - No hay coche</t>
        </is>
      </c>
      <c r="H10">
        <f>HYPERLINK("https://booking.roadsurfer.com/es/rally/pick?pickup_date=2026-10-25&amp;return_date=2026-11-02&amp;currency=EUR&amp;startStation=13&amp;endStation=22",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2026-09-24</t>
        </is>
      </c>
      <c r="F11" t="inlineStr">
        <is>
          <t>2026-10-01</t>
        </is>
      </c>
      <c r="G11" t="inlineStr">
        <is>
          <t xml:space="preserve"> - Road House</t>
        </is>
      </c>
      <c r="H11">
        <f>HYPERLINK("https://booking.roadsurfer.com/es/rally/pick?pickup_date=2026-09-24&amp;return_date=2026-10-01&amp;currency=EUR&amp;startStation=13&amp;endStation=22",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</t>
        </is>
      </c>
      <c r="H13">
        <f>HYPERLINK("https://booking.roadsurfer.com/es/rally/pick?pickup_date=2026-09-16&amp;return_date=2026-09-23&amp;currency=EUR&amp;startStation=13&amp;endStation=22",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Road House</t>
        </is>
      </c>
      <c r="H14">
        <f>HYPERLINK("https://booking.roadsurfer.com/es/rally/pick?pickup_date=2026-09-22&amp;return_date=2026-09-29&amp;currency=EUR&amp;startStation=13&amp;endStation=22",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Road House</t>
        </is>
      </c>
      <c r="H15">
        <f>HYPERLINK("https://booking.roadsurfer.com/es/rally/pick?pickup_date=2026-09-25&amp;return_date=2026-10-02&amp;currency=EUR&amp;startStation=13&amp;endStation=22",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2026-10-01</t>
        </is>
      </c>
      <c r="F16" t="inlineStr">
        <is>
          <t>2026-10-08</t>
        </is>
      </c>
      <c r="G16" t="inlineStr">
        <is>
          <t xml:space="preserve"> - Surfer Suite</t>
        </is>
      </c>
      <c r="H16">
        <f>HYPERLINK("https://booking.roadsurfer.com/es/rally/pick?pickup_date=2026-10-01&amp;return_date=2026-10-08&amp;currency=EUR&amp;startStation=13&amp;endStation=2",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Lübeck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HYPERLINK("https://booking.roadsurfer.com/es/rally/pick?pickup_date=2026-09-15&amp;return_date=2026-09-22&amp;currency=EUR&amp;startStation=13&amp;endStation=109", "Clic para verlo en la web de RoadSurfer")</f>
        <v/>
      </c>
    </row>
    <row r="18">
      <c r="A18" t="inlineStr">
        <is>
          <t>Alemania</t>
        </is>
      </c>
      <c r="B18" t="inlineStr">
        <is>
          <t>Friburgo-Basilea (Alemania)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2026-08-28</t>
        </is>
      </c>
      <c r="F18" t="inlineStr">
        <is>
          <t>2026-09-04</t>
        </is>
      </c>
      <c r="G18" t="inlineStr">
        <is>
          <t xml:space="preserve"> - Couple Cottage</t>
        </is>
      </c>
      <c r="H18">
        <f>HYPERLINK("https://booking.roadsurfer.com/es/rally/pick?pickup_date=2026-08-28&amp;return_date=2026-09-04&amp;currency=EUR&amp;startStation=9&amp;endStation=35", "Clic para verlo en la web de RoadSurfer")</f>
        <v/>
      </c>
    </row>
    <row r="19">
      <c r="A19" t="inlineStr">
        <is>
          <t>Austria</t>
        </is>
      </c>
      <c r="B19" t="inlineStr">
        <is>
          <t>Innsbruck-Wiesing</t>
        </is>
      </c>
      <c r="C19" t="inlineStr">
        <is>
          <t>Alemania</t>
        </is>
      </c>
      <c r="D19" t="inlineStr">
        <is>
          <t>Núremberg</t>
        </is>
      </c>
      <c r="E19" t="inlineStr">
        <is>
          <t>2026-09-07</t>
        </is>
      </c>
      <c r="F19" t="inlineStr">
        <is>
          <t>2026-09-14</t>
        </is>
      </c>
      <c r="G19" t="inlineStr">
        <is>
          <t xml:space="preserve"> - No hay coche</t>
        </is>
      </c>
      <c r="H19">
        <f>HYPERLINK("https://booking.roadsurfer.com/es/rally/pick?pickup_date=2026-09-07&amp;return_date=2026-09-14&amp;currency=EUR&amp;startStation=46&amp;endStation=11", "Clic para verlo en la web de RoadSurfer")</f>
        <v/>
      </c>
    </row>
    <row r="20">
      <c r="A20" t="inlineStr">
        <is>
          <t>Francia</t>
        </is>
      </c>
      <c r="B20" t="inlineStr">
        <is>
          <t>Lyon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2026-10-12</t>
        </is>
      </c>
      <c r="F20" t="inlineStr">
        <is>
          <t>2026-10-19</t>
        </is>
      </c>
      <c r="G20" t="inlineStr">
        <is>
          <t xml:space="preserve"> - Couple Cottage</t>
        </is>
      </c>
      <c r="H20">
        <f>HYPERLINK("https://booking.roadsurfer.com/es/rally/pick?pickup_date=2026-10-12&amp;return_date=2026-10-19&amp;currency=EUR&amp;startStation=15&amp;endStation=22", "Clic para verlo en la web de RoadSurfer")</f>
        <v/>
      </c>
    </row>
    <row r="21">
      <c r="A21" t="inlineStr">
        <is>
          <t>España</t>
        </is>
      </c>
      <c r="B21" t="inlineStr">
        <is>
          <t>Madrid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2026-10-05</t>
        </is>
      </c>
      <c r="F21" t="inlineStr">
        <is>
          <t>2026-10-12</t>
        </is>
      </c>
      <c r="G21" t="inlineStr">
        <is>
          <t xml:space="preserve"> - No hay coche</t>
        </is>
      </c>
      <c r="H21">
        <f>HYPERLINK("https://booking.roadsurfer.com/es/rally/pick?pickup_date=2026-10-05&amp;return_date=2026-10-12&amp;currency=EUR&amp;startStation=20&amp;endStation=22", "Clic para verlo en la web de RoadSurfer")</f>
        <v/>
      </c>
    </row>
    <row r="22">
      <c r="A22" t="inlineStr">
        <is>
          <t>España</t>
        </is>
      </c>
      <c r="B22" t="inlineStr">
        <is>
          <t>Madrid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Surfer Suite - Couple Cottage - COUPLE COTTAGE</t>
        </is>
      </c>
      <c r="H22">
        <f>HYPERLINK("https://booking.roadsurfer.com/es/rally/pick?pickup_date=2026-09-25&amp;return_date=2026-10-02&amp;currency=EUR&amp;startStation=20&amp;endStation=22", "Clic para verlo en la web de RoadSurfer")</f>
        <v/>
      </c>
    </row>
    <row r="23">
      <c r="A23" t="inlineStr">
        <is>
          <t>España</t>
        </is>
      </c>
      <c r="B23" t="inlineStr">
        <is>
          <t>Madrid</t>
        </is>
      </c>
      <c r="C23" t="inlineStr">
        <is>
          <t>Alemania</t>
        </is>
      </c>
      <c r="D23" t="inlineStr">
        <is>
          <t>Bremen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Beach Hostel</t>
        </is>
      </c>
      <c r="H23">
        <f>HYPERLINK("https://booking.roadsurfer.com/es/rally/pick?pickup_date=2026-09-28&amp;return_date=2026-10-05&amp;currency=EUR&amp;startStation=20&amp;endStation=55", "Clic para verlo en la web de RoadSurfer")</f>
        <v/>
      </c>
    </row>
    <row r="24">
      <c r="A24" t="inlineStr">
        <is>
          <t>España</t>
        </is>
      </c>
      <c r="B24" t="inlineStr">
        <is>
          <t>Madrid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2026-10-20</t>
        </is>
      </c>
      <c r="F24" t="inlineStr">
        <is>
          <t>2026-10-27</t>
        </is>
      </c>
      <c r="G24" t="inlineStr">
        <is>
          <t xml:space="preserve"> - Surfer Suite</t>
        </is>
      </c>
      <c r="H24">
        <f>HYPERLINK("https://booking.roadsurfer.com/es/rally/pick?pickup_date=2026-10-20&amp;return_date=2026-10-27&amp;currency=EUR&amp;startStation=20&amp;endStation=8", "Clic para verlo en la web de RoadSurfer")</f>
        <v/>
      </c>
    </row>
    <row r="25">
      <c r="A25" t="inlineStr">
        <is>
          <t>Suecia</t>
        </is>
      </c>
      <c r="B25" t="inlineStr">
        <is>
          <t>Malmö</t>
        </is>
      </c>
      <c r="C25" t="inlineStr">
        <is>
          <t>Alemania</t>
        </is>
      </c>
      <c r="D25" t="inlineStr">
        <is>
          <t>Colonia-Bonn</t>
        </is>
      </c>
      <c r="E25" t="inlineStr">
        <is>
          <t>2026-09-26</t>
        </is>
      </c>
      <c r="F25" t="inlineStr">
        <is>
          <t>2026-10-03</t>
        </is>
      </c>
      <c r="G25" t="inlineStr">
        <is>
          <t xml:space="preserve"> - No hay coche</t>
        </is>
      </c>
      <c r="H25">
        <f>HYPERLINK("https://booking.roadsurfer.com/es/rally/pick?pickup_date=2026-09-26&amp;return_date=2026-10-03&amp;currency=EUR&amp;startStation=60&amp;endStation=52", "Clic para verlo en la web de RoadSurfer")</f>
        <v/>
      </c>
    </row>
    <row r="26">
      <c r="A26" t="inlineStr">
        <is>
          <t>Francia</t>
        </is>
      </c>
      <c r="B26" t="inlineStr">
        <is>
          <t>Nantes</t>
        </is>
      </c>
      <c r="C26" t="inlineStr">
        <is>
          <t>Alemania</t>
        </is>
      </c>
      <c r="D26" t="inlineStr">
        <is>
          <t>Hamburgo</t>
        </is>
      </c>
      <c r="E26" t="inlineStr">
        <is>
          <t>2026-09-30</t>
        </is>
      </c>
      <c r="F26" t="inlineStr">
        <is>
          <t>2026-10-07</t>
        </is>
      </c>
      <c r="G26" t="inlineStr">
        <is>
          <t xml:space="preserve"> - Surfer Suite</t>
        </is>
      </c>
      <c r="H26">
        <f>HYPERLINK("https://booking.roadsurfer.com/es/rally/pick?pickup_date=2026-09-30&amp;return_date=2026-10-07&amp;currency=EUR&amp;startStation=31&amp;endStation=3", "Clic para verlo en la web de RoadSurfer")</f>
        <v/>
      </c>
    </row>
    <row r="27">
      <c r="A27" t="inlineStr">
        <is>
          <t>Francia</t>
        </is>
      </c>
      <c r="B27" t="inlineStr">
        <is>
          <t>Nantes</t>
        </is>
      </c>
      <c r="C27" t="inlineStr">
        <is>
          <t>Alemania</t>
        </is>
      </c>
      <c r="D27" t="inlineStr">
        <is>
          <t>Lübeck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Beach Hostel</t>
        </is>
      </c>
      <c r="H27">
        <f>HYPERLINK("https://booking.roadsurfer.com/es/rally/pick?pickup_date=2026-09-25&amp;return_date=2026-10-02&amp;currency=EUR&amp;startStation=31&amp;endStation=109", "Clic para verlo en la web de RoadSurfer")</f>
        <v/>
      </c>
    </row>
    <row r="28">
      <c r="A28" t="inlineStr">
        <is>
          <t>Francia</t>
        </is>
      </c>
      <c r="B28" t="inlineStr">
        <is>
          <t>París Sur (Orly)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Travel Home</t>
        </is>
      </c>
      <c r="H28">
        <f>HYPERLINK("https://booking.roadsurfer.com/es/rally/pick?pickup_date=2026-09-28&amp;return_date=2026-10-05&amp;currency=EUR&amp;startStation=12&amp;endStation=22", "Clic para verlo en la web de RoadSurfer")</f>
        <v/>
      </c>
    </row>
    <row r="29">
      <c r="A29" t="inlineStr">
        <is>
          <t>Francia</t>
        </is>
      </c>
      <c r="B29" t="inlineStr">
        <is>
          <t>París Sur (Orly)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HYPERLINK("https://booking.roadsurfer.com/es/rally/pick?pickup_date=2026-09-26&amp;return_date=2026-10-03&amp;currency=EUR&amp;startStation=12&amp;endStation=22", "Clic para verlo en la web de RoadSurfer")</f>
        <v/>
      </c>
    </row>
    <row r="30">
      <c r="A30" t="inlineStr">
        <is>
          <t>EE.UU.</t>
        </is>
      </c>
      <c r="B30" t="inlineStr">
        <is>
          <t>Seattle</t>
        </is>
      </c>
      <c r="C30" t="inlineStr">
        <is>
          <t>EE.UU.</t>
        </is>
      </c>
      <c r="D30" t="inlineStr">
        <is>
          <t>Phoenix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Liberty Lodge</t>
        </is>
      </c>
      <c r="H30">
        <f>HYPERLINK("https://booking.roadsurfer.com/es/rally/pick?pickup_date=2026-09-28&amp;return_date=2026-10-05&amp;currency=EUR&amp;startStation=107&amp;endStation=105", "Clic para verlo en la web de RoadSurfer")</f>
        <v/>
      </c>
    </row>
    <row r="31">
      <c r="A31" t="inlineStr">
        <is>
          <t>EE.UU.</t>
        </is>
      </c>
      <c r="B31" t="inlineStr">
        <is>
          <t>Seattle</t>
        </is>
      </c>
      <c r="C31" t="inlineStr">
        <is>
          <t>EE.UU.</t>
        </is>
      </c>
      <c r="D31" t="inlineStr">
        <is>
          <t>Los Ángeles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Liberty Lodge</t>
        </is>
      </c>
      <c r="H31">
        <f>HYPERLINK("https://booking.roadsurfer.com/es/rally/pick?pickup_date=2026-09-15&amp;return_date=2026-09-22&amp;currency=EUR&amp;startStation=107&amp;endStation=72", "Clic para verlo en la web de RoadSurfer")</f>
        <v/>
      </c>
    </row>
    <row r="32">
      <c r="A32" t="inlineStr">
        <is>
          <t>Suecia</t>
        </is>
      </c>
      <c r="B32" t="inlineStr">
        <is>
          <t>Estocolmo</t>
        </is>
      </c>
      <c r="C32" t="inlineStr">
        <is>
          <t>Alemania</t>
        </is>
      </c>
      <c r="D32" t="inlineStr">
        <is>
          <t>Múnich</t>
        </is>
      </c>
      <c r="E32" t="inlineStr">
        <is>
          <t>2026-08-31</t>
        </is>
      </c>
      <c r="F32" t="inlineStr">
        <is>
          <t>2026-09-07</t>
        </is>
      </c>
      <c r="G32" t="inlineStr">
        <is>
          <t xml:space="preserve"> - No hay coche</t>
        </is>
      </c>
      <c r="H32">
        <f>HYPERLINK("https://booking.roadsurfer.com/es/rally/pick?pickup_date=2026-08-31&amp;return_date=2026-09-07&amp;currency=EUR&amp;startStation=59&amp;endStation=1", "Clic para verlo en la web de RoadSurfer")</f>
        <v/>
      </c>
    </row>
    <row r="33">
      <c r="A33" t="inlineStr">
        <is>
          <t>Francia</t>
        </is>
      </c>
      <c r="B33" t="inlineStr">
        <is>
          <t>Toulouse</t>
        </is>
      </c>
      <c r="C33" t="inlineStr">
        <is>
          <t>Alemania</t>
        </is>
      </c>
      <c r="D33" t="inlineStr">
        <is>
          <t>Lübeck</t>
        </is>
      </c>
      <c r="E33" t="inlineStr">
        <is>
          <t>2026-09-24</t>
        </is>
      </c>
      <c r="F33" t="inlineStr">
        <is>
          <t>2026-10-01</t>
        </is>
      </c>
      <c r="G33" t="inlineStr">
        <is>
          <t xml:space="preserve"> - ROAD HOUSE</t>
        </is>
      </c>
      <c r="H33">
        <f>HYPERLINK("https://booking.roadsurfer.com/es/rally/pick?pickup_date=2026-09-24&amp;return_date=2026-10-01&amp;currency=EUR&amp;startStation=30&amp;endStation=109", "Clic para verlo en la web de RoadSurfer")</f>
        <v/>
      </c>
    </row>
    <row r="34">
      <c r="A34" t="inlineStr">
        <is>
          <t>Francia</t>
        </is>
      </c>
      <c r="B34" t="inlineStr">
        <is>
          <t>Toulouse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2026-09-30</t>
        </is>
      </c>
      <c r="F34" t="inlineStr">
        <is>
          <t>2026-10-07</t>
        </is>
      </c>
      <c r="G34" t="inlineStr">
        <is>
          <t xml:space="preserve"> - Surfer Suite</t>
        </is>
      </c>
      <c r="H34">
        <f>HYPERLINK("https://booking.roadsurfer.com/es/rally/pick?pickup_date=2026-09-30&amp;return_date=2026-10-07&amp;currency=EUR&amp;startStation=30&amp;endStation=3", "Clic para verlo en la web de RoadSurfer")</f>
        <v/>
      </c>
    </row>
    <row r="35">
      <c r="A35" t="inlineStr">
        <is>
          <t>España</t>
        </is>
      </c>
      <c r="B35" t="inlineStr">
        <is>
          <t>Valencia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2026-10-07</t>
        </is>
      </c>
      <c r="F35" t="inlineStr">
        <is>
          <t>2026-10-14</t>
        </is>
      </c>
      <c r="G35" t="inlineStr">
        <is>
          <t xml:space="preserve"> - No hay coche</t>
        </is>
      </c>
      <c r="H35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2026-08-20T14:30:35Z</dcterms:created>
  <dcterms:modified xsi:type="dcterms:W3CDTF">2026-08-20T14:30:35Z</dcterms:modified>
</cp:coreProperties>
</file>