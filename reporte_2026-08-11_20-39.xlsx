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Duisburgo</t>
        </is>
      </c>
      <c r="E2" t="inlineStr">
        <is>
          <t>2026-09-25</t>
        </is>
      </c>
      <c r="F2" t="inlineStr">
        <is>
          <t>2026-10-02</t>
        </is>
      </c>
      <c r="G2" t="inlineStr">
        <is>
          <t xml:space="preserve"> - CAMPER CABIN</t>
        </is>
      </c>
      <c r="H2">
        <f>HYPERLINK("https://booking.roadsurfer.com/es/rally/pick?pickup_date=2026-09-25&amp;return_date=2026-10-02&amp;currency=EUR&amp;startStation=32&amp;endStation=113",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Duisburgo</t>
        </is>
      </c>
      <c r="E3" t="inlineStr">
        <is>
          <t>2026-10-02</t>
        </is>
      </c>
      <c r="F3" t="inlineStr">
        <is>
          <t>2026-10-09</t>
        </is>
      </c>
      <c r="G3" t="inlineStr">
        <is>
          <t xml:space="preserve"> - Camper Cabin Deluxe</t>
        </is>
      </c>
      <c r="H3">
        <f>HYPERLINK("https://booking.roadsurfer.com/es/rally/pick?pickup_date=2026-10-02&amp;return_date=2026-10-09&amp;currency=EUR&amp;startStation=32&amp;endStation=113",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España</t>
        </is>
      </c>
      <c r="D7" t="inlineStr">
        <is>
          <t>Valencia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Road House</t>
        </is>
      </c>
      <c r="H7">
        <f>HYPERLINK("https://booking.roadsurfer.com/es/rally/pick?pickup_date=2026-09-22&amp;return_date=2026-09-29&amp;currency=EUR&amp;startStation=47&amp;endStation=38",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Berlín-Schönefeld</t>
        </is>
      </c>
      <c r="E8" t="inlineStr">
        <is>
          <t>2026-10-23</t>
        </is>
      </c>
      <c r="F8" t="inlineStr">
        <is>
          <t>2026-10-30</t>
        </is>
      </c>
      <c r="G8" t="inlineStr">
        <is>
          <t xml:space="preserve"> - Surfer Suite</t>
        </is>
      </c>
      <c r="H8">
        <f>HYPERLINK("https://booking.roadsurfer.com/es/rally/pick?pickup_date=2026-10-23&amp;return_date=2026-10-30&amp;currency=EUR&amp;startStation=17&amp;endStation=51",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HYPERLINK("https://booking.roadsurfer.com/es/rally/pick?pickup_date=2026-09-26&amp;return_date=2026-10-03&amp;currency=EUR&amp;startStation=17&amp;endStation=22",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Ulm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Camper Castle</t>
        </is>
      </c>
      <c r="H10">
        <f>HYPERLINK("https://booking.roadsurfer.com/es/rally/pick?pickup_date=2026-09-30&amp;return_date=2026-10-07&amp;currency=EUR&amp;startStation=17&amp;endStation=112",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2026-09-07</t>
        </is>
      </c>
      <c r="F11" t="inlineStr">
        <is>
          <t>2026-09-14</t>
        </is>
      </c>
      <c r="G11" t="inlineStr">
        <is>
          <t xml:space="preserve"> - No hay coche</t>
        </is>
      </c>
      <c r="H11">
        <f>HYPERLINK("https://booking.roadsurfer.com/es/rally/pick?pickup_date=2026-09-07&amp;return_date=2026-09-14&amp;currency=EUR&amp;startStation=94&amp;endStation=22", "Clic para verlo en la web de RoadSurfer")</f>
        <v/>
      </c>
    </row>
    <row r="12">
      <c r="A12" t="inlineStr">
        <is>
          <t>España</t>
        </is>
      </c>
      <c r="B12" t="inlineStr">
        <is>
          <t>Bilbao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HYPERLINK("https://booking.roadsurfer.com/es/rally/pick?pickup_date=2026-09-16&amp;return_date=2026-09-23&amp;currency=EUR&amp;startStation=40&amp;endStation=22", "Clic para verlo en la web de RoadSurfer")</f>
        <v/>
      </c>
    </row>
    <row r="13">
      <c r="A13" t="inlineStr">
        <is>
          <t>España</t>
        </is>
      </c>
      <c r="B13" t="inlineStr">
        <is>
          <t>Bilbao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Camper Castle - COUPLE COTTAGE</t>
        </is>
      </c>
      <c r="H13">
        <f>HYPERLINK("https://booking.roadsurfer.com/es/rally/pick?pickup_date=2026-09-25&amp;return_date=2026-10-02&amp;currency=EUR&amp;startStation=40&amp;endStation=22",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Hamburgo</t>
        </is>
      </c>
      <c r="E14" t="inlineStr">
        <is>
          <t>2026-09-26</t>
        </is>
      </c>
      <c r="F14" t="inlineStr">
        <is>
          <t>2026-10-03</t>
        </is>
      </c>
      <c r="G14" t="inlineStr">
        <is>
          <t xml:space="preserve"> - No hay coche</t>
        </is>
      </c>
      <c r="H14">
        <f>HYPERLINK("https://booking.roadsurfer.com/es/rally/pick?pickup_date=2026-09-26&amp;return_date=2026-10-03&amp;currency=EUR&amp;startStation=13&amp;endStation=3",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2026-09-07</t>
        </is>
      </c>
      <c r="F16" t="inlineStr">
        <is>
          <t>2026-09-14</t>
        </is>
      </c>
      <c r="G16" t="inlineStr">
        <is>
          <t xml:space="preserve"> - Sunrise Suite</t>
        </is>
      </c>
      <c r="H16">
        <f>HYPERLINK("https://booking.roadsurfer.com/es/rally/pick?pickup_date=2026-09-07&amp;return_date=2026-09-14&amp;currency=EUR&amp;startStation=13&amp;endStation=3",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2026-10-07</t>
        </is>
      </c>
      <c r="F17" t="inlineStr">
        <is>
          <t>2026-10-14</t>
        </is>
      </c>
      <c r="G17" t="inlineStr">
        <is>
          <t xml:space="preserve"> - Road House</t>
        </is>
      </c>
      <c r="H17">
        <f>HYPERLINK("https://booking.roadsurfer.com/es/rally/pick?pickup_date=2026-10-07&amp;return_date=2026-10-14&amp;currency=EUR&amp;startStation=13&amp;endStation=22",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2026-10-25</t>
        </is>
      </c>
      <c r="F18" t="inlineStr">
        <is>
          <t>2026-11-02</t>
        </is>
      </c>
      <c r="G18" t="inlineStr">
        <is>
          <t xml:space="preserve"> - No hay coche</t>
        </is>
      </c>
      <c r="H18">
        <f>HYPERLINK("https://booking.roadsurfer.com/es/rally/pick?pickup_date=2026-10-25&amp;return_date=2026-11-02&amp;currency=EUR&amp;startStation=13&amp;endStation=22",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2026-09-24</t>
        </is>
      </c>
      <c r="F19" t="inlineStr">
        <is>
          <t>2026-10-01</t>
        </is>
      </c>
      <c r="G19" t="inlineStr">
        <is>
          <t xml:space="preserve"> - Road House</t>
        </is>
      </c>
      <c r="H19">
        <f>HYPERLINK("https://booking.roadsurfer.com/es/rally/pick?pickup_date=2026-09-24&amp;return_date=2026-10-01&amp;currency=EUR&amp;startStation=13&amp;endStation=22",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2026-09-26</t>
        </is>
      </c>
      <c r="F20" t="inlineStr">
        <is>
          <t>2026-10-03</t>
        </is>
      </c>
      <c r="G20" t="inlineStr">
        <is>
          <t xml:space="preserve"> - No hay coche</t>
        </is>
      </c>
      <c r="H20">
        <f>HYPERLINK("https://booking.roadsurfer.com/es/rally/pick?pickup_date=2026-09-26&amp;return_date=2026-10-03&amp;currency=EUR&amp;startStation=13&amp;endStation=22",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Surfer Suite - SURFER SUITE</t>
        </is>
      </c>
      <c r="H21">
        <f>HYPERLINK("https://booking.roadsurfer.com/es/rally/pick?pickup_date=2026-09-16&amp;return_date=2026-09-23&amp;currency=EUR&amp;startStation=13&amp;endStation=22",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ROAD HOUSE</t>
        </is>
      </c>
      <c r="H23">
        <f>HYPERLINK("https://booking.roadsurfer.com/es/rally/pick?pickup_date=2026-09-15&amp;return_date=2026-09-22&amp;currency=EUR&amp;startStation=13&amp;endStation=22",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2026-09-11</t>
        </is>
      </c>
      <c r="F24" t="inlineStr">
        <is>
          <t>2026-09-18</t>
        </is>
      </c>
      <c r="G24" t="inlineStr">
        <is>
          <t xml:space="preserve"> - Surfer Suite</t>
        </is>
      </c>
      <c r="H24">
        <f>HYPERLINK("https://booking.roadsurfer.com/es/rally/pick?pickup_date=2026-09-11&amp;return_date=2026-09-18&amp;currency=EUR&amp;startStation=13&amp;endStation=22",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2026-09-07</t>
        </is>
      </c>
      <c r="F25" t="inlineStr">
        <is>
          <t>2026-09-14</t>
        </is>
      </c>
      <c r="G25" t="inlineStr">
        <is>
          <t xml:space="preserve"> - No hay coche</t>
        </is>
      </c>
      <c r="H25">
        <f>HYPERLINK("https://booking.roadsurfer.com/es/rally/pick?pickup_date=2026-09-07&amp;return_date=2026-09-14&amp;currency=EUR&amp;startStation=13&amp;endStation=22",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2026-09-25</t>
        </is>
      </c>
      <c r="F26" t="inlineStr">
        <is>
          <t>2026-10-02</t>
        </is>
      </c>
      <c r="G26" t="inlineStr">
        <is>
          <t xml:space="preserve"> - Road House</t>
        </is>
      </c>
      <c r="H26">
        <f>HYPERLINK("https://booking.roadsurfer.com/es/rally/pick?pickup_date=2026-09-25&amp;return_date=2026-10-02&amp;currency=EUR&amp;startStation=13&amp;endStation=22",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2026-10-08</t>
        </is>
      </c>
      <c r="F27" t="inlineStr">
        <is>
          <t>2026-10-15</t>
        </is>
      </c>
      <c r="G27" t="inlineStr">
        <is>
          <t xml:space="preserve"> - Beach Hostel</t>
        </is>
      </c>
      <c r="H27">
        <f>HYPERLINK("https://booking.roadsurfer.com/es/rally/pick?pickup_date=2026-10-08&amp;return_date=2026-10-15&amp;currency=EUR&amp;startStation=13&amp;endStation=9",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2026-10-01</t>
        </is>
      </c>
      <c r="F28" t="inlineStr">
        <is>
          <t>2026-10-08</t>
        </is>
      </c>
      <c r="G28" t="inlineStr">
        <is>
          <t xml:space="preserve"> - Surfer Suite</t>
        </is>
      </c>
      <c r="H28">
        <f>HYPERLINK("https://booking.roadsurfer.com/es/rally/pick?pickup_date=2026-10-01&amp;return_date=2026-10-08&amp;currency=EUR&amp;startStation=13&amp;endStation=2",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Lübeck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Surfer Suite</t>
        </is>
      </c>
      <c r="H29">
        <f>HYPERLINK("https://booking.roadsurfer.com/es/rally/pick?pickup_date=2026-09-15&amp;return_date=2026-09-22&amp;currency=EUR&amp;startStation=13&amp;endStation=109",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Constanza (Aach)</t>
        </is>
      </c>
      <c r="E30" t="inlineStr">
        <is>
          <t>2026-10-02</t>
        </is>
      </c>
      <c r="F30" t="inlineStr">
        <is>
          <t>2026-10-09</t>
        </is>
      </c>
      <c r="G30" t="inlineStr">
        <is>
          <t xml:space="preserve"> - Beach Hostel</t>
        </is>
      </c>
      <c r="H30">
        <f>HYPERLINK("https://booking.roadsurfer.com/es/rally/pick?pickup_date=2026-10-02&amp;return_date=2026-10-09&amp;currency=EUR&amp;startStation=13&amp;endStation=10",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Berlín</t>
        </is>
      </c>
      <c r="E31" t="inlineStr">
        <is>
          <t>2026-09-18</t>
        </is>
      </c>
      <c r="F31" t="inlineStr">
        <is>
          <t>2026-09-25</t>
        </is>
      </c>
      <c r="G31" t="inlineStr">
        <is>
          <t xml:space="preserve"> - Surfer Suite</t>
        </is>
      </c>
      <c r="H31">
        <f>HYPERLINK("https://booking.roadsurfer.com/es/rally/pick?pickup_date=2026-09-18&amp;return_date=2026-09-25&amp;currency=EUR&amp;startStation=42&amp;endStation=6",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No hay coche</t>
        </is>
      </c>
      <c r="H32">
        <f>HYPERLINK("https://booking.roadsurfer.com/es/rally/pick?pickup_date=2026-09-25&amp;return_date=2026-10-02&amp;currency=EUR&amp;startStation=42&amp;endStation=115",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2026-09-25</t>
        </is>
      </c>
      <c r="F33" t="inlineStr">
        <is>
          <t>2026-10-02</t>
        </is>
      </c>
      <c r="G33" t="inlineStr">
        <is>
          <t xml:space="preserve"> - Road House</t>
        </is>
      </c>
      <c r="H33">
        <f>HYPERLINK("https://booking.roadsurfer.com/es/rally/pick?pickup_date=2026-09-25&amp;return_date=2026-10-02&amp;currency=EUR&amp;startStation=42&amp;endStation=38", "Clic para verlo en la web de RoadSurfer")</f>
        <v/>
      </c>
    </row>
    <row r="34">
      <c r="A34" t="inlineStr">
        <is>
          <t>Francia</t>
        </is>
      </c>
      <c r="B34" t="inlineStr">
        <is>
          <t>Ginebra-Pays de Gex (Francia)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2026-10-03</t>
        </is>
      </c>
      <c r="F34" t="inlineStr">
        <is>
          <t>2026-10-10</t>
        </is>
      </c>
      <c r="G34" t="inlineStr">
        <is>
          <t xml:space="preserve"> - Travel Home</t>
        </is>
      </c>
      <c r="H34">
        <f>HYPERLINK("https://booking.roadsurfer.com/es/rally/pick?pickup_date=2026-10-03&amp;return_date=2026-10-10&amp;currency=EUR&amp;startStation=29&amp;endStation=8",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Road House</t>
        </is>
      </c>
      <c r="H35">
        <f>HYPERLINK("https://booking.roadsurfer.com/es/rally/pick?pickup_date=2026-09-23&amp;return_date=2026-09-30&amp;currency=EUR&amp;startStation=29&amp;endStation=90", "Clic para verlo en la web de RoadSurfer")</f>
        <v/>
      </c>
    </row>
    <row r="36">
      <c r="A36" t="inlineStr">
        <is>
          <t>Francia</t>
        </is>
      </c>
      <c r="B36" t="inlineStr">
        <is>
          <t>Ginebra-Pays de Gex (Francia)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2026-09-22</t>
        </is>
      </c>
      <c r="F36" t="inlineStr">
        <is>
          <t>2026-09-29</t>
        </is>
      </c>
      <c r="G36" t="inlineStr">
        <is>
          <t xml:space="preserve"> - Beach Hostel</t>
        </is>
      </c>
      <c r="H36">
        <f>HYPERLINK("https://booking.roadsurfer.com/es/rally/pick?pickup_date=2026-09-22&amp;return_date=2026-09-29&amp;currency=EUR&amp;startStation=29&amp;endStation=56", "Clic para verlo en la web de RoadSurfer")</f>
        <v/>
      </c>
    </row>
    <row r="37">
      <c r="A37" t="inlineStr">
        <is>
          <t>Francia</t>
        </is>
      </c>
      <c r="B37" t="inlineStr">
        <is>
          <t>Ginebra-Pays de Gex (Francia)</t>
        </is>
      </c>
      <c r="C37" t="inlineStr">
        <is>
          <t>Alemania</t>
        </is>
      </c>
      <c r="D37" t="inlineStr">
        <is>
          <t>Berlín</t>
        </is>
      </c>
      <c r="E37" t="inlineStr">
        <is>
          <t>2026-09-11</t>
        </is>
      </c>
      <c r="F37" t="inlineStr">
        <is>
          <t>2026-09-18</t>
        </is>
      </c>
      <c r="G37" t="inlineStr">
        <is>
          <t xml:space="preserve"> - Surfer Suite</t>
        </is>
      </c>
      <c r="H37">
        <f>HYPERLINK("https://booking.roadsurfer.com/es/rally/pick?pickup_date=2026-09-11&amp;return_date=2026-09-18&amp;currency=EUR&amp;startStation=29&amp;endStation=6",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Hamburgo</t>
        </is>
      </c>
      <c r="E38" t="inlineStr">
        <is>
          <t>2026-10-10</t>
        </is>
      </c>
      <c r="F38" t="inlineStr">
        <is>
          <t>2026-10-17</t>
        </is>
      </c>
      <c r="G38" t="inlineStr">
        <is>
          <t xml:space="preserve"> - Family Finca</t>
        </is>
      </c>
      <c r="H38">
        <f>HYPERLINK("https://booking.roadsurfer.com/es/rally/pick?pickup_date=2026-10-10&amp;return_date=2026-10-17&amp;currency=EUR&amp;startStation=29&amp;endStation=3",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HYPERLINK("https://booking.roadsurfer.com/es/rally/pick?pickup_date=2026-09-26&amp;return_date=2026-10-03&amp;currency=EUR&amp;startStation=29&amp;endStation=22",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2026-09-14</t>
        </is>
      </c>
      <c r="F40" t="inlineStr">
        <is>
          <t>2026-09-21</t>
        </is>
      </c>
      <c r="G40" t="inlineStr">
        <is>
          <t xml:space="preserve"> - Road House</t>
        </is>
      </c>
      <c r="H40">
        <f>HYPERLINK("https://booking.roadsurfer.com/es/rally/pick?pickup_date=2026-09-14&amp;return_date=2026-09-21&amp;currency=EUR&amp;startStation=29&amp;endStation=22", "Clic para verlo en la web de RoadSurfer")</f>
        <v/>
      </c>
    </row>
    <row r="41">
      <c r="A41" t="inlineStr">
        <is>
          <t>Austria</t>
        </is>
      </c>
      <c r="B41" t="inlineStr">
        <is>
          <t>Graz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2026-09-10</t>
        </is>
      </c>
      <c r="F41" t="inlineStr">
        <is>
          <t>2026-09-17</t>
        </is>
      </c>
      <c r="G41" t="inlineStr">
        <is>
          <t xml:space="preserve"> - No hay coche</t>
        </is>
      </c>
      <c r="H41">
        <f>HYPERLINK("https://booking.roadsurfer.com/es/rally/pick?pickup_date=2026-09-10&amp;return_date=2026-09-17&amp;currency=EUR&amp;startStation=37&amp;endStation=22", "Clic para verlo en la web de RoadSurfer")</f>
        <v/>
      </c>
    </row>
    <row r="42">
      <c r="A42" t="inlineStr">
        <is>
          <t>Austria</t>
        </is>
      </c>
      <c r="B42" t="inlineStr">
        <is>
          <t>Innsbruck-Wiesing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2026-09-19</t>
        </is>
      </c>
      <c r="F42" t="inlineStr">
        <is>
          <t>2026-09-26</t>
        </is>
      </c>
      <c r="G42" t="inlineStr">
        <is>
          <t xml:space="preserve"> - No hay coche</t>
        </is>
      </c>
      <c r="H42">
        <f>HYPERLINK("https://booking.roadsurfer.com/es/rally/pick?pickup_date=2026-09-19&amp;return_date=2026-09-26&amp;currency=EUR&amp;startStation=46&amp;endStation=17", "Clic para verlo en la web de RoadSurfer")</f>
        <v/>
      </c>
    </row>
    <row r="43">
      <c r="A43" t="inlineStr">
        <is>
          <t>Francia</t>
        </is>
      </c>
      <c r="B43" t="inlineStr">
        <is>
          <t>Lille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2026-10-10</t>
        </is>
      </c>
      <c r="F43" t="inlineStr">
        <is>
          <t>2026-10-17</t>
        </is>
      </c>
      <c r="G43" t="inlineStr">
        <is>
          <t xml:space="preserve"> - No hay coche</t>
        </is>
      </c>
      <c r="H43">
        <f>HYPERLINK("https://booking.roadsurfer.com/es/rally/pick?pickup_date=2026-10-10&amp;return_date=2026-10-17&amp;currency=EUR&amp;startStation=87&amp;endStation=22", "Clic para verlo en la web de RoadSurfer")</f>
        <v/>
      </c>
    </row>
    <row r="44">
      <c r="A44" t="inlineStr">
        <is>
          <t>Francia</t>
        </is>
      </c>
      <c r="B44" t="inlineStr">
        <is>
          <t>Lille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2026-09-29</t>
        </is>
      </c>
      <c r="F44" t="inlineStr">
        <is>
          <t>2026-10-06</t>
        </is>
      </c>
      <c r="G44" t="inlineStr">
        <is>
          <t xml:space="preserve"> - Road House</t>
        </is>
      </c>
      <c r="H44">
        <f>HYPERLINK("https://booking.roadsurfer.com/es/rally/pick?pickup_date=2026-09-29&amp;return_date=2026-10-06&amp;currency=EUR&amp;startStation=87&amp;endStation=22", "Clic para verlo en la web de RoadSurfer")</f>
        <v/>
      </c>
    </row>
    <row r="45">
      <c r="A45" t="inlineStr">
        <is>
          <t>Francia</t>
        </is>
      </c>
      <c r="B45" t="inlineStr">
        <is>
          <t>Lille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HYPERLINK("https://booking.roadsurfer.com/es/rally/pick?pickup_date=2026-09-26&amp;return_date=2026-10-03&amp;currency=EUR&amp;startStation=87&amp;endStation=22", "Clic para verlo en la web de RoadSurfer")</f>
        <v/>
      </c>
    </row>
    <row r="46">
      <c r="A46" t="inlineStr">
        <is>
          <t>Francia</t>
        </is>
      </c>
      <c r="B46" t="inlineStr">
        <is>
          <t>Lille</t>
        </is>
      </c>
      <c r="C46" t="inlineStr">
        <is>
          <t>Alemania</t>
        </is>
      </c>
      <c r="D46" t="inlineStr">
        <is>
          <t>Hannover</t>
        </is>
      </c>
      <c r="E46" t="inlineStr">
        <is>
          <t>2026-09-24</t>
        </is>
      </c>
      <c r="F46" t="inlineStr">
        <is>
          <t>2026-10-01</t>
        </is>
      </c>
      <c r="G46" t="inlineStr">
        <is>
          <t xml:space="preserve"> - Surfer Suite</t>
        </is>
      </c>
      <c r="H46">
        <f>HYPERLINK("https://booking.roadsurfer.com/es/rally/pick?pickup_date=2026-09-24&amp;return_date=2026-10-01&amp;currency=EUR&amp;startStation=87&amp;endStation=7", "Clic para verlo en la web de RoadSurfer")</f>
        <v/>
      </c>
    </row>
    <row r="47">
      <c r="A47" t="inlineStr">
        <is>
          <t>Francia</t>
        </is>
      </c>
      <c r="B47" t="inlineStr">
        <is>
          <t>Lille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2026-10-01</t>
        </is>
      </c>
      <c r="F47" t="inlineStr">
        <is>
          <t>2026-10-08</t>
        </is>
      </c>
      <c r="G47" t="inlineStr">
        <is>
          <t xml:space="preserve"> - SURFER SUITE</t>
        </is>
      </c>
      <c r="H47">
        <f>HYPERLINK("https://booking.roadsurfer.com/es/rally/pick?pickup_date=2026-10-01&amp;return_date=2026-10-08&amp;currency=EUR&amp;startStation=87&amp;endStation=8", "Clic para verlo en la web de RoadSurfer")</f>
        <v/>
      </c>
    </row>
    <row r="48">
      <c r="A48" t="inlineStr">
        <is>
          <t>Francia</t>
        </is>
      </c>
      <c r="B48" t="inlineStr">
        <is>
          <t>Lille</t>
        </is>
      </c>
      <c r="C48" t="inlineStr">
        <is>
          <t>Alemania</t>
        </is>
      </c>
      <c r="D48" t="inlineStr">
        <is>
          <t>Berlín</t>
        </is>
      </c>
      <c r="E48" t="inlineStr">
        <is>
          <t>2026-09-23</t>
        </is>
      </c>
      <c r="F48" t="inlineStr">
        <is>
          <t>2026-09-30</t>
        </is>
      </c>
      <c r="G48" t="inlineStr">
        <is>
          <t xml:space="preserve"> - FAMILY FINCA</t>
        </is>
      </c>
      <c r="H48">
        <f>HYPERLINK("https://booking.roadsurfer.com/es/rally/pick?pickup_date=2026-09-23&amp;return_date=2026-09-30&amp;currency=EUR&amp;startStation=87&amp;endStation=6", "Clic para verlo en la web de RoadSurfer")</f>
        <v/>
      </c>
    </row>
    <row r="49">
      <c r="A49" t="inlineStr">
        <is>
          <t>Francia</t>
        </is>
      </c>
      <c r="B49" t="inlineStr">
        <is>
          <t>Lyon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2026-10-05</t>
        </is>
      </c>
      <c r="F49" t="inlineStr">
        <is>
          <t>2026-10-12</t>
        </is>
      </c>
      <c r="G49" t="inlineStr">
        <is>
          <t xml:space="preserve"> - Travel Home</t>
        </is>
      </c>
      <c r="H49">
        <f>HYPERLINK("https://booking.roadsurfer.com/es/rally/pick?pickup_date=2026-10-05&amp;return_date=2026-10-12&amp;currency=EUR&amp;startStation=15&amp;endStation=55", "Clic para verlo en la web de RoadSurfer")</f>
        <v/>
      </c>
    </row>
    <row r="50">
      <c r="A50" t="inlineStr">
        <is>
          <t>Francia</t>
        </is>
      </c>
      <c r="B50" t="inlineStr">
        <is>
          <t>Lyon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2026-10-12</t>
        </is>
      </c>
      <c r="F50" t="inlineStr">
        <is>
          <t>2026-10-19</t>
        </is>
      </c>
      <c r="G50" t="inlineStr">
        <is>
          <t xml:space="preserve"> - Camper Cabin Deluxe</t>
        </is>
      </c>
      <c r="H50">
        <f>HYPERLINK("https://booking.roadsurfer.com/es/rally/pick?pickup_date=2026-10-12&amp;return_date=2026-10-19&amp;currency=EUR&amp;startStation=15&amp;endStation=6", "Clic para verlo en la web de RoadSurfer")</f>
        <v/>
      </c>
    </row>
    <row r="51">
      <c r="A51" t="inlineStr">
        <is>
          <t>Francia</t>
        </is>
      </c>
      <c r="B51" t="inlineStr">
        <is>
          <t>Lyon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2026-10-12</t>
        </is>
      </c>
      <c r="F51" t="inlineStr">
        <is>
          <t>2026-10-19</t>
        </is>
      </c>
      <c r="G51" t="inlineStr">
        <is>
          <t xml:space="preserve"> - Couple Cottage</t>
        </is>
      </c>
      <c r="H51">
        <f>HYPERLINK("https://booking.roadsurfer.com/es/rally/pick?pickup_date=2026-10-12&amp;return_date=2026-10-19&amp;currency=EUR&amp;startStation=15&amp;endStation=22", "Clic para verlo en la web de RoadSurfer")</f>
        <v/>
      </c>
    </row>
    <row r="52">
      <c r="A52" t="inlineStr">
        <is>
          <t>Francia</t>
        </is>
      </c>
      <c r="B52" t="inlineStr">
        <is>
          <t>Lyon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Surfer Suite</t>
        </is>
      </c>
      <c r="H52">
        <f>HYPERLINK("https://booking.roadsurfer.com/es/rally/pick?pickup_date=2026-09-14&amp;return_date=2026-09-21&amp;currency=EUR&amp;startStation=15&amp;endStation=22", "Clic para verlo en la web de RoadSurfer")</f>
        <v/>
      </c>
    </row>
    <row r="53">
      <c r="A53" t="inlineStr">
        <is>
          <t>Francia</t>
        </is>
      </c>
      <c r="B53" t="inlineStr">
        <is>
          <t>Lyon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2026-10-08</t>
        </is>
      </c>
      <c r="F53" t="inlineStr">
        <is>
          <t>2026-10-15</t>
        </is>
      </c>
      <c r="G53" t="inlineStr">
        <is>
          <t xml:space="preserve"> - Surfer Suite</t>
        </is>
      </c>
      <c r="H53">
        <f>HYPERLINK("https://booking.roadsurfer.com/es/rally/pick?pickup_date=2026-10-08&amp;return_date=2026-10-15&amp;currency=EUR&amp;startStation=15&amp;endStation=90",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2026-10-05</t>
        </is>
      </c>
      <c r="F54" t="inlineStr">
        <is>
          <t>2026-10-12</t>
        </is>
      </c>
      <c r="G54" t="inlineStr">
        <is>
          <t xml:space="preserve"> - No hay coche</t>
        </is>
      </c>
      <c r="H54">
        <f>HYPERLINK("https://booking.roadsurfer.com/es/rally/pick?pickup_date=2026-10-05&amp;return_date=2026-10-12&amp;currency=EUR&amp;startStation=20&amp;endStation=22",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2026-09-08</t>
        </is>
      </c>
      <c r="F55" t="inlineStr">
        <is>
          <t>2026-09-15</t>
        </is>
      </c>
      <c r="G55" t="inlineStr">
        <is>
          <t xml:space="preserve"> - BEACH HOSTEL</t>
        </is>
      </c>
      <c r="H55">
        <f>HYPERLINK("https://booking.roadsurfer.com/es/rally/pick?pickup_date=2026-09-08&amp;return_date=2026-09-15&amp;currency=EUR&amp;startStation=20&amp;endStation=22",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2026-10-03</t>
        </is>
      </c>
      <c r="F56" t="inlineStr">
        <is>
          <t>2026-10-10</t>
        </is>
      </c>
      <c r="G56" t="inlineStr">
        <is>
          <t xml:space="preserve"> - No hay coche</t>
        </is>
      </c>
      <c r="H56">
        <f>HYPERLINK("https://booking.roadsurfer.com/es/rally/pick?pickup_date=2026-10-03&amp;return_date=2026-10-10&amp;currency=EUR&amp;startStation=20&amp;endStation=22", "Clic para verlo en la web de RoadSurfer")</f>
        <v/>
      </c>
    </row>
    <row r="57">
      <c r="A57" t="inlineStr">
        <is>
          <t>España</t>
        </is>
      </c>
      <c r="B57" t="inlineStr">
        <is>
          <t>Madrid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2026-09-25</t>
        </is>
      </c>
      <c r="F57" t="inlineStr">
        <is>
          <t>2026-10-02</t>
        </is>
      </c>
      <c r="G57" t="inlineStr">
        <is>
          <t xml:space="preserve"> - Surfer Suite - Couple Cottage - COUPLE COTTAGE</t>
        </is>
      </c>
      <c r="H57">
        <f>HYPERLINK("https://booking.roadsurfer.com/es/rally/pick?pickup_date=2026-09-25&amp;return_date=2026-10-02&amp;currency=EUR&amp;startStation=20&amp;endStation=22", "Clic para verlo en la web de RoadSurfer")</f>
        <v/>
      </c>
    </row>
    <row r="58">
      <c r="A58" t="inlineStr">
        <is>
          <t>España</t>
        </is>
      </c>
      <c r="B58" t="inlineStr">
        <is>
          <t>Madrid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2026-10-02</t>
        </is>
      </c>
      <c r="F58" t="inlineStr">
        <is>
          <t>2026-10-09</t>
        </is>
      </c>
      <c r="G58" t="inlineStr">
        <is>
          <t xml:space="preserve"> - Camper Castle</t>
        </is>
      </c>
      <c r="H58">
        <f>HYPERLINK("https://booking.roadsurfer.com/es/rally/pick?pickup_date=2026-10-02&amp;return_date=2026-10-09&amp;currency=EUR&amp;startStation=20&amp;endStation=22", "Clic para verlo en la web de RoadSurfer")</f>
        <v/>
      </c>
    </row>
    <row r="59">
      <c r="A59" t="inlineStr">
        <is>
          <t>España</t>
        </is>
      </c>
      <c r="B59" t="inlineStr">
        <is>
          <t>Madrid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2026-09-28</t>
        </is>
      </c>
      <c r="F59" t="inlineStr">
        <is>
          <t>2026-10-05</t>
        </is>
      </c>
      <c r="G59" t="inlineStr">
        <is>
          <t xml:space="preserve"> - Beach Hostel</t>
        </is>
      </c>
      <c r="H59">
        <f>HYPERLINK("https://booking.roadsurfer.com/es/rally/pick?pickup_date=2026-09-28&amp;return_date=2026-10-05&amp;currency=EUR&amp;startStation=20&amp;endStation=55", "Clic para verlo en la web de RoadSurfer")</f>
        <v/>
      </c>
    </row>
    <row r="60">
      <c r="A60" t="inlineStr">
        <is>
          <t>España</t>
        </is>
      </c>
      <c r="B60" t="inlineStr">
        <is>
          <t>Madrid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2026-10-20</t>
        </is>
      </c>
      <c r="F60" t="inlineStr">
        <is>
          <t>2026-10-27</t>
        </is>
      </c>
      <c r="G60" t="inlineStr">
        <is>
          <t xml:space="preserve"> - Surfer Suite</t>
        </is>
      </c>
      <c r="H60">
        <f>HYPERLINK("https://booking.roadsurfer.com/es/rally/pick?pickup_date=2026-10-20&amp;return_date=2026-10-27&amp;currency=EUR&amp;startStation=20&amp;endStation=8", "Clic para verlo en la web de RoadSurfer")</f>
        <v/>
      </c>
    </row>
    <row r="61">
      <c r="A61" t="inlineStr">
        <is>
          <t>España</t>
        </is>
      </c>
      <c r="B61" t="inlineStr">
        <is>
          <t>Madrid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2026-10-03</t>
        </is>
      </c>
      <c r="F61" t="inlineStr">
        <is>
          <t>2026-10-10</t>
        </is>
      </c>
      <c r="G61" t="inlineStr">
        <is>
          <t xml:space="preserve"> - Road House</t>
        </is>
      </c>
      <c r="H61">
        <f>HYPERLINK("https://booking.roadsurfer.com/es/rally/pick?pickup_date=2026-10-03&amp;return_date=2026-10-10&amp;currency=EUR&amp;startStation=20&amp;endStation=8", "Clic para verlo en la web de RoadSurfer")</f>
        <v/>
      </c>
    </row>
    <row r="62">
      <c r="A62" t="inlineStr">
        <is>
          <t>España</t>
        </is>
      </c>
      <c r="B62" t="inlineStr">
        <is>
          <t>Málaga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Couple Cottage</t>
        </is>
      </c>
      <c r="H62">
        <f>HYPERLINK("https://booking.roadsurfer.com/es/rally/pick?pickup_date=2026-09-25&amp;return_date=2026-10-02&amp;currency=EUR&amp;startStation=21&amp;endStation=22", "Clic para verlo en la web de RoadSurfer")</f>
        <v/>
      </c>
    </row>
    <row r="63">
      <c r="A63" t="inlineStr">
        <is>
          <t>Francia</t>
        </is>
      </c>
      <c r="B63" t="inlineStr">
        <is>
          <t>Nantes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2026-09-18</t>
        </is>
      </c>
      <c r="F63" t="inlineStr">
        <is>
          <t>2026-09-25</t>
        </is>
      </c>
      <c r="G63" t="inlineStr">
        <is>
          <t xml:space="preserve"> - Camper Cabin</t>
        </is>
      </c>
      <c r="H63">
        <f>HYPERLINK("https://booking.roadsurfer.com/es/rally/pick?pickup_date=2026-09-18&amp;return_date=2026-09-25&amp;currency=EUR&amp;startStation=31&amp;endStation=22", "Clic para verlo en la web de RoadSurfer")</f>
        <v/>
      </c>
    </row>
    <row r="64">
      <c r="A64" t="inlineStr">
        <is>
          <t>Francia</t>
        </is>
      </c>
      <c r="B64" t="inlineStr">
        <is>
          <t>Nantes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FAMILY FINCA</t>
        </is>
      </c>
      <c r="H64">
        <f>HYPERLINK("https://booking.roadsurfer.com/es/rally/pick?pickup_date=2026-09-23&amp;return_date=2026-09-30&amp;currency=EUR&amp;startStation=31&amp;endStation=22", "Clic para verlo en la web de RoadSurfer")</f>
        <v/>
      </c>
    </row>
    <row r="65">
      <c r="A65" t="inlineStr">
        <is>
          <t>Francia</t>
        </is>
      </c>
      <c r="B65" t="inlineStr">
        <is>
          <t>Nantes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2026-09-30</t>
        </is>
      </c>
      <c r="F65" t="inlineStr">
        <is>
          <t>2026-10-07</t>
        </is>
      </c>
      <c r="G65" t="inlineStr">
        <is>
          <t xml:space="preserve"> - Surfer Suite</t>
        </is>
      </c>
      <c r="H65">
        <f>HYPERLINK("https://booking.roadsurfer.com/es/rally/pick?pickup_date=2026-09-30&amp;return_date=2026-10-07&amp;currency=EUR&amp;startStation=31&amp;endStation=3", "Clic para verlo en la web de RoadSurfer")</f>
        <v/>
      </c>
    </row>
    <row r="66">
      <c r="A66" t="inlineStr">
        <is>
          <t>Francia</t>
        </is>
      </c>
      <c r="B66" t="inlineStr">
        <is>
          <t>Nantes</t>
        </is>
      </c>
      <c r="C66" t="inlineStr">
        <is>
          <t>Alemania</t>
        </is>
      </c>
      <c r="D66" t="inlineStr">
        <is>
          <t>Lübeck</t>
        </is>
      </c>
      <c r="E66" t="inlineStr">
        <is>
          <t>2026-09-25</t>
        </is>
      </c>
      <c r="F66" t="inlineStr">
        <is>
          <t>2026-10-02</t>
        </is>
      </c>
      <c r="G66" t="inlineStr">
        <is>
          <t xml:space="preserve"> - Beach Hostel</t>
        </is>
      </c>
      <c r="H66">
        <f>HYPERLINK("https://booking.roadsurfer.com/es/rally/pick?pickup_date=2026-09-25&amp;return_date=2026-10-02&amp;currency=EUR&amp;startStation=31&amp;endStation=109", "Clic para verlo en la web de RoadSurfer")</f>
        <v/>
      </c>
    </row>
    <row r="67">
      <c r="A67" t="inlineStr">
        <is>
          <t>Francia</t>
        </is>
      </c>
      <c r="B67" t="inlineStr">
        <is>
          <t>París Sur (Orly)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2026-09-16</t>
        </is>
      </c>
      <c r="F67" t="inlineStr">
        <is>
          <t>2026-09-23</t>
        </is>
      </c>
      <c r="G67" t="inlineStr">
        <is>
          <t xml:space="preserve"> - Camper Cabin</t>
        </is>
      </c>
      <c r="H67">
        <f>HYPERLINK("https://booking.roadsurfer.com/es/rally/pick?pickup_date=2026-09-16&amp;return_date=2026-09-23&amp;currency=EUR&amp;startStation=12&amp;endStation=22", "Clic para verlo en la web de RoadSurfer")</f>
        <v/>
      </c>
    </row>
    <row r="68">
      <c r="A68" t="inlineStr">
        <is>
          <t>Francia</t>
        </is>
      </c>
      <c r="B68" t="inlineStr">
        <is>
          <t>París Sur (Orly)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2026-09-15</t>
        </is>
      </c>
      <c r="F68" t="inlineStr">
        <is>
          <t>2026-09-22</t>
        </is>
      </c>
      <c r="G68" t="inlineStr">
        <is>
          <t xml:space="preserve"> - Surfer Suite - Camper Cabin</t>
        </is>
      </c>
      <c r="H68">
        <f>HYPERLINK("https://booking.roadsurfer.com/es/rally/pick?pickup_date=2026-09-15&amp;return_date=2026-09-22&amp;currency=EUR&amp;startStation=12&amp;endStation=22", "Clic para verlo en la web de RoadSurfer")</f>
        <v/>
      </c>
    </row>
    <row r="69">
      <c r="A69" t="inlineStr">
        <is>
          <t>Francia</t>
        </is>
      </c>
      <c r="B69" t="inlineStr">
        <is>
          <t>París Sur (Orly)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Surfer Suite</t>
        </is>
      </c>
      <c r="H69">
        <f>HYPERLINK("https://booking.roadsurfer.com/es/rally/pick?pickup_date=2026-09-11&amp;return_date=2026-09-18&amp;currency=EUR&amp;startStation=12&amp;endStation=22", "Clic para verlo en la web de RoadSurfer")</f>
        <v/>
      </c>
    </row>
    <row r="70">
      <c r="A70" t="inlineStr">
        <is>
          <t>Francia</t>
        </is>
      </c>
      <c r="B70" t="inlineStr">
        <is>
          <t>París Sur (Orly)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2026-09-26</t>
        </is>
      </c>
      <c r="F70" t="inlineStr">
        <is>
          <t>2026-10-03</t>
        </is>
      </c>
      <c r="G70" t="inlineStr">
        <is>
          <t xml:space="preserve"> - No hay coche</t>
        </is>
      </c>
      <c r="H70">
        <f>HYPERLINK("https://booking.roadsurfer.com/es/rally/pick?pickup_date=2026-09-26&amp;return_date=2026-10-03&amp;currency=EUR&amp;startStation=12&amp;endStation=22", "Clic para verlo en la web de RoadSurfer")</f>
        <v/>
      </c>
    </row>
    <row r="71">
      <c r="A71" t="inlineStr">
        <is>
          <t>Francia</t>
        </is>
      </c>
      <c r="B71" t="inlineStr">
        <is>
          <t>París Sur (Orly)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2026-09-12</t>
        </is>
      </c>
      <c r="F71" t="inlineStr">
        <is>
          <t>2026-09-19</t>
        </is>
      </c>
      <c r="G71" t="inlineStr">
        <is>
          <t xml:space="preserve"> - Camper Cabin</t>
        </is>
      </c>
      <c r="H71">
        <f>HYPERLINK("https://booking.roadsurfer.com/es/rally/pick?pickup_date=2026-09-12&amp;return_date=2026-09-19&amp;currency=EUR&amp;startStation=12&amp;endStation=7", "Clic para verlo en la web de RoadSurfer")</f>
        <v/>
      </c>
    </row>
    <row r="72">
      <c r="A72" t="inlineStr">
        <is>
          <t>Francia</t>
        </is>
      </c>
      <c r="B72" t="inlineStr">
        <is>
          <t>París Sur (Orly)</t>
        </is>
      </c>
      <c r="C72" t="inlineStr">
        <is>
          <t>Alemania</t>
        </is>
      </c>
      <c r="D72" t="inlineStr">
        <is>
          <t>Hannover</t>
        </is>
      </c>
      <c r="E72" t="inlineStr">
        <is>
          <t>2026-09-23</t>
        </is>
      </c>
      <c r="F72" t="inlineStr">
        <is>
          <t>2026-09-30</t>
        </is>
      </c>
      <c r="G72" t="inlineStr">
        <is>
          <t xml:space="preserve"> - Surfer Suite</t>
        </is>
      </c>
      <c r="H72">
        <f>HYPERLINK("https://booking.roadsurfer.com/es/rally/pick?pickup_date=2026-09-23&amp;return_date=2026-09-30&amp;currency=EUR&amp;startStation=12&amp;endStation=7", "Clic para verlo en la web de RoadSurfer")</f>
        <v/>
      </c>
    </row>
    <row r="73">
      <c r="A73" t="inlineStr">
        <is>
          <t>Francia</t>
        </is>
      </c>
      <c r="B73" t="inlineStr">
        <is>
          <t>París Sur (Orly)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2026-09-14</t>
        </is>
      </c>
      <c r="F73" t="inlineStr">
        <is>
          <t>2026-09-21</t>
        </is>
      </c>
      <c r="G73" t="inlineStr">
        <is>
          <t xml:space="preserve"> - Surfer Suite</t>
        </is>
      </c>
      <c r="H73">
        <f>HYPERLINK("https://booking.roadsurfer.com/es/rally/pick?pickup_date=2026-09-14&amp;return_date=2026-09-21&amp;currency=EUR&amp;startStation=12&amp;endStation=7", "Clic para verlo en la web de RoadSurfer")</f>
        <v/>
      </c>
    </row>
    <row r="74">
      <c r="A74" t="inlineStr">
        <is>
          <t>Francia</t>
        </is>
      </c>
      <c r="B74" t="inlineStr">
        <is>
          <t>París Sur (Orly)</t>
        </is>
      </c>
      <c r="C74" t="inlineStr">
        <is>
          <t>Alemania</t>
        </is>
      </c>
      <c r="D74" t="inlineStr">
        <is>
          <t>Friburgo-Basilea (Alemania)</t>
        </is>
      </c>
      <c r="E74" t="inlineStr">
        <is>
          <t>2026-09-19</t>
        </is>
      </c>
      <c r="F74" t="inlineStr">
        <is>
          <t>2026-09-26</t>
        </is>
      </c>
      <c r="G74" t="inlineStr">
        <is>
          <t xml:space="preserve"> - Surfer Suite</t>
        </is>
      </c>
      <c r="H74">
        <f>HYPERLINK("https://booking.roadsurfer.com/es/rally/pick?pickup_date=2026-09-19&amp;return_date=2026-09-26&amp;currency=EUR&amp;startStation=12&amp;endStation=9", "Clic para verlo en la web de RoadSurfer")</f>
        <v/>
      </c>
    </row>
    <row r="75">
      <c r="A75" t="inlineStr">
        <is>
          <t>Francia</t>
        </is>
      </c>
      <c r="B75" t="inlineStr">
        <is>
          <t>París Sur (Orly)</t>
        </is>
      </c>
      <c r="C75" t="inlineStr">
        <is>
          <t>Alemania</t>
        </is>
      </c>
      <c r="D75" t="inlineStr">
        <is>
          <t>Duisburgo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HYPERLINK("https://booking.roadsurfer.com/es/rally/pick?pickup_date=2026-09-26&amp;return_date=2026-10-03&amp;currency=EUR&amp;startStation=12&amp;endStation=113", "Clic para verlo en la web de RoadSurfer")</f>
        <v/>
      </c>
    </row>
    <row r="76">
      <c r="A76" t="inlineStr">
        <is>
          <t>Francia</t>
        </is>
      </c>
      <c r="B76" t="inlineStr">
        <is>
          <t>París Sur (Orly)</t>
        </is>
      </c>
      <c r="C76" t="inlineStr">
        <is>
          <t>Alemania</t>
        </is>
      </c>
      <c r="D76" t="inlineStr">
        <is>
          <t>Karlsruhe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Beach Hostel</t>
        </is>
      </c>
      <c r="H76">
        <f>HYPERLINK("https://booking.roadsurfer.com/es/rally/pick?pickup_date=2026-09-25&amp;return_date=2026-10-02&amp;currency=EUR&amp;startStation=12&amp;endStation=110", "Clic para verlo en la web de RoadSurfer")</f>
        <v/>
      </c>
    </row>
    <row r="77">
      <c r="A77" t="inlineStr">
        <is>
          <t>Francia</t>
        </is>
      </c>
      <c r="B77" t="inlineStr">
        <is>
          <t>París Sur (Orly)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2026-09-11</t>
        </is>
      </c>
      <c r="F77" t="inlineStr">
        <is>
          <t>2026-09-18</t>
        </is>
      </c>
      <c r="G77" t="inlineStr">
        <is>
          <t xml:space="preserve"> - Surfer Suite</t>
        </is>
      </c>
      <c r="H77">
        <f>HYPERLINK("https://booking.roadsurfer.com/es/rally/pick?pickup_date=2026-09-11&amp;return_date=2026-09-18&amp;currency=EUR&amp;startStation=12&amp;endStation=6", "Clic para verlo en la web de RoadSurfer")</f>
        <v/>
      </c>
    </row>
    <row r="78">
      <c r="A78" t="inlineStr">
        <is>
          <t>Francia</t>
        </is>
      </c>
      <c r="B78" t="inlineStr">
        <is>
          <t>París Aeropuerto CDG</t>
        </is>
      </c>
      <c r="C78" t="inlineStr">
        <is>
          <t>Alemania</t>
        </is>
      </c>
      <c r="D78" t="inlineStr">
        <is>
          <t>Constanza (Aach)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</t>
        </is>
      </c>
      <c r="H78">
        <f>HYPERLINK("https://booking.roadsurfer.com/es/rally/pick?pickup_date=2026-09-11&amp;return_date=2026-09-18&amp;currency=EUR&amp;startStation=48&amp;endStation=10", "Clic para verlo en la web de RoadSurfer")</f>
        <v/>
      </c>
    </row>
    <row r="79">
      <c r="A79" t="inlineStr">
        <is>
          <t>Francia</t>
        </is>
      </c>
      <c r="B79" t="inlineStr">
        <is>
          <t>París Aeropuerto CDG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Surfer Suite</t>
        </is>
      </c>
      <c r="H79">
        <f>HYPERLINK("https://booking.roadsurfer.com/es/rally/pick?pickup_date=2026-09-08&amp;return_date=2026-09-15&amp;currency=EUR&amp;startStation=48&amp;endStation=22", "Clic para verlo en la web de RoadSurfer")</f>
        <v/>
      </c>
    </row>
    <row r="80">
      <c r="A80" t="inlineStr">
        <is>
          <t>Francia</t>
        </is>
      </c>
      <c r="B80" t="inlineStr">
        <is>
          <t>París Aeropuerto CDG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Camper Castle</t>
        </is>
      </c>
      <c r="H80">
        <f>HYPERLINK("https://booking.roadsurfer.com/es/rally/pick?pickup_date=2026-09-25&amp;return_date=2026-10-02&amp;currency=EUR&amp;startStation=48&amp;endStation=22", "Clic para verlo en la web de RoadSurfer")</f>
        <v/>
      </c>
    </row>
    <row r="81">
      <c r="A81" t="inlineStr">
        <is>
          <t>Francia</t>
        </is>
      </c>
      <c r="B81" t="inlineStr">
        <is>
          <t>París Aeropuerto CDG</t>
        </is>
      </c>
      <c r="C81" t="inlineStr">
        <is>
          <t>Alemania</t>
        </is>
      </c>
      <c r="D81" t="inlineStr">
        <is>
          <t>Hannover</t>
        </is>
      </c>
      <c r="E81" t="inlineStr">
        <is>
          <t>2026-10-10</t>
        </is>
      </c>
      <c r="F81" t="inlineStr">
        <is>
          <t>2026-10-17</t>
        </is>
      </c>
      <c r="G81" t="inlineStr">
        <is>
          <t xml:space="preserve"> - Family Finca</t>
        </is>
      </c>
      <c r="H81">
        <f>HYPERLINK("https://booking.roadsurfer.com/es/rally/pick?pickup_date=2026-10-10&amp;return_date=2026-10-17&amp;currency=EUR&amp;startStation=48&amp;endStation=7", "Clic para verlo en la web de RoadSurfer")</f>
        <v/>
      </c>
    </row>
    <row r="82">
      <c r="A82" t="inlineStr">
        <is>
          <t>Francia</t>
        </is>
      </c>
      <c r="B82" t="inlineStr">
        <is>
          <t>París Aeropuerto CDG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2026-10-24</t>
        </is>
      </c>
      <c r="F82" t="inlineStr">
        <is>
          <t>2026-10-31</t>
        </is>
      </c>
      <c r="G82" t="inlineStr">
        <is>
          <t xml:space="preserve"> - No hay coche</t>
        </is>
      </c>
      <c r="H82">
        <f>HYPERLINK("https://booking.roadsurfer.com/es/rally/pick?pickup_date=2026-10-24&amp;return_date=2026-10-31&amp;currency=EUR&amp;startStation=48&amp;endStation=90", "Clic para verlo en la web de RoadSurfer")</f>
        <v/>
      </c>
    </row>
    <row r="83">
      <c r="A83" t="inlineStr">
        <is>
          <t>Países Bajos</t>
        </is>
      </c>
      <c r="B83" t="inlineStr">
        <is>
          <t>Róterdam</t>
        </is>
      </c>
      <c r="C83" t="inlineStr">
        <is>
          <t>Alemania</t>
        </is>
      </c>
      <c r="D83" t="inlineStr">
        <is>
          <t>Bremen</t>
        </is>
      </c>
      <c r="E83" t="inlineStr">
        <is>
          <t>2026-09-26</t>
        </is>
      </c>
      <c r="F83" t="inlineStr">
        <is>
          <t>2026-10-03</t>
        </is>
      </c>
      <c r="G83" t="inlineStr">
        <is>
          <t xml:space="preserve"> - No hay coche</t>
        </is>
      </c>
      <c r="H83">
        <f>HYPERLINK("https://booking.roadsurfer.com/es/rally/pick?pickup_date=2026-09-26&amp;return_date=2026-10-03&amp;currency=EUR&amp;startStation=33&amp;endStation=55", "Clic para verlo en la web de RoadSurfer")</f>
        <v/>
      </c>
    </row>
    <row r="84">
      <c r="A84" t="inlineStr">
        <is>
          <t>EE.UU.</t>
        </is>
      </c>
      <c r="B84" t="inlineStr">
        <is>
          <t>Salt Lake City</t>
        </is>
      </c>
      <c r="C84" t="inlineStr">
        <is>
          <t>EE.UU.</t>
        </is>
      </c>
      <c r="D84" t="inlineStr">
        <is>
          <t>Las Vegas</t>
        </is>
      </c>
      <c r="E84" t="inlineStr">
        <is>
          <t>2026-08-20</t>
        </is>
      </c>
      <c r="F84" t="inlineStr">
        <is>
          <t>2026-08-26</t>
        </is>
      </c>
      <c r="G84" t="inlineStr">
        <is>
          <t xml:space="preserve"> - No hay coche</t>
        </is>
      </c>
      <c r="H84">
        <f>HYPERLINK("https://booking.roadsurfer.com/es/rally/pick?pickup_date=2026-08-20&amp;return_date=2026-08-26&amp;currency=EUR&amp;startStation=106&amp;endStation=76", "Clic para verlo en la web de RoadSurfer")</f>
        <v/>
      </c>
    </row>
    <row r="85">
      <c r="A85" t="inlineStr">
        <is>
          <t>Austria</t>
        </is>
      </c>
      <c r="B85" t="inlineStr">
        <is>
          <t>Salzburgo</t>
        </is>
      </c>
      <c r="C85" t="inlineStr">
        <is>
          <t>España</t>
        </is>
      </c>
      <c r="D85" t="inlineStr">
        <is>
          <t>Málaga</t>
        </is>
      </c>
      <c r="E85" t="inlineStr">
        <is>
          <t>2026-08-31</t>
        </is>
      </c>
      <c r="F85" t="inlineStr">
        <is>
          <t>2026-09-07</t>
        </is>
      </c>
      <c r="G85" t="inlineStr">
        <is>
          <t xml:space="preserve"> - Family Finca</t>
        </is>
      </c>
      <c r="H85">
        <f>HYPERLINK("https://booking.roadsurfer.com/es/rally/pick?pickup_date=2026-08-31&amp;return_date=2026-09-07&amp;currency=EUR&amp;startStation=85&amp;endStation=21", "Clic para verlo en la web de RoadSurfer")</f>
        <v/>
      </c>
    </row>
    <row r="86">
      <c r="A86" t="inlineStr">
        <is>
          <t>EE.UU.</t>
        </is>
      </c>
      <c r="B86" t="inlineStr">
        <is>
          <t>San Francisco</t>
        </is>
      </c>
      <c r="C86" t="inlineStr">
        <is>
          <t>EE.UU.</t>
        </is>
      </c>
      <c r="D86" t="inlineStr">
        <is>
          <t>Dallas</t>
        </is>
      </c>
      <c r="E86" t="inlineStr">
        <is>
          <t>2026-09-15</t>
        </is>
      </c>
      <c r="F86" t="inlineStr">
        <is>
          <t>2026-09-23</t>
        </is>
      </c>
      <c r="G86" t="inlineStr">
        <is>
          <t xml:space="preserve"> - Family Freedom</t>
        </is>
      </c>
      <c r="H86">
        <f>HYPERLINK("https://booking.roadsurfer.com/es/rally/pick?pickup_date=2026-09-15&amp;return_date=2026-09-23&amp;currency=EUR&amp;startStation=75&amp;endStation=125", "Clic para verlo en la web de RoadSurfer")</f>
        <v/>
      </c>
    </row>
    <row r="87">
      <c r="A87" t="inlineStr">
        <is>
          <t>Francia</t>
        </is>
      </c>
      <c r="B87" t="inlineStr">
        <is>
          <t>Toulouse</t>
        </is>
      </c>
      <c r="C87" t="inlineStr">
        <is>
          <t>Alemania</t>
        </is>
      </c>
      <c r="D87" t="inlineStr">
        <is>
          <t>Lübeck</t>
        </is>
      </c>
      <c r="E87" t="inlineStr">
        <is>
          <t>2026-09-24</t>
        </is>
      </c>
      <c r="F87" t="inlineStr">
        <is>
          <t>2026-10-01</t>
        </is>
      </c>
      <c r="G87" t="inlineStr">
        <is>
          <t xml:space="preserve"> - ROAD HOUSE</t>
        </is>
      </c>
      <c r="H87">
        <f>HYPERLINK("https://booking.roadsurfer.com/es/rally/pick?pickup_date=2026-09-24&amp;return_date=2026-10-01&amp;currency=EUR&amp;startStation=30&amp;endStation=109", "Clic para verlo en la web de RoadSurfer")</f>
        <v/>
      </c>
    </row>
    <row r="88">
      <c r="A88" t="inlineStr">
        <is>
          <t>Francia</t>
        </is>
      </c>
      <c r="B88" t="inlineStr">
        <is>
          <t>Toulouse</t>
        </is>
      </c>
      <c r="C88" t="inlineStr">
        <is>
          <t>Alemania</t>
        </is>
      </c>
      <c r="D88" t="inlineStr">
        <is>
          <t>Hamburgo</t>
        </is>
      </c>
      <c r="E88" t="inlineStr">
        <is>
          <t>2026-09-30</t>
        </is>
      </c>
      <c r="F88" t="inlineStr">
        <is>
          <t>2026-10-07</t>
        </is>
      </c>
      <c r="G88" t="inlineStr">
        <is>
          <t xml:space="preserve"> - Surfer Suite</t>
        </is>
      </c>
      <c r="H88">
        <f>HYPERLINK("https://booking.roadsurfer.com/es/rally/pick?pickup_date=2026-09-30&amp;return_date=2026-10-07&amp;currency=EUR&amp;startStation=30&amp;endStation=3", "Clic para verlo en la web de RoadSurfer")</f>
        <v/>
      </c>
    </row>
    <row r="89">
      <c r="A89" t="inlineStr">
        <is>
          <t>Francia</t>
        </is>
      </c>
      <c r="B89" t="inlineStr">
        <is>
          <t>Toulouse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2026-09-16</t>
        </is>
      </c>
      <c r="F89" t="inlineStr">
        <is>
          <t>2026-09-23</t>
        </is>
      </c>
      <c r="G89" t="inlineStr">
        <is>
          <t xml:space="preserve"> - Surfer Suite</t>
        </is>
      </c>
      <c r="H89">
        <f>HYPERLINK("https://booking.roadsurfer.com/es/rally/pick?pickup_date=2026-09-16&amp;return_date=2026-09-23&amp;currency=EUR&amp;startStation=30&amp;endStation=8", "Clic para verlo en la web de RoadSurfer")</f>
        <v/>
      </c>
    </row>
    <row r="90">
      <c r="A90" t="inlineStr">
        <is>
          <t>Italia</t>
        </is>
      </c>
      <c r="B90" t="inlineStr">
        <is>
          <t>Turín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2026-09-25</t>
        </is>
      </c>
      <c r="F90" t="inlineStr">
        <is>
          <t>2026-10-02</t>
        </is>
      </c>
      <c r="G90" t="inlineStr">
        <is>
          <t xml:space="preserve"> - ROAD HOUSE - Road House - COZY COTTAGE</t>
        </is>
      </c>
      <c r="H90">
        <f>HYPERLINK("https://booking.roadsurfer.com/es/rally/pick?pickup_date=2026-09-25&amp;return_date=2026-10-02&amp;currency=EUR&amp;startStation=58&amp;endStation=22", "Clic para verlo en la web de RoadSurfer")</f>
        <v/>
      </c>
    </row>
    <row r="91">
      <c r="A91" t="inlineStr">
        <is>
          <t>Italia</t>
        </is>
      </c>
      <c r="B91" t="inlineStr">
        <is>
          <t>Turín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2026-10-02</t>
        </is>
      </c>
      <c r="F91" t="inlineStr">
        <is>
          <t>2026-10-09</t>
        </is>
      </c>
      <c r="G91" t="inlineStr">
        <is>
          <t xml:space="preserve"> - No hay coche</t>
        </is>
      </c>
      <c r="H91">
        <f>HYPERLINK("https://booking.roadsurfer.com/es/rally/pick?pickup_date=2026-10-02&amp;return_date=2026-10-09&amp;currency=EUR&amp;startStation=58&amp;endStation=22", "Clic para verlo en la web de RoadSurfer")</f>
        <v/>
      </c>
    </row>
    <row r="92">
      <c r="A92" t="inlineStr">
        <is>
          <t>Italia</t>
        </is>
      </c>
      <c r="B92" t="inlineStr">
        <is>
          <t>Turín</t>
        </is>
      </c>
      <c r="C92" t="inlineStr">
        <is>
          <t>Alemania</t>
        </is>
      </c>
      <c r="D92" t="inlineStr">
        <is>
          <t>Bremen</t>
        </is>
      </c>
      <c r="E92" t="inlineStr">
        <is>
          <t>2026-09-29</t>
        </is>
      </c>
      <c r="F92" t="inlineStr">
        <is>
          <t>2026-10-06</t>
        </is>
      </c>
      <c r="G92" t="inlineStr">
        <is>
          <t xml:space="preserve"> - Family Finca</t>
        </is>
      </c>
      <c r="H92">
        <f>HYPERLINK("https://booking.roadsurfer.com/es/rally/pick?pickup_date=2026-09-29&amp;return_date=2026-10-06&amp;currency=EUR&amp;startStation=58&amp;endStation=55", "Clic para verlo en la web de RoadSurfer")</f>
        <v/>
      </c>
    </row>
    <row r="93">
      <c r="A93" t="inlineStr">
        <is>
          <t>España</t>
        </is>
      </c>
      <c r="B93" t="inlineStr">
        <is>
          <t>Valencia</t>
        </is>
      </c>
      <c r="C93" t="inlineStr">
        <is>
          <t>Alemania</t>
        </is>
      </c>
      <c r="D93" t="inlineStr">
        <is>
          <t>Bremen</t>
        </is>
      </c>
      <c r="E93" t="inlineStr">
        <is>
          <t>2026-10-21</t>
        </is>
      </c>
      <c r="F93" t="inlineStr">
        <is>
          <t>2026-10-28</t>
        </is>
      </c>
      <c r="G93" t="inlineStr">
        <is>
          <t xml:space="preserve"> - Surfer Suite</t>
        </is>
      </c>
      <c r="H93">
        <f>HYPERLINK("https://booking.roadsurfer.com/es/rally/pick?pickup_date=2026-10-21&amp;return_date=2026-10-28&amp;currency=EUR&amp;startStation=38&amp;endStation=55", "Clic para verlo en la web de RoadSurfer")</f>
        <v/>
      </c>
    </row>
    <row r="94">
      <c r="A94" t="inlineStr">
        <is>
          <t>España</t>
        </is>
      </c>
      <c r="B94" t="inlineStr">
        <is>
          <t>Valencia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2026-09-25</t>
        </is>
      </c>
      <c r="F94" t="inlineStr">
        <is>
          <t>2026-10-02</t>
        </is>
      </c>
      <c r="G94" t="inlineStr">
        <is>
          <t xml:space="preserve"> - Couple Cottage</t>
        </is>
      </c>
      <c r="H94">
        <f>HYPERLINK("https://booking.roadsurfer.com/es/rally/pick?pickup_date=2026-09-25&amp;return_date=2026-10-02&amp;currency=EUR&amp;startStation=38&amp;endStation=22", "Clic para verlo en la web de RoadSurfer")</f>
        <v/>
      </c>
    </row>
    <row r="95">
      <c r="A95" t="inlineStr">
        <is>
          <t>España</t>
        </is>
      </c>
      <c r="B95" t="inlineStr">
        <is>
          <t>Valencia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2026-10-07</t>
        </is>
      </c>
      <c r="F95" t="inlineStr">
        <is>
          <t>2026-10-14</t>
        </is>
      </c>
      <c r="G95" t="inlineStr">
        <is>
          <t xml:space="preserve"> - No hay coche</t>
        </is>
      </c>
      <c r="H95">
        <f>HYPERLINK("https://booking.roadsurfer.com/es/rally/pick?pickup_date=2026-10-07&amp;return_date=2026-10-14&amp;currency=EUR&amp;startStation=38&amp;endStation=22", "Clic para verlo en la web de RoadSurfer")</f>
        <v/>
      </c>
    </row>
    <row r="96">
      <c r="A96" t="inlineStr">
        <is>
          <t>Italia</t>
        </is>
      </c>
      <c r="B96" t="inlineStr">
        <is>
          <t>Venecia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2026-09-26</t>
        </is>
      </c>
      <c r="F96" t="inlineStr">
        <is>
          <t>2026-10-03</t>
        </is>
      </c>
      <c r="G96" t="inlineStr">
        <is>
          <t xml:space="preserve"> - No hay coche</t>
        </is>
      </c>
      <c r="H96">
        <f>HYPERLINK("https://booking.roadsurfer.com/es/rally/pick?pickup_date=2026-09-26&amp;return_date=2026-10-03&amp;currency=EUR&amp;startStation=78&amp;endStation=22", "Clic para verlo en la web de RoadSurfer")</f>
        <v/>
      </c>
    </row>
    <row r="97">
      <c r="A97" t="inlineStr">
        <is>
          <t>Austria</t>
        </is>
      </c>
      <c r="B97" t="inlineStr">
        <is>
          <t>Viena</t>
        </is>
      </c>
      <c r="C97" t="inlineStr">
        <is>
          <t>España</t>
        </is>
      </c>
      <c r="D97" t="inlineStr">
        <is>
          <t>Málaga</t>
        </is>
      </c>
      <c r="E97" t="inlineStr">
        <is>
          <t>2026-08-28</t>
        </is>
      </c>
      <c r="F97" t="inlineStr">
        <is>
          <t>2026-09-04</t>
        </is>
      </c>
      <c r="G97" t="inlineStr">
        <is>
          <t xml:space="preserve"> - Surfer Suite</t>
        </is>
      </c>
      <c r="H97">
        <f>HYPERLINK("https://booking.roadsurfer.com/es/rally/pick?pickup_date=2026-08-28&amp;return_date=2026-09-04&amp;currency=EUR&amp;startStation=36&amp;endStation=21",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2026-08-11T20:39:12Z</dcterms:created>
  <dcterms:modified xsi:type="dcterms:W3CDTF">2026-08-11T20:39:12Z</dcterms:modified>
</cp:coreProperties>
</file>