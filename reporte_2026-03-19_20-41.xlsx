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Karlsruhe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Cozy Cottage</t>
        </is>
      </c>
      <c r="H7">
        <f>HYPERLINK("https://booking.roadsurfer.com/es/rally/pick?pickup_date=2026-04-13&amp;return_date=2026-04-20&amp;currency=EUR&amp;startStation=108&amp;endStation=110",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2026-04-06</t>
        </is>
      </c>
      <c r="F8" t="inlineStr">
        <is>
          <t>2026-04-13</t>
        </is>
      </c>
      <c r="G8" t="inlineStr">
        <is>
          <t xml:space="preserve"> - No hay coche</t>
        </is>
      </c>
      <c r="H8">
        <f>HYPERLINK("https://booking.roadsurfer.com/es/rally/pick?pickup_date=2026-04-06&amp;return_date=2026-04-13&amp;currency=EUR&amp;startStation=108&amp;endStation=12",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Estrasburgo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Family Finca</t>
        </is>
      </c>
      <c r="H9">
        <f>HYPERLINK("https://booking.roadsurfer.com/es/rally/pick?pickup_date=2026-04-27&amp;return_date=2026-05-04&amp;currency=EUR&amp;startStation=108&amp;endStation=49",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No hay coche</t>
        </is>
      </c>
      <c r="H10">
        <f>HYPERLINK("https://booking.roadsurfer.com/es/rally/pick?pickup_date=2026-05-04&amp;return_date=2026-05-11&amp;currency=EUR&amp;startStation=17&amp;endStation=1",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Beach Hostel</t>
        </is>
      </c>
      <c r="H11">
        <f>HYPERLINK("https://booking.roadsurfer.com/es/rally/pick?pickup_date=2026-04-15&amp;return_date=2026-04-22&amp;currency=EUR&amp;startStation=17&amp;endStation=9",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2026-04-13</t>
        </is>
      </c>
      <c r="F12" t="inlineStr">
        <is>
          <t>2026-04-20</t>
        </is>
      </c>
      <c r="G12" t="inlineStr">
        <is>
          <t xml:space="preserve"> - Road House</t>
        </is>
      </c>
      <c r="H12">
        <f>HYPERLINK("https://booking.roadsurfer.com/es/rally/pick?pickup_date=2026-04-13&amp;return_date=2026-04-20&amp;currency=EUR&amp;startStation=17&amp;endStation=5",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2026-03-26</t>
        </is>
      </c>
      <c r="F13" t="inlineStr">
        <is>
          <t>2026-04-02</t>
        </is>
      </c>
      <c r="G13" t="inlineStr">
        <is>
          <t xml:space="preserve"> - FAMILY FINCA</t>
        </is>
      </c>
      <c r="H13">
        <f>HYPERLINK("https://booking.roadsurfer.com/es/rally/pick?pickup_date=2026-03-26&amp;return_date=2026-04-02&amp;currency=EUR&amp;startStation=6&amp;endStation=116",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2026-03-30</t>
        </is>
      </c>
      <c r="F14" t="inlineStr">
        <is>
          <t>2026-04-06</t>
        </is>
      </c>
      <c r="G14" t="inlineStr">
        <is>
          <t xml:space="preserve"> - No hay coche</t>
        </is>
      </c>
      <c r="H14">
        <f>HYPERLINK("https://booking.roadsurfer.com/es/rally/pick?pickup_date=2026-03-30&amp;return_date=2026-04-06&amp;currency=EUR&amp;startStation=6&amp;endStation=36",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Países Bajos</t>
        </is>
      </c>
      <c r="D16" t="inlineStr">
        <is>
          <t>Róterdam</t>
        </is>
      </c>
      <c r="E16" t="inlineStr">
        <is>
          <t>2026-04-27</t>
        </is>
      </c>
      <c r="F16" t="inlineStr">
        <is>
          <t>2026-05-04</t>
        </is>
      </c>
      <c r="G16" t="inlineStr">
        <is>
          <t xml:space="preserve"> - Camper Castle</t>
        </is>
      </c>
      <c r="H16">
        <f>HYPERLINK("https://booking.roadsurfer.com/es/rally/pick?pickup_date=2026-04-27&amp;return_date=2026-05-04&amp;currency=EUR&amp;startStation=6&amp;endStation=33",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Graz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Family Finca</t>
        </is>
      </c>
      <c r="H17">
        <f>HYPERLINK("https://booking.roadsurfer.com/es/rally/pick?pickup_date=2026-04-27&amp;return_date=2026-05-04&amp;currency=EUR&amp;startStation=6&amp;endStation=37",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Family Finca</t>
        </is>
      </c>
      <c r="H19">
        <f>HYPERLINK("https://booking.roadsurfer.com/es/rally/pick?pickup_date=2026-05-04&amp;return_date=2026-05-11&amp;currency=EUR&amp;startStation=6&amp;endStation=15",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Family Finca</t>
        </is>
      </c>
      <c r="H20">
        <f>HYPERLINK("https://booking.roadsurfer.com/es/rally/pick?pickup_date=2026-05-08&amp;return_date=2026-05-15&amp;currency=EUR&amp;startStation=6&amp;endStation=31",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No hay coche</t>
        </is>
      </c>
      <c r="H21">
        <f>HYPERLINK("https://booking.roadsurfer.com/es/rally/pick?pickup_date=2026-04-20&amp;return_date=2026-04-27&amp;currency=EUR&amp;startStation=6&amp;endStation=130",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2026-04-24</t>
        </is>
      </c>
      <c r="F22" t="inlineStr">
        <is>
          <t>2026-05-01</t>
        </is>
      </c>
      <c r="G22" t="inlineStr">
        <is>
          <t xml:space="preserve"> - No hay coche</t>
        </is>
      </c>
      <c r="H22">
        <f>HYPERLINK("https://booking.roadsurfer.com/es/rally/pick?pickup_date=2026-04-24&amp;return_date=2026-05-01&amp;currency=EUR&amp;startStation=51&amp;endStation=60",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SURFER SUITE</t>
        </is>
      </c>
      <c r="H27">
        <f>HYPERLINK("https://booking.roadsurfer.com/es/rally/pick?pickup_date=2026-05-04&amp;return_date=2026-05-11&amp;currency=EUR&amp;startStation=51&amp;endStation=80",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Heidelberg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HYPERLINK("https://booking.roadsurfer.com/es/rally/pick?pickup_date=2026-04-23&amp;return_date=2026-04-30&amp;currency=EUR&amp;startStation=51&amp;endStation=79",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2026-03-25</t>
        </is>
      </c>
      <c r="F33" t="inlineStr">
        <is>
          <t>2026-04-01</t>
        </is>
      </c>
      <c r="G33" t="inlineStr">
        <is>
          <t xml:space="preserve"> - Couple Cottage</t>
        </is>
      </c>
      <c r="H33">
        <f>HYPERLINK("https://booking.roadsurfer.com/es/rally/pick?pickup_date=2026-03-25&amp;return_date=2026-04-01&amp;currency=EUR&amp;startStation=51&amp;endStation=24",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Family Finca</t>
        </is>
      </c>
      <c r="H34">
        <f>HYPERLINK("https://booking.roadsurfer.com/es/rally/pick?pickup_date=2026-04-20&amp;return_date=2026-04-27&amp;currency=EUR&amp;startStation=91&amp;endStation=65",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2026-03-30</t>
        </is>
      </c>
      <c r="F35" t="inlineStr">
        <is>
          <t>2026-04-06</t>
        </is>
      </c>
      <c r="G35" t="inlineStr">
        <is>
          <t xml:space="preserve"> - No hay coche</t>
        </is>
      </c>
      <c r="H35">
        <f>HYPERLINK("https://booking.roadsurfer.com/es/rally/pick?pickup_date=2026-03-30&amp;return_date=2026-04-06&amp;currency=EUR&amp;startStation=91&amp;endStation=47",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2026-04-11</t>
        </is>
      </c>
      <c r="F36" t="inlineStr">
        <is>
          <t>2026-04-18</t>
        </is>
      </c>
      <c r="G36" t="inlineStr">
        <is>
          <t xml:space="preserve"> - Camper Castle</t>
        </is>
      </c>
      <c r="H36">
        <f>HYPERLINK("https://booking.roadsurfer.com/es/rally/pick?pickup_date=2026-04-11&amp;return_date=2026-04-18&amp;currency=EUR&amp;startStation=91&amp;endStation=47",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2026-04-04</t>
        </is>
      </c>
      <c r="F37" t="inlineStr">
        <is>
          <t>2026-04-11</t>
        </is>
      </c>
      <c r="G37" t="inlineStr">
        <is>
          <t xml:space="preserve"> - No hay coche</t>
        </is>
      </c>
      <c r="H37">
        <f>HYPERLINK("https://booking.roadsurfer.com/es/rally/pick?pickup_date=2026-04-04&amp;return_date=2026-04-11&amp;currency=EUR&amp;startStation=91&amp;endStation=12",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2026-04-18</t>
        </is>
      </c>
      <c r="F38" t="inlineStr">
        <is>
          <t>2026-04-25</t>
        </is>
      </c>
      <c r="G38" t="inlineStr">
        <is>
          <t xml:space="preserve"> - Surfer Suite</t>
        </is>
      </c>
      <c r="H38">
        <f>HYPERLINK("https://booking.roadsurfer.com/es/rally/pick?pickup_date=2026-04-18&amp;return_date=2026-04-25&amp;currency=EUR&amp;startStation=91&amp;endStation=12",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2026-03-30</t>
        </is>
      </c>
      <c r="F39" t="inlineStr">
        <is>
          <t>2026-04-06</t>
        </is>
      </c>
      <c r="G39" t="inlineStr">
        <is>
          <t xml:space="preserve"> - No hay coche</t>
        </is>
      </c>
      <c r="H39">
        <f>HYPERLINK("https://booking.roadsurfer.com/es/rally/pick?pickup_date=2026-03-30&amp;return_date=2026-04-06&amp;currency=EUR&amp;startStation=91&amp;endStation=48",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2026-04-09</t>
        </is>
      </c>
      <c r="F40" t="inlineStr">
        <is>
          <t>2026-04-16</t>
        </is>
      </c>
      <c r="G40" t="inlineStr">
        <is>
          <t xml:space="preserve"> - Surfer Suite</t>
        </is>
      </c>
      <c r="H40">
        <f>HYPERLINK("https://booking.roadsurfer.com/es/rally/pick?pickup_date=2026-04-09&amp;return_date=2026-04-16&amp;currency=EUR&amp;startStation=91&amp;endStation=48",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Beach Hostel</t>
        </is>
      </c>
      <c r="H41">
        <f>HYPERLINK("https://booking.roadsurfer.com/es/rally/pick?pickup_date=2026-04-21&amp;return_date=2026-04-28&amp;currency=EUR&amp;startStation=91&amp;endStation=31",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2026-04-17</t>
        </is>
      </c>
      <c r="F42" t="inlineStr">
        <is>
          <t>2026-04-24</t>
        </is>
      </c>
      <c r="G42" t="inlineStr">
        <is>
          <t xml:space="preserve"> - Beach Hostel</t>
        </is>
      </c>
      <c r="H42">
        <f>HYPERLINK("https://booking.roadsurfer.com/es/rally/pick?pickup_date=2026-04-17&amp;return_date=2026-04-24&amp;currency=EUR&amp;startStation=91&amp;endStation=42",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2026-04-21</t>
        </is>
      </c>
      <c r="F43" t="inlineStr">
        <is>
          <t>2026-04-28</t>
        </is>
      </c>
      <c r="G43" t="inlineStr">
        <is>
          <t xml:space="preserve"> - Beach Hostel</t>
        </is>
      </c>
      <c r="H43">
        <f>HYPERLINK("https://booking.roadsurfer.com/es/rally/pick?pickup_date=2026-04-21&amp;return_date=2026-04-28&amp;currency=EUR&amp;startStation=91&amp;endStation=59",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2026-04-07</t>
        </is>
      </c>
      <c r="F44" t="inlineStr">
        <is>
          <t>2026-04-14</t>
        </is>
      </c>
      <c r="G44" t="inlineStr">
        <is>
          <t xml:space="preserve"> - Surfer Suite</t>
        </is>
      </c>
      <c r="H44">
        <f>HYPERLINK("https://booking.roadsurfer.com/es/rally/pick?pickup_date=2026-04-07&amp;return_date=2026-04-14&amp;currency=EUR&amp;startStation=91&amp;endStation=79",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Surfer Suite</t>
        </is>
      </c>
      <c r="H45">
        <f>HYPERLINK("https://booking.roadsurfer.com/es/rally/pick?pickup_date=2026-05-06&amp;return_date=2026-05-13&amp;currency=EUR&amp;startStation=91&amp;endStation=10",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2026-04-22</t>
        </is>
      </c>
      <c r="F46" t="inlineStr">
        <is>
          <t>2026-04-29</t>
        </is>
      </c>
      <c r="G46" t="inlineStr">
        <is>
          <t xml:space="preserve"> - Surfer Suite</t>
        </is>
      </c>
      <c r="H46">
        <f>HYPERLINK("https://booking.roadsurfer.com/es/rally/pick?pickup_date=2026-04-22&amp;return_date=2026-04-29&amp;currency=EUR&amp;startStation=91&amp;endStation=77",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Family Finca</t>
        </is>
      </c>
      <c r="H47">
        <f>HYPERLINK("https://booking.roadsurfer.com/es/rally/pick?pickup_date=2026-04-21&amp;return_date=2026-04-28&amp;currency=EUR&amp;startStation=91&amp;endStation=77",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2026-05-05</t>
        </is>
      </c>
      <c r="F48" t="inlineStr">
        <is>
          <t>2026-05-12</t>
        </is>
      </c>
      <c r="G48" t="inlineStr">
        <is>
          <t xml:space="preserve"> - Camper Castle</t>
        </is>
      </c>
      <c r="H48">
        <f>HYPERLINK("https://booking.roadsurfer.com/es/rally/pick?pickup_date=2026-05-05&amp;return_date=2026-05-12&amp;currency=EUR&amp;startStation=91&amp;endStation=77",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2026-05-12</t>
        </is>
      </c>
      <c r="F49" t="inlineStr">
        <is>
          <t>2026-05-19</t>
        </is>
      </c>
      <c r="G49" t="inlineStr">
        <is>
          <t xml:space="preserve"> - Sunrise Suite</t>
        </is>
      </c>
      <c r="H49">
        <f>HYPERLINK("https://booking.roadsurfer.com/es/rally/pick?pickup_date=2026-05-12&amp;return_date=2026-05-19&amp;currency=EUR&amp;startStation=91&amp;endStation=77",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Ámsterdam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Road House</t>
        </is>
      </c>
      <c r="H50">
        <f>HYPERLINK("https://booking.roadsurfer.com/es/rally/pick?pickup_date=2026-05-04&amp;return_date=2026-05-11&amp;currency=EUR&amp;startStation=91&amp;endStation=32",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2026-04-27</t>
        </is>
      </c>
      <c r="F51" t="inlineStr">
        <is>
          <t>2026-05-04</t>
        </is>
      </c>
      <c r="G51" t="inlineStr">
        <is>
          <t xml:space="preserve"> - Surfer Suite</t>
        </is>
      </c>
      <c r="H51">
        <f>HYPERLINK("https://booking.roadsurfer.com/es/rally/pick?pickup_date=2026-04-27&amp;return_date=2026-05-04&amp;currency=EUR&amp;startStation=91&amp;endStation=60",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2026-03-26</t>
        </is>
      </c>
      <c r="F52" t="inlineStr">
        <is>
          <t>2026-04-02</t>
        </is>
      </c>
      <c r="G52" t="inlineStr">
        <is>
          <t xml:space="preserve"> - Surfer Suite</t>
        </is>
      </c>
      <c r="H52">
        <f>HYPERLINK("https://booking.roadsurfer.com/es/rally/pick?pickup_date=2026-03-26&amp;return_date=2026-04-02&amp;currency=EUR&amp;startStation=40&amp;endStation=22",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Road House</t>
        </is>
      </c>
      <c r="H53">
        <f>HYPERLINK("https://booking.roadsurfer.com/es/rally/pick?pickup_date=2026-04-13&amp;return_date=2026-04-20&amp;currency=EUR&amp;startStation=40&amp;endStation=5",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2026-04-06</t>
        </is>
      </c>
      <c r="F54" t="inlineStr">
        <is>
          <t>2026-04-13</t>
        </is>
      </c>
      <c r="G54" t="inlineStr">
        <is>
          <t xml:space="preserve"> - No hay coche</t>
        </is>
      </c>
      <c r="H54">
        <f>HYPERLINK("https://booking.roadsurfer.com/es/rally/pick?pickup_date=2026-04-06&amp;return_date=2026-04-13&amp;currency=EUR&amp;startStation=40&amp;endStation=52",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Camper Castle</t>
        </is>
      </c>
      <c r="H55">
        <f>HYPERLINK("https://booking.roadsurfer.com/es/rally/pick?pickup_date=2026-05-04&amp;return_date=2026-05-11&amp;currency=EUR&amp;startStation=40&amp;endStation=28",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Países Bajos</t>
        </is>
      </c>
      <c r="D56" t="inlineStr">
        <is>
          <t>Ámsterdam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No hay coche</t>
        </is>
      </c>
      <c r="H56">
        <f>HYPERLINK("https://booking.roadsurfer.com/es/rally/pick?pickup_date=2026-04-20&amp;return_date=2026-04-27&amp;currency=EUR&amp;startStation=24&amp;endStation=32", "Clic para verlo en la web de RoadSurfer")</f>
        <v/>
      </c>
    </row>
    <row r="57">
      <c r="A57" t="inlineStr">
        <is>
          <t>Italia</t>
        </is>
      </c>
      <c r="B57" t="inlineStr">
        <is>
          <t>Bolonia</t>
        </is>
      </c>
      <c r="C57" t="inlineStr">
        <is>
          <t>Italia</t>
        </is>
      </c>
      <c r="D57" t="inlineStr">
        <is>
          <t>Venecia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Beach Hostel</t>
        </is>
      </c>
      <c r="H57">
        <f>HYPERLINK("https://booking.roadsurfer.com/es/rally/pick?pickup_date=2026-04-27&amp;return_date=2026-05-04&amp;currency=EUR&amp;startStation=57&amp;endStation=78",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Family Finca</t>
        </is>
      </c>
      <c r="H58">
        <f>HYPERLINK("https://booking.roadsurfer.com/es/rally/pick?pickup_date=2026-04-15&amp;return_date=2026-04-22&amp;currency=EUR&amp;startStation=13&amp;endStation=4",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2026-03-24</t>
        </is>
      </c>
      <c r="F59" t="inlineStr">
        <is>
          <t>2026-03-31</t>
        </is>
      </c>
      <c r="G59" t="inlineStr">
        <is>
          <t xml:space="preserve"> - Travel Home</t>
        </is>
      </c>
      <c r="H59">
        <f>HYPERLINK("https://booking.roadsurfer.com/es/rally/pick?pickup_date=2026-03-24&amp;return_date=2026-03-31&amp;currency=EUR&amp;startStation=13&amp;endStation=2",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Lübeck</t>
        </is>
      </c>
      <c r="E60" t="inlineStr">
        <is>
          <t>2026-04-02</t>
        </is>
      </c>
      <c r="F60" t="inlineStr">
        <is>
          <t>2026-04-09</t>
        </is>
      </c>
      <c r="G60" t="inlineStr">
        <is>
          <t xml:space="preserve"> - Beach Hostel</t>
        </is>
      </c>
      <c r="H60">
        <f>HYPERLINK("https://booking.roadsurfer.com/es/rally/pick?pickup_date=2026-04-02&amp;return_date=2026-04-09&amp;currency=EUR&amp;startStation=13&amp;endStation=109",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Francia</t>
        </is>
      </c>
      <c r="D61" t="inlineStr">
        <is>
          <t>Ginebra-Pays de Gex (Francia)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Surfer Suite</t>
        </is>
      </c>
      <c r="H61">
        <f>HYPERLINK("https://booking.roadsurfer.com/es/rally/pick?pickup_date=2026-04-16&amp;return_date=2026-04-23&amp;currency=EUR&amp;startStation=13&amp;endStation=29",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Ratisbona</t>
        </is>
      </c>
      <c r="E62" t="inlineStr">
        <is>
          <t>2026-03-26</t>
        </is>
      </c>
      <c r="F62" t="inlineStr">
        <is>
          <t>2026-04-02</t>
        </is>
      </c>
      <c r="G62" t="inlineStr">
        <is>
          <t xml:space="preserve"> - Family Finca</t>
        </is>
      </c>
      <c r="H62">
        <f>HYPERLINK("https://booking.roadsurfer.com/es/rally/pick?pickup_date=2026-03-26&amp;return_date=2026-04-02&amp;currency=EUR&amp;startStation=13&amp;endStation=89",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2026-05-04</t>
        </is>
      </c>
      <c r="F63" t="inlineStr">
        <is>
          <t>2026-05-11</t>
        </is>
      </c>
      <c r="G63" t="inlineStr">
        <is>
          <t xml:space="preserve"> - Road House</t>
        </is>
      </c>
      <c r="H63">
        <f>HYPERLINK("https://booking.roadsurfer.com/es/rally/pick?pickup_date=2026-05-04&amp;return_date=2026-05-11&amp;currency=EUR&amp;startStation=13&amp;endStation=56",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Road House</t>
        </is>
      </c>
      <c r="H64">
        <f>HYPERLINK("https://booking.roadsurfer.com/es/rally/pick?pickup_date=2026-04-13&amp;return_date=2026-04-20&amp;currency=EUR&amp;startStation=13&amp;endStation=28",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Ulm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HYPERLINK("https://booking.roadsurfer.com/es/rally/pick?pickup_date=2026-04-16&amp;return_date=2026-04-23&amp;currency=EUR&amp;startStation=13&amp;endStation=112",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2026-03-27</t>
        </is>
      </c>
      <c r="F66" t="inlineStr">
        <is>
          <t>2026-04-03</t>
        </is>
      </c>
      <c r="G66" t="inlineStr">
        <is>
          <t xml:space="preserve"> - Surfer Suite</t>
        </is>
      </c>
      <c r="H66">
        <f>HYPERLINK("https://booking.roadsurfer.com/es/rally/pick?pickup_date=2026-03-27&amp;return_date=2026-04-03&amp;currency=EUR&amp;startStation=13&amp;endStation=22",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2026-04-21</t>
        </is>
      </c>
      <c r="F67" t="inlineStr">
        <is>
          <t>2026-04-28</t>
        </is>
      </c>
      <c r="G67" t="inlineStr">
        <is>
          <t xml:space="preserve"> - Family Finca</t>
        </is>
      </c>
      <c r="H67">
        <f>HYPERLINK("https://booking.roadsurfer.com/es/rally/pick?pickup_date=2026-04-21&amp;return_date=2026-04-28&amp;currency=EUR&amp;startStation=55&amp;endStation=77",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2026-04-24</t>
        </is>
      </c>
      <c r="F68" t="inlineStr">
        <is>
          <t>2026-05-01</t>
        </is>
      </c>
      <c r="G68" t="inlineStr">
        <is>
          <t xml:space="preserve"> - No hay coche</t>
        </is>
      </c>
      <c r="H68">
        <f>HYPERLINK("https://booking.roadsurfer.com/es/rally/pick?pickup_date=2026-04-24&amp;return_date=2026-05-01&amp;currency=EUR&amp;startStation=55&amp;endStation=77",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Road House</t>
        </is>
      </c>
      <c r="H69">
        <f>HYPERLINK("https://booking.roadsurfer.com/es/rally/pick?pickup_date=2026-04-23&amp;return_date=2026-04-30&amp;currency=EUR&amp;startStation=55&amp;endStation=77",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2026-04-15</t>
        </is>
      </c>
      <c r="F70" t="inlineStr">
        <is>
          <t>2026-04-22</t>
        </is>
      </c>
      <c r="G70" t="inlineStr">
        <is>
          <t xml:space="preserve"> - BEACH HOSTEL</t>
        </is>
      </c>
      <c r="H70">
        <f>HYPERLINK("https://booking.roadsurfer.com/es/rally/pick?pickup_date=2026-04-15&amp;return_date=2026-04-22&amp;currency=EUR&amp;startStation=55&amp;endStation=59",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Cozy Cottage</t>
        </is>
      </c>
      <c r="H71">
        <f>HYPERLINK("https://booking.roadsurfer.com/es/rally/pick?pickup_date=2026-04-13&amp;return_date=2026-04-20&amp;currency=EUR&amp;startStation=55&amp;endStation=59",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Camper Castle</t>
        </is>
      </c>
      <c r="H72">
        <f>HYPERLINK("https://booking.roadsurfer.com/es/rally/pick?pickup_date=2026-05-04&amp;return_date=2026-05-11&amp;currency=EUR&amp;startStation=55&amp;endStation=33",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Camper Cabin Deluxe</t>
        </is>
      </c>
      <c r="H73">
        <f>HYPERLINK("https://booking.roadsurfer.com/es/rally/pick?pickup_date=2026-04-16&amp;return_date=2026-04-23&amp;currency=EUR&amp;startStation=55&amp;endStation=42",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 - Sunrise Suite</t>
        </is>
      </c>
      <c r="H74">
        <f>HYPERLINK("https://booking.roadsurfer.com/es/rally/pick?pickup_date=2026-04-20&amp;return_date=2026-04-27&amp;currency=EUR&amp;startStation=55&amp;endStation=34",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Surfer Suite</t>
        </is>
      </c>
      <c r="H75">
        <f>HYPERLINK("https://booking.roadsurfer.com/es/rally/pick?pickup_date=2026-05-11&amp;return_date=2026-05-18&amp;currency=EUR&amp;startStation=55&amp;endStation=6",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Alemania</t>
        </is>
      </c>
      <c r="D76" t="inlineStr">
        <is>
          <t>Aquisgrán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Surfer Suite</t>
        </is>
      </c>
      <c r="H76">
        <f>HYPERLINK("https://booking.roadsurfer.com/es/rally/pick?pickup_date=2026-04-20&amp;return_date=2026-04-27&amp;currency=EUR&amp;startStation=55&amp;endStation=114",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No hay coche</t>
        </is>
      </c>
      <c r="H77">
        <f>HYPERLINK("https://booking.roadsurfer.com/es/rally/pick?pickup_date=2026-04-20&amp;return_date=2026-04-27&amp;currency=EUR&amp;startStation=55&amp;endStation=130", "Clic para verlo en la web de RoadSurfer")</f>
        <v/>
      </c>
    </row>
    <row r="78">
      <c r="A78" t="inlineStr">
        <is>
          <t>Reino Unido</t>
        </is>
      </c>
      <c r="B78" t="inlineStr">
        <is>
          <t>Bristol</t>
        </is>
      </c>
      <c r="C78" t="inlineStr">
        <is>
          <t>Reino Unido</t>
        </is>
      </c>
      <c r="D78" t="inlineStr">
        <is>
          <t>Edimburgo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Surfer Suite</t>
        </is>
      </c>
      <c r="H78">
        <f>HYPERLINK("https://booking.roadsurfer.com/es/rally/pick?pickup_date=2026-04-20&amp;return_date=2026-04-27&amp;currency=EUR&amp;startStation=98&amp;endStation=64",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2026-04-22</t>
        </is>
      </c>
      <c r="F79" t="inlineStr">
        <is>
          <t>2026-04-29</t>
        </is>
      </c>
      <c r="G79" t="inlineStr">
        <is>
          <t xml:space="preserve"> - Beach Hostel</t>
        </is>
      </c>
      <c r="H79">
        <f>HYPERLINK("https://booking.roadsurfer.com/es/rally/pick?pickup_date=2026-04-22&amp;return_date=2026-04-29&amp;currency=EUR&amp;startStation=42&amp;endStation=48",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Camper Castle</t>
        </is>
      </c>
      <c r="H80">
        <f>HYPERLINK("https://booking.roadsurfer.com/es/rally/pick?pickup_date=2026-05-04&amp;return_date=2026-05-11&amp;currency=EUR&amp;startStation=42&amp;endStation=6",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2026-03-30</t>
        </is>
      </c>
      <c r="F81" t="inlineStr">
        <is>
          <t>2026-04-06</t>
        </is>
      </c>
      <c r="G81" t="inlineStr">
        <is>
          <t xml:space="preserve"> - No hay coche</t>
        </is>
      </c>
      <c r="H81">
        <f>HYPERLINK("https://booking.roadsurfer.com/es/rally/pick?pickup_date=2026-03-30&amp;return_date=2026-04-06&amp;currency=EUR&amp;startStation=52&amp;endStation=47",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Surfer Suite</t>
        </is>
      </c>
      <c r="H82">
        <f>HYPERLINK("https://booking.roadsurfer.com/es/rally/pick?pickup_date=2026-04-16&amp;return_date=2026-04-23&amp;currency=EUR&amp;startStation=52&amp;endStation=47",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Austria</t>
        </is>
      </c>
      <c r="D83" t="inlineStr">
        <is>
          <t>Graz</t>
        </is>
      </c>
      <c r="E83" t="inlineStr">
        <is>
          <t>2026-03-26</t>
        </is>
      </c>
      <c r="F83" t="inlineStr">
        <is>
          <t>2026-04-02</t>
        </is>
      </c>
      <c r="G83" t="inlineStr">
        <is>
          <t xml:space="preserve"> - Surfer Suite</t>
        </is>
      </c>
      <c r="H83">
        <f>HYPERLINK("https://booking.roadsurfer.com/es/rally/pick?pickup_date=2026-03-26&amp;return_date=2026-04-02&amp;currency=EUR&amp;startStation=52&amp;endStation=37",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2026-04-25</t>
        </is>
      </c>
      <c r="F84" t="inlineStr">
        <is>
          <t>2026-05-02</t>
        </is>
      </c>
      <c r="G84" t="inlineStr">
        <is>
          <t xml:space="preserve"> - Beach Hostel</t>
        </is>
      </c>
      <c r="H84">
        <f>HYPERLINK("https://booking.roadsurfer.com/es/rally/pick?pickup_date=2026-04-25&amp;return_date=2026-05-02&amp;currency=EUR&amp;startStation=52&amp;endStation=29",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2026-04-23</t>
        </is>
      </c>
      <c r="F85" t="inlineStr">
        <is>
          <t>2026-04-30</t>
        </is>
      </c>
      <c r="G85" t="inlineStr">
        <is>
          <t xml:space="preserve"> - No hay coche</t>
        </is>
      </c>
      <c r="H85">
        <f>HYPERLINK("https://booking.roadsurfer.com/es/rally/pick?pickup_date=2026-04-23&amp;return_date=2026-04-30&amp;currency=EUR&amp;startStation=52&amp;endStation=130",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Flensburgo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No hay coche</t>
        </is>
      </c>
      <c r="H86">
        <f>HYPERLINK("https://booking.roadsurfer.com/es/rally/pick?pickup_date=2026-04-16&amp;return_date=2026-04-23&amp;currency=EUR&amp;startStation=52&amp;endStation=130",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HYPERLINK("https://booking.roadsurfer.com/es/rally/pick?pickup_date=2026-04-20&amp;return_date=2026-04-27&amp;currency=EUR&amp;startStation=52&amp;endStation=130",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Camper Cabin</t>
        </is>
      </c>
      <c r="H89">
        <f>HYPERLINK("https://booking.roadsurfer.com/es/rally/pick?pickup_date=2026-04-13&amp;return_date=2026-04-20&amp;currency=EUR&amp;startStation=52&amp;endStation=13",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Heidelberg</t>
        </is>
      </c>
      <c r="E90" t="inlineStr">
        <is>
          <t>2026-04-09</t>
        </is>
      </c>
      <c r="F90" t="inlineStr">
        <is>
          <t>2026-04-16</t>
        </is>
      </c>
      <c r="G90" t="inlineStr">
        <is>
          <t xml:space="preserve"> - Camper Cabin</t>
        </is>
      </c>
      <c r="H90">
        <f>HYPERLINK("https://booking.roadsurfer.com/es/rally/pick?pickup_date=2026-04-09&amp;return_date=2026-04-16&amp;currency=EUR&amp;startStation=52&amp;endStation=79",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Road House</t>
        </is>
      </c>
      <c r="H91">
        <f>HYPERLINK("https://booking.roadsurfer.com/es/rally/pick?pickup_date=2026-04-09&amp;return_date=2026-04-16&amp;currency=EUR&amp;startStation=52&amp;endStation=42",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Family Finca</t>
        </is>
      </c>
      <c r="H92">
        <f>HYPERLINK("https://booking.roadsurfer.com/es/rally/pick?pickup_date=2026-04-13&amp;return_date=2026-04-20&amp;currency=EUR&amp;startStation=52&amp;endStation=42",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2026-04-10</t>
        </is>
      </c>
      <c r="F93" t="inlineStr">
        <is>
          <t>2026-04-17</t>
        </is>
      </c>
      <c r="G93" t="inlineStr">
        <is>
          <t xml:space="preserve"> - Sunrise Suite</t>
        </is>
      </c>
      <c r="H93">
        <f>HYPERLINK("https://booking.roadsurfer.com/es/rally/pick?pickup_date=2026-04-10&amp;return_date=2026-04-17&amp;currency=EUR&amp;startStation=52&amp;endStation=42",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2026-04-06</t>
        </is>
      </c>
      <c r="F94" t="inlineStr">
        <is>
          <t>2026-04-13</t>
        </is>
      </c>
      <c r="G94" t="inlineStr">
        <is>
          <t xml:space="preserve"> - No hay coche</t>
        </is>
      </c>
      <c r="H94">
        <f>HYPERLINK("https://booking.roadsurfer.com/es/rally/pick?pickup_date=2026-04-06&amp;return_date=2026-04-13&amp;currency=EUR&amp;startStation=52&amp;endStation=38",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2026-03-24</t>
        </is>
      </c>
      <c r="F95" t="inlineStr">
        <is>
          <t>2026-03-31</t>
        </is>
      </c>
      <c r="G95" t="inlineStr">
        <is>
          <t xml:space="preserve"> - Camper Cabin Deluxe</t>
        </is>
      </c>
      <c r="H95">
        <f>HYPERLINK("https://booking.roadsurfer.com/es/rally/pick?pickup_date=2026-03-24&amp;return_date=2026-03-31&amp;currency=EUR&amp;startStation=52&amp;endStation=48",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Camper Castle</t>
        </is>
      </c>
      <c r="H96">
        <f>HYPERLINK("https://booking.roadsurfer.com/es/rally/pick?pickup_date=2026-05-02&amp;return_date=2026-05-09&amp;currency=EUR&amp;startStation=52&amp;endStation=48",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2026-04-17</t>
        </is>
      </c>
      <c r="F97" t="inlineStr">
        <is>
          <t>2026-04-24</t>
        </is>
      </c>
      <c r="G97" t="inlineStr">
        <is>
          <t xml:space="preserve"> - COUPLE COTTAGE</t>
        </is>
      </c>
      <c r="H97">
        <f>HYPERLINK("https://booking.roadsurfer.com/es/rally/pick?pickup_date=2026-04-17&amp;return_date=2026-04-24&amp;currency=EUR&amp;startStation=52&amp;endStation=48",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Núremberg</t>
        </is>
      </c>
      <c r="E98" t="inlineStr">
        <is>
          <t>2026-04-16</t>
        </is>
      </c>
      <c r="F98" t="inlineStr">
        <is>
          <t>2026-04-23</t>
        </is>
      </c>
      <c r="G98" t="inlineStr">
        <is>
          <t xml:space="preserve"> - Camper Castle</t>
        </is>
      </c>
      <c r="H98">
        <f>HYPERLINK("https://booking.roadsurfer.com/es/rally/pick?pickup_date=2026-04-16&amp;return_date=2026-04-23&amp;currency=EUR&amp;startStation=52&amp;endStation=11",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Alemania</t>
        </is>
      </c>
      <c r="D99" t="inlineStr">
        <is>
          <t>Núremberg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Sunrise Suite</t>
        </is>
      </c>
      <c r="H99">
        <f>HYPERLINK("https://booking.roadsurfer.com/es/rally/pick?pickup_date=2026-04-27&amp;return_date=2026-05-04&amp;currency=EUR&amp;startStation=52&amp;endStation=11",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Sunrise Suite</t>
        </is>
      </c>
      <c r="H100">
        <f>HYPERLINK("https://booking.roadsurfer.com/es/rally/pick?pickup_date=2026-04-25&amp;return_date=2026-05-02&amp;currency=EUR&amp;startStation=52&amp;endStation=12",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Sunrise Suite</t>
        </is>
      </c>
      <c r="H101">
        <f>HYPERLINK("https://booking.roadsurfer.com/es/rally/pick?pickup_date=2026-04-20&amp;return_date=2026-04-27&amp;currency=EUR&amp;startStation=52&amp;endStation=5",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No hay coche</t>
        </is>
      </c>
      <c r="H102">
        <f>HYPERLINK("https://booking.roadsurfer.com/es/rally/pick?pickup_date=2026-04-20&amp;return_date=2026-04-27&amp;currency=EUR&amp;startStation=4&amp;endStation=130",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2026-04-24</t>
        </is>
      </c>
      <c r="F103" t="inlineStr">
        <is>
          <t>2026-05-01</t>
        </is>
      </c>
      <c r="G103" t="inlineStr">
        <is>
          <t xml:space="preserve"> - No hay coche</t>
        </is>
      </c>
      <c r="H103">
        <f>HYPERLINK("https://booking.roadsurfer.com/es/rally/pick?pickup_date=2026-04-24&amp;return_date=2026-05-01&amp;currency=EUR&amp;startStation=4&amp;endStation=13",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2026-03-28</t>
        </is>
      </c>
      <c r="F104" t="inlineStr">
        <is>
          <t>2026-04-04</t>
        </is>
      </c>
      <c r="G104" t="inlineStr">
        <is>
          <t xml:space="preserve"> - Road House</t>
        </is>
      </c>
      <c r="H104">
        <f>HYPERLINK("https://booking.roadsurfer.com/es/rally/pick?pickup_date=2026-03-28&amp;return_date=2026-04-04&amp;currency=EUR&amp;startStation=4&amp;endStation=13",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2026-03-27</t>
        </is>
      </c>
      <c r="F105" t="inlineStr">
        <is>
          <t>2026-04-03</t>
        </is>
      </c>
      <c r="G105" t="inlineStr">
        <is>
          <t xml:space="preserve"> - Surfer Suite</t>
        </is>
      </c>
      <c r="H105">
        <f>HYPERLINK("https://booking.roadsurfer.com/es/rally/pick?pickup_date=2026-03-27&amp;return_date=2026-04-03&amp;currency=EUR&amp;startStation=4&amp;endStation=31",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Camper Cabin</t>
        </is>
      </c>
      <c r="H106">
        <f>HYPERLINK("https://booking.roadsurfer.com/es/rally/pick?pickup_date=2026-04-04&amp;return_date=2026-04-11&amp;currency=EUR&amp;startStation=4&amp;endStation=12",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2026-04-25</t>
        </is>
      </c>
      <c r="F107" t="inlineStr">
        <is>
          <t>2026-05-02</t>
        </is>
      </c>
      <c r="G107" t="inlineStr">
        <is>
          <t xml:space="preserve"> - Surfer Suite</t>
        </is>
      </c>
      <c r="H107">
        <f>HYPERLINK("https://booking.roadsurfer.com/es/rally/pick?pickup_date=2026-04-25&amp;return_date=2026-05-02&amp;currency=EUR&amp;startStation=4&amp;endStation=12",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Camper Castle</t>
        </is>
      </c>
      <c r="H108">
        <f>HYPERLINK("https://booking.roadsurfer.com/es/rally/pick?pickup_date=2026-05-04&amp;return_date=2026-05-11&amp;currency=EUR&amp;startStation=4&amp;endStation=6",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Austria</t>
        </is>
      </c>
      <c r="D109" t="inlineStr">
        <is>
          <t>Salzburgo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Camper Castle</t>
        </is>
      </c>
      <c r="H109">
        <f>HYPERLINK("https://booking.roadsurfer.com/es/rally/pick?pickup_date=2026-04-13&amp;return_date=2026-04-20&amp;currency=EUR&amp;startStation=10&amp;endStation=85",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2026-03-27</t>
        </is>
      </c>
      <c r="F110" t="inlineStr">
        <is>
          <t>2026-04-03</t>
        </is>
      </c>
      <c r="G110" t="inlineStr">
        <is>
          <t xml:space="preserve"> - Road House</t>
        </is>
      </c>
      <c r="H110">
        <f>HYPERLINK("https://booking.roadsurfer.com/es/rally/pick?pickup_date=2026-03-27&amp;return_date=2026-04-03&amp;currency=EUR&amp;startStation=10&amp;endStation=15",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2026-04-04</t>
        </is>
      </c>
      <c r="F111" t="inlineStr">
        <is>
          <t>2026-04-11</t>
        </is>
      </c>
      <c r="G111" t="inlineStr">
        <is>
          <t xml:space="preserve"> - Surfer Suite</t>
        </is>
      </c>
      <c r="H111">
        <f>HYPERLINK("https://booking.roadsurfer.com/es/rally/pick?pickup_date=2026-04-04&amp;return_date=2026-04-11&amp;currency=EUR&amp;startStation=10&amp;endStation=13",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Road House</t>
        </is>
      </c>
      <c r="H112">
        <f>HYPERLINK("https://booking.roadsurfer.com/es/rally/pick?pickup_date=2026-04-13&amp;return_date=2026-04-20&amp;currency=EUR&amp;startStation=10&amp;endStation=28",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Italia</t>
        </is>
      </c>
      <c r="D113" t="inlineStr">
        <is>
          <t>Bolonia</t>
        </is>
      </c>
      <c r="E113" t="inlineStr">
        <is>
          <t>2026-03-24</t>
        </is>
      </c>
      <c r="F113" t="inlineStr">
        <is>
          <t>2026-03-31</t>
        </is>
      </c>
      <c r="G113" t="inlineStr">
        <is>
          <t xml:space="preserve"> - Couple Cottage</t>
        </is>
      </c>
      <c r="H113">
        <f>HYPERLINK("https://booking.roadsurfer.com/es/rally/pick?pickup_date=2026-03-24&amp;return_date=2026-03-31&amp;currency=EUR&amp;startStation=10&amp;endStation=57",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2026-03-26</t>
        </is>
      </c>
      <c r="F114" t="inlineStr">
        <is>
          <t>2026-04-02</t>
        </is>
      </c>
      <c r="G114" t="inlineStr">
        <is>
          <t xml:space="preserve"> - Road House</t>
        </is>
      </c>
      <c r="H114">
        <f>HYPERLINK("https://booking.roadsurfer.com/es/rally/pick?pickup_date=2026-03-26&amp;return_date=2026-04-02&amp;currency=EUR&amp;startStation=56&amp;endStation=37",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2026-04-21</t>
        </is>
      </c>
      <c r="F115" t="inlineStr">
        <is>
          <t>2026-04-28</t>
        </is>
      </c>
      <c r="G115" t="inlineStr">
        <is>
          <t xml:space="preserve"> - Road House</t>
        </is>
      </c>
      <c r="H115">
        <f>HYPERLINK("https://booking.roadsurfer.com/es/rally/pick?pickup_date=2026-04-21&amp;return_date=2026-04-28&amp;currency=EUR&amp;startStation=56&amp;endStation=37",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Family Finca</t>
        </is>
      </c>
      <c r="H116">
        <f>HYPERLINK("https://booking.roadsurfer.com/es/rally/pick?pickup_date=2026-04-20&amp;return_date=2026-04-27&amp;currency=EUR&amp;startStation=56&amp;endStation=77",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Road House</t>
        </is>
      </c>
      <c r="H117">
        <f>HYPERLINK("https://booking.roadsurfer.com/es/rally/pick?pickup_date=2026-04-23&amp;return_date=2026-04-30&amp;currency=EUR&amp;startStation=56&amp;endStation=59",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2026-04-21</t>
        </is>
      </c>
      <c r="F118" t="inlineStr">
        <is>
          <t>2026-04-28</t>
        </is>
      </c>
      <c r="G118" t="inlineStr">
        <is>
          <t xml:space="preserve"> - Road House</t>
        </is>
      </c>
      <c r="H118">
        <f>HYPERLINK("https://booking.roadsurfer.com/es/rally/pick?pickup_date=2026-04-21&amp;return_date=2026-04-28&amp;currency=EUR&amp;startStation=56&amp;endStation=59",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Road House</t>
        </is>
      </c>
      <c r="H119">
        <f>HYPERLINK("https://booking.roadsurfer.com/es/rally/pick?pickup_date=2026-04-09&amp;return_date=2026-04-16&amp;currency=EUR&amp;startStation=56&amp;endStation=33",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Surfer Suite</t>
        </is>
      </c>
      <c r="H120">
        <f>HYPERLINK("https://booking.roadsurfer.com/es/rally/pick?pickup_date=2026-04-27&amp;return_date=2026-05-04&amp;currency=EUR&amp;startStation=56&amp;endStation=33",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Lille</t>
        </is>
      </c>
      <c r="E121" t="inlineStr">
        <is>
          <t>2026-04-25</t>
        </is>
      </c>
      <c r="F121" t="inlineStr">
        <is>
          <t>2026-05-02</t>
        </is>
      </c>
      <c r="G121" t="inlineStr">
        <is>
          <t xml:space="preserve"> - Surfer Suite</t>
        </is>
      </c>
      <c r="H121">
        <f>HYPERLINK("https://booking.roadsurfer.com/es/rally/pick?pickup_date=2026-04-25&amp;return_date=2026-05-02&amp;currency=EUR&amp;startStation=56&amp;endStation=87",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2026-04-30</t>
        </is>
      </c>
      <c r="F122" t="inlineStr">
        <is>
          <t>2026-05-07</t>
        </is>
      </c>
      <c r="G122" t="inlineStr">
        <is>
          <t xml:space="preserve"> - Camper Castle</t>
        </is>
      </c>
      <c r="H122">
        <f>HYPERLINK("https://booking.roadsurfer.com/es/rally/pick?pickup_date=2026-04-30&amp;return_date=2026-05-07&amp;currency=EUR&amp;startStation=56&amp;endStation=31",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Países Bajos</t>
        </is>
      </c>
      <c r="D123" t="inlineStr">
        <is>
          <t>Ámsterdam</t>
        </is>
      </c>
      <c r="E123" t="inlineStr">
        <is>
          <t>2026-03-28</t>
        </is>
      </c>
      <c r="F123" t="inlineStr">
        <is>
          <t>2026-04-04</t>
        </is>
      </c>
      <c r="G123" t="inlineStr">
        <is>
          <t xml:space="preserve"> - Camper Cabin Deluxe</t>
        </is>
      </c>
      <c r="H123">
        <f>HYPERLINK("https://booking.roadsurfer.com/es/rally/pick?pickup_date=2026-03-28&amp;return_date=2026-04-04&amp;currency=EUR&amp;startStation=56&amp;endStation=32",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Bélgica</t>
        </is>
      </c>
      <c r="D124" t="inlineStr">
        <is>
          <t>Amberes</t>
        </is>
      </c>
      <c r="E124" t="inlineStr">
        <is>
          <t>2026-04-16</t>
        </is>
      </c>
      <c r="F124" t="inlineStr">
        <is>
          <t>2026-04-23</t>
        </is>
      </c>
      <c r="G124" t="inlineStr">
        <is>
          <t xml:space="preserve"> - Beach Hostel</t>
        </is>
      </c>
      <c r="H124">
        <f>HYPERLINK("https://booking.roadsurfer.com/es/rally/pick?pickup_date=2026-04-16&amp;return_date=2026-04-23&amp;currency=EUR&amp;startStation=56&amp;endStation=47",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Italia</t>
        </is>
      </c>
      <c r="D125" t="inlineStr">
        <is>
          <t>Turín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HYPERLINK("https://booking.roadsurfer.com/es/rally/pick?pickup_date=2026-04-23&amp;return_date=2026-04-30&amp;currency=EUR&amp;startStation=56&amp;endStation=58",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2026-04-24</t>
        </is>
      </c>
      <c r="F126" t="inlineStr">
        <is>
          <t>2026-05-01</t>
        </is>
      </c>
      <c r="G126" t="inlineStr">
        <is>
          <t xml:space="preserve"> - No hay coche</t>
        </is>
      </c>
      <c r="H126">
        <f>HYPERLINK("https://booking.roadsurfer.com/es/rally/pick?pickup_date=2026-04-24&amp;return_date=2026-05-01&amp;currency=EUR&amp;startStation=56&amp;endStation=42",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2026-04-22</t>
        </is>
      </c>
      <c r="F127" t="inlineStr">
        <is>
          <t>2026-04-29</t>
        </is>
      </c>
      <c r="G127" t="inlineStr">
        <is>
          <t xml:space="preserve"> - Sunrise Suite</t>
        </is>
      </c>
      <c r="H127">
        <f>HYPERLINK("https://booking.roadsurfer.com/es/rally/pick?pickup_date=2026-04-22&amp;return_date=2026-04-29&amp;currency=EUR&amp;startStation=56&amp;endStation=78",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Surfer Suite</t>
        </is>
      </c>
      <c r="H128">
        <f>HYPERLINK("https://booking.roadsurfer.com/es/rally/pick?pickup_date=2026-04-23&amp;return_date=2026-04-30&amp;currency=EUR&amp;startStation=56&amp;endStation=48",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Países Bajos</t>
        </is>
      </c>
      <c r="D129" t="inlineStr">
        <is>
          <t>Róterdam</t>
        </is>
      </c>
      <c r="E129" t="inlineStr">
        <is>
          <t>2026-03-27</t>
        </is>
      </c>
      <c r="F129" t="inlineStr">
        <is>
          <t>2026-04-03</t>
        </is>
      </c>
      <c r="G129" t="inlineStr">
        <is>
          <t xml:space="preserve"> - No hay coche</t>
        </is>
      </c>
      <c r="H129">
        <f>HYPERLINK("https://booking.roadsurfer.com/es/rally/pick?pickup_date=2026-03-27&amp;return_date=2026-04-03&amp;currency=EUR&amp;startStation=113&amp;endStation=33",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Surfer Suite - Beach Hostel</t>
        </is>
      </c>
      <c r="H130">
        <f>HYPERLINK("https://booking.roadsurfer.com/es/rally/pick?pickup_date=2026-04-20&amp;return_date=2026-04-27&amp;currency=EUR&amp;startStation=113&amp;endStation=34",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2026-04-23</t>
        </is>
      </c>
      <c r="F131" t="inlineStr">
        <is>
          <t>2026-04-30</t>
        </is>
      </c>
      <c r="G131" t="inlineStr">
        <is>
          <t xml:space="preserve"> - No hay coche</t>
        </is>
      </c>
      <c r="H131">
        <f>HYPERLINK("https://booking.roadsurfer.com/es/rally/pick?pickup_date=2026-04-23&amp;return_date=2026-04-30&amp;currency=EUR&amp;startStation=113&amp;endStation=34",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2026-04-27</t>
        </is>
      </c>
      <c r="F132" t="inlineStr">
        <is>
          <t>2026-05-04</t>
        </is>
      </c>
      <c r="G132" t="inlineStr">
        <is>
          <t xml:space="preserve"> - Surfer Suite</t>
        </is>
      </c>
      <c r="H132">
        <f>HYPERLINK("https://booking.roadsurfer.com/es/rally/pick?pickup_date=2026-04-27&amp;return_date=2026-05-04&amp;currency=EUR&amp;startStation=113&amp;endStation=34",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Italia</t>
        </is>
      </c>
      <c r="D133" t="inlineStr">
        <is>
          <t>Bérgamo</t>
        </is>
      </c>
      <c r="E133" t="inlineStr">
        <is>
          <t>2026-04-20</t>
        </is>
      </c>
      <c r="F133" t="inlineStr">
        <is>
          <t>2026-04-27</t>
        </is>
      </c>
      <c r="G133" t="inlineStr">
        <is>
          <t xml:space="preserve"> - Surfer Suite</t>
        </is>
      </c>
      <c r="H133">
        <f>HYPERLINK("https://booking.roadsurfer.com/es/rally/pick?pickup_date=2026-04-20&amp;return_date=2026-04-27&amp;currency=EUR&amp;startStation=113&amp;endStation=94",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2026-04-23</t>
        </is>
      </c>
      <c r="F134" t="inlineStr">
        <is>
          <t>2026-04-30</t>
        </is>
      </c>
      <c r="G134" t="inlineStr">
        <is>
          <t xml:space="preserve"> - No hay coche</t>
        </is>
      </c>
      <c r="H134">
        <f>HYPERLINK("https://booking.roadsurfer.com/es/rally/pick?pickup_date=2026-04-23&amp;return_date=2026-04-30&amp;currency=EUR&amp;startStation=113&amp;endStation=94",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España</t>
        </is>
      </c>
      <c r="D135" t="inlineStr">
        <is>
          <t>Bilbao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Surfer Suite</t>
        </is>
      </c>
      <c r="H135">
        <f>HYPERLINK("https://booking.roadsurfer.com/es/rally/pick?pickup_date=2026-04-20&amp;return_date=2026-04-27&amp;currency=EUR&amp;startStation=113&amp;endStation=40", "Clic para verlo en la web de RoadSurfer")</f>
        <v/>
      </c>
    </row>
    <row r="136">
      <c r="A136" t="inlineStr">
        <is>
          <t>Reino Unido</t>
        </is>
      </c>
      <c r="B136" t="inlineStr">
        <is>
          <t>Edimburgo</t>
        </is>
      </c>
      <c r="C136" t="inlineStr">
        <is>
          <t>Reino Unido</t>
        </is>
      </c>
      <c r="D136" t="inlineStr">
        <is>
          <t>Londres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Road House</t>
        </is>
      </c>
      <c r="H136">
        <f>HYPERLINK("https://booking.roadsurfer.com/es/rally/pick?pickup_date=2026-04-20&amp;return_date=2026-04-27&amp;currency=EUR&amp;startStation=64&amp;endStation=63",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Surfer Suite</t>
        </is>
      </c>
      <c r="H137">
        <f>HYPERLINK("https://booking.roadsurfer.com/es/rally/pick?pickup_date=2026-04-13&amp;return_date=2026-04-20&amp;currency=EUR&amp;startStation=90&amp;endStation=47",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2026-03-25</t>
        </is>
      </c>
      <c r="F138" t="inlineStr">
        <is>
          <t>2026-04-01</t>
        </is>
      </c>
      <c r="G138" t="inlineStr">
        <is>
          <t xml:space="preserve"> - SURFER SUITE</t>
        </is>
      </c>
      <c r="H138">
        <f>HYPERLINK("https://booking.roadsurfer.com/es/rally/pick?pickup_date=2026-03-25&amp;return_date=2026-04-01&amp;currency=EUR&amp;startStation=90&amp;endStation=42",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Beach Hostel</t>
        </is>
      </c>
      <c r="H139">
        <f>HYPERLINK("https://booking.roadsurfer.com/es/rally/pick?pickup_date=2026-04-14&amp;return_date=2026-04-21&amp;currency=EUR&amp;startStation=90&amp;endStation=42",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Austria</t>
        </is>
      </c>
      <c r="D140" t="inlineStr">
        <is>
          <t>Linz</t>
        </is>
      </c>
      <c r="E140" t="inlineStr">
        <is>
          <t>2026-03-30</t>
        </is>
      </c>
      <c r="F140" t="inlineStr">
        <is>
          <t>2026-04-06</t>
        </is>
      </c>
      <c r="G140" t="inlineStr">
        <is>
          <t xml:space="preserve"> - No hay coche</t>
        </is>
      </c>
      <c r="H140">
        <f>HYPERLINK("https://booking.roadsurfer.com/es/rally/pick?pickup_date=2026-03-30&amp;return_date=2026-04-06&amp;currency=EUR&amp;startStation=90&amp;endStation=116",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Italia</t>
        </is>
      </c>
      <c r="D141" t="inlineStr">
        <is>
          <t>Milán</t>
        </is>
      </c>
      <c r="E141" t="inlineStr">
        <is>
          <t>2026-03-26</t>
        </is>
      </c>
      <c r="F141" t="inlineStr">
        <is>
          <t>2026-04-02</t>
        </is>
      </c>
      <c r="G141" t="inlineStr">
        <is>
          <t xml:space="preserve"> - No hay coche</t>
        </is>
      </c>
      <c r="H141">
        <f>HYPERLINK("https://booking.roadsurfer.com/es/rally/pick?pickup_date=2026-03-26&amp;return_date=2026-04-02&amp;currency=EUR&amp;startStation=90&amp;endStation=34",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2026-04-21</t>
        </is>
      </c>
      <c r="F142" t="inlineStr">
        <is>
          <t>2026-04-28</t>
        </is>
      </c>
      <c r="G142" t="inlineStr">
        <is>
          <t xml:space="preserve"> - Sunrise Suite</t>
        </is>
      </c>
      <c r="H142">
        <f>HYPERLINK("https://booking.roadsurfer.com/es/rally/pick?pickup_date=2026-04-21&amp;return_date=2026-04-28&amp;currency=EUR&amp;startStation=90&amp;endStation=59",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Road House</t>
        </is>
      </c>
      <c r="H143">
        <f>HYPERLINK("https://booking.roadsurfer.com/es/rally/pick?pickup_date=2026-04-14&amp;return_date=2026-04-21&amp;currency=EUR&amp;startStation=90&amp;endStation=77",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Estrasburgo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Beach Hostel</t>
        </is>
      </c>
      <c r="H144">
        <f>HYPERLINK("https://booking.roadsurfer.com/es/rally/pick?pickup_date=2026-05-08&amp;return_date=2026-05-15&amp;currency=EUR&amp;startStation=90&amp;endStation=49",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Estrasburgo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Beach Hostel</t>
        </is>
      </c>
      <c r="H145">
        <f>HYPERLINK("https://booking.roadsurfer.com/es/rally/pick?pickup_date=2026-04-13&amp;return_date=2026-04-20&amp;currency=EUR&amp;startStation=90&amp;endStation=49",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2026-05-05</t>
        </is>
      </c>
      <c r="F146" t="inlineStr">
        <is>
          <t>2026-05-12</t>
        </is>
      </c>
      <c r="G146" t="inlineStr">
        <is>
          <t xml:space="preserve"> - Travel Home</t>
        </is>
      </c>
      <c r="H146">
        <f>HYPERLINK("https://booking.roadsurfer.com/es/rally/pick?pickup_date=2026-05-05&amp;return_date=2026-05-12&amp;currency=EUR&amp;startStation=90&amp;endStation=13",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Beach Hostel</t>
        </is>
      </c>
      <c r="H147">
        <f>HYPERLINK("https://booking.roadsurfer.com/es/rally/pick?pickup_date=2026-04-13&amp;return_date=2026-04-20&amp;currency=EUR&amp;startStation=90&amp;endStation=15", "Clic para verlo en la web de RoadSurfer")</f>
        <v/>
      </c>
    </row>
    <row r="148">
      <c r="A148" t="inlineStr">
        <is>
          <t>Italia</t>
        </is>
      </c>
      <c r="B148" t="inlineStr">
        <is>
          <t>Florencia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2026-03-26</t>
        </is>
      </c>
      <c r="F148" t="inlineStr">
        <is>
          <t>2026-04-02</t>
        </is>
      </c>
      <c r="G148" t="inlineStr">
        <is>
          <t xml:space="preserve"> - Surfer Suite</t>
        </is>
      </c>
      <c r="H148">
        <f>HYPERLINK("https://booking.roadsurfer.com/es/rally/pick?pickup_date=2026-03-26&amp;return_date=2026-04-02&amp;currency=EUR&amp;startStation=80&amp;endStation=24",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2026-04-24</t>
        </is>
      </c>
      <c r="F149" t="inlineStr">
        <is>
          <t>2026-05-01</t>
        </is>
      </c>
      <c r="G149" t="inlineStr">
        <is>
          <t xml:space="preserve"> - No hay coche</t>
        </is>
      </c>
      <c r="H149">
        <f>HYPERLINK("https://booking.roadsurfer.com/es/rally/pick?pickup_date=2026-04-24&amp;return_date=2026-05-01&amp;currency=EUR&amp;startStation=2&amp;endStation=78",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2026-04-14</t>
        </is>
      </c>
      <c r="F150" t="inlineStr">
        <is>
          <t>2026-04-21</t>
        </is>
      </c>
      <c r="G150" t="inlineStr">
        <is>
          <t xml:space="preserve"> - Surfer Suite</t>
        </is>
      </c>
      <c r="H150">
        <f>HYPERLINK("https://booking.roadsurfer.com/es/rally/pick?pickup_date=2026-04-14&amp;return_date=2026-04-21&amp;currency=EUR&amp;startStation=2&amp;endStation=48",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2026-04-11</t>
        </is>
      </c>
      <c r="F151" t="inlineStr">
        <is>
          <t>2026-04-18</t>
        </is>
      </c>
      <c r="G151" t="inlineStr">
        <is>
          <t xml:space="preserve"> - Sunrise Suite</t>
        </is>
      </c>
      <c r="H151">
        <f>HYPERLINK("https://booking.roadsurfer.com/es/rally/pick?pickup_date=2026-04-11&amp;return_date=2026-04-18&amp;currency=EUR&amp;startStation=2&amp;endStation=29",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Sunrise Suite</t>
        </is>
      </c>
      <c r="H152">
        <f>HYPERLINK("https://booking.roadsurfer.com/es/rally/pick?pickup_date=2026-04-13&amp;return_date=2026-04-20&amp;currency=EUR&amp;startStation=2&amp;endStation=29",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Surfer Suite</t>
        </is>
      </c>
      <c r="H153">
        <f>HYPERLINK("https://booking.roadsurfer.com/es/rally/pick?pickup_date=2026-04-20&amp;return_date=2026-04-27&amp;currency=EUR&amp;startStation=2&amp;endStation=29",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Milán</t>
        </is>
      </c>
      <c r="E154" t="inlineStr">
        <is>
          <t>2026-04-10</t>
        </is>
      </c>
      <c r="F154" t="inlineStr">
        <is>
          <t>2026-04-17</t>
        </is>
      </c>
      <c r="G154" t="inlineStr">
        <is>
          <t xml:space="preserve"> - Surfer Suite</t>
        </is>
      </c>
      <c r="H154">
        <f>HYPERLINK("https://booking.roadsurfer.com/es/rally/pick?pickup_date=2026-04-10&amp;return_date=2026-04-17&amp;currency=EUR&amp;startStation=2&amp;endStation=34",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2026-03-27</t>
        </is>
      </c>
      <c r="F155" t="inlineStr">
        <is>
          <t>2026-04-03</t>
        </is>
      </c>
      <c r="G155" t="inlineStr">
        <is>
          <t xml:space="preserve"> - Surfer Suite</t>
        </is>
      </c>
      <c r="H155">
        <f>HYPERLINK("https://booking.roadsurfer.com/es/rally/pick?pickup_date=2026-03-27&amp;return_date=2026-04-03&amp;currency=EUR&amp;startStation=2&amp;endStation=13",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Italia</t>
        </is>
      </c>
      <c r="D156" t="inlineStr">
        <is>
          <t>Bérgamo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Surfer Suite</t>
        </is>
      </c>
      <c r="H156">
        <f>HYPERLINK("https://booking.roadsurfer.com/es/rally/pick?pickup_date=2026-04-20&amp;return_date=2026-04-27&amp;currency=EUR&amp;startStation=2&amp;endStation=94",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CAMPER CASTLE</t>
        </is>
      </c>
      <c r="H157">
        <f>HYPERLINK("https://booking.roadsurfer.com/es/rally/pick?pickup_date=2026-04-27&amp;return_date=2026-05-04&amp;currency=EUR&amp;startStation=2&amp;endStation=40",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2026-03-25</t>
        </is>
      </c>
      <c r="F158" t="inlineStr">
        <is>
          <t>2026-04-01</t>
        </is>
      </c>
      <c r="G158" t="inlineStr">
        <is>
          <t xml:space="preserve"> - Road House</t>
        </is>
      </c>
      <c r="H158">
        <f>HYPERLINK("https://booking.roadsurfer.com/es/rally/pick?pickup_date=2026-03-25&amp;return_date=2026-04-01&amp;currency=EUR&amp;startStation=2&amp;endStation=40",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Couple Cottage</t>
        </is>
      </c>
      <c r="H159">
        <f>HYPERLINK("https://booking.roadsurfer.com/es/rally/pick?pickup_date=2026-04-23&amp;return_date=2026-04-30&amp;currency=EUR&amp;startStation=2&amp;endStation=40",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Surfer Suite</t>
        </is>
      </c>
      <c r="H160">
        <f>HYPERLINK("https://booking.roadsurfer.com/es/rally/pick?pickup_date=2026-05-06&amp;return_date=2026-05-13&amp;currency=EUR&amp;startStation=2&amp;endStation=40",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Barcelona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Couple Cottage</t>
        </is>
      </c>
      <c r="H161">
        <f>HYPERLINK("https://booking.roadsurfer.com/es/rally/pick?pickup_date=2026-04-20&amp;return_date=2026-04-27&amp;currency=EUR&amp;startStation=2&amp;endStation=17",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2026-04-05</t>
        </is>
      </c>
      <c r="F162" t="inlineStr">
        <is>
          <t>2026-04-12</t>
        </is>
      </c>
      <c r="G162" t="inlineStr">
        <is>
          <t xml:space="preserve"> - No hay coche</t>
        </is>
      </c>
      <c r="H162">
        <f>HYPERLINK("https://booking.roadsurfer.com/es/rally/pick?pickup_date=2026-04-05&amp;return_date=2026-04-12&amp;currency=EUR&amp;startStation=2&amp;endStation=17",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BEACH HOSTEL</t>
        </is>
      </c>
      <c r="H163">
        <f>HYPERLINK("https://booking.roadsurfer.com/es/rally/pick?pickup_date=2026-04-15&amp;return_date=2026-04-22&amp;currency=EUR&amp;startStation=2&amp;endStation=15",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No hay coche</t>
        </is>
      </c>
      <c r="H164">
        <f>HYPERLINK("https://booking.roadsurfer.com/es/rally/pick?pickup_date=2026-04-13&amp;return_date=2026-04-20&amp;currency=EUR&amp;startStation=2&amp;endStation=33",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2026-04-07</t>
        </is>
      </c>
      <c r="F165" t="inlineStr">
        <is>
          <t>2026-04-14</t>
        </is>
      </c>
      <c r="G165" t="inlineStr">
        <is>
          <t xml:space="preserve"> - Camper Cabin</t>
        </is>
      </c>
      <c r="H165">
        <f>HYPERLINK("https://booking.roadsurfer.com/es/rally/pick?pickup_date=2026-04-07&amp;return_date=2026-04-14&amp;currency=EUR&amp;startStation=2&amp;endStation=33",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Madrid</t>
        </is>
      </c>
      <c r="E166" t="inlineStr">
        <is>
          <t>2026-04-08</t>
        </is>
      </c>
      <c r="F166" t="inlineStr">
        <is>
          <t>2026-04-15</t>
        </is>
      </c>
      <c r="G166" t="inlineStr">
        <is>
          <t xml:space="preserve"> - Camper Castle</t>
        </is>
      </c>
      <c r="H166">
        <f>HYPERLINK("https://booking.roadsurfer.com/es/rally/pick?pickup_date=2026-04-08&amp;return_date=2026-04-15&amp;currency=EUR&amp;startStation=2&amp;endStation=20",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España</t>
        </is>
      </c>
      <c r="D167" t="inlineStr">
        <is>
          <t>Madrid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Road House</t>
        </is>
      </c>
      <c r="H167">
        <f>HYPERLINK("https://booking.roadsurfer.com/es/rally/pick?pickup_date=2026-03-24&amp;return_date=2026-03-31&amp;currency=EUR&amp;startStation=2&amp;endStation=20",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Estrasburgo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No hay coche</t>
        </is>
      </c>
      <c r="H168">
        <f>HYPERLINK("https://booking.roadsurfer.com/es/rally/pick?pickup_date=2026-04-13&amp;return_date=2026-04-20&amp;currency=EUR&amp;startStation=2&amp;endStation=49",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No hay coche</t>
        </is>
      </c>
      <c r="H169">
        <f>HYPERLINK("https://booking.roadsurfer.com/es/rally/pick?pickup_date=2026-04-20&amp;return_date=2026-04-27&amp;currency=EUR&amp;startStation=2&amp;endStation=128",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Málaga</t>
        </is>
      </c>
      <c r="E170" t="inlineStr">
        <is>
          <t>2026-04-28</t>
        </is>
      </c>
      <c r="F170" t="inlineStr">
        <is>
          <t>2026-05-05</t>
        </is>
      </c>
      <c r="G170" t="inlineStr">
        <is>
          <t xml:space="preserve"> - No hay coche</t>
        </is>
      </c>
      <c r="H170">
        <f>HYPERLINK("https://booking.roadsurfer.com/es/rally/pick?pickup_date=2026-04-28&amp;return_date=2026-05-05&amp;currency=EUR&amp;startStation=2&amp;endStation=21",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Toulouse</t>
        </is>
      </c>
      <c r="E171" t="inlineStr">
        <is>
          <t>2026-03-31</t>
        </is>
      </c>
      <c r="F171" t="inlineStr">
        <is>
          <t>2026-04-07</t>
        </is>
      </c>
      <c r="G171" t="inlineStr">
        <is>
          <t xml:space="preserve"> - Family Finca</t>
        </is>
      </c>
      <c r="H171">
        <f>HYPERLINK("https://booking.roadsurfer.com/es/rally/pick?pickup_date=2026-03-31&amp;return_date=2026-04-07&amp;currency=EUR&amp;startStation=2&amp;endStation=30",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No hay coche</t>
        </is>
      </c>
      <c r="H172">
        <f>HYPERLINK("https://booking.roadsurfer.com/es/rally/pick?pickup_date=2026-04-20&amp;return_date=2026-04-27&amp;currency=EUR&amp;startStation=2&amp;endStation=32",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Alemania</t>
        </is>
      </c>
      <c r="D173" t="inlineStr">
        <is>
          <t>Constanza (Aach)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Couple Cottage</t>
        </is>
      </c>
      <c r="H173">
        <f>HYPERLINK("https://booking.roadsurfer.com/es/rally/pick?pickup_date=2026-04-02&amp;return_date=2026-04-09&amp;currency=EUR&amp;startStation=2&amp;endStation=10",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Italia</t>
        </is>
      </c>
      <c r="D174" t="inlineStr">
        <is>
          <t>Turín</t>
        </is>
      </c>
      <c r="E174" t="inlineStr">
        <is>
          <t>2026-04-15</t>
        </is>
      </c>
      <c r="F174" t="inlineStr">
        <is>
          <t>2026-04-22</t>
        </is>
      </c>
      <c r="G174" t="inlineStr">
        <is>
          <t xml:space="preserve"> - Cozy Cottage</t>
        </is>
      </c>
      <c r="H174">
        <f>HYPERLINK("https://booking.roadsurfer.com/es/rally/pick?pickup_date=2026-04-15&amp;return_date=2026-04-22&amp;currency=EUR&amp;startStation=2&amp;endStation=58",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Austria</t>
        </is>
      </c>
      <c r="D175" t="inlineStr">
        <is>
          <t>Viena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Cozy Cottage</t>
        </is>
      </c>
      <c r="H175">
        <f>HYPERLINK("https://booking.roadsurfer.com/es/rally/pick?pickup_date=2026-04-20&amp;return_date=2026-04-27&amp;currency=EUR&amp;startStation=2&amp;endStation=36",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Surfer Suite</t>
        </is>
      </c>
      <c r="H176">
        <f>HYPERLINK("https://booking.roadsurfer.com/es/rally/pick?pickup_date=2026-04-13&amp;return_date=2026-04-20&amp;currency=EUR&amp;startStation=9&amp;endStation=29",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2026-04-28</t>
        </is>
      </c>
      <c r="F177" t="inlineStr">
        <is>
          <t>2026-05-05</t>
        </is>
      </c>
      <c r="G177" t="inlineStr">
        <is>
          <t xml:space="preserve"> - Surfer Suite</t>
        </is>
      </c>
      <c r="H177">
        <f>HYPERLINK("https://booking.roadsurfer.com/es/rally/pick?pickup_date=2026-04-28&amp;return_date=2026-05-05&amp;currency=EUR&amp;startStation=9&amp;endStation=15",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No hay coche</t>
        </is>
      </c>
      <c r="H178">
        <f>HYPERLINK("https://booking.roadsurfer.com/es/rally/pick?pickup_date=2026-04-20&amp;return_date=2026-04-27&amp;currency=EUR&amp;startStation=9&amp;endStation=15",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2026-04-01</t>
        </is>
      </c>
      <c r="F179" t="inlineStr">
        <is>
          <t>2026-04-08</t>
        </is>
      </c>
      <c r="G179" t="inlineStr">
        <is>
          <t xml:space="preserve"> - Surfer Suite</t>
        </is>
      </c>
      <c r="H179">
        <f>HYPERLINK("https://booking.roadsurfer.com/es/rally/pick?pickup_date=2026-04-01&amp;return_date=2026-04-08&amp;currency=EUR&amp;startStation=9&amp;endStation=13",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Surfer Suite</t>
        </is>
      </c>
      <c r="H180">
        <f>HYPERLINK("https://booking.roadsurfer.com/es/rally/pick?pickup_date=2026-04-20&amp;return_date=2026-04-27&amp;currency=EUR&amp;startStation=9&amp;endStation=17",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Alemania</t>
        </is>
      </c>
      <c r="D181" t="inlineStr">
        <is>
          <t>Múnich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Camper Cabin</t>
        </is>
      </c>
      <c r="H181">
        <f>HYPERLINK("https://booking.roadsurfer.com/es/rally/pick?pickup_date=2026-04-13&amp;return_date=2026-04-20&amp;currency=EUR&amp;startStation=9&amp;endStation=1",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Alemania</t>
        </is>
      </c>
      <c r="D182" t="inlineStr">
        <is>
          <t>Múnich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Camper Cabin</t>
        </is>
      </c>
      <c r="H182">
        <f>HYPERLINK("https://booking.roadsurfer.com/es/rally/pick?pickup_date=2026-04-16&amp;return_date=2026-04-23&amp;currency=EUR&amp;startStation=9&amp;endStation=1",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Camper Cabin</t>
        </is>
      </c>
      <c r="H183">
        <f>HYPERLINK("https://booking.roadsurfer.com/es/rally/pick?pickup_date=2026-04-13&amp;return_date=2026-04-20&amp;currency=EUR&amp;startStation=9&amp;endStation=40",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2026-05-07</t>
        </is>
      </c>
      <c r="F184" t="inlineStr">
        <is>
          <t>2026-05-14</t>
        </is>
      </c>
      <c r="G184" t="inlineStr">
        <is>
          <t xml:space="preserve"> - No hay coche</t>
        </is>
      </c>
      <c r="H184">
        <f>HYPERLINK("https://booking.roadsurfer.com/es/rally/pick?pickup_date=2026-05-07&amp;return_date=2026-05-14&amp;currency=EUR&amp;startStation=9&amp;endStation=16",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Road House</t>
        </is>
      </c>
      <c r="H185">
        <f>HYPERLINK("https://booking.roadsurfer.com/es/rally/pick?pickup_date=2026-05-04&amp;return_date=2026-05-11&amp;currency=EUR&amp;startStation=29&amp;endStation=56",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Fráncfort</t>
        </is>
      </c>
      <c r="E186" t="inlineStr">
        <is>
          <t>2026-03-24</t>
        </is>
      </c>
      <c r="F186" t="inlineStr">
        <is>
          <t>2026-03-31</t>
        </is>
      </c>
      <c r="G186" t="inlineStr">
        <is>
          <t xml:space="preserve"> - Family Finca</t>
        </is>
      </c>
      <c r="H186">
        <f>HYPERLINK("https://booking.roadsurfer.com/es/rally/pick?pickup_date=2026-03-24&amp;return_date=2026-03-31&amp;currency=EUR&amp;startStation=29&amp;endStation=2",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Hamburgo Aeropuerto</t>
        </is>
      </c>
      <c r="E187" t="inlineStr">
        <is>
          <t>2026-04-23</t>
        </is>
      </c>
      <c r="F187" t="inlineStr">
        <is>
          <t>2026-04-30</t>
        </is>
      </c>
      <c r="G187" t="inlineStr">
        <is>
          <t xml:space="preserve"> - Surfer Suite</t>
        </is>
      </c>
      <c r="H187">
        <f>HYPERLINK("https://booking.roadsurfer.com/es/rally/pick?pickup_date=2026-04-23&amp;return_date=2026-04-30&amp;currency=EUR&amp;startStation=77&amp;endStation=65",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Berlín-Schönefeld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Road House</t>
        </is>
      </c>
      <c r="H188">
        <f>HYPERLINK("https://booking.roadsurfer.com/es/rally/pick?pickup_date=2026-04-14&amp;return_date=2026-04-21&amp;currency=EUR&amp;startStation=77&amp;endStation=51",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HYPERLINK("https://booking.roadsurfer.com/es/rally/pick?pickup_date=2026-04-14&amp;return_date=2026-04-21&amp;currency=EUR&amp;startStation=77&amp;endStation=90",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2026-04-22</t>
        </is>
      </c>
      <c r="F190" t="inlineStr">
        <is>
          <t>2026-04-29</t>
        </is>
      </c>
      <c r="G190" t="inlineStr">
        <is>
          <t xml:space="preserve"> - Family Finca</t>
        </is>
      </c>
      <c r="H190">
        <f>HYPERLINK("https://booking.roadsurfer.com/es/rally/pick?pickup_date=2026-04-22&amp;return_date=2026-04-29&amp;currency=EUR&amp;startStation=77&amp;endStation=90",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Karlsruhe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Camper Castle</t>
        </is>
      </c>
      <c r="H191">
        <f>HYPERLINK("https://booking.roadsurfer.com/es/rally/pick?pickup_date=2026-04-15&amp;return_date=2026-04-22&amp;currency=EUR&amp;startStation=77&amp;endStation=110",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Maguncia</t>
        </is>
      </c>
      <c r="E192" t="inlineStr">
        <is>
          <t>2026-04-14</t>
        </is>
      </c>
      <c r="F192" t="inlineStr">
        <is>
          <t>2026-04-21</t>
        </is>
      </c>
      <c r="G192" t="inlineStr">
        <is>
          <t xml:space="preserve"> - Camper Castle</t>
        </is>
      </c>
      <c r="H192">
        <f>HYPERLINK("https://booking.roadsurfer.com/es/rally/pick?pickup_date=2026-04-14&amp;return_date=2026-04-21&amp;currency=EUR&amp;startStation=77&amp;endStation=54",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2026-04-24</t>
        </is>
      </c>
      <c r="F193" t="inlineStr">
        <is>
          <t>2026-05-01</t>
        </is>
      </c>
      <c r="G193" t="inlineStr">
        <is>
          <t xml:space="preserve"> - No hay coche</t>
        </is>
      </c>
      <c r="H193">
        <f>HYPERLINK("https://booking.roadsurfer.com/es/rally/pick?pickup_date=2026-04-24&amp;return_date=2026-05-01&amp;currency=EUR&amp;startStation=77&amp;endStation=6",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2026-04-08</t>
        </is>
      </c>
      <c r="F194" t="inlineStr">
        <is>
          <t>2026-04-15</t>
        </is>
      </c>
      <c r="G194" t="inlineStr">
        <is>
          <t xml:space="preserve"> - Camper Castle</t>
        </is>
      </c>
      <c r="H194">
        <f>HYPERLINK("https://booking.roadsurfer.com/es/rally/pick?pickup_date=2026-04-08&amp;return_date=2026-04-15&amp;currency=EUR&amp;startStation=77&amp;endStation=6",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2026-03-24</t>
        </is>
      </c>
      <c r="F195" t="inlineStr">
        <is>
          <t>2026-03-31</t>
        </is>
      </c>
      <c r="G195" t="inlineStr">
        <is>
          <t xml:space="preserve"> - Surfer Suite</t>
        </is>
      </c>
      <c r="H195">
        <f>HYPERLINK("https://booking.roadsurfer.com/es/rally/pick?pickup_date=2026-03-24&amp;return_date=2026-03-31&amp;currency=EUR&amp;startStation=77&amp;endStation=22",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2026-03-26</t>
        </is>
      </c>
      <c r="F196" t="inlineStr">
        <is>
          <t>2026-04-02</t>
        </is>
      </c>
      <c r="G196" t="inlineStr">
        <is>
          <t xml:space="preserve"> - Couple Cottage</t>
        </is>
      </c>
      <c r="H196">
        <f>HYPERLINK("https://booking.roadsurfer.com/es/rally/pick?pickup_date=2026-03-26&amp;return_date=2026-04-02&amp;currency=EUR&amp;startStation=77&amp;endStation=22",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2026-03-25</t>
        </is>
      </c>
      <c r="F197" t="inlineStr">
        <is>
          <t>2026-04-01</t>
        </is>
      </c>
      <c r="G197" t="inlineStr">
        <is>
          <t xml:space="preserve"> - Surfer Suite - Family Finca</t>
        </is>
      </c>
      <c r="H197">
        <f>HYPERLINK("https://booking.roadsurfer.com/es/rally/pick?pickup_date=2026-03-25&amp;return_date=2026-04-01&amp;currency=EUR&amp;startStation=77&amp;endStation=91",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2026-04-07</t>
        </is>
      </c>
      <c r="F198" t="inlineStr">
        <is>
          <t>2026-04-14</t>
        </is>
      </c>
      <c r="G198" t="inlineStr">
        <is>
          <t xml:space="preserve"> - Camper Castle</t>
        </is>
      </c>
      <c r="H198">
        <f>HYPERLINK("https://booking.roadsurfer.com/es/rally/pick?pickup_date=2026-04-07&amp;return_date=2026-04-14&amp;currency=EUR&amp;startStation=77&amp;endStation=91",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Sunrise Suite</t>
        </is>
      </c>
      <c r="H199">
        <f>HYPERLINK("https://booking.roadsurfer.com/es/rally/pick?pickup_date=2026-04-14&amp;return_date=2026-04-21&amp;currency=EUR&amp;startStation=77&amp;endStation=91",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Road House</t>
        </is>
      </c>
      <c r="H200">
        <f>HYPERLINK("https://booking.roadsurfer.com/es/rally/pick?pickup_date=2026-04-14&amp;return_date=2026-04-21&amp;currency=EUR&amp;startStation=37&amp;endStation=56",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Dresde</t>
        </is>
      </c>
      <c r="E201" t="inlineStr">
        <is>
          <t>2026-04-15</t>
        </is>
      </c>
      <c r="F201" t="inlineStr">
        <is>
          <t>2026-04-22</t>
        </is>
      </c>
      <c r="G201" t="inlineStr">
        <is>
          <t xml:space="preserve"> - Family Finca</t>
        </is>
      </c>
      <c r="H201">
        <f>HYPERLINK("https://booking.roadsurfer.com/es/rally/pick?pickup_date=2026-04-15&amp;return_date=2026-04-22&amp;currency=EUR&amp;startStation=37&amp;endStation=56",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Ratisbona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SURFER SUITE</t>
        </is>
      </c>
      <c r="H202">
        <f>HYPERLINK("https://booking.roadsurfer.com/es/rally/pick?pickup_date=2026-04-27&amp;return_date=2026-05-04&amp;currency=EUR&amp;startStation=37&amp;endStation=89", "Clic para verlo en la web de RoadSurfer")</f>
        <v/>
      </c>
    </row>
    <row r="203">
      <c r="A203" t="inlineStr">
        <is>
          <t>Austria</t>
        </is>
      </c>
      <c r="B203" t="inlineStr">
        <is>
          <t>Graz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2026-04-22</t>
        </is>
      </c>
      <c r="F203" t="inlineStr">
        <is>
          <t>2026-04-29</t>
        </is>
      </c>
      <c r="G203" t="inlineStr">
        <is>
          <t xml:space="preserve"> - Camper Cabin</t>
        </is>
      </c>
      <c r="H203">
        <f>HYPERLINK("https://booking.roadsurfer.com/es/rally/pick?pickup_date=2026-04-22&amp;return_date=2026-04-29&amp;currency=EUR&amp;startStation=37&amp;endStation=8", "Clic para verlo en la web de RoadSurfer")</f>
        <v/>
      </c>
    </row>
    <row r="204">
      <c r="A204" t="inlineStr">
        <is>
          <t>Austria</t>
        </is>
      </c>
      <c r="B204" t="inlineStr">
        <is>
          <t>Graz</t>
        </is>
      </c>
      <c r="C204" t="inlineStr">
        <is>
          <t>Austria</t>
        </is>
      </c>
      <c r="D204" t="inlineStr">
        <is>
          <t>Salzburgo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Camper Cabin</t>
        </is>
      </c>
      <c r="H204">
        <f>HYPERLINK("https://booking.roadsurfer.com/es/rally/pick?pickup_date=2026-04-27&amp;return_date=2026-05-04&amp;currency=EUR&amp;startStation=37&amp;endStation=85",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Alemania</t>
        </is>
      </c>
      <c r="D205" t="inlineStr">
        <is>
          <t>Flensburgo</t>
        </is>
      </c>
      <c r="E205" t="inlineStr">
        <is>
          <t>2026-04-17</t>
        </is>
      </c>
      <c r="F205" t="inlineStr">
        <is>
          <t>2026-04-24</t>
        </is>
      </c>
      <c r="G205" t="inlineStr">
        <is>
          <t xml:space="preserve"> - No hay coche</t>
        </is>
      </c>
      <c r="H205">
        <f>HYPERLINK("https://booking.roadsurfer.com/es/rally/pick?pickup_date=2026-04-17&amp;return_date=2026-04-24&amp;currency=EUR&amp;startStation=3&amp;endStation=130", "Clic para verlo en la web de RoadSurfer")</f>
        <v/>
      </c>
    </row>
    <row r="206">
      <c r="A206" t="inlineStr">
        <is>
          <t>Alemania</t>
        </is>
      </c>
      <c r="B206" t="inlineStr">
        <is>
          <t>Hamburgo</t>
        </is>
      </c>
      <c r="C206" t="inlineStr">
        <is>
          <t>Alemania</t>
        </is>
      </c>
      <c r="D206" t="inlineStr">
        <is>
          <t>Flensburgo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No hay coche</t>
        </is>
      </c>
      <c r="H206">
        <f>HYPERLINK("https://booking.roadsurfer.com/es/rally/pick?pickup_date=2026-04-16&amp;return_date=2026-04-23&amp;currency=EUR&amp;startStation=3&amp;endStation=130", "Clic para verlo en la web de RoadSurfer")</f>
        <v/>
      </c>
    </row>
    <row r="207">
      <c r="A207" t="inlineStr">
        <is>
          <t>Alemania</t>
        </is>
      </c>
      <c r="B207" t="inlineStr">
        <is>
          <t>Hamburgo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2026-05-01</t>
        </is>
      </c>
      <c r="F207" t="inlineStr">
        <is>
          <t>2026-05-08</t>
        </is>
      </c>
      <c r="G207" t="inlineStr">
        <is>
          <t xml:space="preserve"> - No hay coche</t>
        </is>
      </c>
      <c r="H207">
        <f>HYPERLINK("https://booking.roadsurfer.com/es/rally/pick?pickup_date=2026-05-01&amp;return_date=2026-05-08&amp;currency=EUR&amp;startStation=3&amp;endStation=77", "Clic para verlo en la web de RoadSurfer")</f>
        <v/>
      </c>
    </row>
    <row r="208">
      <c r="A208" t="inlineStr">
        <is>
          <t>Alemania</t>
        </is>
      </c>
      <c r="B208" t="inlineStr">
        <is>
          <t>Hamburgo</t>
        </is>
      </c>
      <c r="C208" t="inlineStr">
        <is>
          <t>Alemania</t>
        </is>
      </c>
      <c r="D208" t="inlineStr">
        <is>
          <t>Dresde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Cozy Cottage</t>
        </is>
      </c>
      <c r="H208">
        <f>HYPERLINK("https://booking.roadsurfer.com/es/rally/pick?pickup_date=2026-04-20&amp;return_date=2026-04-27&amp;currency=EUR&amp;startStation=3&amp;endStation=56", "Clic para verlo en la web de RoadSurfer")</f>
        <v/>
      </c>
    </row>
    <row r="209">
      <c r="A209" t="inlineStr">
        <is>
          <t>Alemania</t>
        </is>
      </c>
      <c r="B209" t="inlineStr">
        <is>
          <t>Hamburgo</t>
        </is>
      </c>
      <c r="C209" t="inlineStr">
        <is>
          <t>Alemania</t>
        </is>
      </c>
      <c r="D209" t="inlineStr">
        <is>
          <t>Kiel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Couple Cottage</t>
        </is>
      </c>
      <c r="H209">
        <f>HYPERLINK("https://booking.roadsurfer.com/es/rally/pick?pickup_date=2026-04-20&amp;return_date=2026-04-27&amp;currency=EUR&amp;startStation=3&amp;endStation=111", "Clic para verlo en la web de RoadSurfer")</f>
        <v/>
      </c>
    </row>
    <row r="210">
      <c r="A210" t="inlineStr">
        <is>
          <t>Alemania</t>
        </is>
      </c>
      <c r="B210" t="inlineStr">
        <is>
          <t>Hamburgo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Sunrise Suite</t>
        </is>
      </c>
      <c r="H210">
        <f>HYPERLINK("https://booking.roadsurfer.com/es/rally/pick?pickup_date=2026-05-04&amp;return_date=2026-05-11&amp;currency=EUR&amp;startStation=3&amp;endStation=4", "Clic para verlo en la web de RoadSurfer")</f>
        <v/>
      </c>
    </row>
    <row r="211">
      <c r="A211" t="inlineStr">
        <is>
          <t>Alemania</t>
        </is>
      </c>
      <c r="B211" t="inlineStr">
        <is>
          <t>Hamburgo</t>
        </is>
      </c>
      <c r="C211" t="inlineStr">
        <is>
          <t>Alemania</t>
        </is>
      </c>
      <c r="D211" t="inlineStr">
        <is>
          <t>Núremberg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Sunrise Suite</t>
        </is>
      </c>
      <c r="H211">
        <f>HYPERLINK("https://booking.roadsurfer.com/es/rally/pick?pickup_date=2026-05-04&amp;return_date=2026-05-11&amp;currency=EUR&amp;startStation=3&amp;endStation=11", "Clic para verlo en la web de RoadSurfer")</f>
        <v/>
      </c>
    </row>
    <row r="212">
      <c r="A212" t="inlineStr">
        <is>
          <t>Alemania</t>
        </is>
      </c>
      <c r="B212" t="inlineStr">
        <is>
          <t>Hamburgo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2026-03-30</t>
        </is>
      </c>
      <c r="F212" t="inlineStr">
        <is>
          <t>2026-04-06</t>
        </is>
      </c>
      <c r="G212" t="inlineStr">
        <is>
          <t xml:space="preserve"> - No hay coche</t>
        </is>
      </c>
      <c r="H212">
        <f>HYPERLINK("https://booking.roadsurfer.com/es/rally/pick?pickup_date=2026-03-30&amp;return_date=2026-04-06&amp;currency=EUR&amp;startStation=3&amp;endStation=59", "Clic para verlo en la web de RoadSurfer")</f>
        <v/>
      </c>
    </row>
    <row r="213">
      <c r="A213" t="inlineStr">
        <is>
          <t>Alemania</t>
        </is>
      </c>
      <c r="B213" t="inlineStr">
        <is>
          <t>Hannover</t>
        </is>
      </c>
      <c r="C213" t="inlineStr">
        <is>
          <t>Alemania</t>
        </is>
      </c>
      <c r="D213" t="inlineStr">
        <is>
          <t>Aquisgrán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Beach Hostel</t>
        </is>
      </c>
      <c r="H213">
        <f>HYPERLINK("https://booking.roadsurfer.com/es/rally/pick?pickup_date=2026-04-20&amp;return_date=2026-04-27&amp;currency=EUR&amp;startStation=7&amp;endStation=114", "Clic para verlo en la web de RoadSurfer")</f>
        <v/>
      </c>
    </row>
    <row r="214">
      <c r="A214" t="inlineStr">
        <is>
          <t>Alemania</t>
        </is>
      </c>
      <c r="B214" t="inlineStr">
        <is>
          <t>Hannover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Road House</t>
        </is>
      </c>
      <c r="H214">
        <f>HYPERLINK("https://booking.roadsurfer.com/es/rally/pick?pickup_date=2026-04-16&amp;return_date=2026-04-23&amp;currency=EUR&amp;startStation=7&amp;endStation=34", "Clic para verlo en la web de RoadSurfer")</f>
        <v/>
      </c>
    </row>
    <row r="215">
      <c r="A215" t="inlineStr">
        <is>
          <t>Alemania</t>
        </is>
      </c>
      <c r="B215" t="inlineStr">
        <is>
          <t>Hannover</t>
        </is>
      </c>
      <c r="C215" t="inlineStr">
        <is>
          <t>España</t>
        </is>
      </c>
      <c r="D215" t="inlineStr">
        <is>
          <t>Málaga</t>
        </is>
      </c>
      <c r="E215" t="inlineStr">
        <is>
          <t>2026-03-30</t>
        </is>
      </c>
      <c r="F215" t="inlineStr">
        <is>
          <t>2026-04-06</t>
        </is>
      </c>
      <c r="G215" t="inlineStr">
        <is>
          <t xml:space="preserve"> - Camper Castle</t>
        </is>
      </c>
      <c r="H215">
        <f>HYPERLINK("https://booking.roadsurfer.com/es/rally/pick?pickup_date=2026-03-30&amp;return_date=2026-04-06&amp;currency=EUR&amp;startStation=7&amp;endStation=21", "Clic para verlo en la web de RoadSurfer")</f>
        <v/>
      </c>
    </row>
    <row r="216">
      <c r="A216" t="inlineStr">
        <is>
          <t>Alemania</t>
        </is>
      </c>
      <c r="B216" t="inlineStr">
        <is>
          <t>Heidelberg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2026-04-08</t>
        </is>
      </c>
      <c r="F216" t="inlineStr">
        <is>
          <t>2026-04-15</t>
        </is>
      </c>
      <c r="G216" t="inlineStr">
        <is>
          <t xml:space="preserve"> - Surfer Suite</t>
        </is>
      </c>
      <c r="H216">
        <f>HYPERLINK("https://booking.roadsurfer.com/es/rally/pick?pickup_date=2026-04-08&amp;return_date=2026-04-15&amp;currency=EUR&amp;startStation=79&amp;endStation=40", "Clic para verlo en la web de RoadSurfer")</f>
        <v/>
      </c>
    </row>
    <row r="217">
      <c r="A217" t="inlineStr">
        <is>
          <t>Alemania</t>
        </is>
      </c>
      <c r="B217" t="inlineStr">
        <is>
          <t>Heidelberg</t>
        </is>
      </c>
      <c r="C217" t="inlineStr">
        <is>
          <t>Austria</t>
        </is>
      </c>
      <c r="D217" t="inlineStr">
        <is>
          <t>Innsbruck-Wiesing</t>
        </is>
      </c>
      <c r="E217" t="inlineStr">
        <is>
          <t>2026-05-04</t>
        </is>
      </c>
      <c r="F217" t="inlineStr">
        <is>
          <t>2026-05-11</t>
        </is>
      </c>
      <c r="G217" t="inlineStr">
        <is>
          <t xml:space="preserve"> - Camper Cabin</t>
        </is>
      </c>
      <c r="H217">
        <f>HYPERLINK("https://booking.roadsurfer.com/es/rally/pick?pickup_date=2026-05-04&amp;return_date=2026-05-11&amp;currency=EUR&amp;startStation=79&amp;endStation=46", "Clic para verlo en la web de RoadSurfer")</f>
        <v/>
      </c>
    </row>
    <row r="218">
      <c r="A218" t="inlineStr">
        <is>
          <t>Alemania</t>
        </is>
      </c>
      <c r="B218" t="inlineStr">
        <is>
          <t>Heidelberg</t>
        </is>
      </c>
      <c r="C218" t="inlineStr">
        <is>
          <t>Austria</t>
        </is>
      </c>
      <c r="D218" t="inlineStr">
        <is>
          <t>Viena</t>
        </is>
      </c>
      <c r="E218" t="inlineStr">
        <is>
          <t>2026-03-25</t>
        </is>
      </c>
      <c r="F218" t="inlineStr">
        <is>
          <t>2026-04-01</t>
        </is>
      </c>
      <c r="G218" t="inlineStr">
        <is>
          <t xml:space="preserve"> - Camper Castle</t>
        </is>
      </c>
      <c r="H218">
        <f>HYPERLINK("https://booking.roadsurfer.com/es/rally/pick?pickup_date=2026-03-25&amp;return_date=2026-04-01&amp;currency=EUR&amp;startStation=79&amp;endStation=36", "Clic para verlo en la web de RoadSurfer")</f>
        <v/>
      </c>
    </row>
    <row r="219">
      <c r="A219" t="inlineStr">
        <is>
          <t>Alemania</t>
        </is>
      </c>
      <c r="B219" t="inlineStr">
        <is>
          <t>Heidelberg</t>
        </is>
      </c>
      <c r="C219" t="inlineStr">
        <is>
          <t>Italia</t>
        </is>
      </c>
      <c r="D219" t="inlineStr">
        <is>
          <t>Roma Aeropuerto Fiumicino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Beach Hostel</t>
        </is>
      </c>
      <c r="H219">
        <f>HYPERLINK("https://booking.roadsurfer.com/es/rally/pick?pickup_date=2026-04-27&amp;return_date=2026-05-04&amp;currency=EUR&amp;startStation=79&amp;endStation=35", "Clic para verlo en la web de RoadSurfer")</f>
        <v/>
      </c>
    </row>
    <row r="220">
      <c r="A220" t="inlineStr">
        <is>
          <t>Alemania</t>
        </is>
      </c>
      <c r="B220" t="inlineStr">
        <is>
          <t>Heidelberg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2026-04-09</t>
        </is>
      </c>
      <c r="F220" t="inlineStr">
        <is>
          <t>2026-04-16</t>
        </is>
      </c>
      <c r="G220" t="inlineStr">
        <is>
          <t xml:space="preserve"> - Surfer Suite</t>
        </is>
      </c>
      <c r="H220">
        <f>HYPERLINK("https://booking.roadsurfer.com/es/rally/pick?pickup_date=2026-04-09&amp;return_date=2026-04-16&amp;currency=EUR&amp;startStation=79&amp;endStation=5", "Clic para verlo en la web de RoadSurfer")</f>
        <v/>
      </c>
    </row>
    <row r="221">
      <c r="A221" t="inlineStr">
        <is>
          <t>Alemania</t>
        </is>
      </c>
      <c r="B221" t="inlineStr">
        <is>
          <t>Heidelberg</t>
        </is>
      </c>
      <c r="C221" t="inlineStr">
        <is>
          <t>Alemania</t>
        </is>
      </c>
      <c r="D221" t="inlineStr">
        <is>
          <t>Tréveris</t>
        </is>
      </c>
      <c r="E221" t="inlineStr">
        <is>
          <t>2026-04-27</t>
        </is>
      </c>
      <c r="F221" t="inlineStr">
        <is>
          <t>2026-05-04</t>
        </is>
      </c>
      <c r="G221" t="inlineStr">
        <is>
          <t xml:space="preserve"> - Surfer Suite</t>
        </is>
      </c>
      <c r="H221">
        <f>HYPERLINK("https://booking.roadsurfer.com/es/rally/pick?pickup_date=2026-04-27&amp;return_date=2026-05-04&amp;currency=EUR&amp;startStation=79&amp;endStation=28", "Clic para verlo en la web de RoadSurfer")</f>
        <v/>
      </c>
    </row>
    <row r="222">
      <c r="A222" t="inlineStr">
        <is>
          <t>Alemania</t>
        </is>
      </c>
      <c r="B222" t="inlineStr">
        <is>
          <t>Karlsruhe</t>
        </is>
      </c>
      <c r="C222" t="inlineStr">
        <is>
          <t>Alemania</t>
        </is>
      </c>
      <c r="D222" t="inlineStr">
        <is>
          <t>Heidelberg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Surfer Suite</t>
        </is>
      </c>
      <c r="H222">
        <f>HYPERLINK("https://booking.roadsurfer.com/es/rally/pick?pickup_date=2026-03-23&amp;return_date=2026-03-30&amp;currency=EUR&amp;startStation=110&amp;endStation=79", "Clic para verlo en la web de RoadSurfer")</f>
        <v/>
      </c>
    </row>
    <row r="223">
      <c r="A223" t="inlineStr">
        <is>
          <t>Alemania</t>
        </is>
      </c>
      <c r="B223" t="inlineStr">
        <is>
          <t>Karlsruhe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2026-04-07</t>
        </is>
      </c>
      <c r="F223" t="inlineStr">
        <is>
          <t>2026-04-14</t>
        </is>
      </c>
      <c r="G223" t="inlineStr">
        <is>
          <t xml:space="preserve"> - Road House</t>
        </is>
      </c>
      <c r="H223">
        <f>HYPERLINK("https://booking.roadsurfer.com/es/rally/pick?pickup_date=2026-04-07&amp;return_date=2026-04-14&amp;currency=EUR&amp;startStation=110&amp;endStation=31", "Clic para verlo en la web de RoadSurfer")</f>
        <v/>
      </c>
    </row>
    <row r="224">
      <c r="A224" t="inlineStr">
        <is>
          <t>Alemania</t>
        </is>
      </c>
      <c r="B224" t="inlineStr">
        <is>
          <t>Karlsruhe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2026-04-01</t>
        </is>
      </c>
      <c r="F224" t="inlineStr">
        <is>
          <t>2026-04-08</t>
        </is>
      </c>
      <c r="G224" t="inlineStr">
        <is>
          <t xml:space="preserve"> - Surfer Suite - Family Finca</t>
        </is>
      </c>
      <c r="H224">
        <f>HYPERLINK("https://booking.roadsurfer.com/es/rally/pick?pickup_date=2026-04-01&amp;return_date=2026-04-08&amp;currency=EUR&amp;startStation=110&amp;endStation=31", "Clic para verlo en la web de RoadSurfer")</f>
        <v/>
      </c>
    </row>
    <row r="225">
      <c r="A225" t="inlineStr">
        <is>
          <t>Alemania</t>
        </is>
      </c>
      <c r="B225" t="inlineStr">
        <is>
          <t>Kiel</t>
        </is>
      </c>
      <c r="C225" t="inlineStr">
        <is>
          <t>Alemania</t>
        </is>
      </c>
      <c r="D225" t="inlineStr">
        <is>
          <t>Flensburgo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No hay coche</t>
        </is>
      </c>
      <c r="H225">
        <f>HYPERLINK("https://booking.roadsurfer.com/es/rally/pick?pickup_date=2026-04-20&amp;return_date=2026-04-27&amp;currency=EUR&amp;startStation=111&amp;endStation=130",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Seattle</t>
        </is>
      </c>
      <c r="E226" t="inlineStr">
        <is>
          <t>2026-03-20</t>
        </is>
      </c>
      <c r="F226" t="inlineStr">
        <is>
          <t>2026-03-27</t>
        </is>
      </c>
      <c r="G226" t="inlineStr">
        <is>
          <t xml:space="preserve"> - Family Freedom</t>
        </is>
      </c>
      <c r="H226">
        <f>HYPERLINK("https://booking.roadsurfer.com/es/rally/pick?pickup_date=2026-03-20&amp;return_date=2026-03-27&amp;currency=EUR&amp;startStation=76&amp;endStation=107",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Seattle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Family Freedom</t>
        </is>
      </c>
      <c r="H227">
        <f>HYPERLINK("https://booking.roadsurfer.com/es/rally/pick?pickup_date=2026-03-27&amp;return_date=2026-04-03&amp;currency=EUR&amp;startStation=76&amp;endStation=107",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Seattle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Family Freedom</t>
        </is>
      </c>
      <c r="H228">
        <f>HYPERLINK("https://booking.roadsurfer.com/es/rally/pick?pickup_date=2026-04-13&amp;return_date=2026-04-20&amp;currency=EUR&amp;startStation=76&amp;endStation=107", "Clic para verlo en la web de RoadSurfer")</f>
        <v/>
      </c>
    </row>
    <row r="229">
      <c r="A229" t="inlineStr">
        <is>
          <t>EE.UU.</t>
        </is>
      </c>
      <c r="B229" t="inlineStr">
        <is>
          <t>Las Vegas</t>
        </is>
      </c>
      <c r="C229" t="inlineStr">
        <is>
          <t>EE.UU.</t>
        </is>
      </c>
      <c r="D229" t="inlineStr">
        <is>
          <t>Seattle</t>
        </is>
      </c>
      <c r="E229" t="inlineStr">
        <is>
          <t>2026-03-25</t>
        </is>
      </c>
      <c r="F229" t="inlineStr">
        <is>
          <t>2026-04-01</t>
        </is>
      </c>
      <c r="G229" t="inlineStr">
        <is>
          <t xml:space="preserve"> - Liberty Lodge</t>
        </is>
      </c>
      <c r="H229">
        <f>HYPERLINK("https://booking.roadsurfer.com/es/rally/pick?pickup_date=2026-03-25&amp;return_date=2026-04-01&amp;currency=EUR&amp;startStation=76&amp;endStation=107", "Clic para verlo en la web de RoadSurfer")</f>
        <v/>
      </c>
    </row>
    <row r="230">
      <c r="A230" t="inlineStr">
        <is>
          <t>EE.UU.</t>
        </is>
      </c>
      <c r="B230" t="inlineStr">
        <is>
          <t>Las Vegas</t>
        </is>
      </c>
      <c r="C230" t="inlineStr">
        <is>
          <t>EE.UU.</t>
        </is>
      </c>
      <c r="D230" t="inlineStr">
        <is>
          <t>Seattle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Family Freedom</t>
        </is>
      </c>
      <c r="H230">
        <f>HYPERLINK("https://booking.roadsurfer.com/es/rally/pick?pickup_date=2026-04-23&amp;return_date=2026-04-30&amp;currency=EUR&amp;startStation=76&amp;endStation=107", "Clic para verlo en la web de RoadSurfer")</f>
        <v/>
      </c>
    </row>
    <row r="231">
      <c r="A231" t="inlineStr">
        <is>
          <t>EE.UU.</t>
        </is>
      </c>
      <c r="B231" t="inlineStr">
        <is>
          <t>Las Vegas</t>
        </is>
      </c>
      <c r="C231" t="inlineStr">
        <is>
          <t>EE.UU.</t>
        </is>
      </c>
      <c r="D231" t="inlineStr">
        <is>
          <t>Seattle</t>
        </is>
      </c>
      <c r="E231" t="inlineStr">
        <is>
          <t>2026-04-16</t>
        </is>
      </c>
      <c r="F231" t="inlineStr">
        <is>
          <t>2026-04-23</t>
        </is>
      </c>
      <c r="G231" t="inlineStr">
        <is>
          <t xml:space="preserve"> - Family Freedom</t>
        </is>
      </c>
      <c r="H231">
        <f>HYPERLINK("https://booking.roadsurfer.com/es/rally/pick?pickup_date=2026-04-16&amp;return_date=2026-04-23&amp;currency=EUR&amp;startStation=76&amp;endStation=107", "Clic para verlo en la web de RoadSurfer")</f>
        <v/>
      </c>
    </row>
    <row r="232">
      <c r="A232" t="inlineStr">
        <is>
          <t>EE.UU.</t>
        </is>
      </c>
      <c r="B232" t="inlineStr">
        <is>
          <t>Las Vegas</t>
        </is>
      </c>
      <c r="C232" t="inlineStr">
        <is>
          <t>EE.UU.</t>
        </is>
      </c>
      <c r="D232" t="inlineStr">
        <is>
          <t>Denver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Couple Condo</t>
        </is>
      </c>
      <c r="H232">
        <f>HYPERLINK("https://booking.roadsurfer.com/es/rally/pick?pickup_date=2026-04-20&amp;return_date=2026-04-27&amp;currency=EUR&amp;startStation=76&amp;endStation=104", "Clic para verlo en la web de RoadSurfer")</f>
        <v/>
      </c>
    </row>
    <row r="233">
      <c r="A233" t="inlineStr">
        <is>
          <t>EE.UU.</t>
        </is>
      </c>
      <c r="B233" t="inlineStr">
        <is>
          <t>Las Vegas</t>
        </is>
      </c>
      <c r="C233" t="inlineStr">
        <is>
          <t>EE.UU.</t>
        </is>
      </c>
      <c r="D233" t="inlineStr">
        <is>
          <t>Denver</t>
        </is>
      </c>
      <c r="E233" t="inlineStr">
        <is>
          <t>2026-04-29</t>
        </is>
      </c>
      <c r="F233" t="inlineStr">
        <is>
          <t>2026-05-06</t>
        </is>
      </c>
      <c r="G233" t="inlineStr">
        <is>
          <t xml:space="preserve"> - Family Freedom</t>
        </is>
      </c>
      <c r="H233">
        <f>HYPERLINK("https://booking.roadsurfer.com/es/rally/pick?pickup_date=2026-04-29&amp;return_date=2026-05-06&amp;currency=EUR&amp;startStation=76&amp;endStation=104", "Clic para verlo en la web de RoadSurfer")</f>
        <v/>
      </c>
    </row>
    <row r="234">
      <c r="A234" t="inlineStr">
        <is>
          <t>EE.UU.</t>
        </is>
      </c>
      <c r="B234" t="inlineStr">
        <is>
          <t>Las Vegas</t>
        </is>
      </c>
      <c r="C234" t="inlineStr">
        <is>
          <t>EE.UU.</t>
        </is>
      </c>
      <c r="D234" t="inlineStr">
        <is>
          <t>Denver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Family Freedom</t>
        </is>
      </c>
      <c r="H234">
        <f>HYPERLINK("https://booking.roadsurfer.com/es/rally/pick?pickup_date=2026-04-23&amp;return_date=2026-04-30&amp;currency=EUR&amp;startStation=76&amp;endStation=104",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2026-03-27</t>
        </is>
      </c>
      <c r="F235" t="inlineStr">
        <is>
          <t>2026-04-03</t>
        </is>
      </c>
      <c r="G235" t="inlineStr">
        <is>
          <t xml:space="preserve"> - No hay coche</t>
        </is>
      </c>
      <c r="H235">
        <f>HYPERLINK("https://booking.roadsurfer.com/es/rally/pick?pickup_date=2026-03-27&amp;return_date=2026-04-03&amp;currency=EUR&amp;startStation=8&amp;endStation=32",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No hay coche</t>
        </is>
      </c>
      <c r="H236">
        <f>HYPERLINK("https://booking.roadsurfer.com/es/rally/pick?pickup_date=2026-04-13&amp;return_date=2026-04-20&amp;currency=EUR&amp;startStation=8&amp;endStation=32",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2026-03-24</t>
        </is>
      </c>
      <c r="F237" t="inlineStr">
        <is>
          <t>2026-03-31</t>
        </is>
      </c>
      <c r="G237" t="inlineStr">
        <is>
          <t xml:space="preserve"> - Road House</t>
        </is>
      </c>
      <c r="H237">
        <f>HYPERLINK("https://booking.roadsurfer.com/es/rally/pick?pickup_date=2026-03-24&amp;return_date=2026-03-31&amp;currency=EUR&amp;startStation=8&amp;endStation=33",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FAMILY FINCA</t>
        </is>
      </c>
      <c r="H238">
        <f>HYPERLINK("https://booking.roadsurfer.com/es/rally/pick?pickup_date=2026-04-27&amp;return_date=2026-05-04&amp;currency=EUR&amp;startStation=8&amp;endStation=37",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Road House</t>
        </is>
      </c>
      <c r="H239">
        <f>HYPERLINK("https://booking.roadsurfer.com/es/rally/pick?pickup_date=2026-03-27&amp;return_date=2026-04-03&amp;currency=EUR&amp;startStation=8&amp;endStation=45", "Clic para verlo en la web de RoadSurfer")</f>
        <v/>
      </c>
    </row>
    <row r="240">
      <c r="A240" t="inlineStr">
        <is>
          <t>Alemania</t>
        </is>
      </c>
      <c r="B240" t="inlineStr">
        <is>
          <t>Leipzig</t>
        </is>
      </c>
      <c r="C240" t="inlineStr">
        <is>
          <t>Austria</t>
        </is>
      </c>
      <c r="D240" t="inlineStr">
        <is>
          <t>Viena Sur</t>
        </is>
      </c>
      <c r="E240" t="inlineStr">
        <is>
          <t>2026-03-20</t>
        </is>
      </c>
      <c r="F240" t="inlineStr">
        <is>
          <t>2026-03-27</t>
        </is>
      </c>
      <c r="G240" t="inlineStr">
        <is>
          <t xml:space="preserve"> - Camper Castle</t>
        </is>
      </c>
      <c r="H240">
        <f>HYPERLINK("https://booking.roadsurfer.com/es/rally/pick?pickup_date=2026-03-20&amp;return_date=2026-03-27&amp;currency=EUR&amp;startStation=8&amp;endStation=45", "Clic para verlo en la web de RoadSurfer")</f>
        <v/>
      </c>
    </row>
    <row r="241">
      <c r="A241" t="inlineStr">
        <is>
          <t>Alemania</t>
        </is>
      </c>
      <c r="B241" t="inlineStr">
        <is>
          <t>Leipzig</t>
        </is>
      </c>
      <c r="C241" t="inlineStr">
        <is>
          <t>Austria</t>
        </is>
      </c>
      <c r="D241" t="inlineStr">
        <is>
          <t>Linz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Camper Castle</t>
        </is>
      </c>
      <c r="H241">
        <f>HYPERLINK("https://booking.roadsurfer.com/es/rally/pick?pickup_date=2026-04-20&amp;return_date=2026-04-27&amp;currency=EUR&amp;startStation=8&amp;endStation=116",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Italia</t>
        </is>
      </c>
      <c r="D242" t="inlineStr">
        <is>
          <t>Bérgamo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Road House</t>
        </is>
      </c>
      <c r="H242">
        <f>HYPERLINK("https://booking.roadsurfer.com/es/rally/pick?pickup_date=2026-03-27&amp;return_date=2026-04-03&amp;currency=EUR&amp;startStation=8&amp;endStation=94", "Clic para verlo en la web de RoadSurfer")</f>
        <v/>
      </c>
    </row>
    <row r="243">
      <c r="A243" t="inlineStr">
        <is>
          <t>Francia</t>
        </is>
      </c>
      <c r="B243" t="inlineStr">
        <is>
          <t>Lille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Family Finca</t>
        </is>
      </c>
      <c r="H243">
        <f>HYPERLINK("https://booking.roadsurfer.com/es/rally/pick?pickup_date=2026-05-04&amp;return_date=2026-05-11&amp;currency=EUR&amp;startStation=87&amp;endStation=91", "Clic para verlo en la web de RoadSurfer")</f>
        <v/>
      </c>
    </row>
    <row r="244">
      <c r="A244" t="inlineStr">
        <is>
          <t>Alemania</t>
        </is>
      </c>
      <c r="B244" t="inlineStr">
        <is>
          <t>Lindau-Wangen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2026-03-30</t>
        </is>
      </c>
      <c r="F244" t="inlineStr">
        <is>
          <t>2026-04-06</t>
        </is>
      </c>
      <c r="G244" t="inlineStr">
        <is>
          <t xml:space="preserve"> - No hay coche</t>
        </is>
      </c>
      <c r="H244">
        <f>HYPERLINK("https://booking.roadsurfer.com/es/rally/pick?pickup_date=2026-03-30&amp;return_date=2026-04-06&amp;currency=EUR&amp;startStation=117&amp;endStation=13", "Clic para verlo en la web de RoadSurfer")</f>
        <v/>
      </c>
    </row>
    <row r="245">
      <c r="A245" t="inlineStr">
        <is>
          <t>Alemania</t>
        </is>
      </c>
      <c r="B245" t="inlineStr">
        <is>
          <t>Lindau-Wangen</t>
        </is>
      </c>
      <c r="C245" t="inlineStr">
        <is>
          <t>Austria</t>
        </is>
      </c>
      <c r="D245" t="inlineStr">
        <is>
          <t>Viena Sur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Cozy Cottage</t>
        </is>
      </c>
      <c r="H245">
        <f>HYPERLINK("https://booking.roadsurfer.com/es/rally/pick?pickup_date=2026-04-27&amp;return_date=2026-05-04&amp;currency=EUR&amp;startStation=117&amp;endStation=45", "Clic para verlo en la web de RoadSurfer")</f>
        <v/>
      </c>
    </row>
    <row r="246">
      <c r="A246" t="inlineStr">
        <is>
          <t>Alemania</t>
        </is>
      </c>
      <c r="B246" t="inlineStr">
        <is>
          <t>Lindau-Wangen</t>
        </is>
      </c>
      <c r="C246" t="inlineStr">
        <is>
          <t>Alemania</t>
        </is>
      </c>
      <c r="D246" t="inlineStr">
        <is>
          <t>Berlín</t>
        </is>
      </c>
      <c r="E246" t="inlineStr">
        <is>
          <t>2026-04-27</t>
        </is>
      </c>
      <c r="F246" t="inlineStr">
        <is>
          <t>2026-05-04</t>
        </is>
      </c>
      <c r="G246" t="inlineStr">
        <is>
          <t xml:space="preserve"> - Cozy Cottage</t>
        </is>
      </c>
      <c r="H246">
        <f>HYPERLINK("https://booking.roadsurfer.com/es/rally/pick?pickup_date=2026-04-27&amp;return_date=2026-05-04&amp;currency=EUR&amp;startStation=117&amp;endStation=6", "Clic para verlo en la web de RoadSurfer")</f>
        <v/>
      </c>
    </row>
    <row r="247">
      <c r="A247" t="inlineStr">
        <is>
          <t>Alemania</t>
        </is>
      </c>
      <c r="B247" t="inlineStr">
        <is>
          <t>Lübeck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Road House</t>
        </is>
      </c>
      <c r="H247">
        <f>HYPERLINK("https://booking.roadsurfer.com/es/rally/pick?pickup_date=2026-05-04&amp;return_date=2026-05-11&amp;currency=EUR&amp;startStation=109&amp;endStation=55", "Clic para verlo en la web de RoadSurfer")</f>
        <v/>
      </c>
    </row>
    <row r="248">
      <c r="A248" t="inlineStr">
        <is>
          <t>Alemania</t>
        </is>
      </c>
      <c r="B248" t="inlineStr">
        <is>
          <t>Lübeck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2026-04-02</t>
        </is>
      </c>
      <c r="F248" t="inlineStr">
        <is>
          <t>2026-04-09</t>
        </is>
      </c>
      <c r="G248" t="inlineStr">
        <is>
          <t xml:space="preserve"> - Road House</t>
        </is>
      </c>
      <c r="H248">
        <f>HYPERLINK("https://booking.roadsurfer.com/es/rally/pick?pickup_date=2026-04-02&amp;return_date=2026-04-09&amp;currency=EUR&amp;startStation=109&amp;endStation=55", "Clic para verlo en la web de RoadSurfer")</f>
        <v/>
      </c>
    </row>
    <row r="249">
      <c r="A249" t="inlineStr">
        <is>
          <t>Alemania</t>
        </is>
      </c>
      <c r="B249" t="inlineStr">
        <is>
          <t>Lübeck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2026-04-27</t>
        </is>
      </c>
      <c r="F249" t="inlineStr">
        <is>
          <t>2026-05-04</t>
        </is>
      </c>
      <c r="G249" t="inlineStr">
        <is>
          <t xml:space="preserve"> - Surfer Suite</t>
        </is>
      </c>
      <c r="H249">
        <f>HYPERLINK("https://booking.roadsurfer.com/es/rally/pick?pickup_date=2026-04-27&amp;return_date=2026-05-04&amp;currency=EUR&amp;startStation=109&amp;endStation=40", "Clic para verlo en la web de RoadSurfer")</f>
        <v/>
      </c>
    </row>
    <row r="250">
      <c r="A250" t="inlineStr">
        <is>
          <t>Alemania</t>
        </is>
      </c>
      <c r="B250" t="inlineStr">
        <is>
          <t>Lübeck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2026-04-27</t>
        </is>
      </c>
      <c r="F250" t="inlineStr">
        <is>
          <t>2026-05-04</t>
        </is>
      </c>
      <c r="G250" t="inlineStr">
        <is>
          <t xml:space="preserve"> - Surfer Suite</t>
        </is>
      </c>
      <c r="H250">
        <f>HYPERLINK("https://booking.roadsurfer.com/es/rally/pick?pickup_date=2026-04-27&amp;return_date=2026-05-04&amp;currency=EUR&amp;startStation=109&amp;endStation=34", "Clic para verlo en la web de RoadSurfer")</f>
        <v/>
      </c>
    </row>
    <row r="251">
      <c r="A251" t="inlineStr">
        <is>
          <t>Francia</t>
        </is>
      </c>
      <c r="B251" t="inlineStr">
        <is>
          <t>Lyon</t>
        </is>
      </c>
      <c r="C251" t="inlineStr">
        <is>
          <t>Alemania</t>
        </is>
      </c>
      <c r="D251" t="inlineStr">
        <is>
          <t>Constanza (Aach)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HYPERLINK("https://booking.roadsurfer.com/es/rally/pick?pickup_date=2026-03-23&amp;return_date=2026-03-30&amp;currency=EUR&amp;startStation=15&amp;endStation=10", "Clic para verlo en la web de RoadSurfer")</f>
        <v/>
      </c>
    </row>
    <row r="252">
      <c r="A252" t="inlineStr">
        <is>
          <t>Francia</t>
        </is>
      </c>
      <c r="B252" t="inlineStr">
        <is>
          <t>Lyon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No hay coche</t>
        </is>
      </c>
      <c r="H252">
        <f>HYPERLINK("https://booking.roadsurfer.com/es/rally/pick?pickup_date=2026-03-24&amp;return_date=2026-03-31&amp;currency=EUR&amp;startStation=15&amp;endStation=10", "Clic para verlo en la web de RoadSurfer")</f>
        <v/>
      </c>
    </row>
    <row r="253">
      <c r="A253" t="inlineStr">
        <is>
          <t>Francia</t>
        </is>
      </c>
      <c r="B253" t="inlineStr">
        <is>
          <t>Lyon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2026-04-11</t>
        </is>
      </c>
      <c r="F253" t="inlineStr">
        <is>
          <t>2026-04-18</t>
        </is>
      </c>
      <c r="G253" t="inlineStr">
        <is>
          <t xml:space="preserve"> - Camper Cabin</t>
        </is>
      </c>
      <c r="H253">
        <f>HYPERLINK("https://booking.roadsurfer.com/es/rally/pick?pickup_date=2026-04-11&amp;return_date=2026-04-18&amp;currency=EUR&amp;startStation=15&amp;endStation=1",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Friburgo-Basilea (Alemania)</t>
        </is>
      </c>
      <c r="E254" t="inlineStr">
        <is>
          <t>2026-04-15</t>
        </is>
      </c>
      <c r="F254" t="inlineStr">
        <is>
          <t>2026-04-22</t>
        </is>
      </c>
      <c r="G254" t="inlineStr">
        <is>
          <t xml:space="preserve"> - Couple Cottage</t>
        </is>
      </c>
      <c r="H254">
        <f>HYPERLINK("https://booking.roadsurfer.com/es/rally/pick?pickup_date=2026-04-15&amp;return_date=2026-04-22&amp;currency=EUR&amp;startStation=20&amp;endStation=9",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Maguncia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Couple Cottage</t>
        </is>
      </c>
      <c r="H255">
        <f>HYPERLINK("https://booking.roadsurfer.com/es/rally/pick?pickup_date=2026-05-04&amp;return_date=2026-05-11&amp;currency=EUR&amp;startStation=20&amp;endStation=54",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Karlsruhe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No hay coche</t>
        </is>
      </c>
      <c r="H256">
        <f>HYPERLINK("https://booking.roadsurfer.com/es/rally/pick?pickup_date=2026-05-04&amp;return_date=2026-05-11&amp;currency=EUR&amp;startStation=20&amp;endStation=110",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Lindau-Wangen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Family Finca</t>
        </is>
      </c>
      <c r="H257">
        <f>HYPERLINK("https://booking.roadsurfer.com/es/rally/pick?pickup_date=2026-04-23&amp;return_date=2026-04-30&amp;currency=EUR&amp;startStation=20&amp;endStation=117",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HYPERLINK("https://booking.roadsurfer.com/es/rally/pick?pickup_date=2026-03-30&amp;return_date=2026-04-06&amp;currency=EUR&amp;startStation=54&amp;endStation=13",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Francia</t>
        </is>
      </c>
      <c r="D259" t="inlineStr">
        <is>
          <t>Toulouse</t>
        </is>
      </c>
      <c r="E259" t="inlineStr">
        <is>
          <t>2026-04-09</t>
        </is>
      </c>
      <c r="F259" t="inlineStr">
        <is>
          <t>2026-04-16</t>
        </is>
      </c>
      <c r="G259" t="inlineStr">
        <is>
          <t xml:space="preserve"> - Family Finca</t>
        </is>
      </c>
      <c r="H259">
        <f>HYPERLINK("https://booking.roadsurfer.com/es/rally/pick?pickup_date=2026-04-09&amp;return_date=2026-04-16&amp;currency=EUR&amp;startStation=54&amp;endStation=30",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2026-04-13</t>
        </is>
      </c>
      <c r="F260" t="inlineStr">
        <is>
          <t>2026-04-20</t>
        </is>
      </c>
      <c r="G260" t="inlineStr">
        <is>
          <t xml:space="preserve"> - No hay coche</t>
        </is>
      </c>
      <c r="H260">
        <f>HYPERLINK("https://booking.roadsurfer.com/es/rally/pick?pickup_date=2026-04-13&amp;return_date=2026-04-20&amp;currency=EUR&amp;startStation=54&amp;endStation=29", "Clic para verlo en la web de RoadSurfer")</f>
        <v/>
      </c>
    </row>
    <row r="261">
      <c r="A261" t="inlineStr">
        <is>
          <t>Alemania</t>
        </is>
      </c>
      <c r="B261" t="inlineStr">
        <is>
          <t>Maguncia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2026-04-08</t>
        </is>
      </c>
      <c r="F261" t="inlineStr">
        <is>
          <t>2026-04-15</t>
        </is>
      </c>
      <c r="G261" t="inlineStr">
        <is>
          <t xml:space="preserve"> - Camper Castle</t>
        </is>
      </c>
      <c r="H261">
        <f>HYPERLINK("https://booking.roadsurfer.com/es/rally/pick?pickup_date=2026-04-08&amp;return_date=2026-04-15&amp;currency=EUR&amp;startStation=54&amp;endStation=60",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Berlín-Schönefeld</t>
        </is>
      </c>
      <c r="E262" t="inlineStr">
        <is>
          <t>2026-04-09</t>
        </is>
      </c>
      <c r="F262" t="inlineStr">
        <is>
          <t>2026-04-16</t>
        </is>
      </c>
      <c r="G262" t="inlineStr">
        <is>
          <t xml:space="preserve"> - Travel Home</t>
        </is>
      </c>
      <c r="H262">
        <f>HYPERLINK("https://booking.roadsurfer.com/es/rally/pick?pickup_date=2026-04-09&amp;return_date=2026-04-16&amp;currency=EUR&amp;startStation=21&amp;endStation=51",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2026-03-24</t>
        </is>
      </c>
      <c r="F263" t="inlineStr">
        <is>
          <t>2026-03-31</t>
        </is>
      </c>
      <c r="G263" t="inlineStr">
        <is>
          <t xml:space="preserve"> - Road House</t>
        </is>
      </c>
      <c r="H263">
        <f>HYPERLINK("https://booking.roadsurfer.com/es/rally/pick?pickup_date=2026-03-24&amp;return_date=2026-03-31&amp;currency=EUR&amp;startStation=60&amp;endStation=55",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Bremen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Cozy Cottage</t>
        </is>
      </c>
      <c r="H264">
        <f>HYPERLINK("https://booking.roadsurfer.com/es/rally/pick?pickup_date=2026-04-16&amp;return_date=2026-04-23&amp;currency=EUR&amp;startStation=60&amp;endStation=55",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Flensburgo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No hay coche</t>
        </is>
      </c>
      <c r="H265">
        <f>HYPERLINK("https://booking.roadsurfer.com/es/rally/pick?pickup_date=2026-04-20&amp;return_date=2026-04-27&amp;currency=EUR&amp;startStation=60&amp;endStation=130",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Camper Castle</t>
        </is>
      </c>
      <c r="H266">
        <f>HYPERLINK("https://booking.roadsurfer.com/es/rally/pick?pickup_date=2026-04-20&amp;return_date=2026-04-27&amp;currency=EUR&amp;startStation=60&amp;endStation=5",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Berlín-Schönefeld</t>
        </is>
      </c>
      <c r="E267" t="inlineStr">
        <is>
          <t>2026-03-27</t>
        </is>
      </c>
      <c r="F267" t="inlineStr">
        <is>
          <t>2026-04-03</t>
        </is>
      </c>
      <c r="G267" t="inlineStr">
        <is>
          <t xml:space="preserve"> - No hay coche</t>
        </is>
      </c>
      <c r="H267">
        <f>HYPERLINK("https://booking.roadsurfer.com/es/rally/pick?pickup_date=2026-03-27&amp;return_date=2026-04-03&amp;currency=EUR&amp;startStation=60&amp;endStation=51",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2026-04-15</t>
        </is>
      </c>
      <c r="F268" t="inlineStr">
        <is>
          <t>2026-04-22</t>
        </is>
      </c>
      <c r="G268" t="inlineStr">
        <is>
          <t xml:space="preserve"> - Family Finca</t>
        </is>
      </c>
      <c r="H268">
        <f>HYPERLINK("https://booking.roadsurfer.com/es/rally/pick?pickup_date=2026-04-15&amp;return_date=2026-04-22&amp;currency=EUR&amp;startStation=60&amp;endStation=51",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Bielefeld</t>
        </is>
      </c>
      <c r="E269" t="inlineStr">
        <is>
          <t>2026-04-14</t>
        </is>
      </c>
      <c r="F269" t="inlineStr">
        <is>
          <t>2026-04-21</t>
        </is>
      </c>
      <c r="G269" t="inlineStr">
        <is>
          <t xml:space="preserve"> - Family Finca</t>
        </is>
      </c>
      <c r="H269">
        <f>HYPERLINK("https://booking.roadsurfer.com/es/rally/pick?pickup_date=2026-04-14&amp;return_date=2026-04-21&amp;currency=EUR&amp;startStation=60&amp;endStation=91",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Bielefeld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Surfer Suite</t>
        </is>
      </c>
      <c r="H270">
        <f>HYPERLINK("https://booking.roadsurfer.com/es/rally/pick?pickup_date=2026-03-28&amp;return_date=2026-04-04&amp;currency=EUR&amp;startStation=60&amp;endStation=91",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Hannover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Surfer Suite</t>
        </is>
      </c>
      <c r="H271">
        <f>HYPERLINK("https://booking.roadsurfer.com/es/rally/pick?pickup_date=2026-04-09&amp;return_date=2026-04-16&amp;currency=EUR&amp;startStation=60&amp;endStation=7",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2026-03-30</t>
        </is>
      </c>
      <c r="F272" t="inlineStr">
        <is>
          <t>2026-04-06</t>
        </is>
      </c>
      <c r="G272" t="inlineStr">
        <is>
          <t xml:space="preserve"> - No hay coche</t>
        </is>
      </c>
      <c r="H272">
        <f>HYPERLINK("https://booking.roadsurfer.com/es/rally/pick?pickup_date=2026-03-30&amp;return_date=2026-04-06&amp;currency=EUR&amp;startStation=60&amp;endStation=52",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2026-04-07</t>
        </is>
      </c>
      <c r="F273" t="inlineStr">
        <is>
          <t>2026-04-14</t>
        </is>
      </c>
      <c r="G273" t="inlineStr">
        <is>
          <t xml:space="preserve"> - COZY COTTAGE</t>
        </is>
      </c>
      <c r="H273">
        <f>HYPERLINK("https://booking.roadsurfer.com/es/rally/pick?pickup_date=2026-04-07&amp;return_date=2026-04-14&amp;currency=EUR&amp;startStation=60&amp;endStation=90", "Clic para verlo en la web de RoadSurfer")</f>
        <v/>
      </c>
    </row>
    <row r="274">
      <c r="A274" t="inlineStr">
        <is>
          <t>Reino Unido</t>
        </is>
      </c>
      <c r="B274" t="inlineStr">
        <is>
          <t>Mánchester</t>
        </is>
      </c>
      <c r="C274" t="inlineStr">
        <is>
          <t>Reino Unido</t>
        </is>
      </c>
      <c r="D274" t="inlineStr">
        <is>
          <t>Londres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Couple Cottage</t>
        </is>
      </c>
      <c r="H274">
        <f>HYPERLINK("https://booking.roadsurfer.com/es/rally/pick?pickup_date=2026-04-20&amp;return_date=2026-04-27&amp;currency=EUR&amp;startStation=99&amp;endStation=63", "Clic para verlo en la web de RoadSurfer")</f>
        <v/>
      </c>
    </row>
    <row r="275">
      <c r="A275" t="inlineStr">
        <is>
          <t>Reino Unido</t>
        </is>
      </c>
      <c r="B275" t="inlineStr">
        <is>
          <t>Mánchester</t>
        </is>
      </c>
      <c r="C275" t="inlineStr">
        <is>
          <t>Reino Unido</t>
        </is>
      </c>
      <c r="D275" t="inlineStr">
        <is>
          <t>Edimburgo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Surfer Suite</t>
        </is>
      </c>
      <c r="H275">
        <f>HYPERLINK("https://booking.roadsurfer.com/es/rally/pick?pickup_date=2026-04-23&amp;return_date=2026-04-30&amp;currency=EUR&amp;startStation=99&amp;endStation=64",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2026-04-16</t>
        </is>
      </c>
      <c r="F277" t="inlineStr">
        <is>
          <t>2026-04-23</t>
        </is>
      </c>
      <c r="G277" t="inlineStr">
        <is>
          <t xml:space="preserve"> - SURFER SUITE</t>
        </is>
      </c>
      <c r="H277">
        <f>HYPERLINK("https://booking.roadsurfer.com/es/rally/pick?pickup_date=2026-04-16&amp;return_date=2026-04-23&amp;currency=EUR&amp;startStation=22&amp;endStation=31",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Surfer Suite</t>
        </is>
      </c>
      <c r="H278">
        <f>HYPERLINK("https://booking.roadsurfer.com/es/rally/pick?pickup_date=2026-04-30&amp;return_date=2026-05-07&amp;currency=EUR&amp;startStation=22&amp;endStation=31",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Beach Hostel</t>
        </is>
      </c>
      <c r="H279">
        <f>HYPERLINK("https://booking.roadsurfer.com/es/rally/pick?pickup_date=2026-03-27&amp;return_date=2026-04-03&amp;currency=EUR&amp;startStation=22&amp;endStation=31",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Surfer Suite</t>
        </is>
      </c>
      <c r="H280">
        <f>HYPERLINK("https://booking.roadsurfer.com/es/rally/pick?pickup_date=2026-04-20&amp;return_date=2026-04-27&amp;currency=EUR&amp;startStation=22&amp;endStation=31",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2026-04-28</t>
        </is>
      </c>
      <c r="F281" t="inlineStr">
        <is>
          <t>2026-05-05</t>
        </is>
      </c>
      <c r="G281" t="inlineStr">
        <is>
          <t xml:space="preserve"> - Family Finca</t>
        </is>
      </c>
      <c r="H281">
        <f>HYPERLINK("https://booking.roadsurfer.com/es/rally/pick?pickup_date=2026-04-28&amp;return_date=2026-05-05&amp;currency=EUR&amp;startStation=22&amp;endStation=31",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2026-03-25</t>
        </is>
      </c>
      <c r="F282" t="inlineStr">
        <is>
          <t>2026-04-01</t>
        </is>
      </c>
      <c r="G282" t="inlineStr">
        <is>
          <t xml:space="preserve"> - Surfer Suite</t>
        </is>
      </c>
      <c r="H282">
        <f>HYPERLINK("https://booking.roadsurfer.com/es/rally/pick?pickup_date=2026-03-25&amp;return_date=2026-04-01&amp;currency=EUR&amp;startStation=22&amp;endStation=48",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Surfer Suite</t>
        </is>
      </c>
      <c r="H283">
        <f>HYPERLINK("https://booking.roadsurfer.com/es/rally/pick?pickup_date=2026-03-26&amp;return_date=2026-04-02&amp;currency=EUR&amp;startStation=22&amp;endStation=77",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2026-04-07</t>
        </is>
      </c>
      <c r="F284" t="inlineStr">
        <is>
          <t>2026-04-14</t>
        </is>
      </c>
      <c r="G284" t="inlineStr">
        <is>
          <t xml:space="preserve"> - Camper Castle</t>
        </is>
      </c>
      <c r="H284">
        <f>HYPERLINK("https://booking.roadsurfer.com/es/rally/pick?pickup_date=2026-04-07&amp;return_date=2026-04-14&amp;currency=EUR&amp;startStation=22&amp;endStation=77",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Couple Cottage</t>
        </is>
      </c>
      <c r="H285">
        <f>HYPERLINK("https://booking.roadsurfer.com/es/rally/pick?pickup_date=2026-04-23&amp;return_date=2026-04-30&amp;currency=EUR&amp;startStation=22&amp;endStation=77",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No hay coche</t>
        </is>
      </c>
      <c r="H286">
        <f>HYPERLINK("https://booking.roadsurfer.com/es/rally/pick?pickup_date=2026-03-27&amp;return_date=2026-04-03&amp;currency=EUR&amp;startStation=22&amp;endStation=60",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Malmö</t>
        </is>
      </c>
      <c r="E287" t="inlineStr">
        <is>
          <t>2026-04-02</t>
        </is>
      </c>
      <c r="F287" t="inlineStr">
        <is>
          <t>2026-04-09</t>
        </is>
      </c>
      <c r="G287" t="inlineStr">
        <is>
          <t xml:space="preserve"> - Family Finca</t>
        </is>
      </c>
      <c r="H287">
        <f>HYPERLINK("https://booking.roadsurfer.com/es/rally/pick?pickup_date=2026-04-02&amp;return_date=2026-04-09&amp;currency=EUR&amp;startStation=22&amp;endStation=60",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2026-03-30</t>
        </is>
      </c>
      <c r="F288" t="inlineStr">
        <is>
          <t>2026-04-06</t>
        </is>
      </c>
      <c r="G288" t="inlineStr">
        <is>
          <t xml:space="preserve"> - No hay coche</t>
        </is>
      </c>
      <c r="H288">
        <f>HYPERLINK("https://booking.roadsurfer.com/es/rally/pick?pickup_date=2026-03-30&amp;return_date=2026-04-06&amp;currency=EUR&amp;startStation=22&amp;endStation=60",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Malmö</t>
        </is>
      </c>
      <c r="E289" t="inlineStr">
        <is>
          <t>2026-04-06</t>
        </is>
      </c>
      <c r="F289" t="inlineStr">
        <is>
          <t>2026-04-13</t>
        </is>
      </c>
      <c r="G289" t="inlineStr">
        <is>
          <t xml:space="preserve"> - Beach Hostel</t>
        </is>
      </c>
      <c r="H289">
        <f>HYPERLINK("https://booking.roadsurfer.com/es/rally/pick?pickup_date=2026-04-06&amp;return_date=2026-04-13&amp;currency=EUR&amp;startStation=22&amp;endStation=60",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Malmö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Surfer Suite</t>
        </is>
      </c>
      <c r="H290">
        <f>HYPERLINK("https://booking.roadsurfer.com/es/rally/pick?pickup_date=2026-03-25&amp;return_date=2026-04-01&amp;currency=EUR&amp;startStation=22&amp;endStation=60",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Malmö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Surfer Suite</t>
        </is>
      </c>
      <c r="H291">
        <f>HYPERLINK("https://booking.roadsurfer.com/es/rally/pick?pickup_date=2026-03-24&amp;return_date=2026-03-31&amp;currency=EUR&amp;startStation=22&amp;endStation=60",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2026-04-02</t>
        </is>
      </c>
      <c r="F292" t="inlineStr">
        <is>
          <t>2026-04-09</t>
        </is>
      </c>
      <c r="G292" t="inlineStr">
        <is>
          <t xml:space="preserve"> - Surfer Suite</t>
        </is>
      </c>
      <c r="H292">
        <f>HYPERLINK("https://booking.roadsurfer.com/es/rally/pick?pickup_date=2026-04-02&amp;return_date=2026-04-09&amp;currency=EUR&amp;startStation=22&amp;endStation=12",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Surfer Suite - Beach Hostel</t>
        </is>
      </c>
      <c r="H293">
        <f>HYPERLINK("https://booking.roadsurfer.com/es/rally/pick?pickup_date=2026-03-26&amp;return_date=2026-04-02&amp;currency=EUR&amp;startStation=22&amp;endStation=94",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HYPERLINK("https://booking.roadsurfer.com/es/rally/pick?pickup_date=2026-03-30&amp;return_date=2026-04-06&amp;currency=EUR&amp;startStation=22&amp;endStation=94",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HYPERLINK("https://booking.roadsurfer.com/es/rally/pick?pickup_date=2026-03-30&amp;return_date=2026-04-06&amp;currency=EUR&amp;startStation=22&amp;endStation=58",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No hay coche</t>
        </is>
      </c>
      <c r="H296">
        <f>HYPERLINK("https://booking.roadsurfer.com/es/rally/pick?pickup_date=2026-03-27&amp;return_date=2026-04-03&amp;currency=EUR&amp;startStation=22&amp;endStation=16",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Aix-Marsella</t>
        </is>
      </c>
      <c r="E297" t="inlineStr">
        <is>
          <t>2026-03-26</t>
        </is>
      </c>
      <c r="F297" t="inlineStr">
        <is>
          <t>2026-04-02</t>
        </is>
      </c>
      <c r="G297" t="inlineStr">
        <is>
          <t xml:space="preserve"> - Surfer Suite</t>
        </is>
      </c>
      <c r="H297">
        <f>HYPERLINK("https://booking.roadsurfer.com/es/rally/pick?pickup_date=2026-03-26&amp;return_date=2026-04-02&amp;currency=EUR&amp;startStation=22&amp;endStation=16",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2026-03-28</t>
        </is>
      </c>
      <c r="F298" t="inlineStr">
        <is>
          <t>2026-04-04</t>
        </is>
      </c>
      <c r="G298" t="inlineStr">
        <is>
          <t xml:space="preserve"> - No hay coche</t>
        </is>
      </c>
      <c r="H298">
        <f>HYPERLINK("https://booking.roadsurfer.com/es/rally/pick?pickup_date=2026-03-28&amp;return_date=2026-04-04&amp;currency=EUR&amp;startStation=22&amp;endStation=40",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Surfer Suite</t>
        </is>
      </c>
      <c r="H299">
        <f>HYPERLINK("https://booking.roadsurfer.com/es/rally/pick?pickup_date=2026-03-20&amp;return_date=2026-03-27&amp;currency=EUR&amp;startStation=22&amp;endStation=40",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2026-04-06</t>
        </is>
      </c>
      <c r="F300" t="inlineStr">
        <is>
          <t>2026-04-13</t>
        </is>
      </c>
      <c r="G300" t="inlineStr">
        <is>
          <t xml:space="preserve"> - Surfer Suite</t>
        </is>
      </c>
      <c r="H300">
        <f>HYPERLINK("https://booking.roadsurfer.com/es/rally/pick?pickup_date=2026-04-06&amp;return_date=2026-04-13&amp;currency=EUR&amp;startStation=22&amp;endStation=40",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HYPERLINK("https://booking.roadsurfer.com/es/rally/pick?pickup_date=2026-03-30&amp;return_date=2026-04-06&amp;currency=EUR&amp;startStation=22&amp;endStation=30",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Surfer Suite</t>
        </is>
      </c>
      <c r="H302">
        <f>HYPERLINK("https://booking.roadsurfer.com/es/rally/pick?pickup_date=2026-03-27&amp;return_date=2026-04-03&amp;currency=EUR&amp;startStation=22&amp;endStation=30",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2026-03-30</t>
        </is>
      </c>
      <c r="F303" t="inlineStr">
        <is>
          <t>2026-04-06</t>
        </is>
      </c>
      <c r="G303" t="inlineStr">
        <is>
          <t xml:space="preserve"> - No hay coche</t>
        </is>
      </c>
      <c r="H303">
        <f>HYPERLINK("https://booking.roadsurfer.com/es/rally/pick?pickup_date=2026-03-30&amp;return_date=2026-04-06&amp;currency=EUR&amp;startStation=22&amp;endStation=29",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Roma Aeropuerto Fiumicino</t>
        </is>
      </c>
      <c r="E304" t="inlineStr">
        <is>
          <t>2026-03-26</t>
        </is>
      </c>
      <c r="F304" t="inlineStr">
        <is>
          <t>2026-04-02</t>
        </is>
      </c>
      <c r="G304" t="inlineStr">
        <is>
          <t xml:space="preserve"> - Surfer Suite</t>
        </is>
      </c>
      <c r="H304">
        <f>HYPERLINK("https://booking.roadsurfer.com/es/rally/pick?pickup_date=2026-03-26&amp;return_date=2026-04-02&amp;currency=EUR&amp;startStation=22&amp;endStation=35",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2026-03-27</t>
        </is>
      </c>
      <c r="F305" t="inlineStr">
        <is>
          <t>2026-04-03</t>
        </is>
      </c>
      <c r="G305" t="inlineStr">
        <is>
          <t xml:space="preserve"> - Surfer Suite</t>
        </is>
      </c>
      <c r="H305">
        <f>HYPERLINK("https://booking.roadsurfer.com/es/rally/pick?pickup_date=2026-03-27&amp;return_date=2026-04-03&amp;currency=EUR&amp;startStation=22&amp;endStation=15",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2026-03-25</t>
        </is>
      </c>
      <c r="F306" t="inlineStr">
        <is>
          <t>2026-04-01</t>
        </is>
      </c>
      <c r="G306" t="inlineStr">
        <is>
          <t xml:space="preserve"> - Surfer Suite</t>
        </is>
      </c>
      <c r="H306">
        <f>HYPERLINK("https://booking.roadsurfer.com/es/rally/pick?pickup_date=2026-03-25&amp;return_date=2026-04-01&amp;currency=EUR&amp;startStation=22&amp;endStation=45",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2026-04-22</t>
        </is>
      </c>
      <c r="F307" t="inlineStr">
        <is>
          <t>2026-04-29</t>
        </is>
      </c>
      <c r="G307" t="inlineStr">
        <is>
          <t xml:space="preserve"> - Surfer Suite</t>
        </is>
      </c>
      <c r="H307">
        <f>HYPERLINK("https://booking.roadsurfer.com/es/rally/pick?pickup_date=2026-04-22&amp;return_date=2026-04-29&amp;currency=EUR&amp;startStation=22&amp;endStation=47",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2026-03-29</t>
        </is>
      </c>
      <c r="F308" t="inlineStr">
        <is>
          <t>2026-04-05</t>
        </is>
      </c>
      <c r="G308" t="inlineStr">
        <is>
          <t xml:space="preserve"> - No hay coche</t>
        </is>
      </c>
      <c r="H308">
        <f>HYPERLINK("https://booking.roadsurfer.com/es/rally/pick?pickup_date=2026-03-29&amp;return_date=2026-04-05&amp;currency=EUR&amp;startStation=22&amp;endStation=47",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Málaga</t>
        </is>
      </c>
      <c r="E309" t="inlineStr">
        <is>
          <t>2026-03-30</t>
        </is>
      </c>
      <c r="F309" t="inlineStr">
        <is>
          <t>2026-04-06</t>
        </is>
      </c>
      <c r="G309" t="inlineStr">
        <is>
          <t xml:space="preserve"> - Surfer Suite</t>
        </is>
      </c>
      <c r="H309">
        <f>HYPERLINK("https://booking.roadsurfer.com/es/rally/pick?pickup_date=2026-03-30&amp;return_date=2026-04-06&amp;currency=EUR&amp;startStation=22&amp;endStation=21",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2026-03-26</t>
        </is>
      </c>
      <c r="F310" t="inlineStr">
        <is>
          <t>2026-04-02</t>
        </is>
      </c>
      <c r="G310" t="inlineStr">
        <is>
          <t xml:space="preserve"> - Road House - Family Finca</t>
        </is>
      </c>
      <c r="H310">
        <f>HYPERLINK("https://booking.roadsurfer.com/es/rally/pick?pickup_date=2026-03-26&amp;return_date=2026-04-02&amp;currency=EUR&amp;startStation=22&amp;endStation=59",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2026-03-30</t>
        </is>
      </c>
      <c r="F312" t="inlineStr">
        <is>
          <t>2026-04-06</t>
        </is>
      </c>
      <c r="G312" t="inlineStr">
        <is>
          <t xml:space="preserve"> - No hay coche</t>
        </is>
      </c>
      <c r="H312">
        <f>HYPERLINK("https://booking.roadsurfer.com/es/rally/pick?pickup_date=2026-03-30&amp;return_date=2026-04-06&amp;currency=EUR&amp;startStation=22&amp;endStation=59",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Camper Castle</t>
        </is>
      </c>
      <c r="H313">
        <f>HYPERLINK("https://booking.roadsurfer.com/es/rally/pick?pickup_date=2026-05-18&amp;return_date=2026-05-25&amp;currency=EUR&amp;startStation=22&amp;endStation=59",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Barcelona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BEACH HOSTEL</t>
        </is>
      </c>
      <c r="H314">
        <f>HYPERLINK("https://booking.roadsurfer.com/es/rally/pick?pickup_date=2026-03-23&amp;return_date=2026-03-30&amp;currency=EUR&amp;startStation=22&amp;endStation=17",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Sunrise Suite</t>
        </is>
      </c>
      <c r="H315">
        <f>HYPERLINK("https://booking.roadsurfer.com/es/rally/pick?pickup_date=2026-04-13&amp;return_date=2026-04-20&amp;currency=EUR&amp;startStation=22&amp;endStation=17",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2026-04-12</t>
        </is>
      </c>
      <c r="F316" t="inlineStr">
        <is>
          <t>2026-04-19</t>
        </is>
      </c>
      <c r="G316" t="inlineStr">
        <is>
          <t xml:space="preserve"> - No hay coche</t>
        </is>
      </c>
      <c r="H316">
        <f>HYPERLINK("https://booking.roadsurfer.com/es/rally/pick?pickup_date=2026-04-12&amp;return_date=2026-04-19&amp;currency=EUR&amp;startStation=22&amp;endStation=17",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2026-03-26</t>
        </is>
      </c>
      <c r="F317" t="inlineStr">
        <is>
          <t>2026-04-02</t>
        </is>
      </c>
      <c r="G317" t="inlineStr">
        <is>
          <t xml:space="preserve"> - No hay coche</t>
        </is>
      </c>
      <c r="H317">
        <f>HYPERLINK("https://booking.roadsurfer.com/es/rally/pick?pickup_date=2026-03-26&amp;return_date=2026-04-02&amp;currency=EUR&amp;startStation=22&amp;endStation=17",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Barcelona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Surfer Suite</t>
        </is>
      </c>
      <c r="H318">
        <f>HYPERLINK("https://booking.roadsurfer.com/es/rally/pick?pickup_date=2026-04-16&amp;return_date=2026-04-23&amp;currency=EUR&amp;startStation=22&amp;endStation=17",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Lille</t>
        </is>
      </c>
      <c r="E319" t="inlineStr">
        <is>
          <t>2026-03-27</t>
        </is>
      </c>
      <c r="F319" t="inlineStr">
        <is>
          <t>2026-04-03</t>
        </is>
      </c>
      <c r="G319" t="inlineStr">
        <is>
          <t xml:space="preserve"> - Beach Hostel</t>
        </is>
      </c>
      <c r="H319">
        <f>HYPERLINK("https://booking.roadsurfer.com/es/rally/pick?pickup_date=2026-03-27&amp;return_date=2026-04-03&amp;currency=EUR&amp;startStation=22&amp;endStation=87",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Lille</t>
        </is>
      </c>
      <c r="E320" t="inlineStr">
        <is>
          <t>2026-03-26</t>
        </is>
      </c>
      <c r="F320" t="inlineStr">
        <is>
          <t>2026-04-02</t>
        </is>
      </c>
      <c r="G320" t="inlineStr">
        <is>
          <t xml:space="preserve"> - Beach Hostel</t>
        </is>
      </c>
      <c r="H320">
        <f>HYPERLINK("https://booking.roadsurfer.com/es/rally/pick?pickup_date=2026-03-26&amp;return_date=2026-04-02&amp;currency=EUR&amp;startStation=22&amp;endStation=87",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2026-03-27</t>
        </is>
      </c>
      <c r="F321" t="inlineStr">
        <is>
          <t>2026-04-03</t>
        </is>
      </c>
      <c r="G321" t="inlineStr">
        <is>
          <t xml:space="preserve"> - No hay coche</t>
        </is>
      </c>
      <c r="H321">
        <f>HYPERLINK("https://booking.roadsurfer.com/es/rally/pick?pickup_date=2026-03-27&amp;return_date=2026-04-03&amp;currency=EUR&amp;startStation=22&amp;endStation=34",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Austria</t>
        </is>
      </c>
      <c r="D322" t="inlineStr">
        <is>
          <t>Viena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Camper Cabin Deluxe</t>
        </is>
      </c>
      <c r="H322">
        <f>HYPERLINK("https://booking.roadsurfer.com/es/rally/pick?pickup_date=2026-04-27&amp;return_date=2026-05-04&amp;currency=EUR&amp;startStation=22&amp;endStation=36",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Viena</t>
        </is>
      </c>
      <c r="E323" t="inlineStr">
        <is>
          <t>2026-04-08</t>
        </is>
      </c>
      <c r="F323" t="inlineStr">
        <is>
          <t>2026-04-15</t>
        </is>
      </c>
      <c r="G323" t="inlineStr">
        <is>
          <t xml:space="preserve"> - Beach Hostel</t>
        </is>
      </c>
      <c r="H323">
        <f>HYPERLINK("https://booking.roadsurfer.com/es/rally/pick?pickup_date=2026-04-08&amp;return_date=2026-04-15&amp;currency=EUR&amp;startStation=22&amp;endStation=36",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Austria</t>
        </is>
      </c>
      <c r="D324" t="inlineStr">
        <is>
          <t>Viena</t>
        </is>
      </c>
      <c r="E324" t="inlineStr">
        <is>
          <t>2026-03-30</t>
        </is>
      </c>
      <c r="F324" t="inlineStr">
        <is>
          <t>2026-04-06</t>
        </is>
      </c>
      <c r="G324" t="inlineStr">
        <is>
          <t xml:space="preserve"> - No hay coche</t>
        </is>
      </c>
      <c r="H324">
        <f>HYPERLINK("https://booking.roadsurfer.com/es/rally/pick?pickup_date=2026-03-30&amp;return_date=2026-04-06&amp;currency=EUR&amp;startStation=22&amp;endStation=36",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Italia</t>
        </is>
      </c>
      <c r="D325" t="inlineStr">
        <is>
          <t>Florencia</t>
        </is>
      </c>
      <c r="E325" t="inlineStr">
        <is>
          <t>2026-04-24</t>
        </is>
      </c>
      <c r="F325" t="inlineStr">
        <is>
          <t>2026-05-01</t>
        </is>
      </c>
      <c r="G325" t="inlineStr">
        <is>
          <t xml:space="preserve"> - No hay coche</t>
        </is>
      </c>
      <c r="H325">
        <f>HYPERLINK("https://booking.roadsurfer.com/es/rally/pick?pickup_date=2026-04-24&amp;return_date=2026-05-01&amp;currency=EUR&amp;startStation=22&amp;endStation=80",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Florencia</t>
        </is>
      </c>
      <c r="E326" t="inlineStr">
        <is>
          <t>2026-04-06</t>
        </is>
      </c>
      <c r="F326" t="inlineStr">
        <is>
          <t>2026-04-13</t>
        </is>
      </c>
      <c r="G326" t="inlineStr">
        <is>
          <t xml:space="preserve"> - Beach Hostel</t>
        </is>
      </c>
      <c r="H326">
        <f>HYPERLINK("https://booking.roadsurfer.com/es/rally/pick?pickup_date=2026-04-06&amp;return_date=2026-04-13&amp;currency=EUR&amp;startStation=22&amp;endStation=80",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Burdeos</t>
        </is>
      </c>
      <c r="E327" t="inlineStr">
        <is>
          <t>2026-03-27</t>
        </is>
      </c>
      <c r="F327" t="inlineStr">
        <is>
          <t>2026-04-03</t>
        </is>
      </c>
      <c r="G327" t="inlineStr">
        <is>
          <t xml:space="preserve"> - Camper Cabin</t>
        </is>
      </c>
      <c r="H327">
        <f>HYPERLINK("https://booking.roadsurfer.com/es/rally/pick?pickup_date=2026-03-27&amp;return_date=2026-04-03&amp;currency=EUR&amp;startStation=22&amp;endStation=13",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Sevilla</t>
        </is>
      </c>
      <c r="E328" t="inlineStr">
        <is>
          <t>2026-03-23</t>
        </is>
      </c>
      <c r="F328" t="inlineStr">
        <is>
          <t>2026-03-30</t>
        </is>
      </c>
      <c r="G328" t="inlineStr">
        <is>
          <t xml:space="preserve"> - Road House</t>
        </is>
      </c>
      <c r="H328">
        <f>HYPERLINK("https://booking.roadsurfer.com/es/rally/pick?pickup_date=2026-03-23&amp;return_date=2026-03-30&amp;currency=EUR&amp;startStation=22&amp;endStation=39", "Clic para verlo en la web de RoadSurfer")</f>
        <v/>
      </c>
    </row>
    <row r="329">
      <c r="A329" t="inlineStr">
        <is>
          <t>Italia</t>
        </is>
      </c>
      <c r="B329" t="inlineStr">
        <is>
          <t>Milán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No hay coche</t>
        </is>
      </c>
      <c r="H329">
        <f>HYPERLINK("https://booking.roadsurfer.com/es/rally/pick?pickup_date=2026-05-04&amp;return_date=2026-05-11&amp;currency=EUR&amp;startStation=34&amp;endStation=115", "Clic para verlo en la web de RoadSurfer")</f>
        <v/>
      </c>
    </row>
    <row r="330">
      <c r="A330" t="inlineStr">
        <is>
          <t>Italia</t>
        </is>
      </c>
      <c r="B330" t="inlineStr">
        <is>
          <t>Milán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Cozy Cottage</t>
        </is>
      </c>
      <c r="H330">
        <f>HYPERLINK("https://booking.roadsurfer.com/es/rally/pick?pickup_date=2026-04-13&amp;return_date=2026-04-20&amp;currency=EUR&amp;startStation=34&amp;endStation=5",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Niza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Surfer Suite</t>
        </is>
      </c>
      <c r="H331">
        <f>HYPERLINK("https://booking.roadsurfer.com/es/rally/pick?pickup_date=2026-04-23&amp;return_date=2026-04-30&amp;currency=EUR&amp;startStation=1&amp;endStation=88",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Austria</t>
        </is>
      </c>
      <c r="D332" t="inlineStr">
        <is>
          <t>Linz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Surfer Suite</t>
        </is>
      </c>
      <c r="H332">
        <f>HYPERLINK("https://booking.roadsurfer.com/es/rally/pick?pickup_date=2026-04-20&amp;return_date=2026-04-27&amp;currency=EUR&amp;startStation=1&amp;endStation=116",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2026-04-15</t>
        </is>
      </c>
      <c r="F333" t="inlineStr">
        <is>
          <t>2026-04-22</t>
        </is>
      </c>
      <c r="G333" t="inlineStr">
        <is>
          <t xml:space="preserve"> - Camper Cabin</t>
        </is>
      </c>
      <c r="H333">
        <f>HYPERLINK("https://booking.roadsurfer.com/es/rally/pick?pickup_date=2026-04-15&amp;return_date=2026-04-22&amp;currency=EUR&amp;startStation=1&amp;endStation=40",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Couple Cottage</t>
        </is>
      </c>
      <c r="H334">
        <f>HYPERLINK("https://booking.roadsurfer.com/es/rally/pick?pickup_date=2026-04-20&amp;return_date=2026-04-27&amp;currency=EUR&amp;startStation=1&amp;endStation=94",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2026-05-02</t>
        </is>
      </c>
      <c r="F335" t="inlineStr">
        <is>
          <t>2026-05-09</t>
        </is>
      </c>
      <c r="G335" t="inlineStr">
        <is>
          <t xml:space="preserve"> - Road House</t>
        </is>
      </c>
      <c r="H335">
        <f>HYPERLINK("https://booking.roadsurfer.com/es/rally/pick?pickup_date=2026-05-02&amp;return_date=2026-05-09&amp;currency=EUR&amp;startStation=1&amp;endStation=94",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Lille</t>
        </is>
      </c>
      <c r="E336" t="inlineStr">
        <is>
          <t>2026-04-09</t>
        </is>
      </c>
      <c r="F336" t="inlineStr">
        <is>
          <t>2026-04-16</t>
        </is>
      </c>
      <c r="G336" t="inlineStr">
        <is>
          <t xml:space="preserve"> - COZY COTTAGE</t>
        </is>
      </c>
      <c r="H336">
        <f>HYPERLINK("https://booking.roadsurfer.com/es/rally/pick?pickup_date=2026-04-09&amp;return_date=2026-04-16&amp;currency=EUR&amp;startStation=1&amp;endStation=87",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Lille</t>
        </is>
      </c>
      <c r="E337" t="inlineStr">
        <is>
          <t>2026-03-27</t>
        </is>
      </c>
      <c r="F337" t="inlineStr">
        <is>
          <t>2026-04-03</t>
        </is>
      </c>
      <c r="G337" t="inlineStr">
        <is>
          <t xml:space="preserve"> - Road House</t>
        </is>
      </c>
      <c r="H337">
        <f>HYPERLINK("https://booking.roadsurfer.com/es/rally/pick?pickup_date=2026-03-27&amp;return_date=2026-04-03&amp;currency=EUR&amp;startStation=1&amp;endStation=87",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Road House</t>
        </is>
      </c>
      <c r="H338">
        <f>HYPERLINK("https://booking.roadsurfer.com/es/rally/pick?pickup_date=2026-03-24&amp;return_date=2026-03-31&amp;currency=EUR&amp;startStation=1&amp;endStation=20",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Francia</t>
        </is>
      </c>
      <c r="D339" t="inlineStr">
        <is>
          <t>Estrasburgo</t>
        </is>
      </c>
      <c r="E339" t="inlineStr">
        <is>
          <t>2026-03-24</t>
        </is>
      </c>
      <c r="F339" t="inlineStr">
        <is>
          <t>2026-03-31</t>
        </is>
      </c>
      <c r="G339" t="inlineStr">
        <is>
          <t xml:space="preserve"> - Camper Castle</t>
        </is>
      </c>
      <c r="H339">
        <f>HYPERLINK("https://booking.roadsurfer.com/es/rally/pick?pickup_date=2026-03-24&amp;return_date=2026-03-31&amp;currency=EUR&amp;startStation=1&amp;endStation=49",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Francia</t>
        </is>
      </c>
      <c r="D340" t="inlineStr">
        <is>
          <t>Nantes</t>
        </is>
      </c>
      <c r="E340" t="inlineStr">
        <is>
          <t>2026-04-16</t>
        </is>
      </c>
      <c r="F340" t="inlineStr">
        <is>
          <t>2026-04-23</t>
        </is>
      </c>
      <c r="G340" t="inlineStr">
        <is>
          <t xml:space="preserve"> - Camper Castle</t>
        </is>
      </c>
      <c r="H340">
        <f>HYPERLINK("https://booking.roadsurfer.com/es/rally/pick?pickup_date=2026-04-16&amp;return_date=2026-04-23&amp;currency=EUR&amp;startStation=1&amp;endStation=31",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Camper Castle</t>
        </is>
      </c>
      <c r="H341">
        <f>HYPERLINK("https://booking.roadsurfer.com/es/rally/pick?pickup_date=2026-04-13&amp;return_date=2026-04-20&amp;currency=EUR&amp;startStation=1&amp;endStation=45",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Austria</t>
        </is>
      </c>
      <c r="D342" t="inlineStr">
        <is>
          <t>Viena Sur</t>
        </is>
      </c>
      <c r="E342" t="inlineStr">
        <is>
          <t>2026-03-27</t>
        </is>
      </c>
      <c r="F342" t="inlineStr">
        <is>
          <t>2026-04-03</t>
        </is>
      </c>
      <c r="G342" t="inlineStr">
        <is>
          <t xml:space="preserve"> - Couple Cottage</t>
        </is>
      </c>
      <c r="H342">
        <f>HYPERLINK("https://booking.roadsurfer.com/es/rally/pick?pickup_date=2026-03-27&amp;return_date=2026-04-03&amp;currency=EUR&amp;startStation=1&amp;endStation=45",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Family Finca</t>
        </is>
      </c>
      <c r="H343">
        <f>HYPERLINK("https://booking.roadsurfer.com/es/rally/pick?pickup_date=2026-04-16&amp;return_date=2026-04-23&amp;currency=EUR&amp;startStation=1&amp;endStation=34",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2026-04-09</t>
        </is>
      </c>
      <c r="F344" t="inlineStr">
        <is>
          <t>2026-04-16</t>
        </is>
      </c>
      <c r="G344" t="inlineStr">
        <is>
          <t xml:space="preserve"> - Couple Cottage</t>
        </is>
      </c>
      <c r="H344">
        <f>HYPERLINK("https://booking.roadsurfer.com/es/rally/pick?pickup_date=2026-04-09&amp;return_date=2026-04-16&amp;currency=EUR&amp;startStation=1&amp;endStation=47", "Clic para verlo en la web de RoadSurfer")</f>
        <v/>
      </c>
    </row>
    <row r="345">
      <c r="A345" t="inlineStr">
        <is>
          <t>Alemania</t>
        </is>
      </c>
      <c r="B345" t="inlineStr">
        <is>
          <t>Múnich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2026-03-27</t>
        </is>
      </c>
      <c r="F345" t="inlineStr">
        <is>
          <t>2026-04-03</t>
        </is>
      </c>
      <c r="G345" t="inlineStr">
        <is>
          <t xml:space="preserve"> - No hay coche</t>
        </is>
      </c>
      <c r="H345">
        <f>HYPERLINK("https://booking.roadsurfer.com/es/rally/pick?pickup_date=2026-03-27&amp;return_date=2026-04-03&amp;currency=EUR&amp;startStation=1&amp;endStation=24", "Clic para verlo en la web de RoadSurfer")</f>
        <v/>
      </c>
    </row>
    <row r="346">
      <c r="A346" t="inlineStr">
        <is>
          <t>Alemania</t>
        </is>
      </c>
      <c r="B346" t="inlineStr">
        <is>
          <t>Múnich</t>
        </is>
      </c>
      <c r="C346" t="inlineStr">
        <is>
          <t>Italia</t>
        </is>
      </c>
      <c r="D346" t="inlineStr">
        <is>
          <t>Venecia</t>
        </is>
      </c>
      <c r="E346" t="inlineStr">
        <is>
          <t>2026-03-24</t>
        </is>
      </c>
      <c r="F346" t="inlineStr">
        <is>
          <t>2026-03-31</t>
        </is>
      </c>
      <c r="G346" t="inlineStr">
        <is>
          <t xml:space="preserve"> - Couple Cottage</t>
        </is>
      </c>
      <c r="H346">
        <f>HYPERLINK("https://booking.roadsurfer.com/es/rally/pick?pickup_date=2026-03-24&amp;return_date=2026-03-31&amp;currency=EUR&amp;startStation=1&amp;endStation=78", "Clic para verlo en la web de RoadSurfer")</f>
        <v/>
      </c>
    </row>
    <row r="347">
      <c r="A347" t="inlineStr">
        <is>
          <t>Alemania</t>
        </is>
      </c>
      <c r="B347" t="inlineStr">
        <is>
          <t>Múnich</t>
        </is>
      </c>
      <c r="C347" t="inlineStr">
        <is>
          <t>Francia</t>
        </is>
      </c>
      <c r="D347" t="inlineStr">
        <is>
          <t>Burdeos</t>
        </is>
      </c>
      <c r="E347" t="inlineStr">
        <is>
          <t>2026-04-17</t>
        </is>
      </c>
      <c r="F347" t="inlineStr">
        <is>
          <t>2026-04-24</t>
        </is>
      </c>
      <c r="G347" t="inlineStr">
        <is>
          <t xml:space="preserve"> - Sunrise Suite</t>
        </is>
      </c>
      <c r="H347">
        <f>HYPERLINK("https://booking.roadsurfer.com/es/rally/pick?pickup_date=2026-04-17&amp;return_date=2026-04-24&amp;currency=EUR&amp;startStation=1&amp;endStation=13",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Sunrise Suite</t>
        </is>
      </c>
      <c r="H348">
        <f>HYPERLINK("https://booking.roadsurfer.com/es/rally/pick?pickup_date=2026-04-20&amp;return_date=2026-04-27&amp;currency=EUR&amp;startStation=1&amp;endStation=12", "Clic para verlo en la web de RoadSurfer")</f>
        <v/>
      </c>
    </row>
    <row r="349">
      <c r="A349" t="inlineStr">
        <is>
          <t>Francia</t>
        </is>
      </c>
      <c r="B349" t="inlineStr">
        <is>
          <t>Nantes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2026-03-24</t>
        </is>
      </c>
      <c r="F349" t="inlineStr">
        <is>
          <t>2026-03-31</t>
        </is>
      </c>
      <c r="G349" t="inlineStr">
        <is>
          <t xml:space="preserve"> - Beach Hostel</t>
        </is>
      </c>
      <c r="H349">
        <f>HYPERLINK("https://booking.roadsurfer.com/es/rally/pick?pickup_date=2026-03-24&amp;return_date=2026-03-31&amp;currency=EUR&amp;startStation=31&amp;endStation=91", "Clic para verlo en la web de RoadSurfer")</f>
        <v/>
      </c>
    </row>
    <row r="350">
      <c r="A350" t="inlineStr">
        <is>
          <t>Francia</t>
        </is>
      </c>
      <c r="B350" t="inlineStr">
        <is>
          <t>Nantes</t>
        </is>
      </c>
      <c r="C350" t="inlineStr">
        <is>
          <t>Alemania</t>
        </is>
      </c>
      <c r="D350" t="inlineStr">
        <is>
          <t>Ulm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Beach Hostel</t>
        </is>
      </c>
      <c r="H350">
        <f>HYPERLINK("https://booking.roadsurfer.com/es/rally/pick?pickup_date=2026-04-14&amp;return_date=2026-04-21&amp;currency=EUR&amp;startStation=31&amp;endStation=112", "Clic para verlo en la web de RoadSurfer")</f>
        <v/>
      </c>
    </row>
    <row r="351">
      <c r="A351" t="inlineStr">
        <is>
          <t>Francia</t>
        </is>
      </c>
      <c r="B351" t="inlineStr">
        <is>
          <t>Nantes</t>
        </is>
      </c>
      <c r="C351" t="inlineStr">
        <is>
          <t>Alemania</t>
        </is>
      </c>
      <c r="D351" t="inlineStr">
        <is>
          <t>Constanza (Aach)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Family Finca</t>
        </is>
      </c>
      <c r="H351">
        <f>HYPERLINK("https://booking.roadsurfer.com/es/rally/pick?pickup_date=2026-05-04&amp;return_date=2026-05-11&amp;currency=EUR&amp;startStation=31&amp;endStation=10", "Clic para verlo en la web de RoadSurfer")</f>
        <v/>
      </c>
    </row>
    <row r="352">
      <c r="A352" t="inlineStr">
        <is>
          <t>Francia</t>
        </is>
      </c>
      <c r="B352" t="inlineStr">
        <is>
          <t>Nantes</t>
        </is>
      </c>
      <c r="C352" t="inlineStr">
        <is>
          <t>Alemania</t>
        </is>
      </c>
      <c r="D352" t="inlineStr">
        <is>
          <t>Aquisgrán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Travel Home</t>
        </is>
      </c>
      <c r="H352">
        <f>HYPERLINK("https://booking.roadsurfer.com/es/rally/pick?pickup_date=2026-04-13&amp;return_date=2026-04-20&amp;currency=EUR&amp;startStation=31&amp;endStation=114", "Clic para verlo en la web de RoadSurfer")</f>
        <v/>
      </c>
    </row>
    <row r="353">
      <c r="A353" t="inlineStr">
        <is>
          <t>Alemania</t>
        </is>
      </c>
      <c r="B353" t="inlineStr">
        <is>
          <t>Núremberg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Camper Castle</t>
        </is>
      </c>
      <c r="H353">
        <f>HYPERLINK("https://booking.roadsurfer.com/es/rally/pick?pickup_date=2026-04-14&amp;return_date=2026-04-21&amp;currency=EUR&amp;startStation=11&amp;endStation=30", "Clic para verlo en la web de RoadSurfer")</f>
        <v/>
      </c>
    </row>
    <row r="354">
      <c r="A354" t="inlineStr">
        <is>
          <t>Francia</t>
        </is>
      </c>
      <c r="B354" t="inlineStr">
        <is>
          <t>París Sur (Orly)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Surfer Suite</t>
        </is>
      </c>
      <c r="H354">
        <f>HYPERLINK("https://booking.roadsurfer.com/es/rally/pick?pickup_date=2026-04-20&amp;return_date=2026-04-27&amp;currency=EUR&amp;startStation=12&amp;endStation=6", "Clic para verlo en la web de RoadSurfer")</f>
        <v/>
      </c>
    </row>
    <row r="355">
      <c r="A355" t="inlineStr">
        <is>
          <t>Francia</t>
        </is>
      </c>
      <c r="B355" t="inlineStr">
        <is>
          <t>París Sur (Orly)</t>
        </is>
      </c>
      <c r="C355" t="inlineStr">
        <is>
          <t>Alemania</t>
        </is>
      </c>
      <c r="D355" t="inlineStr">
        <is>
          <t>Aquisgrán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Cabin</t>
        </is>
      </c>
      <c r="H355">
        <f>HYPERLINK("https://booking.roadsurfer.com/es/rally/pick?pickup_date=2026-05-04&amp;return_date=2026-05-11&amp;currency=EUR&amp;startStation=12&amp;endStation=114", "Clic para verlo en la web de RoadSurfer")</f>
        <v/>
      </c>
    </row>
    <row r="356">
      <c r="A356" t="inlineStr">
        <is>
          <t>Francia</t>
        </is>
      </c>
      <c r="B356" t="inlineStr">
        <is>
          <t>París Sur (Orly)</t>
        </is>
      </c>
      <c r="C356" t="inlineStr">
        <is>
          <t>Alemania</t>
        </is>
      </c>
      <c r="D356" t="inlineStr">
        <is>
          <t>Karlsruhe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Camper Cabin</t>
        </is>
      </c>
      <c r="H356">
        <f>HYPERLINK("https://booking.roadsurfer.com/es/rally/pick?pickup_date=2026-05-04&amp;return_date=2026-05-11&amp;currency=EUR&amp;startStation=12&amp;endStation=110", "Clic para verlo en la web de RoadSurfer")</f>
        <v/>
      </c>
    </row>
    <row r="357">
      <c r="A357" t="inlineStr">
        <is>
          <t>Francia</t>
        </is>
      </c>
      <c r="B357" t="inlineStr">
        <is>
          <t>París Aeropuerto CDG</t>
        </is>
      </c>
      <c r="C357" t="inlineStr">
        <is>
          <t>Francia</t>
        </is>
      </c>
      <c r="D357" t="inlineStr">
        <is>
          <t>Aix-Marsella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Couple Cottage</t>
        </is>
      </c>
      <c r="H357">
        <f>HYPERLINK("https://booking.roadsurfer.com/es/rally/pick?pickup_date=2026-04-20&amp;return_date=2026-04-27&amp;currency=EUR&amp;startStation=48&amp;endStation=16", "Clic para verlo en la web de RoadSurfer")</f>
        <v/>
      </c>
    </row>
    <row r="358">
      <c r="A358" t="inlineStr">
        <is>
          <t>Francia</t>
        </is>
      </c>
      <c r="B358" t="inlineStr">
        <is>
          <t>París Aeropuerto CDG</t>
        </is>
      </c>
      <c r="C358" t="inlineStr">
        <is>
          <t>Alemania</t>
        </is>
      </c>
      <c r="D358" t="inlineStr">
        <is>
          <t>Aquisgrán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Road House</t>
        </is>
      </c>
      <c r="H358">
        <f>HYPERLINK("https://booking.roadsurfer.com/es/rally/pick?pickup_date=2026-05-04&amp;return_date=2026-05-11&amp;currency=EUR&amp;startStation=48&amp;endStation=114", "Clic para verlo en la web de RoadSurfer")</f>
        <v/>
      </c>
    </row>
    <row r="359">
      <c r="A359" t="inlineStr">
        <is>
          <t>Francia</t>
        </is>
      </c>
      <c r="B359" t="inlineStr">
        <is>
          <t>París Aeropuerto CDG</t>
        </is>
      </c>
      <c r="C359" t="inlineStr">
        <is>
          <t>Alemania</t>
        </is>
      </c>
      <c r="D359" t="inlineStr">
        <is>
          <t>Stuttgart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Family Finca</t>
        </is>
      </c>
      <c r="H359">
        <f>HYPERLINK("https://booking.roadsurfer.com/es/rally/pick?pickup_date=2026-04-13&amp;return_date=2026-04-20&amp;currency=EUR&amp;startStation=48&amp;endStation=5", "Clic para verlo en la web de RoadSurfer")</f>
        <v/>
      </c>
    </row>
    <row r="360">
      <c r="A360" t="inlineStr">
        <is>
          <t>EE.UU.</t>
        </is>
      </c>
      <c r="B360" t="inlineStr">
        <is>
          <t>Phoenix</t>
        </is>
      </c>
      <c r="C360" t="inlineStr">
        <is>
          <t>EE.UU.</t>
        </is>
      </c>
      <c r="D360" t="inlineStr">
        <is>
          <t>Dallas</t>
        </is>
      </c>
      <c r="E360" t="inlineStr">
        <is>
          <t>2026-03-31</t>
        </is>
      </c>
      <c r="F360" t="inlineStr">
        <is>
          <t>2026-04-07</t>
        </is>
      </c>
      <c r="G360" t="inlineStr">
        <is>
          <t xml:space="preserve"> - Couple Condo</t>
        </is>
      </c>
      <c r="H360">
        <f>HYPERLINK("https://booking.roadsurfer.com/es/rally/pick?pickup_date=2026-03-31&amp;return_date=2026-04-07&amp;currency=EUR&amp;startStation=105&amp;endStation=125", "Clic para verlo en la web de RoadSurfer")</f>
        <v/>
      </c>
    </row>
    <row r="361">
      <c r="A361" t="inlineStr">
        <is>
          <t>Alemania</t>
        </is>
      </c>
      <c r="B361" t="inlineStr">
        <is>
          <t>Ratisbona</t>
        </is>
      </c>
      <c r="C361" t="inlineStr">
        <is>
          <t>Alemania</t>
        </is>
      </c>
      <c r="D361" t="inlineStr">
        <is>
          <t>Bremen</t>
        </is>
      </c>
      <c r="E361" t="inlineStr">
        <is>
          <t>2026-03-30</t>
        </is>
      </c>
      <c r="F361" t="inlineStr">
        <is>
          <t>2026-04-06</t>
        </is>
      </c>
      <c r="G361" t="inlineStr">
        <is>
          <t xml:space="preserve"> - No hay coche</t>
        </is>
      </c>
      <c r="H361">
        <f>HYPERLINK("https://booking.roadsurfer.com/es/rally/pick?pickup_date=2026-03-30&amp;return_date=2026-04-06&amp;currency=EUR&amp;startStation=89&amp;endStation=55", "Clic para verlo en la web de RoadSurfer")</f>
        <v/>
      </c>
    </row>
    <row r="362">
      <c r="A362" t="inlineStr">
        <is>
          <t>Alemania</t>
        </is>
      </c>
      <c r="B362" t="inlineStr">
        <is>
          <t>Ratisbona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2026-04-27</t>
        </is>
      </c>
      <c r="F362" t="inlineStr">
        <is>
          <t>2026-05-04</t>
        </is>
      </c>
      <c r="G362" t="inlineStr">
        <is>
          <t xml:space="preserve"> - Surfer Suite</t>
        </is>
      </c>
      <c r="H362">
        <f>HYPERLINK("https://booking.roadsurfer.com/es/rally/pick?pickup_date=2026-04-27&amp;return_date=2026-05-04&amp;currency=EUR&amp;startStation=89&amp;endStation=110",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Stuttgart</t>
        </is>
      </c>
      <c r="E363" t="inlineStr">
        <is>
          <t>2026-04-07</t>
        </is>
      </c>
      <c r="F363" t="inlineStr">
        <is>
          <t>2026-04-14</t>
        </is>
      </c>
      <c r="G363" t="inlineStr">
        <is>
          <t xml:space="preserve"> - Surfer Suite</t>
        </is>
      </c>
      <c r="H363">
        <f>HYPERLINK("https://booking.roadsurfer.com/es/rally/pick?pickup_date=2026-04-07&amp;return_date=2026-04-14&amp;currency=EUR&amp;startStation=39&amp;endStation=5",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2026-03-24</t>
        </is>
      </c>
      <c r="F364" t="inlineStr">
        <is>
          <t>2026-03-31</t>
        </is>
      </c>
      <c r="G364" t="inlineStr">
        <is>
          <t xml:space="preserve"> - Surfer Suite</t>
        </is>
      </c>
      <c r="H364">
        <f>HYPERLINK("https://booking.roadsurfer.com/es/rally/pick?pickup_date=2026-03-24&amp;return_date=2026-03-31&amp;currency=EUR&amp;startStation=59&amp;endStation=22",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Núremberg</t>
        </is>
      </c>
      <c r="E365" t="inlineStr">
        <is>
          <t>2026-04-02</t>
        </is>
      </c>
      <c r="F365" t="inlineStr">
        <is>
          <t>2026-04-09</t>
        </is>
      </c>
      <c r="G365" t="inlineStr">
        <is>
          <t xml:space="preserve"> - Surfer Suite</t>
        </is>
      </c>
      <c r="H365">
        <f>HYPERLINK("https://booking.roadsurfer.com/es/rally/pick?pickup_date=2026-04-02&amp;return_date=2026-04-09&amp;currency=EUR&amp;startStation=59&amp;endStation=11",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Núremberg</t>
        </is>
      </c>
      <c r="E366" t="inlineStr">
        <is>
          <t>2026-03-30</t>
        </is>
      </c>
      <c r="F366" t="inlineStr">
        <is>
          <t>2026-04-06</t>
        </is>
      </c>
      <c r="G366" t="inlineStr">
        <is>
          <t xml:space="preserve"> - No hay coche</t>
        </is>
      </c>
      <c r="H366">
        <f>HYPERLINK("https://booking.roadsurfer.com/es/rally/pick?pickup_date=2026-03-30&amp;return_date=2026-04-06&amp;currency=EUR&amp;startStation=59&amp;endStation=11",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Ratisbona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Camper Castle</t>
        </is>
      </c>
      <c r="H367">
        <f>HYPERLINK("https://booking.roadsurfer.com/es/rally/pick?pickup_date=2026-03-26&amp;return_date=2026-04-02&amp;currency=EUR&amp;startStation=59&amp;endStation=89",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Ratisbona</t>
        </is>
      </c>
      <c r="E368" t="inlineStr">
        <is>
          <t>2026-03-28</t>
        </is>
      </c>
      <c r="F368" t="inlineStr">
        <is>
          <t>2026-04-04</t>
        </is>
      </c>
      <c r="G368" t="inlineStr">
        <is>
          <t xml:space="preserve"> - Surfer Suite</t>
        </is>
      </c>
      <c r="H368">
        <f>HYPERLINK("https://booking.roadsurfer.com/es/rally/pick?pickup_date=2026-03-28&amp;return_date=2026-04-04&amp;currency=EUR&amp;startStation=59&amp;endStation=89",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Couple Cottage</t>
        </is>
      </c>
      <c r="H369">
        <f>HYPERLINK("https://booking.roadsurfer.com/es/rally/pick?pickup_date=2026-04-14&amp;return_date=2026-04-21&amp;currency=EUR&amp;startStation=59&amp;endStation=90",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2026-03-24</t>
        </is>
      </c>
      <c r="F370" t="inlineStr">
        <is>
          <t>2026-03-31</t>
        </is>
      </c>
      <c r="G370" t="inlineStr">
        <is>
          <t xml:space="preserve"> - Sunrise Suite</t>
        </is>
      </c>
      <c r="H370">
        <f>HYPERLINK("https://booking.roadsurfer.com/es/rally/pick?pickup_date=2026-03-24&amp;return_date=2026-03-31&amp;currency=EUR&amp;startStation=59&amp;endStation=90",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2026-04-16</t>
        </is>
      </c>
      <c r="F371" t="inlineStr">
        <is>
          <t>2026-04-23</t>
        </is>
      </c>
      <c r="G371" t="inlineStr">
        <is>
          <t xml:space="preserve"> - Road House</t>
        </is>
      </c>
      <c r="H371">
        <f>HYPERLINK("https://booking.roadsurfer.com/es/rally/pick?pickup_date=2026-04-16&amp;return_date=2026-04-23&amp;currency=EUR&amp;startStation=59&amp;endStation=90",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2026-03-25</t>
        </is>
      </c>
      <c r="F372" t="inlineStr">
        <is>
          <t>2026-04-01</t>
        </is>
      </c>
      <c r="G372" t="inlineStr">
        <is>
          <t xml:space="preserve"> - Surfer Suite</t>
        </is>
      </c>
      <c r="H372">
        <f>HYPERLINK("https://booking.roadsurfer.com/es/rally/pick?pickup_date=2026-03-25&amp;return_date=2026-04-01&amp;currency=EUR&amp;startStation=59&amp;endStation=90",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2026-03-27</t>
        </is>
      </c>
      <c r="F373" t="inlineStr">
        <is>
          <t>2026-04-03</t>
        </is>
      </c>
      <c r="G373" t="inlineStr">
        <is>
          <t xml:space="preserve"> - No hay coche</t>
        </is>
      </c>
      <c r="H373">
        <f>HYPERLINK("https://booking.roadsurfer.com/es/rally/pick?pickup_date=2026-03-27&amp;return_date=2026-04-03&amp;currency=EUR&amp;startStation=59&amp;endStation=6",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Karlsruhe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Camper Castle</t>
        </is>
      </c>
      <c r="H374">
        <f>HYPERLINK("https://booking.roadsurfer.com/es/rally/pick?pickup_date=2026-04-14&amp;return_date=2026-04-21&amp;currency=EUR&amp;startStation=59&amp;endStation=110",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Karlsruhe</t>
        </is>
      </c>
      <c r="E375" t="inlineStr">
        <is>
          <t>2026-03-31</t>
        </is>
      </c>
      <c r="F375" t="inlineStr">
        <is>
          <t>2026-04-07</t>
        </is>
      </c>
      <c r="G375" t="inlineStr">
        <is>
          <t xml:space="preserve"> - Surfer Suite</t>
        </is>
      </c>
      <c r="H375">
        <f>HYPERLINK("https://booking.roadsurfer.com/es/rally/pick?pickup_date=2026-03-31&amp;return_date=2026-04-07&amp;currency=EUR&amp;startStation=59&amp;endStation=110",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Road House</t>
        </is>
      </c>
      <c r="H376">
        <f>HYPERLINK("https://booking.roadsurfer.com/es/rally/pick?pickup_date=2026-04-14&amp;return_date=2026-04-21&amp;currency=EUR&amp;startStation=59&amp;endStation=91",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Bielefeld</t>
        </is>
      </c>
      <c r="E377" t="inlineStr">
        <is>
          <t>2026-03-24</t>
        </is>
      </c>
      <c r="F377" t="inlineStr">
        <is>
          <t>2026-03-31</t>
        </is>
      </c>
      <c r="G377" t="inlineStr">
        <is>
          <t xml:space="preserve"> - Beach Hostel</t>
        </is>
      </c>
      <c r="H377">
        <f>HYPERLINK("https://booking.roadsurfer.com/es/rally/pick?pickup_date=2026-03-24&amp;return_date=2026-03-31&amp;currency=EUR&amp;startStation=59&amp;endStation=91",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Bielefeld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Sunrise Suite</t>
        </is>
      </c>
      <c r="H378">
        <f>HYPERLINK("https://booking.roadsurfer.com/es/rally/pick?pickup_date=2026-05-04&amp;return_date=2026-05-11&amp;currency=EUR&amp;startStation=59&amp;endStation=91",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Bielefeld</t>
        </is>
      </c>
      <c r="E379" t="inlineStr">
        <is>
          <t>2026-04-06</t>
        </is>
      </c>
      <c r="F379" t="inlineStr">
        <is>
          <t>2026-04-13</t>
        </is>
      </c>
      <c r="G379" t="inlineStr">
        <is>
          <t xml:space="preserve"> - No hay coche</t>
        </is>
      </c>
      <c r="H379">
        <f>HYPERLINK("https://booking.roadsurfer.com/es/rally/pick?pickup_date=2026-04-06&amp;return_date=2026-04-13&amp;currency=EUR&amp;startStation=59&amp;endStation=91",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Bielefeld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Road House</t>
        </is>
      </c>
      <c r="H380">
        <f>HYPERLINK("https://booking.roadsurfer.com/es/rally/pick?pickup_date=2026-04-13&amp;return_date=2026-04-20&amp;currency=EUR&amp;startStation=59&amp;endStation=91",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Bremen</t>
        </is>
      </c>
      <c r="E381" t="inlineStr">
        <is>
          <t>2026-03-25</t>
        </is>
      </c>
      <c r="F381" t="inlineStr">
        <is>
          <t>2026-04-01</t>
        </is>
      </c>
      <c r="G381" t="inlineStr">
        <is>
          <t xml:space="preserve"> - BEACH HOSTEL</t>
        </is>
      </c>
      <c r="H381">
        <f>HYPERLINK("https://booking.roadsurfer.com/es/rally/pick?pickup_date=2026-03-25&amp;return_date=2026-04-01&amp;currency=EUR&amp;startStation=59&amp;endStation=55",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2026-03-24</t>
        </is>
      </c>
      <c r="F382" t="inlineStr">
        <is>
          <t>2026-03-31</t>
        </is>
      </c>
      <c r="G382" t="inlineStr">
        <is>
          <t xml:space="preserve"> - Road House</t>
        </is>
      </c>
      <c r="H382">
        <f>HYPERLINK("https://booking.roadsurfer.com/es/rally/pick?pickup_date=2026-03-24&amp;return_date=2026-03-31&amp;currency=EUR&amp;startStation=59&amp;endStation=56",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Colonia-Bonn</t>
        </is>
      </c>
      <c r="E383" t="inlineStr">
        <is>
          <t>2026-04-06</t>
        </is>
      </c>
      <c r="F383" t="inlineStr">
        <is>
          <t>2026-04-13</t>
        </is>
      </c>
      <c r="G383" t="inlineStr">
        <is>
          <t xml:space="preserve"> - No hay coche</t>
        </is>
      </c>
      <c r="H383">
        <f>HYPERLINK("https://booking.roadsurfer.com/es/rally/pick?pickup_date=2026-04-06&amp;return_date=2026-04-13&amp;currency=EUR&amp;startStation=59&amp;endStation=52",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Augsburgo</t>
        </is>
      </c>
      <c r="E384" t="inlineStr">
        <is>
          <t>2026-03-26</t>
        </is>
      </c>
      <c r="F384" t="inlineStr">
        <is>
          <t>2026-04-02</t>
        </is>
      </c>
      <c r="G384" t="inlineStr">
        <is>
          <t xml:space="preserve"> - Camper Castle</t>
        </is>
      </c>
      <c r="H384">
        <f>HYPERLINK("https://booking.roadsurfer.com/es/rally/pick?pickup_date=2026-03-26&amp;return_date=2026-04-02&amp;currency=EUR&amp;startStation=59&amp;endStation=108",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Augsburgo</t>
        </is>
      </c>
      <c r="E385" t="inlineStr">
        <is>
          <t>2026-04-15</t>
        </is>
      </c>
      <c r="F385" t="inlineStr">
        <is>
          <t>2026-04-22</t>
        </is>
      </c>
      <c r="G385" t="inlineStr">
        <is>
          <t xml:space="preserve"> - Camper Castle</t>
        </is>
      </c>
      <c r="H385">
        <f>HYPERLINK("https://booking.roadsurfer.com/es/rally/pick?pickup_date=2026-04-15&amp;return_date=2026-04-22&amp;currency=EUR&amp;startStation=59&amp;endStation=108",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Lindau-Wangen</t>
        </is>
      </c>
      <c r="E386" t="inlineStr">
        <is>
          <t>2026-04-15</t>
        </is>
      </c>
      <c r="F386" t="inlineStr">
        <is>
          <t>2026-04-22</t>
        </is>
      </c>
      <c r="G386" t="inlineStr">
        <is>
          <t xml:space="preserve"> - Camper Castle</t>
        </is>
      </c>
      <c r="H386">
        <f>HYPERLINK("https://booking.roadsurfer.com/es/rally/pick?pickup_date=2026-04-15&amp;return_date=2026-04-22&amp;currency=EUR&amp;startStation=59&amp;endStation=117",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Berlín-Schönefeld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Family Finca</t>
        </is>
      </c>
      <c r="H387">
        <f>HYPERLINK("https://booking.roadsurfer.com/es/rally/pick?pickup_date=2026-04-14&amp;return_date=2026-04-21&amp;currency=EUR&amp;startStation=59&amp;endStation=51",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Flensburgo</t>
        </is>
      </c>
      <c r="E388" t="inlineStr">
        <is>
          <t>2026-04-20</t>
        </is>
      </c>
      <c r="F388" t="inlineStr">
        <is>
          <t>2026-04-27</t>
        </is>
      </c>
      <c r="G388" t="inlineStr">
        <is>
          <t xml:space="preserve"> - No hay coche</t>
        </is>
      </c>
      <c r="H388">
        <f>HYPERLINK("https://booking.roadsurfer.com/es/rally/pick?pickup_date=2026-04-20&amp;return_date=2026-04-27&amp;currency=EUR&amp;startStation=59&amp;endStation=130", "Clic para verlo en la web de RoadSurfer")</f>
        <v/>
      </c>
    </row>
    <row r="389">
      <c r="A389" t="inlineStr">
        <is>
          <t>Francia</t>
        </is>
      </c>
      <c r="B389" t="inlineStr">
        <is>
          <t>Estrasburgo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2026-03-25</t>
        </is>
      </c>
      <c r="F389" t="inlineStr">
        <is>
          <t>2026-04-01</t>
        </is>
      </c>
      <c r="G389" t="inlineStr">
        <is>
          <t xml:space="preserve"> - Beach Hostel</t>
        </is>
      </c>
      <c r="H389">
        <f>HYPERLINK("https://booking.roadsurfer.com/es/rally/pick?pickup_date=2026-03-25&amp;return_date=2026-04-01&amp;currency=EUR&amp;startStation=49&amp;endStation=2", "Clic para verlo en la web de RoadSurfer")</f>
        <v/>
      </c>
    </row>
    <row r="390">
      <c r="A390" t="inlineStr">
        <is>
          <t>Alemania</t>
        </is>
      </c>
      <c r="B390" t="inlineStr">
        <is>
          <t>Stuttgart</t>
        </is>
      </c>
      <c r="C390" t="inlineStr">
        <is>
          <t>Francia</t>
        </is>
      </c>
      <c r="D390" t="inlineStr">
        <is>
          <t>Nantes</t>
        </is>
      </c>
      <c r="E390" t="inlineStr">
        <is>
          <t>2026-04-15</t>
        </is>
      </c>
      <c r="F390" t="inlineStr">
        <is>
          <t>2026-04-22</t>
        </is>
      </c>
      <c r="G390" t="inlineStr">
        <is>
          <t xml:space="preserve"> - Family Finca</t>
        </is>
      </c>
      <c r="H390">
        <f>HYPERLINK("https://booking.roadsurfer.com/es/rally/pick?pickup_date=2026-04-15&amp;return_date=2026-04-22&amp;currency=EUR&amp;startStation=5&amp;endStation=31",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Francia</t>
        </is>
      </c>
      <c r="D391" t="inlineStr">
        <is>
          <t>Nantes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Camper Cabin</t>
        </is>
      </c>
      <c r="H391">
        <f>HYPERLINK("https://booking.roadsurfer.com/es/rally/pick?pickup_date=2026-04-13&amp;return_date=2026-04-20&amp;currency=EUR&amp;startStation=5&amp;endStation=31", "Clic para verlo en la web de RoadSurfer")</f>
        <v/>
      </c>
    </row>
    <row r="392">
      <c r="A392" t="inlineStr">
        <is>
          <t>Alemania</t>
        </is>
      </c>
      <c r="B392" t="inlineStr">
        <is>
          <t>Stuttgart</t>
        </is>
      </c>
      <c r="C392" t="inlineStr">
        <is>
          <t>Francia</t>
        </is>
      </c>
      <c r="D392" t="inlineStr">
        <is>
          <t>Lille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No hay coche</t>
        </is>
      </c>
      <c r="H392">
        <f>HYPERLINK("https://booking.roadsurfer.com/es/rally/pick?pickup_date=2026-04-20&amp;return_date=2026-04-27&amp;currency=EUR&amp;startStation=5&amp;endStation=87", "Clic para verlo en la web de RoadSurfer")</f>
        <v/>
      </c>
    </row>
    <row r="393">
      <c r="A393" t="inlineStr">
        <is>
          <t>Alemania</t>
        </is>
      </c>
      <c r="B393" t="inlineStr">
        <is>
          <t>Stuttgart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2026-04-14</t>
        </is>
      </c>
      <c r="F393" t="inlineStr">
        <is>
          <t>2026-04-21</t>
        </is>
      </c>
      <c r="G393" t="inlineStr">
        <is>
          <t xml:space="preserve"> - Couple Cottage</t>
        </is>
      </c>
      <c r="H393">
        <f>HYPERLINK("https://booking.roadsurfer.com/es/rally/pick?pickup_date=2026-04-14&amp;return_date=2026-04-21&amp;currency=EUR&amp;startStation=5&amp;endStation=34", "Clic para verlo en la web de RoadSurfer")</f>
        <v/>
      </c>
    </row>
    <row r="394">
      <c r="A394" t="inlineStr">
        <is>
          <t>Alemania</t>
        </is>
      </c>
      <c r="B394" t="inlineStr">
        <is>
          <t>Stuttgart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2026-04-10</t>
        </is>
      </c>
      <c r="F394" t="inlineStr">
        <is>
          <t>2026-04-17</t>
        </is>
      </c>
      <c r="G394" t="inlineStr">
        <is>
          <t xml:space="preserve"> - Road House</t>
        </is>
      </c>
      <c r="H394">
        <f>HYPERLINK("https://booking.roadsurfer.com/es/rally/pick?pickup_date=2026-04-10&amp;return_date=2026-04-17&amp;currency=EUR&amp;startStation=5&amp;endStation=17", "Clic para verlo en la web de RoadSurfer")</f>
        <v/>
      </c>
    </row>
    <row r="395">
      <c r="A395" t="inlineStr">
        <is>
          <t>Alemania</t>
        </is>
      </c>
      <c r="B395" t="inlineStr">
        <is>
          <t>Stuttgart</t>
        </is>
      </c>
      <c r="C395" t="inlineStr">
        <is>
          <t>España</t>
        </is>
      </c>
      <c r="D395" t="inlineStr">
        <is>
          <t>Bilbao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Camper Cabin</t>
        </is>
      </c>
      <c r="H395">
        <f>HYPERLINK("https://booking.roadsurfer.com/es/rally/pick?pickup_date=2026-04-13&amp;return_date=2026-04-20&amp;currency=EUR&amp;startStation=5&amp;endStation=40", "Clic para verlo en la web de RoadSurfer")</f>
        <v/>
      </c>
    </row>
    <row r="396">
      <c r="A396" t="inlineStr">
        <is>
          <t>Alemania</t>
        </is>
      </c>
      <c r="B396" t="inlineStr">
        <is>
          <t>Stuttgart</t>
        </is>
      </c>
      <c r="C396" t="inlineStr">
        <is>
          <t>Alemania</t>
        </is>
      </c>
      <c r="D396" t="inlineStr">
        <is>
          <t>Aquisgrán</t>
        </is>
      </c>
      <c r="E396" t="inlineStr">
        <is>
          <t>2026-04-23</t>
        </is>
      </c>
      <c r="F396" t="inlineStr">
        <is>
          <t>2026-04-30</t>
        </is>
      </c>
      <c r="G396" t="inlineStr">
        <is>
          <t xml:space="preserve"> - No hay coche</t>
        </is>
      </c>
      <c r="H396">
        <f>HYPERLINK("https://booking.roadsurfer.com/es/rally/pick?pickup_date=2026-04-23&amp;return_date=2026-04-30&amp;currency=EUR&amp;startStation=5&amp;endStation=114", "Clic para verlo en la web de RoadSurfer")</f>
        <v/>
      </c>
    </row>
    <row r="397">
      <c r="A397" t="inlineStr">
        <is>
          <t>Alemania</t>
        </is>
      </c>
      <c r="B397" t="inlineStr">
        <is>
          <t>Stuttgart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2026-04-15</t>
        </is>
      </c>
      <c r="F397" t="inlineStr">
        <is>
          <t>2026-04-22</t>
        </is>
      </c>
      <c r="G397" t="inlineStr">
        <is>
          <t xml:space="preserve"> - Family Finca</t>
        </is>
      </c>
      <c r="H397">
        <f>HYPERLINK("https://booking.roadsurfer.com/es/rally/pick?pickup_date=2026-04-15&amp;return_date=2026-04-22&amp;currency=EUR&amp;startStation=5&amp;endStation=45", "Clic para verlo en la web de RoadSurfer")</f>
        <v/>
      </c>
    </row>
    <row r="398">
      <c r="A398" t="inlineStr">
        <is>
          <t>Alemania</t>
        </is>
      </c>
      <c r="B398" t="inlineStr">
        <is>
          <t>Stuttgart</t>
        </is>
      </c>
      <c r="C398" t="inlineStr">
        <is>
          <t>Alemania</t>
        </is>
      </c>
      <c r="D398" t="inlineStr">
        <is>
          <t>Berlín-Schönefeld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Van Villa</t>
        </is>
      </c>
      <c r="H398">
        <f>HYPERLINK("https://booking.roadsurfer.com/es/rally/pick?pickup_date=2026-04-27&amp;return_date=2026-05-04&amp;currency=EUR&amp;startStation=5&amp;endStation=51", "Clic para verlo en la web de RoadSurfer")</f>
        <v/>
      </c>
    </row>
    <row r="399">
      <c r="A399" t="inlineStr">
        <is>
          <t>EE.UU.</t>
        </is>
      </c>
      <c r="B399" t="inlineStr">
        <is>
          <t>Thor Industries, Elkhart</t>
        </is>
      </c>
      <c r="C399" t="inlineStr">
        <is>
          <t>EE.UU.</t>
        </is>
      </c>
      <c r="D399" t="inlineStr">
        <is>
          <t>Salt Lake City</t>
        </is>
      </c>
      <c r="E399" t="inlineStr">
        <is>
          <t>2026-04-22</t>
        </is>
      </c>
      <c r="F399" t="inlineStr">
        <is>
          <t>2026-05-06</t>
        </is>
      </c>
      <c r="G399" t="inlineStr">
        <is>
          <t xml:space="preserve"> - Family Freedom</t>
        </is>
      </c>
      <c r="H399">
        <f>HYPERLINK("https://booking.roadsurfer.com/es/rally/pick?pickup_date=2026-04-22&amp;return_date=2026-05-06&amp;currency=EUR&amp;startStation=74&amp;endStation=106", "Clic para verlo en la web de RoadSurfer")</f>
        <v/>
      </c>
    </row>
    <row r="400">
      <c r="A400" t="inlineStr">
        <is>
          <t>EE.UU.</t>
        </is>
      </c>
      <c r="B400" t="inlineStr">
        <is>
          <t>Thor Industries, Elkhart</t>
        </is>
      </c>
      <c r="C400" t="inlineStr">
        <is>
          <t>EE.UU.</t>
        </is>
      </c>
      <c r="D400" t="inlineStr">
        <is>
          <t>Salt Lake City</t>
        </is>
      </c>
      <c r="E400" t="inlineStr">
        <is>
          <t>2026-04-20</t>
        </is>
      </c>
      <c r="F400" t="inlineStr">
        <is>
          <t>2026-05-04</t>
        </is>
      </c>
      <c r="G400" t="inlineStr">
        <is>
          <t xml:space="preserve"> - Family Freedom</t>
        </is>
      </c>
      <c r="H400">
        <f>HYPERLINK("https://booking.roadsurfer.com/es/rally/pick?pickup_date=2026-04-20&amp;return_date=2026-05-04&amp;currency=EUR&amp;startStation=74&amp;endStation=106", "Clic para verlo en la web de RoadSurfer")</f>
        <v/>
      </c>
    </row>
    <row r="401">
      <c r="A401" t="inlineStr">
        <is>
          <t>EE.UU.</t>
        </is>
      </c>
      <c r="B401" t="inlineStr">
        <is>
          <t>Thor Industries, Elkhart</t>
        </is>
      </c>
      <c r="C401" t="inlineStr">
        <is>
          <t>EE.UU.</t>
        </is>
      </c>
      <c r="D401" t="inlineStr">
        <is>
          <t>Seattle</t>
        </is>
      </c>
      <c r="E401" t="inlineStr">
        <is>
          <t>2026-04-21</t>
        </is>
      </c>
      <c r="F401" t="inlineStr">
        <is>
          <t>2026-05-05</t>
        </is>
      </c>
      <c r="G401" t="inlineStr">
        <is>
          <t xml:space="preserve"> - Family Freedom</t>
        </is>
      </c>
      <c r="H401">
        <f>HYPERLINK("https://booking.roadsurfer.com/es/rally/pick?pickup_date=2026-04-21&amp;return_date=2026-05-05&amp;currency=EUR&amp;startStation=74&amp;endStation=107", "Clic para verlo en la web de RoadSurfer")</f>
        <v/>
      </c>
    </row>
    <row r="402">
      <c r="A402" t="inlineStr">
        <is>
          <t>EE.UU.</t>
        </is>
      </c>
      <c r="B402" t="inlineStr">
        <is>
          <t>Thor Industries, Elkhart</t>
        </is>
      </c>
      <c r="C402" t="inlineStr">
        <is>
          <t>EE.UU.</t>
        </is>
      </c>
      <c r="D402" t="inlineStr">
        <is>
          <t>Seattle</t>
        </is>
      </c>
      <c r="E402" t="inlineStr">
        <is>
          <t>2026-04-23</t>
        </is>
      </c>
      <c r="F402" t="inlineStr">
        <is>
          <t>2026-05-07</t>
        </is>
      </c>
      <c r="G402" t="inlineStr">
        <is>
          <t xml:space="preserve"> - Family Freedom</t>
        </is>
      </c>
      <c r="H402">
        <f>HYPERLINK("https://booking.roadsurfer.com/es/rally/pick?pickup_date=2026-04-23&amp;return_date=2026-05-07&amp;currency=EUR&amp;startStation=74&amp;endStation=107", "Clic para verlo en la web de RoadSurfer")</f>
        <v/>
      </c>
    </row>
    <row r="403">
      <c r="A403" t="inlineStr">
        <is>
          <t>EE.UU.</t>
        </is>
      </c>
      <c r="B403" t="inlineStr">
        <is>
          <t>Thor Industries, Elkhart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2026-04-20</t>
        </is>
      </c>
      <c r="F403" t="inlineStr">
        <is>
          <t>2026-05-04</t>
        </is>
      </c>
      <c r="G403" t="inlineStr">
        <is>
          <t xml:space="preserve"> - Family Freedom</t>
        </is>
      </c>
      <c r="H403">
        <f>HYPERLINK("https://booking.roadsurfer.com/es/rally/pick?pickup_date=2026-04-20&amp;return_date=2026-05-04&amp;currency=EUR&amp;startStation=74&amp;endStation=76", "Clic para verlo en la web de RoadSurfer")</f>
        <v/>
      </c>
    </row>
    <row r="404">
      <c r="A404" t="inlineStr">
        <is>
          <t>EE.UU.</t>
        </is>
      </c>
      <c r="B404" t="inlineStr">
        <is>
          <t>Thor Industries, Elkhart</t>
        </is>
      </c>
      <c r="C404" t="inlineStr">
        <is>
          <t>EE.UU.</t>
        </is>
      </c>
      <c r="D404" t="inlineStr">
        <is>
          <t>Las Vegas</t>
        </is>
      </c>
      <c r="E404" t="inlineStr">
        <is>
          <t>2026-04-21</t>
        </is>
      </c>
      <c r="F404" t="inlineStr">
        <is>
          <t>2026-05-05</t>
        </is>
      </c>
      <c r="G404" t="inlineStr">
        <is>
          <t xml:space="preserve"> - Family Freedom</t>
        </is>
      </c>
      <c r="H404">
        <f>HYPERLINK("https://booking.roadsurfer.com/es/rally/pick?pickup_date=2026-04-21&amp;return_date=2026-05-05&amp;currency=EUR&amp;startStation=74&amp;endStation=76", "Clic para verlo en la web de RoadSurfer")</f>
        <v/>
      </c>
    </row>
    <row r="405">
      <c r="A405" t="inlineStr">
        <is>
          <t>EE.UU.</t>
        </is>
      </c>
      <c r="B405" t="inlineStr">
        <is>
          <t>Thor Industries, Elkhart</t>
        </is>
      </c>
      <c r="C405" t="inlineStr">
        <is>
          <t>EE.UU.</t>
        </is>
      </c>
      <c r="D405" t="inlineStr">
        <is>
          <t>Las Vegas</t>
        </is>
      </c>
      <c r="E405" t="inlineStr">
        <is>
          <t>2026-04-22</t>
        </is>
      </c>
      <c r="F405" t="inlineStr">
        <is>
          <t>2026-05-06</t>
        </is>
      </c>
      <c r="G405" t="inlineStr">
        <is>
          <t xml:space="preserve"> - Family Freedom</t>
        </is>
      </c>
      <c r="H405">
        <f>HYPERLINK("https://booking.roadsurfer.com/es/rally/pick?pickup_date=2026-04-22&amp;return_date=2026-05-06&amp;currency=EUR&amp;startStation=74&amp;endStation=76", "Clic para verlo en la web de RoadSurfer")</f>
        <v/>
      </c>
    </row>
    <row r="406">
      <c r="A406" t="inlineStr">
        <is>
          <t>EE.UU.</t>
        </is>
      </c>
      <c r="B406" t="inlineStr">
        <is>
          <t>Thor Industries, Elkhart</t>
        </is>
      </c>
      <c r="C406" t="inlineStr">
        <is>
          <t>EE.UU.</t>
        </is>
      </c>
      <c r="D406" t="inlineStr">
        <is>
          <t>Las Vegas</t>
        </is>
      </c>
      <c r="E406" t="inlineStr">
        <is>
          <t>2026-04-23</t>
        </is>
      </c>
      <c r="F406" t="inlineStr">
        <is>
          <t>2026-05-07</t>
        </is>
      </c>
      <c r="G406" t="inlineStr">
        <is>
          <t xml:space="preserve"> - Family Freedom</t>
        </is>
      </c>
      <c r="H406">
        <f>HYPERLINK("https://booking.roadsurfer.com/es/rally/pick?pickup_date=2026-04-23&amp;return_date=2026-05-07&amp;currency=EUR&amp;startStation=74&amp;endStation=76", "Clic para verlo en la web de RoadSurfer")</f>
        <v/>
      </c>
    </row>
    <row r="407">
      <c r="A407" t="inlineStr">
        <is>
          <t>EE.UU.</t>
        </is>
      </c>
      <c r="B407" t="inlineStr">
        <is>
          <t>Thor Industries, Elkhart</t>
        </is>
      </c>
      <c r="C407" t="inlineStr">
        <is>
          <t>EE.UU.</t>
        </is>
      </c>
      <c r="D407" t="inlineStr">
        <is>
          <t>Denver</t>
        </is>
      </c>
      <c r="E407" t="inlineStr">
        <is>
          <t>2026-04-20</t>
        </is>
      </c>
      <c r="F407" t="inlineStr">
        <is>
          <t>2026-05-04</t>
        </is>
      </c>
      <c r="G407" t="inlineStr">
        <is>
          <t xml:space="preserve"> - Family Freedom</t>
        </is>
      </c>
      <c r="H407">
        <f>HYPERLINK("https://booking.roadsurfer.com/es/rally/pick?pickup_date=2026-04-20&amp;return_date=2026-05-04&amp;currency=EUR&amp;startStation=74&amp;endStation=104", "Clic para verlo en la web de RoadSurfer")</f>
        <v/>
      </c>
    </row>
    <row r="408">
      <c r="A408" t="inlineStr">
        <is>
          <t>EE.UU.</t>
        </is>
      </c>
      <c r="B408" t="inlineStr">
        <is>
          <t>Thor Industries, Elkhart</t>
        </is>
      </c>
      <c r="C408" t="inlineStr">
        <is>
          <t>EE.UU.</t>
        </is>
      </c>
      <c r="D408" t="inlineStr">
        <is>
          <t>Denver</t>
        </is>
      </c>
      <c r="E408" t="inlineStr">
        <is>
          <t>2026-04-21</t>
        </is>
      </c>
      <c r="F408" t="inlineStr">
        <is>
          <t>2026-05-05</t>
        </is>
      </c>
      <c r="G408" t="inlineStr">
        <is>
          <t xml:space="preserve"> - Family Freedom</t>
        </is>
      </c>
      <c r="H408">
        <f>HYPERLINK("https://booking.roadsurfer.com/es/rally/pick?pickup_date=2026-04-21&amp;return_date=2026-05-05&amp;currency=EUR&amp;startStation=74&amp;endStation=104", "Clic para verlo en la web de RoadSurfer")</f>
        <v/>
      </c>
    </row>
    <row r="409">
      <c r="A409" t="inlineStr">
        <is>
          <t>EE.UU.</t>
        </is>
      </c>
      <c r="B409" t="inlineStr">
        <is>
          <t>Thor Industries, Elkhart</t>
        </is>
      </c>
      <c r="C409" t="inlineStr">
        <is>
          <t>EE.UU.</t>
        </is>
      </c>
      <c r="D409" t="inlineStr">
        <is>
          <t>Denver</t>
        </is>
      </c>
      <c r="E409" t="inlineStr">
        <is>
          <t>2026-04-22</t>
        </is>
      </c>
      <c r="F409" t="inlineStr">
        <is>
          <t>2026-05-06</t>
        </is>
      </c>
      <c r="G409" t="inlineStr">
        <is>
          <t xml:space="preserve"> - Family Freedom</t>
        </is>
      </c>
      <c r="H409">
        <f>HYPERLINK("https://booking.roadsurfer.com/es/rally/pick?pickup_date=2026-04-22&amp;return_date=2026-05-06&amp;currency=EUR&amp;startStation=74&amp;endStation=104", "Clic para verlo en la web de RoadSurfer")</f>
        <v/>
      </c>
    </row>
    <row r="410">
      <c r="A410" t="inlineStr">
        <is>
          <t>EE.UU.</t>
        </is>
      </c>
      <c r="B410" t="inlineStr">
        <is>
          <t>Thor Industries, Elkhart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2026-04-20</t>
        </is>
      </c>
      <c r="F410" t="inlineStr">
        <is>
          <t>2026-05-04</t>
        </is>
      </c>
      <c r="G410" t="inlineStr">
        <is>
          <t xml:space="preserve"> - Family Freedom</t>
        </is>
      </c>
      <c r="H410">
        <f>HYPERLINK("https://booking.roadsurfer.com/es/rally/pick?pickup_date=2026-04-20&amp;return_date=2026-05-04&amp;currency=EUR&amp;startStation=74&amp;endStation=125", "Clic para verlo en la web de RoadSurfer")</f>
        <v/>
      </c>
    </row>
    <row r="411">
      <c r="A411" t="inlineStr">
        <is>
          <t>EE.UU.</t>
        </is>
      </c>
      <c r="B411" t="inlineStr">
        <is>
          <t>Thor Industries, Elkhart</t>
        </is>
      </c>
      <c r="C411" t="inlineStr">
        <is>
          <t>EE.UU.</t>
        </is>
      </c>
      <c r="D411" t="inlineStr">
        <is>
          <t>San Francisco</t>
        </is>
      </c>
      <c r="E411" t="inlineStr">
        <is>
          <t>2026-04-21</t>
        </is>
      </c>
      <c r="F411" t="inlineStr">
        <is>
          <t>2026-05-05</t>
        </is>
      </c>
      <c r="G411" t="inlineStr">
        <is>
          <t xml:space="preserve"> - Family Freedom</t>
        </is>
      </c>
      <c r="H411">
        <f>HYPERLINK("https://booking.roadsurfer.com/es/rally/pick?pickup_date=2026-04-21&amp;return_date=2026-05-05&amp;currency=EUR&amp;startStation=74&amp;endStation=75", "Clic para verlo en la web de RoadSurfer")</f>
        <v/>
      </c>
    </row>
    <row r="412">
      <c r="A412" t="inlineStr">
        <is>
          <t>Francia</t>
        </is>
      </c>
      <c r="B412" t="inlineStr">
        <is>
          <t>Toulouse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Camper Castle</t>
        </is>
      </c>
      <c r="H412">
        <f>HYPERLINK("https://booking.roadsurfer.com/es/rally/pick?pickup_date=2026-04-13&amp;return_date=2026-04-20&amp;currency=EUR&amp;startStation=30&amp;endStation=90", "Clic para verlo en la web de RoadSurfer")</f>
        <v/>
      </c>
    </row>
    <row r="413">
      <c r="A413" t="inlineStr">
        <is>
          <t>Francia</t>
        </is>
      </c>
      <c r="B413" t="inlineStr">
        <is>
          <t>Toulouse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Road House</t>
        </is>
      </c>
      <c r="H413">
        <f>HYPERLINK("https://booking.roadsurfer.com/es/rally/pick?pickup_date=2026-04-14&amp;return_date=2026-04-21&amp;currency=EUR&amp;startStation=30&amp;endStation=90", "Clic para verlo en la web de RoadSurfer")</f>
        <v/>
      </c>
    </row>
    <row r="414">
      <c r="A414" t="inlineStr">
        <is>
          <t>Francia</t>
        </is>
      </c>
      <c r="B414" t="inlineStr">
        <is>
          <t>Toulouse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Surfer Suite</t>
        </is>
      </c>
      <c r="H414">
        <f>HYPERLINK("https://booking.roadsurfer.com/es/rally/pick?pickup_date=2026-03-25&amp;return_date=2026-04-01&amp;currency=EUR&amp;startStation=30&amp;endStation=6", "Clic para verlo en la web de RoadSurfer")</f>
        <v/>
      </c>
    </row>
    <row r="415">
      <c r="A415" t="inlineStr">
        <is>
          <t>Francia</t>
        </is>
      </c>
      <c r="B415" t="inlineStr">
        <is>
          <t>Toulouse</t>
        </is>
      </c>
      <c r="C415" t="inlineStr">
        <is>
          <t>Alemania</t>
        </is>
      </c>
      <c r="D415" t="inlineStr">
        <is>
          <t>Constanza (Aach)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Surfer Suite</t>
        </is>
      </c>
      <c r="H415">
        <f>HYPERLINK("https://booking.roadsurfer.com/es/rally/pick?pickup_date=2026-05-04&amp;return_date=2026-05-11&amp;currency=EUR&amp;startStation=30&amp;endStation=10", "Clic para verlo en la web de RoadSurfer")</f>
        <v/>
      </c>
    </row>
    <row r="416">
      <c r="A416" t="inlineStr">
        <is>
          <t>Francia</t>
        </is>
      </c>
      <c r="B416" t="inlineStr">
        <is>
          <t>Toulouse</t>
        </is>
      </c>
      <c r="C416" t="inlineStr">
        <is>
          <t>Alemania</t>
        </is>
      </c>
      <c r="D416" t="inlineStr">
        <is>
          <t>Kassel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Family Finca</t>
        </is>
      </c>
      <c r="H416">
        <f>HYPERLINK("https://booking.roadsurfer.com/es/rally/pick?pickup_date=2026-04-27&amp;return_date=2026-05-04&amp;currency=EUR&amp;startStation=30&amp;endStation=92", "Clic para verlo en la web de RoadSurfer")</f>
        <v/>
      </c>
    </row>
    <row r="417">
      <c r="A417" t="inlineStr">
        <is>
          <t>Alemania</t>
        </is>
      </c>
      <c r="B417" t="inlineStr">
        <is>
          <t>Tréveris</t>
        </is>
      </c>
      <c r="C417" t="inlineStr">
        <is>
          <t>Alemania</t>
        </is>
      </c>
      <c r="D417" t="inlineStr">
        <is>
          <t>Augsburgo</t>
        </is>
      </c>
      <c r="E417" t="inlineStr">
        <is>
          <t>2026-03-23</t>
        </is>
      </c>
      <c r="F417" t="inlineStr">
        <is>
          <t>2026-03-30</t>
        </is>
      </c>
      <c r="G417" t="inlineStr">
        <is>
          <t xml:space="preserve"> - Camper Cabin</t>
        </is>
      </c>
      <c r="H417">
        <f>HYPERLINK("https://booking.roadsurfer.com/es/rally/pick?pickup_date=2026-03-23&amp;return_date=2026-03-30&amp;currency=EUR&amp;startStation=28&amp;endStation=108", "Clic para verlo en la web de RoadSurfer")</f>
        <v/>
      </c>
    </row>
    <row r="418">
      <c r="A418" t="inlineStr">
        <is>
          <t>Italia</t>
        </is>
      </c>
      <c r="B418" t="inlineStr">
        <is>
          <t>Turín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2026-04-16</t>
        </is>
      </c>
      <c r="F418" t="inlineStr">
        <is>
          <t>2026-04-23</t>
        </is>
      </c>
      <c r="G418" t="inlineStr">
        <is>
          <t xml:space="preserve"> - Road House</t>
        </is>
      </c>
      <c r="H418">
        <f>HYPERLINK("https://booking.roadsurfer.com/es/rally/pick?pickup_date=2026-04-16&amp;return_date=2026-04-23&amp;currency=EUR&amp;startStation=58&amp;endStation=11", "Clic para verlo en la web de RoadSurfer")</f>
        <v/>
      </c>
    </row>
    <row r="419">
      <c r="A419" t="inlineStr">
        <is>
          <t>Italia</t>
        </is>
      </c>
      <c r="B419" t="inlineStr">
        <is>
          <t>Turín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2026-04-20</t>
        </is>
      </c>
      <c r="F419" t="inlineStr">
        <is>
          <t>2026-04-27</t>
        </is>
      </c>
      <c r="G419" t="inlineStr">
        <is>
          <t xml:space="preserve"> - Family Finca</t>
        </is>
      </c>
      <c r="H419">
        <f>HYPERLINK("https://booking.roadsurfer.com/es/rally/pick?pickup_date=2026-04-20&amp;return_date=2026-04-27&amp;currency=EUR&amp;startStation=58&amp;endStation=56", "Clic para verlo en la web de RoadSurfer")</f>
        <v/>
      </c>
    </row>
    <row r="420">
      <c r="A420" t="inlineStr">
        <is>
          <t>Alemania</t>
        </is>
      </c>
      <c r="B420" t="inlineStr">
        <is>
          <t>Ulm</t>
        </is>
      </c>
      <c r="C420" t="inlineStr">
        <is>
          <t>Italia</t>
        </is>
      </c>
      <c r="D420" t="inlineStr">
        <is>
          <t>Venecia</t>
        </is>
      </c>
      <c r="E420" t="inlineStr">
        <is>
          <t>2026-04-24</t>
        </is>
      </c>
      <c r="F420" t="inlineStr">
        <is>
          <t>2026-05-01</t>
        </is>
      </c>
      <c r="G420" t="inlineStr">
        <is>
          <t xml:space="preserve"> - No hay coche</t>
        </is>
      </c>
      <c r="H420">
        <f>HYPERLINK("https://booking.roadsurfer.com/es/rally/pick?pickup_date=2026-04-24&amp;return_date=2026-05-01&amp;currency=EUR&amp;startStation=112&amp;endStation=78",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España</t>
        </is>
      </c>
      <c r="D421" t="inlineStr">
        <is>
          <t>Málaga</t>
        </is>
      </c>
      <c r="E421" t="inlineStr">
        <is>
          <t>2026-03-20</t>
        </is>
      </c>
      <c r="F421" t="inlineStr">
        <is>
          <t>2026-03-27</t>
        </is>
      </c>
      <c r="G421" t="inlineStr">
        <is>
          <t xml:space="preserve"> - Road House</t>
        </is>
      </c>
      <c r="H421">
        <f>HYPERLINK("https://booking.roadsurfer.com/es/rally/pick?pickup_date=2026-03-20&amp;return_date=2026-03-27&amp;currency=EUR&amp;startStation=38&amp;endStation=21",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2026-03-27</t>
        </is>
      </c>
      <c r="F422" t="inlineStr">
        <is>
          <t>2026-04-03</t>
        </is>
      </c>
      <c r="G422" t="inlineStr">
        <is>
          <t xml:space="preserve"> - No hay coche</t>
        </is>
      </c>
      <c r="H422">
        <f>HYPERLINK("https://booking.roadsurfer.com/es/rally/pick?pickup_date=2026-03-27&amp;return_date=2026-04-03&amp;currency=EUR&amp;startStation=78&amp;endStation=2",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Alemania</t>
        </is>
      </c>
      <c r="D423" t="inlineStr">
        <is>
          <t>Múnich</t>
        </is>
      </c>
      <c r="E423" t="inlineStr">
        <is>
          <t>2026-03-28</t>
        </is>
      </c>
      <c r="F423" t="inlineStr">
        <is>
          <t>2026-04-04</t>
        </is>
      </c>
      <c r="G423" t="inlineStr">
        <is>
          <t xml:space="preserve"> - Family Finca</t>
        </is>
      </c>
      <c r="H423">
        <f>HYPERLINK("https://booking.roadsurfer.com/es/rally/pick?pickup_date=2026-03-28&amp;return_date=2026-04-04&amp;currency=EUR&amp;startStation=78&amp;endStation=1",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2026-03-25</t>
        </is>
      </c>
      <c r="F424" t="inlineStr">
        <is>
          <t>2026-04-01</t>
        </is>
      </c>
      <c r="G424" t="inlineStr">
        <is>
          <t xml:space="preserve"> - Surfer Suite</t>
        </is>
      </c>
      <c r="H424">
        <f>HYPERLINK("https://booking.roadsurfer.com/es/rally/pick?pickup_date=2026-03-25&amp;return_date=2026-04-01&amp;currency=EUR&amp;startStation=78&amp;endStation=22",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2026-03-26</t>
        </is>
      </c>
      <c r="F425" t="inlineStr">
        <is>
          <t>2026-04-02</t>
        </is>
      </c>
      <c r="G425" t="inlineStr">
        <is>
          <t xml:space="preserve"> - Beach Hostel</t>
        </is>
      </c>
      <c r="H425">
        <f>HYPERLINK("https://booking.roadsurfer.com/es/rally/pick?pickup_date=2026-03-26&amp;return_date=2026-04-02&amp;currency=EUR&amp;startStation=78&amp;endStation=54", "Clic para verlo en la web de RoadSurfer")</f>
        <v/>
      </c>
    </row>
    <row r="426">
      <c r="A426" t="inlineStr">
        <is>
          <t>Italia</t>
        </is>
      </c>
      <c r="B426" t="inlineStr">
        <is>
          <t>Venecia</t>
        </is>
      </c>
      <c r="C426" t="inlineStr">
        <is>
          <t>Italia</t>
        </is>
      </c>
      <c r="D426" t="inlineStr">
        <is>
          <t>Bérgamo</t>
        </is>
      </c>
      <c r="E426" t="inlineStr">
        <is>
          <t>2026-03-23</t>
        </is>
      </c>
      <c r="F426" t="inlineStr">
        <is>
          <t>2026-03-30</t>
        </is>
      </c>
      <c r="G426" t="inlineStr">
        <is>
          <t xml:space="preserve"> - Family Finca</t>
        </is>
      </c>
      <c r="H426">
        <f>HYPERLINK("https://booking.roadsurfer.com/es/rally/pick?pickup_date=2026-03-23&amp;return_date=2026-03-30&amp;currency=EUR&amp;startStation=78&amp;endStation=94", "Clic para verlo en la web de RoadSurfer")</f>
        <v/>
      </c>
    </row>
    <row r="427">
      <c r="A427" t="inlineStr">
        <is>
          <t>Italia</t>
        </is>
      </c>
      <c r="B427" t="inlineStr">
        <is>
          <t>Venecia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2026-04-13</t>
        </is>
      </c>
      <c r="F427" t="inlineStr">
        <is>
          <t>2026-04-20</t>
        </is>
      </c>
      <c r="G427" t="inlineStr">
        <is>
          <t xml:space="preserve"> - Surfer Suite</t>
        </is>
      </c>
      <c r="H427">
        <f>HYPERLINK("https://booking.roadsurfer.com/es/rally/pick?pickup_date=2026-04-13&amp;return_date=2026-04-20&amp;currency=EUR&amp;startStation=78&amp;endStation=94",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Italia</t>
        </is>
      </c>
      <c r="D428" t="inlineStr">
        <is>
          <t>Bérgamo</t>
        </is>
      </c>
      <c r="E428" t="inlineStr">
        <is>
          <t>2026-04-16</t>
        </is>
      </c>
      <c r="F428" t="inlineStr">
        <is>
          <t>2026-04-23</t>
        </is>
      </c>
      <c r="G428" t="inlineStr">
        <is>
          <t xml:space="preserve"> - Surfer Suite</t>
        </is>
      </c>
      <c r="H428">
        <f>HYPERLINK("https://booking.roadsurfer.com/es/rally/pick?pickup_date=2026-04-16&amp;return_date=2026-04-23&amp;currency=EUR&amp;startStation=78&amp;endStation=94", "Clic para verlo en la web de RoadSurfer")</f>
        <v/>
      </c>
    </row>
    <row r="429">
      <c r="A429" t="inlineStr">
        <is>
          <t>Austria</t>
        </is>
      </c>
      <c r="B429" t="inlineStr">
        <is>
          <t>Viena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Cozy Cottage</t>
        </is>
      </c>
      <c r="H429">
        <f>HYPERLINK("https://booking.roadsurfer.com/es/rally/pick?pickup_date=2026-04-14&amp;return_date=2026-04-21&amp;currency=EUR&amp;startStation=36&amp;endStation=8", "Clic para verlo en la web de RoadSurfer")</f>
        <v/>
      </c>
    </row>
    <row r="430">
      <c r="A430" t="inlineStr">
        <is>
          <t>Austria</t>
        </is>
      </c>
      <c r="B430" t="inlineStr">
        <is>
          <t>Viena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Road House</t>
        </is>
      </c>
      <c r="H430">
        <f>HYPERLINK("https://booking.roadsurfer.com/es/rally/pick?pickup_date=2026-05-04&amp;return_date=2026-05-11&amp;currency=EUR&amp;startStation=36&amp;endStation=56", "Clic para verlo en la web de RoadSurfer")</f>
        <v/>
      </c>
    </row>
    <row r="431">
      <c r="A431" t="inlineStr">
        <is>
          <t>Austria</t>
        </is>
      </c>
      <c r="B431" t="inlineStr">
        <is>
          <t>Viena Sur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2026-03-26</t>
        </is>
      </c>
      <c r="F431" t="inlineStr">
        <is>
          <t>2026-04-02</t>
        </is>
      </c>
      <c r="G431" t="inlineStr">
        <is>
          <t xml:space="preserve"> - Surfer Suite</t>
        </is>
      </c>
      <c r="H431">
        <f>HYPERLINK("https://booking.roadsurfer.com/es/rally/pick?pickup_date=2026-03-26&amp;return_date=2026-04-02&amp;currency=EUR&amp;startStation=45&amp;endStation=22", "Clic para verlo en la web de RoadSurfer")</f>
        <v/>
      </c>
    </row>
    <row r="432">
      <c r="A432" t="inlineStr">
        <is>
          <t>Austria</t>
        </is>
      </c>
      <c r="B432" t="inlineStr">
        <is>
          <t>Viena Sur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2026-03-25</t>
        </is>
      </c>
      <c r="F432" t="inlineStr">
        <is>
          <t>2026-04-01</t>
        </is>
      </c>
      <c r="G432" t="inlineStr">
        <is>
          <t xml:space="preserve"> - SURFER SUITE</t>
        </is>
      </c>
      <c r="H432">
        <f>HYPERLINK("https://booking.roadsurfer.com/es/rally/pick?pickup_date=2026-03-25&amp;return_date=2026-04-01&amp;currency=EUR&amp;startStation=45&amp;endStation=90", "Clic para verlo en la web de RoadSurfer")</f>
        <v/>
      </c>
    </row>
    <row r="433">
      <c r="A433" t="inlineStr">
        <is>
          <t>Austria</t>
        </is>
      </c>
      <c r="B433" t="inlineStr">
        <is>
          <t>Viena Sur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2026-04-13</t>
        </is>
      </c>
      <c r="F433" t="inlineStr">
        <is>
          <t>2026-04-20</t>
        </is>
      </c>
      <c r="G433" t="inlineStr">
        <is>
          <t xml:space="preserve"> - Family Finca</t>
        </is>
      </c>
      <c r="H433">
        <f>HYPERLINK("https://booking.roadsurfer.com/es/rally/pick?pickup_date=2026-04-13&amp;return_date=2026-04-20&amp;currency=EUR&amp;startStation=45&amp;endStation=8", "Clic para verlo en la web de RoadSurfer")</f>
        <v/>
      </c>
    </row>
    <row r="434">
      <c r="A434" t="inlineStr">
        <is>
          <t>Austria</t>
        </is>
      </c>
      <c r="B434" t="inlineStr">
        <is>
          <t>Viena Sur</t>
        </is>
      </c>
      <c r="C434" t="inlineStr">
        <is>
          <t>Alemania</t>
        </is>
      </c>
      <c r="D434" t="inlineStr">
        <is>
          <t>Leipzig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Family Finca</t>
        </is>
      </c>
      <c r="H434">
        <f>HYPERLINK("https://booking.roadsurfer.com/es/rally/pick?pickup_date=2026-04-14&amp;return_date=2026-04-21&amp;currency=EUR&amp;startStation=45&amp;endStation=8", "Clic para verlo en la web de RoadSurfer")</f>
        <v/>
      </c>
    </row>
    <row r="435">
      <c r="A435" t="inlineStr">
        <is>
          <t>Austria</t>
        </is>
      </c>
      <c r="B435" t="inlineStr">
        <is>
          <t>Viena Sur</t>
        </is>
      </c>
      <c r="C435" t="inlineStr">
        <is>
          <t>Alemania</t>
        </is>
      </c>
      <c r="D435" t="inlineStr">
        <is>
          <t>Núremberg</t>
        </is>
      </c>
      <c r="E435" t="inlineStr">
        <is>
          <t>2026-04-15</t>
        </is>
      </c>
      <c r="F435" t="inlineStr">
        <is>
          <t>2026-04-22</t>
        </is>
      </c>
      <c r="G435" t="inlineStr">
        <is>
          <t xml:space="preserve"> - Cozy Cottage</t>
        </is>
      </c>
      <c r="H435">
        <f>HYPERLINK("https://booking.roadsurfer.com/es/rally/pick?pickup_date=2026-04-15&amp;return_date=2026-04-22&amp;currency=EUR&amp;startStation=45&amp;endStation=11", "Clic para verlo en la web de RoadSurfer")</f>
        <v/>
      </c>
    </row>
    <row r="436">
      <c r="A436" t="inlineStr">
        <is>
          <t>Austria</t>
        </is>
      </c>
      <c r="B436" t="inlineStr">
        <is>
          <t>Viena Sur</t>
        </is>
      </c>
      <c r="C436" t="inlineStr">
        <is>
          <t>Alemania</t>
        </is>
      </c>
      <c r="D436" t="inlineStr">
        <is>
          <t>Núremberg</t>
        </is>
      </c>
      <c r="E436" t="inlineStr">
        <is>
          <t>2026-03-30</t>
        </is>
      </c>
      <c r="F436" t="inlineStr">
        <is>
          <t>2026-04-06</t>
        </is>
      </c>
      <c r="G436" t="inlineStr">
        <is>
          <t xml:space="preserve"> - No hay coche</t>
        </is>
      </c>
      <c r="H436">
        <f>HYPERLINK("https://booking.roadsurfer.com/es/rally/pick?pickup_date=2026-03-30&amp;return_date=2026-04-06&amp;currency=EUR&amp;startStation=45&amp;endStation=11",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Denver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HYPERLINK("https://booking.roadsurfer.com/es/rally/pick?pickup_date=2026-03-26&amp;return_date=2026-04-09&amp;currency=EUR&amp;startStation=81&amp;endStation=104",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Denver</t>
        </is>
      </c>
      <c r="E438" t="inlineStr">
        <is>
          <t>2026-03-27</t>
        </is>
      </c>
      <c r="F438" t="inlineStr">
        <is>
          <t>2026-04-10</t>
        </is>
      </c>
      <c r="G438" t="inlineStr">
        <is>
          <t xml:space="preserve"> - Liberty Lodge - Couple Condo</t>
        </is>
      </c>
      <c r="H438">
        <f>HYPERLINK("https://booking.roadsurfer.com/es/rally/pick?pickup_date=2026-03-27&amp;return_date=2026-04-10&amp;currency=EUR&amp;startStation=81&amp;endStation=104",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Denver</t>
        </is>
      </c>
      <c r="E439" t="inlineStr">
        <is>
          <t>2026-03-31</t>
        </is>
      </c>
      <c r="F439" t="inlineStr">
        <is>
          <t>2026-04-14</t>
        </is>
      </c>
      <c r="G439" t="inlineStr">
        <is>
          <t xml:space="preserve"> - Liberty Lodge - Couple Condo</t>
        </is>
      </c>
      <c r="H439">
        <f>HYPERLINK("https://booking.roadsurfer.com/es/rally/pick?pickup_date=2026-03-31&amp;return_date=2026-04-14&amp;currency=EUR&amp;startStation=81&amp;endStation=104",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Denver</t>
        </is>
      </c>
      <c r="E440" t="inlineStr">
        <is>
          <t>2026-03-30</t>
        </is>
      </c>
      <c r="F440" t="inlineStr">
        <is>
          <t>2026-04-13</t>
        </is>
      </c>
      <c r="G440" t="inlineStr">
        <is>
          <t xml:space="preserve"> - Liberty Lodge</t>
        </is>
      </c>
      <c r="H440">
        <f>HYPERLINK("https://booking.roadsurfer.com/es/rally/pick?pickup_date=2026-03-30&amp;return_date=2026-04-13&amp;currency=EUR&amp;startStation=81&amp;endStation=104",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San Francisco</t>
        </is>
      </c>
      <c r="E441" t="inlineStr">
        <is>
          <t>2026-03-30</t>
        </is>
      </c>
      <c r="F441" t="inlineStr">
        <is>
          <t>2026-04-13</t>
        </is>
      </c>
      <c r="G441" t="inlineStr">
        <is>
          <t xml:space="preserve"> - Liberty Lodge - Couple Condo</t>
        </is>
      </c>
      <c r="H441">
        <f>HYPERLINK("https://booking.roadsurfer.com/es/rally/pick?pickup_date=2026-03-30&amp;return_date=2026-04-13&amp;currency=EUR&amp;startStation=81&amp;endStation=75",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San Francisco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 - Couple Condo</t>
        </is>
      </c>
      <c r="H442">
        <f>HYPERLINK("https://booking.roadsurfer.com/es/rally/pick?pickup_date=2026-03-26&amp;return_date=2026-04-09&amp;currency=EUR&amp;startStation=81&amp;endStation=75",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San Francisco</t>
        </is>
      </c>
      <c r="E443" t="inlineStr">
        <is>
          <t>2026-04-01</t>
        </is>
      </c>
      <c r="F443" t="inlineStr">
        <is>
          <t>2026-04-15</t>
        </is>
      </c>
      <c r="G443" t="inlineStr">
        <is>
          <t xml:space="preserve"> - Liberty Lodge - Couple Condo</t>
        </is>
      </c>
      <c r="H443">
        <f>HYPERLINK("https://booking.roadsurfer.com/es/rally/pick?pickup_date=2026-04-01&amp;return_date=2026-04-15&amp;currency=EUR&amp;startStation=81&amp;endStation=75",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San Francisco</t>
        </is>
      </c>
      <c r="E444" t="inlineStr">
        <is>
          <t>2026-03-27</t>
        </is>
      </c>
      <c r="F444" t="inlineStr">
        <is>
          <t>2026-04-10</t>
        </is>
      </c>
      <c r="G444" t="inlineStr">
        <is>
          <t xml:space="preserve"> - Liberty Lodge - Couple Condo</t>
        </is>
      </c>
      <c r="H444">
        <f>HYPERLINK("https://booking.roadsurfer.com/es/rally/pick?pickup_date=2026-03-27&amp;return_date=2026-04-10&amp;currency=EUR&amp;startStation=81&amp;endStation=75",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San Francisco</t>
        </is>
      </c>
      <c r="E445" t="inlineStr">
        <is>
          <t>2026-03-26</t>
        </is>
      </c>
      <c r="F445" t="inlineStr">
        <is>
          <t>2026-04-07</t>
        </is>
      </c>
      <c r="G445" t="inlineStr">
        <is>
          <t xml:space="preserve"> - Liberty Lodge - Couple Condo</t>
        </is>
      </c>
      <c r="H445">
        <f>HYPERLINK("https://booking.roadsurfer.com/es/rally/pick?pickup_date=2026-03-26&amp;return_date=2026-04-07&amp;currency=EUR&amp;startStation=81&amp;endStation=75",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San Francisco</t>
        </is>
      </c>
      <c r="E446" t="inlineStr">
        <is>
          <t>2026-04-02</t>
        </is>
      </c>
      <c r="F446" t="inlineStr">
        <is>
          <t>2026-04-16</t>
        </is>
      </c>
      <c r="G446" t="inlineStr">
        <is>
          <t xml:space="preserve"> - Couple Condo</t>
        </is>
      </c>
      <c r="H446">
        <f>HYPERLINK("https://booking.roadsurfer.com/es/rally/pick?pickup_date=2026-04-02&amp;return_date=2026-04-16&amp;currency=EUR&amp;startStation=81&amp;endStation=75",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Las Vegas</t>
        </is>
      </c>
      <c r="E447" t="inlineStr">
        <is>
          <t>2026-03-27</t>
        </is>
      </c>
      <c r="F447" t="inlineStr">
        <is>
          <t>2026-04-10</t>
        </is>
      </c>
      <c r="G447" t="inlineStr">
        <is>
          <t xml:space="preserve"> - Liberty Lodge</t>
        </is>
      </c>
      <c r="H447">
        <f>HYPERLINK("https://booking.roadsurfer.com/es/rally/pick?pickup_date=2026-03-27&amp;return_date=2026-04-10&amp;currency=EUR&amp;startStation=81&amp;endStation=76",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Las Vegas</t>
        </is>
      </c>
      <c r="E448" t="inlineStr">
        <is>
          <t>2026-03-26</t>
        </is>
      </c>
      <c r="F448" t="inlineStr">
        <is>
          <t>2026-04-09</t>
        </is>
      </c>
      <c r="G448" t="inlineStr">
        <is>
          <t xml:space="preserve"> - Liberty Lodge</t>
        </is>
      </c>
      <c r="H448">
        <f>HYPERLINK("https://booking.roadsurfer.com/es/rally/pick?pickup_date=2026-03-26&amp;return_date=2026-04-09&amp;currency=EUR&amp;startStation=81&amp;endStation=76",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Las Vegas</t>
        </is>
      </c>
      <c r="E449" t="inlineStr">
        <is>
          <t>2026-04-03</t>
        </is>
      </c>
      <c r="F449" t="inlineStr">
        <is>
          <t>2026-04-17</t>
        </is>
      </c>
      <c r="G449" t="inlineStr">
        <is>
          <t xml:space="preserve"> - Liberty Lodge</t>
        </is>
      </c>
      <c r="H449">
        <f>HYPERLINK("https://booking.roadsurfer.com/es/rally/pick?pickup_date=2026-04-03&amp;return_date=2026-04-17&amp;currency=EUR&amp;startStation=81&amp;endStation=76",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Las Vegas</t>
        </is>
      </c>
      <c r="E450" t="inlineStr">
        <is>
          <t>2026-03-30</t>
        </is>
      </c>
      <c r="F450" t="inlineStr">
        <is>
          <t>2026-04-13</t>
        </is>
      </c>
      <c r="G450" t="inlineStr">
        <is>
          <t xml:space="preserve"> - Liberty Lodge</t>
        </is>
      </c>
      <c r="H450">
        <f>HYPERLINK("https://booking.roadsurfer.com/es/rally/pick?pickup_date=2026-03-30&amp;return_date=2026-04-13&amp;currency=EUR&amp;startStation=81&amp;endStation=76",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Salt Lake City</t>
        </is>
      </c>
      <c r="E451" t="inlineStr">
        <is>
          <t>2026-03-30</t>
        </is>
      </c>
      <c r="F451" t="inlineStr">
        <is>
          <t>2026-04-13</t>
        </is>
      </c>
      <c r="G451" t="inlineStr">
        <is>
          <t xml:space="preserve"> - Liberty Lodge</t>
        </is>
      </c>
      <c r="H451">
        <f>HYPERLINK("https://booking.roadsurfer.com/es/rally/pick?pickup_date=2026-03-30&amp;return_date=2026-04-13&amp;currency=EUR&amp;startStation=81&amp;endStation=106", "Clic para verlo en la web de RoadSurfer")</f>
        <v/>
      </c>
    </row>
    <row r="452">
      <c r="A452" t="inlineStr">
        <is>
          <t>EE.UU.</t>
        </is>
      </c>
      <c r="B452" t="inlineStr">
        <is>
          <t>Winnebago Industries</t>
        </is>
      </c>
      <c r="C452" t="inlineStr">
        <is>
          <t>EE.UU.</t>
        </is>
      </c>
      <c r="D452" t="inlineStr">
        <is>
          <t>Salt Lake City</t>
        </is>
      </c>
      <c r="E452" t="inlineStr">
        <is>
          <t>2026-03-31</t>
        </is>
      </c>
      <c r="F452" t="inlineStr">
        <is>
          <t>2026-04-14</t>
        </is>
      </c>
      <c r="G452" t="inlineStr">
        <is>
          <t xml:space="preserve"> - Liberty Lodge</t>
        </is>
      </c>
      <c r="H452">
        <f>HYPERLINK("https://booking.roadsurfer.com/es/rally/pick?pickup_date=2026-03-31&amp;return_date=2026-04-14&amp;currency=EUR&amp;startStation=81&amp;endStation=106", "Clic para verlo en la web de RoadSurfer")</f>
        <v/>
      </c>
    </row>
    <row r="453">
      <c r="A453" t="inlineStr">
        <is>
          <t>EE.UU.</t>
        </is>
      </c>
      <c r="B453" t="inlineStr">
        <is>
          <t>Winnebago Industries</t>
        </is>
      </c>
      <c r="C453" t="inlineStr">
        <is>
          <t>EE.UU.</t>
        </is>
      </c>
      <c r="D453" t="inlineStr">
        <is>
          <t>Salt Lake City</t>
        </is>
      </c>
      <c r="E453" t="inlineStr">
        <is>
          <t>2026-03-26</t>
        </is>
      </c>
      <c r="F453" t="inlineStr">
        <is>
          <t>2026-04-09</t>
        </is>
      </c>
      <c r="G453" t="inlineStr">
        <is>
          <t xml:space="preserve"> - Liberty Lodge</t>
        </is>
      </c>
      <c r="H453">
        <f>HYPERLINK("https://booking.roadsurfer.com/es/rally/pick?pickup_date=2026-03-26&amp;return_date=2026-04-09&amp;currency=EUR&amp;startStation=81&amp;endStation=106", "Clic para verlo en la web de RoadSurfer")</f>
        <v/>
      </c>
    </row>
    <row r="454">
      <c r="A454" t="inlineStr">
        <is>
          <t>EE.UU.</t>
        </is>
      </c>
      <c r="B454" t="inlineStr">
        <is>
          <t>Winnebago Industries</t>
        </is>
      </c>
      <c r="C454" t="inlineStr">
        <is>
          <t>EE.UU.</t>
        </is>
      </c>
      <c r="D454" t="inlineStr">
        <is>
          <t>Salt Lake City</t>
        </is>
      </c>
      <c r="E454" t="inlineStr">
        <is>
          <t>2026-04-02</t>
        </is>
      </c>
      <c r="F454" t="inlineStr">
        <is>
          <t>2026-04-16</t>
        </is>
      </c>
      <c r="G454" t="inlineStr">
        <is>
          <t xml:space="preserve"> - Couple Condo</t>
        </is>
      </c>
      <c r="H454">
        <f>HYPERLINK("https://booking.roadsurfer.com/es/rally/pick?pickup_date=2026-04-02&amp;return_date=2026-04-16&amp;currency=EUR&amp;startStation=81&amp;endStation=106", "Clic para verlo en la web de RoadSurfer")</f>
        <v/>
      </c>
    </row>
    <row r="455">
      <c r="A455" t="inlineStr">
        <is>
          <t>EE.UU.</t>
        </is>
      </c>
      <c r="B455" t="inlineStr">
        <is>
          <t>Winnebago Industries</t>
        </is>
      </c>
      <c r="C455" t="inlineStr">
        <is>
          <t>EE.UU.</t>
        </is>
      </c>
      <c r="D455" t="inlineStr">
        <is>
          <t>Dallas</t>
        </is>
      </c>
      <c r="E455" t="inlineStr">
        <is>
          <t>2026-03-27</t>
        </is>
      </c>
      <c r="F455" t="inlineStr">
        <is>
          <t>2026-04-10</t>
        </is>
      </c>
      <c r="G455" t="inlineStr">
        <is>
          <t xml:space="preserve"> - Liberty Lodge</t>
        </is>
      </c>
      <c r="H455">
        <f>HYPERLINK("https://booking.roadsurfer.com/es/rally/pick?pickup_date=2026-03-27&amp;return_date=2026-04-10&amp;currency=EUR&amp;startStation=81&amp;endStation=125", "Clic para verlo en la web de RoadSurfer")</f>
        <v/>
      </c>
    </row>
    <row r="456">
      <c r="A456" t="inlineStr">
        <is>
          <t>EE.UU.</t>
        </is>
      </c>
      <c r="B456" t="inlineStr">
        <is>
          <t>Winnebago Industries</t>
        </is>
      </c>
      <c r="C456" t="inlineStr">
        <is>
          <t>EE.UU.</t>
        </is>
      </c>
      <c r="D456" t="inlineStr">
        <is>
          <t>Dallas</t>
        </is>
      </c>
      <c r="E456" t="inlineStr">
        <is>
          <t>2026-03-26</t>
        </is>
      </c>
      <c r="F456" t="inlineStr">
        <is>
          <t>2026-04-09</t>
        </is>
      </c>
      <c r="G456" t="inlineStr">
        <is>
          <t xml:space="preserve"> - Liberty Lodge</t>
        </is>
      </c>
      <c r="H456">
        <f>HYPERLINK("https://booking.roadsurfer.com/es/rally/pick?pickup_date=2026-03-26&amp;return_date=2026-04-09&amp;currency=EUR&amp;startStation=81&amp;endStation=125", "Clic para verlo en la web de RoadSurfer")</f>
        <v/>
      </c>
    </row>
    <row r="457">
      <c r="A457" t="inlineStr">
        <is>
          <t>EE.UU.</t>
        </is>
      </c>
      <c r="B457" t="inlineStr">
        <is>
          <t>Winnebago Industries</t>
        </is>
      </c>
      <c r="C457" t="inlineStr">
        <is>
          <t>EE.UU.</t>
        </is>
      </c>
      <c r="D457" t="inlineStr">
        <is>
          <t>Seattle</t>
        </is>
      </c>
      <c r="E457" t="inlineStr">
        <is>
          <t>2026-04-01</t>
        </is>
      </c>
      <c r="F457" t="inlineStr">
        <is>
          <t>2026-04-15</t>
        </is>
      </c>
      <c r="G457" t="inlineStr">
        <is>
          <t xml:space="preserve"> - Liberty Lodge</t>
        </is>
      </c>
      <c r="H457">
        <f>HYPERLINK("https://booking.roadsurfer.com/es/rally/pick?pickup_date=2026-04-01&amp;return_date=2026-04-15&amp;currency=EUR&amp;startStation=81&amp;endStation=107", "Clic para verlo en la web de RoadSurfer")</f>
        <v/>
      </c>
    </row>
    <row r="458">
      <c r="A458" t="inlineStr">
        <is>
          <t>EE.UU.</t>
        </is>
      </c>
      <c r="B458" t="inlineStr">
        <is>
          <t>Winnebago Industries</t>
        </is>
      </c>
      <c r="C458" t="inlineStr">
        <is>
          <t>EE.UU.</t>
        </is>
      </c>
      <c r="D458" t="inlineStr">
        <is>
          <t>Seattle</t>
        </is>
      </c>
      <c r="E458" t="inlineStr">
        <is>
          <t>2026-03-26</t>
        </is>
      </c>
      <c r="F458" t="inlineStr">
        <is>
          <t>2026-04-09</t>
        </is>
      </c>
      <c r="G458" t="inlineStr">
        <is>
          <t xml:space="preserve"> - Liberty Lodge</t>
        </is>
      </c>
      <c r="H458">
        <f>HYPERLINK("https://booking.roadsurfer.com/es/rally/pick?pickup_date=2026-03-26&amp;return_date=2026-04-09&amp;currency=EUR&amp;startStation=81&amp;endStation=107", "Clic para verlo en la web de RoadSurfer")</f>
        <v/>
      </c>
    </row>
    <row r="459">
      <c r="A459" t="inlineStr">
        <is>
          <t>EE.UU.</t>
        </is>
      </c>
      <c r="B459" t="inlineStr">
        <is>
          <t>Winnebago Industries</t>
        </is>
      </c>
      <c r="C459" t="inlineStr">
        <is>
          <t>EE.UU.</t>
        </is>
      </c>
      <c r="D459" t="inlineStr">
        <is>
          <t>Seattle</t>
        </is>
      </c>
      <c r="E459" t="inlineStr">
        <is>
          <t>2026-03-27</t>
        </is>
      </c>
      <c r="F459" t="inlineStr">
        <is>
          <t>2026-04-10</t>
        </is>
      </c>
      <c r="G459" t="inlineStr">
        <is>
          <t xml:space="preserve"> - Liberty Lodge - Couple Condo</t>
        </is>
      </c>
      <c r="H459">
        <f>HYPERLINK("https://booking.roadsurfer.com/es/rally/pick?pickup_date=2026-03-27&amp;return_date=2026-04-10&amp;currency=EUR&amp;startStation=81&amp;endStation=107", "Clic para verlo en la web de RoadSurfer")</f>
        <v/>
      </c>
    </row>
    <row r="460">
      <c r="A460" t="inlineStr">
        <is>
          <t>EE.UU.</t>
        </is>
      </c>
      <c r="B460" t="inlineStr">
        <is>
          <t>Winnebago Industries</t>
        </is>
      </c>
      <c r="C460" t="inlineStr">
        <is>
          <t>EE.UU.</t>
        </is>
      </c>
      <c r="D460" t="inlineStr">
        <is>
          <t>Phoenix</t>
        </is>
      </c>
      <c r="E460" t="inlineStr">
        <is>
          <t>2026-04-01</t>
        </is>
      </c>
      <c r="F460" t="inlineStr">
        <is>
          <t>2026-04-15</t>
        </is>
      </c>
      <c r="G460" t="inlineStr">
        <is>
          <t xml:space="preserve"> - No hay coche</t>
        </is>
      </c>
      <c r="H460">
        <f>HYPERLINK("https://booking.roadsurfer.com/es/rally/pick?pickup_date=2026-04-01&amp;return_date=2026-04-15&amp;currency=EUR&amp;startStation=81&amp;endStation=105", "Clic para verlo en la web de RoadSurfer")</f>
        <v/>
      </c>
    </row>
    <row r="461">
      <c r="A461" t="inlineStr">
        <is>
          <t>EE.UU.</t>
        </is>
      </c>
      <c r="B461" t="inlineStr">
        <is>
          <t>Winnebago Industries</t>
        </is>
      </c>
      <c r="C461" t="inlineStr">
        <is>
          <t>EE.UU.</t>
        </is>
      </c>
      <c r="D461" t="inlineStr">
        <is>
          <t>Phoenix</t>
        </is>
      </c>
      <c r="E461" t="inlineStr">
        <is>
          <t>2026-03-26</t>
        </is>
      </c>
      <c r="F461" t="inlineStr">
        <is>
          <t>2026-04-09</t>
        </is>
      </c>
      <c r="G461" t="inlineStr">
        <is>
          <t xml:space="preserve"> - Liberty Lodge - Couple Condo</t>
        </is>
      </c>
      <c r="H461">
        <f>HYPERLINK("https://booking.roadsurfer.com/es/rally/pick?pickup_date=2026-03-26&amp;return_date=2026-04-09&amp;currency=EUR&amp;startStation=81&amp;endStation=105", "Clic para verlo en la web de RoadSurfer")</f>
        <v/>
      </c>
    </row>
    <row r="462">
      <c r="A462" t="inlineStr">
        <is>
          <t>EE.UU.</t>
        </is>
      </c>
      <c r="B462" t="inlineStr">
        <is>
          <t>Winnebago Industries</t>
        </is>
      </c>
      <c r="C462" t="inlineStr">
        <is>
          <t>EE.UU.</t>
        </is>
      </c>
      <c r="D462" t="inlineStr">
        <is>
          <t>Phoenix</t>
        </is>
      </c>
      <c r="E462" t="inlineStr">
        <is>
          <t>2026-03-31</t>
        </is>
      </c>
      <c r="F462" t="inlineStr">
        <is>
          <t>2026-04-14</t>
        </is>
      </c>
      <c r="G462" t="inlineStr">
        <is>
          <t xml:space="preserve"> - Liberty Lodge</t>
        </is>
      </c>
      <c r="H462">
        <f>HYPERLINK("https://booking.roadsurfer.com/es/rally/pick?pickup_date=2026-03-31&amp;return_date=2026-04-14&amp;currency=EUR&amp;startStation=81&amp;endStation=105", "Clic para verlo en la web de RoadSurfer")</f>
        <v/>
      </c>
    </row>
    <row r="463">
      <c r="A463" t="inlineStr">
        <is>
          <t>Alemania</t>
        </is>
      </c>
      <c r="B463" t="inlineStr">
        <is>
          <t>Wurzburgo</t>
        </is>
      </c>
      <c r="C463" t="inlineStr">
        <is>
          <t>Italia</t>
        </is>
      </c>
      <c r="D463" t="inlineStr">
        <is>
          <t>Milán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Road House</t>
        </is>
      </c>
      <c r="H463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2026-03-19T20:41:47Z</dcterms:created>
  <dcterms:modified xsi:type="dcterms:W3CDTF">2026-03-19T20:41:47Z</dcterms:modified>
</cp:coreProperties>
</file>