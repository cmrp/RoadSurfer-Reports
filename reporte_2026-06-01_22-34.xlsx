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Cozy Cottage</t>
        </is>
      </c>
      <c r="H4">
        <f>HYPERLINK("https://booking.roadsurfer.com/es/rally/pick?pickup_date=2026-06-12&amp;return_date=2026-06-19&amp;currency=EUR&amp;startStation=94&amp;endStation=20",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Austria</t>
        </is>
      </c>
      <c r="D5" t="inlineStr">
        <is>
          <t>Graz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 xml:space="preserve"> - Travel Home</t>
        </is>
      </c>
      <c r="H5">
        <f>HYPERLINK("https://booking.roadsurfer.com/es/rally/pick?pickup_date=2026-06-03&amp;return_date=2026-06-10&amp;currency=EUR&amp;startStation=6&amp;endStation=37",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Surfer Suite</t>
        </is>
      </c>
      <c r="H6">
        <f>HYPERLINK("https://booking.roadsurfer.com/es/rally/pick?pickup_date=2026-06-11&amp;return_date=2026-06-18&amp;currency=EUR&amp;startStation=6&amp;endStation=42",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HYPERLINK("https://booking.roadsurfer.com/es/rally/pick?pickup_date=2026-06-08&amp;return_date=2026-06-15&amp;currency=EUR&amp;startStation=6&amp;endStation=30",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HYPERLINK("https://booking.roadsurfer.com/es/rally/pick?pickup_date=2026-06-08&amp;return_date=2026-06-15&amp;currency=EUR&amp;startStation=6&amp;endStation=77",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Road House</t>
        </is>
      </c>
      <c r="H10">
        <f>HYPERLINK("https://booking.roadsurfer.com/es/rally/pick?pickup_date=2026-06-23&amp;return_date=2026-06-30&amp;currency=EUR&amp;startStation=51&amp;endStation=77",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Surfer Suite</t>
        </is>
      </c>
      <c r="H11">
        <f>HYPERLINK("https://booking.roadsurfer.com/es/rally/pick?pickup_date=2026-06-15&amp;return_date=2026-06-22&amp;currency=EUR&amp;startStation=91&amp;endStation=40",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2026-06-06</t>
        </is>
      </c>
      <c r="F12" t="inlineStr">
        <is>
          <t>2026-06-13</t>
        </is>
      </c>
      <c r="G12" t="inlineStr">
        <is>
          <t xml:space="preserve"> - Camper Cabin</t>
        </is>
      </c>
      <c r="H12">
        <f>HYPERLINK("https://booking.roadsurfer.com/es/rally/pick?pickup_date=2026-06-06&amp;return_date=2026-06-13&amp;currency=EUR&amp;startStation=91&amp;endStation=40",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Nantes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Beach Hostel</t>
        </is>
      </c>
      <c r="H13">
        <f>HYPERLINK("https://booking.roadsurfer.com/es/rally/pick?pickup_date=2026-06-12&amp;return_date=2026-06-19&amp;currency=EUR&amp;startStation=91&amp;endStation=31",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2026-06-13</t>
        </is>
      </c>
      <c r="F14" t="inlineStr">
        <is>
          <t>2026-06-20</t>
        </is>
      </c>
      <c r="G14" t="inlineStr"/>
      <c r="H14">
        <f>HYPERLINK("https://booking.roadsurfer.com/es/rally/pick?pickup_date=2026-06-13&amp;return_date=2026-06-20&amp;currency=EUR&amp;startStation=91&amp;endStation=12",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No hay coche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Sunrise Suite</t>
        </is>
      </c>
      <c r="H18">
        <f>HYPERLINK("https://booking.roadsurfer.com/es/rally/pick?pickup_date=2026-06-26&amp;return_date=2026-07-03&amp;currency=EUR&amp;startStation=91&amp;endStation=77",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2026-06-11</t>
        </is>
      </c>
      <c r="F19" t="inlineStr">
        <is>
          <t>2026-06-18</t>
        </is>
      </c>
      <c r="G19" t="inlineStr">
        <is>
          <t xml:space="preserve"> - Road House</t>
        </is>
      </c>
      <c r="H19">
        <f>HYPERLINK("https://booking.roadsurfer.com/es/rally/pick?pickup_date=2026-06-11&amp;return_date=2026-06-18&amp;currency=EUR&amp;startStation=91&amp;endStation=59",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HYPERLINK("https://booking.roadsurfer.com/es/rally/pick?pickup_date=2026-06-22&amp;return_date=2026-06-29&amp;currency=EUR&amp;startStation=91&amp;endStation=42", "Clic para verlo en la web de RoadSurfer")</f>
        <v/>
      </c>
    </row>
    <row r="22">
      <c r="A22" t="inlineStr">
        <is>
          <t>Alemania</t>
        </is>
      </c>
      <c r="B22" t="inlineStr">
        <is>
          <t>Bochum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Couple Cottage</t>
        </is>
      </c>
      <c r="H22">
        <f>HYPERLINK("https://booking.roadsurfer.com/es/rally/pick?pickup_date=2026-06-19&amp;return_date=2026-06-26&amp;currency=EUR&amp;startStation=24&amp;endStation=48",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2026-06-05</t>
        </is>
      </c>
      <c r="F23" t="inlineStr">
        <is>
          <t>2026-06-12</t>
        </is>
      </c>
      <c r="G23" t="inlineStr">
        <is>
          <t xml:space="preserve"> - Surfer Suite</t>
        </is>
      </c>
      <c r="H23">
        <f>HYPERLINK("https://booking.roadsurfer.com/es/rally/pick?pickup_date=2026-06-05&amp;return_date=2026-06-12&amp;currency=EUR&amp;startStation=13&amp;endStation=22",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2026-06-10</t>
        </is>
      </c>
      <c r="F24" t="inlineStr">
        <is>
          <t>2026-06-17</t>
        </is>
      </c>
      <c r="G24" t="inlineStr">
        <is>
          <t xml:space="preserve"> - Surfer Suite</t>
        </is>
      </c>
      <c r="H24">
        <f>HYPERLINK("https://booking.roadsurfer.com/es/rally/pick?pickup_date=2026-06-10&amp;return_date=2026-06-17&amp;currency=EUR&amp;startStation=13&amp;endStation=56",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2026-06-06</t>
        </is>
      </c>
      <c r="F25" t="inlineStr">
        <is>
          <t>2026-06-13</t>
        </is>
      </c>
      <c r="G25" t="inlineStr">
        <is>
          <t xml:space="preserve"> - Surfer Suite - Camper Castle</t>
        </is>
      </c>
      <c r="H25">
        <f>HYPERLINK("https://booking.roadsurfer.com/es/rally/pick?pickup_date=2026-06-06&amp;return_date=2026-06-13&amp;currency=EUR&amp;startStation=13&amp;endStation=56",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2026-06-11</t>
        </is>
      </c>
      <c r="F26" t="inlineStr">
        <is>
          <t>2026-06-18</t>
        </is>
      </c>
      <c r="G26" t="inlineStr">
        <is>
          <t xml:space="preserve"> - Road House</t>
        </is>
      </c>
      <c r="H26">
        <f>HYPERLINK("https://booking.roadsurfer.com/es/rally/pick?pickup_date=2026-06-11&amp;return_date=2026-06-18&amp;currency=EUR&amp;startStation=13&amp;endStation=56",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2026-06-12</t>
        </is>
      </c>
      <c r="F27" t="inlineStr">
        <is>
          <t>2026-06-19</t>
        </is>
      </c>
      <c r="G27" t="inlineStr">
        <is>
          <t xml:space="preserve"> - Sunrise Suite</t>
        </is>
      </c>
      <c r="H27">
        <f>HYPERLINK("https://booking.roadsurfer.com/es/rally/pick?pickup_date=2026-06-12&amp;return_date=2026-06-19&amp;currency=EUR&amp;startStation=13&amp;endStation=56",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2026-06-11</t>
        </is>
      </c>
      <c r="F28" t="inlineStr">
        <is>
          <t>2026-06-18</t>
        </is>
      </c>
      <c r="G28" t="inlineStr">
        <is>
          <t xml:space="preserve"> - Surfer Suite - Sunrise Suite</t>
        </is>
      </c>
      <c r="H28">
        <f>HYPERLINK("https://booking.roadsurfer.com/es/rally/pick?pickup_date=2026-06-11&amp;return_date=2026-06-18&amp;currency=EUR&amp;startStation=13&amp;endStation=90",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Beach Hostel</t>
        </is>
      </c>
      <c r="H29">
        <f>HYPERLINK("https://booking.roadsurfer.com/es/rally/pick?pickup_date=2026-06-08&amp;return_date=2026-06-15&amp;currency=EUR&amp;startStation=13&amp;endStation=90",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Surfer Suite</t>
        </is>
      </c>
      <c r="H30">
        <f>HYPERLINK("https://booking.roadsurfer.com/es/rally/pick?pickup_date=2026-06-10&amp;return_date=2026-06-17&amp;currency=EUR&amp;startStation=13&amp;endStation=130",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2026-06-05</t>
        </is>
      </c>
      <c r="F31" t="inlineStr">
        <is>
          <t>2026-06-12</t>
        </is>
      </c>
      <c r="G31" t="inlineStr">
        <is>
          <t xml:space="preserve"> - Sunrise Suite</t>
        </is>
      </c>
      <c r="H31">
        <f>HYPERLINK("https://booking.roadsurfer.com/es/rally/pick?pickup_date=2026-06-05&amp;return_date=2026-06-12&amp;currency=EUR&amp;startStation=13&amp;endStation=10",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Camper Castle</t>
        </is>
      </c>
      <c r="H32">
        <f>HYPERLINK("https://booking.roadsurfer.com/es/rally/pick?pickup_date=2026-06-15&amp;return_date=2026-06-22&amp;currency=EUR&amp;startStation=55&amp;endStation=60",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2026-06-16</t>
        </is>
      </c>
      <c r="F33" t="inlineStr">
        <is>
          <t>2026-06-23</t>
        </is>
      </c>
      <c r="G33" t="inlineStr">
        <is>
          <t xml:space="preserve"> - No hay coche</t>
        </is>
      </c>
      <c r="H33">
        <f>HYPERLINK("https://booking.roadsurfer.com/es/rally/pick?pickup_date=2026-06-16&amp;return_date=2026-06-23&amp;currency=EUR&amp;startStation=55&amp;endStation=60",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2026-06-08</t>
        </is>
      </c>
      <c r="F34" t="inlineStr">
        <is>
          <t>2026-06-15</t>
        </is>
      </c>
      <c r="G34" t="inlineStr">
        <is>
          <t xml:space="preserve"> - Couple Cottage</t>
        </is>
      </c>
      <c r="H34">
        <f>HYPERLINK("https://booking.roadsurfer.com/es/rally/pick?pickup_date=2026-06-08&amp;return_date=2026-06-15&amp;currency=EUR&amp;startStation=55&amp;endStation=60",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2026-06-30</t>
        </is>
      </c>
      <c r="F35" t="inlineStr">
        <is>
          <t>2026-07-07</t>
        </is>
      </c>
      <c r="G35" t="inlineStr">
        <is>
          <t xml:space="preserve"> - Sunrise Suite</t>
        </is>
      </c>
      <c r="H35">
        <f>HYPERLINK("https://booking.roadsurfer.com/es/rally/pick?pickup_date=2026-06-30&amp;return_date=2026-07-07&amp;currency=EUR&amp;startStation=55&amp;endStation=36",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Camper Cabin</t>
        </is>
      </c>
      <c r="H36">
        <f>HYPERLINK("https://booking.roadsurfer.com/es/rally/pick?pickup_date=2026-06-10&amp;return_date=2026-06-17&amp;currency=EUR&amp;startStation=55&amp;endStation=42",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Francia</t>
        </is>
      </c>
      <c r="D37" t="inlineStr">
        <is>
          <t>Toulouse</t>
        </is>
      </c>
      <c r="E37" t="inlineStr">
        <is>
          <t>2026-06-04</t>
        </is>
      </c>
      <c r="F37" t="inlineStr">
        <is>
          <t>2026-06-11</t>
        </is>
      </c>
      <c r="G37" t="inlineStr">
        <is>
          <t xml:space="preserve"> - Camper Castle</t>
        </is>
      </c>
      <c r="H37">
        <f>HYPERLINK("https://booking.roadsurfer.com/es/rally/pick?pickup_date=2026-06-04&amp;return_date=2026-06-11&amp;currency=EUR&amp;startStation=42&amp;endStation=30",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Couple Cottage</t>
        </is>
      </c>
      <c r="H38">
        <f>HYPERLINK("https://booking.roadsurfer.com/es/rally/pick?pickup_date=2026-06-29&amp;return_date=2026-07-06&amp;currency=EUR&amp;startStation=52&amp;endStation=59",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Beach Hostel</t>
        </is>
      </c>
      <c r="H39">
        <f>HYPERLINK("https://booking.roadsurfer.com/es/rally/pick?pickup_date=2026-06-08&amp;return_date=2026-06-15&amp;currency=EUR&amp;startStation=4&amp;endStation=8",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2026-06-08</t>
        </is>
      </c>
      <c r="F40" t="inlineStr">
        <is>
          <t>2026-06-15</t>
        </is>
      </c>
      <c r="G40" t="inlineStr">
        <is>
          <t xml:space="preserve"> - Camper Cabin</t>
        </is>
      </c>
      <c r="H40">
        <f>HYPERLINK("https://booking.roadsurfer.com/es/rally/pick?pickup_date=2026-06-08&amp;return_date=2026-06-15&amp;currency=EUR&amp;startStation=4&amp;endStation=15",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2026-06-30</t>
        </is>
      </c>
      <c r="F41" t="inlineStr">
        <is>
          <t>2026-07-07</t>
        </is>
      </c>
      <c r="G41" t="inlineStr"/>
      <c r="H41">
        <f>HYPERLINK("https://booking.roadsurfer.com/es/rally/pick?pickup_date=2026-06-30&amp;return_date=2026-07-07&amp;currency=EUR&amp;startStation=4&amp;endStation=15",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Van Villa</t>
        </is>
      </c>
      <c r="H42">
        <f>HYPERLINK("https://booking.roadsurfer.com/es/rally/pick?pickup_date=2026-06-08&amp;return_date=2026-06-15&amp;currency=EUR&amp;startStation=4&amp;endStation=11",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2026-06-06</t>
        </is>
      </c>
      <c r="F43" t="inlineStr">
        <is>
          <t>2026-06-13</t>
        </is>
      </c>
      <c r="G43" t="inlineStr">
        <is>
          <t xml:space="preserve"> - Camper Cabin</t>
        </is>
      </c>
      <c r="H43">
        <f>HYPERLINK("https://booking.roadsurfer.com/es/rally/pick?pickup_date=2026-06-06&amp;return_date=2026-06-13&amp;currency=EUR&amp;startStation=4&amp;endStation=40",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2026-06-06</t>
        </is>
      </c>
      <c r="F44" t="inlineStr">
        <is>
          <t>2026-06-13</t>
        </is>
      </c>
      <c r="G44" t="inlineStr">
        <is>
          <t xml:space="preserve"> - Camper Castle</t>
        </is>
      </c>
      <c r="H44">
        <f>HYPERLINK("https://booking.roadsurfer.com/es/rally/pick?pickup_date=2026-06-06&amp;return_date=2026-06-13&amp;currency=EUR&amp;startStation=4&amp;endStation=31",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Sunrise Suite</t>
        </is>
      </c>
      <c r="H45">
        <f>HYPERLINK("https://booking.roadsurfer.com/es/rally/pick?pickup_date=2026-06-23&amp;return_date=2026-06-30&amp;currency=EUR&amp;startStation=4&amp;endStation=13", "Clic para verlo en la web de RoadSurfer")</f>
        <v/>
      </c>
    </row>
    <row r="46">
      <c r="A46" t="inlineStr">
        <is>
          <t>Alemania</t>
        </is>
      </c>
      <c r="B46" t="inlineStr">
        <is>
          <t>Constanza (Aach)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Camper Cabin</t>
        </is>
      </c>
      <c r="H46">
        <f>HYPERLINK("https://booking.roadsurfer.com/es/rally/pick?pickup_date=2026-06-08&amp;return_date=2026-06-15&amp;currency=EUR&amp;startStation=10&amp;endStation=31", "Clic para verlo en la web de RoadSurfer")</f>
        <v/>
      </c>
    </row>
    <row r="47">
      <c r="A47" t="inlineStr">
        <is>
          <t>Alemania</t>
        </is>
      </c>
      <c r="B47" t="inlineStr">
        <is>
          <t>Constanza (Aach)</t>
        </is>
      </c>
      <c r="C47" t="inlineStr">
        <is>
          <t>Francia</t>
        </is>
      </c>
      <c r="D47" t="inlineStr">
        <is>
          <t>Nantes</t>
        </is>
      </c>
      <c r="E47" t="inlineStr">
        <is>
          <t>2026-07-07</t>
        </is>
      </c>
      <c r="F47" t="inlineStr">
        <is>
          <t>2026-07-14</t>
        </is>
      </c>
      <c r="G47" t="inlineStr">
        <is>
          <t xml:space="preserve"> - No hay coche</t>
        </is>
      </c>
      <c r="H47">
        <f>HYPERLINK("https://booking.roadsurfer.com/es/rally/pick?pickup_date=2026-07-07&amp;return_date=2026-07-14&amp;currency=EUR&amp;startStation=10&amp;endStation=31", "Clic para verlo en la web de RoadSurfer")</f>
        <v/>
      </c>
    </row>
    <row r="48">
      <c r="A48" t="inlineStr">
        <is>
          <t>Alemania</t>
        </is>
      </c>
      <c r="B48" t="inlineStr">
        <is>
          <t>Constanza (Aach)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2026-06-06</t>
        </is>
      </c>
      <c r="F48" t="inlineStr">
        <is>
          <t>2026-06-13</t>
        </is>
      </c>
      <c r="G48" t="inlineStr">
        <is>
          <t xml:space="preserve"> - Surfer Suite</t>
        </is>
      </c>
      <c r="H48">
        <f>HYPERLINK("https://booking.roadsurfer.com/es/rally/pick?pickup_date=2026-06-06&amp;return_date=2026-06-13&amp;currency=EUR&amp;startStation=10&amp;endStation=90",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2026-06-26</t>
        </is>
      </c>
      <c r="F49" t="inlineStr">
        <is>
          <t>2026-07-03</t>
        </is>
      </c>
      <c r="G49" t="inlineStr"/>
      <c r="H49">
        <f>HYPERLINK("https://booking.roadsurfer.com/es/rally/pick?pickup_date=2026-06-26&amp;return_date=2026-07-03&amp;currency=EUR&amp;startStation=56&amp;endStation=15",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2026-07-08</t>
        </is>
      </c>
      <c r="F50" t="inlineStr">
        <is>
          <t>2026-07-15</t>
        </is>
      </c>
      <c r="G50" t="inlineStr">
        <is>
          <t xml:space="preserve"> - Surfer Suite</t>
        </is>
      </c>
      <c r="H50">
        <f>HYPERLINK("https://booking.roadsurfer.com/es/rally/pick?pickup_date=2026-07-08&amp;return_date=2026-07-15&amp;currency=EUR&amp;startStation=56&amp;endStation=13",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2026-07-06</t>
        </is>
      </c>
      <c r="F51" t="inlineStr">
        <is>
          <t>2026-07-13</t>
        </is>
      </c>
      <c r="G51" t="inlineStr">
        <is>
          <t xml:space="preserve"> - Sunrise Suite</t>
        </is>
      </c>
      <c r="H51">
        <f>HYPERLINK("https://booking.roadsurfer.com/es/rally/pick?pickup_date=2026-07-06&amp;return_date=2026-07-13&amp;currency=EUR&amp;startStation=56&amp;endStation=13",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2026-07-03</t>
        </is>
      </c>
      <c r="F52" t="inlineStr">
        <is>
          <t>2026-07-10</t>
        </is>
      </c>
      <c r="G52" t="inlineStr">
        <is>
          <t xml:space="preserve"> - Camper Castle</t>
        </is>
      </c>
      <c r="H52">
        <f>HYPERLINK("https://booking.roadsurfer.com/es/rally/pick?pickup_date=2026-07-03&amp;return_date=2026-07-10&amp;currency=EUR&amp;startStation=56&amp;endStation=13",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2026-07-09</t>
        </is>
      </c>
      <c r="F53" t="inlineStr">
        <is>
          <t>2026-07-16</t>
        </is>
      </c>
      <c r="G53" t="inlineStr">
        <is>
          <t xml:space="preserve"> - Road House</t>
        </is>
      </c>
      <c r="H53">
        <f>HYPERLINK("https://booking.roadsurfer.com/es/rally/pick?pickup_date=2026-07-09&amp;return_date=2026-07-16&amp;currency=EUR&amp;startStation=56&amp;endStation=13",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2026-07-04</t>
        </is>
      </c>
      <c r="F54" t="inlineStr">
        <is>
          <t>2026-07-11</t>
        </is>
      </c>
      <c r="G54" t="inlineStr">
        <is>
          <t xml:space="preserve"> - Surfer Suite</t>
        </is>
      </c>
      <c r="H54">
        <f>HYPERLINK("https://booking.roadsurfer.com/es/rally/pick?pickup_date=2026-07-04&amp;return_date=2026-07-11&amp;currency=EUR&amp;startStation=56&amp;endStation=13",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Países Bajos</t>
        </is>
      </c>
      <c r="D55" t="inlineStr">
        <is>
          <t>Róterdam</t>
        </is>
      </c>
      <c r="E55" t="inlineStr">
        <is>
          <t>2026-06-11</t>
        </is>
      </c>
      <c r="F55" t="inlineStr">
        <is>
          <t>2026-06-18</t>
        </is>
      </c>
      <c r="G55" t="inlineStr">
        <is>
          <t xml:space="preserve"> - Surfer Suite</t>
        </is>
      </c>
      <c r="H55">
        <f>HYPERLINK("https://booking.roadsurfer.com/es/rally/pick?pickup_date=2026-06-11&amp;return_date=2026-06-18&amp;currency=EUR&amp;startStation=56&amp;endStation=33",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2026-06-16</t>
        </is>
      </c>
      <c r="F56" t="inlineStr">
        <is>
          <t>2026-06-23</t>
        </is>
      </c>
      <c r="G56" t="inlineStr">
        <is>
          <t xml:space="preserve"> - Camper Castle</t>
        </is>
      </c>
      <c r="H56">
        <f>HYPERLINK("https://booking.roadsurfer.com/es/rally/pick?pickup_date=2026-06-16&amp;return_date=2026-06-23&amp;currency=EUR&amp;startStation=56&amp;endStation=59",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Camper Castle</t>
        </is>
      </c>
      <c r="H57">
        <f>HYPERLINK("https://booking.roadsurfer.com/es/rally/pick?pickup_date=2026-06-22&amp;return_date=2026-06-29&amp;currency=EUR&amp;startStation=56&amp;endStation=59",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2026-06-13</t>
        </is>
      </c>
      <c r="F58" t="inlineStr">
        <is>
          <t>2026-06-20</t>
        </is>
      </c>
      <c r="G58" t="inlineStr">
        <is>
          <t xml:space="preserve"> - No hay coche</t>
        </is>
      </c>
      <c r="H58">
        <f>HYPERLINK("https://booking.roadsurfer.com/es/rally/pick?pickup_date=2026-06-13&amp;return_date=2026-06-20&amp;currency=EUR&amp;startStation=56&amp;endStation=59",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2026-06-11</t>
        </is>
      </c>
      <c r="F59" t="inlineStr">
        <is>
          <t>2026-06-18</t>
        </is>
      </c>
      <c r="G59" t="inlineStr">
        <is>
          <t xml:space="preserve"> - No hay coche</t>
        </is>
      </c>
      <c r="H59">
        <f>HYPERLINK("https://booking.roadsurfer.com/es/rally/pick?pickup_date=2026-06-11&amp;return_date=2026-06-18&amp;currency=EUR&amp;startStation=56&amp;endStation=59",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2026-06-13</t>
        </is>
      </c>
      <c r="F60" t="inlineStr">
        <is>
          <t>2026-06-20</t>
        </is>
      </c>
      <c r="G60" t="inlineStr">
        <is>
          <t xml:space="preserve"> - Family Finca</t>
        </is>
      </c>
      <c r="H60">
        <f>HYPERLINK("https://booking.roadsurfer.com/es/rally/pick?pickup_date=2026-06-13&amp;return_date=2026-06-20&amp;currency=EUR&amp;startStation=56&amp;endStation=37",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Austria</t>
        </is>
      </c>
      <c r="D61" t="inlineStr">
        <is>
          <t>Graz</t>
        </is>
      </c>
      <c r="E61" t="inlineStr">
        <is>
          <t>2026-06-08</t>
        </is>
      </c>
      <c r="F61" t="inlineStr">
        <is>
          <t>2026-06-15</t>
        </is>
      </c>
      <c r="G61" t="inlineStr"/>
      <c r="H61">
        <f>HYPERLINK("https://booking.roadsurfer.com/es/rally/pick?pickup_date=2026-06-08&amp;return_date=2026-06-15&amp;currency=EUR&amp;startStation=56&amp;endStation=37",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Austria</t>
        </is>
      </c>
      <c r="D62" t="inlineStr">
        <is>
          <t>Graz</t>
        </is>
      </c>
      <c r="E62" t="inlineStr">
        <is>
          <t>2026-06-30</t>
        </is>
      </c>
      <c r="F62" t="inlineStr">
        <is>
          <t>2026-07-07</t>
        </is>
      </c>
      <c r="G62" t="inlineStr">
        <is>
          <t xml:space="preserve"> - Road House</t>
        </is>
      </c>
      <c r="H62">
        <f>HYPERLINK("https://booking.roadsurfer.com/es/rally/pick?pickup_date=2026-06-30&amp;return_date=2026-07-07&amp;currency=EUR&amp;startStation=56&amp;endStation=37",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Francia</t>
        </is>
      </c>
      <c r="D63" t="inlineStr">
        <is>
          <t>Ginebra-Pays de Gex (Francia)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Sunrise Suite</t>
        </is>
      </c>
      <c r="H63">
        <f>HYPERLINK("https://booking.roadsurfer.com/es/rally/pick?pickup_date=2026-06-22&amp;return_date=2026-06-29&amp;currency=EUR&amp;startStation=56&amp;endStation=29",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2026-06-12</t>
        </is>
      </c>
      <c r="F64" t="inlineStr">
        <is>
          <t>2026-06-19</t>
        </is>
      </c>
      <c r="G64" t="inlineStr">
        <is>
          <t xml:space="preserve"> - Road House</t>
        </is>
      </c>
      <c r="H64">
        <f>HYPERLINK("https://booking.roadsurfer.com/es/rally/pick?pickup_date=2026-06-12&amp;return_date=2026-06-19&amp;currency=EUR&amp;startStation=56&amp;endStation=48",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2026-06-11</t>
        </is>
      </c>
      <c r="F65" t="inlineStr">
        <is>
          <t>2026-06-18</t>
        </is>
      </c>
      <c r="G65" t="inlineStr">
        <is>
          <t xml:space="preserve"> - Surfer Suite - Beach Hostel</t>
        </is>
      </c>
      <c r="H65">
        <f>HYPERLINK("https://booking.roadsurfer.com/es/rally/pick?pickup_date=2026-06-11&amp;return_date=2026-06-18&amp;currency=EUR&amp;startStation=90&amp;endStation=42",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2026-06-08</t>
        </is>
      </c>
      <c r="F66" t="inlineStr">
        <is>
          <t>2026-06-15</t>
        </is>
      </c>
      <c r="G66" t="inlineStr">
        <is>
          <t xml:space="preserve"> - No hay coche</t>
        </is>
      </c>
      <c r="H66">
        <f>HYPERLINK("https://booking.roadsurfer.com/es/rally/pick?pickup_date=2026-06-08&amp;return_date=2026-06-15&amp;currency=EUR&amp;startStation=90&amp;endStation=60",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2026-06-11</t>
        </is>
      </c>
      <c r="F67" t="inlineStr">
        <is>
          <t>2026-06-18</t>
        </is>
      </c>
      <c r="G67" t="inlineStr"/>
      <c r="H67">
        <f>HYPERLINK("https://booking.roadsurfer.com/es/rally/pick?pickup_date=2026-06-11&amp;return_date=2026-06-18&amp;currency=EUR&amp;startStation=90&amp;endStation=60",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Francia</t>
        </is>
      </c>
      <c r="D68" t="inlineStr">
        <is>
          <t>Lyon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Camper Cabin - Road House</t>
        </is>
      </c>
      <c r="H68">
        <f>HYPERLINK("https://booking.roadsurfer.com/es/rally/pick?pickup_date=2026-06-29&amp;return_date=2026-07-06&amp;currency=EUR&amp;startStation=90&amp;endStation=15",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2026-06-26</t>
        </is>
      </c>
      <c r="F69" t="inlineStr">
        <is>
          <t>2026-07-03</t>
        </is>
      </c>
      <c r="G69" t="inlineStr">
        <is>
          <t xml:space="preserve"> - Surfer Suite</t>
        </is>
      </c>
      <c r="H69">
        <f>HYPERLINK("https://booking.roadsurfer.com/es/rally/pick?pickup_date=2026-06-26&amp;return_date=2026-07-03&amp;currency=EUR&amp;startStation=90&amp;endStation=15",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Francia</t>
        </is>
      </c>
      <c r="D70" t="inlineStr">
        <is>
          <t>Burdeos</t>
        </is>
      </c>
      <c r="E70" t="inlineStr">
        <is>
          <t>2026-07-08</t>
        </is>
      </c>
      <c r="F70" t="inlineStr">
        <is>
          <t>2026-07-15</t>
        </is>
      </c>
      <c r="G70" t="inlineStr">
        <is>
          <t xml:space="preserve"> - Sunrise Suite</t>
        </is>
      </c>
      <c r="H70">
        <f>HYPERLINK("https://booking.roadsurfer.com/es/rally/pick?pickup_date=2026-07-08&amp;return_date=2026-07-15&amp;currency=EUR&amp;startStation=90&amp;endStation=13",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Francia</t>
        </is>
      </c>
      <c r="D71" t="inlineStr">
        <is>
          <t>Burdeos</t>
        </is>
      </c>
      <c r="E71" t="inlineStr">
        <is>
          <t>2026-07-09</t>
        </is>
      </c>
      <c r="F71" t="inlineStr">
        <is>
          <t>2026-07-16</t>
        </is>
      </c>
      <c r="G71" t="inlineStr">
        <is>
          <t xml:space="preserve"> - Surfer Suite</t>
        </is>
      </c>
      <c r="H71">
        <f>HYPERLINK("https://booking.roadsurfer.com/es/rally/pick?pickup_date=2026-07-09&amp;return_date=2026-07-16&amp;currency=EUR&amp;startStation=90&amp;endStation=13",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2026-07-06</t>
        </is>
      </c>
      <c r="F72" t="inlineStr">
        <is>
          <t>2026-07-13</t>
        </is>
      </c>
      <c r="G72" t="inlineStr">
        <is>
          <t xml:space="preserve"> - Beach Hostel</t>
        </is>
      </c>
      <c r="H72">
        <f>HYPERLINK("https://booking.roadsurfer.com/es/rally/pick?pickup_date=2026-07-06&amp;return_date=2026-07-13&amp;currency=EUR&amp;startStation=90&amp;endStation=13",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Surfer Suite</t>
        </is>
      </c>
      <c r="H73">
        <f>HYPERLINK("https://booking.roadsurfer.com/es/rally/pick?pickup_date=2026-06-08&amp;return_date=2026-06-15&amp;currency=EUR&amp;startStation=90&amp;endStation=29",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2026-06-24</t>
        </is>
      </c>
      <c r="F74" t="inlineStr">
        <is>
          <t>2026-07-01</t>
        </is>
      </c>
      <c r="G74" t="inlineStr">
        <is>
          <t xml:space="preserve"> - Camper Cabin</t>
        </is>
      </c>
      <c r="H74">
        <f>HYPERLINK("https://booking.roadsurfer.com/es/rally/pick?pickup_date=2026-06-24&amp;return_date=2026-07-01&amp;currency=EUR&amp;startStation=90&amp;endStation=29",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2026-07-06</t>
        </is>
      </c>
      <c r="F75" t="inlineStr">
        <is>
          <t>2026-07-13</t>
        </is>
      </c>
      <c r="G75" t="inlineStr">
        <is>
          <t xml:space="preserve"> - Surfer Suite</t>
        </is>
      </c>
      <c r="H75">
        <f>HYPERLINK("https://booking.roadsurfer.com/es/rally/pick?pickup_date=2026-07-06&amp;return_date=2026-07-13&amp;currency=EUR&amp;startStation=90&amp;endStation=30",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2026-06-15</t>
        </is>
      </c>
      <c r="F76" t="inlineStr">
        <is>
          <t>2026-06-22</t>
        </is>
      </c>
      <c r="G76" t="inlineStr">
        <is>
          <t xml:space="preserve"> - Beach Hostel</t>
        </is>
      </c>
      <c r="H76">
        <f>HYPERLINK("https://booking.roadsurfer.com/es/rally/pick?pickup_date=2026-06-15&amp;return_date=2026-06-22&amp;currency=EUR&amp;startStation=90&amp;endStation=77",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2026-06-12</t>
        </is>
      </c>
      <c r="F77" t="inlineStr">
        <is>
          <t>2026-06-19</t>
        </is>
      </c>
      <c r="G77" t="inlineStr">
        <is>
          <t xml:space="preserve"> - Surfer Suite</t>
        </is>
      </c>
      <c r="H77">
        <f>HYPERLINK("https://booking.roadsurfer.com/es/rally/pick?pickup_date=2026-06-12&amp;return_date=2026-06-19&amp;currency=EUR&amp;startStation=90&amp;endStation=37",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2026-06-10</t>
        </is>
      </c>
      <c r="F78" t="inlineStr">
        <is>
          <t>2026-06-17</t>
        </is>
      </c>
      <c r="G78" t="inlineStr">
        <is>
          <t xml:space="preserve"> - Surfer Suite</t>
        </is>
      </c>
      <c r="H78">
        <f>HYPERLINK("https://booking.roadsurfer.com/es/rally/pick?pickup_date=2026-06-10&amp;return_date=2026-06-17&amp;currency=EUR&amp;startStation=90&amp;endStation=47",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2026-06-29</t>
        </is>
      </c>
      <c r="F79" t="inlineStr">
        <is>
          <t>2026-07-06</t>
        </is>
      </c>
      <c r="G79" t="inlineStr">
        <is>
          <t xml:space="preserve"> - Sunrise Suite</t>
        </is>
      </c>
      <c r="H79">
        <f>HYPERLINK("https://booking.roadsurfer.com/es/rally/pick?pickup_date=2026-06-29&amp;return_date=2026-07-06&amp;currency=EUR&amp;startStation=90&amp;endStation=59",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2026-06-30</t>
        </is>
      </c>
      <c r="F80" t="inlineStr">
        <is>
          <t>2026-07-07</t>
        </is>
      </c>
      <c r="G80" t="inlineStr">
        <is>
          <t xml:space="preserve"> - Sunrise Suite</t>
        </is>
      </c>
      <c r="H80">
        <f>HYPERLINK("https://booking.roadsurfer.com/es/rally/pick?pickup_date=2026-06-30&amp;return_date=2026-07-07&amp;currency=EUR&amp;startStation=90&amp;endStation=59",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Couple Cottage</t>
        </is>
      </c>
      <c r="H81">
        <f>HYPERLINK("https://booking.roadsurfer.com/es/rally/pick?pickup_date=2026-06-22&amp;return_date=2026-06-29&amp;currency=EUR&amp;startStation=90&amp;endStation=59",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No hay coche</t>
        </is>
      </c>
      <c r="H82">
        <f>HYPERLINK("https://booking.roadsurfer.com/es/rally/pick?pickup_date=2026-06-12&amp;return_date=2026-06-19&amp;currency=EUR&amp;startStation=90&amp;endStation=59",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Camper Cabin</t>
        </is>
      </c>
      <c r="H83">
        <f>HYPERLINK("https://booking.roadsurfer.com/es/rally/pick?pickup_date=2026-06-22&amp;return_date=2026-06-29&amp;currency=EUR&amp;startStation=90&amp;endStation=40", "Clic para verlo en la web de RoadSurfer")</f>
        <v/>
      </c>
    </row>
    <row r="84">
      <c r="A84" t="inlineStr">
        <is>
          <t>Alemania</t>
        </is>
      </c>
      <c r="B84" t="inlineStr">
        <is>
          <t>Flensburgo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2026-06-20</t>
        </is>
      </c>
      <c r="F84" t="inlineStr">
        <is>
          <t>2026-06-27</t>
        </is>
      </c>
      <c r="G84" t="inlineStr">
        <is>
          <t xml:space="preserve"> - Road House</t>
        </is>
      </c>
      <c r="H84">
        <f>HYPERLINK("https://booking.roadsurfer.com/es/rally/pick?pickup_date=2026-06-20&amp;return_date=2026-06-27&amp;currency=EUR&amp;startStation=130&amp;endStation=13", "Clic para verlo en la web de RoadSurfer")</f>
        <v/>
      </c>
    </row>
    <row r="85">
      <c r="A85" t="inlineStr">
        <is>
          <t>Alemania</t>
        </is>
      </c>
      <c r="B85" t="inlineStr">
        <is>
          <t>Fráncfort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2026-05-27</t>
        </is>
      </c>
      <c r="F85" t="inlineStr">
        <is>
          <t>2026-06-02</t>
        </is>
      </c>
      <c r="G85" t="inlineStr">
        <is>
          <t xml:space="preserve"> - Travel Home</t>
        </is>
      </c>
      <c r="H85">
        <f>HYPERLINK("https://booking.roadsurfer.com/es/rally/pick?pickup_date=2026-05-27&amp;return_date=2026-06-02&amp;currency=EUR&amp;startStation=2&amp;endStation=12",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España</t>
        </is>
      </c>
      <c r="D86" t="inlineStr">
        <is>
          <t>Málaga</t>
        </is>
      </c>
      <c r="E86" t="inlineStr">
        <is>
          <t>2026-07-06</t>
        </is>
      </c>
      <c r="F86" t="inlineStr">
        <is>
          <t>2026-07-13</t>
        </is>
      </c>
      <c r="G86" t="inlineStr">
        <is>
          <t xml:space="preserve"> - Couple Cottage</t>
        </is>
      </c>
      <c r="H86">
        <f>HYPERLINK("https://booking.roadsurfer.com/es/rally/pick?pickup_date=2026-07-06&amp;return_date=2026-07-13&amp;currency=EUR&amp;startStation=2&amp;endStation=21", "Clic para verlo en la web de RoadSurfer")</f>
        <v/>
      </c>
    </row>
    <row r="87">
      <c r="A87" t="inlineStr">
        <is>
          <t>Alemania</t>
        </is>
      </c>
      <c r="B87" t="inlineStr">
        <is>
          <t>Fráncfort</t>
        </is>
      </c>
      <c r="C87" t="inlineStr">
        <is>
          <t>España</t>
        </is>
      </c>
      <c r="D87" t="inlineStr">
        <is>
          <t>Málaga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Family Finca</t>
        </is>
      </c>
      <c r="H87">
        <f>HYPERLINK("https://booking.roadsurfer.com/es/rally/pick?pickup_date=2026-06-05&amp;return_date=2026-06-12&amp;currency=EUR&amp;startStation=2&amp;endStation=21", "Clic para verlo en la web de RoadSurfer")</f>
        <v/>
      </c>
    </row>
    <row r="88">
      <c r="A88" t="inlineStr">
        <is>
          <t>Alemania</t>
        </is>
      </c>
      <c r="B88" t="inlineStr">
        <is>
          <t>Fráncfort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2026-06-06</t>
        </is>
      </c>
      <c r="F88" t="inlineStr">
        <is>
          <t>2026-06-12</t>
        </is>
      </c>
      <c r="G88" t="inlineStr">
        <is>
          <t xml:space="preserve"> - Couple Cottage</t>
        </is>
      </c>
      <c r="H88">
        <f>HYPERLINK("https://booking.roadsurfer.com/es/rally/pick?pickup_date=2026-06-06&amp;return_date=2026-06-12&amp;currency=EUR&amp;startStation=2&amp;endStation=15", "Clic para verlo en la web de RoadSurfer")</f>
        <v/>
      </c>
    </row>
    <row r="89">
      <c r="A89" t="inlineStr">
        <is>
          <t>Alemania</t>
        </is>
      </c>
      <c r="B89" t="inlineStr">
        <is>
          <t>Fráncfort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No hay coche</t>
        </is>
      </c>
      <c r="H89">
        <f>HYPERLINK("https://booking.roadsurfer.com/es/rally/pick?pickup_date=2026-06-12&amp;return_date=2026-06-19&amp;currency=EUR&amp;startStation=2&amp;endStation=77", "Clic para verlo en la web de RoadSurfer")</f>
        <v/>
      </c>
    </row>
    <row r="90">
      <c r="A90" t="inlineStr">
        <is>
          <t>Alemania</t>
        </is>
      </c>
      <c r="B90" t="inlineStr">
        <is>
          <t>Fráncfort</t>
        </is>
      </c>
      <c r="C90" t="inlineStr">
        <is>
          <t>España</t>
        </is>
      </c>
      <c r="D90" t="inlineStr">
        <is>
          <t>Sevilla</t>
        </is>
      </c>
      <c r="E90" t="inlineStr">
        <is>
          <t>2026-06-23</t>
        </is>
      </c>
      <c r="F90" t="inlineStr">
        <is>
          <t>2026-06-30</t>
        </is>
      </c>
      <c r="G90" t="inlineStr"/>
      <c r="H90">
        <f>HYPERLINK("https://booking.roadsurfer.com/es/rally/pick?pickup_date=2026-06-23&amp;return_date=2026-06-30&amp;currency=EUR&amp;startStation=2&amp;endStation=39", "Clic para verlo en la web de RoadSurfer")</f>
        <v/>
      </c>
    </row>
    <row r="91">
      <c r="A91" t="inlineStr">
        <is>
          <t>Alemania</t>
        </is>
      </c>
      <c r="B91" t="inlineStr">
        <is>
          <t>Friburgo-Basilea (Alemania)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2026-06-25</t>
        </is>
      </c>
      <c r="F91" t="inlineStr">
        <is>
          <t>2026-07-02</t>
        </is>
      </c>
      <c r="G91" t="inlineStr">
        <is>
          <t xml:space="preserve"> - Road House</t>
        </is>
      </c>
      <c r="H91">
        <f>HYPERLINK("https://booking.roadsurfer.com/es/rally/pick?pickup_date=2026-06-25&amp;return_date=2026-07-02&amp;currency=EUR&amp;startStation=9&amp;endStation=40", "Clic para verlo en la web de RoadSurfer")</f>
        <v/>
      </c>
    </row>
    <row r="92">
      <c r="A92" t="inlineStr">
        <is>
          <t>Suecia</t>
        </is>
      </c>
      <c r="B92" t="inlineStr">
        <is>
          <t>Gotemburgo</t>
        </is>
      </c>
      <c r="C92" t="inlineStr">
        <is>
          <t>Alemania</t>
        </is>
      </c>
      <c r="D92" t="inlineStr">
        <is>
          <t>Kiel</t>
        </is>
      </c>
      <c r="E92" t="inlineStr">
        <is>
          <t>2026-06-10</t>
        </is>
      </c>
      <c r="F92" t="inlineStr">
        <is>
          <t>2026-06-17</t>
        </is>
      </c>
      <c r="G92" t="inlineStr">
        <is>
          <t xml:space="preserve"> - Surfer Suite</t>
        </is>
      </c>
      <c r="H92">
        <f>HYPERLINK("https://booking.roadsurfer.com/es/rally/pick?pickup_date=2026-06-10&amp;return_date=2026-06-17&amp;currency=EUR&amp;startStation=77&amp;endStation=111", "Clic para verlo en la web de RoadSurfer")</f>
        <v/>
      </c>
    </row>
    <row r="93">
      <c r="A93" t="inlineStr">
        <is>
          <t>Suecia</t>
        </is>
      </c>
      <c r="B93" t="inlineStr">
        <is>
          <t>Gotemburgo</t>
        </is>
      </c>
      <c r="C93" t="inlineStr">
        <is>
          <t>Alemania</t>
        </is>
      </c>
      <c r="D93" t="inlineStr">
        <is>
          <t>Flensburgo</t>
        </is>
      </c>
      <c r="E93" t="inlineStr">
        <is>
          <t>2026-06-09</t>
        </is>
      </c>
      <c r="F93" t="inlineStr">
        <is>
          <t>2026-06-16</t>
        </is>
      </c>
      <c r="G93" t="inlineStr"/>
      <c r="H93">
        <f>HYPERLINK("https://booking.roadsurfer.com/es/rally/pick?pickup_date=2026-06-09&amp;return_date=2026-06-16&amp;currency=EUR&amp;startStation=77&amp;endStation=130", "Clic para verlo en la web de RoadSurfer")</f>
        <v/>
      </c>
    </row>
    <row r="94">
      <c r="A94" t="inlineStr">
        <is>
          <t>Austria</t>
        </is>
      </c>
      <c r="B94" t="inlineStr">
        <is>
          <t>Graz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Beach Hostel</t>
        </is>
      </c>
      <c r="H94">
        <f>HYPERLINK("https://booking.roadsurfer.com/es/rally/pick?pickup_date=2026-06-08&amp;return_date=2026-06-15&amp;currency=EUR&amp;startStation=37&amp;endStation=48", "Clic para verlo en la web de RoadSurfer")</f>
        <v/>
      </c>
    </row>
    <row r="95">
      <c r="A95" t="inlineStr">
        <is>
          <t>Alemania</t>
        </is>
      </c>
      <c r="B95" t="inlineStr">
        <is>
          <t>Hannover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Travel Home</t>
        </is>
      </c>
      <c r="H95">
        <f>HYPERLINK("https://booking.roadsurfer.com/es/rally/pick?pickup_date=2026-06-08&amp;return_date=2026-06-15&amp;currency=EUR&amp;startStation=7&amp;endStation=12", "Clic para verlo en la web de RoadSurfer")</f>
        <v/>
      </c>
    </row>
    <row r="96">
      <c r="A96" t="inlineStr">
        <is>
          <t>Alemania</t>
        </is>
      </c>
      <c r="B96" t="inlineStr">
        <is>
          <t>Hannover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2026-06-11</t>
        </is>
      </c>
      <c r="F96" t="inlineStr">
        <is>
          <t>2026-06-18</t>
        </is>
      </c>
      <c r="G96" t="inlineStr">
        <is>
          <t xml:space="preserve"> - Surfer Suite</t>
        </is>
      </c>
      <c r="H96">
        <f>HYPERLINK("https://booking.roadsurfer.com/es/rally/pick?pickup_date=2026-06-11&amp;return_date=2026-06-18&amp;currency=EUR&amp;startStation=7&amp;endStation=30", "Clic para verlo en la web de RoadSurfer")</f>
        <v/>
      </c>
    </row>
    <row r="97">
      <c r="A97" t="inlineStr">
        <is>
          <t>Alemania</t>
        </is>
      </c>
      <c r="B97" t="inlineStr">
        <is>
          <t>Hannover</t>
        </is>
      </c>
      <c r="C97" t="inlineStr">
        <is>
          <t>Alemania</t>
        </is>
      </c>
      <c r="D97" t="inlineStr">
        <is>
          <t>Colonia-Bonn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No hay coche</t>
        </is>
      </c>
      <c r="H97">
        <f>HYPERLINK("https://booking.roadsurfer.com/es/rally/pick?pickup_date=2026-06-22&amp;return_date=2026-06-29&amp;currency=EUR&amp;startStation=7&amp;endStation=52", "Clic para verlo en la web de RoadSurfer")</f>
        <v/>
      </c>
    </row>
    <row r="98">
      <c r="A98" t="inlineStr">
        <is>
          <t>Austria</t>
        </is>
      </c>
      <c r="B98" t="inlineStr">
        <is>
          <t>Innsbruck-Wiesing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2026-06-11</t>
        </is>
      </c>
      <c r="F98" t="inlineStr">
        <is>
          <t>2026-06-18</t>
        </is>
      </c>
      <c r="G98" t="inlineStr">
        <is>
          <t xml:space="preserve"> - Surfer Suite</t>
        </is>
      </c>
      <c r="H98">
        <f>HYPERLINK("https://booking.roadsurfer.com/es/rally/pick?pickup_date=2026-06-11&amp;return_date=2026-06-18&amp;currency=EUR&amp;startStation=46&amp;endStation=42", "Clic para verlo en la web de RoadSurfer")</f>
        <v/>
      </c>
    </row>
    <row r="99">
      <c r="A99" t="inlineStr">
        <is>
          <t>Alemania</t>
        </is>
      </c>
      <c r="B99" t="inlineStr">
        <is>
          <t>Karlsruhe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No hay coche</t>
        </is>
      </c>
      <c r="H99">
        <f>HYPERLINK("https://booking.roadsurfer.com/es/rally/pick?pickup_date=2026-06-08&amp;return_date=2026-06-15&amp;currency=EUR&amp;startStation=110&amp;endStation=87", "Clic para verlo en la web de RoadSurfer")</f>
        <v/>
      </c>
    </row>
    <row r="100">
      <c r="A100" t="inlineStr">
        <is>
          <t>Alemania</t>
        </is>
      </c>
      <c r="B100" t="inlineStr">
        <is>
          <t>Kassel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2026-06-12</t>
        </is>
      </c>
      <c r="F100" t="inlineStr">
        <is>
          <t>2026-06-19</t>
        </is>
      </c>
      <c r="G100" t="inlineStr">
        <is>
          <t xml:space="preserve"> - Beach Hostel</t>
        </is>
      </c>
      <c r="H100">
        <f>HYPERLINK("https://booking.roadsurfer.com/es/rally/pick?pickup_date=2026-06-12&amp;return_date=2026-06-19&amp;currency=EUR&amp;startStation=92&amp;endStation=13", "Clic para verlo en la web de RoadSurfer")</f>
        <v/>
      </c>
    </row>
    <row r="101">
      <c r="A101" t="inlineStr">
        <is>
          <t>Alemania</t>
        </is>
      </c>
      <c r="B101" t="inlineStr">
        <is>
          <t>Kassel</t>
        </is>
      </c>
      <c r="C101" t="inlineStr">
        <is>
          <t>Francia</t>
        </is>
      </c>
      <c r="D101" t="inlineStr">
        <is>
          <t>Toulouse</t>
        </is>
      </c>
      <c r="E101" t="inlineStr">
        <is>
          <t>2026-06-10</t>
        </is>
      </c>
      <c r="F101" t="inlineStr">
        <is>
          <t>2026-06-17</t>
        </is>
      </c>
      <c r="G101" t="inlineStr">
        <is>
          <t xml:space="preserve"> - Surfer Suite</t>
        </is>
      </c>
      <c r="H101">
        <f>HYPERLINK("https://booking.roadsurfer.com/es/rally/pick?pickup_date=2026-06-10&amp;return_date=2026-06-17&amp;currency=EUR&amp;startStation=92&amp;endStation=30", "Clic para verlo en la web de RoadSurfer")</f>
        <v/>
      </c>
    </row>
    <row r="102">
      <c r="A102" t="inlineStr">
        <is>
          <t>Alemania</t>
        </is>
      </c>
      <c r="B102" t="inlineStr">
        <is>
          <t>Kiel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Cozy Cottage</t>
        </is>
      </c>
      <c r="H102">
        <f>HYPERLINK("https://booking.roadsurfer.com/es/rally/pick?pickup_date=2026-06-08&amp;return_date=2026-06-15&amp;currency=EUR&amp;startStation=111&amp;endStation=60", "Clic para verlo en la web de RoadSurfer")</f>
        <v/>
      </c>
    </row>
    <row r="103">
      <c r="A103" t="inlineStr">
        <is>
          <t>Alemania</t>
        </is>
      </c>
      <c r="B103" t="inlineStr">
        <is>
          <t>Kiel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2026-07-06</t>
        </is>
      </c>
      <c r="F103" t="inlineStr">
        <is>
          <t>2026-07-13</t>
        </is>
      </c>
      <c r="G103" t="inlineStr"/>
      <c r="H103">
        <f>HYPERLINK("https://booking.roadsurfer.com/es/rally/pick?pickup_date=2026-07-06&amp;return_date=2026-07-13&amp;currency=EUR&amp;startStation=111&amp;endStation=59",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2026-06-08</t>
        </is>
      </c>
      <c r="F104" t="inlineStr">
        <is>
          <t>2026-06-15</t>
        </is>
      </c>
      <c r="G104" t="inlineStr"/>
      <c r="H104">
        <f>HYPERLINK("https://booking.roadsurfer.com/es/rally/pick?pickup_date=2026-06-08&amp;return_date=2026-06-15&amp;currency=EUR&amp;startStation=8&amp;endStation=37", "Clic para verlo en la web de RoadSurfer")</f>
        <v/>
      </c>
    </row>
    <row r="105">
      <c r="A105" t="inlineStr">
        <is>
          <t>Alemania</t>
        </is>
      </c>
      <c r="B105" t="inlineStr">
        <is>
          <t>Leipzig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2026-06-10</t>
        </is>
      </c>
      <c r="F105" t="inlineStr">
        <is>
          <t>2026-06-17</t>
        </is>
      </c>
      <c r="G105" t="inlineStr">
        <is>
          <t xml:space="preserve"> - Surfer Suite</t>
        </is>
      </c>
      <c r="H105">
        <f>HYPERLINK("https://booking.roadsurfer.com/es/rally/pick?pickup_date=2026-06-10&amp;return_date=2026-06-17&amp;currency=EUR&amp;startStation=8&amp;endStation=33",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2026-06-17</t>
        </is>
      </c>
      <c r="F106" t="inlineStr">
        <is>
          <t>2026-06-24</t>
        </is>
      </c>
      <c r="G106" t="inlineStr">
        <is>
          <t xml:space="preserve"> - Surfer Suite</t>
        </is>
      </c>
      <c r="H106">
        <f>HYPERLINK("https://booking.roadsurfer.com/es/rally/pick?pickup_date=2026-06-17&amp;return_date=2026-06-24&amp;currency=EUR&amp;startStation=8&amp;endStation=15", "Clic para verlo en la web de RoadSurfer")</f>
        <v/>
      </c>
    </row>
    <row r="107">
      <c r="A107" t="inlineStr">
        <is>
          <t>Alemania</t>
        </is>
      </c>
      <c r="B107" t="inlineStr">
        <is>
          <t>Leipzig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2026-06-11</t>
        </is>
      </c>
      <c r="F107" t="inlineStr">
        <is>
          <t>2026-06-18</t>
        </is>
      </c>
      <c r="G107" t="inlineStr">
        <is>
          <t xml:space="preserve"> - Surfer Suite</t>
        </is>
      </c>
      <c r="H107">
        <f>HYPERLINK("https://booking.roadsurfer.com/es/rally/pick?pickup_date=2026-06-11&amp;return_date=2026-06-18&amp;currency=EUR&amp;startStation=8&amp;endStation=13", "Clic para verlo en la web de RoadSurfer")</f>
        <v/>
      </c>
    </row>
    <row r="108">
      <c r="A108" t="inlineStr">
        <is>
          <t>Alemania</t>
        </is>
      </c>
      <c r="B108" t="inlineStr">
        <is>
          <t>Leipzig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2026-06-17</t>
        </is>
      </c>
      <c r="F108" t="inlineStr">
        <is>
          <t>2026-06-24</t>
        </is>
      </c>
      <c r="G108" t="inlineStr">
        <is>
          <t xml:space="preserve"> - Road House</t>
        </is>
      </c>
      <c r="H108">
        <f>HYPERLINK("https://booking.roadsurfer.com/es/rally/pick?pickup_date=2026-06-17&amp;return_date=2026-06-24&amp;currency=EUR&amp;startStation=8&amp;endStation=13", "Clic para verlo en la web de RoadSurfer")</f>
        <v/>
      </c>
    </row>
    <row r="109">
      <c r="A109" t="inlineStr">
        <is>
          <t>Alemania</t>
        </is>
      </c>
      <c r="B109" t="inlineStr">
        <is>
          <t>Leipzig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Couple Cottage</t>
        </is>
      </c>
      <c r="H109">
        <f>HYPERLINK("https://booking.roadsurfer.com/es/rally/pick?pickup_date=2026-06-08&amp;return_date=2026-06-15&amp;currency=EUR&amp;startStation=8&amp;endStation=59", "Clic para verlo en la web de RoadSurfer")</f>
        <v/>
      </c>
    </row>
    <row r="110">
      <c r="A110" t="inlineStr">
        <is>
          <t>Alemania</t>
        </is>
      </c>
      <c r="B110" t="inlineStr">
        <is>
          <t>Leipzig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2026-06-29</t>
        </is>
      </c>
      <c r="F110" t="inlineStr">
        <is>
          <t>2026-07-06</t>
        </is>
      </c>
      <c r="G110" t="inlineStr">
        <is>
          <t xml:space="preserve"> - Couple Cottage</t>
        </is>
      </c>
      <c r="H110">
        <f>HYPERLINK("https://booking.roadsurfer.com/es/rally/pick?pickup_date=2026-06-29&amp;return_date=2026-07-06&amp;currency=EUR&amp;startStation=8&amp;endStation=59", "Clic para verlo en la web de RoadSurfer")</f>
        <v/>
      </c>
    </row>
    <row r="111">
      <c r="A111" t="inlineStr">
        <is>
          <t>Alemania</t>
        </is>
      </c>
      <c r="B111" t="inlineStr">
        <is>
          <t>Leipzig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Couple Cottage</t>
        </is>
      </c>
      <c r="H111">
        <f>HYPERLINK("https://booking.roadsurfer.com/es/rally/pick?pickup_date=2026-06-22&amp;return_date=2026-06-29&amp;currency=EUR&amp;startStation=8&amp;endStation=58", "Clic para verlo en la web de RoadSurfer")</f>
        <v/>
      </c>
    </row>
    <row r="112">
      <c r="A112" t="inlineStr">
        <is>
          <t>Alemania</t>
        </is>
      </c>
      <c r="B112" t="inlineStr">
        <is>
          <t>Lindau-Wangen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Surfer Suite</t>
        </is>
      </c>
      <c r="H112">
        <f>HYPERLINK("https://booking.roadsurfer.com/es/rally/pick?pickup_date=2026-06-08&amp;return_date=2026-06-15&amp;currency=EUR&amp;startStation=117&amp;endStation=31", "Clic para verlo en la web de RoadSurfer")</f>
        <v/>
      </c>
    </row>
    <row r="113">
      <c r="A113" t="inlineStr">
        <is>
          <t>Alemania</t>
        </is>
      </c>
      <c r="B113" t="inlineStr">
        <is>
          <t>Lindau-Wangen</t>
        </is>
      </c>
      <c r="C113" t="inlineStr">
        <is>
          <t>Francia</t>
        </is>
      </c>
      <c r="D113" t="inlineStr">
        <is>
          <t>Toulouse</t>
        </is>
      </c>
      <c r="E113" t="inlineStr">
        <is>
          <t>2026-06-11</t>
        </is>
      </c>
      <c r="F113" t="inlineStr">
        <is>
          <t>2026-06-18</t>
        </is>
      </c>
      <c r="G113" t="inlineStr">
        <is>
          <t xml:space="preserve"> - Family Finca</t>
        </is>
      </c>
      <c r="H113">
        <f>HYPERLINK("https://booking.roadsurfer.com/es/rally/pick?pickup_date=2026-06-11&amp;return_date=2026-06-18&amp;currency=EUR&amp;startStation=117&amp;endStation=30", "Clic para verlo en la web de RoadSurfer")</f>
        <v/>
      </c>
    </row>
    <row r="114">
      <c r="A114" t="inlineStr">
        <is>
          <t>Alemania</t>
        </is>
      </c>
      <c r="B114" t="inlineStr">
        <is>
          <t>Lindau-Wangen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2026-07-01</t>
        </is>
      </c>
      <c r="F114" t="inlineStr">
        <is>
          <t>2026-07-08</t>
        </is>
      </c>
      <c r="G114" t="inlineStr">
        <is>
          <t xml:space="preserve"> - Beach Hostel</t>
        </is>
      </c>
      <c r="H114">
        <f>HYPERLINK("https://booking.roadsurfer.com/es/rally/pick?pickup_date=2026-07-01&amp;return_date=2026-07-08&amp;currency=EUR&amp;startStation=117&amp;endStation=42", "Clic para verlo en la web de RoadSurfer")</f>
        <v/>
      </c>
    </row>
    <row r="115">
      <c r="A115" t="inlineStr">
        <is>
          <t>Alemania</t>
        </is>
      </c>
      <c r="B115" t="inlineStr">
        <is>
          <t>Lindau-Wangen</t>
        </is>
      </c>
      <c r="C115" t="inlineStr">
        <is>
          <t>Alemania</t>
        </is>
      </c>
      <c r="D115" t="inlineStr">
        <is>
          <t>Maguncia</t>
        </is>
      </c>
      <c r="E115" t="inlineStr">
        <is>
          <t>2026-06-23</t>
        </is>
      </c>
      <c r="F115" t="inlineStr">
        <is>
          <t>2026-06-30</t>
        </is>
      </c>
      <c r="G115" t="inlineStr">
        <is>
          <t xml:space="preserve"> - Cozy Cottage</t>
        </is>
      </c>
      <c r="H115">
        <f>HYPERLINK("https://booking.roadsurfer.com/es/rally/pick?pickup_date=2026-06-23&amp;return_date=2026-06-30&amp;currency=EUR&amp;startStation=117&amp;endStation=54", "Clic para verlo en la web de RoadSurfer")</f>
        <v/>
      </c>
    </row>
    <row r="116">
      <c r="A116" t="inlineStr">
        <is>
          <t>Alemania</t>
        </is>
      </c>
      <c r="B116" t="inlineStr">
        <is>
          <t>Lübeck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2026-06-11</t>
        </is>
      </c>
      <c r="F116" t="inlineStr">
        <is>
          <t>2026-06-18</t>
        </is>
      </c>
      <c r="G116" t="inlineStr">
        <is>
          <t xml:space="preserve"> - Road House</t>
        </is>
      </c>
      <c r="H116">
        <f>HYPERLINK("https://booking.roadsurfer.com/es/rally/pick?pickup_date=2026-06-11&amp;return_date=2026-06-18&amp;currency=EUR&amp;startStation=109&amp;endStation=60", "Clic para verlo en la web de RoadSurfer")</f>
        <v/>
      </c>
    </row>
    <row r="117">
      <c r="A117" t="inlineStr">
        <is>
          <t>Alemania</t>
        </is>
      </c>
      <c r="B117" t="inlineStr">
        <is>
          <t>Lübeck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2026-06-26</t>
        </is>
      </c>
      <c r="F117" t="inlineStr">
        <is>
          <t>2026-07-03</t>
        </is>
      </c>
      <c r="G117" t="inlineStr">
        <is>
          <t xml:space="preserve"> - Couple Cottage</t>
        </is>
      </c>
      <c r="H117">
        <f>HYPERLINK("https://booking.roadsurfer.com/es/rally/pick?pickup_date=2026-06-26&amp;return_date=2026-07-03&amp;currency=EUR&amp;startStation=109&amp;endStation=60", "Clic para verlo en la web de RoadSurfer")</f>
        <v/>
      </c>
    </row>
    <row r="118">
      <c r="A118" t="inlineStr">
        <is>
          <t>Alemania</t>
        </is>
      </c>
      <c r="B118" t="inlineStr">
        <is>
          <t>Lübeck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2026-06-30</t>
        </is>
      </c>
      <c r="F118" t="inlineStr">
        <is>
          <t>2026-07-07</t>
        </is>
      </c>
      <c r="G118" t="inlineStr">
        <is>
          <t xml:space="preserve"> - Sunrise Suite</t>
        </is>
      </c>
      <c r="H118">
        <f>HYPERLINK("https://booking.roadsurfer.com/es/rally/pick?pickup_date=2026-06-30&amp;return_date=2026-07-07&amp;currency=EUR&amp;startStation=109&amp;endStation=36",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Road House</t>
        </is>
      </c>
      <c r="H119">
        <f>HYPERLINK("https://booking.roadsurfer.com/es/rally/pick?pickup_date=2026-06-15&amp;return_date=2026-06-22&amp;currency=EUR&amp;startStation=15&amp;endStation=90",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Stuttgart</t>
        </is>
      </c>
      <c r="E120" t="inlineStr">
        <is>
          <t>2026-06-12</t>
        </is>
      </c>
      <c r="F120" t="inlineStr">
        <is>
          <t>2026-06-19</t>
        </is>
      </c>
      <c r="G120" t="inlineStr">
        <is>
          <t xml:space="preserve"> - Road House</t>
        </is>
      </c>
      <c r="H120">
        <f>HYPERLINK("https://booking.roadsurfer.com/es/rally/pick?pickup_date=2026-06-12&amp;return_date=2026-06-19&amp;currency=EUR&amp;startStation=20&amp;endStation=5", "Clic para verlo en la web de RoadSurfer")</f>
        <v/>
      </c>
    </row>
    <row r="121">
      <c r="A121" t="inlineStr">
        <is>
          <t>Alemania</t>
        </is>
      </c>
      <c r="B121" t="inlineStr">
        <is>
          <t>Maguncia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2026-06-10</t>
        </is>
      </c>
      <c r="F121" t="inlineStr">
        <is>
          <t>2026-06-17</t>
        </is>
      </c>
      <c r="G121" t="inlineStr">
        <is>
          <t xml:space="preserve"> - Surfer Suite</t>
        </is>
      </c>
      <c r="H121">
        <f>HYPERLINK("https://booking.roadsurfer.com/es/rally/pick?pickup_date=2026-06-10&amp;return_date=2026-06-17&amp;currency=EUR&amp;startStation=54&amp;endStation=59", "Clic para verlo en la web de RoadSurfer")</f>
        <v/>
      </c>
    </row>
    <row r="122">
      <c r="A122" t="inlineStr">
        <is>
          <t>Alemania</t>
        </is>
      </c>
      <c r="B122" t="inlineStr">
        <is>
          <t>Maguncia</t>
        </is>
      </c>
      <c r="C122" t="inlineStr">
        <is>
          <t>España</t>
        </is>
      </c>
      <c r="D122" t="inlineStr">
        <is>
          <t>Madrid</t>
        </is>
      </c>
      <c r="E122" t="inlineStr">
        <is>
          <t>2026-06-30</t>
        </is>
      </c>
      <c r="F122" t="inlineStr">
        <is>
          <t>2026-07-07</t>
        </is>
      </c>
      <c r="G122" t="inlineStr">
        <is>
          <t xml:space="preserve"> - Family Finca</t>
        </is>
      </c>
      <c r="H122">
        <f>HYPERLINK("https://booking.roadsurfer.com/es/rally/pick?pickup_date=2026-06-30&amp;return_date=2026-07-07&amp;currency=EUR&amp;startStation=54&amp;endStation=20", "Clic para verlo en la web de RoadSurfer")</f>
        <v/>
      </c>
    </row>
    <row r="123">
      <c r="A123" t="inlineStr">
        <is>
          <t>Suecia</t>
        </is>
      </c>
      <c r="B123" t="inlineStr">
        <is>
          <t>Malmö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2026-06-10</t>
        </is>
      </c>
      <c r="F123" t="inlineStr">
        <is>
          <t>2026-06-17</t>
        </is>
      </c>
      <c r="G123" t="inlineStr">
        <is>
          <t xml:space="preserve"> - Surfer Suite</t>
        </is>
      </c>
      <c r="H123">
        <f>HYPERLINK("https://booking.roadsurfer.com/es/rally/pick?pickup_date=2026-06-10&amp;return_date=2026-06-17&amp;currency=EUR&amp;startStation=60&amp;endStation=11", "Clic para verlo en la web de RoadSurfer")</f>
        <v/>
      </c>
    </row>
    <row r="124">
      <c r="A124" t="inlineStr">
        <is>
          <t>Suecia</t>
        </is>
      </c>
      <c r="B124" t="inlineStr">
        <is>
          <t>Malmö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2026-06-11</t>
        </is>
      </c>
      <c r="F124" t="inlineStr">
        <is>
          <t>2026-06-18</t>
        </is>
      </c>
      <c r="G124" t="inlineStr">
        <is>
          <t xml:space="preserve"> - Surfer Suite</t>
        </is>
      </c>
      <c r="H124">
        <f>HYPERLINK("https://booking.roadsurfer.com/es/rally/pick?pickup_date=2026-06-11&amp;return_date=2026-06-18&amp;currency=EUR&amp;startStation=60&amp;endStation=52",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Lyon</t>
        </is>
      </c>
      <c r="E125" t="inlineStr">
        <is>
          <t>2026-06-17</t>
        </is>
      </c>
      <c r="F125" t="inlineStr">
        <is>
          <t>2026-06-24</t>
        </is>
      </c>
      <c r="G125" t="inlineStr">
        <is>
          <t xml:space="preserve"> - Surfer Suite</t>
        </is>
      </c>
      <c r="H125">
        <f>HYPERLINK("https://booking.roadsurfer.com/es/rally/pick?pickup_date=2026-06-17&amp;return_date=2026-06-24&amp;currency=EUR&amp;startStation=22&amp;endStation=15",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2026-06-09</t>
        </is>
      </c>
      <c r="F126" t="inlineStr">
        <is>
          <t>2026-06-16</t>
        </is>
      </c>
      <c r="G126" t="inlineStr">
        <is>
          <t xml:space="preserve"> - Road House</t>
        </is>
      </c>
      <c r="H126">
        <f>HYPERLINK("https://booking.roadsurfer.com/es/rally/pick?pickup_date=2026-06-09&amp;return_date=2026-06-16&amp;currency=EUR&amp;startStation=22&amp;endStation=15",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Lyon</t>
        </is>
      </c>
      <c r="E127" t="inlineStr">
        <is>
          <t>2026-06-16</t>
        </is>
      </c>
      <c r="F127" t="inlineStr">
        <is>
          <t>2026-06-23</t>
        </is>
      </c>
      <c r="G127" t="inlineStr">
        <is>
          <t xml:space="preserve"> - Road House</t>
        </is>
      </c>
      <c r="H127">
        <f>HYPERLINK("https://booking.roadsurfer.com/es/rally/pick?pickup_date=2026-06-16&amp;return_date=2026-06-23&amp;currency=EUR&amp;startStation=22&amp;endStation=15",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Road House</t>
        </is>
      </c>
      <c r="H128">
        <f>HYPERLINK("https://booking.roadsurfer.com/es/rally/pick?pickup_date=2026-06-05&amp;return_date=2026-06-12&amp;currency=EUR&amp;startStation=22&amp;endStation=59",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2026-06-11</t>
        </is>
      </c>
      <c r="F129" t="inlineStr">
        <is>
          <t>2026-06-18</t>
        </is>
      </c>
      <c r="G129" t="inlineStr">
        <is>
          <t xml:space="preserve"> - Surfer Suite</t>
        </is>
      </c>
      <c r="H129">
        <f>HYPERLINK("https://booking.roadsurfer.com/es/rally/pick?pickup_date=2026-06-11&amp;return_date=2026-06-18&amp;currency=EUR&amp;startStation=22&amp;endStation=59",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2026-06-04</t>
        </is>
      </c>
      <c r="F130" t="inlineStr">
        <is>
          <t>2026-06-11</t>
        </is>
      </c>
      <c r="G130" t="inlineStr">
        <is>
          <t xml:space="preserve"> - Road House</t>
        </is>
      </c>
      <c r="H130">
        <f>HYPERLINK("https://booking.roadsurfer.com/es/rally/pick?pickup_date=2026-06-04&amp;return_date=2026-06-11&amp;currency=EUR&amp;startStation=22&amp;endStation=59",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2026-06-09</t>
        </is>
      </c>
      <c r="F131" t="inlineStr">
        <is>
          <t>2026-06-16</t>
        </is>
      </c>
      <c r="G131" t="inlineStr">
        <is>
          <t xml:space="preserve"> - Surfer Suite</t>
        </is>
      </c>
      <c r="H131">
        <f>HYPERLINK("https://booking.roadsurfer.com/es/rally/pick?pickup_date=2026-06-09&amp;return_date=2026-06-16&amp;currency=EUR&amp;startStation=22&amp;endStation=59",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No hay coche</t>
        </is>
      </c>
      <c r="H132">
        <f>HYPERLINK("https://booking.roadsurfer.com/es/rally/pick?pickup_date=2026-06-15&amp;return_date=2026-06-22&amp;currency=EUR&amp;startStation=22&amp;endStation=59",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2026-07-13</t>
        </is>
      </c>
      <c r="F133" t="inlineStr">
        <is>
          <t>2026-07-20</t>
        </is>
      </c>
      <c r="G133" t="inlineStr">
        <is>
          <t xml:space="preserve"> - No hay coche</t>
        </is>
      </c>
      <c r="H133">
        <f>HYPERLINK("https://booking.roadsurfer.com/es/rally/pick?pickup_date=2026-07-13&amp;return_date=2026-07-20&amp;currency=EUR&amp;startStation=22&amp;endStation=59",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2026-07-06</t>
        </is>
      </c>
      <c r="F134" t="inlineStr">
        <is>
          <t>2026-07-13</t>
        </is>
      </c>
      <c r="G134" t="inlineStr">
        <is>
          <t xml:space="preserve"> - Camper Castle</t>
        </is>
      </c>
      <c r="H134">
        <f>HYPERLINK("https://booking.roadsurfer.com/es/rally/pick?pickup_date=2026-07-06&amp;return_date=2026-07-13&amp;currency=EUR&amp;startStation=22&amp;endStation=59",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2026-05-29</t>
        </is>
      </c>
      <c r="F135" t="inlineStr">
        <is>
          <t>2026-06-05</t>
        </is>
      </c>
      <c r="G135" t="inlineStr">
        <is>
          <t xml:space="preserve"> - No hay coche</t>
        </is>
      </c>
      <c r="H135">
        <f>HYPERLINK("https://booking.roadsurfer.com/es/rally/pick?pickup_date=2026-05-29&amp;return_date=2026-06-05&amp;currency=EUR&amp;startStation=22&amp;endStation=59",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2026-06-03</t>
        </is>
      </c>
      <c r="F136" t="inlineStr">
        <is>
          <t>2026-06-10</t>
        </is>
      </c>
      <c r="G136" t="inlineStr">
        <is>
          <t xml:space="preserve"> - Travel Home</t>
        </is>
      </c>
      <c r="H136">
        <f>HYPERLINK("https://booking.roadsurfer.com/es/rally/pick?pickup_date=2026-06-03&amp;return_date=2026-06-10&amp;currency=EUR&amp;startStation=22&amp;endStation=29",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2026-06-09</t>
        </is>
      </c>
      <c r="F137" t="inlineStr">
        <is>
          <t>2026-06-16</t>
        </is>
      </c>
      <c r="G137" t="inlineStr">
        <is>
          <t xml:space="preserve"> - Surfer Suite</t>
        </is>
      </c>
      <c r="H137">
        <f>HYPERLINK("https://booking.roadsurfer.com/es/rally/pick?pickup_date=2026-06-09&amp;return_date=2026-06-16&amp;currency=EUR&amp;startStation=22&amp;endStation=29",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2026-06-20</t>
        </is>
      </c>
      <c r="F138" t="inlineStr">
        <is>
          <t>2026-06-27</t>
        </is>
      </c>
      <c r="G138" t="inlineStr">
        <is>
          <t xml:space="preserve"> - No hay coche</t>
        </is>
      </c>
      <c r="H138">
        <f>HYPERLINK("https://booking.roadsurfer.com/es/rally/pick?pickup_date=2026-06-20&amp;return_date=2026-06-27&amp;currency=EUR&amp;startStation=22&amp;endStation=29",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2026-06-12</t>
        </is>
      </c>
      <c r="F139" t="inlineStr">
        <is>
          <t>2026-06-19</t>
        </is>
      </c>
      <c r="G139" t="inlineStr">
        <is>
          <t xml:space="preserve"> - Sunrise Suite</t>
        </is>
      </c>
      <c r="H139">
        <f>HYPERLINK("https://booking.roadsurfer.com/es/rally/pick?pickup_date=2026-06-12&amp;return_date=2026-06-19&amp;currency=EUR&amp;startStation=22&amp;endStation=29",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2026-06-12</t>
        </is>
      </c>
      <c r="F140" t="inlineStr">
        <is>
          <t>2026-06-19</t>
        </is>
      </c>
      <c r="G140" t="inlineStr">
        <is>
          <t xml:space="preserve"> - Surfer Suite - Camper Cabin</t>
        </is>
      </c>
      <c r="H140">
        <f>HYPERLINK("https://booking.roadsurfer.com/es/rally/pick?pickup_date=2026-06-12&amp;return_date=2026-06-19&amp;currency=EUR&amp;startStation=22&amp;endStation=13",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2026-07-03</t>
        </is>
      </c>
      <c r="F141" t="inlineStr">
        <is>
          <t>2026-07-10</t>
        </is>
      </c>
      <c r="G141" t="inlineStr">
        <is>
          <t xml:space="preserve"> - Surfer Suite</t>
        </is>
      </c>
      <c r="H141">
        <f>HYPERLINK("https://booking.roadsurfer.com/es/rally/pick?pickup_date=2026-07-03&amp;return_date=2026-07-10&amp;currency=EUR&amp;startStation=22&amp;endStation=13",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Couple Cottage</t>
        </is>
      </c>
      <c r="H142">
        <f>HYPERLINK("https://booking.roadsurfer.com/es/rally/pick?pickup_date=2026-06-08&amp;return_date=2026-06-15&amp;currency=EUR&amp;startStation=22&amp;endStation=13",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2026-06-09</t>
        </is>
      </c>
      <c r="F143" t="inlineStr">
        <is>
          <t>2026-06-16</t>
        </is>
      </c>
      <c r="G143" t="inlineStr"/>
      <c r="H143">
        <f>HYPERLINK("https://booking.roadsurfer.com/es/rally/pick?pickup_date=2026-06-09&amp;return_date=2026-06-16&amp;currency=EUR&amp;startStation=22&amp;endStation=13",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2026-06-11</t>
        </is>
      </c>
      <c r="F144" t="inlineStr">
        <is>
          <t>2026-06-18</t>
        </is>
      </c>
      <c r="G144" t="inlineStr">
        <is>
          <t xml:space="preserve"> - Camper Cabin</t>
        </is>
      </c>
      <c r="H144">
        <f>HYPERLINK("https://booking.roadsurfer.com/es/rally/pick?pickup_date=2026-06-11&amp;return_date=2026-06-18&amp;currency=EUR&amp;startStation=22&amp;endStation=13",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Surfer Suite</t>
        </is>
      </c>
      <c r="H145">
        <f>HYPERLINK("https://booking.roadsurfer.com/es/rally/pick?pickup_date=2026-06-12&amp;return_date=2026-06-19&amp;currency=EUR&amp;startStation=22&amp;endStation=31",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2026-06-11</t>
        </is>
      </c>
      <c r="F146" t="inlineStr">
        <is>
          <t>2026-06-18</t>
        </is>
      </c>
      <c r="G146" t="inlineStr">
        <is>
          <t xml:space="preserve"> - No hay coche</t>
        </is>
      </c>
      <c r="H146">
        <f>HYPERLINK("https://booking.roadsurfer.com/es/rally/pick?pickup_date=2026-06-11&amp;return_date=2026-06-18&amp;currency=EUR&amp;startStation=22&amp;endStation=31",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Camper Cabin</t>
        </is>
      </c>
      <c r="H147">
        <f>HYPERLINK("https://booking.roadsurfer.com/es/rally/pick?pickup_date=2026-06-05&amp;return_date=2026-06-12&amp;currency=EUR&amp;startStation=22&amp;endStation=31",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2026-06-10</t>
        </is>
      </c>
      <c r="F148" t="inlineStr">
        <is>
          <t>2026-06-17</t>
        </is>
      </c>
      <c r="G148" t="inlineStr">
        <is>
          <t xml:space="preserve"> - Camper Cabin</t>
        </is>
      </c>
      <c r="H148">
        <f>HYPERLINK("https://booking.roadsurfer.com/es/rally/pick?pickup_date=2026-06-10&amp;return_date=2026-06-17&amp;currency=EUR&amp;startStation=22&amp;endStation=31",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Austria</t>
        </is>
      </c>
      <c r="D149" t="inlineStr">
        <is>
          <t>Viena Sur</t>
        </is>
      </c>
      <c r="E149" t="inlineStr">
        <is>
          <t>2026-06-26</t>
        </is>
      </c>
      <c r="F149" t="inlineStr">
        <is>
          <t>2026-07-03</t>
        </is>
      </c>
      <c r="G149" t="inlineStr"/>
      <c r="H149">
        <f>HYPERLINK("https://booking.roadsurfer.com/es/rally/pick?pickup_date=2026-06-26&amp;return_date=2026-07-03&amp;currency=EUR&amp;startStation=22&amp;endStation=45",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Austria</t>
        </is>
      </c>
      <c r="D150" t="inlineStr">
        <is>
          <t>Viena Sur</t>
        </is>
      </c>
      <c r="E150" t="inlineStr">
        <is>
          <t>2026-06-16</t>
        </is>
      </c>
      <c r="F150" t="inlineStr">
        <is>
          <t>2026-06-23</t>
        </is>
      </c>
      <c r="G150" t="inlineStr">
        <is>
          <t xml:space="preserve"> - Cozy Cottage</t>
        </is>
      </c>
      <c r="H150">
        <f>HYPERLINK("https://booking.roadsurfer.com/es/rally/pick?pickup_date=2026-06-16&amp;return_date=2026-06-23&amp;currency=EUR&amp;startStation=22&amp;endStation=45",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2026-06-22</t>
        </is>
      </c>
      <c r="F151" t="inlineStr">
        <is>
          <t>2026-06-29</t>
        </is>
      </c>
      <c r="G151" t="inlineStr">
        <is>
          <t xml:space="preserve"> - Beach Hostel</t>
        </is>
      </c>
      <c r="H151">
        <f>HYPERLINK("https://booking.roadsurfer.com/es/rally/pick?pickup_date=2026-06-22&amp;return_date=2026-06-29&amp;currency=EUR&amp;startStation=22&amp;endStation=40",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2026-07-13</t>
        </is>
      </c>
      <c r="F152" t="inlineStr">
        <is>
          <t>2026-07-20</t>
        </is>
      </c>
      <c r="G152" t="inlineStr">
        <is>
          <t xml:space="preserve"> - Camper Cabin</t>
        </is>
      </c>
      <c r="H152">
        <f>HYPERLINK("https://booking.roadsurfer.com/es/rally/pick?pickup_date=2026-07-13&amp;return_date=2026-07-20&amp;currency=EUR&amp;startStation=22&amp;endStation=40",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2026-06-24</t>
        </is>
      </c>
      <c r="F153" t="inlineStr">
        <is>
          <t>2026-07-01</t>
        </is>
      </c>
      <c r="G153" t="inlineStr">
        <is>
          <t xml:space="preserve"> - Sunrise Suite</t>
        </is>
      </c>
      <c r="H153">
        <f>HYPERLINK("https://booking.roadsurfer.com/es/rally/pick?pickup_date=2026-06-24&amp;return_date=2026-07-01&amp;currency=EUR&amp;startStation=22&amp;endStation=40",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Suecia</t>
        </is>
      </c>
      <c r="D154" t="inlineStr">
        <is>
          <t>Malmö</t>
        </is>
      </c>
      <c r="E154" t="inlineStr">
        <is>
          <t>2026-06-11</t>
        </is>
      </c>
      <c r="F154" t="inlineStr">
        <is>
          <t>2026-06-18</t>
        </is>
      </c>
      <c r="G154" t="inlineStr">
        <is>
          <t xml:space="preserve"> - Family Finca</t>
        </is>
      </c>
      <c r="H154">
        <f>HYPERLINK("https://booking.roadsurfer.com/es/rally/pick?pickup_date=2026-06-11&amp;return_date=2026-06-18&amp;currency=EUR&amp;startStation=22&amp;endStation=60",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No hay coche</t>
        </is>
      </c>
      <c r="H155">
        <f>HYPERLINK("https://booking.roadsurfer.com/es/rally/pick?pickup_date=2026-06-05&amp;return_date=2026-06-12&amp;currency=EUR&amp;startStation=22&amp;endStation=60",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2026-06-27</t>
        </is>
      </c>
      <c r="F156" t="inlineStr">
        <is>
          <t>2026-07-04</t>
        </is>
      </c>
      <c r="G156" t="inlineStr">
        <is>
          <t xml:space="preserve"> - No hay coche</t>
        </is>
      </c>
      <c r="H156">
        <f>HYPERLINK("https://booking.roadsurfer.com/es/rally/pick?pickup_date=2026-06-27&amp;return_date=2026-07-04&amp;currency=EUR&amp;startStation=22&amp;endStation=60",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2026-06-18</t>
        </is>
      </c>
      <c r="F157" t="inlineStr">
        <is>
          <t>2026-06-25</t>
        </is>
      </c>
      <c r="G157" t="inlineStr">
        <is>
          <t xml:space="preserve"> - Camper Castle</t>
        </is>
      </c>
      <c r="H157">
        <f>HYPERLINK("https://booking.roadsurfer.com/es/rally/pick?pickup_date=2026-06-18&amp;return_date=2026-06-25&amp;currency=EUR&amp;startStation=22&amp;endStation=77",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2026-06-24</t>
        </is>
      </c>
      <c r="F158" t="inlineStr">
        <is>
          <t>2026-07-01</t>
        </is>
      </c>
      <c r="G158" t="inlineStr">
        <is>
          <t xml:space="preserve"> - Beach Hostel</t>
        </is>
      </c>
      <c r="H158">
        <f>HYPERLINK("https://booking.roadsurfer.com/es/rally/pick?pickup_date=2026-06-24&amp;return_date=2026-07-01&amp;currency=EUR&amp;startStation=22&amp;endStation=77",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España</t>
        </is>
      </c>
      <c r="D159" t="inlineStr">
        <is>
          <t>Sevilla</t>
        </is>
      </c>
      <c r="E159" t="inlineStr">
        <is>
          <t>2026-07-09</t>
        </is>
      </c>
      <c r="F159" t="inlineStr">
        <is>
          <t>2026-07-16</t>
        </is>
      </c>
      <c r="G159" t="inlineStr">
        <is>
          <t xml:space="preserve"> - Beach Hostel</t>
        </is>
      </c>
      <c r="H159">
        <f>HYPERLINK("https://booking.roadsurfer.com/es/rally/pick?pickup_date=2026-07-09&amp;return_date=2026-07-16&amp;currency=EUR&amp;startStation=22&amp;endStation=39",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2026-06-11</t>
        </is>
      </c>
      <c r="F160" t="inlineStr">
        <is>
          <t>2026-06-18</t>
        </is>
      </c>
      <c r="G160" t="inlineStr"/>
      <c r="H160">
        <f>HYPERLINK("https://booking.roadsurfer.com/es/rally/pick?pickup_date=2026-06-11&amp;return_date=2026-06-18&amp;currency=EUR&amp;startStation=22&amp;endStation=33",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Italia</t>
        </is>
      </c>
      <c r="D161" t="inlineStr">
        <is>
          <t>Bérgamo</t>
        </is>
      </c>
      <c r="E161" t="inlineStr">
        <is>
          <t>2026-06-09</t>
        </is>
      </c>
      <c r="F161" t="inlineStr">
        <is>
          <t>2026-06-16</t>
        </is>
      </c>
      <c r="G161" t="inlineStr">
        <is>
          <t xml:space="preserve"> - Road House</t>
        </is>
      </c>
      <c r="H161">
        <f>HYPERLINK("https://booking.roadsurfer.com/es/rally/pick?pickup_date=2026-06-09&amp;return_date=2026-06-16&amp;currency=EUR&amp;startStation=22&amp;endStation=94",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2026-06-16</t>
        </is>
      </c>
      <c r="F162" t="inlineStr">
        <is>
          <t>2026-06-23</t>
        </is>
      </c>
      <c r="G162" t="inlineStr">
        <is>
          <t xml:space="preserve"> - Camper Castle</t>
        </is>
      </c>
      <c r="H162">
        <f>HYPERLINK("https://booking.roadsurfer.com/es/rally/pick?pickup_date=2026-06-16&amp;return_date=2026-06-23&amp;currency=EUR&amp;startStation=22&amp;endStation=17",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2026-06-17</t>
        </is>
      </c>
      <c r="F163" t="inlineStr">
        <is>
          <t>2026-06-24</t>
        </is>
      </c>
      <c r="G163" t="inlineStr">
        <is>
          <t xml:space="preserve"> - No hay coche</t>
        </is>
      </c>
      <c r="H163">
        <f>HYPERLINK("https://booking.roadsurfer.com/es/rally/pick?pickup_date=2026-06-17&amp;return_date=2026-06-24&amp;currency=EUR&amp;startStation=22&amp;endStation=17",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Couple Cottage</t>
        </is>
      </c>
      <c r="H164">
        <f>HYPERLINK("https://booking.roadsurfer.com/es/rally/pick?pickup_date=2026-06-12&amp;return_date=2026-06-19&amp;currency=EUR&amp;startStation=22&amp;endStation=47",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2026-06-23</t>
        </is>
      </c>
      <c r="F165" t="inlineStr">
        <is>
          <t>2026-06-30</t>
        </is>
      </c>
      <c r="G165" t="inlineStr">
        <is>
          <t xml:space="preserve"> - Camper Castle</t>
        </is>
      </c>
      <c r="H165">
        <f>HYPERLINK("https://booking.roadsurfer.com/es/rally/pick?pickup_date=2026-06-23&amp;return_date=2026-06-30&amp;currency=EUR&amp;startStation=22&amp;endStation=47",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España</t>
        </is>
      </c>
      <c r="D166" t="inlineStr">
        <is>
          <t>Valencia</t>
        </is>
      </c>
      <c r="E166" t="inlineStr">
        <is>
          <t>2026-06-26</t>
        </is>
      </c>
      <c r="F166" t="inlineStr">
        <is>
          <t>2026-07-03</t>
        </is>
      </c>
      <c r="G166" t="inlineStr">
        <is>
          <t xml:space="preserve"> - Family Finca</t>
        </is>
      </c>
      <c r="H166">
        <f>HYPERLINK("https://booking.roadsurfer.com/es/rally/pick?pickup_date=2026-06-26&amp;return_date=2026-07-03&amp;currency=EUR&amp;startStation=22&amp;endStation=38",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Aix-Marsella</t>
        </is>
      </c>
      <c r="E167" t="inlineStr">
        <is>
          <t>2026-07-13</t>
        </is>
      </c>
      <c r="F167" t="inlineStr">
        <is>
          <t>2026-07-20</t>
        </is>
      </c>
      <c r="G167" t="inlineStr">
        <is>
          <t xml:space="preserve"> - Couple Cottage</t>
        </is>
      </c>
      <c r="H167">
        <f>HYPERLINK("https://booking.roadsurfer.com/es/rally/pick?pickup_date=2026-07-13&amp;return_date=2026-07-20&amp;currency=EUR&amp;startStation=22&amp;endStation=16",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Family Finca</t>
        </is>
      </c>
      <c r="H168">
        <f>HYPERLINK("https://booking.roadsurfer.com/es/rally/pick?pickup_date=2026-06-08&amp;return_date=2026-06-15&amp;currency=EUR&amp;startStation=22&amp;endStation=16",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Couple Cottage</t>
        </is>
      </c>
      <c r="H169">
        <f>HYPERLINK("https://booking.roadsurfer.com/es/rally/pick?pickup_date=2026-06-08&amp;return_date=2026-06-15&amp;currency=EUR&amp;startStation=1&amp;endStation=15", "Clic para verlo en la web de RoadSurfer")</f>
        <v/>
      </c>
    </row>
    <row r="170">
      <c r="A170" t="inlineStr">
        <is>
          <t>Alemania</t>
        </is>
      </c>
      <c r="B170" t="inlineStr">
        <is>
          <t>Núremberg</t>
        </is>
      </c>
      <c r="C170" t="inlineStr">
        <is>
          <t>España</t>
        </is>
      </c>
      <c r="D170" t="inlineStr">
        <is>
          <t>Madrid</t>
        </is>
      </c>
      <c r="E170" t="inlineStr">
        <is>
          <t>2026-06-08</t>
        </is>
      </c>
      <c r="F170" t="inlineStr">
        <is>
          <t>2026-06-15</t>
        </is>
      </c>
      <c r="G170" t="inlineStr"/>
      <c r="H170">
        <f>HYPERLINK("https://booking.roadsurfer.com/es/rally/pick?pickup_date=2026-06-08&amp;return_date=2026-06-15&amp;currency=EUR&amp;startStation=11&amp;endStation=20", "Clic para verlo en la web de RoadSurfer")</f>
        <v/>
      </c>
    </row>
    <row r="171">
      <c r="A171" t="inlineStr">
        <is>
          <t>Alemania</t>
        </is>
      </c>
      <c r="B171" t="inlineStr">
        <is>
          <t>Núremberg</t>
        </is>
      </c>
      <c r="C171" t="inlineStr">
        <is>
          <t>España</t>
        </is>
      </c>
      <c r="D171" t="inlineStr">
        <is>
          <t>Madrid</t>
        </is>
      </c>
      <c r="E171" t="inlineStr">
        <is>
          <t>2026-06-25</t>
        </is>
      </c>
      <c r="F171" t="inlineStr">
        <is>
          <t>2026-07-02</t>
        </is>
      </c>
      <c r="G171" t="inlineStr">
        <is>
          <t xml:space="preserve"> - Surfer Suite</t>
        </is>
      </c>
      <c r="H171">
        <f>HYPERLINK("https://booking.roadsurfer.com/es/rally/pick?pickup_date=2026-06-25&amp;return_date=2026-07-02&amp;currency=EUR&amp;startStation=11&amp;endStation=20", "Clic para verlo en la web de RoadSurfer")</f>
        <v/>
      </c>
    </row>
    <row r="172">
      <c r="A172" t="inlineStr">
        <is>
          <t>Alemania</t>
        </is>
      </c>
      <c r="B172" t="inlineStr">
        <is>
          <t>Núremberg</t>
        </is>
      </c>
      <c r="C172" t="inlineStr">
        <is>
          <t>España</t>
        </is>
      </c>
      <c r="D172" t="inlineStr">
        <is>
          <t>Madrid</t>
        </is>
      </c>
      <c r="E172" t="inlineStr">
        <is>
          <t>2026-07-06</t>
        </is>
      </c>
      <c r="F172" t="inlineStr">
        <is>
          <t>2026-07-13</t>
        </is>
      </c>
      <c r="G172" t="inlineStr">
        <is>
          <t xml:space="preserve"> - Couple Cottage</t>
        </is>
      </c>
      <c r="H172">
        <f>HYPERLINK("https://booking.roadsurfer.com/es/rally/pick?pickup_date=2026-07-06&amp;return_date=2026-07-13&amp;currency=EUR&amp;startStation=11&amp;endStation=20", "Clic para verlo en la web de RoadSurfer")</f>
        <v/>
      </c>
    </row>
    <row r="173">
      <c r="A173" t="inlineStr">
        <is>
          <t>Alemania</t>
        </is>
      </c>
      <c r="B173" t="inlineStr">
        <is>
          <t>Núremberg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2026-06-11</t>
        </is>
      </c>
      <c r="F173" t="inlineStr">
        <is>
          <t>2026-06-18</t>
        </is>
      </c>
      <c r="G173" t="inlineStr">
        <is>
          <t xml:space="preserve"> - Couple Cottage Offroad</t>
        </is>
      </c>
      <c r="H173">
        <f>HYPERLINK("https://booking.roadsurfer.com/es/rally/pick?pickup_date=2026-06-11&amp;return_date=2026-06-18&amp;currency=EUR&amp;startStation=11&amp;endStation=24", "Clic para verlo en la web de RoadSurfer")</f>
        <v/>
      </c>
    </row>
    <row r="174">
      <c r="A174" t="inlineStr">
        <is>
          <t>Alemania</t>
        </is>
      </c>
      <c r="B174" t="inlineStr">
        <is>
          <t>Ratisbona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No hay coche</t>
        </is>
      </c>
      <c r="H174">
        <f>HYPERLINK("https://booking.roadsurfer.com/es/rally/pick?pickup_date=2026-06-08&amp;return_date=2026-06-15&amp;currency=EUR&amp;startStation=89&amp;endStation=15", "Clic para verlo en la web de RoadSurfer")</f>
        <v/>
      </c>
    </row>
    <row r="175">
      <c r="A175" t="inlineStr">
        <is>
          <t>Italia</t>
        </is>
      </c>
      <c r="B175" t="inlineStr">
        <is>
          <t>Roma Aeropuerto Fiumicino</t>
        </is>
      </c>
      <c r="C175" t="inlineStr">
        <is>
          <t>Italia</t>
        </is>
      </c>
      <c r="D175" t="inlineStr">
        <is>
          <t>Turín</t>
        </is>
      </c>
      <c r="E175" t="inlineStr">
        <is>
          <t>2026-06-11</t>
        </is>
      </c>
      <c r="F175" t="inlineStr">
        <is>
          <t>2026-06-18</t>
        </is>
      </c>
      <c r="G175" t="inlineStr">
        <is>
          <t xml:space="preserve"> - Beach Hostel</t>
        </is>
      </c>
      <c r="H175">
        <f>HYPERLINK("https://booking.roadsurfer.com/es/rally/pick?pickup_date=2026-06-11&amp;return_date=2026-06-18&amp;currency=EUR&amp;startStation=35&amp;endStation=58", "Clic para verlo en la web de RoadSurfer")</f>
        <v/>
      </c>
    </row>
    <row r="176">
      <c r="A176" t="inlineStr">
        <is>
          <t>España</t>
        </is>
      </c>
      <c r="B176" t="inlineStr">
        <is>
          <t>Sevilla</t>
        </is>
      </c>
      <c r="C176" t="inlineStr">
        <is>
          <t>Alemania</t>
        </is>
      </c>
      <c r="D176" t="inlineStr">
        <is>
          <t>Hamburgo</t>
        </is>
      </c>
      <c r="E176" t="inlineStr">
        <is>
          <t>2026-06-06</t>
        </is>
      </c>
      <c r="F176" t="inlineStr">
        <is>
          <t>2026-06-09</t>
        </is>
      </c>
      <c r="G176" t="inlineStr"/>
      <c r="H176">
        <f>HYPERLINK("https://booking.roadsurfer.com/es/rally/pick?pickup_date=2026-06-06&amp;return_date=2026-06-09&amp;currency=EUR&amp;startStation=39&amp;endStation=3", "Clic para verlo en la web de RoadSurfer")</f>
        <v/>
      </c>
    </row>
    <row r="177">
      <c r="A177" t="inlineStr">
        <is>
          <t>Suecia</t>
        </is>
      </c>
      <c r="B177" t="inlineStr">
        <is>
          <t>Estocolmo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2026-06-06</t>
        </is>
      </c>
      <c r="F177" t="inlineStr">
        <is>
          <t>2026-06-13</t>
        </is>
      </c>
      <c r="G177" t="inlineStr">
        <is>
          <t xml:space="preserve"> - No hay coche</t>
        </is>
      </c>
      <c r="H177">
        <f>HYPERLINK("https://booking.roadsurfer.com/es/rally/pick?pickup_date=2026-06-06&amp;return_date=2026-06-13&amp;currency=EUR&amp;startStation=59&amp;endStation=90", "Clic para verlo en la web de RoadSurfer")</f>
        <v/>
      </c>
    </row>
    <row r="178">
      <c r="A178" t="inlineStr">
        <is>
          <t>Suecia</t>
        </is>
      </c>
      <c r="B178" t="inlineStr">
        <is>
          <t>Estocolmo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Family Finca</t>
        </is>
      </c>
      <c r="H178">
        <f>HYPERLINK("https://booking.roadsurfer.com/es/rally/pick?pickup_date=2026-06-08&amp;return_date=2026-06-15&amp;currency=EUR&amp;startStation=59&amp;endStation=90", "Clic para verlo en la web de RoadSurfer")</f>
        <v/>
      </c>
    </row>
    <row r="179">
      <c r="A179" t="inlineStr">
        <is>
          <t>Suecia</t>
        </is>
      </c>
      <c r="B179" t="inlineStr">
        <is>
          <t>Estocolmo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2026-06-13</t>
        </is>
      </c>
      <c r="F179" t="inlineStr">
        <is>
          <t>2026-06-20</t>
        </is>
      </c>
      <c r="G179" t="inlineStr">
        <is>
          <t xml:space="preserve"> - Surfer Suite</t>
        </is>
      </c>
      <c r="H179">
        <f>HYPERLINK("https://booking.roadsurfer.com/es/rally/pick?pickup_date=2026-06-13&amp;return_date=2026-06-20&amp;currency=EUR&amp;startStation=59&amp;endStation=90", "Clic para verlo en la web de RoadSurfer")</f>
        <v/>
      </c>
    </row>
    <row r="180">
      <c r="A180" t="inlineStr">
        <is>
          <t>Suecia</t>
        </is>
      </c>
      <c r="B180" t="inlineStr">
        <is>
          <t>Estocolmo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2026-06-13</t>
        </is>
      </c>
      <c r="F180" t="inlineStr">
        <is>
          <t>2026-06-20</t>
        </is>
      </c>
      <c r="G180" t="inlineStr">
        <is>
          <t xml:space="preserve"> - Road House</t>
        </is>
      </c>
      <c r="H180">
        <f>HYPERLINK("https://booking.roadsurfer.com/es/rally/pick?pickup_date=2026-06-13&amp;return_date=2026-06-20&amp;currency=EUR&amp;startStation=59&amp;endStation=111", "Clic para verlo en la web de RoadSurfer")</f>
        <v/>
      </c>
    </row>
    <row r="181">
      <c r="A181" t="inlineStr">
        <is>
          <t>Suecia</t>
        </is>
      </c>
      <c r="B181" t="inlineStr">
        <is>
          <t>Estocolmo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2026-06-08</t>
        </is>
      </c>
      <c r="F181" t="inlineStr">
        <is>
          <t>2026-06-15</t>
        </is>
      </c>
      <c r="G181" t="inlineStr"/>
      <c r="H181">
        <f>HYPERLINK("https://booking.roadsurfer.com/es/rally/pick?pickup_date=2026-06-08&amp;return_date=2026-06-15&amp;currency=EUR&amp;startStation=59&amp;endStation=111", "Clic para verlo en la web de RoadSurfer")</f>
        <v/>
      </c>
    </row>
    <row r="182">
      <c r="A182" t="inlineStr">
        <is>
          <t>Suecia</t>
        </is>
      </c>
      <c r="B182" t="inlineStr">
        <is>
          <t>Estocolmo</t>
        </is>
      </c>
      <c r="C182" t="inlineStr">
        <is>
          <t>Alemania</t>
        </is>
      </c>
      <c r="D182" t="inlineStr">
        <is>
          <t>Ratisbona</t>
        </is>
      </c>
      <c r="E182" t="inlineStr">
        <is>
          <t>2026-06-13</t>
        </is>
      </c>
      <c r="F182" t="inlineStr">
        <is>
          <t>2026-06-20</t>
        </is>
      </c>
      <c r="G182" t="inlineStr">
        <is>
          <t xml:space="preserve"> - Surfer Suite</t>
        </is>
      </c>
      <c r="H182">
        <f>HYPERLINK("https://booking.roadsurfer.com/es/rally/pick?pickup_date=2026-06-13&amp;return_date=2026-06-20&amp;currency=EUR&amp;startStation=59&amp;endStation=89", "Clic para verlo en la web de RoadSurfer")</f>
        <v/>
      </c>
    </row>
    <row r="183">
      <c r="A183" t="inlineStr">
        <is>
          <t>Suecia</t>
        </is>
      </c>
      <c r="B183" t="inlineStr">
        <is>
          <t>Estocolmo</t>
        </is>
      </c>
      <c r="C183" t="inlineStr">
        <is>
          <t>Alemania</t>
        </is>
      </c>
      <c r="D183" t="inlineStr">
        <is>
          <t>Núremberg</t>
        </is>
      </c>
      <c r="E183" t="inlineStr">
        <is>
          <t>2026-06-12</t>
        </is>
      </c>
      <c r="F183" t="inlineStr">
        <is>
          <t>2026-06-19</t>
        </is>
      </c>
      <c r="G183" t="inlineStr">
        <is>
          <t xml:space="preserve"> - Surfer Suite</t>
        </is>
      </c>
      <c r="H183">
        <f>HYPERLINK("https://booking.roadsurfer.com/es/rally/pick?pickup_date=2026-06-12&amp;return_date=2026-06-19&amp;currency=EUR&amp;startStation=59&amp;endStation=11", "Clic para verlo en la web de RoadSurfer")</f>
        <v/>
      </c>
    </row>
    <row r="184">
      <c r="A184" t="inlineStr">
        <is>
          <t>Suecia</t>
        </is>
      </c>
      <c r="B184" t="inlineStr">
        <is>
          <t>Estocolmo</t>
        </is>
      </c>
      <c r="C184" t="inlineStr">
        <is>
          <t>Alemania</t>
        </is>
      </c>
      <c r="D184" t="inlineStr">
        <is>
          <t>Núremberg</t>
        </is>
      </c>
      <c r="E184" t="inlineStr">
        <is>
          <t>2026-06-09</t>
        </is>
      </c>
      <c r="F184" t="inlineStr">
        <is>
          <t>2026-06-16</t>
        </is>
      </c>
      <c r="G184" t="inlineStr">
        <is>
          <t xml:space="preserve"> - Beach Hostel</t>
        </is>
      </c>
      <c r="H184">
        <f>HYPERLINK("https://booking.roadsurfer.com/es/rally/pick?pickup_date=2026-06-09&amp;return_date=2026-06-16&amp;currency=EUR&amp;startStation=59&amp;endStation=11", "Clic para verlo en la web de RoadSurfer")</f>
        <v/>
      </c>
    </row>
    <row r="185">
      <c r="A185" t="inlineStr">
        <is>
          <t>Suecia</t>
        </is>
      </c>
      <c r="B185" t="inlineStr">
        <is>
          <t>Estocolmo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2026-06-10</t>
        </is>
      </c>
      <c r="F185" t="inlineStr">
        <is>
          <t>2026-06-17</t>
        </is>
      </c>
      <c r="G185" t="inlineStr">
        <is>
          <t xml:space="preserve"> - Sunrise Suite</t>
        </is>
      </c>
      <c r="H185">
        <f>HYPERLINK("https://booking.roadsurfer.com/es/rally/pick?pickup_date=2026-06-10&amp;return_date=2026-06-17&amp;currency=EUR&amp;startStation=59&amp;endStation=22", "Clic para verlo en la web de RoadSurfer")</f>
        <v/>
      </c>
    </row>
    <row r="186">
      <c r="A186" t="inlineStr">
        <is>
          <t>Suecia</t>
        </is>
      </c>
      <c r="B186" t="inlineStr">
        <is>
          <t>Estocolmo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Road House</t>
        </is>
      </c>
      <c r="H186">
        <f>HYPERLINK("https://booking.roadsurfer.com/es/rally/pick?pickup_date=2026-06-08&amp;return_date=2026-06-15&amp;currency=EUR&amp;startStation=59&amp;endStation=91", "Clic para verlo en la web de RoadSurfer")</f>
        <v/>
      </c>
    </row>
    <row r="187">
      <c r="A187" t="inlineStr">
        <is>
          <t>Suecia</t>
        </is>
      </c>
      <c r="B187" t="inlineStr">
        <is>
          <t>Estocolmo</t>
        </is>
      </c>
      <c r="C187" t="inlineStr">
        <is>
          <t>Alemania</t>
        </is>
      </c>
      <c r="D187" t="inlineStr">
        <is>
          <t>Lindau-Wangen</t>
        </is>
      </c>
      <c r="E187" t="inlineStr">
        <is>
          <t>2026-06-15</t>
        </is>
      </c>
      <c r="F187" t="inlineStr">
        <is>
          <t>2026-06-22</t>
        </is>
      </c>
      <c r="G187" t="inlineStr">
        <is>
          <t xml:space="preserve"> - Camper Castle</t>
        </is>
      </c>
      <c r="H187">
        <f>HYPERLINK("https://booking.roadsurfer.com/es/rally/pick?pickup_date=2026-06-15&amp;return_date=2026-06-22&amp;currency=EUR&amp;startStation=59&amp;endStation=117", "Clic para verlo en la web de RoadSurfer")</f>
        <v/>
      </c>
    </row>
    <row r="188">
      <c r="A188" t="inlineStr">
        <is>
          <t>Alemania</t>
        </is>
      </c>
      <c r="B188" t="inlineStr">
        <is>
          <t>Stuttgart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2026-07-01</t>
        </is>
      </c>
      <c r="F188" t="inlineStr">
        <is>
          <t>2026-07-08</t>
        </is>
      </c>
      <c r="G188" t="inlineStr">
        <is>
          <t xml:space="preserve"> - Camper Cabin</t>
        </is>
      </c>
      <c r="H188">
        <f>HYPERLINK("https://booking.roadsurfer.com/es/rally/pick?pickup_date=2026-07-01&amp;return_date=2026-07-08&amp;currency=EUR&amp;startStation=5&amp;endStation=20", "Clic para verlo en la web de RoadSurfer")</f>
        <v/>
      </c>
    </row>
    <row r="189">
      <c r="A189" t="inlineStr">
        <is>
          <t>Alemania</t>
        </is>
      </c>
      <c r="B189" t="inlineStr">
        <is>
          <t>Stuttgart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2026-06-05</t>
        </is>
      </c>
      <c r="F189" t="inlineStr">
        <is>
          <t>2026-06-12</t>
        </is>
      </c>
      <c r="G189" t="inlineStr">
        <is>
          <t xml:space="preserve"> - No hay coche</t>
        </is>
      </c>
      <c r="H189">
        <f>HYPERLINK("https://booking.roadsurfer.com/es/rally/pick?pickup_date=2026-06-05&amp;return_date=2026-06-12&amp;currency=EUR&amp;startStation=5&amp;endStation=20", "Clic para verlo en la web de RoadSurfer")</f>
        <v/>
      </c>
    </row>
    <row r="190">
      <c r="A190" t="inlineStr">
        <is>
          <t>Alemania</t>
        </is>
      </c>
      <c r="B190" t="inlineStr">
        <is>
          <t>Stuttgart</t>
        </is>
      </c>
      <c r="C190" t="inlineStr">
        <is>
          <t>Austria</t>
        </is>
      </c>
      <c r="D190" t="inlineStr">
        <is>
          <t>Salzburgo</t>
        </is>
      </c>
      <c r="E190" t="inlineStr">
        <is>
          <t>2026-06-08</t>
        </is>
      </c>
      <c r="F190" t="inlineStr">
        <is>
          <t>2026-06-15</t>
        </is>
      </c>
      <c r="G190" t="inlineStr">
        <is>
          <t xml:space="preserve"> - Camper Castle</t>
        </is>
      </c>
      <c r="H190">
        <f>HYPERLINK("https://booking.roadsurfer.com/es/rally/pick?pickup_date=2026-06-08&amp;return_date=2026-06-15&amp;currency=EUR&amp;startStation=5&amp;endStation=85", "Clic para verlo en la web de RoadSurfer")</f>
        <v/>
      </c>
    </row>
    <row r="191">
      <c r="A191" t="inlineStr">
        <is>
          <t>Alemania</t>
        </is>
      </c>
      <c r="B191" t="inlineStr">
        <is>
          <t>Stuttgart</t>
        </is>
      </c>
      <c r="C191" t="inlineStr">
        <is>
          <t>España</t>
        </is>
      </c>
      <c r="D191" t="inlineStr">
        <is>
          <t>Valencia</t>
        </is>
      </c>
      <c r="E191" t="inlineStr">
        <is>
          <t>2026-06-22</t>
        </is>
      </c>
      <c r="F191" t="inlineStr">
        <is>
          <t>2026-06-29</t>
        </is>
      </c>
      <c r="G191" t="inlineStr">
        <is>
          <t xml:space="preserve"> - Camper Castle</t>
        </is>
      </c>
      <c r="H191">
        <f>HYPERLINK("https://booking.roadsurfer.com/es/rally/pick?pickup_date=2026-06-22&amp;return_date=2026-06-29&amp;currency=EUR&amp;startStation=5&amp;endStation=38", "Clic para verlo en la web de RoadSurfer")</f>
        <v/>
      </c>
    </row>
    <row r="192">
      <c r="A192" t="inlineStr">
        <is>
          <t>Alemania</t>
        </is>
      </c>
      <c r="B192" t="inlineStr">
        <is>
          <t>Stuttgart</t>
        </is>
      </c>
      <c r="C192" t="inlineStr">
        <is>
          <t>España</t>
        </is>
      </c>
      <c r="D192" t="inlineStr">
        <is>
          <t>Sevilla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Camper Castle</t>
        </is>
      </c>
      <c r="H192">
        <f>HYPERLINK("https://booking.roadsurfer.com/es/rally/pick?pickup_date=2026-06-08&amp;return_date=2026-06-15&amp;currency=EUR&amp;startStation=5&amp;endStation=39", "Clic para verlo en la web de RoadSurfer")</f>
        <v/>
      </c>
    </row>
    <row r="193">
      <c r="A193" t="inlineStr">
        <is>
          <t>Francia</t>
        </is>
      </c>
      <c r="B193" t="inlineStr">
        <is>
          <t>Toulouse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2026-06-11</t>
        </is>
      </c>
      <c r="F193" t="inlineStr">
        <is>
          <t>2026-06-18</t>
        </is>
      </c>
      <c r="G193" t="inlineStr">
        <is>
          <t xml:space="preserve"> - Surfer Suite</t>
        </is>
      </c>
      <c r="H193">
        <f>HYPERLINK("https://booking.roadsurfer.com/es/rally/pick?pickup_date=2026-06-11&amp;return_date=2026-06-18&amp;currency=EUR&amp;startStation=30&amp;endStation=31", "Clic para verlo en la web de RoadSurfer")</f>
        <v/>
      </c>
    </row>
    <row r="194">
      <c r="A194" t="inlineStr">
        <is>
          <t>Francia</t>
        </is>
      </c>
      <c r="B194" t="inlineStr">
        <is>
          <t>Toulouse</t>
        </is>
      </c>
      <c r="C194" t="inlineStr">
        <is>
          <t>Alemania</t>
        </is>
      </c>
      <c r="D194" t="inlineStr">
        <is>
          <t>Wurzburgo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Surfer Suite</t>
        </is>
      </c>
      <c r="H194">
        <f>HYPERLINK("https://booking.roadsurfer.com/es/rally/pick?pickup_date=2026-06-08&amp;return_date=2026-06-15&amp;currency=EUR&amp;startStation=30&amp;endStation=115", "Clic para verlo en la web de RoadSurfer")</f>
        <v/>
      </c>
    </row>
    <row r="195">
      <c r="A195" t="inlineStr">
        <is>
          <t>Francia</t>
        </is>
      </c>
      <c r="B195" t="inlineStr">
        <is>
          <t>Toulouse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Surfer Suite</t>
        </is>
      </c>
      <c r="H195">
        <f>HYPERLINK("https://booking.roadsurfer.com/es/rally/pick?pickup_date=2026-06-08&amp;return_date=2026-06-15&amp;currency=EUR&amp;startStation=30&amp;endStation=90", "Clic para verlo en la web de RoadSurfer")</f>
        <v/>
      </c>
    </row>
    <row r="196">
      <c r="A196" t="inlineStr">
        <is>
          <t>Alemania</t>
        </is>
      </c>
      <c r="B196" t="inlineStr">
        <is>
          <t>Tréveris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2026-07-03</t>
        </is>
      </c>
      <c r="F196" t="inlineStr">
        <is>
          <t>2026-07-10</t>
        </is>
      </c>
      <c r="G196" t="inlineStr">
        <is>
          <t xml:space="preserve"> - Couple Cottage</t>
        </is>
      </c>
      <c r="H196">
        <f>HYPERLINK("https://booking.roadsurfer.com/es/rally/pick?pickup_date=2026-07-03&amp;return_date=2026-07-10&amp;currency=EUR&amp;startStation=28&amp;endStation=47", "Clic para verlo en la web de RoadSurfer")</f>
        <v/>
      </c>
    </row>
    <row r="197">
      <c r="A197" t="inlineStr">
        <is>
          <t>Alemania</t>
        </is>
      </c>
      <c r="B197" t="inlineStr">
        <is>
          <t>Tréveris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2026-07-04</t>
        </is>
      </c>
      <c r="F197" t="inlineStr">
        <is>
          <t>2026-07-11</t>
        </is>
      </c>
      <c r="G197" t="inlineStr">
        <is>
          <t xml:space="preserve"> - Camper Castle</t>
        </is>
      </c>
      <c r="H197">
        <f>HYPERLINK("https://booking.roadsurfer.com/es/rally/pick?pickup_date=2026-07-04&amp;return_date=2026-07-11&amp;currency=EUR&amp;startStation=28&amp;endStation=40", "Clic para verlo en la web de RoadSurfer")</f>
        <v/>
      </c>
    </row>
    <row r="198">
      <c r="A198" t="inlineStr">
        <is>
          <t>Alemania</t>
        </is>
      </c>
      <c r="B198" t="inlineStr">
        <is>
          <t>Wurzburgo</t>
        </is>
      </c>
      <c r="C198" t="inlineStr">
        <is>
          <t>Francia</t>
        </is>
      </c>
      <c r="D198" t="inlineStr">
        <is>
          <t>Toulouse</t>
        </is>
      </c>
      <c r="E198" t="inlineStr">
        <is>
          <t>2026-06-29</t>
        </is>
      </c>
      <c r="F198" t="inlineStr">
        <is>
          <t>2026-07-06</t>
        </is>
      </c>
      <c r="G198" t="inlineStr">
        <is>
          <t xml:space="preserve"> - No hay coche</t>
        </is>
      </c>
      <c r="H198">
        <f>HYPERLINK("https://booking.roadsurfer.com/es/rally/pick?pickup_date=2026-06-29&amp;return_date=2026-07-06&amp;currency=EUR&amp;startStation=115&amp;endStation=30", "Clic para verlo en la web de RoadSurfer")</f>
        <v/>
      </c>
    </row>
    <row r="199">
      <c r="A199" t="inlineStr">
        <is>
          <t>Alemania</t>
        </is>
      </c>
      <c r="B199" t="inlineStr">
        <is>
          <t>Wurzburgo</t>
        </is>
      </c>
      <c r="C199" t="inlineStr">
        <is>
          <t>Alemania</t>
        </is>
      </c>
      <c r="D199" t="inlineStr">
        <is>
          <t>Leipzig</t>
        </is>
      </c>
      <c r="E199" t="inlineStr">
        <is>
          <t>2026-07-02</t>
        </is>
      </c>
      <c r="F199" t="inlineStr">
        <is>
          <t>2026-07-09</t>
        </is>
      </c>
      <c r="G199" t="inlineStr">
        <is>
          <t xml:space="preserve"> - Beach Hostel</t>
        </is>
      </c>
      <c r="H199">
        <f>HYPERLINK("https://booking.roadsurfer.com/es/rally/pick?pickup_date=2026-07-02&amp;return_date=2026-07-09&amp;currency=EUR&amp;startStation=115&amp;endStation=8", "Clic para verlo en la web de RoadSurfer")</f>
        <v/>
      </c>
    </row>
    <row r="200">
      <c r="A200" t="inlineStr">
        <is>
          <t>Alemania</t>
        </is>
      </c>
      <c r="B200" t="inlineStr">
        <is>
          <t>Wurzburgo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2026-06-19</t>
        </is>
      </c>
      <c r="F200" t="inlineStr">
        <is>
          <t>2026-06-26</t>
        </is>
      </c>
      <c r="G200" t="inlineStr">
        <is>
          <t xml:space="preserve"> - Couple Cottage</t>
        </is>
      </c>
      <c r="H200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2026-06-01T22:34:33Z</dcterms:created>
  <dcterms:modified xsi:type="dcterms:W3CDTF">2026-06-01T22:34:33Z</dcterms:modified>
</cp:coreProperties>
</file>