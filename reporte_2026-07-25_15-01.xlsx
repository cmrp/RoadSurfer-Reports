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Road House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2026-09-29</t>
        </is>
      </c>
      <c r="F18" t="inlineStr">
        <is>
          <t>2026-10-06</t>
        </is>
      </c>
      <c r="G18" t="inlineStr">
        <is>
          <t xml:space="preserve"> - Road House</t>
        </is>
      </c>
      <c r="H18">
        <f>HYPERLINK("https://booking.roadsurfer.com/es/rally/pick?pickup_date=2026-09-29&amp;return_date=2026-10-06&amp;currency=EUR&amp;startStation=47&amp;endStation=9",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Beach Hostel</t>
        </is>
      </c>
      <c r="H20">
        <f>HYPERLINK("https://booking.roadsurfer.com/es/rally/pick?pickup_date=2026-09-16&amp;return_date=2026-09-23&amp;currency=EUR&amp;startStation=47&amp;endStation=115",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Camper Castle</t>
        </is>
      </c>
      <c r="H24">
        <f>HYPERLINK("https://booking.roadsurfer.com/es/rally/pick?pickup_date=2026-09-23&amp;return_date=2026-09-30&amp;currency=EUR&amp;startStation=47&amp;endStation=5",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Family Finca</t>
        </is>
      </c>
      <c r="H25">
        <f>HYPERLINK("https://booking.roadsurfer.com/es/rally/pick?pickup_date=2026-09-11&amp;return_date=2026-09-18&amp;currency=EUR&amp;startStation=47&amp;endStation=8",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2026-09-18</t>
        </is>
      </c>
      <c r="F26" t="inlineStr">
        <is>
          <t>2026-09-25</t>
        </is>
      </c>
      <c r="G26" t="inlineStr">
        <is>
          <t xml:space="preserve"> - COUPLE COTTAGE</t>
        </is>
      </c>
      <c r="H26">
        <f>HYPERLINK("https://booking.roadsurfer.com/es/rally/pick?pickup_date=2026-09-18&amp;return_date=2026-09-25&amp;currency=EUR&amp;startStation=47&amp;endStation=22",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Karlsruhe</t>
        </is>
      </c>
      <c r="E27" t="inlineStr">
        <is>
          <t>2026-09-05</t>
        </is>
      </c>
      <c r="F27" t="inlineStr">
        <is>
          <t>2026-09-12</t>
        </is>
      </c>
      <c r="G27" t="inlineStr">
        <is>
          <t xml:space="preserve"> - Surfer Suite</t>
        </is>
      </c>
      <c r="H27">
        <f>HYPERLINK("https://booking.roadsurfer.com/es/rally/pick?pickup_date=2026-09-05&amp;return_date=2026-09-12&amp;currency=EUR&amp;startStation=17&amp;endStation=110",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Camper Cabin Deluxe</t>
        </is>
      </c>
      <c r="H28">
        <f>HYPERLINK("https://booking.roadsurfer.com/es/rally/pick?pickup_date=2026-09-28&amp;return_date=2026-10-05&amp;currency=EUR&amp;startStation=17&amp;endStation=51",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2026-09-04</t>
        </is>
      </c>
      <c r="F29" t="inlineStr">
        <is>
          <t>2026-09-11</t>
        </is>
      </c>
      <c r="G29" t="inlineStr">
        <is>
          <t xml:space="preserve"> - Surfer Suite</t>
        </is>
      </c>
      <c r="H29">
        <f>HYPERLINK("https://booking.roadsurfer.com/es/rally/pick?pickup_date=2026-09-04&amp;return_date=2026-09-11&amp;currency=EUR&amp;startStation=17&amp;endStation=51",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2026-09-05</t>
        </is>
      </c>
      <c r="F31" t="inlineStr">
        <is>
          <t>2026-09-12</t>
        </is>
      </c>
      <c r="G31" t="inlineStr">
        <is>
          <t xml:space="preserve"> - No hay coche</t>
        </is>
      </c>
      <c r="H31">
        <f>HYPERLINK("https://booking.roadsurfer.com/es/rally/pick?pickup_date=2026-09-05&amp;return_date=2026-09-12&amp;currency=EUR&amp;startStation=17&amp;endStation=2",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2026-09-08</t>
        </is>
      </c>
      <c r="F33" t="inlineStr">
        <is>
          <t>2026-09-15</t>
        </is>
      </c>
      <c r="G33" t="inlineStr">
        <is>
          <t xml:space="preserve"> - No hay coche</t>
        </is>
      </c>
      <c r="H33">
        <f>HYPERLINK("https://booking.roadsurfer.com/es/rally/pick?pickup_date=2026-09-08&amp;return_date=2026-09-15&amp;currency=EUR&amp;startStation=17&amp;endStation=55",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No hay coche</t>
        </is>
      </c>
      <c r="H34">
        <f>HYPERLINK("https://booking.roadsurfer.com/es/rally/pick?pickup_date=2026-09-25&amp;return_date=2026-10-02&amp;currency=EUR&amp;startStation=17&amp;endStation=55",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Road House</t>
        </is>
      </c>
      <c r="H35">
        <f>HYPERLINK("https://booking.roadsurfer.com/es/rally/pick?pickup_date=2026-09-12&amp;return_date=2026-09-19&amp;currency=EUR&amp;startStation=17&amp;endStation=55",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Road House</t>
        </is>
      </c>
      <c r="H36">
        <f>HYPERLINK("https://booking.roadsurfer.com/es/rally/pick?pickup_date=2026-09-16&amp;return_date=2026-09-23&amp;currency=EUR&amp;startStation=17&amp;endStation=22",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Surfer Suite - Couple Cottage</t>
        </is>
      </c>
      <c r="H37">
        <f>HYPERLINK("https://booking.roadsurfer.com/es/rally/pick?pickup_date=2026-09-15&amp;return_date=2026-09-22&amp;currency=EUR&amp;startStation=17&amp;endStation=22",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Camper Castle - Couple Cottage</t>
        </is>
      </c>
      <c r="H38">
        <f>HYPERLINK("https://booking.roadsurfer.com/es/rally/pick?pickup_date=2026-09-14&amp;return_date=2026-09-21&amp;currency=EUR&amp;startStation=17&amp;endStation=22",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2026-09-10</t>
        </is>
      </c>
      <c r="F39" t="inlineStr">
        <is>
          <t>2026-09-17</t>
        </is>
      </c>
      <c r="G39" t="inlineStr">
        <is>
          <t xml:space="preserve"> - Camper Castle</t>
        </is>
      </c>
      <c r="H39">
        <f>HYPERLINK("https://booking.roadsurfer.com/es/rally/pick?pickup_date=2026-09-10&amp;return_date=2026-09-17&amp;currency=EUR&amp;startStation=17&amp;endStation=22",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2026-09-02</t>
        </is>
      </c>
      <c r="F40" t="inlineStr">
        <is>
          <t>2026-09-09</t>
        </is>
      </c>
      <c r="G40" t="inlineStr">
        <is>
          <t xml:space="preserve"> - Road House</t>
        </is>
      </c>
      <c r="H40">
        <f>HYPERLINK("https://booking.roadsurfer.com/es/rally/pick?pickup_date=2026-09-02&amp;return_date=2026-09-09&amp;currency=EUR&amp;startStation=17&amp;endStation=22",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Surfer Suite</t>
        </is>
      </c>
      <c r="H42">
        <f>HYPERLINK("https://booking.roadsurfer.com/es/rally/pick?pickup_date=2026-09-10&amp;return_date=2026-09-17&amp;currency=EUR&amp;startStation=17&amp;endStation=8",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2026-09-24</t>
        </is>
      </c>
      <c r="F43" t="inlineStr">
        <is>
          <t>2026-10-01</t>
        </is>
      </c>
      <c r="G43" t="inlineStr">
        <is>
          <t xml:space="preserve"> - Surfer Suite</t>
        </is>
      </c>
      <c r="H43">
        <f>HYPERLINK("https://booking.roadsurfer.com/es/rally/pick?pickup_date=2026-09-24&amp;return_date=2026-10-01&amp;currency=EUR&amp;startStation=17&amp;endStation=8",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2026-09-03</t>
        </is>
      </c>
      <c r="F44" t="inlineStr">
        <is>
          <t>2026-09-10</t>
        </is>
      </c>
      <c r="G44" t="inlineStr">
        <is>
          <t xml:space="preserve"> - No hay coche</t>
        </is>
      </c>
      <c r="H44">
        <f>HYPERLINK("https://booking.roadsurfer.com/es/rally/pick?pickup_date=2026-09-03&amp;return_date=2026-09-10&amp;currency=EUR&amp;startStation=17&amp;endStation=8",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2026-09-22</t>
        </is>
      </c>
      <c r="F45" t="inlineStr">
        <is>
          <t>2026-09-29</t>
        </is>
      </c>
      <c r="G45" t="inlineStr">
        <is>
          <t xml:space="preserve"> - Surfer Suite</t>
        </is>
      </c>
      <c r="H45">
        <f>HYPERLINK("https://booking.roadsurfer.com/es/rally/pick?pickup_date=2026-09-22&amp;return_date=2026-09-29&amp;currency=EUR&amp;startStation=17&amp;endStation=8",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HYPERLINK("https://booking.roadsurfer.com/es/rally/pick?pickup_date=2026-09-26&amp;return_date=2026-10-03&amp;currency=EUR&amp;startStation=17&amp;endStation=113",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2026-09-24</t>
        </is>
      </c>
      <c r="F47" t="inlineStr">
        <is>
          <t>2026-10-01</t>
        </is>
      </c>
      <c r="G47" t="inlineStr">
        <is>
          <t xml:space="preserve"> - Camper Cabin</t>
        </is>
      </c>
      <c r="H47">
        <f>HYPERLINK("https://booking.roadsurfer.com/es/rally/pick?pickup_date=2026-09-24&amp;return_date=2026-10-01&amp;currency=EUR&amp;startStation=17&amp;endStation=90",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Beach Hostel</t>
        </is>
      </c>
      <c r="H48">
        <f>HYPERLINK("https://booking.roadsurfer.com/es/rally/pick?pickup_date=2026-09-10&amp;return_date=2026-09-17&amp;currency=EUR&amp;startStation=17&amp;endStation=90",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Hannover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BEACH HOSTEL</t>
        </is>
      </c>
      <c r="H49">
        <f>HYPERLINK("https://booking.roadsurfer.com/es/rally/pick?pickup_date=2026-09-28&amp;return_date=2026-10-05&amp;currency=EUR&amp;startStation=17&amp;endStation=7",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2026-09-29</t>
        </is>
      </c>
      <c r="F50" t="inlineStr">
        <is>
          <t>2026-10-06</t>
        </is>
      </c>
      <c r="G50" t="inlineStr">
        <is>
          <t xml:space="preserve"> - Family Finca</t>
        </is>
      </c>
      <c r="H50">
        <f>HYPERLINK("https://booking.roadsurfer.com/es/rally/pick?pickup_date=2026-09-29&amp;return_date=2026-10-06&amp;currency=EUR&amp;startStation=17&amp;endStation=1",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2026-09-09</t>
        </is>
      </c>
      <c r="F51" t="inlineStr">
        <is>
          <t>2026-09-16</t>
        </is>
      </c>
      <c r="G51" t="inlineStr">
        <is>
          <t xml:space="preserve"> - Sunrise Suite</t>
        </is>
      </c>
      <c r="H51">
        <f>HYPERLINK("https://booking.roadsurfer.com/es/rally/pick?pickup_date=2026-09-09&amp;return_date=2026-09-16&amp;currency=EUR&amp;startStation=17&amp;endStation=6",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No hay coche</t>
        </is>
      </c>
      <c r="H52">
        <f>HYPERLINK("https://booking.roadsurfer.com/es/rally/pick?pickup_date=2026-09-08&amp;return_date=2026-09-15&amp;currency=EUR&amp;startStation=17&amp;endStation=6",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2026-09-07</t>
        </is>
      </c>
      <c r="F53" t="inlineStr">
        <is>
          <t>2026-09-14</t>
        </is>
      </c>
      <c r="G53" t="inlineStr">
        <is>
          <t xml:space="preserve"> - Surfer Suite - Camper Castle</t>
        </is>
      </c>
      <c r="H53">
        <f>HYPERLINK("https://booking.roadsurfer.com/es/rally/pick?pickup_date=2026-09-07&amp;return_date=2026-09-14&amp;currency=EUR&amp;startStation=94&amp;endStation=22",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Surfer Suite</t>
        </is>
      </c>
      <c r="H55">
        <f>HYPERLINK("https://booking.roadsurfer.com/es/rally/pick?pickup_date=2026-09-11&amp;return_date=2026-09-18&amp;currency=EUR&amp;startStation=94&amp;endStation=22",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Surfer Suite</t>
        </is>
      </c>
      <c r="H56">
        <f>HYPERLINK("https://booking.roadsurfer.com/es/rally/pick?pickup_date=2026-09-16&amp;return_date=2026-09-23&amp;currency=EUR&amp;startStation=94&amp;endStation=51",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Camper Castle</t>
        </is>
      </c>
      <c r="H57">
        <f>HYPERLINK("https://booking.roadsurfer.com/es/rally/pick?pickup_date=2026-09-01&amp;return_date=2026-09-08&amp;currency=EUR&amp;startStation=40&amp;endStation=22",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COUPLE COTTAGE</t>
        </is>
      </c>
      <c r="H58">
        <f>HYPERLINK("https://booking.roadsurfer.com/es/rally/pick?pickup_date=2026-09-08&amp;return_date=2026-09-15&amp;currency=EUR&amp;startStation=40&amp;endStation=22",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Couple Cottage</t>
        </is>
      </c>
      <c r="H60">
        <f>HYPERLINK("https://booking.roadsurfer.com/es/rally/pick?pickup_date=2026-09-11&amp;return_date=2026-09-18&amp;currency=EUR&amp;startStation=40&amp;endStation=22",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2026-09-04</t>
        </is>
      </c>
      <c r="F61" t="inlineStr">
        <is>
          <t>2026-09-11</t>
        </is>
      </c>
      <c r="G61" t="inlineStr">
        <is>
          <t xml:space="preserve"> - BEACH HOSTEL</t>
        </is>
      </c>
      <c r="H61">
        <f>HYPERLINK("https://booking.roadsurfer.com/es/rally/pick?pickup_date=2026-09-04&amp;return_date=2026-09-11&amp;currency=EUR&amp;startStation=40&amp;endStation=90", "Clic para verlo en la web de RoadSurfer")</f>
        <v/>
      </c>
    </row>
    <row r="62">
      <c r="A62" t="inlineStr">
        <is>
          <t>Italia</t>
        </is>
      </c>
      <c r="B62" t="inlineStr">
        <is>
          <t>Bolonia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2026-09-08</t>
        </is>
      </c>
      <c r="F62" t="inlineStr">
        <is>
          <t>2026-09-15</t>
        </is>
      </c>
      <c r="G62" t="inlineStr">
        <is>
          <t xml:space="preserve"> - Surfer Suite</t>
        </is>
      </c>
      <c r="H62">
        <f>HYPERLINK("https://booking.roadsurfer.com/es/rally/pick?pickup_date=2026-09-08&amp;return_date=2026-09-15&amp;currency=EUR&amp;startStation=57&amp;endStation=3",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HYPERLINK("https://booking.roadsurfer.com/es/rally/pick?pickup_date=2026-09-14&amp;return_date=2026-09-21&amp;currency=EUR&amp;startStation=13&amp;endStation=2",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Lübeck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No hay coche</t>
        </is>
      </c>
      <c r="H64">
        <f>HYPERLINK("https://booking.roadsurfer.com/es/rally/pick?pickup_date=2026-09-15&amp;return_date=2026-09-22&amp;currency=EUR&amp;startStation=13&amp;endStation=109",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2026-09-23</t>
        </is>
      </c>
      <c r="F65" t="inlineStr">
        <is>
          <t>2026-09-30</t>
        </is>
      </c>
      <c r="G65" t="inlineStr">
        <is>
          <t xml:space="preserve"> - Camper Cabin</t>
        </is>
      </c>
      <c r="H65">
        <f>HYPERLINK("https://booking.roadsurfer.com/es/rally/pick?pickup_date=2026-09-23&amp;return_date=2026-09-30&amp;currency=EUR&amp;startStation=13&amp;endStation=1",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2026-09-30</t>
        </is>
      </c>
      <c r="F66" t="inlineStr">
        <is>
          <t>2026-10-07</t>
        </is>
      </c>
      <c r="G66" t="inlineStr">
        <is>
          <t xml:space="preserve"> - Surfer Suite</t>
        </is>
      </c>
      <c r="H66">
        <f>HYPERLINK("https://booking.roadsurfer.com/es/rally/pick?pickup_date=2026-09-30&amp;return_date=2026-10-07&amp;currency=EUR&amp;startStation=13&amp;endStation=1",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HYPERLINK("https://booking.roadsurfer.com/es/rally/pick?pickup_date=2026-09-26&amp;return_date=2026-10-03&amp;currency=EUR&amp;startStation=13&amp;endStation=3",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2026-09-15</t>
        </is>
      </c>
      <c r="F68" t="inlineStr">
        <is>
          <t>2026-09-22</t>
        </is>
      </c>
      <c r="G68" t="inlineStr">
        <is>
          <t xml:space="preserve"> - Surfer Suite</t>
        </is>
      </c>
      <c r="H68">
        <f>HYPERLINK("https://booking.roadsurfer.com/es/rally/pick?pickup_date=2026-09-15&amp;return_date=2026-09-22&amp;currency=EUR&amp;startStation=13&amp;endStation=3",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2026-09-03</t>
        </is>
      </c>
      <c r="F69" t="inlineStr">
        <is>
          <t>2026-09-10</t>
        </is>
      </c>
      <c r="G69" t="inlineStr">
        <is>
          <t xml:space="preserve"> - Family Finca</t>
        </is>
      </c>
      <c r="H69">
        <f>HYPERLINK("https://booking.roadsurfer.com/es/rally/pick?pickup_date=2026-09-03&amp;return_date=2026-09-10&amp;currency=EUR&amp;startStation=13&amp;endStation=3",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2026-09-07</t>
        </is>
      </c>
      <c r="F70" t="inlineStr">
        <is>
          <t>2026-09-14</t>
        </is>
      </c>
      <c r="G70" t="inlineStr">
        <is>
          <t xml:space="preserve"> - Sunrise Suite</t>
        </is>
      </c>
      <c r="H70">
        <f>HYPERLINK("https://booking.roadsurfer.com/es/rally/pick?pickup_date=2026-09-07&amp;return_date=2026-09-14&amp;currency=EUR&amp;startStation=13&amp;endStation=3",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2026-09-02</t>
        </is>
      </c>
      <c r="F71" t="inlineStr">
        <is>
          <t>2026-09-09</t>
        </is>
      </c>
      <c r="G71" t="inlineStr">
        <is>
          <t xml:space="preserve"> - Road House</t>
        </is>
      </c>
      <c r="H71">
        <f>HYPERLINK("https://booking.roadsurfer.com/es/rally/pick?pickup_date=2026-09-02&amp;return_date=2026-09-09&amp;currency=EUR&amp;startStation=13&amp;endStation=22",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Surfer Suite - Road House - Couple Cottage</t>
        </is>
      </c>
      <c r="H72">
        <f>HYPERLINK("https://booking.roadsurfer.com/es/rally/pick?pickup_date=2026-09-07&amp;return_date=2026-09-14&amp;currency=EUR&amp;startStation=13&amp;endStation=22",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2026-09-15</t>
        </is>
      </c>
      <c r="F73" t="inlineStr">
        <is>
          <t>2026-09-22</t>
        </is>
      </c>
      <c r="G73" t="inlineStr">
        <is>
          <t xml:space="preserve"> - ROAD HOUSE</t>
        </is>
      </c>
      <c r="H73">
        <f>HYPERLINK("https://booking.roadsurfer.com/es/rally/pick?pickup_date=2026-09-15&amp;return_date=2026-09-22&amp;currency=EUR&amp;startStation=13&amp;endStation=22",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2026-09-09</t>
        </is>
      </c>
      <c r="F74" t="inlineStr">
        <is>
          <t>2026-09-16</t>
        </is>
      </c>
      <c r="G74" t="inlineStr">
        <is>
          <t xml:space="preserve"> - Road House - COUPLE COTTAGE</t>
        </is>
      </c>
      <c r="H74">
        <f>HYPERLINK("https://booking.roadsurfer.com/es/rally/pick?pickup_date=2026-09-09&amp;return_date=2026-09-16&amp;currency=EUR&amp;startStation=13&amp;endStation=22",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Surfer Suite - SURFER SUITE</t>
        </is>
      </c>
      <c r="H75">
        <f>HYPERLINK("https://booking.roadsurfer.com/es/rally/pick?pickup_date=2026-09-16&amp;return_date=2026-09-23&amp;currency=EUR&amp;startStation=13&amp;endStation=22",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 - Road House</t>
        </is>
      </c>
      <c r="H76">
        <f>HYPERLINK("https://booking.roadsurfer.com/es/rally/pick?pickup_date=2026-09-11&amp;return_date=2026-09-18&amp;currency=EUR&amp;startStation=13&amp;endStation=22",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Family Finca</t>
        </is>
      </c>
      <c r="H77">
        <f>HYPERLINK("https://booking.roadsurfer.com/es/rally/pick?pickup_date=2026-09-08&amp;return_date=2026-09-15&amp;currency=EUR&amp;startStation=13&amp;endStation=22",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2026-09-14</t>
        </is>
      </c>
      <c r="F78" t="inlineStr">
        <is>
          <t>2026-09-21</t>
        </is>
      </c>
      <c r="G78" t="inlineStr">
        <is>
          <t xml:space="preserve"> - Surfer Suite</t>
        </is>
      </c>
      <c r="H78">
        <f>HYPERLINK("https://booking.roadsurfer.com/es/rally/pick?pickup_date=2026-09-14&amp;return_date=2026-09-21&amp;currency=EUR&amp;startStation=13&amp;endStation=22",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2026-09-21</t>
        </is>
      </c>
      <c r="F79" t="inlineStr">
        <is>
          <t>2026-09-28</t>
        </is>
      </c>
      <c r="G79" t="inlineStr">
        <is>
          <t xml:space="preserve"> - Couple Cottage</t>
        </is>
      </c>
      <c r="H79">
        <f>HYPERLINK("https://booking.roadsurfer.com/es/rally/pick?pickup_date=2026-09-21&amp;return_date=2026-09-28&amp;currency=EUR&amp;startStation=13&amp;endStation=22",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2026-09-03</t>
        </is>
      </c>
      <c r="F80" t="inlineStr">
        <is>
          <t>2026-09-10</t>
        </is>
      </c>
      <c r="G80" t="inlineStr">
        <is>
          <t xml:space="preserve"> - Family Finca</t>
        </is>
      </c>
      <c r="H80">
        <f>HYPERLINK("https://booking.roadsurfer.com/es/rally/pick?pickup_date=2026-09-03&amp;return_date=2026-09-10&amp;currency=EUR&amp;startStation=13&amp;endStation=22",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2026-09-05</t>
        </is>
      </c>
      <c r="F81" t="inlineStr">
        <is>
          <t>2026-09-12</t>
        </is>
      </c>
      <c r="G81" t="inlineStr">
        <is>
          <t xml:space="preserve"> - Beach Hostel</t>
        </is>
      </c>
      <c r="H81">
        <f>HYPERLINK("https://booking.roadsurfer.com/es/rally/pick?pickup_date=2026-09-05&amp;return_date=2026-09-12&amp;currency=EUR&amp;startStation=13&amp;endStation=9",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Constanza (Aach)</t>
        </is>
      </c>
      <c r="E82" t="inlineStr">
        <is>
          <t>2026-09-16</t>
        </is>
      </c>
      <c r="F82" t="inlineStr">
        <is>
          <t>2026-09-23</t>
        </is>
      </c>
      <c r="G82" t="inlineStr">
        <is>
          <t xml:space="preserve"> - Beach Hostel</t>
        </is>
      </c>
      <c r="H82">
        <f>HYPERLINK("https://booking.roadsurfer.com/es/rally/pick?pickup_date=2026-09-16&amp;return_date=2026-09-23&amp;currency=EUR&amp;startStation=13&amp;endStation=10",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Road House</t>
        </is>
      </c>
      <c r="H83">
        <f>HYPERLINK("https://booking.roadsurfer.com/es/rally/pick?pickup_date=2026-09-05&amp;return_date=2026-09-12&amp;currency=EUR&amp;startStation=13&amp;endStation=6",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2026-09-03</t>
        </is>
      </c>
      <c r="F84" t="inlineStr">
        <is>
          <t>2026-09-10</t>
        </is>
      </c>
      <c r="G84" t="inlineStr">
        <is>
          <t xml:space="preserve"> - Family Finca</t>
        </is>
      </c>
      <c r="H84">
        <f>HYPERLINK("https://booking.roadsurfer.com/es/rally/pick?pickup_date=2026-09-03&amp;return_date=2026-09-10&amp;currency=EUR&amp;startStation=13&amp;endStation=90",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2026-09-18</t>
        </is>
      </c>
      <c r="F85" t="inlineStr">
        <is>
          <t>2026-09-25</t>
        </is>
      </c>
      <c r="G85" t="inlineStr">
        <is>
          <t xml:space="preserve"> - Surfer Suite</t>
        </is>
      </c>
      <c r="H85">
        <f>HYPERLINK("https://booking.roadsurfer.com/es/rally/pick?pickup_date=2026-09-18&amp;return_date=2026-09-25&amp;currency=EUR&amp;startStation=42&amp;endStation=6",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Surfer Suite</t>
        </is>
      </c>
      <c r="H86">
        <f>HYPERLINK("https://booking.roadsurfer.com/es/rally/pick?pickup_date=2026-09-03&amp;return_date=2026-09-10&amp;currency=EUR&amp;startStation=42&amp;endStation=8",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Wurzburgo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No hay coche</t>
        </is>
      </c>
      <c r="H87">
        <f>HYPERLINK("https://booking.roadsurfer.com/es/rally/pick?pickup_date=2026-09-25&amp;return_date=2026-10-02&amp;currency=EUR&amp;startStation=42&amp;endStation=115",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2026-09-22</t>
        </is>
      </c>
      <c r="F88" t="inlineStr">
        <is>
          <t>2026-09-29</t>
        </is>
      </c>
      <c r="G88" t="inlineStr">
        <is>
          <t xml:space="preserve"> - Road House</t>
        </is>
      </c>
      <c r="H88">
        <f>HYPERLINK("https://booking.roadsurfer.com/es/rally/pick?pickup_date=2026-09-22&amp;return_date=2026-09-29&amp;currency=EUR&amp;startStation=42&amp;endStation=1", "Clic para verlo en la web de RoadSurfer")</f>
        <v/>
      </c>
    </row>
    <row r="89">
      <c r="A89" t="inlineStr">
        <is>
          <t>Italia</t>
        </is>
      </c>
      <c r="B89" t="inlineStr">
        <is>
          <t>Florencia</t>
        </is>
      </c>
      <c r="C89" t="inlineStr">
        <is>
          <t>Alemania</t>
        </is>
      </c>
      <c r="D89" t="inlineStr">
        <is>
          <t>Duisburgo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HYPERLINK("https://booking.roadsurfer.com/es/rally/pick?pickup_date=2026-09-11&amp;return_date=2026-09-18&amp;currency=EUR&amp;startStation=80&amp;endStation=113", "Clic para verlo en la web de RoadSurfer")</f>
        <v/>
      </c>
    </row>
    <row r="90">
      <c r="A90" t="inlineStr">
        <is>
          <t>Italia</t>
        </is>
      </c>
      <c r="B90" t="inlineStr">
        <is>
          <t>Florencia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2026-09-18</t>
        </is>
      </c>
      <c r="F90" t="inlineStr">
        <is>
          <t>2026-09-25</t>
        </is>
      </c>
      <c r="G90" t="inlineStr">
        <is>
          <t xml:space="preserve"> - Family Finca</t>
        </is>
      </c>
      <c r="H90">
        <f>HYPERLINK("https://booking.roadsurfer.com/es/rally/pick?pickup_date=2026-09-18&amp;return_date=2026-09-25&amp;currency=EUR&amp;startStation=80&amp;endStation=90",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2026-09-04</t>
        </is>
      </c>
      <c r="F91" t="inlineStr">
        <is>
          <t>2026-09-11</t>
        </is>
      </c>
      <c r="G91" t="inlineStr">
        <is>
          <t xml:space="preserve"> - Couple Cottage</t>
        </is>
      </c>
      <c r="H91">
        <f>HYPERLINK("https://booking.roadsurfer.com/es/rally/pick?pickup_date=2026-09-04&amp;return_date=2026-09-11&amp;currency=EUR&amp;startStation=80&amp;endStation=22", "Clic para verlo en la web de RoadSurfer")</f>
        <v/>
      </c>
    </row>
    <row r="92">
      <c r="A92" t="inlineStr">
        <is>
          <t>Italia</t>
        </is>
      </c>
      <c r="B92" t="inlineStr">
        <is>
          <t>Florencia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2026-09-09</t>
        </is>
      </c>
      <c r="F92" t="inlineStr">
        <is>
          <t>2026-09-16</t>
        </is>
      </c>
      <c r="G92" t="inlineStr">
        <is>
          <t xml:space="preserve"> - Couple Cottage</t>
        </is>
      </c>
      <c r="H92">
        <f>HYPERLINK("https://booking.roadsurfer.com/es/rally/pick?pickup_date=2026-09-09&amp;return_date=2026-09-16&amp;currency=EUR&amp;startStation=80&amp;endStation=22",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2026-09-21</t>
        </is>
      </c>
      <c r="F93" t="inlineStr">
        <is>
          <t>2026-09-28</t>
        </is>
      </c>
      <c r="G93" t="inlineStr">
        <is>
          <t xml:space="preserve"> - Travel Home</t>
        </is>
      </c>
      <c r="H93">
        <f>HYPERLINK("https://booking.roadsurfer.com/es/rally/pick?pickup_date=2026-09-21&amp;return_date=2026-09-28&amp;currency=EUR&amp;startStation=29&amp;endStation=8",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2026-09-19</t>
        </is>
      </c>
      <c r="F94" t="inlineStr">
        <is>
          <t>2026-09-26</t>
        </is>
      </c>
      <c r="G94" t="inlineStr">
        <is>
          <t xml:space="preserve"> - Travel Home</t>
        </is>
      </c>
      <c r="H94">
        <f>HYPERLINK("https://booking.roadsurfer.com/es/rally/pick?pickup_date=2026-09-19&amp;return_date=2026-09-26&amp;currency=EUR&amp;startStation=29&amp;endStation=1",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2026-09-23</t>
        </is>
      </c>
      <c r="F95" t="inlineStr">
        <is>
          <t>2026-09-30</t>
        </is>
      </c>
      <c r="G95" t="inlineStr">
        <is>
          <t xml:space="preserve"> - Road House</t>
        </is>
      </c>
      <c r="H95">
        <f>HYPERLINK("https://booking.roadsurfer.com/es/rally/pick?pickup_date=2026-09-23&amp;return_date=2026-09-30&amp;currency=EUR&amp;startStation=29&amp;endStation=90",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2026-09-22</t>
        </is>
      </c>
      <c r="F96" t="inlineStr">
        <is>
          <t>2026-09-29</t>
        </is>
      </c>
      <c r="G96" t="inlineStr">
        <is>
          <t xml:space="preserve"> - Beach Hostel</t>
        </is>
      </c>
      <c r="H96">
        <f>HYPERLINK("https://booking.roadsurfer.com/es/rally/pick?pickup_date=2026-09-22&amp;return_date=2026-09-29&amp;currency=EUR&amp;startStation=29&amp;endStation=56",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Hannover</t>
        </is>
      </c>
      <c r="E97" t="inlineStr">
        <is>
          <t>2026-09-01</t>
        </is>
      </c>
      <c r="F97" t="inlineStr">
        <is>
          <t>2026-09-08</t>
        </is>
      </c>
      <c r="G97" t="inlineStr">
        <is>
          <t xml:space="preserve"> - Surfer Suite</t>
        </is>
      </c>
      <c r="H97">
        <f>HYPERLINK("https://booking.roadsurfer.com/es/rally/pick?pickup_date=2026-09-01&amp;return_date=2026-09-08&amp;currency=EUR&amp;startStation=29&amp;endStation=7",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HYPERLINK("https://booking.roadsurfer.com/es/rally/pick?pickup_date=2026-09-11&amp;return_date=2026-09-18&amp;currency=EUR&amp;startStation=29&amp;endStation=6",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Camper Castle - Cozy Cottage</t>
        </is>
      </c>
      <c r="H99">
        <f>HYPERLINK("https://booking.roadsurfer.com/es/rally/pick?pickup_date=2026-09-07&amp;return_date=2026-09-14&amp;currency=EUR&amp;startStation=29&amp;endStation=22",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2026-09-14</t>
        </is>
      </c>
      <c r="F100" t="inlineStr">
        <is>
          <t>2026-09-21</t>
        </is>
      </c>
      <c r="G100" t="inlineStr">
        <is>
          <t xml:space="preserve"> - Road House</t>
        </is>
      </c>
      <c r="H100">
        <f>HYPERLINK("https://booking.roadsurfer.com/es/rally/pick?pickup_date=2026-09-14&amp;return_date=2026-09-21&amp;currency=EUR&amp;startStation=29&amp;endStation=22",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2026-09-02</t>
        </is>
      </c>
      <c r="F101" t="inlineStr">
        <is>
          <t>2026-09-09</t>
        </is>
      </c>
      <c r="G101" t="inlineStr">
        <is>
          <t xml:space="preserve"> - Cozy Cottage</t>
        </is>
      </c>
      <c r="H101">
        <f>HYPERLINK("https://booking.roadsurfer.com/es/rally/pick?pickup_date=2026-09-02&amp;return_date=2026-09-09&amp;currency=EUR&amp;startStation=29&amp;endStation=22",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Couple Cottage</t>
        </is>
      </c>
      <c r="H102">
        <f>HYPERLINK("https://booking.roadsurfer.com/es/rally/pick?pickup_date=2026-09-08&amp;return_date=2026-09-15&amp;currency=EUR&amp;startStation=29&amp;endStation=22",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2026-09-10</t>
        </is>
      </c>
      <c r="F103" t="inlineStr">
        <is>
          <t>2026-09-17</t>
        </is>
      </c>
      <c r="G103" t="inlineStr">
        <is>
          <t xml:space="preserve"> - Surfer Suite</t>
        </is>
      </c>
      <c r="H103">
        <f>HYPERLINK("https://booking.roadsurfer.com/es/rally/pick?pickup_date=2026-09-10&amp;return_date=2026-09-17&amp;currency=EUR&amp;startStation=29&amp;endStation=22",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Hamburgo</t>
        </is>
      </c>
      <c r="E104" t="inlineStr">
        <is>
          <t>2026-09-23</t>
        </is>
      </c>
      <c r="F104" t="inlineStr">
        <is>
          <t>2026-09-30</t>
        </is>
      </c>
      <c r="G104" t="inlineStr">
        <is>
          <t xml:space="preserve"> - Family Finca</t>
        </is>
      </c>
      <c r="H104">
        <f>HYPERLINK("https://booking.roadsurfer.com/es/rally/pick?pickup_date=2026-09-23&amp;return_date=2026-09-30&amp;currency=EUR&amp;startStation=29&amp;endStation=3",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2026-09-30</t>
        </is>
      </c>
      <c r="F105" t="inlineStr">
        <is>
          <t>2026-10-07</t>
        </is>
      </c>
      <c r="G105" t="inlineStr">
        <is>
          <t xml:space="preserve"> - Cozy Cottage</t>
        </is>
      </c>
      <c r="H105">
        <f>HYPERLINK("https://booking.roadsurfer.com/es/rally/pick?pickup_date=2026-09-30&amp;return_date=2026-10-07&amp;currency=EUR&amp;startStation=29&amp;endStation=52", "Clic para verlo en la web de RoadSurfer")</f>
        <v/>
      </c>
    </row>
    <row r="106">
      <c r="A106" t="inlineStr">
        <is>
          <t>Suecia</t>
        </is>
      </c>
      <c r="B106" t="inlineStr">
        <is>
          <t>Gotemburgo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2026-09-12</t>
        </is>
      </c>
      <c r="F106" t="inlineStr">
        <is>
          <t>2026-09-19</t>
        </is>
      </c>
      <c r="G106" t="inlineStr">
        <is>
          <t xml:space="preserve"> - Beach Hostel</t>
        </is>
      </c>
      <c r="H106">
        <f>HYPERLINK("https://booking.roadsurfer.com/es/rally/pick?pickup_date=2026-09-12&amp;return_date=2026-09-19&amp;currency=EUR&amp;startStation=77&amp;endStation=52", "Clic para verlo en la web de RoadSurfer")</f>
        <v/>
      </c>
    </row>
    <row r="107">
      <c r="A107" t="inlineStr">
        <is>
          <t>Suecia</t>
        </is>
      </c>
      <c r="B107" t="inlineStr">
        <is>
          <t>Gotemburgo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Couple Cottage</t>
        </is>
      </c>
      <c r="H107">
        <f>HYPERLINK("https://booking.roadsurfer.com/es/rally/pick?pickup_date=2026-09-10&amp;return_date=2026-09-17&amp;currency=EUR&amp;startStation=77&amp;endStation=52", "Clic para verlo en la web de RoadSurfer")</f>
        <v/>
      </c>
    </row>
    <row r="108">
      <c r="A108" t="inlineStr">
        <is>
          <t>Austria</t>
        </is>
      </c>
      <c r="B108" t="inlineStr">
        <is>
          <t>Graz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2026-09-10</t>
        </is>
      </c>
      <c r="F108" t="inlineStr">
        <is>
          <t>2026-09-17</t>
        </is>
      </c>
      <c r="G108" t="inlineStr">
        <is>
          <t xml:space="preserve"> - No hay coche</t>
        </is>
      </c>
      <c r="H108">
        <f>HYPERLINK("https://booking.roadsurfer.com/es/rally/pick?pickup_date=2026-09-10&amp;return_date=2026-09-17&amp;currency=EUR&amp;startStation=37&amp;endStation=22",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Surfer Suite</t>
        </is>
      </c>
      <c r="H109">
        <f>HYPERLINK("https://booking.roadsurfer.com/es/rally/pick?pickup_date=2026-09-08&amp;return_date=2026-09-15&amp;currency=EUR&amp;startStation=87&amp;endStation=22",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Road House</t>
        </is>
      </c>
      <c r="H110">
        <f>HYPERLINK("https://booking.roadsurfer.com/es/rally/pick?pickup_date=2026-09-15&amp;return_date=2026-09-22&amp;currency=EUR&amp;startStation=87&amp;endStation=22",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Family Finca</t>
        </is>
      </c>
      <c r="H111">
        <f>HYPERLINK("https://booking.roadsurfer.com/es/rally/pick?pickup_date=2026-09-03&amp;return_date=2026-09-10&amp;currency=EUR&amp;startStation=87&amp;endStation=22",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Cozy Cottage</t>
        </is>
      </c>
      <c r="H112">
        <f>HYPERLINK("https://booking.roadsurfer.com/es/rally/pick?pickup_date=2026-09-16&amp;return_date=2026-09-23&amp;currency=EUR&amp;startStation=87&amp;endStation=22",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Surfer Suite</t>
        </is>
      </c>
      <c r="H113">
        <f>HYPERLINK("https://booking.roadsurfer.com/es/rally/pick?pickup_date=2026-09-08&amp;return_date=2026-09-15&amp;currency=EUR&amp;startStation=87&amp;endStation=7",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2026-09-24</t>
        </is>
      </c>
      <c r="F114" t="inlineStr">
        <is>
          <t>2026-10-01</t>
        </is>
      </c>
      <c r="G114" t="inlineStr">
        <is>
          <t xml:space="preserve"> - Surfer Suite</t>
        </is>
      </c>
      <c r="H114">
        <f>HYPERLINK("https://booking.roadsurfer.com/es/rally/pick?pickup_date=2026-09-24&amp;return_date=2026-10-01&amp;currency=EUR&amp;startStation=87&amp;endStation=7",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Hannover</t>
        </is>
      </c>
      <c r="E115" t="inlineStr">
        <is>
          <t>2026-09-04</t>
        </is>
      </c>
      <c r="F115" t="inlineStr">
        <is>
          <t>2026-09-11</t>
        </is>
      </c>
      <c r="G115" t="inlineStr">
        <is>
          <t xml:space="preserve"> - Road House</t>
        </is>
      </c>
      <c r="H115">
        <f>HYPERLINK("https://booking.roadsurfer.com/es/rally/pick?pickup_date=2026-09-04&amp;return_date=2026-09-11&amp;currency=EUR&amp;startStation=87&amp;endStation=7",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</t>
        </is>
      </c>
      <c r="H116">
        <f>HYPERLINK("https://booking.roadsurfer.com/es/rally/pick?pickup_date=2026-09-14&amp;return_date=2026-09-21&amp;currency=EUR&amp;startStation=87&amp;endStation=8",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2026-07-27</t>
        </is>
      </c>
      <c r="F117" t="inlineStr">
        <is>
          <t>2026-08-03</t>
        </is>
      </c>
      <c r="G117" t="inlineStr">
        <is>
          <t xml:space="preserve"> - ROAD HOUSE</t>
        </is>
      </c>
      <c r="H117">
        <f>HYPERLINK("https://booking.roadsurfer.com/es/rally/pick?pickup_date=2026-07-27&amp;return_date=2026-08-03&amp;currency=EUR&amp;startStation=87&amp;endStation=15",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Berlín</t>
        </is>
      </c>
      <c r="E118" t="inlineStr">
        <is>
          <t>2026-09-02</t>
        </is>
      </c>
      <c r="F118" t="inlineStr">
        <is>
          <t>2026-09-09</t>
        </is>
      </c>
      <c r="G118" t="inlineStr">
        <is>
          <t xml:space="preserve"> - FAMILY FINCA</t>
        </is>
      </c>
      <c r="H118">
        <f>HYPERLINK("https://booking.roadsurfer.com/es/rally/pick?pickup_date=2026-09-02&amp;return_date=2026-09-09&amp;currency=EUR&amp;startStation=87&amp;endStation=6",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Bremen</t>
        </is>
      </c>
      <c r="E119" t="inlineStr">
        <is>
          <t>2026-09-17</t>
        </is>
      </c>
      <c r="F119" t="inlineStr">
        <is>
          <t>2026-09-24</t>
        </is>
      </c>
      <c r="G119" t="inlineStr">
        <is>
          <t xml:space="preserve"> - Travel Home</t>
        </is>
      </c>
      <c r="H119">
        <f>HYPERLINK("https://booking.roadsurfer.com/es/rally/pick?pickup_date=2026-09-17&amp;return_date=2026-09-24&amp;currency=EUR&amp;startStation=15&amp;endStation=55",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2026-09-30</t>
        </is>
      </c>
      <c r="F120" t="inlineStr">
        <is>
          <t>2026-10-07</t>
        </is>
      </c>
      <c r="G120" t="inlineStr">
        <is>
          <t xml:space="preserve"> - Camper Cabin Deluxe</t>
        </is>
      </c>
      <c r="H120">
        <f>HYPERLINK("https://booking.roadsurfer.com/es/rally/pick?pickup_date=2026-09-30&amp;return_date=2026-10-07&amp;currency=EUR&amp;startStation=15&amp;endStation=6",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2026-09-12</t>
        </is>
      </c>
      <c r="F121" t="inlineStr">
        <is>
          <t>2026-09-19</t>
        </is>
      </c>
      <c r="G121" t="inlineStr">
        <is>
          <t xml:space="preserve"> - Travel Home</t>
        </is>
      </c>
      <c r="H121">
        <f>HYPERLINK("https://booking.roadsurfer.com/es/rally/pick?pickup_date=2026-09-12&amp;return_date=2026-09-19&amp;currency=EUR&amp;startStation=15&amp;endStation=56",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2026-09-07</t>
        </is>
      </c>
      <c r="F122" t="inlineStr">
        <is>
          <t>2026-09-14</t>
        </is>
      </c>
      <c r="G122" t="inlineStr">
        <is>
          <t xml:space="preserve"> - COUPLE COTTAGE</t>
        </is>
      </c>
      <c r="H122">
        <f>HYPERLINK("https://booking.roadsurfer.com/es/rally/pick?pickup_date=2026-09-07&amp;return_date=2026-09-14&amp;currency=EUR&amp;startStation=15&amp;endStation=22",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2026-09-14</t>
        </is>
      </c>
      <c r="F123" t="inlineStr">
        <is>
          <t>2026-09-21</t>
        </is>
      </c>
      <c r="G123" t="inlineStr">
        <is>
          <t xml:space="preserve"> - Surfer Suite</t>
        </is>
      </c>
      <c r="H123">
        <f>HYPERLINK("https://booking.roadsurfer.com/es/rally/pick?pickup_date=2026-09-14&amp;return_date=2026-09-21&amp;currency=EUR&amp;startStation=15&amp;endStation=22",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2026-09-17</t>
        </is>
      </c>
      <c r="F124" t="inlineStr">
        <is>
          <t>2026-09-24</t>
        </is>
      </c>
      <c r="G124" t="inlineStr">
        <is>
          <t xml:space="preserve"> - Couple Cottage</t>
        </is>
      </c>
      <c r="H124">
        <f>HYPERLINK("https://booking.roadsurfer.com/es/rally/pick?pickup_date=2026-09-17&amp;return_date=2026-09-24&amp;currency=EUR&amp;startStation=15&amp;endStation=22",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2026-09-11</t>
        </is>
      </c>
      <c r="F125" t="inlineStr">
        <is>
          <t>2026-09-18</t>
        </is>
      </c>
      <c r="G125" t="inlineStr">
        <is>
          <t xml:space="preserve"> - No hay coche</t>
        </is>
      </c>
      <c r="H125">
        <f>HYPERLINK("https://booking.roadsurfer.com/es/rally/pick?pickup_date=2026-09-11&amp;return_date=2026-09-18&amp;currency=EUR&amp;startStation=15&amp;endStation=22",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Cozy Cottage</t>
        </is>
      </c>
      <c r="H126">
        <f>HYPERLINK("https://booking.roadsurfer.com/es/rally/pick?pickup_date=2026-09-09&amp;return_date=2026-09-16&amp;currency=EUR&amp;startStation=15&amp;endStation=22",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2026-09-10</t>
        </is>
      </c>
      <c r="F127" t="inlineStr">
        <is>
          <t>2026-09-17</t>
        </is>
      </c>
      <c r="G127" t="inlineStr">
        <is>
          <t xml:space="preserve"> - Surfer Suite</t>
        </is>
      </c>
      <c r="H127">
        <f>HYPERLINK("https://booking.roadsurfer.com/es/rally/pick?pickup_date=2026-09-10&amp;return_date=2026-09-17&amp;currency=EUR&amp;startStation=15&amp;endStation=22",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Surfer Suite</t>
        </is>
      </c>
      <c r="H128">
        <f>HYPERLINK("https://booking.roadsurfer.com/es/rally/pick?pickup_date=2026-09-17&amp;return_date=2026-09-24&amp;currency=EUR&amp;startStation=15&amp;endStation=90",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Duisburgo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Surfer Suite</t>
        </is>
      </c>
      <c r="H129">
        <f>HYPERLINK("https://booking.roadsurfer.com/es/rally/pick?pickup_date=2026-09-08&amp;return_date=2026-09-15&amp;currency=EUR&amp;startStation=15&amp;endStation=113",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Surfer Suite</t>
        </is>
      </c>
      <c r="H130">
        <f>HYPERLINK("https://booking.roadsurfer.com/es/rally/pick?pickup_date=2026-09-08&amp;return_date=2026-09-15&amp;currency=EUR&amp;startStation=15&amp;endStation=51",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2026-09-18</t>
        </is>
      </c>
      <c r="F131" t="inlineStr">
        <is>
          <t>2026-09-25</t>
        </is>
      </c>
      <c r="G131" t="inlineStr">
        <is>
          <t xml:space="preserve"> - No hay coche</t>
        </is>
      </c>
      <c r="H131">
        <f>HYPERLINK("https://booking.roadsurfer.com/es/rally/pick?pickup_date=2026-09-18&amp;return_date=2026-09-25&amp;currency=EUR&amp;startStation=15&amp;endStation=1",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2026-09-01</t>
        </is>
      </c>
      <c r="F132" t="inlineStr">
        <is>
          <t>2026-09-08</t>
        </is>
      </c>
      <c r="G132" t="inlineStr">
        <is>
          <t xml:space="preserve"> - Beach Hostel - Road House</t>
        </is>
      </c>
      <c r="H132">
        <f>HYPERLINK("https://booking.roadsurfer.com/es/rally/pick?pickup_date=2026-09-01&amp;return_date=2026-09-08&amp;currency=EUR&amp;startStation=20&amp;endStation=22",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2026-09-04</t>
        </is>
      </c>
      <c r="F133" t="inlineStr">
        <is>
          <t>2026-09-11</t>
        </is>
      </c>
      <c r="G133" t="inlineStr">
        <is>
          <t xml:space="preserve"> - Surfer Suite - Camper Castle</t>
        </is>
      </c>
      <c r="H133">
        <f>HYPERLINK("https://booking.roadsurfer.com/es/rally/pick?pickup_date=2026-09-04&amp;return_date=2026-09-11&amp;currency=EUR&amp;startStation=20&amp;endStation=22",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BEACH HOSTEL</t>
        </is>
      </c>
      <c r="H134">
        <f>HYPERLINK("https://booking.roadsurfer.com/es/rally/pick?pickup_date=2026-09-08&amp;return_date=2026-09-15&amp;currency=EUR&amp;startStation=20&amp;endStation=22",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2026-09-11</t>
        </is>
      </c>
      <c r="F135" t="inlineStr">
        <is>
          <t>2026-09-18</t>
        </is>
      </c>
      <c r="G135" t="inlineStr">
        <is>
          <t xml:space="preserve"> - Surfer Suite</t>
        </is>
      </c>
      <c r="H135">
        <f>HYPERLINK("https://booking.roadsurfer.com/es/rally/pick?pickup_date=2026-09-11&amp;return_date=2026-09-18&amp;currency=EUR&amp;startStation=20&amp;endStation=22",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2026-09-15</t>
        </is>
      </c>
      <c r="F136" t="inlineStr">
        <is>
          <t>2026-09-22</t>
        </is>
      </c>
      <c r="G136" t="inlineStr">
        <is>
          <t xml:space="preserve"> - Road House</t>
        </is>
      </c>
      <c r="H136">
        <f>HYPERLINK("https://booking.roadsurfer.com/es/rally/pick?pickup_date=2026-09-15&amp;return_date=2026-09-22&amp;currency=EUR&amp;startStation=20&amp;endStation=22",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2026-09-16</t>
        </is>
      </c>
      <c r="F137" t="inlineStr">
        <is>
          <t>2026-09-23</t>
        </is>
      </c>
      <c r="G137" t="inlineStr">
        <is>
          <t xml:space="preserve"> - Camper Castle - COUPLE COTTAGE</t>
        </is>
      </c>
      <c r="H137">
        <f>HYPERLINK("https://booking.roadsurfer.com/es/rally/pick?pickup_date=2026-09-16&amp;return_date=2026-09-23&amp;currency=EUR&amp;startStation=20&amp;endStation=22",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2026-09-02</t>
        </is>
      </c>
      <c r="F138" t="inlineStr">
        <is>
          <t>2026-09-09</t>
        </is>
      </c>
      <c r="G138" t="inlineStr">
        <is>
          <t xml:space="preserve"> - Cozy Cottage</t>
        </is>
      </c>
      <c r="H138">
        <f>HYPERLINK("https://booking.roadsurfer.com/es/rally/pick?pickup_date=2026-09-02&amp;return_date=2026-09-09&amp;currency=EUR&amp;startStation=20&amp;endStation=22",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Couple Cottage</t>
        </is>
      </c>
      <c r="H139">
        <f>HYPERLINK("https://booking.roadsurfer.com/es/rally/pick?pickup_date=2026-09-14&amp;return_date=2026-09-21&amp;currency=EUR&amp;startStation=20&amp;endStation=22",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2026-09-22</t>
        </is>
      </c>
      <c r="F140" t="inlineStr">
        <is>
          <t>2026-09-29</t>
        </is>
      </c>
      <c r="G140" t="inlineStr">
        <is>
          <t xml:space="preserve"> - Couple Cottage</t>
        </is>
      </c>
      <c r="H140">
        <f>HYPERLINK("https://booking.roadsurfer.com/es/rally/pick?pickup_date=2026-09-22&amp;return_date=2026-09-29&amp;currency=EUR&amp;startStation=20&amp;endStation=22",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Family Finca</t>
        </is>
      </c>
      <c r="H141">
        <f>HYPERLINK("https://booking.roadsurfer.com/es/rally/pick?pickup_date=2026-09-14&amp;return_date=2026-09-21&amp;currency=EUR&amp;startStation=20&amp;endStation=1",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2026-09-28</t>
        </is>
      </c>
      <c r="F142" t="inlineStr">
        <is>
          <t>2026-10-05</t>
        </is>
      </c>
      <c r="G142" t="inlineStr">
        <is>
          <t xml:space="preserve"> - Beach Hostel</t>
        </is>
      </c>
      <c r="H142">
        <f>HYPERLINK("https://booking.roadsurfer.com/es/rally/pick?pickup_date=2026-09-28&amp;return_date=2026-10-05&amp;currency=EUR&amp;startStation=20&amp;endStation=55",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2026-09-12</t>
        </is>
      </c>
      <c r="F143" t="inlineStr">
        <is>
          <t>2026-09-19</t>
        </is>
      </c>
      <c r="G143" t="inlineStr">
        <is>
          <t xml:space="preserve"> - Road House</t>
        </is>
      </c>
      <c r="H143">
        <f>HYPERLINK("https://booking.roadsurfer.com/es/rally/pick?pickup_date=2026-09-12&amp;return_date=2026-09-19&amp;currency=EUR&amp;startStation=20&amp;endStation=8",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2026-09-15</t>
        </is>
      </c>
      <c r="F144" t="inlineStr">
        <is>
          <t>2026-09-22</t>
        </is>
      </c>
      <c r="G144" t="inlineStr">
        <is>
          <t xml:space="preserve"> - Surfer Suite</t>
        </is>
      </c>
      <c r="H144">
        <f>HYPERLINK("https://booking.roadsurfer.com/es/rally/pick?pickup_date=2026-09-15&amp;return_date=2026-09-22&amp;currency=EUR&amp;startStation=20&amp;endStation=8",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2026-09-01</t>
        </is>
      </c>
      <c r="F145" t="inlineStr">
        <is>
          <t>2026-09-08</t>
        </is>
      </c>
      <c r="G145" t="inlineStr">
        <is>
          <t xml:space="preserve"> - Road House</t>
        </is>
      </c>
      <c r="H145">
        <f>HYPERLINK("https://booking.roadsurfer.com/es/rally/pick?pickup_date=2026-09-01&amp;return_date=2026-09-08&amp;currency=EUR&amp;startStation=20&amp;endStation=8",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2026-09-24</t>
        </is>
      </c>
      <c r="F146" t="inlineStr">
        <is>
          <t>2026-10-01</t>
        </is>
      </c>
      <c r="G146" t="inlineStr">
        <is>
          <t xml:space="preserve"> - Road House</t>
        </is>
      </c>
      <c r="H146">
        <f>HYPERLINK("https://booking.roadsurfer.com/es/rally/pick?pickup_date=2026-09-24&amp;return_date=2026-10-01&amp;currency=EUR&amp;startStation=20&amp;endStation=5", "Clic para verlo en la web de RoadSurfer")</f>
        <v/>
      </c>
    </row>
    <row r="147">
      <c r="A147" t="inlineStr">
        <is>
          <t>España</t>
        </is>
      </c>
      <c r="B147" t="inlineStr">
        <is>
          <t>Málaga</t>
        </is>
      </c>
      <c r="C147" t="inlineStr">
        <is>
          <t>Alemania</t>
        </is>
      </c>
      <c r="D147" t="inlineStr">
        <is>
          <t>Stuttgart</t>
        </is>
      </c>
      <c r="E147" t="inlineStr">
        <is>
          <t>2026-09-11</t>
        </is>
      </c>
      <c r="F147" t="inlineStr">
        <is>
          <t>2026-09-18</t>
        </is>
      </c>
      <c r="G147" t="inlineStr">
        <is>
          <t xml:space="preserve"> - Surfer Suite</t>
        </is>
      </c>
      <c r="H147">
        <f>HYPERLINK("https://booking.roadsurfer.com/es/rally/pick?pickup_date=2026-09-11&amp;return_date=2026-09-18&amp;currency=EUR&amp;startStation=21&amp;endStation=5", "Clic para verlo en la web de RoadSurfer")</f>
        <v/>
      </c>
    </row>
    <row r="148">
      <c r="A148" t="inlineStr">
        <is>
          <t>España</t>
        </is>
      </c>
      <c r="B148" t="inlineStr">
        <is>
          <t>Málaga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SURFER SUITE</t>
        </is>
      </c>
      <c r="H148">
        <f>HYPERLINK("https://booking.roadsurfer.com/es/rally/pick?pickup_date=2026-09-09&amp;return_date=2026-09-16&amp;currency=EUR&amp;startStation=21&amp;endStation=113",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Beach Hostel</t>
        </is>
      </c>
      <c r="H149">
        <f>HYPERLINK("https://booking.roadsurfer.com/es/rally/pick?pickup_date=2026-09-02&amp;return_date=2026-09-09&amp;currency=EUR&amp;startStation=21&amp;endStation=22",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Couple Cottage</t>
        </is>
      </c>
      <c r="H150">
        <f>HYPERLINK("https://booking.roadsurfer.com/es/rally/pick?pickup_date=2026-09-04&amp;return_date=2026-09-11&amp;currency=EUR&amp;startStation=21&amp;endStation=22", "Clic para verlo en la web de RoadSurfer")</f>
        <v/>
      </c>
    </row>
    <row r="151">
      <c r="A151" t="inlineStr">
        <is>
          <t>España</t>
        </is>
      </c>
      <c r="B151" t="inlineStr">
        <is>
          <t>Málaga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No hay coche</t>
        </is>
      </c>
      <c r="H151">
        <f>HYPERLINK("https://booking.roadsurfer.com/es/rally/pick?pickup_date=2026-09-14&amp;return_date=2026-09-21&amp;currency=EUR&amp;startStation=21&amp;endStation=22",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Alemania</t>
        </is>
      </c>
      <c r="D152" t="inlineStr">
        <is>
          <t>Friburgo-Basilea (Alemania)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Beach Hostel</t>
        </is>
      </c>
      <c r="H152">
        <f>HYPERLINK("https://booking.roadsurfer.com/es/rally/pick?pickup_date=2026-09-02&amp;return_date=2026-09-09&amp;currency=EUR&amp;startStation=21&amp;endStation=9",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Beach Hostel</t>
        </is>
      </c>
      <c r="H153">
        <f>HYPERLINK("https://booking.roadsurfer.com/es/rally/pick?pickup_date=2026-09-17&amp;return_date=2026-09-24&amp;currency=EUR&amp;startStation=21&amp;endStation=51",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2026-09-01</t>
        </is>
      </c>
      <c r="F154" t="inlineStr">
        <is>
          <t>2026-09-08</t>
        </is>
      </c>
      <c r="G154" t="inlineStr">
        <is>
          <t xml:space="preserve"> - Camper Castle</t>
        </is>
      </c>
      <c r="H154">
        <f>HYPERLINK("https://booking.roadsurfer.com/es/rally/pick?pickup_date=2026-09-01&amp;return_date=2026-09-08&amp;currency=EUR&amp;startStation=21&amp;endStation=8", "Clic para verlo en la web de RoadSurfer")</f>
        <v/>
      </c>
    </row>
    <row r="155">
      <c r="A155" t="inlineStr">
        <is>
          <t>Suecia</t>
        </is>
      </c>
      <c r="B155" t="inlineStr">
        <is>
          <t>Malmö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2026-09-03</t>
        </is>
      </c>
      <c r="F155" t="inlineStr">
        <is>
          <t>2026-09-10</t>
        </is>
      </c>
      <c r="G155" t="inlineStr">
        <is>
          <t xml:space="preserve"> - COUPLE COTTAGE</t>
        </is>
      </c>
      <c r="H155">
        <f>HYPERLINK("https://booking.roadsurfer.com/es/rally/pick?pickup_date=2026-09-03&amp;return_date=2026-09-10&amp;currency=EUR&amp;startStation=60&amp;endStation=52",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Road House</t>
        </is>
      </c>
      <c r="H156">
        <f>HYPERLINK("https://booking.roadsurfer.com/es/rally/pick?pickup_date=2026-09-14&amp;return_date=2026-09-21&amp;currency=EUR&amp;startStation=60&amp;endStation=52",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2026-09-07</t>
        </is>
      </c>
      <c r="F157" t="inlineStr">
        <is>
          <t>2026-09-14</t>
        </is>
      </c>
      <c r="G157" t="inlineStr">
        <is>
          <t xml:space="preserve"> - Beach Hostel</t>
        </is>
      </c>
      <c r="H157">
        <f>HYPERLINK("https://booking.roadsurfer.com/es/rally/pick?pickup_date=2026-09-07&amp;return_date=2026-09-14&amp;currency=EUR&amp;startStation=60&amp;endStation=52", "Clic para verlo en la web de RoadSurfer")</f>
        <v/>
      </c>
    </row>
    <row r="158">
      <c r="A158" t="inlineStr">
        <is>
          <t>Italia</t>
        </is>
      </c>
      <c r="B158" t="inlineStr">
        <is>
          <t>Milán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2026-09-09</t>
        </is>
      </c>
      <c r="F158" t="inlineStr">
        <is>
          <t>2026-09-16</t>
        </is>
      </c>
      <c r="G158" t="inlineStr">
        <is>
          <t xml:space="preserve"> - FAMILY FINCA</t>
        </is>
      </c>
      <c r="H158">
        <f>HYPERLINK("https://booking.roadsurfer.com/es/rally/pick?pickup_date=2026-09-09&amp;return_date=2026-09-16&amp;currency=EUR&amp;startStation=34&amp;endStation=7", "Clic para verlo en la web de RoadSurfer")</f>
        <v/>
      </c>
    </row>
    <row r="159">
      <c r="A159" t="inlineStr">
        <is>
          <t>Italia</t>
        </is>
      </c>
      <c r="B159" t="inlineStr">
        <is>
          <t>Milán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2026-09-15</t>
        </is>
      </c>
      <c r="F159" t="inlineStr">
        <is>
          <t>2026-09-22</t>
        </is>
      </c>
      <c r="G159" t="inlineStr">
        <is>
          <t xml:space="preserve"> - Surfer Suite</t>
        </is>
      </c>
      <c r="H159">
        <f>HYPERLINK("https://booking.roadsurfer.com/es/rally/pick?pickup_date=2026-09-15&amp;return_date=2026-09-22&amp;currency=EUR&amp;startStation=34&amp;endStation=7", "Clic para verlo en la web de RoadSurfer")</f>
        <v/>
      </c>
    </row>
    <row r="160">
      <c r="A160" t="inlineStr">
        <is>
          <t>Italia</t>
        </is>
      </c>
      <c r="B160" t="inlineStr">
        <is>
          <t>Milán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BEACH HOSTEL</t>
        </is>
      </c>
      <c r="H160">
        <f>HYPERLINK("https://booking.roadsurfer.com/es/rally/pick?pickup_date=2026-09-08&amp;return_date=2026-09-15&amp;currency=EUR&amp;startStation=34&amp;endStation=90", "Clic para verlo en la web de RoadSurfer")</f>
        <v/>
      </c>
    </row>
    <row r="161">
      <c r="A161" t="inlineStr">
        <is>
          <t>Italia</t>
        </is>
      </c>
      <c r="B161" t="inlineStr">
        <is>
          <t>Milán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Couple Cottage</t>
        </is>
      </c>
      <c r="H161">
        <f>HYPERLINK("https://booking.roadsurfer.com/es/rally/pick?pickup_date=2026-09-09&amp;return_date=2026-09-16&amp;currency=EUR&amp;startStation=34&amp;endStation=22",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2026-09-03</t>
        </is>
      </c>
      <c r="F162" t="inlineStr">
        <is>
          <t>2026-09-10</t>
        </is>
      </c>
      <c r="G162" t="inlineStr">
        <is>
          <t xml:space="preserve"> - Travel Home</t>
        </is>
      </c>
      <c r="H162">
        <f>HYPERLINK("https://booking.roadsurfer.com/es/rally/pick?pickup_date=2026-09-03&amp;return_date=2026-09-10&amp;currency=EUR&amp;startStation=31&amp;endStation=55", "Clic para verlo en la web de RoadSurfer")</f>
        <v/>
      </c>
    </row>
    <row r="163">
      <c r="A163" t="inlineStr">
        <is>
          <t>Francia</t>
        </is>
      </c>
      <c r="B163" t="inlineStr">
        <is>
          <t>Nantes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2026-09-02</t>
        </is>
      </c>
      <c r="F163" t="inlineStr">
        <is>
          <t>2026-09-09</t>
        </is>
      </c>
      <c r="G163" t="inlineStr">
        <is>
          <t xml:space="preserve"> - TRAVEL HOME</t>
        </is>
      </c>
      <c r="H163">
        <f>HYPERLINK("https://booking.roadsurfer.com/es/rally/pick?pickup_date=2026-09-02&amp;return_date=2026-09-09&amp;currency=EUR&amp;startStation=31&amp;endStation=22", "Clic para verlo en la web de RoadSurfer")</f>
        <v/>
      </c>
    </row>
    <row r="164">
      <c r="A164" t="inlineStr">
        <is>
          <t>Francia</t>
        </is>
      </c>
      <c r="B164" t="inlineStr">
        <is>
          <t>Nantes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2026-09-08</t>
        </is>
      </c>
      <c r="F164" t="inlineStr">
        <is>
          <t>2026-09-15</t>
        </is>
      </c>
      <c r="G164" t="inlineStr">
        <is>
          <t xml:space="preserve"> - Road House</t>
        </is>
      </c>
      <c r="H164">
        <f>HYPERLINK("https://booking.roadsurfer.com/es/rally/pick?pickup_date=2026-09-08&amp;return_date=2026-09-15&amp;currency=EUR&amp;startStation=31&amp;endStation=22",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2026-09-09</t>
        </is>
      </c>
      <c r="F165" t="inlineStr">
        <is>
          <t>2026-09-16</t>
        </is>
      </c>
      <c r="G165" t="inlineStr">
        <is>
          <t xml:space="preserve"> - FAMILY FINCA</t>
        </is>
      </c>
      <c r="H165">
        <f>HYPERLINK("https://booking.roadsurfer.com/es/rally/pick?pickup_date=2026-09-09&amp;return_date=2026-09-16&amp;currency=EUR&amp;startStation=31&amp;endStation=22",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Road House - Camper Castle</t>
        </is>
      </c>
      <c r="H166">
        <f>HYPERLINK("https://booking.roadsurfer.com/es/rally/pick?pickup_date=2026-09-17&amp;return_date=2026-09-24&amp;currency=EUR&amp;startStation=31&amp;endStation=22",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2026-09-03</t>
        </is>
      </c>
      <c r="F167" t="inlineStr">
        <is>
          <t>2026-09-10</t>
        </is>
      </c>
      <c r="G167" t="inlineStr">
        <is>
          <t xml:space="preserve"> - Surfer Suite</t>
        </is>
      </c>
      <c r="H167">
        <f>HYPERLINK("https://booking.roadsurfer.com/es/rally/pick?pickup_date=2026-09-03&amp;return_date=2026-09-10&amp;currency=EUR&amp;startStation=31&amp;endStation=22",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2026-09-15</t>
        </is>
      </c>
      <c r="F168" t="inlineStr">
        <is>
          <t>2026-09-22</t>
        </is>
      </c>
      <c r="G168" t="inlineStr">
        <is>
          <t xml:space="preserve"> - Travel Home</t>
        </is>
      </c>
      <c r="H168">
        <f>HYPERLINK("https://booking.roadsurfer.com/es/rally/pick?pickup_date=2026-09-15&amp;return_date=2026-09-22&amp;currency=EUR&amp;startStation=31&amp;endStation=9",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2026-09-17</t>
        </is>
      </c>
      <c r="F169" t="inlineStr">
        <is>
          <t>2026-09-24</t>
        </is>
      </c>
      <c r="G169" t="inlineStr">
        <is>
          <t xml:space="preserve"> - ROAD HOUSE</t>
        </is>
      </c>
      <c r="H169">
        <f>HYPERLINK("https://booking.roadsurfer.com/es/rally/pick?pickup_date=2026-09-17&amp;return_date=2026-09-24&amp;currency=EUR&amp;startStation=31&amp;endStation=1",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Travel Home</t>
        </is>
      </c>
      <c r="H170">
        <f>HYPERLINK("https://booking.roadsurfer.com/es/rally/pick?pickup_date=2026-09-02&amp;return_date=2026-09-09&amp;currency=EUR&amp;startStation=31&amp;endStation=1",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Stuttgart</t>
        </is>
      </c>
      <c r="E171" t="inlineStr">
        <is>
          <t>2026-09-25</t>
        </is>
      </c>
      <c r="F171" t="inlineStr">
        <is>
          <t>2026-10-02</t>
        </is>
      </c>
      <c r="G171" t="inlineStr">
        <is>
          <t xml:space="preserve"> - Camper Castle</t>
        </is>
      </c>
      <c r="H171">
        <f>HYPERLINK("https://booking.roadsurfer.com/es/rally/pick?pickup_date=2026-09-25&amp;return_date=2026-10-02&amp;currency=EUR&amp;startStation=31&amp;endStation=5",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Hamburgo</t>
        </is>
      </c>
      <c r="E172" t="inlineStr">
        <is>
          <t>2026-09-30</t>
        </is>
      </c>
      <c r="F172" t="inlineStr">
        <is>
          <t>2026-10-07</t>
        </is>
      </c>
      <c r="G172" t="inlineStr">
        <is>
          <t xml:space="preserve"> - Surfer Suite</t>
        </is>
      </c>
      <c r="H172">
        <f>HYPERLINK("https://booking.roadsurfer.com/es/rally/pick?pickup_date=2026-09-30&amp;return_date=2026-10-07&amp;currency=EUR&amp;startStation=31&amp;endStation=3", "Clic para verlo en la web de RoadSurfer")</f>
        <v/>
      </c>
    </row>
    <row r="173">
      <c r="A173" t="inlineStr">
        <is>
          <t>Francia</t>
        </is>
      </c>
      <c r="B173" t="inlineStr">
        <is>
          <t>Nantes</t>
        </is>
      </c>
      <c r="C173" t="inlineStr">
        <is>
          <t>Alemania</t>
        </is>
      </c>
      <c r="D173" t="inlineStr">
        <is>
          <t>Lübeck</t>
        </is>
      </c>
      <c r="E173" t="inlineStr">
        <is>
          <t>2026-09-25</t>
        </is>
      </c>
      <c r="F173" t="inlineStr">
        <is>
          <t>2026-10-02</t>
        </is>
      </c>
      <c r="G173" t="inlineStr">
        <is>
          <t xml:space="preserve"> - Beach Hostel</t>
        </is>
      </c>
      <c r="H173">
        <f>HYPERLINK("https://booking.roadsurfer.com/es/rally/pick?pickup_date=2026-09-25&amp;return_date=2026-10-02&amp;currency=EUR&amp;startStation=31&amp;endStation=109", "Clic para verlo en la web de RoadSurfer")</f>
        <v/>
      </c>
    </row>
    <row r="174">
      <c r="A174" t="inlineStr">
        <is>
          <t>Francia</t>
        </is>
      </c>
      <c r="B174" t="inlineStr">
        <is>
          <t>Niza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2026-09-10</t>
        </is>
      </c>
      <c r="F174" t="inlineStr">
        <is>
          <t>2026-09-17</t>
        </is>
      </c>
      <c r="G174" t="inlineStr">
        <is>
          <t xml:space="preserve"> - Road House - COZY COTTAGE</t>
        </is>
      </c>
      <c r="H174">
        <f>HYPERLINK("https://booking.roadsurfer.com/es/rally/pick?pickup_date=2026-09-10&amp;return_date=2026-09-17&amp;currency=EUR&amp;startStation=88&amp;endStation=22", "Clic para verlo en la web de RoadSurfer")</f>
        <v/>
      </c>
    </row>
    <row r="175">
      <c r="A175" t="inlineStr">
        <is>
          <t>Francia</t>
        </is>
      </c>
      <c r="B175" t="inlineStr">
        <is>
          <t>Niza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Surfer Suite</t>
        </is>
      </c>
      <c r="H175">
        <f>HYPERLINK("https://booking.roadsurfer.com/es/rally/pick?pickup_date=2026-09-15&amp;return_date=2026-09-22&amp;currency=EUR&amp;startStation=88&amp;endStation=22", "Clic para verlo en la web de RoadSurfer")</f>
        <v/>
      </c>
    </row>
    <row r="176">
      <c r="A176" t="inlineStr">
        <is>
          <t>Francia</t>
        </is>
      </c>
      <c r="B176" t="inlineStr">
        <is>
          <t>Niza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2026-09-16</t>
        </is>
      </c>
      <c r="F176" t="inlineStr">
        <is>
          <t>2026-09-23</t>
        </is>
      </c>
      <c r="G176" t="inlineStr">
        <is>
          <t xml:space="preserve"> - Couple Cottage</t>
        </is>
      </c>
      <c r="H176">
        <f>HYPERLINK("https://booking.roadsurfer.com/es/rally/pick?pickup_date=2026-09-16&amp;return_date=2026-09-23&amp;currency=EUR&amp;startStation=88&amp;endStation=22",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2026-09-16</t>
        </is>
      </c>
      <c r="F177" t="inlineStr">
        <is>
          <t>2026-09-23</t>
        </is>
      </c>
      <c r="G177" t="inlineStr">
        <is>
          <t xml:space="preserve"> - Camper Cabin</t>
        </is>
      </c>
      <c r="H177">
        <f>HYPERLINK("https://booking.roadsurfer.com/es/rally/pick?pickup_date=2026-09-16&amp;return_date=2026-09-23&amp;currency=EUR&amp;startStation=12&amp;endStation=22",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SURFER SUITE - Camper Cabin</t>
        </is>
      </c>
      <c r="H178">
        <f>HYPERLINK("https://booking.roadsurfer.com/es/rally/pick?pickup_date=2026-09-15&amp;return_date=2026-09-22&amp;currency=EUR&amp;startStation=12&amp;endStation=22",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Travel Home</t>
        </is>
      </c>
      <c r="H179">
        <f>HYPERLINK("https://booking.roadsurfer.com/es/rally/pick?pickup_date=2026-09-08&amp;return_date=2026-09-15&amp;currency=EUR&amp;startStation=12&amp;endStation=22",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2026-09-11</t>
        </is>
      </c>
      <c r="F180" t="inlineStr">
        <is>
          <t>2026-09-18</t>
        </is>
      </c>
      <c r="G180" t="inlineStr">
        <is>
          <t xml:space="preserve"> - Surfer Suite</t>
        </is>
      </c>
      <c r="H180">
        <f>HYPERLINK("https://booking.roadsurfer.com/es/rally/pick?pickup_date=2026-09-11&amp;return_date=2026-09-18&amp;currency=EUR&amp;startStation=12&amp;endStation=22",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Surfer Suite - Couple Cottage</t>
        </is>
      </c>
      <c r="H181">
        <f>HYPERLINK("https://booking.roadsurfer.com/es/rally/pick?pickup_date=2026-09-09&amp;return_date=2026-09-16&amp;currency=EUR&amp;startStation=12&amp;endStation=22",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2026-09-01</t>
        </is>
      </c>
      <c r="F182" t="inlineStr">
        <is>
          <t>2026-09-08</t>
        </is>
      </c>
      <c r="G182" t="inlineStr">
        <is>
          <t xml:space="preserve"> - COUPLE COTTAGE</t>
        </is>
      </c>
      <c r="H182">
        <f>HYPERLINK("https://booking.roadsurfer.com/es/rally/pick?pickup_date=2026-09-01&amp;return_date=2026-09-08&amp;currency=EUR&amp;startStation=12&amp;endStation=22",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2026-09-12</t>
        </is>
      </c>
      <c r="F183" t="inlineStr">
        <is>
          <t>2026-09-19</t>
        </is>
      </c>
      <c r="G183" t="inlineStr">
        <is>
          <t xml:space="preserve"> - Camper Cabin</t>
        </is>
      </c>
      <c r="H183">
        <f>HYPERLINK("https://booking.roadsurfer.com/es/rally/pick?pickup_date=2026-09-12&amp;return_date=2026-09-19&amp;currency=EUR&amp;startStation=12&amp;endStation=7",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2026-09-23</t>
        </is>
      </c>
      <c r="F184" t="inlineStr">
        <is>
          <t>2026-09-30</t>
        </is>
      </c>
      <c r="G184" t="inlineStr">
        <is>
          <t xml:space="preserve"> - Surfer Suite</t>
        </is>
      </c>
      <c r="H184">
        <f>HYPERLINK("https://booking.roadsurfer.com/es/rally/pick?pickup_date=2026-09-23&amp;return_date=2026-09-30&amp;currency=EUR&amp;startStation=12&amp;endStation=7",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Hannover</t>
        </is>
      </c>
      <c r="E185" t="inlineStr">
        <is>
          <t>2026-09-14</t>
        </is>
      </c>
      <c r="F185" t="inlineStr">
        <is>
          <t>2026-09-21</t>
        </is>
      </c>
      <c r="G185" t="inlineStr">
        <is>
          <t xml:space="preserve"> - Surfer Suite</t>
        </is>
      </c>
      <c r="H185">
        <f>HYPERLINK("https://booking.roadsurfer.com/es/rally/pick?pickup_date=2026-09-14&amp;return_date=2026-09-21&amp;currency=EUR&amp;startStation=12&amp;endStation=7",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Friburgo-Basilea (Alemania)</t>
        </is>
      </c>
      <c r="E186" t="inlineStr">
        <is>
          <t>2026-09-19</t>
        </is>
      </c>
      <c r="F186" t="inlineStr">
        <is>
          <t>2026-09-26</t>
        </is>
      </c>
      <c r="G186" t="inlineStr">
        <is>
          <t xml:space="preserve"> - No hay coche</t>
        </is>
      </c>
      <c r="H186">
        <f>HYPERLINK("https://booking.roadsurfer.com/es/rally/pick?pickup_date=2026-09-19&amp;return_date=2026-09-26&amp;currency=EUR&amp;startStation=12&amp;endStation=9",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Constanza (Aach)</t>
        </is>
      </c>
      <c r="E187" t="inlineStr">
        <is>
          <t>2026-09-05</t>
        </is>
      </c>
      <c r="F187" t="inlineStr">
        <is>
          <t>2026-09-12</t>
        </is>
      </c>
      <c r="G187" t="inlineStr">
        <is>
          <t xml:space="preserve"> - No hay coche</t>
        </is>
      </c>
      <c r="H187">
        <f>HYPERLINK("https://booking.roadsurfer.com/es/rally/pick?pickup_date=2026-09-05&amp;return_date=2026-09-12&amp;currency=EUR&amp;startStation=12&amp;endStation=10",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Karlsruhe</t>
        </is>
      </c>
      <c r="E188" t="inlineStr">
        <is>
          <t>2026-09-24</t>
        </is>
      </c>
      <c r="F188" t="inlineStr">
        <is>
          <t>2026-10-01</t>
        </is>
      </c>
      <c r="G188" t="inlineStr">
        <is>
          <t xml:space="preserve"> - Road House</t>
        </is>
      </c>
      <c r="H188">
        <f>HYPERLINK("https://booking.roadsurfer.com/es/rally/pick?pickup_date=2026-09-24&amp;return_date=2026-10-01&amp;currency=EUR&amp;startStation=12&amp;endStation=110",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Karlsruhe</t>
        </is>
      </c>
      <c r="E189" t="inlineStr">
        <is>
          <t>2026-09-11</t>
        </is>
      </c>
      <c r="F189" t="inlineStr">
        <is>
          <t>2026-09-18</t>
        </is>
      </c>
      <c r="G189" t="inlineStr">
        <is>
          <t xml:space="preserve"> - Beach Hostel</t>
        </is>
      </c>
      <c r="H189">
        <f>HYPERLINK("https://booking.roadsurfer.com/es/rally/pick?pickup_date=2026-09-11&amp;return_date=2026-09-18&amp;currency=EUR&amp;startStation=12&amp;endStation=110",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Duisburgo</t>
        </is>
      </c>
      <c r="E190" t="inlineStr">
        <is>
          <t>2026-09-26</t>
        </is>
      </c>
      <c r="F190" t="inlineStr">
        <is>
          <t>2026-10-03</t>
        </is>
      </c>
      <c r="G190" t="inlineStr">
        <is>
          <t xml:space="preserve"> - No hay coche</t>
        </is>
      </c>
      <c r="H190">
        <f>HYPERLINK("https://booking.roadsurfer.com/es/rally/pick?pickup_date=2026-09-26&amp;return_date=2026-10-03&amp;currency=EUR&amp;startStation=12&amp;endStation=113",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2026-09-28</t>
        </is>
      </c>
      <c r="F191" t="inlineStr">
        <is>
          <t>2026-10-05</t>
        </is>
      </c>
      <c r="G191" t="inlineStr">
        <is>
          <t xml:space="preserve"> - Family Finca</t>
        </is>
      </c>
      <c r="H191">
        <f>HYPERLINK("https://booking.roadsurfer.com/es/rally/pick?pickup_date=2026-09-28&amp;return_date=2026-10-05&amp;currency=EUR&amp;startStation=12&amp;endStation=1",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2026-09-21</t>
        </is>
      </c>
      <c r="F192" t="inlineStr">
        <is>
          <t>2026-09-28</t>
        </is>
      </c>
      <c r="G192" t="inlineStr">
        <is>
          <t xml:space="preserve"> - Beach Hostel</t>
        </is>
      </c>
      <c r="H192">
        <f>HYPERLINK("https://booking.roadsurfer.com/es/rally/pick?pickup_date=2026-09-21&amp;return_date=2026-09-28&amp;currency=EUR&amp;startStation=12&amp;endStation=1",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2026-09-01</t>
        </is>
      </c>
      <c r="F193" t="inlineStr">
        <is>
          <t>2026-09-08</t>
        </is>
      </c>
      <c r="G193" t="inlineStr">
        <is>
          <t xml:space="preserve"> - Surfer Suite</t>
        </is>
      </c>
      <c r="H193">
        <f>HYPERLINK("https://booking.roadsurfer.com/es/rally/pick?pickup_date=2026-09-01&amp;return_date=2026-09-08&amp;currency=EUR&amp;startStation=12&amp;endStation=6", "Clic para verlo en la web de RoadSurfer")</f>
        <v/>
      </c>
    </row>
    <row r="194">
      <c r="A194" t="inlineStr">
        <is>
          <t>Francia</t>
        </is>
      </c>
      <c r="B194" t="inlineStr">
        <is>
          <t>París Sur (Orly)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2026-09-28</t>
        </is>
      </c>
      <c r="F194" t="inlineStr">
        <is>
          <t>2026-10-05</t>
        </is>
      </c>
      <c r="G194" t="inlineStr">
        <is>
          <t xml:space="preserve"> - No hay coche</t>
        </is>
      </c>
      <c r="H194">
        <f>HYPERLINK("https://booking.roadsurfer.com/es/rally/pick?pickup_date=2026-09-28&amp;return_date=2026-10-05&amp;currency=EUR&amp;startStation=12&amp;endStation=8", "Clic para verlo en la web de RoadSurfer")</f>
        <v/>
      </c>
    </row>
    <row r="195">
      <c r="A195" t="inlineStr">
        <is>
          <t>Francia</t>
        </is>
      </c>
      <c r="B195" t="inlineStr">
        <is>
          <t>París Aeropuerto CDG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2026-09-08</t>
        </is>
      </c>
      <c r="F195" t="inlineStr">
        <is>
          <t>2026-09-15</t>
        </is>
      </c>
      <c r="G195" t="inlineStr">
        <is>
          <t xml:space="preserve"> - Surfer Suite</t>
        </is>
      </c>
      <c r="H195">
        <f>HYPERLINK("https://booking.roadsurfer.com/es/rally/pick?pickup_date=2026-09-08&amp;return_date=2026-09-15&amp;currency=EUR&amp;startStation=48&amp;endStation=22", "Clic para verlo en la web de RoadSurfer")</f>
        <v/>
      </c>
    </row>
    <row r="196">
      <c r="A196" t="inlineStr">
        <is>
          <t>Francia</t>
        </is>
      </c>
      <c r="B196" t="inlineStr">
        <is>
          <t>París Aeropuerto CDG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2026-09-09</t>
        </is>
      </c>
      <c r="F196" t="inlineStr">
        <is>
          <t>2026-09-16</t>
        </is>
      </c>
      <c r="G196" t="inlineStr">
        <is>
          <t xml:space="preserve"> - Camper Castle</t>
        </is>
      </c>
      <c r="H196">
        <f>HYPERLINK("https://booking.roadsurfer.com/es/rally/pick?pickup_date=2026-09-09&amp;return_date=2026-09-16&amp;currency=EUR&amp;startStation=48&amp;endStation=22", "Clic para verlo en la web de RoadSurfer")</f>
        <v/>
      </c>
    </row>
    <row r="197">
      <c r="A197" t="inlineStr">
        <is>
          <t>Francia</t>
        </is>
      </c>
      <c r="B197" t="inlineStr">
        <is>
          <t>París Aeropuerto CDG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Couple Cottage</t>
        </is>
      </c>
      <c r="H197">
        <f>HYPERLINK("https://booking.roadsurfer.com/es/rally/pick?pickup_date=2026-09-14&amp;return_date=2026-09-21&amp;currency=EUR&amp;startStation=48&amp;endStation=22", "Clic para verlo en la web de RoadSurfer")</f>
        <v/>
      </c>
    </row>
    <row r="198">
      <c r="A198" t="inlineStr">
        <is>
          <t>Francia</t>
        </is>
      </c>
      <c r="B198" t="inlineStr">
        <is>
          <t>París Aeropuerto CDG</t>
        </is>
      </c>
      <c r="C198" t="inlineStr">
        <is>
          <t>Alemania</t>
        </is>
      </c>
      <c r="D198" t="inlineStr">
        <is>
          <t>Constanza (Aach)</t>
        </is>
      </c>
      <c r="E198" t="inlineStr">
        <is>
          <t>2026-09-12</t>
        </is>
      </c>
      <c r="F198" t="inlineStr">
        <is>
          <t>2026-09-19</t>
        </is>
      </c>
      <c r="G198" t="inlineStr">
        <is>
          <t xml:space="preserve"> - Surfer Suite</t>
        </is>
      </c>
      <c r="H198">
        <f>HYPERLINK("https://booking.roadsurfer.com/es/rally/pick?pickup_date=2026-09-12&amp;return_date=2026-09-19&amp;currency=EUR&amp;startStation=48&amp;endStation=10", "Clic para verlo en la web de RoadSurfer")</f>
        <v/>
      </c>
    </row>
    <row r="199">
      <c r="A199" t="inlineStr">
        <is>
          <t>Francia</t>
        </is>
      </c>
      <c r="B199" t="inlineStr">
        <is>
          <t>París Aeropuerto CDG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2026-09-09</t>
        </is>
      </c>
      <c r="F199" t="inlineStr">
        <is>
          <t>2026-09-16</t>
        </is>
      </c>
      <c r="G199" t="inlineStr">
        <is>
          <t xml:space="preserve"> - Couple Cottage</t>
        </is>
      </c>
      <c r="H199">
        <f>HYPERLINK("https://booking.roadsurfer.com/es/rally/pick?pickup_date=2026-09-09&amp;return_date=2026-09-16&amp;currency=EUR&amp;startStation=48&amp;endStation=90", "Clic para verlo en la web de RoadSurfer")</f>
        <v/>
      </c>
    </row>
    <row r="200">
      <c r="A200" t="inlineStr">
        <is>
          <t>Francia</t>
        </is>
      </c>
      <c r="B200" t="inlineStr">
        <is>
          <t>París Aeropuerto CDG</t>
        </is>
      </c>
      <c r="C200" t="inlineStr">
        <is>
          <t>Alemania</t>
        </is>
      </c>
      <c r="D200" t="inlineStr">
        <is>
          <t>Erfurt</t>
        </is>
      </c>
      <c r="E200" t="inlineStr">
        <is>
          <t>2026-09-19</t>
        </is>
      </c>
      <c r="F200" t="inlineStr">
        <is>
          <t>2026-09-26</t>
        </is>
      </c>
      <c r="G200" t="inlineStr">
        <is>
          <t xml:space="preserve"> - Camper Castle</t>
        </is>
      </c>
      <c r="H200">
        <f>HYPERLINK("https://booking.roadsurfer.com/es/rally/pick?pickup_date=2026-09-19&amp;return_date=2026-09-26&amp;currency=EUR&amp;startStation=48&amp;endStation=90", "Clic para verlo en la web de RoadSurfer")</f>
        <v/>
      </c>
    </row>
    <row r="201">
      <c r="A201" t="inlineStr">
        <is>
          <t>Francia</t>
        </is>
      </c>
      <c r="B201" t="inlineStr">
        <is>
          <t>París Aeropuerto CDG</t>
        </is>
      </c>
      <c r="C201" t="inlineStr">
        <is>
          <t>Alemania</t>
        </is>
      </c>
      <c r="D201" t="inlineStr">
        <is>
          <t>Hannover</t>
        </is>
      </c>
      <c r="E201" t="inlineStr">
        <is>
          <t>2026-09-10</t>
        </is>
      </c>
      <c r="F201" t="inlineStr">
        <is>
          <t>2026-09-17</t>
        </is>
      </c>
      <c r="G201" t="inlineStr">
        <is>
          <t xml:space="preserve"> - Family Finca</t>
        </is>
      </c>
      <c r="H201">
        <f>HYPERLINK("https://booking.roadsurfer.com/es/rally/pick?pickup_date=2026-09-10&amp;return_date=2026-09-17&amp;currency=EUR&amp;startStation=48&amp;endStation=7", "Clic para verlo en la web de RoadSurfer")</f>
        <v/>
      </c>
    </row>
    <row r="202">
      <c r="A202" t="inlineStr">
        <is>
          <t>Italia</t>
        </is>
      </c>
      <c r="B202" t="inlineStr">
        <is>
          <t>Roma Aeropuerto Fiumicino</t>
        </is>
      </c>
      <c r="C202" t="inlineStr">
        <is>
          <t>Alemania</t>
        </is>
      </c>
      <c r="D202" t="inlineStr">
        <is>
          <t>Hannover</t>
        </is>
      </c>
      <c r="E202" t="inlineStr">
        <is>
          <t>2026-09-25</t>
        </is>
      </c>
      <c r="F202" t="inlineStr">
        <is>
          <t>2026-10-02</t>
        </is>
      </c>
      <c r="G202" t="inlineStr">
        <is>
          <t xml:space="preserve"> - Surfer Suite</t>
        </is>
      </c>
      <c r="H202">
        <f>HYPERLINK("https://booking.roadsurfer.com/es/rally/pick?pickup_date=2026-09-25&amp;return_date=2026-10-02&amp;currency=EUR&amp;startStation=35&amp;endStation=7", "Clic para verlo en la web de RoadSurfer")</f>
        <v/>
      </c>
    </row>
    <row r="203">
      <c r="A203" t="inlineStr">
        <is>
          <t>Italia</t>
        </is>
      </c>
      <c r="B203" t="inlineStr">
        <is>
          <t>Roma Aeropuerto Fiumicino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2026-09-18</t>
        </is>
      </c>
      <c r="F203" t="inlineStr">
        <is>
          <t>2026-09-25</t>
        </is>
      </c>
      <c r="G203" t="inlineStr">
        <is>
          <t xml:space="preserve"> - Beach Hostel</t>
        </is>
      </c>
      <c r="H203">
        <f>HYPERLINK("https://booking.roadsurfer.com/es/rally/pick?pickup_date=2026-09-18&amp;return_date=2026-09-25&amp;currency=EUR&amp;startStation=35&amp;endStation=7",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2026-09-07</t>
        </is>
      </c>
      <c r="F204" t="inlineStr">
        <is>
          <t>2026-09-14</t>
        </is>
      </c>
      <c r="G204" t="inlineStr">
        <is>
          <t xml:space="preserve"> - Couple Cottage</t>
        </is>
      </c>
      <c r="H204">
        <f>HYPERLINK("https://booking.roadsurfer.com/es/rally/pick?pickup_date=2026-09-07&amp;return_date=2026-09-14&amp;currency=EUR&amp;startStation=35&amp;endStation=22", "Clic para verlo en la web de RoadSurfer")</f>
        <v/>
      </c>
    </row>
    <row r="205">
      <c r="A205" t="inlineStr">
        <is>
          <t>Italia</t>
        </is>
      </c>
      <c r="B205" t="inlineStr">
        <is>
          <t>Roma Aeropuerto Fiumicino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2026-09-10</t>
        </is>
      </c>
      <c r="F205" t="inlineStr">
        <is>
          <t>2026-09-17</t>
        </is>
      </c>
      <c r="G205" t="inlineStr">
        <is>
          <t xml:space="preserve"> - Surfer Suite</t>
        </is>
      </c>
      <c r="H205">
        <f>HYPERLINK("https://booking.roadsurfer.com/es/rally/pick?pickup_date=2026-09-10&amp;return_date=2026-09-17&amp;currency=EUR&amp;startStation=35&amp;endStation=22", "Clic para verlo en la web de RoadSurfer")</f>
        <v/>
      </c>
    </row>
    <row r="206">
      <c r="A206" t="inlineStr">
        <is>
          <t>Italia</t>
        </is>
      </c>
      <c r="B206" t="inlineStr">
        <is>
          <t>Roma Aeropuerto Fiumicino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2026-09-15</t>
        </is>
      </c>
      <c r="F206" t="inlineStr">
        <is>
          <t>2026-09-22</t>
        </is>
      </c>
      <c r="G206" t="inlineStr">
        <is>
          <t xml:space="preserve"> - Road House</t>
        </is>
      </c>
      <c r="H206">
        <f>HYPERLINK("https://booking.roadsurfer.com/es/rally/pick?pickup_date=2026-09-15&amp;return_date=2026-09-22&amp;currency=EUR&amp;startStation=35&amp;endStation=22", "Clic para verlo en la web de RoadSurfer")</f>
        <v/>
      </c>
    </row>
    <row r="207">
      <c r="A207" t="inlineStr">
        <is>
          <t>Italia</t>
        </is>
      </c>
      <c r="B207" t="inlineStr">
        <is>
          <t>Roma Aeropuerto Fiumicino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2026-09-04</t>
        </is>
      </c>
      <c r="F207" t="inlineStr">
        <is>
          <t>2026-09-11</t>
        </is>
      </c>
      <c r="G207" t="inlineStr">
        <is>
          <t xml:space="preserve"> - ROAD HOUSE</t>
        </is>
      </c>
      <c r="H207">
        <f>HYPERLINK("https://booking.roadsurfer.com/es/rally/pick?pickup_date=2026-09-04&amp;return_date=2026-09-11&amp;currency=EUR&amp;startStation=35&amp;endStation=22", "Clic para verlo en la web de RoadSurfer")</f>
        <v/>
      </c>
    </row>
    <row r="208">
      <c r="A208" t="inlineStr">
        <is>
          <t>Italia</t>
        </is>
      </c>
      <c r="B208" t="inlineStr">
        <is>
          <t>Roma Aeropuerto Fiumicino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2026-09-15</t>
        </is>
      </c>
      <c r="F208" t="inlineStr">
        <is>
          <t>2026-09-22</t>
        </is>
      </c>
      <c r="G208" t="inlineStr">
        <is>
          <t xml:space="preserve"> - Beach Hostel</t>
        </is>
      </c>
      <c r="H208">
        <f>HYPERLINK("https://booking.roadsurfer.com/es/rally/pick?pickup_date=2026-09-15&amp;return_date=2026-09-22&amp;currency=EUR&amp;startStation=35&amp;endStation=6", "Clic para verlo en la web de RoadSurfer")</f>
        <v/>
      </c>
    </row>
    <row r="209">
      <c r="A209" t="inlineStr">
        <is>
          <t>Italia</t>
        </is>
      </c>
      <c r="B209" t="inlineStr">
        <is>
          <t>Roma Aeropuerto Fiumicino</t>
        </is>
      </c>
      <c r="C209" t="inlineStr">
        <is>
          <t>Alemania</t>
        </is>
      </c>
      <c r="D209" t="inlineStr">
        <is>
          <t>Erfurt</t>
        </is>
      </c>
      <c r="E209" t="inlineStr">
        <is>
          <t>2026-09-01</t>
        </is>
      </c>
      <c r="F209" t="inlineStr">
        <is>
          <t>2026-09-08</t>
        </is>
      </c>
      <c r="G209" t="inlineStr">
        <is>
          <t xml:space="preserve"> - Family Finca</t>
        </is>
      </c>
      <c r="H209">
        <f>HYPERLINK("https://booking.roadsurfer.com/es/rally/pick?pickup_date=2026-09-01&amp;return_date=2026-09-08&amp;currency=EUR&amp;startStation=35&amp;endStation=90", "Clic para verlo en la web de RoadSurfer")</f>
        <v/>
      </c>
    </row>
    <row r="210">
      <c r="A210" t="inlineStr">
        <is>
          <t>Países Bajos</t>
        </is>
      </c>
      <c r="B210" t="inlineStr">
        <is>
          <t>Róterdam</t>
        </is>
      </c>
      <c r="C210" t="inlineStr">
        <is>
          <t>Alemania</t>
        </is>
      </c>
      <c r="D210" t="inlineStr">
        <is>
          <t>Duisburgo</t>
        </is>
      </c>
      <c r="E210" t="inlineStr">
        <is>
          <t>2026-09-23</t>
        </is>
      </c>
      <c r="F210" t="inlineStr">
        <is>
          <t>2026-09-30</t>
        </is>
      </c>
      <c r="G210" t="inlineStr">
        <is>
          <t xml:space="preserve"> - Surfer Suite - Road House</t>
        </is>
      </c>
      <c r="H210">
        <f>HYPERLINK("https://booking.roadsurfer.com/es/rally/pick?pickup_date=2026-09-23&amp;return_date=2026-09-30&amp;currency=EUR&amp;startStation=33&amp;endStation=113", "Clic para verlo en la web de RoadSurfer")</f>
        <v/>
      </c>
    </row>
    <row r="211">
      <c r="A211" t="inlineStr">
        <is>
          <t>Países Bajos</t>
        </is>
      </c>
      <c r="B211" t="inlineStr">
        <is>
          <t>Róterdam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2026-09-18</t>
        </is>
      </c>
      <c r="F211" t="inlineStr">
        <is>
          <t>2026-09-25</t>
        </is>
      </c>
      <c r="G211" t="inlineStr">
        <is>
          <t xml:space="preserve"> - Surfer Suite</t>
        </is>
      </c>
      <c r="H211">
        <f>HYPERLINK("https://booking.roadsurfer.com/es/rally/pick?pickup_date=2026-09-18&amp;return_date=2026-09-25&amp;currency=EUR&amp;startStation=33&amp;endStation=55", "Clic para verlo en la web de RoadSurfer")</f>
        <v/>
      </c>
    </row>
    <row r="212">
      <c r="A212" t="inlineStr">
        <is>
          <t>España</t>
        </is>
      </c>
      <c r="B212" t="inlineStr">
        <is>
          <t>Sevilla</t>
        </is>
      </c>
      <c r="C212" t="inlineStr">
        <is>
          <t>Alemania</t>
        </is>
      </c>
      <c r="D212" t="inlineStr">
        <is>
          <t>Berlín-Schönefeld</t>
        </is>
      </c>
      <c r="E212" t="inlineStr">
        <is>
          <t>2026-09-05</t>
        </is>
      </c>
      <c r="F212" t="inlineStr">
        <is>
          <t>2026-09-12</t>
        </is>
      </c>
      <c r="G212" t="inlineStr">
        <is>
          <t xml:space="preserve"> - No hay coche</t>
        </is>
      </c>
      <c r="H212">
        <f>HYPERLINK("https://booking.roadsurfer.com/es/rally/pick?pickup_date=2026-09-05&amp;return_date=2026-09-12&amp;currency=EUR&amp;startStation=39&amp;endStation=51", "Clic para verlo en la web de RoadSurfer")</f>
        <v/>
      </c>
    </row>
    <row r="213">
      <c r="A213" t="inlineStr">
        <is>
          <t>España</t>
        </is>
      </c>
      <c r="B213" t="inlineStr">
        <is>
          <t>Sevilla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2026-09-29</t>
        </is>
      </c>
      <c r="F213" t="inlineStr">
        <is>
          <t>2026-10-06</t>
        </is>
      </c>
      <c r="G213" t="inlineStr">
        <is>
          <t xml:space="preserve"> - Surfer Suite</t>
        </is>
      </c>
      <c r="H213">
        <f>HYPERLINK("https://booking.roadsurfer.com/es/rally/pick?pickup_date=2026-09-29&amp;return_date=2026-10-06&amp;currency=EUR&amp;startStation=39&amp;endStation=5", "Clic para verlo en la web de RoadSurfer")</f>
        <v/>
      </c>
    </row>
    <row r="214">
      <c r="A214" t="inlineStr">
        <is>
          <t>España</t>
        </is>
      </c>
      <c r="B214" t="inlineStr">
        <is>
          <t>Sevilla</t>
        </is>
      </c>
      <c r="C214" t="inlineStr">
        <is>
          <t>Alemania</t>
        </is>
      </c>
      <c r="D214" t="inlineStr">
        <is>
          <t>Stuttgart</t>
        </is>
      </c>
      <c r="E214" t="inlineStr">
        <is>
          <t>2026-09-12</t>
        </is>
      </c>
      <c r="F214" t="inlineStr">
        <is>
          <t>2026-09-19</t>
        </is>
      </c>
      <c r="G214" t="inlineStr">
        <is>
          <t xml:space="preserve"> - Surfer Suite</t>
        </is>
      </c>
      <c r="H214">
        <f>HYPERLINK("https://booking.roadsurfer.com/es/rally/pick?pickup_date=2026-09-12&amp;return_date=2026-09-19&amp;currency=EUR&amp;startStation=39&amp;endStation=5", "Clic para verlo en la web de RoadSurfer")</f>
        <v/>
      </c>
    </row>
    <row r="215">
      <c r="A215" t="inlineStr">
        <is>
          <t>España</t>
        </is>
      </c>
      <c r="B215" t="inlineStr">
        <is>
          <t>Sevilla</t>
        </is>
      </c>
      <c r="C215" t="inlineStr">
        <is>
          <t>Alemania</t>
        </is>
      </c>
      <c r="D215" t="inlineStr">
        <is>
          <t>Wurzburgo</t>
        </is>
      </c>
      <c r="E215" t="inlineStr">
        <is>
          <t>2026-09-26</t>
        </is>
      </c>
      <c r="F215" t="inlineStr">
        <is>
          <t>2026-10-03</t>
        </is>
      </c>
      <c r="G215" t="inlineStr">
        <is>
          <t xml:space="preserve"> - No hay coche</t>
        </is>
      </c>
      <c r="H215">
        <f>HYPERLINK("https://booking.roadsurfer.com/es/rally/pick?pickup_date=2026-09-26&amp;return_date=2026-10-03&amp;currency=EUR&amp;startStation=39&amp;endStation=115", "Clic para verlo en la web de RoadSurfer")</f>
        <v/>
      </c>
    </row>
    <row r="216">
      <c r="A216" t="inlineStr">
        <is>
          <t>España</t>
        </is>
      </c>
      <c r="B216" t="inlineStr">
        <is>
          <t>Sevilla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2026-09-30</t>
        </is>
      </c>
      <c r="F216" t="inlineStr">
        <is>
          <t>2026-10-07</t>
        </is>
      </c>
      <c r="G216" t="inlineStr">
        <is>
          <t xml:space="preserve"> - Road House</t>
        </is>
      </c>
      <c r="H216">
        <f>HYPERLINK("https://booking.roadsurfer.com/es/rally/pick?pickup_date=2026-09-30&amp;return_date=2026-10-07&amp;currency=EUR&amp;startStation=39&amp;endStation=55", "Clic para verlo en la web de RoadSurfer")</f>
        <v/>
      </c>
    </row>
    <row r="217">
      <c r="A217" t="inlineStr">
        <is>
          <t>España</t>
        </is>
      </c>
      <c r="B217" t="inlineStr">
        <is>
          <t>Sevilla</t>
        </is>
      </c>
      <c r="C217" t="inlineStr">
        <is>
          <t>Alemania</t>
        </is>
      </c>
      <c r="D217" t="inlineStr">
        <is>
          <t>Lübeck</t>
        </is>
      </c>
      <c r="E217" t="inlineStr">
        <is>
          <t>2026-09-22</t>
        </is>
      </c>
      <c r="F217" t="inlineStr">
        <is>
          <t>2026-09-29</t>
        </is>
      </c>
      <c r="G217" t="inlineStr">
        <is>
          <t xml:space="preserve"> - Road House</t>
        </is>
      </c>
      <c r="H217">
        <f>HYPERLINK("https://booking.roadsurfer.com/es/rally/pick?pickup_date=2026-09-22&amp;return_date=2026-09-29&amp;currency=EUR&amp;startStation=39&amp;endStation=109", "Clic para verlo en la web de RoadSurfer")</f>
        <v/>
      </c>
    </row>
    <row r="218">
      <c r="A218" t="inlineStr">
        <is>
          <t>España</t>
        </is>
      </c>
      <c r="B218" t="inlineStr">
        <is>
          <t>Sevilla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2026-09-07</t>
        </is>
      </c>
      <c r="F218" t="inlineStr">
        <is>
          <t>2026-09-14</t>
        </is>
      </c>
      <c r="G218" t="inlineStr">
        <is>
          <t xml:space="preserve"> - Family Finca</t>
        </is>
      </c>
      <c r="H218">
        <f>HYPERLINK("https://booking.roadsurfer.com/es/rally/pick?pickup_date=2026-09-07&amp;return_date=2026-09-14&amp;currency=EUR&amp;startStation=39&amp;endStation=56", "Clic para verlo en la web de RoadSurfer")</f>
        <v/>
      </c>
    </row>
    <row r="219">
      <c r="A219" t="inlineStr">
        <is>
          <t>Francia</t>
        </is>
      </c>
      <c r="B219" t="inlineStr">
        <is>
          <t>Toulouse</t>
        </is>
      </c>
      <c r="C219" t="inlineStr">
        <is>
          <t>Alemania</t>
        </is>
      </c>
      <c r="D219" t="inlineStr">
        <is>
          <t>Leipzig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Surfer Suite</t>
        </is>
      </c>
      <c r="H219">
        <f>HYPERLINK("https://booking.roadsurfer.com/es/rally/pick?pickup_date=2026-09-16&amp;return_date=2026-09-23&amp;currency=EUR&amp;startStation=30&amp;endStation=8", "Clic para verlo en la web de RoadSurfer")</f>
        <v/>
      </c>
    </row>
    <row r="220">
      <c r="A220" t="inlineStr">
        <is>
          <t>Francia</t>
        </is>
      </c>
      <c r="B220" t="inlineStr">
        <is>
          <t>Toulouse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Surfer Suite</t>
        </is>
      </c>
      <c r="H220">
        <f>HYPERLINK("https://booking.roadsurfer.com/es/rally/pick?pickup_date=2026-09-02&amp;return_date=2026-09-09&amp;currency=EUR&amp;startStation=30&amp;endStation=3", "Clic para verlo en la web de RoadSurfer")</f>
        <v/>
      </c>
    </row>
    <row r="221">
      <c r="A221" t="inlineStr">
        <is>
          <t>Francia</t>
        </is>
      </c>
      <c r="B221" t="inlineStr">
        <is>
          <t>Toulouse</t>
        </is>
      </c>
      <c r="C221" t="inlineStr">
        <is>
          <t>Alemania</t>
        </is>
      </c>
      <c r="D221" t="inlineStr">
        <is>
          <t>Hamburgo</t>
        </is>
      </c>
      <c r="E221" t="inlineStr">
        <is>
          <t>2026-09-11</t>
        </is>
      </c>
      <c r="F221" t="inlineStr">
        <is>
          <t>2026-09-18</t>
        </is>
      </c>
      <c r="G221" t="inlineStr">
        <is>
          <t xml:space="preserve"> - Road House</t>
        </is>
      </c>
      <c r="H221">
        <f>HYPERLINK("https://booking.roadsurfer.com/es/rally/pick?pickup_date=2026-09-11&amp;return_date=2026-09-18&amp;currency=EUR&amp;startStation=30&amp;endStation=3", "Clic para verlo en la web de RoadSurfer")</f>
        <v/>
      </c>
    </row>
    <row r="222">
      <c r="A222" t="inlineStr">
        <is>
          <t>Francia</t>
        </is>
      </c>
      <c r="B222" t="inlineStr">
        <is>
          <t>Toulouse</t>
        </is>
      </c>
      <c r="C222" t="inlineStr">
        <is>
          <t>Alemania</t>
        </is>
      </c>
      <c r="D222" t="inlineStr">
        <is>
          <t>Dresde</t>
        </is>
      </c>
      <c r="E222" t="inlineStr">
        <is>
          <t>2026-09-25</t>
        </is>
      </c>
      <c r="F222" t="inlineStr">
        <is>
          <t>2026-10-02</t>
        </is>
      </c>
      <c r="G222" t="inlineStr">
        <is>
          <t xml:space="preserve"> - Beach Hostel</t>
        </is>
      </c>
      <c r="H222">
        <f>HYPERLINK("https://booking.roadsurfer.com/es/rally/pick?pickup_date=2026-09-25&amp;return_date=2026-10-02&amp;currency=EUR&amp;startStation=30&amp;endStation=56", "Clic para verlo en la web de RoadSurfer")</f>
        <v/>
      </c>
    </row>
    <row r="223">
      <c r="A223" t="inlineStr">
        <is>
          <t>Francia</t>
        </is>
      </c>
      <c r="B223" t="inlineStr">
        <is>
          <t>Toulouse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Travel Home</t>
        </is>
      </c>
      <c r="H223">
        <f>HYPERLINK("https://booking.roadsurfer.com/es/rally/pick?pickup_date=2026-09-07&amp;return_date=2026-09-14&amp;currency=EUR&amp;startStation=30&amp;endStation=22", "Clic para verlo en la web de RoadSurfer")</f>
        <v/>
      </c>
    </row>
    <row r="224">
      <c r="A224" t="inlineStr">
        <is>
          <t>Francia</t>
        </is>
      </c>
      <c r="B224" t="inlineStr">
        <is>
          <t>Toulouse</t>
        </is>
      </c>
      <c r="C224" t="inlineStr">
        <is>
          <t>Alemania</t>
        </is>
      </c>
      <c r="D224" t="inlineStr">
        <is>
          <t>Lübeck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ROAD HOUSE</t>
        </is>
      </c>
      <c r="H224">
        <f>HYPERLINK("https://booking.roadsurfer.com/es/rally/pick?pickup_date=2026-09-02&amp;return_date=2026-09-09&amp;currency=EUR&amp;startStation=30&amp;endStation=109", "Clic para verlo en la web de RoadSurfer")</f>
        <v/>
      </c>
    </row>
    <row r="225">
      <c r="A225" t="inlineStr">
        <is>
          <t>Francia</t>
        </is>
      </c>
      <c r="B225" t="inlineStr">
        <is>
          <t>Toulouse</t>
        </is>
      </c>
      <c r="C225" t="inlineStr">
        <is>
          <t>Alemania</t>
        </is>
      </c>
      <c r="D225" t="inlineStr">
        <is>
          <t>Duisburgo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Road House</t>
        </is>
      </c>
      <c r="H225">
        <f>HYPERLINK("https://booking.roadsurfer.com/es/rally/pick?pickup_date=2026-09-07&amp;return_date=2026-09-14&amp;currency=EUR&amp;startStation=30&amp;endStation=113", "Clic para verlo en la web de RoadSurfer")</f>
        <v/>
      </c>
    </row>
    <row r="226">
      <c r="A226" t="inlineStr">
        <is>
          <t>Italia</t>
        </is>
      </c>
      <c r="B226" t="inlineStr">
        <is>
          <t>Turín</t>
        </is>
      </c>
      <c r="C226" t="inlineStr">
        <is>
          <t>Alemania</t>
        </is>
      </c>
      <c r="D226" t="inlineStr">
        <is>
          <t>Hannover</t>
        </is>
      </c>
      <c r="E226" t="inlineStr">
        <is>
          <t>2026-09-05</t>
        </is>
      </c>
      <c r="F226" t="inlineStr">
        <is>
          <t>2026-09-12</t>
        </is>
      </c>
      <c r="G226" t="inlineStr">
        <is>
          <t xml:space="preserve"> - Road House</t>
        </is>
      </c>
      <c r="H226">
        <f>HYPERLINK("https://booking.roadsurfer.com/es/rally/pick?pickup_date=2026-09-05&amp;return_date=2026-09-12&amp;currency=EUR&amp;startStation=58&amp;endStation=7", "Clic para verlo en la web de RoadSurfer")</f>
        <v/>
      </c>
    </row>
    <row r="227">
      <c r="A227" t="inlineStr">
        <is>
          <t>Italia</t>
        </is>
      </c>
      <c r="B227" t="inlineStr">
        <is>
          <t>Turín</t>
        </is>
      </c>
      <c r="C227" t="inlineStr">
        <is>
          <t>Alemania</t>
        </is>
      </c>
      <c r="D227" t="inlineStr">
        <is>
          <t>Hannover</t>
        </is>
      </c>
      <c r="E227" t="inlineStr">
        <is>
          <t>2026-09-07</t>
        </is>
      </c>
      <c r="F227" t="inlineStr">
        <is>
          <t>2026-09-14</t>
        </is>
      </c>
      <c r="G227" t="inlineStr">
        <is>
          <t xml:space="preserve"> - Surfer Suite</t>
        </is>
      </c>
      <c r="H227">
        <f>HYPERLINK("https://booking.roadsurfer.com/es/rally/pick?pickup_date=2026-09-07&amp;return_date=2026-09-14&amp;currency=EUR&amp;startStation=58&amp;endStation=7", "Clic para verlo en la web de RoadSurfer")</f>
        <v/>
      </c>
    </row>
    <row r="228">
      <c r="A228" t="inlineStr">
        <is>
          <t>Italia</t>
        </is>
      </c>
      <c r="B228" t="inlineStr">
        <is>
          <t>Turín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Surfer Suite</t>
        </is>
      </c>
      <c r="H228">
        <f>HYPERLINK("https://booking.roadsurfer.com/es/rally/pick?pickup_date=2026-09-09&amp;return_date=2026-09-16&amp;currency=EUR&amp;startStation=58&amp;endStation=56", "Clic para verlo en la web de RoadSurfer")</f>
        <v/>
      </c>
    </row>
    <row r="229">
      <c r="A229" t="inlineStr">
        <is>
          <t>Italia</t>
        </is>
      </c>
      <c r="B229" t="inlineStr">
        <is>
          <t>Turín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2026-09-04</t>
        </is>
      </c>
      <c r="F229" t="inlineStr">
        <is>
          <t>2026-09-11</t>
        </is>
      </c>
      <c r="G229" t="inlineStr">
        <is>
          <t xml:space="preserve"> - Cozy Cottage</t>
        </is>
      </c>
      <c r="H229">
        <f>HYPERLINK("https://booking.roadsurfer.com/es/rally/pick?pickup_date=2026-09-04&amp;return_date=2026-09-11&amp;currency=EUR&amp;startStation=58&amp;endStation=22", "Clic para verlo en la web de RoadSurfer")</f>
        <v/>
      </c>
    </row>
    <row r="230">
      <c r="A230" t="inlineStr">
        <is>
          <t>Italia</t>
        </is>
      </c>
      <c r="B230" t="inlineStr">
        <is>
          <t>Turín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2026-09-08</t>
        </is>
      </c>
      <c r="F230" t="inlineStr">
        <is>
          <t>2026-09-15</t>
        </is>
      </c>
      <c r="G230" t="inlineStr">
        <is>
          <t xml:space="preserve"> - Family Finca</t>
        </is>
      </c>
      <c r="H230">
        <f>HYPERLINK("https://booking.roadsurfer.com/es/rally/pick?pickup_date=2026-09-08&amp;return_date=2026-09-15&amp;currency=EUR&amp;startStation=58&amp;endStation=22", "Clic para verlo en la web de RoadSurfer")</f>
        <v/>
      </c>
    </row>
    <row r="231">
      <c r="A231" t="inlineStr">
        <is>
          <t>Italia</t>
        </is>
      </c>
      <c r="B231" t="inlineStr">
        <is>
          <t>Turín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2026-09-10</t>
        </is>
      </c>
      <c r="F231" t="inlineStr">
        <is>
          <t>2026-09-17</t>
        </is>
      </c>
      <c r="G231" t="inlineStr">
        <is>
          <t xml:space="preserve"> - Road House</t>
        </is>
      </c>
      <c r="H231">
        <f>HYPERLINK("https://booking.roadsurfer.com/es/rally/pick?pickup_date=2026-09-10&amp;return_date=2026-09-17&amp;currency=EUR&amp;startStation=58&amp;endStation=22", "Clic para verlo en la web de RoadSurfer")</f>
        <v/>
      </c>
    </row>
    <row r="232">
      <c r="A232" t="inlineStr">
        <is>
          <t>Italia</t>
        </is>
      </c>
      <c r="B232" t="inlineStr">
        <is>
          <t>Turín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2026-09-11</t>
        </is>
      </c>
      <c r="F232" t="inlineStr">
        <is>
          <t>2026-09-18</t>
        </is>
      </c>
      <c r="G232" t="inlineStr">
        <is>
          <t xml:space="preserve"> - Road House - Family Finca</t>
        </is>
      </c>
      <c r="H232">
        <f>HYPERLINK("https://booking.roadsurfer.com/es/rally/pick?pickup_date=2026-09-11&amp;return_date=2026-09-18&amp;currency=EUR&amp;startStation=58&amp;endStation=22",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2026-09-15</t>
        </is>
      </c>
      <c r="F233" t="inlineStr">
        <is>
          <t>2026-09-22</t>
        </is>
      </c>
      <c r="G233" t="inlineStr">
        <is>
          <t xml:space="preserve"> - Surfer Suite</t>
        </is>
      </c>
      <c r="H233">
        <f>HYPERLINK("https://booking.roadsurfer.com/es/rally/pick?pickup_date=2026-09-15&amp;return_date=2026-09-22&amp;currency=EUR&amp;startStation=58&amp;endStation=22", "Clic para verlo en la web de RoadSurfer")</f>
        <v/>
      </c>
    </row>
    <row r="234">
      <c r="A234" t="inlineStr">
        <is>
          <t>Italia</t>
        </is>
      </c>
      <c r="B234" t="inlineStr">
        <is>
          <t>Turín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2026-09-18</t>
        </is>
      </c>
      <c r="F234" t="inlineStr">
        <is>
          <t>2026-09-25</t>
        </is>
      </c>
      <c r="G234" t="inlineStr">
        <is>
          <t xml:space="preserve"> - Cozy Cottage</t>
        </is>
      </c>
      <c r="H234">
        <f>HYPERLINK("https://booking.roadsurfer.com/es/rally/pick?pickup_date=2026-09-18&amp;return_date=2026-09-25&amp;currency=EUR&amp;startStation=58&amp;endStation=22", "Clic para verlo en la web de RoadSurfer")</f>
        <v/>
      </c>
    </row>
    <row r="235">
      <c r="A235" t="inlineStr">
        <is>
          <t>Italia</t>
        </is>
      </c>
      <c r="B235" t="inlineStr">
        <is>
          <t>Turín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2026-09-03</t>
        </is>
      </c>
      <c r="F235" t="inlineStr">
        <is>
          <t>2026-09-10</t>
        </is>
      </c>
      <c r="G235" t="inlineStr">
        <is>
          <t xml:space="preserve"> - Surfer Suite</t>
        </is>
      </c>
      <c r="H235">
        <f>HYPERLINK("https://booking.roadsurfer.com/es/rally/pick?pickup_date=2026-09-03&amp;return_date=2026-09-10&amp;currency=EUR&amp;startStation=58&amp;endStation=22", "Clic para verlo en la web de RoadSurfer")</f>
        <v/>
      </c>
    </row>
    <row r="236">
      <c r="A236" t="inlineStr">
        <is>
          <t>Italia</t>
        </is>
      </c>
      <c r="B236" t="inlineStr">
        <is>
          <t>Turín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2026-09-12</t>
        </is>
      </c>
      <c r="F236" t="inlineStr">
        <is>
          <t>2026-09-19</t>
        </is>
      </c>
      <c r="G236" t="inlineStr">
        <is>
          <t xml:space="preserve"> - SURFER SUITE</t>
        </is>
      </c>
      <c r="H236">
        <f>HYPERLINK("https://booking.roadsurfer.com/es/rally/pick?pickup_date=2026-09-12&amp;return_date=2026-09-19&amp;currency=EUR&amp;startStation=58&amp;endStation=5", "Clic para verlo en la web de RoadSurfer")</f>
        <v/>
      </c>
    </row>
    <row r="237">
      <c r="A237" t="inlineStr">
        <is>
          <t>Italia</t>
        </is>
      </c>
      <c r="B237" t="inlineStr">
        <is>
          <t>Turín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2026-09-21</t>
        </is>
      </c>
      <c r="F237" t="inlineStr">
        <is>
          <t>2026-09-28</t>
        </is>
      </c>
      <c r="G237" t="inlineStr">
        <is>
          <t xml:space="preserve"> - Road House</t>
        </is>
      </c>
      <c r="H237">
        <f>HYPERLINK("https://booking.roadsurfer.com/es/rally/pick?pickup_date=2026-09-21&amp;return_date=2026-09-28&amp;currency=EUR&amp;startStation=58&amp;endStation=55", "Clic para verlo en la web de RoadSurfer")</f>
        <v/>
      </c>
    </row>
    <row r="238">
      <c r="A238" t="inlineStr">
        <is>
          <t>Italia</t>
        </is>
      </c>
      <c r="B238" t="inlineStr">
        <is>
          <t>Turín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2026-09-29</t>
        </is>
      </c>
      <c r="F238" t="inlineStr">
        <is>
          <t>2026-10-06</t>
        </is>
      </c>
      <c r="G238" t="inlineStr">
        <is>
          <t xml:space="preserve"> - Family Finca</t>
        </is>
      </c>
      <c r="H238">
        <f>HYPERLINK("https://booking.roadsurfer.com/es/rally/pick?pickup_date=2026-09-29&amp;return_date=2026-10-06&amp;currency=EUR&amp;startStation=58&amp;endStation=55", "Clic para verlo en la web de RoadSurfer")</f>
        <v/>
      </c>
    </row>
    <row r="239">
      <c r="A239" t="inlineStr">
        <is>
          <t>España</t>
        </is>
      </c>
      <c r="B239" t="inlineStr">
        <is>
          <t>Valencia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Surfer Suite</t>
        </is>
      </c>
      <c r="H239">
        <f>HYPERLINK("https://booking.roadsurfer.com/es/rally/pick?pickup_date=2026-09-02&amp;return_date=2026-09-09&amp;currency=EUR&amp;startStation=38&amp;endStation=22", "Clic para verlo en la web de RoadSurfer")</f>
        <v/>
      </c>
    </row>
    <row r="240">
      <c r="A240" t="inlineStr">
        <is>
          <t>España</t>
        </is>
      </c>
      <c r="B240" t="inlineStr">
        <is>
          <t>Valencia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2026-09-03</t>
        </is>
      </c>
      <c r="F240" t="inlineStr">
        <is>
          <t>2026-09-10</t>
        </is>
      </c>
      <c r="G240" t="inlineStr">
        <is>
          <t xml:space="preserve"> - Couple Cottage</t>
        </is>
      </c>
      <c r="H240">
        <f>HYPERLINK("https://booking.roadsurfer.com/es/rally/pick?pickup_date=2026-09-03&amp;return_date=2026-09-10&amp;currency=EUR&amp;startStation=38&amp;endStation=22", "Clic para verlo en la web de RoadSurfer")</f>
        <v/>
      </c>
    </row>
    <row r="241">
      <c r="A241" t="inlineStr">
        <is>
          <t>España</t>
        </is>
      </c>
      <c r="B241" t="inlineStr">
        <is>
          <t>Valencia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2026-09-16</t>
        </is>
      </c>
      <c r="F241" t="inlineStr">
        <is>
          <t>2026-09-23</t>
        </is>
      </c>
      <c r="G241" t="inlineStr">
        <is>
          <t xml:space="preserve"> - Beach Hostel</t>
        </is>
      </c>
      <c r="H241">
        <f>HYPERLINK("https://booking.roadsurfer.com/es/rally/pick?pickup_date=2026-09-16&amp;return_date=2026-09-23&amp;currency=EUR&amp;startStation=38&amp;endStation=22", "Clic para verlo en la web de RoadSurfer")</f>
        <v/>
      </c>
    </row>
    <row r="242">
      <c r="A242" t="inlineStr">
        <is>
          <t>España</t>
        </is>
      </c>
      <c r="B242" t="inlineStr">
        <is>
          <t>Valencia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2026-09-10</t>
        </is>
      </c>
      <c r="F242" t="inlineStr">
        <is>
          <t>2026-09-17</t>
        </is>
      </c>
      <c r="G242" t="inlineStr">
        <is>
          <t xml:space="preserve"> - Family Finca</t>
        </is>
      </c>
      <c r="H242">
        <f>HYPERLINK("https://booking.roadsurfer.com/es/rally/pick?pickup_date=2026-09-10&amp;return_date=2026-09-17&amp;currency=EUR&amp;startStation=38&amp;endStation=22", "Clic para verlo en la web de RoadSurfer")</f>
        <v/>
      </c>
    </row>
    <row r="243">
      <c r="A243" t="inlineStr">
        <is>
          <t>España</t>
        </is>
      </c>
      <c r="B243" t="inlineStr">
        <is>
          <t>Valencia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2026-09-02</t>
        </is>
      </c>
      <c r="F243" t="inlineStr">
        <is>
          <t>2026-09-09</t>
        </is>
      </c>
      <c r="G243" t="inlineStr"/>
      <c r="H243">
        <f>HYPERLINK("https://booking.roadsurfer.com/es/rally/pick?pickup_date=2026-09-02&amp;return_date=2026-09-09&amp;currency=EUR&amp;startStation=38&amp;endStation=55", "Clic para verlo en la web de RoadSurfer")</f>
        <v/>
      </c>
    </row>
    <row r="244">
      <c r="A244" t="inlineStr">
        <is>
          <t>España</t>
        </is>
      </c>
      <c r="B244" t="inlineStr">
        <is>
          <t>Valencia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2026-09-24</t>
        </is>
      </c>
      <c r="F244" t="inlineStr">
        <is>
          <t>2026-10-01</t>
        </is>
      </c>
      <c r="G244" t="inlineStr">
        <is>
          <t xml:space="preserve"> - Surfer Suite</t>
        </is>
      </c>
      <c r="H244">
        <f>HYPERLINK("https://booking.roadsurfer.com/es/rally/pick?pickup_date=2026-09-24&amp;return_date=2026-10-01&amp;currency=EUR&amp;startStation=38&amp;endStation=55", "Clic para verlo en la web de RoadSurfer")</f>
        <v/>
      </c>
    </row>
    <row r="245">
      <c r="A245" t="inlineStr">
        <is>
          <t>España</t>
        </is>
      </c>
      <c r="B245" t="inlineStr">
        <is>
          <t>Valencia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2026-09-05</t>
        </is>
      </c>
      <c r="F245" t="inlineStr">
        <is>
          <t>2026-09-12</t>
        </is>
      </c>
      <c r="G245" t="inlineStr"/>
      <c r="H245">
        <f>HYPERLINK("https://booking.roadsurfer.com/es/rally/pick?pickup_date=2026-09-05&amp;return_date=2026-09-12&amp;currency=EUR&amp;startStation=38&amp;endStation=55", "Clic para verlo en la web de RoadSurfer")</f>
        <v/>
      </c>
    </row>
    <row r="246">
      <c r="A246" t="inlineStr">
        <is>
          <t>España</t>
        </is>
      </c>
      <c r="B246" t="inlineStr">
        <is>
          <t>Valencia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2026-09-30</t>
        </is>
      </c>
      <c r="F246" t="inlineStr">
        <is>
          <t>2026-10-07</t>
        </is>
      </c>
      <c r="G246" t="inlineStr">
        <is>
          <t xml:space="preserve"> - Surfer Suite</t>
        </is>
      </c>
      <c r="H246">
        <f>HYPERLINK("https://booking.roadsurfer.com/es/rally/pick?pickup_date=2026-09-30&amp;return_date=2026-10-07&amp;currency=EUR&amp;startStation=38&amp;endStation=1", "Clic para verlo en la web de RoadSurfer")</f>
        <v/>
      </c>
    </row>
    <row r="247">
      <c r="A247" t="inlineStr">
        <is>
          <t>Italia</t>
        </is>
      </c>
      <c r="B247" t="inlineStr">
        <is>
          <t>Venecia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2026-09-11</t>
        </is>
      </c>
      <c r="F247" t="inlineStr">
        <is>
          <t>2026-09-18</t>
        </is>
      </c>
      <c r="G247" t="inlineStr">
        <is>
          <t xml:space="preserve"> - Surfer Suite</t>
        </is>
      </c>
      <c r="H247">
        <f>HYPERLINK("https://booking.roadsurfer.com/es/rally/pick?pickup_date=2026-09-11&amp;return_date=2026-09-18&amp;currency=EUR&amp;startStation=78&amp;endStation=22", "Clic para verlo en la web de RoadSurfer")</f>
        <v/>
      </c>
    </row>
    <row r="248">
      <c r="A248" t="inlineStr">
        <is>
          <t>Italia</t>
        </is>
      </c>
      <c r="B248" t="inlineStr">
        <is>
          <t>Venecia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2026-09-14</t>
        </is>
      </c>
      <c r="F248" t="inlineStr">
        <is>
          <t>2026-09-21</t>
        </is>
      </c>
      <c r="G248" t="inlineStr">
        <is>
          <t xml:space="preserve"> - Surfer Suite</t>
        </is>
      </c>
      <c r="H248">
        <f>HYPERLINK("https://booking.roadsurfer.com/es/rally/pick?pickup_date=2026-09-14&amp;return_date=2026-09-21&amp;currency=EUR&amp;startStation=78&amp;endStation=22", "Clic para verlo en la web de RoadSurfer")</f>
        <v/>
      </c>
    </row>
    <row r="249">
      <c r="A249" t="inlineStr">
        <is>
          <t>Italia</t>
        </is>
      </c>
      <c r="B249" t="inlineStr">
        <is>
          <t>Venecia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2026-09-16</t>
        </is>
      </c>
      <c r="F249" t="inlineStr">
        <is>
          <t>2026-09-23</t>
        </is>
      </c>
      <c r="G249" t="inlineStr">
        <is>
          <t xml:space="preserve"> - Road House</t>
        </is>
      </c>
      <c r="H249">
        <f>HYPERLINK("https://booking.roadsurfer.com/es/rally/pick?pickup_date=2026-09-16&amp;return_date=2026-09-23&amp;currency=EUR&amp;startStation=78&amp;endStation=22", "Clic para verlo en la web de RoadSurfer")</f>
        <v/>
      </c>
    </row>
    <row r="250">
      <c r="A250" t="inlineStr">
        <is>
          <t>Italia</t>
        </is>
      </c>
      <c r="B250" t="inlineStr">
        <is>
          <t>Venecia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2026-09-18</t>
        </is>
      </c>
      <c r="F250" t="inlineStr">
        <is>
          <t>2026-09-25</t>
        </is>
      </c>
      <c r="G250" t="inlineStr">
        <is>
          <t xml:space="preserve"> - ROAD HOUSE</t>
        </is>
      </c>
      <c r="H250">
        <f>HYPERLINK("https://booking.roadsurfer.com/es/rally/pick?pickup_date=2026-09-18&amp;return_date=2026-09-25&amp;currency=EUR&amp;startStation=78&amp;endStation=22", "Clic para verlo en la web de RoadSurfer")</f>
        <v/>
      </c>
    </row>
    <row r="251">
      <c r="A251" t="inlineStr">
        <is>
          <t>Italia</t>
        </is>
      </c>
      <c r="B251" t="inlineStr">
        <is>
          <t>Venecia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2026-09-10</t>
        </is>
      </c>
      <c r="F251" t="inlineStr">
        <is>
          <t>2026-09-17</t>
        </is>
      </c>
      <c r="G251" t="inlineStr">
        <is>
          <t xml:space="preserve"> - No hay coche</t>
        </is>
      </c>
      <c r="H251">
        <f>HYPERLINK("https://booking.roadsurfer.com/es/rally/pick?pickup_date=2026-09-10&amp;return_date=2026-09-17&amp;currency=EUR&amp;startStation=78&amp;endStation=22", "Clic para verlo en la web de RoadSurfer")</f>
        <v/>
      </c>
    </row>
    <row r="252">
      <c r="A252" t="inlineStr">
        <is>
          <t>Italia</t>
        </is>
      </c>
      <c r="B252" t="inlineStr">
        <is>
          <t>Venecia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2026-09-15</t>
        </is>
      </c>
      <c r="F252" t="inlineStr">
        <is>
          <t>2026-09-22</t>
        </is>
      </c>
      <c r="G252" t="inlineStr">
        <is>
          <t xml:space="preserve"> - Couple Cottage</t>
        </is>
      </c>
      <c r="H252">
        <f>HYPERLINK("https://booking.roadsurfer.com/es/rally/pick?pickup_date=2026-09-15&amp;return_date=2026-09-22&amp;currency=EUR&amp;startStation=78&amp;endStation=22", "Clic para verlo en la web de RoadSurfer")</f>
        <v/>
      </c>
    </row>
    <row r="253">
      <c r="A253" t="inlineStr">
        <is>
          <t>Italia</t>
        </is>
      </c>
      <c r="B253" t="inlineStr">
        <is>
          <t>Venecia</t>
        </is>
      </c>
      <c r="C253" t="inlineStr">
        <is>
          <t>Alemania</t>
        </is>
      </c>
      <c r="D253" t="inlineStr">
        <is>
          <t>Erfurt</t>
        </is>
      </c>
      <c r="E253" t="inlineStr">
        <is>
          <t>2026-09-11</t>
        </is>
      </c>
      <c r="F253" t="inlineStr">
        <is>
          <t>2026-09-18</t>
        </is>
      </c>
      <c r="G253" t="inlineStr"/>
      <c r="H253">
        <f>HYPERLINK("https://booking.roadsurfer.com/es/rally/pick?pickup_date=2026-09-11&amp;return_date=2026-09-18&amp;currency=EUR&amp;startStation=78&amp;endStation=90", "Clic para verlo en la web de RoadSurfer")</f>
        <v/>
      </c>
    </row>
    <row r="254">
      <c r="A254" t="inlineStr">
        <is>
          <t>Italia</t>
        </is>
      </c>
      <c r="B254" t="inlineStr">
        <is>
          <t>Venecia</t>
        </is>
      </c>
      <c r="C254" t="inlineStr">
        <is>
          <t>Alemania</t>
        </is>
      </c>
      <c r="D254" t="inlineStr">
        <is>
          <t>Lübeck</t>
        </is>
      </c>
      <c r="E254" t="inlineStr">
        <is>
          <t>2026-09-28</t>
        </is>
      </c>
      <c r="F254" t="inlineStr">
        <is>
          <t>2026-10-05</t>
        </is>
      </c>
      <c r="G254" t="inlineStr">
        <is>
          <t xml:space="preserve"> - Beach Hostel</t>
        </is>
      </c>
      <c r="H254">
        <f>HYPERLINK("https://booking.roadsurfer.com/es/rally/pick?pickup_date=2026-09-28&amp;return_date=2026-10-05&amp;currency=EUR&amp;startStation=78&amp;endStation=109", "Clic para verlo en la web de RoadSurfer")</f>
        <v/>
      </c>
    </row>
    <row r="255">
      <c r="A255" t="inlineStr">
        <is>
          <t>Austria</t>
        </is>
      </c>
      <c r="B255" t="inlineStr">
        <is>
          <t>Viena</t>
        </is>
      </c>
      <c r="C255" t="inlineStr">
        <is>
          <t>Alemania</t>
        </is>
      </c>
      <c r="D255" t="inlineStr">
        <is>
          <t>Wurzburgo</t>
        </is>
      </c>
      <c r="E255" t="inlineStr">
        <is>
          <t>2026-09-22</t>
        </is>
      </c>
      <c r="F255" t="inlineStr">
        <is>
          <t>2026-09-29</t>
        </is>
      </c>
      <c r="G255" t="inlineStr"/>
      <c r="H255">
        <f>HYPERLINK("https://booking.roadsurfer.com/es/rally/pick?pickup_date=2026-09-22&amp;return_date=2026-09-29&amp;currency=EUR&amp;startStation=36&amp;endStation=115", "Clic para verlo en la web de RoadSurfer")</f>
        <v/>
      </c>
    </row>
    <row r="256">
      <c r="A256" t="inlineStr">
        <is>
          <t>Austria</t>
        </is>
      </c>
      <c r="B256" t="inlineStr">
        <is>
          <t>Viena</t>
        </is>
      </c>
      <c r="C256" t="inlineStr">
        <is>
          <t>Alemania</t>
        </is>
      </c>
      <c r="D256" t="inlineStr">
        <is>
          <t>Constanza (Aach)</t>
        </is>
      </c>
      <c r="E256" t="inlineStr">
        <is>
          <t>2026-09-30</t>
        </is>
      </c>
      <c r="F256" t="inlineStr">
        <is>
          <t>2026-10-07</t>
        </is>
      </c>
      <c r="G256" t="inlineStr">
        <is>
          <t xml:space="preserve"> - Surfer Suite</t>
        </is>
      </c>
      <c r="H256">
        <f>HYPERLINK("https://booking.roadsurfer.com/es/rally/pick?pickup_date=2026-09-30&amp;return_date=2026-10-07&amp;currency=EUR&amp;startStation=36&amp;endStation=10", "Clic para verlo en la web de RoadSurfer")</f>
        <v/>
      </c>
    </row>
    <row r="257">
      <c r="A257" t="inlineStr">
        <is>
          <t>Austria</t>
        </is>
      </c>
      <c r="B257" t="inlineStr">
        <is>
          <t>Viena Sur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2026-09-07</t>
        </is>
      </c>
      <c r="F257" t="inlineStr">
        <is>
          <t>2026-09-14</t>
        </is>
      </c>
      <c r="G257" t="inlineStr">
        <is>
          <t xml:space="preserve"> - Surfer Suite</t>
        </is>
      </c>
      <c r="H257">
        <f>HYPERLINK("https://booking.roadsurfer.com/es/rally/pick?pickup_date=2026-09-07&amp;return_date=2026-09-14&amp;currency=EUR&amp;startStation=45&amp;endStation=22", "Clic para verlo en la web de RoadSurfer")</f>
        <v/>
      </c>
    </row>
    <row r="258">
      <c r="A258" t="inlineStr">
        <is>
          <t>Austria</t>
        </is>
      </c>
      <c r="B258" t="inlineStr">
        <is>
          <t>Viena Sur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2026-09-09</t>
        </is>
      </c>
      <c r="F258" t="inlineStr">
        <is>
          <t>2026-09-16</t>
        </is>
      </c>
      <c r="G258" t="inlineStr">
        <is>
          <t xml:space="preserve"> - Couple Cottage - Cozy Cottage</t>
        </is>
      </c>
      <c r="H258">
        <f>HYPERLINK("https://booking.roadsurfer.com/es/rally/pick?pickup_date=2026-09-09&amp;return_date=2026-09-16&amp;currency=EUR&amp;startStation=45&amp;endStation=22", "Clic para verlo en la web de RoadSurfer")</f>
        <v/>
      </c>
    </row>
    <row r="259">
      <c r="A259" t="inlineStr">
        <is>
          <t>Austria</t>
        </is>
      </c>
      <c r="B259" t="inlineStr">
        <is>
          <t>Viena Sur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2026-09-04</t>
        </is>
      </c>
      <c r="F259" t="inlineStr">
        <is>
          <t>2026-09-11</t>
        </is>
      </c>
      <c r="G259" t="inlineStr"/>
      <c r="H259">
        <f>HYPERLINK("https://booking.roadsurfer.com/es/rally/pick?pickup_date=2026-09-04&amp;return_date=2026-09-11&amp;currency=EUR&amp;startStation=45&amp;endStation=22", "Clic para verlo en la web de RoadSurfer")</f>
        <v/>
      </c>
    </row>
    <row r="260">
      <c r="A260" t="inlineStr">
        <is>
          <t>Austria</t>
        </is>
      </c>
      <c r="B260" t="inlineStr">
        <is>
          <t>Viena Sur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2026-09-17</t>
        </is>
      </c>
      <c r="F260" t="inlineStr">
        <is>
          <t>2026-09-24</t>
        </is>
      </c>
      <c r="G260" t="inlineStr">
        <is>
          <t xml:space="preserve"> - Couple Cottage</t>
        </is>
      </c>
      <c r="H260">
        <f>HYPERLINK("https://booking.roadsurfer.com/es/rally/pick?pickup_date=2026-09-17&amp;return_date=2026-09-24&amp;currency=EUR&amp;startStation=45&amp;endStation=22",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2026-07-25T15:01:38Z</dcterms:created>
  <dcterms:modified xsi:type="dcterms:W3CDTF">2026-07-25T15:01:38Z</dcterms:modified>
</cp:coreProperties>
</file>