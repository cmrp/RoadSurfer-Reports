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2026-09-21</t>
        </is>
      </c>
      <c r="F3" t="inlineStr">
        <is>
          <t>2026-09-28</t>
        </is>
      </c>
      <c r="G3" t="inlineStr">
        <is>
          <t xml:space="preserve"> - Family Finca</t>
        </is>
      </c>
      <c r="H3">
        <f>HYPERLINK("https://booking.roadsurfer.com/es/rally/pick?pickup_date=2026-09-21&amp;return_date=2026-09-28&amp;currency=EUR&amp;startStation=16&amp;endStation=55",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2026-09-30</t>
        </is>
      </c>
      <c r="F4" t="inlineStr">
        <is>
          <t>2026-10-07</t>
        </is>
      </c>
      <c r="G4" t="inlineStr">
        <is>
          <t xml:space="preserve"> - Surfer Suite</t>
        </is>
      </c>
      <c r="H4">
        <f>HYPERLINK("https://booking.roadsurfer.com/es/rally/pick?pickup_date=2026-09-30&amp;return_date=2026-10-07&amp;currency=EUR&amp;startStation=32&amp;endStation=55",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Camper Cabin</t>
        </is>
      </c>
      <c r="H5">
        <f>HYPERLINK("https://booking.roadsurfer.com/es/rally/pick?pickup_date=2026-09-24&amp;return_date=2026-10-01&amp;currency=EUR&amp;startStation=32&amp;endStation=55",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2026-09-23</t>
        </is>
      </c>
      <c r="F6" t="inlineStr">
        <is>
          <t>2026-09-30</t>
        </is>
      </c>
      <c r="G6" t="inlineStr">
        <is>
          <t xml:space="preserve"> - Surfer Suite</t>
        </is>
      </c>
      <c r="H6">
        <f>HYPERLINK("https://booking.roadsurfer.com/es/rally/pick?pickup_date=2026-09-23&amp;return_date=2026-09-30&amp;currency=EUR&amp;startStation=32&amp;endStation=55",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2026-10-03</t>
        </is>
      </c>
      <c r="F8" t="inlineStr">
        <is>
          <t>2026-10-10</t>
        </is>
      </c>
      <c r="G8" t="inlineStr">
        <is>
          <t xml:space="preserve"> - Camper Cabin - Camper Cabin Deluxe</t>
        </is>
      </c>
      <c r="H8">
        <f>HYPERLINK("https://booking.roadsurfer.com/es/rally/pick?pickup_date=2026-10-03&amp;return_date=2026-10-10&amp;currency=EUR&amp;startStation=32&amp;endStation=113",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CAMPER CABIN</t>
        </is>
      </c>
      <c r="H9">
        <f>HYPERLINK("https://booking.roadsurfer.com/es/rally/pick?pickup_date=2026-09-25&amp;return_date=2026-10-02&amp;currency=EUR&amp;startStation=32&amp;endStation=113",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2026-10-02</t>
        </is>
      </c>
      <c r="F10" t="inlineStr">
        <is>
          <t>2026-10-09</t>
        </is>
      </c>
      <c r="G10" t="inlineStr">
        <is>
          <t xml:space="preserve"> - Camper Cabin Deluxe</t>
        </is>
      </c>
      <c r="H10">
        <f>HYPERLINK("https://booking.roadsurfer.com/es/rally/pick?pickup_date=2026-10-02&amp;return_date=2026-10-09&amp;currency=EUR&amp;startStation=32&amp;endStation=113",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Surfer Suite</t>
        </is>
      </c>
      <c r="H11">
        <f>HYPERLINK("https://booking.roadsurfer.com/es/rally/pick?pickup_date=2026-09-23&amp;return_date=2026-09-30&amp;currency=EUR&amp;startStation=32&amp;endStation=113",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HYPERLINK("https://booking.roadsurfer.com/es/rally/pick?pickup_date=2026-09-16&amp;return_date=2026-09-23&amp;currency=EUR&amp;startStation=32&amp;endStation=113",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HYPERLINK("https://booking.roadsurfer.com/es/rally/pick?pickup_date=2026-09-26&amp;return_date=2026-10-03&amp;currency=EUR&amp;startStation=47&amp;endStation=9",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BEACH HOSTEL</t>
        </is>
      </c>
      <c r="H14">
        <f>HYPERLINK("https://booking.roadsurfer.com/es/rally/pick?pickup_date=2026-09-15&amp;return_date=2026-09-22&amp;currency=EUR&amp;startStation=47&amp;endStation=1",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HYPERLINK("https://booking.roadsurfer.com/es/rally/pick?pickup_date=2026-09-25&amp;return_date=2026-10-02&amp;currency=EUR&amp;startStation=47&amp;endStation=1",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2026-09-22</t>
        </is>
      </c>
      <c r="F16" t="inlineStr">
        <is>
          <t>2026-09-29</t>
        </is>
      </c>
      <c r="G16" t="inlineStr">
        <is>
          <t xml:space="preserve"> - Road House</t>
        </is>
      </c>
      <c r="H16">
        <f>HYPERLINK("https://booking.roadsurfer.com/es/rally/pick?pickup_date=2026-09-22&amp;return_date=2026-09-29&amp;currency=EUR&amp;startStation=47&amp;endStation=1",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2026-10-24</t>
        </is>
      </c>
      <c r="F17" t="inlineStr">
        <is>
          <t>2026-10-31</t>
        </is>
      </c>
      <c r="G17" t="inlineStr">
        <is>
          <t xml:space="preserve"> - No hay coche</t>
        </is>
      </c>
      <c r="H17">
        <f>HYPERLINK("https://booking.roadsurfer.com/es/rally/pick?pickup_date=2026-10-24&amp;return_date=2026-10-31&amp;currency=EUR&amp;startStation=17&amp;endStation=55",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Road House</t>
        </is>
      </c>
      <c r="H18">
        <f>HYPERLINK("https://booking.roadsurfer.com/es/rally/pick?pickup_date=2026-09-16&amp;return_date=2026-09-23&amp;currency=EUR&amp;startStation=17&amp;endStation=91",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Surfer Suite</t>
        </is>
      </c>
      <c r="H19">
        <f>HYPERLINK("https://booking.roadsurfer.com/es/rally/pick?pickup_date=2026-09-15&amp;return_date=2026-09-22&amp;currency=EUR&amp;startStation=17&amp;endStation=91",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2026-09-04</t>
        </is>
      </c>
      <c r="F20" t="inlineStr">
        <is>
          <t>2026-09-11</t>
        </is>
      </c>
      <c r="G20" t="inlineStr">
        <is>
          <t xml:space="preserve"> - No hay coche</t>
        </is>
      </c>
      <c r="H20">
        <f>HYPERLINK("https://booking.roadsurfer.com/es/rally/pick?pickup_date=2026-09-04&amp;return_date=2026-09-11&amp;currency=EUR&amp;startStation=17&amp;endStation=51",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Erfurt</t>
        </is>
      </c>
      <c r="E21" t="inlineStr">
        <is>
          <t>2026-09-10</t>
        </is>
      </c>
      <c r="F21" t="inlineStr">
        <is>
          <t>2026-09-17</t>
        </is>
      </c>
      <c r="G21" t="inlineStr">
        <is>
          <t xml:space="preserve"> - Beach Hostel</t>
        </is>
      </c>
      <c r="H21">
        <f>HYPERLINK("https://booking.roadsurfer.com/es/rally/pick?pickup_date=2026-09-10&amp;return_date=2026-09-17&amp;currency=EUR&amp;startStation=17&amp;endStation=90",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Couple Cottage</t>
        </is>
      </c>
      <c r="H22">
        <f>HYPERLINK("https://booking.roadsurfer.com/es/rally/pick?pickup_date=2026-09-15&amp;return_date=2026-09-22&amp;currency=EUR&amp;startStation=17&amp;endStation=22",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2026-09-14</t>
        </is>
      </c>
      <c r="F23" t="inlineStr">
        <is>
          <t>2026-09-21</t>
        </is>
      </c>
      <c r="G23" t="inlineStr">
        <is>
          <t xml:space="preserve"> - Couple Cottage</t>
        </is>
      </c>
      <c r="H23">
        <f>HYPERLINK("https://booking.roadsurfer.com/es/rally/pick?pickup_date=2026-09-14&amp;return_date=2026-09-21&amp;currency=EUR&amp;startStation=17&amp;endStation=22",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Hannover</t>
        </is>
      </c>
      <c r="E24" t="inlineStr">
        <is>
          <t>2026-09-28</t>
        </is>
      </c>
      <c r="F24" t="inlineStr">
        <is>
          <t>2026-10-05</t>
        </is>
      </c>
      <c r="G24" t="inlineStr">
        <is>
          <t xml:space="preserve"> - BEACH HOSTEL</t>
        </is>
      </c>
      <c r="H24">
        <f>HYPERLINK("https://booking.roadsurfer.com/es/rally/pick?pickup_date=2026-09-28&amp;return_date=2026-10-05&amp;currency=EUR&amp;startStation=17&amp;endStation=7",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2026-09-07</t>
        </is>
      </c>
      <c r="F25" t="inlineStr">
        <is>
          <t>2026-09-14</t>
        </is>
      </c>
      <c r="G25" t="inlineStr">
        <is>
          <t xml:space="preserve"> - No hay coche</t>
        </is>
      </c>
      <c r="H25">
        <f>HYPERLINK("https://booking.roadsurfer.com/es/rally/pick?pickup_date=2026-09-07&amp;return_date=2026-09-14&amp;currency=EUR&amp;startStation=94&amp;endStation=22",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2026-09-11</t>
        </is>
      </c>
      <c r="F26" t="inlineStr">
        <is>
          <t>2026-09-18</t>
        </is>
      </c>
      <c r="G26" t="inlineStr">
        <is>
          <t xml:space="preserve"> - No hay coche</t>
        </is>
      </c>
      <c r="H26">
        <f>HYPERLINK("https://booking.roadsurfer.com/es/rally/pick?pickup_date=2026-09-11&amp;return_date=2026-09-18&amp;currency=EUR&amp;startStation=94&amp;endStation=22",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2026-09-16</t>
        </is>
      </c>
      <c r="F27" t="inlineStr">
        <is>
          <t>2026-09-23</t>
        </is>
      </c>
      <c r="G27" t="inlineStr">
        <is>
          <t xml:space="preserve"> - Surfer Suite</t>
        </is>
      </c>
      <c r="H27">
        <f>HYPERLINK("https://booking.roadsurfer.com/es/rally/pick?pickup_date=2026-09-16&amp;return_date=2026-09-23&amp;currency=EUR&amp;startStation=40&amp;endStation=22", "Clic para verlo en la web de RoadSurfer")</f>
        <v/>
      </c>
    </row>
    <row r="28">
      <c r="A28" t="inlineStr">
        <is>
          <t>España</t>
        </is>
      </c>
      <c r="B28" t="inlineStr">
        <is>
          <t>Bilbao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2026-09-08</t>
        </is>
      </c>
      <c r="F28" t="inlineStr">
        <is>
          <t>2026-09-15</t>
        </is>
      </c>
      <c r="G28" t="inlineStr">
        <is>
          <t xml:space="preserve"> - COUPLE COTTAGE</t>
        </is>
      </c>
      <c r="H28">
        <f>HYPERLINK("https://booking.roadsurfer.com/es/rally/pick?pickup_date=2026-09-08&amp;return_date=2026-09-15&amp;currency=EUR&amp;startStation=40&amp;endStation=22",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2026-09-01</t>
        </is>
      </c>
      <c r="F29" t="inlineStr">
        <is>
          <t>2026-09-08</t>
        </is>
      </c>
      <c r="G29" t="inlineStr">
        <is>
          <t xml:space="preserve"> - Camper Castle</t>
        </is>
      </c>
      <c r="H29">
        <f>HYPERLINK("https://booking.roadsurfer.com/es/rally/pick?pickup_date=2026-09-01&amp;return_date=2026-09-08&amp;currency=EUR&amp;startStation=40&amp;endStation=22",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Couple Cottage</t>
        </is>
      </c>
      <c r="H30">
        <f>HYPERLINK("https://booking.roadsurfer.com/es/rally/pick?pickup_date=2026-09-11&amp;return_date=2026-09-18&amp;currency=EUR&amp;startStation=40&amp;endStation=22", "Clic para verlo en la web de RoadSurfer")</f>
        <v/>
      </c>
    </row>
    <row r="31">
      <c r="A31" t="inlineStr">
        <is>
          <t>Italia</t>
        </is>
      </c>
      <c r="B31" t="inlineStr">
        <is>
          <t>Bolonia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SURFER SUITE</t>
        </is>
      </c>
      <c r="H31">
        <f>HYPERLINK("https://booking.roadsurfer.com/es/rally/pick?pickup_date=2026-09-28&amp;return_date=2026-10-05&amp;currency=EUR&amp;startStation=57&amp;endStation=3",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Cabin</t>
        </is>
      </c>
      <c r="H32">
        <f>HYPERLINK("https://booking.roadsurfer.com/es/rally/pick?pickup_date=2026-09-23&amp;return_date=2026-09-30&amp;currency=EUR&amp;startStation=13&amp;endStation=1",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2026-09-30</t>
        </is>
      </c>
      <c r="F33" t="inlineStr">
        <is>
          <t>2026-10-07</t>
        </is>
      </c>
      <c r="G33" t="inlineStr">
        <is>
          <t xml:space="preserve"> - Surfer Suite</t>
        </is>
      </c>
      <c r="H33">
        <f>HYPERLINK("https://booking.roadsurfer.com/es/rally/pick?pickup_date=2026-09-30&amp;return_date=2026-10-07&amp;currency=EUR&amp;startStation=13&amp;endStation=1",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HYPERLINK("https://booking.roadsurfer.com/es/rally/pick?pickup_date=2026-09-26&amp;return_date=2026-10-03&amp;currency=EUR&amp;startStation=13&amp;endStation=3",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</t>
        </is>
      </c>
      <c r="H35">
        <f>HYPERLINK("https://booking.roadsurfer.com/es/rally/pick?pickup_date=2026-09-15&amp;return_date=2026-09-22&amp;currency=EUR&amp;startStation=13&amp;endStation=3",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2026-09-07</t>
        </is>
      </c>
      <c r="F36" t="inlineStr">
        <is>
          <t>2026-09-14</t>
        </is>
      </c>
      <c r="G36" t="inlineStr">
        <is>
          <t xml:space="preserve"> - Sunrise Suite</t>
        </is>
      </c>
      <c r="H36">
        <f>HYPERLINK("https://booking.roadsurfer.com/es/rally/pick?pickup_date=2026-09-07&amp;return_date=2026-09-14&amp;currency=EUR&amp;startStation=13&amp;endStation=3",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2026-09-02</t>
        </is>
      </c>
      <c r="F37" t="inlineStr">
        <is>
          <t>2026-09-09</t>
        </is>
      </c>
      <c r="G37" t="inlineStr">
        <is>
          <t xml:space="preserve"> - Road House</t>
        </is>
      </c>
      <c r="H37">
        <f>HYPERLINK("https://booking.roadsurfer.com/es/rally/pick?pickup_date=2026-09-02&amp;return_date=2026-09-09&amp;currency=EUR&amp;startStation=13&amp;endStation=22",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Surfer Suite - Road House - Couple Cottage</t>
        </is>
      </c>
      <c r="H38">
        <f>HYPERLINK("https://booking.roadsurfer.com/es/rally/pick?pickup_date=2026-09-07&amp;return_date=2026-09-14&amp;currency=EUR&amp;startStation=13&amp;endStation=22",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ROAD HOUSE</t>
        </is>
      </c>
      <c r="H39">
        <f>HYPERLINK("https://booking.roadsurfer.com/es/rally/pick?pickup_date=2026-09-15&amp;return_date=2026-09-22&amp;currency=EUR&amp;startStation=13&amp;endStation=22",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2026-09-09</t>
        </is>
      </c>
      <c r="F40" t="inlineStr">
        <is>
          <t>2026-09-16</t>
        </is>
      </c>
      <c r="G40" t="inlineStr">
        <is>
          <t xml:space="preserve"> - Road House</t>
        </is>
      </c>
      <c r="H40">
        <f>HYPERLINK("https://booking.roadsurfer.com/es/rally/pick?pickup_date=2026-09-09&amp;return_date=2026-09-16&amp;currency=EUR&amp;startStation=13&amp;endStation=22",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Surfer Suite - SURFER SUITE</t>
        </is>
      </c>
      <c r="H41">
        <f>HYPERLINK("https://booking.roadsurfer.com/es/rally/pick?pickup_date=2026-09-16&amp;return_date=2026-09-23&amp;currency=EUR&amp;startStation=13&amp;endStation=22",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Surfer Suite - Road House</t>
        </is>
      </c>
      <c r="H42">
        <f>HYPERLINK("https://booking.roadsurfer.com/es/rally/pick?pickup_date=2026-09-11&amp;return_date=2026-09-18&amp;currency=EUR&amp;startStation=13&amp;endStation=22",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Family Finca</t>
        </is>
      </c>
      <c r="H43">
        <f>HYPERLINK("https://booking.roadsurfer.com/es/rally/pick?pickup_date=2026-09-08&amp;return_date=2026-09-15&amp;currency=EUR&amp;startStation=13&amp;endStation=22",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Surfer Suite</t>
        </is>
      </c>
      <c r="H44">
        <f>HYPERLINK("https://booking.roadsurfer.com/es/rally/pick?pickup_date=2026-09-14&amp;return_date=2026-09-21&amp;currency=EUR&amp;startStation=13&amp;endStation=22",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2026-09-21</t>
        </is>
      </c>
      <c r="F45" t="inlineStr">
        <is>
          <t>2026-09-28</t>
        </is>
      </c>
      <c r="G45" t="inlineStr">
        <is>
          <t xml:space="preserve"> - Couple Cottage</t>
        </is>
      </c>
      <c r="H45">
        <f>HYPERLINK("https://booking.roadsurfer.com/es/rally/pick?pickup_date=2026-09-21&amp;return_date=2026-09-28&amp;currency=EUR&amp;startStation=13&amp;endStation=22",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2026-09-03</t>
        </is>
      </c>
      <c r="F46" t="inlineStr">
        <is>
          <t>2026-09-10</t>
        </is>
      </c>
      <c r="G46" t="inlineStr">
        <is>
          <t xml:space="preserve"> - Family Finca</t>
        </is>
      </c>
      <c r="H46">
        <f>HYPERLINK("https://booking.roadsurfer.com/es/rally/pick?pickup_date=2026-09-03&amp;return_date=2026-09-10&amp;currency=EUR&amp;startStation=13&amp;endStation=22",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Beach Hostel</t>
        </is>
      </c>
      <c r="H47">
        <f>HYPERLINK("https://booking.roadsurfer.com/es/rally/pick?pickup_date=2026-09-05&amp;return_date=2026-09-12&amp;currency=EUR&amp;startStation=13&amp;endStation=9",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2026-09-15</t>
        </is>
      </c>
      <c r="F49" t="inlineStr">
        <is>
          <t>2026-09-22</t>
        </is>
      </c>
      <c r="G49" t="inlineStr">
        <is>
          <t xml:space="preserve"> - Surfer Suite</t>
        </is>
      </c>
      <c r="H49">
        <f>HYPERLINK("https://booking.roadsurfer.com/es/rally/pick?pickup_date=2026-09-15&amp;return_date=2026-09-22&amp;currency=EUR&amp;startStation=13&amp;endStation=109",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Constanza (Aach)</t>
        </is>
      </c>
      <c r="E50" t="inlineStr">
        <is>
          <t>2026-09-16</t>
        </is>
      </c>
      <c r="F50" t="inlineStr">
        <is>
          <t>2026-09-23</t>
        </is>
      </c>
      <c r="G50" t="inlineStr">
        <is>
          <t xml:space="preserve"> - Beach Hostel</t>
        </is>
      </c>
      <c r="H50">
        <f>HYPERLINK("https://booking.roadsurfer.com/es/rally/pick?pickup_date=2026-09-16&amp;return_date=2026-09-23&amp;currency=EUR&amp;startStation=13&amp;endStation=10",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Family Finca</t>
        </is>
      </c>
      <c r="H51">
        <f>HYPERLINK("https://booking.roadsurfer.com/es/rally/pick?pickup_date=2026-09-03&amp;return_date=2026-09-10&amp;currency=EUR&amp;startStation=13&amp;endStation=90",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2026-09-18</t>
        </is>
      </c>
      <c r="F52" t="inlineStr">
        <is>
          <t>2026-09-25</t>
        </is>
      </c>
      <c r="G52" t="inlineStr">
        <is>
          <t xml:space="preserve"> - Surfer Suite</t>
        </is>
      </c>
      <c r="H52">
        <f>HYPERLINK("https://booking.roadsurfer.com/es/rally/pick?pickup_date=2026-09-18&amp;return_date=2026-09-25&amp;currency=EUR&amp;startStation=42&amp;endStation=6",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Surfer Suite</t>
        </is>
      </c>
      <c r="H53">
        <f>HYPERLINK("https://booking.roadsurfer.com/es/rally/pick?pickup_date=2026-09-03&amp;return_date=2026-09-10&amp;currency=EUR&amp;startStation=42&amp;endStation=8",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2026-09-25</t>
        </is>
      </c>
      <c r="F54" t="inlineStr">
        <is>
          <t>2026-10-02</t>
        </is>
      </c>
      <c r="G54" t="inlineStr">
        <is>
          <t xml:space="preserve"> - No hay coche</t>
        </is>
      </c>
      <c r="H54">
        <f>HYPERLINK("https://booking.roadsurfer.com/es/rally/pick?pickup_date=2026-09-25&amp;return_date=2026-10-02&amp;currency=EUR&amp;startStation=42&amp;endStation=115",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2026-09-25</t>
        </is>
      </c>
      <c r="F55" t="inlineStr">
        <is>
          <t>2026-10-02</t>
        </is>
      </c>
      <c r="G55" t="inlineStr">
        <is>
          <t xml:space="preserve"> - Road House</t>
        </is>
      </c>
      <c r="H55">
        <f>HYPERLINK("https://booking.roadsurfer.com/es/rally/pick?pickup_date=2026-09-25&amp;return_date=2026-10-02&amp;currency=EUR&amp;startStation=42&amp;endStation=1", "Clic para verlo en la web de RoadSurfer")</f>
        <v/>
      </c>
    </row>
    <row r="56">
      <c r="A56" t="inlineStr">
        <is>
          <t>Italia</t>
        </is>
      </c>
      <c r="B56" t="inlineStr">
        <is>
          <t>Florencia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2026-09-11</t>
        </is>
      </c>
      <c r="F56" t="inlineStr">
        <is>
          <t>2026-09-18</t>
        </is>
      </c>
      <c r="G56" t="inlineStr">
        <is>
          <t xml:space="preserve"> - Surfer Suite</t>
        </is>
      </c>
      <c r="H56">
        <f>HYPERLINK("https://booking.roadsurfer.com/es/rally/pick?pickup_date=2026-09-11&amp;return_date=2026-09-18&amp;currency=EUR&amp;startStation=80&amp;endStation=113", "Clic para verlo en la web de RoadSurfer")</f>
        <v/>
      </c>
    </row>
    <row r="57">
      <c r="A57" t="inlineStr">
        <is>
          <t>Italia</t>
        </is>
      </c>
      <c r="B57" t="inlineStr">
        <is>
          <t>Florencia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2026-09-04</t>
        </is>
      </c>
      <c r="F57" t="inlineStr">
        <is>
          <t>2026-09-11</t>
        </is>
      </c>
      <c r="G57" t="inlineStr">
        <is>
          <t xml:space="preserve"> - Couple Cottage</t>
        </is>
      </c>
      <c r="H57">
        <f>HYPERLINK("https://booking.roadsurfer.com/es/rally/pick?pickup_date=2026-09-04&amp;return_date=2026-09-11&amp;currency=EUR&amp;startStation=80&amp;endStation=22", "Clic para verlo en la web de RoadSurfer")</f>
        <v/>
      </c>
    </row>
    <row r="58">
      <c r="A58" t="inlineStr">
        <is>
          <t>Italia</t>
        </is>
      </c>
      <c r="B58" t="inlineStr">
        <is>
          <t>Florencia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2026-09-09</t>
        </is>
      </c>
      <c r="F58" t="inlineStr">
        <is>
          <t>2026-09-16</t>
        </is>
      </c>
      <c r="G58" t="inlineStr">
        <is>
          <t xml:space="preserve"> - Couple Cottage</t>
        </is>
      </c>
      <c r="H58">
        <f>HYPERLINK("https://booking.roadsurfer.com/es/rally/pick?pickup_date=2026-09-09&amp;return_date=2026-09-16&amp;currency=EUR&amp;startStation=80&amp;endStation=22", "Clic para verlo en la web de RoadSurfer")</f>
        <v/>
      </c>
    </row>
    <row r="59">
      <c r="A59" t="inlineStr">
        <is>
          <t>Francia</t>
        </is>
      </c>
      <c r="B59" t="inlineStr">
        <is>
          <t>Ginebra-Pays de Gex (Francia)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Travel Home</t>
        </is>
      </c>
      <c r="H59">
        <f>HYPERLINK("https://booking.roadsurfer.com/es/rally/pick?pickup_date=2026-10-03&amp;return_date=2026-10-10&amp;currency=EUR&amp;startStation=29&amp;endStation=8", "Clic para verlo en la web de RoadSurfer")</f>
        <v/>
      </c>
    </row>
    <row r="60">
      <c r="A60" t="inlineStr">
        <is>
          <t>Francia</t>
        </is>
      </c>
      <c r="B60" t="inlineStr">
        <is>
          <t>Ginebra-Pays de Gex (Francia)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2026-09-23</t>
        </is>
      </c>
      <c r="F60" t="inlineStr">
        <is>
          <t>2026-09-30</t>
        </is>
      </c>
      <c r="G60" t="inlineStr">
        <is>
          <t xml:space="preserve"> - Road House</t>
        </is>
      </c>
      <c r="H60">
        <f>HYPERLINK("https://booking.roadsurfer.com/es/rally/pick?pickup_date=2026-09-23&amp;return_date=2026-09-30&amp;currency=EUR&amp;startStation=29&amp;endStation=90", "Clic para verlo en la web de RoadSurfer")</f>
        <v/>
      </c>
    </row>
    <row r="61">
      <c r="A61" t="inlineStr">
        <is>
          <t>Francia</t>
        </is>
      </c>
      <c r="B61" t="inlineStr">
        <is>
          <t>Ginebra-Pays de Gex (Francia)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2026-09-22</t>
        </is>
      </c>
      <c r="F61" t="inlineStr">
        <is>
          <t>2026-09-29</t>
        </is>
      </c>
      <c r="G61" t="inlineStr">
        <is>
          <t xml:space="preserve"> - Beach Hostel</t>
        </is>
      </c>
      <c r="H61">
        <f>HYPERLINK("https://booking.roadsurfer.com/es/rally/pick?pickup_date=2026-09-22&amp;return_date=2026-09-29&amp;currency=EUR&amp;startStation=29&amp;endStation=56",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Surfer Suite</t>
        </is>
      </c>
      <c r="H62">
        <f>HYPERLINK("https://booking.roadsurfer.com/es/rally/pick?pickup_date=2026-09-11&amp;return_date=2026-09-18&amp;currency=EUR&amp;startStation=29&amp;endStation=6",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2026-10-10</t>
        </is>
      </c>
      <c r="F63" t="inlineStr">
        <is>
          <t>2026-10-17</t>
        </is>
      </c>
      <c r="G63" t="inlineStr">
        <is>
          <t xml:space="preserve"> - Family Finca</t>
        </is>
      </c>
      <c r="H63">
        <f>HYPERLINK("https://booking.roadsurfer.com/es/rally/pick?pickup_date=2026-10-10&amp;return_date=2026-10-17&amp;currency=EUR&amp;startStation=29&amp;endStation=3",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HYPERLINK("https://booking.roadsurfer.com/es/rally/pick?pickup_date=2026-09-26&amp;return_date=2026-10-03&amp;currency=EUR&amp;startStation=29&amp;endStation=22",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2026-09-07</t>
        </is>
      </c>
      <c r="F65" t="inlineStr">
        <is>
          <t>2026-09-14</t>
        </is>
      </c>
      <c r="G65" t="inlineStr">
        <is>
          <t xml:space="preserve"> - Camper Castle</t>
        </is>
      </c>
      <c r="H65">
        <f>HYPERLINK("https://booking.roadsurfer.com/es/rally/pick?pickup_date=2026-09-07&amp;return_date=2026-09-14&amp;currency=EUR&amp;startStation=29&amp;endStation=22",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Road House</t>
        </is>
      </c>
      <c r="H66">
        <f>HYPERLINK("https://booking.roadsurfer.com/es/rally/pick?pickup_date=2026-09-14&amp;return_date=2026-09-21&amp;currency=EUR&amp;startStation=29&amp;endStation=22", "Clic para verlo en la web de RoadSurfer")</f>
        <v/>
      </c>
    </row>
    <row r="67">
      <c r="A67" t="inlineStr">
        <is>
          <t>Austria</t>
        </is>
      </c>
      <c r="B67" t="inlineStr">
        <is>
          <t>Graz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2026-09-10</t>
        </is>
      </c>
      <c r="F67" t="inlineStr">
        <is>
          <t>2026-09-17</t>
        </is>
      </c>
      <c r="G67" t="inlineStr">
        <is>
          <t xml:space="preserve"> - No hay coche</t>
        </is>
      </c>
      <c r="H67">
        <f>HYPERLINK("https://booking.roadsurfer.com/es/rally/pick?pickup_date=2026-09-10&amp;return_date=2026-09-17&amp;currency=EUR&amp;startStation=37&amp;endStation=22", "Clic para verlo en la web de RoadSurfer")</f>
        <v/>
      </c>
    </row>
    <row r="68">
      <c r="A68" t="inlineStr">
        <is>
          <t>Francia</t>
        </is>
      </c>
      <c r="B68" t="inlineStr">
        <is>
          <t>Lille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Surfer Suite</t>
        </is>
      </c>
      <c r="H68">
        <f>HYPERLINK("https://booking.roadsurfer.com/es/rally/pick?pickup_date=2026-09-08&amp;return_date=2026-09-15&amp;currency=EUR&amp;startStation=87&amp;endStation=22", "Clic para verlo en la web de RoadSurfer")</f>
        <v/>
      </c>
    </row>
    <row r="69">
      <c r="A69" t="inlineStr">
        <is>
          <t>Francia</t>
        </is>
      </c>
      <c r="B69" t="inlineStr">
        <is>
          <t>Lille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2026-09-15</t>
        </is>
      </c>
      <c r="F69" t="inlineStr">
        <is>
          <t>2026-09-22</t>
        </is>
      </c>
      <c r="G69" t="inlineStr">
        <is>
          <t xml:space="preserve"> - Road House</t>
        </is>
      </c>
      <c r="H69">
        <f>HYPERLINK("https://booking.roadsurfer.com/es/rally/pick?pickup_date=2026-09-15&amp;return_date=2026-09-22&amp;currency=EUR&amp;startStation=87&amp;endStation=22", "Clic para verlo en la web de RoadSurfer")</f>
        <v/>
      </c>
    </row>
    <row r="70">
      <c r="A70" t="inlineStr">
        <is>
          <t>Francia</t>
        </is>
      </c>
      <c r="B70" t="inlineStr">
        <is>
          <t>Lille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2026-09-16</t>
        </is>
      </c>
      <c r="F70" t="inlineStr">
        <is>
          <t>2026-09-23</t>
        </is>
      </c>
      <c r="G70" t="inlineStr">
        <is>
          <t xml:space="preserve"> - Cozy Cottage</t>
        </is>
      </c>
      <c r="H70">
        <f>HYPERLINK("https://booking.roadsurfer.com/es/rally/pick?pickup_date=2026-09-16&amp;return_date=2026-09-23&amp;currency=EUR&amp;startStation=87&amp;endStation=22", "Clic para verlo en la web de RoadSurfer")</f>
        <v/>
      </c>
    </row>
    <row r="71">
      <c r="A71" t="inlineStr">
        <is>
          <t>Francia</t>
        </is>
      </c>
      <c r="B71" t="inlineStr">
        <is>
          <t>Lille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Surfer Suite</t>
        </is>
      </c>
      <c r="H71">
        <f>HYPERLINK("https://booking.roadsurfer.com/es/rally/pick?pickup_date=2026-09-08&amp;return_date=2026-09-15&amp;currency=EUR&amp;startStation=87&amp;endStation=7", "Clic para verlo en la web de RoadSurfer")</f>
        <v/>
      </c>
    </row>
    <row r="72">
      <c r="A72" t="inlineStr">
        <is>
          <t>Francia</t>
        </is>
      </c>
      <c r="B72" t="inlineStr">
        <is>
          <t>Lille</t>
        </is>
      </c>
      <c r="C72" t="inlineStr">
        <is>
          <t>Alemania</t>
        </is>
      </c>
      <c r="D72" t="inlineStr">
        <is>
          <t>Hannover</t>
        </is>
      </c>
      <c r="E72" t="inlineStr">
        <is>
          <t>2026-09-24</t>
        </is>
      </c>
      <c r="F72" t="inlineStr">
        <is>
          <t>2026-10-01</t>
        </is>
      </c>
      <c r="G72" t="inlineStr">
        <is>
          <t xml:space="preserve"> - Surfer Suite</t>
        </is>
      </c>
      <c r="H72">
        <f>HYPERLINK("https://booking.roadsurfer.com/es/rally/pick?pickup_date=2026-09-24&amp;return_date=2026-10-01&amp;currency=EUR&amp;startStation=87&amp;endStation=7", "Clic para verlo en la web de RoadSurfer")</f>
        <v/>
      </c>
    </row>
    <row r="73">
      <c r="A73" t="inlineStr">
        <is>
          <t>Francia</t>
        </is>
      </c>
      <c r="B73" t="inlineStr">
        <is>
          <t>Lille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2026-09-04</t>
        </is>
      </c>
      <c r="F73" t="inlineStr">
        <is>
          <t>2026-09-11</t>
        </is>
      </c>
      <c r="G73" t="inlineStr">
        <is>
          <t xml:space="preserve"> - Road House</t>
        </is>
      </c>
      <c r="H73">
        <f>HYPERLINK("https://booking.roadsurfer.com/es/rally/pick?pickup_date=2026-09-04&amp;return_date=2026-09-11&amp;currency=EUR&amp;startStation=87&amp;endStation=7",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SURFER SUITE</t>
        </is>
      </c>
      <c r="H74">
        <f>HYPERLINK("https://booking.roadsurfer.com/es/rally/pick?pickup_date=2026-09-14&amp;return_date=2026-09-21&amp;currency=EUR&amp;startStation=87&amp;endStation=8",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2026-09-02</t>
        </is>
      </c>
      <c r="F75" t="inlineStr">
        <is>
          <t>2026-09-09</t>
        </is>
      </c>
      <c r="G75" t="inlineStr">
        <is>
          <t xml:space="preserve"> - FAMILY FINCA</t>
        </is>
      </c>
      <c r="H75">
        <f>HYPERLINK("https://booking.roadsurfer.com/es/rally/pick?pickup_date=2026-09-02&amp;return_date=2026-09-09&amp;currency=EUR&amp;startStation=87&amp;endStation=6", "Clic para verlo en la web de RoadSurfer")</f>
        <v/>
      </c>
    </row>
    <row r="76">
      <c r="A76" t="inlineStr">
        <is>
          <t>Francia</t>
        </is>
      </c>
      <c r="B76" t="inlineStr">
        <is>
          <t>Lyon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2026-09-17</t>
        </is>
      </c>
      <c r="F76" t="inlineStr">
        <is>
          <t>2026-09-24</t>
        </is>
      </c>
      <c r="G76" t="inlineStr">
        <is>
          <t xml:space="preserve"> - Travel Home</t>
        </is>
      </c>
      <c r="H76">
        <f>HYPERLINK("https://booking.roadsurfer.com/es/rally/pick?pickup_date=2026-09-17&amp;return_date=2026-09-24&amp;currency=EUR&amp;startStation=15&amp;endStation=55", "Clic para verlo en la web de RoadSurfer")</f>
        <v/>
      </c>
    </row>
    <row r="77">
      <c r="A77" t="inlineStr">
        <is>
          <t>Francia</t>
        </is>
      </c>
      <c r="B77" t="inlineStr">
        <is>
          <t>Lyon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Camper Cabin Deluxe</t>
        </is>
      </c>
      <c r="H77">
        <f>HYPERLINK("https://booking.roadsurfer.com/es/rally/pick?pickup_date=2026-09-30&amp;return_date=2026-10-07&amp;currency=EUR&amp;startStation=15&amp;endStation=6", "Clic para verlo en la web de RoadSurfer")</f>
        <v/>
      </c>
    </row>
    <row r="78">
      <c r="A78" t="inlineStr">
        <is>
          <t>Francia</t>
        </is>
      </c>
      <c r="B78" t="inlineStr">
        <is>
          <t>Lyon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Couple Cottage</t>
        </is>
      </c>
      <c r="H78">
        <f>HYPERLINK("https://booking.roadsurfer.com/es/rally/pick?pickup_date=2026-10-12&amp;return_date=2026-10-19&amp;currency=EUR&amp;startStation=15&amp;endStation=22", "Clic para verlo en la web de RoadSurfer")</f>
        <v/>
      </c>
    </row>
    <row r="79">
      <c r="A79" t="inlineStr">
        <is>
          <t>Francia</t>
        </is>
      </c>
      <c r="B79" t="inlineStr">
        <is>
          <t>Lyon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2026-09-10</t>
        </is>
      </c>
      <c r="F79" t="inlineStr">
        <is>
          <t>2026-09-17</t>
        </is>
      </c>
      <c r="G79" t="inlineStr">
        <is>
          <t xml:space="preserve"> - Surfer Suite</t>
        </is>
      </c>
      <c r="H79">
        <f>HYPERLINK("https://booking.roadsurfer.com/es/rally/pick?pickup_date=2026-09-10&amp;return_date=2026-09-17&amp;currency=EUR&amp;startStation=15&amp;endStation=22",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HYPERLINK("https://booking.roadsurfer.com/es/rally/pick?pickup_date=2026-09-14&amp;return_date=2026-09-21&amp;currency=EUR&amp;startStation=15&amp;endStation=22", "Clic para verlo en la web de RoadSurfer")</f>
        <v/>
      </c>
    </row>
    <row r="81">
      <c r="A81" t="inlineStr">
        <is>
          <t>Francia</t>
        </is>
      </c>
      <c r="B81" t="inlineStr">
        <is>
          <t>Lyon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2026-09-09</t>
        </is>
      </c>
      <c r="F81" t="inlineStr">
        <is>
          <t>2026-09-16</t>
        </is>
      </c>
      <c r="G81" t="inlineStr">
        <is>
          <t xml:space="preserve"> - Cozy Cottage</t>
        </is>
      </c>
      <c r="H81">
        <f>HYPERLINK("https://booking.roadsurfer.com/es/rally/pick?pickup_date=2026-09-09&amp;return_date=2026-09-16&amp;currency=EUR&amp;startStation=15&amp;endStation=22",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COUPLE COTTAGE</t>
        </is>
      </c>
      <c r="H82">
        <f>HYPERLINK("https://booking.roadsurfer.com/es/rally/pick?pickup_date=2026-09-07&amp;return_date=2026-09-14&amp;currency=EUR&amp;startStation=15&amp;endStation=22",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2026-09-17</t>
        </is>
      </c>
      <c r="F83" t="inlineStr">
        <is>
          <t>2026-09-24</t>
        </is>
      </c>
      <c r="G83" t="inlineStr">
        <is>
          <t xml:space="preserve"> - Surfer Suite</t>
        </is>
      </c>
      <c r="H83">
        <f>HYPERLINK("https://booking.roadsurfer.com/es/rally/pick?pickup_date=2026-09-17&amp;return_date=2026-09-24&amp;currency=EUR&amp;startStation=15&amp;endStation=90",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Surfer Suite</t>
        </is>
      </c>
      <c r="H84">
        <f>HYPERLINK("https://booking.roadsurfer.com/es/rally/pick?pickup_date=2026-09-18&amp;return_date=2026-09-25&amp;currency=EUR&amp;startStation=15&amp;endStation=1", "Clic para verlo en la web de RoadSurfer")</f>
        <v/>
      </c>
    </row>
    <row r="85">
      <c r="A85" t="inlineStr">
        <is>
          <t>España</t>
        </is>
      </c>
      <c r="B85" t="inlineStr">
        <is>
          <t>Madrid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Road House</t>
        </is>
      </c>
      <c r="H85">
        <f>HYPERLINK("https://booking.roadsurfer.com/es/rally/pick?pickup_date=2026-09-15&amp;return_date=2026-09-22&amp;currency=EUR&amp;startStation=20&amp;endStation=22", "Clic para verlo en la web de RoadSurfer")</f>
        <v/>
      </c>
    </row>
    <row r="86">
      <c r="A86" t="inlineStr">
        <is>
          <t>España</t>
        </is>
      </c>
      <c r="B86" t="inlineStr">
        <is>
          <t>Madrid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2026-09-08</t>
        </is>
      </c>
      <c r="F86" t="inlineStr">
        <is>
          <t>2026-09-15</t>
        </is>
      </c>
      <c r="G86" t="inlineStr">
        <is>
          <t xml:space="preserve"> - BEACH HOSTEL</t>
        </is>
      </c>
      <c r="H86">
        <f>HYPERLINK("https://booking.roadsurfer.com/es/rally/pick?pickup_date=2026-09-08&amp;return_date=2026-09-15&amp;currency=EUR&amp;startStation=20&amp;endStation=22", "Clic para verlo en la web de RoadSurfer")</f>
        <v/>
      </c>
    </row>
    <row r="87">
      <c r="A87" t="inlineStr">
        <is>
          <t>España</t>
        </is>
      </c>
      <c r="B87" t="inlineStr">
        <is>
          <t>Madrid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Surfer Suite - Camper Castle</t>
        </is>
      </c>
      <c r="H87">
        <f>HYPERLINK("https://booking.roadsurfer.com/es/rally/pick?pickup_date=2026-09-04&amp;return_date=2026-09-11&amp;currency=EUR&amp;startStation=20&amp;endStation=22", "Clic para verlo en la web de RoadSurfer")</f>
        <v/>
      </c>
    </row>
    <row r="88">
      <c r="A88" t="inlineStr">
        <is>
          <t>España</t>
        </is>
      </c>
      <c r="B88" t="inlineStr">
        <is>
          <t>Madrid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Surfer Suite</t>
        </is>
      </c>
      <c r="H88">
        <f>HYPERLINK("https://booking.roadsurfer.com/es/rally/pick?pickup_date=2026-09-14&amp;return_date=2026-09-21&amp;currency=EUR&amp;startStation=20&amp;endStation=22",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HYPERLINK("https://booking.roadsurfer.com/es/rally/pick?pickup_date=2026-09-11&amp;return_date=2026-09-18&amp;currency=EUR&amp;startStation=20&amp;endStation=22",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2026-09-01</t>
        </is>
      </c>
      <c r="F90" t="inlineStr">
        <is>
          <t>2026-09-08</t>
        </is>
      </c>
      <c r="G90" t="inlineStr">
        <is>
          <t xml:space="preserve"> - No hay coche</t>
        </is>
      </c>
      <c r="H90">
        <f>HYPERLINK("https://booking.roadsurfer.com/es/rally/pick?pickup_date=2026-09-01&amp;return_date=2026-09-08&amp;currency=EUR&amp;startStation=20&amp;endStation=22",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2026-09-16</t>
        </is>
      </c>
      <c r="F91" t="inlineStr">
        <is>
          <t>2026-09-23</t>
        </is>
      </c>
      <c r="G91" t="inlineStr">
        <is>
          <t xml:space="preserve"> - Camper Castle - COUPLE COTTAGE</t>
        </is>
      </c>
      <c r="H91">
        <f>HYPERLINK("https://booking.roadsurfer.com/es/rally/pick?pickup_date=2026-09-16&amp;return_date=2026-09-23&amp;currency=EUR&amp;startStation=20&amp;endStation=22",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2026-09-02</t>
        </is>
      </c>
      <c r="F92" t="inlineStr">
        <is>
          <t>2026-09-09</t>
        </is>
      </c>
      <c r="G92" t="inlineStr">
        <is>
          <t xml:space="preserve"> - Cozy Cottage</t>
        </is>
      </c>
      <c r="H92">
        <f>HYPERLINK("https://booking.roadsurfer.com/es/rally/pick?pickup_date=2026-09-02&amp;return_date=2026-09-09&amp;currency=EUR&amp;startStation=20&amp;endStation=22",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Bremen</t>
        </is>
      </c>
      <c r="E93" t="inlineStr">
        <is>
          <t>2026-09-28</t>
        </is>
      </c>
      <c r="F93" t="inlineStr">
        <is>
          <t>2026-10-05</t>
        </is>
      </c>
      <c r="G93" t="inlineStr">
        <is>
          <t xml:space="preserve"> - Beach Hostel</t>
        </is>
      </c>
      <c r="H93">
        <f>HYPERLINK("https://booking.roadsurfer.com/es/rally/pick?pickup_date=2026-09-28&amp;return_date=2026-10-05&amp;currency=EUR&amp;startStation=20&amp;endStation=55",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Surfer Suite</t>
        </is>
      </c>
      <c r="H94">
        <f>HYPERLINK("https://booking.roadsurfer.com/es/rally/pick?pickup_date=2026-09-15&amp;return_date=2026-09-22&amp;currency=EUR&amp;startStation=20&amp;endStation=8",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2026-09-12</t>
        </is>
      </c>
      <c r="F95" t="inlineStr">
        <is>
          <t>2026-09-19</t>
        </is>
      </c>
      <c r="G95" t="inlineStr">
        <is>
          <t xml:space="preserve"> - Road House</t>
        </is>
      </c>
      <c r="H95">
        <f>HYPERLINK("https://booking.roadsurfer.com/es/rally/pick?pickup_date=2026-09-12&amp;return_date=2026-09-19&amp;currency=EUR&amp;startStation=20&amp;endStation=8",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2026-09-24</t>
        </is>
      </c>
      <c r="F96" t="inlineStr">
        <is>
          <t>2026-10-01</t>
        </is>
      </c>
      <c r="G96" t="inlineStr">
        <is>
          <t xml:space="preserve"> - Road House</t>
        </is>
      </c>
      <c r="H96">
        <f>HYPERLINK("https://booking.roadsurfer.com/es/rally/pick?pickup_date=2026-09-24&amp;return_date=2026-10-01&amp;currency=EUR&amp;startStation=20&amp;endStation=5", "Clic para verlo en la web de RoadSurfer")</f>
        <v/>
      </c>
    </row>
    <row r="97">
      <c r="A97" t="inlineStr">
        <is>
          <t>España</t>
        </is>
      </c>
      <c r="B97" t="inlineStr">
        <is>
          <t>Málaga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2026-09-04</t>
        </is>
      </c>
      <c r="F97" t="inlineStr">
        <is>
          <t>2026-09-11</t>
        </is>
      </c>
      <c r="G97" t="inlineStr">
        <is>
          <t xml:space="preserve"> - Couple Cottage</t>
        </is>
      </c>
      <c r="H97">
        <f>HYPERLINK("https://booking.roadsurfer.com/es/rally/pick?pickup_date=2026-09-04&amp;return_date=2026-09-11&amp;currency=EUR&amp;startStation=21&amp;endStation=22", "Clic para verlo en la web de RoadSurfer")</f>
        <v/>
      </c>
    </row>
    <row r="98">
      <c r="A98" t="inlineStr">
        <is>
          <t>España</t>
        </is>
      </c>
      <c r="B98" t="inlineStr">
        <is>
          <t>Málaga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No hay coche</t>
        </is>
      </c>
      <c r="H98">
        <f>HYPERLINK("https://booking.roadsurfer.com/es/rally/pick?pickup_date=2026-09-14&amp;return_date=2026-09-21&amp;currency=EUR&amp;startStation=21&amp;endStation=22", "Clic para verlo en la web de RoadSurfer")</f>
        <v/>
      </c>
    </row>
    <row r="99">
      <c r="A99" t="inlineStr">
        <is>
          <t>España</t>
        </is>
      </c>
      <c r="B99" t="inlineStr">
        <is>
          <t>Málaga</t>
        </is>
      </c>
      <c r="C99" t="inlineStr">
        <is>
          <t>Alemania</t>
        </is>
      </c>
      <c r="D99" t="inlineStr">
        <is>
          <t>Friburgo-Basilea (Alemania)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Beach Hostel</t>
        </is>
      </c>
      <c r="H99">
        <f>HYPERLINK("https://booking.roadsurfer.com/es/rally/pick?pickup_date=2026-09-30&amp;return_date=2026-10-07&amp;currency=EUR&amp;startStation=21&amp;endStation=9", "Clic para verlo en la web de RoadSurfer")</f>
        <v/>
      </c>
    </row>
    <row r="100">
      <c r="A100" t="inlineStr">
        <is>
          <t>Italia</t>
        </is>
      </c>
      <c r="B100" t="inlineStr">
        <is>
          <t>Milán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2026-09-09</t>
        </is>
      </c>
      <c r="F100" t="inlineStr">
        <is>
          <t>2026-09-16</t>
        </is>
      </c>
      <c r="G100" t="inlineStr">
        <is>
          <t xml:space="preserve"> - No hay coche</t>
        </is>
      </c>
      <c r="H100">
        <f>HYPERLINK("https://booking.roadsurfer.com/es/rally/pick?pickup_date=2026-09-09&amp;return_date=2026-09-16&amp;currency=EUR&amp;startStation=34&amp;endStation=22", "Clic para verlo en la web de RoadSurfer")</f>
        <v/>
      </c>
    </row>
    <row r="101">
      <c r="A101" t="inlineStr">
        <is>
          <t>Francia</t>
        </is>
      </c>
      <c r="B101" t="inlineStr">
        <is>
          <t>Nantes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No hay coche</t>
        </is>
      </c>
      <c r="H101">
        <f>HYPERLINK("https://booking.roadsurfer.com/es/rally/pick?pickup_date=2026-09-02&amp;return_date=2026-09-09&amp;currency=EUR&amp;startStation=31&amp;endStation=22", "Clic para verlo en la web de RoadSurfer")</f>
        <v/>
      </c>
    </row>
    <row r="102">
      <c r="A102" t="inlineStr">
        <is>
          <t>Francia</t>
        </is>
      </c>
      <c r="B102" t="inlineStr">
        <is>
          <t>Nantes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2026-09-03</t>
        </is>
      </c>
      <c r="F102" t="inlineStr">
        <is>
          <t>2026-09-10</t>
        </is>
      </c>
      <c r="G102" t="inlineStr">
        <is>
          <t xml:space="preserve"> - Surfer Suite</t>
        </is>
      </c>
      <c r="H102">
        <f>HYPERLINK("https://booking.roadsurfer.com/es/rally/pick?pickup_date=2026-09-03&amp;return_date=2026-09-10&amp;currency=EUR&amp;startStation=31&amp;endStation=22", "Clic para verlo en la web de RoadSurfer")</f>
        <v/>
      </c>
    </row>
    <row r="103">
      <c r="A103" t="inlineStr">
        <is>
          <t>Francia</t>
        </is>
      </c>
      <c r="B103" t="inlineStr">
        <is>
          <t>Nantes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2026-09-09</t>
        </is>
      </c>
      <c r="F103" t="inlineStr">
        <is>
          <t>2026-09-16</t>
        </is>
      </c>
      <c r="G103" t="inlineStr">
        <is>
          <t xml:space="preserve"> - FAMILY FINCA</t>
        </is>
      </c>
      <c r="H103">
        <f>HYPERLINK("https://booking.roadsurfer.com/es/rally/pick?pickup_date=2026-09-09&amp;return_date=2026-09-16&amp;currency=EUR&amp;startStation=31&amp;endStation=22", "Clic para verlo en la web de RoadSurfer")</f>
        <v/>
      </c>
    </row>
    <row r="104">
      <c r="A104" t="inlineStr">
        <is>
          <t>Francia</t>
        </is>
      </c>
      <c r="B104" t="inlineStr">
        <is>
          <t>Nantes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2026-09-17</t>
        </is>
      </c>
      <c r="F104" t="inlineStr">
        <is>
          <t>2026-09-24</t>
        </is>
      </c>
      <c r="G104" t="inlineStr">
        <is>
          <t xml:space="preserve"> - Camper Castle</t>
        </is>
      </c>
      <c r="H104">
        <f>HYPERLINK("https://booking.roadsurfer.com/es/rally/pick?pickup_date=2026-09-17&amp;return_date=2026-09-24&amp;currency=EUR&amp;startStation=31&amp;endStation=22", "Clic para verlo en la web de RoadSurfer")</f>
        <v/>
      </c>
    </row>
    <row r="105">
      <c r="A105" t="inlineStr">
        <is>
          <t>Francia</t>
        </is>
      </c>
      <c r="B105" t="inlineStr">
        <is>
          <t>Nantes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Road House</t>
        </is>
      </c>
      <c r="H105">
        <f>HYPERLINK("https://booking.roadsurfer.com/es/rally/pick?pickup_date=2026-09-08&amp;return_date=2026-09-15&amp;currency=EUR&amp;startStation=31&amp;endStation=22", "Clic para verlo en la web de RoadSurfer")</f>
        <v/>
      </c>
    </row>
    <row r="106">
      <c r="A106" t="inlineStr">
        <is>
          <t>Francia</t>
        </is>
      </c>
      <c r="B106" t="inlineStr">
        <is>
          <t>Nantes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2026-09-17</t>
        </is>
      </c>
      <c r="F106" t="inlineStr">
        <is>
          <t>2026-09-24</t>
        </is>
      </c>
      <c r="G106" t="inlineStr">
        <is>
          <t xml:space="preserve"> - ROAD HOUSE</t>
        </is>
      </c>
      <c r="H106">
        <f>HYPERLINK("https://booking.roadsurfer.com/es/rally/pick?pickup_date=2026-09-17&amp;return_date=2026-09-24&amp;currency=EUR&amp;startStation=31&amp;endStation=1", "Clic para verlo en la web de RoadSurfer")</f>
        <v/>
      </c>
    </row>
    <row r="107">
      <c r="A107" t="inlineStr">
        <is>
          <t>Francia</t>
        </is>
      </c>
      <c r="B107" t="inlineStr">
        <is>
          <t>Nantes</t>
        </is>
      </c>
      <c r="C107" t="inlineStr">
        <is>
          <t>Alemania</t>
        </is>
      </c>
      <c r="D107" t="inlineStr">
        <is>
          <t>Hamburgo</t>
        </is>
      </c>
      <c r="E107" t="inlineStr">
        <is>
          <t>2026-09-30</t>
        </is>
      </c>
      <c r="F107" t="inlineStr">
        <is>
          <t>2026-10-07</t>
        </is>
      </c>
      <c r="G107" t="inlineStr">
        <is>
          <t xml:space="preserve"> - Surfer Suite</t>
        </is>
      </c>
      <c r="H107">
        <f>HYPERLINK("https://booking.roadsurfer.com/es/rally/pick?pickup_date=2026-09-30&amp;return_date=2026-10-07&amp;currency=EUR&amp;startStation=31&amp;endStation=3",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Alemania</t>
        </is>
      </c>
      <c r="D108" t="inlineStr">
        <is>
          <t>Lübeck</t>
        </is>
      </c>
      <c r="E108" t="inlineStr">
        <is>
          <t>2026-09-25</t>
        </is>
      </c>
      <c r="F108" t="inlineStr">
        <is>
          <t>2026-10-02</t>
        </is>
      </c>
      <c r="G108" t="inlineStr">
        <is>
          <t xml:space="preserve"> - Beach Hostel</t>
        </is>
      </c>
      <c r="H108">
        <f>HYPERLINK("https://booking.roadsurfer.com/es/rally/pick?pickup_date=2026-09-25&amp;return_date=2026-10-02&amp;currency=EUR&amp;startStation=31&amp;endStation=109", "Clic para verlo en la web de RoadSurfer")</f>
        <v/>
      </c>
    </row>
    <row r="109">
      <c r="A109" t="inlineStr">
        <is>
          <t>Francia</t>
        </is>
      </c>
      <c r="B109" t="inlineStr">
        <is>
          <t>Niza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2026-09-10</t>
        </is>
      </c>
      <c r="F109" t="inlineStr">
        <is>
          <t>2026-09-17</t>
        </is>
      </c>
      <c r="G109" t="inlineStr">
        <is>
          <t xml:space="preserve"> - COZY COTTAGE</t>
        </is>
      </c>
      <c r="H109">
        <f>HYPERLINK("https://booking.roadsurfer.com/es/rally/pick?pickup_date=2026-09-10&amp;return_date=2026-09-17&amp;currency=EUR&amp;startStation=88&amp;endStation=22", "Clic para verlo en la web de RoadSurfer")</f>
        <v/>
      </c>
    </row>
    <row r="110">
      <c r="A110" t="inlineStr">
        <is>
          <t>Francia</t>
        </is>
      </c>
      <c r="B110" t="inlineStr">
        <is>
          <t>Niza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HYPERLINK("https://booking.roadsurfer.com/es/rally/pick?pickup_date=2026-09-15&amp;return_date=2026-09-22&amp;currency=EUR&amp;startStation=88&amp;endStation=22", "Clic para verlo en la web de RoadSurfer")</f>
        <v/>
      </c>
    </row>
    <row r="111">
      <c r="A111" t="inlineStr">
        <is>
          <t>Francia</t>
        </is>
      </c>
      <c r="B111" t="inlineStr">
        <is>
          <t>Niza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Couple Cottage</t>
        </is>
      </c>
      <c r="H111">
        <f>HYPERLINK("https://booking.roadsurfer.com/es/rally/pick?pickup_date=2026-09-16&amp;return_date=2026-09-23&amp;currency=EUR&amp;startStation=88&amp;endStation=22",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Camper Cabin</t>
        </is>
      </c>
      <c r="H112">
        <f>HYPERLINK("https://booking.roadsurfer.com/es/rally/pick?pickup_date=2026-09-16&amp;return_date=2026-09-23&amp;currency=EUR&amp;startStation=12&amp;endStation=22",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Camper Cabin</t>
        </is>
      </c>
      <c r="H113">
        <f>HYPERLINK("https://booking.roadsurfer.com/es/rally/pick?pickup_date=2026-09-15&amp;return_date=2026-09-22&amp;currency=EUR&amp;startStation=12&amp;endStation=22",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Travel Home</t>
        </is>
      </c>
      <c r="H114">
        <f>HYPERLINK("https://booking.roadsurfer.com/es/rally/pick?pickup_date=2026-09-08&amp;return_date=2026-09-15&amp;currency=EUR&amp;startStation=12&amp;endStation=22",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Sur (Orly)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2026-09-11</t>
        </is>
      </c>
      <c r="F115" t="inlineStr">
        <is>
          <t>2026-09-18</t>
        </is>
      </c>
      <c r="G115" t="inlineStr">
        <is>
          <t xml:space="preserve"> - Surfer Suite</t>
        </is>
      </c>
      <c r="H115">
        <f>HYPERLINK("https://booking.roadsurfer.com/es/rally/pick?pickup_date=2026-09-11&amp;return_date=2026-09-18&amp;currency=EUR&amp;startStation=12&amp;endStation=22",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Sur (Orly)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2026-09-09</t>
        </is>
      </c>
      <c r="F116" t="inlineStr">
        <is>
          <t>2026-09-16</t>
        </is>
      </c>
      <c r="G116" t="inlineStr">
        <is>
          <t xml:space="preserve"> - Surfer Suite - Couple Cottage</t>
        </is>
      </c>
      <c r="H116">
        <f>HYPERLINK("https://booking.roadsurfer.com/es/rally/pick?pickup_date=2026-09-09&amp;return_date=2026-09-16&amp;currency=EUR&amp;startStation=12&amp;endStation=22",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Sur (Orly)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2026-09-01</t>
        </is>
      </c>
      <c r="F117" t="inlineStr">
        <is>
          <t>2026-09-08</t>
        </is>
      </c>
      <c r="G117" t="inlineStr">
        <is>
          <t xml:space="preserve"> - COUPLE COTTAGE</t>
        </is>
      </c>
      <c r="H117">
        <f>HYPERLINK("https://booking.roadsurfer.com/es/rally/pick?pickup_date=2026-09-01&amp;return_date=2026-09-08&amp;currency=EUR&amp;startStation=12&amp;endStation=22",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2026-09-12</t>
        </is>
      </c>
      <c r="F118" t="inlineStr">
        <is>
          <t>2026-09-19</t>
        </is>
      </c>
      <c r="G118" t="inlineStr">
        <is>
          <t xml:space="preserve"> - Camper Cabin</t>
        </is>
      </c>
      <c r="H118">
        <f>HYPERLINK("https://booking.roadsurfer.com/es/rally/pick?pickup_date=2026-09-12&amp;return_date=2026-09-19&amp;currency=EUR&amp;startStation=12&amp;endStation=7",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2026-09-23</t>
        </is>
      </c>
      <c r="F119" t="inlineStr">
        <is>
          <t>2026-09-30</t>
        </is>
      </c>
      <c r="G119" t="inlineStr">
        <is>
          <t xml:space="preserve"> - Surfer Suite</t>
        </is>
      </c>
      <c r="H119">
        <f>HYPERLINK("https://booking.roadsurfer.com/es/rally/pick?pickup_date=2026-09-23&amp;return_date=2026-09-30&amp;currency=EUR&amp;startStation=12&amp;endStation=7",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Surfer Suite</t>
        </is>
      </c>
      <c r="H120">
        <f>HYPERLINK("https://booking.roadsurfer.com/es/rally/pick?pickup_date=2026-09-14&amp;return_date=2026-09-21&amp;currency=EUR&amp;startStation=12&amp;endStation=7",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2026-09-19</t>
        </is>
      </c>
      <c r="F121" t="inlineStr">
        <is>
          <t>2026-09-26</t>
        </is>
      </c>
      <c r="G121" t="inlineStr">
        <is>
          <t xml:space="preserve"> - Surfer Suite</t>
        </is>
      </c>
      <c r="H121">
        <f>HYPERLINK("https://booking.roadsurfer.com/es/rally/pick?pickup_date=2026-09-19&amp;return_date=2026-09-26&amp;currency=EUR&amp;startStation=12&amp;endStation=9",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Karlsruhe</t>
        </is>
      </c>
      <c r="E122" t="inlineStr">
        <is>
          <t>2026-09-24</t>
        </is>
      </c>
      <c r="F122" t="inlineStr">
        <is>
          <t>2026-10-01</t>
        </is>
      </c>
      <c r="G122" t="inlineStr">
        <is>
          <t xml:space="preserve"> - Road House</t>
        </is>
      </c>
      <c r="H122">
        <f>HYPERLINK("https://booking.roadsurfer.com/es/rally/pick?pickup_date=2026-09-24&amp;return_date=2026-10-01&amp;currency=EUR&amp;startStation=12&amp;endStation=110",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Karlsruhe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Beach Hostel</t>
        </is>
      </c>
      <c r="H123">
        <f>HYPERLINK("https://booking.roadsurfer.com/es/rally/pick?pickup_date=2026-09-11&amp;return_date=2026-09-18&amp;currency=EUR&amp;startStation=12&amp;endStation=110",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2026-09-26</t>
        </is>
      </c>
      <c r="F124" t="inlineStr">
        <is>
          <t>2026-10-03</t>
        </is>
      </c>
      <c r="G124" t="inlineStr">
        <is>
          <t xml:space="preserve"> - No hay coche</t>
        </is>
      </c>
      <c r="H124">
        <f>HYPERLINK("https://booking.roadsurfer.com/es/rally/pick?pickup_date=2026-09-26&amp;return_date=2026-10-03&amp;currency=EUR&amp;startStation=12&amp;endStation=113",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2026-09-21</t>
        </is>
      </c>
      <c r="F125" t="inlineStr">
        <is>
          <t>2026-09-28</t>
        </is>
      </c>
      <c r="G125" t="inlineStr">
        <is>
          <t xml:space="preserve"> - Beach Hostel</t>
        </is>
      </c>
      <c r="H125">
        <f>HYPERLINK("https://booking.roadsurfer.com/es/rally/pick?pickup_date=2026-09-21&amp;return_date=2026-09-28&amp;currency=EUR&amp;startStation=12&amp;endStation=1",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Berlín</t>
        </is>
      </c>
      <c r="E126" t="inlineStr">
        <is>
          <t>2026-09-01</t>
        </is>
      </c>
      <c r="F126" t="inlineStr">
        <is>
          <t>2026-09-08</t>
        </is>
      </c>
      <c r="G126" t="inlineStr">
        <is>
          <t xml:space="preserve"> - Surfer Suite</t>
        </is>
      </c>
      <c r="H126">
        <f>HYPERLINK("https://booking.roadsurfer.com/es/rally/pick?pickup_date=2026-09-01&amp;return_date=2026-09-08&amp;currency=EUR&amp;startStation=12&amp;endStation=6",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2026-09-28</t>
        </is>
      </c>
      <c r="F127" t="inlineStr">
        <is>
          <t>2026-10-05</t>
        </is>
      </c>
      <c r="G127" t="inlineStr">
        <is>
          <t xml:space="preserve"> - No hay coche</t>
        </is>
      </c>
      <c r="H127">
        <f>HYPERLINK("https://booking.roadsurfer.com/es/rally/pick?pickup_date=2026-09-28&amp;return_date=2026-10-05&amp;currency=EUR&amp;startStation=12&amp;endStation=8", "Clic para verlo en la web de RoadSurfer")</f>
        <v/>
      </c>
    </row>
    <row r="128">
      <c r="A128" t="inlineStr">
        <is>
          <t>Francia</t>
        </is>
      </c>
      <c r="B128" t="inlineStr">
        <is>
          <t>París Aeropuerto CDG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2026-09-12</t>
        </is>
      </c>
      <c r="F128" t="inlineStr">
        <is>
          <t>2026-09-19</t>
        </is>
      </c>
      <c r="G128" t="inlineStr">
        <is>
          <t xml:space="preserve"> - Surfer Suite</t>
        </is>
      </c>
      <c r="H128">
        <f>HYPERLINK("https://booking.roadsurfer.com/es/rally/pick?pickup_date=2026-09-12&amp;return_date=2026-09-19&amp;currency=EUR&amp;startStation=48&amp;endStation=10", "Clic para verlo en la web de RoadSurfer")</f>
        <v/>
      </c>
    </row>
    <row r="129">
      <c r="A129" t="inlineStr">
        <is>
          <t>Francia</t>
        </is>
      </c>
      <c r="B129" t="inlineStr">
        <is>
          <t>París Aeropuerto CDG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HYPERLINK("https://booking.roadsurfer.com/es/rally/pick?pickup_date=2026-09-08&amp;return_date=2026-09-15&amp;currency=EUR&amp;startStation=48&amp;endStation=22", "Clic para verlo en la web de RoadSurfer")</f>
        <v/>
      </c>
    </row>
    <row r="130">
      <c r="A130" t="inlineStr">
        <is>
          <t>Francia</t>
        </is>
      </c>
      <c r="B130" t="inlineStr">
        <is>
          <t>París Aeropuerto CDG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Camper Castle</t>
        </is>
      </c>
      <c r="H130">
        <f>HYPERLINK("https://booking.roadsurfer.com/es/rally/pick?pickup_date=2026-09-09&amp;return_date=2026-09-16&amp;currency=EUR&amp;startStation=48&amp;endStation=22", "Clic para verlo en la web de RoadSurfer")</f>
        <v/>
      </c>
    </row>
    <row r="131">
      <c r="A131" t="inlineStr">
        <is>
          <t>Francia</t>
        </is>
      </c>
      <c r="B131" t="inlineStr">
        <is>
          <t>París Aeropuerto CDG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Couple Cottage</t>
        </is>
      </c>
      <c r="H131">
        <f>HYPERLINK("https://booking.roadsurfer.com/es/rally/pick?pickup_date=2026-09-14&amp;return_date=2026-09-21&amp;currency=EUR&amp;startStation=48&amp;endStation=22", "Clic para verlo en la web de RoadSurfer")</f>
        <v/>
      </c>
    </row>
    <row r="132">
      <c r="A132" t="inlineStr">
        <is>
          <t>Francia</t>
        </is>
      </c>
      <c r="B132" t="inlineStr">
        <is>
          <t>París Aeropuerto CDG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2026-09-10</t>
        </is>
      </c>
      <c r="F132" t="inlineStr">
        <is>
          <t>2026-09-17</t>
        </is>
      </c>
      <c r="G132" t="inlineStr">
        <is>
          <t xml:space="preserve"> - Family Finca</t>
        </is>
      </c>
      <c r="H132">
        <f>HYPERLINK("https://booking.roadsurfer.com/es/rally/pick?pickup_date=2026-09-10&amp;return_date=2026-09-17&amp;currency=EUR&amp;startStation=48&amp;endStation=7", "Clic para verlo en la web de RoadSurfer")</f>
        <v/>
      </c>
    </row>
    <row r="133">
      <c r="A133" t="inlineStr">
        <is>
          <t>Francia</t>
        </is>
      </c>
      <c r="B133" t="inlineStr">
        <is>
          <t>París Aeropuerto CDG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2026-09-09</t>
        </is>
      </c>
      <c r="F133" t="inlineStr">
        <is>
          <t>2026-09-16</t>
        </is>
      </c>
      <c r="G133" t="inlineStr">
        <is>
          <t xml:space="preserve"> - Couple Cottage</t>
        </is>
      </c>
      <c r="H133">
        <f>HYPERLINK("https://booking.roadsurfer.com/es/rally/pick?pickup_date=2026-09-09&amp;return_date=2026-09-16&amp;currency=EUR&amp;startStation=48&amp;endStation=90", "Clic para verlo en la web de RoadSurfer")</f>
        <v/>
      </c>
    </row>
    <row r="134">
      <c r="A134" t="inlineStr">
        <is>
          <t>Francia</t>
        </is>
      </c>
      <c r="B134" t="inlineStr">
        <is>
          <t>París Aeropuerto CDG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2026-09-19</t>
        </is>
      </c>
      <c r="F134" t="inlineStr">
        <is>
          <t>2026-09-26</t>
        </is>
      </c>
      <c r="G134" t="inlineStr">
        <is>
          <t xml:space="preserve"> - Camper Castle</t>
        </is>
      </c>
      <c r="H134">
        <f>HYPERLINK("https://booking.roadsurfer.com/es/rally/pick?pickup_date=2026-09-19&amp;return_date=2026-09-26&amp;currency=EUR&amp;startStation=48&amp;endStation=90", "Clic para verlo en la web de RoadSurfer")</f>
        <v/>
      </c>
    </row>
    <row r="135">
      <c r="A135" t="inlineStr">
        <is>
          <t>Italia</t>
        </is>
      </c>
      <c r="B135" t="inlineStr">
        <is>
          <t>Roma Aeropuerto Fiumicino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Couple Cottage</t>
        </is>
      </c>
      <c r="H135">
        <f>HYPERLINK("https://booking.roadsurfer.com/es/rally/pick?pickup_date=2026-09-07&amp;return_date=2026-09-14&amp;currency=EUR&amp;startStation=35&amp;endStation=22", "Clic para verlo en la web de RoadSurfer")</f>
        <v/>
      </c>
    </row>
    <row r="136">
      <c r="A136" t="inlineStr">
        <is>
          <t>Italia</t>
        </is>
      </c>
      <c r="B136" t="inlineStr">
        <is>
          <t>Roma Aeropuerto Fiumicino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Road House</t>
        </is>
      </c>
      <c r="H136">
        <f>HYPERLINK("https://booking.roadsurfer.com/es/rally/pick?pickup_date=2026-09-15&amp;return_date=2026-09-22&amp;currency=EUR&amp;startStation=35&amp;endStation=22", "Clic para verlo en la web de RoadSurfer")</f>
        <v/>
      </c>
    </row>
    <row r="137">
      <c r="A137" t="inlineStr">
        <is>
          <t>Países Bajos</t>
        </is>
      </c>
      <c r="B137" t="inlineStr">
        <is>
          <t>Róterdam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2026-09-26</t>
        </is>
      </c>
      <c r="F137" t="inlineStr">
        <is>
          <t>2026-10-03</t>
        </is>
      </c>
      <c r="G137" t="inlineStr">
        <is>
          <t xml:space="preserve"> - No hay coche</t>
        </is>
      </c>
      <c r="H137">
        <f>HYPERLINK("https://booking.roadsurfer.com/es/rally/pick?pickup_date=2026-09-26&amp;return_date=2026-10-03&amp;currency=EUR&amp;startStation=33&amp;endStation=55", "Clic para verlo en la web de RoadSurfer")</f>
        <v/>
      </c>
    </row>
    <row r="138">
      <c r="A138" t="inlineStr">
        <is>
          <t>Países Bajos</t>
        </is>
      </c>
      <c r="B138" t="inlineStr">
        <is>
          <t>Róterdam</t>
        </is>
      </c>
      <c r="C138" t="inlineStr">
        <is>
          <t>Alemania</t>
        </is>
      </c>
      <c r="D138" t="inlineStr">
        <is>
          <t>Duisburgo</t>
        </is>
      </c>
      <c r="E138" t="inlineStr">
        <is>
          <t>2026-09-23</t>
        </is>
      </c>
      <c r="F138" t="inlineStr">
        <is>
          <t>2026-09-30</t>
        </is>
      </c>
      <c r="G138" t="inlineStr">
        <is>
          <t xml:space="preserve"> - Surfer Suite</t>
        </is>
      </c>
      <c r="H138">
        <f>HYPERLINK("https://booking.roadsurfer.com/es/rally/pick?pickup_date=2026-09-23&amp;return_date=2026-09-30&amp;currency=EUR&amp;startStation=33&amp;endStation=113", "Clic para verlo en la web de RoadSurfer")</f>
        <v/>
      </c>
    </row>
    <row r="139">
      <c r="A139" t="inlineStr">
        <is>
          <t>EE.UU.</t>
        </is>
      </c>
      <c r="B139" t="inlineStr">
        <is>
          <t>Salt Lake City</t>
        </is>
      </c>
      <c r="C139" t="inlineStr">
        <is>
          <t>EE.UU.</t>
        </is>
      </c>
      <c r="D139" t="inlineStr">
        <is>
          <t>Las Vegas</t>
        </is>
      </c>
      <c r="E139" t="inlineStr">
        <is>
          <t>2026-08-20</t>
        </is>
      </c>
      <c r="F139" t="inlineStr">
        <is>
          <t>2026-08-26</t>
        </is>
      </c>
      <c r="G139" t="inlineStr">
        <is>
          <t xml:space="preserve"> - No hay coche</t>
        </is>
      </c>
      <c r="H139">
        <f>HYPERLINK("https://booking.roadsurfer.com/es/rally/pick?pickup_date=2026-08-20&amp;return_date=2026-08-26&amp;currency=EUR&amp;startStation=106&amp;endStation=76", "Clic para verlo en la web de RoadSurfer")</f>
        <v/>
      </c>
    </row>
    <row r="140">
      <c r="A140" t="inlineStr">
        <is>
          <t>EE.UU.</t>
        </is>
      </c>
      <c r="B140" t="inlineStr">
        <is>
          <t>San Francisco</t>
        </is>
      </c>
      <c r="C140" t="inlineStr">
        <is>
          <t>EE.UU.</t>
        </is>
      </c>
      <c r="D140" t="inlineStr">
        <is>
          <t>Dallas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Family Freedom</t>
        </is>
      </c>
      <c r="H140">
        <f>HYPERLINK("https://booking.roadsurfer.com/es/rally/pick?pickup_date=2026-09-14&amp;return_date=2026-09-21&amp;currency=EUR&amp;startStation=75&amp;endStation=125", "Clic para verlo en la web de RoadSurfer")</f>
        <v/>
      </c>
    </row>
    <row r="141">
      <c r="A141" t="inlineStr">
        <is>
          <t>EE.UU.</t>
        </is>
      </c>
      <c r="B141" t="inlineStr">
        <is>
          <t>Seattle</t>
        </is>
      </c>
      <c r="C141" t="inlineStr">
        <is>
          <t>EE.UU.</t>
        </is>
      </c>
      <c r="D141" t="inlineStr">
        <is>
          <t>Dallas</t>
        </is>
      </c>
      <c r="E141" t="inlineStr">
        <is>
          <t>2026-08-18</t>
        </is>
      </c>
      <c r="F141" t="inlineStr">
        <is>
          <t>2026-08-28</t>
        </is>
      </c>
      <c r="G141" t="inlineStr">
        <is>
          <t xml:space="preserve"> - No hay coche</t>
        </is>
      </c>
      <c r="H141">
        <f>HYPERLINK("https://booking.roadsurfer.com/es/rally/pick?pickup_date=2026-08-18&amp;return_date=2026-08-28&amp;currency=EUR&amp;startStation=107&amp;endStation=125", "Clic para verlo en la web de RoadSurfer")</f>
        <v/>
      </c>
    </row>
    <row r="142">
      <c r="A142" t="inlineStr">
        <is>
          <t>Francia</t>
        </is>
      </c>
      <c r="B142" t="inlineStr">
        <is>
          <t>Toulouse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2026-09-07</t>
        </is>
      </c>
      <c r="F142" t="inlineStr">
        <is>
          <t>2026-09-14</t>
        </is>
      </c>
      <c r="G142" t="inlineStr">
        <is>
          <t xml:space="preserve"> - Travel Home</t>
        </is>
      </c>
      <c r="H142">
        <f>HYPERLINK("https://booking.roadsurfer.com/es/rally/pick?pickup_date=2026-09-07&amp;return_date=2026-09-14&amp;currency=EUR&amp;startStation=30&amp;endStation=22", "Clic para verlo en la web de RoadSurfer")</f>
        <v/>
      </c>
    </row>
    <row r="143">
      <c r="A143" t="inlineStr">
        <is>
          <t>Francia</t>
        </is>
      </c>
      <c r="B143" t="inlineStr">
        <is>
          <t>Toulouse</t>
        </is>
      </c>
      <c r="C143" t="inlineStr">
        <is>
          <t>Alemania</t>
        </is>
      </c>
      <c r="D143" t="inlineStr">
        <is>
          <t>Duisburgo</t>
        </is>
      </c>
      <c r="E143" t="inlineStr">
        <is>
          <t>2026-09-07</t>
        </is>
      </c>
      <c r="F143" t="inlineStr">
        <is>
          <t>2026-09-14</t>
        </is>
      </c>
      <c r="G143" t="inlineStr">
        <is>
          <t xml:space="preserve"> - Road House</t>
        </is>
      </c>
      <c r="H143">
        <f>HYPERLINK("https://booking.roadsurfer.com/es/rally/pick?pickup_date=2026-09-07&amp;return_date=2026-09-14&amp;currency=EUR&amp;startStation=30&amp;endStation=113", "Clic para verlo en la web de RoadSurfer")</f>
        <v/>
      </c>
    </row>
    <row r="144">
      <c r="A144" t="inlineStr">
        <is>
          <t>Francia</t>
        </is>
      </c>
      <c r="B144" t="inlineStr">
        <is>
          <t>Toulouse</t>
        </is>
      </c>
      <c r="C144" t="inlineStr">
        <is>
          <t>Alemania</t>
        </is>
      </c>
      <c r="D144" t="inlineStr">
        <is>
          <t>Lübeck</t>
        </is>
      </c>
      <c r="E144" t="inlineStr">
        <is>
          <t>2026-09-02</t>
        </is>
      </c>
      <c r="F144" t="inlineStr">
        <is>
          <t>2026-09-09</t>
        </is>
      </c>
      <c r="G144" t="inlineStr">
        <is>
          <t xml:space="preserve"> - ROAD HOUSE</t>
        </is>
      </c>
      <c r="H144">
        <f>HYPERLINK("https://booking.roadsurfer.com/es/rally/pick?pickup_date=2026-09-02&amp;return_date=2026-09-09&amp;currency=EUR&amp;startStation=30&amp;endStation=109", "Clic para verlo en la web de RoadSurfer")</f>
        <v/>
      </c>
    </row>
    <row r="145">
      <c r="A145" t="inlineStr">
        <is>
          <t>Francia</t>
        </is>
      </c>
      <c r="B145" t="inlineStr">
        <is>
          <t>Toulouse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2026-08-31</t>
        </is>
      </c>
      <c r="F145" t="inlineStr">
        <is>
          <t>2026-09-07</t>
        </is>
      </c>
      <c r="G145" t="inlineStr">
        <is>
          <t xml:space="preserve"> - Surfer Suite</t>
        </is>
      </c>
      <c r="H145">
        <f>HYPERLINK("https://booking.roadsurfer.com/es/rally/pick?pickup_date=2026-08-31&amp;return_date=2026-09-07&amp;currency=EUR&amp;startStation=30&amp;endStation=3", "Clic para verlo en la web de RoadSurfer")</f>
        <v/>
      </c>
    </row>
    <row r="146">
      <c r="A146" t="inlineStr">
        <is>
          <t>Francia</t>
        </is>
      </c>
      <c r="B146" t="inlineStr">
        <is>
          <t>Toulouse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Surfer Suite</t>
        </is>
      </c>
      <c r="H146">
        <f>HYPERLINK("https://booking.roadsurfer.com/es/rally/pick?pickup_date=2026-09-16&amp;return_date=2026-09-23&amp;currency=EUR&amp;startStation=30&amp;endStation=8", "Clic para verlo en la web de RoadSurfer")</f>
        <v/>
      </c>
    </row>
    <row r="147">
      <c r="A147" t="inlineStr">
        <is>
          <t>Alemania</t>
        </is>
      </c>
      <c r="B147" t="inlineStr">
        <is>
          <t>Tréveris</t>
        </is>
      </c>
      <c r="C147" t="inlineStr">
        <is>
          <t>Francia</t>
        </is>
      </c>
      <c r="D147" t="inlineStr">
        <is>
          <t>Niza</t>
        </is>
      </c>
      <c r="E147" t="inlineStr">
        <is>
          <t>2026-08-03</t>
        </is>
      </c>
      <c r="F147" t="inlineStr">
        <is>
          <t>2026-08-10</t>
        </is>
      </c>
      <c r="G147" t="inlineStr">
        <is>
          <t xml:space="preserve"> - No hay coche</t>
        </is>
      </c>
      <c r="H147">
        <f>HYPERLINK("https://booking.roadsurfer.com/es/rally/pick?pickup_date=2026-08-03&amp;return_date=2026-08-10&amp;currency=EUR&amp;startStation=28&amp;endStation=88", "Clic para verlo en la web de RoadSurfer")</f>
        <v/>
      </c>
    </row>
    <row r="148">
      <c r="A148" t="inlineStr">
        <is>
          <t>Italia</t>
        </is>
      </c>
      <c r="B148" t="inlineStr">
        <is>
          <t>Turín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Surfer Suite</t>
        </is>
      </c>
      <c r="H148">
        <f>HYPERLINK("https://booking.roadsurfer.com/es/rally/pick?pickup_date=2026-09-09&amp;return_date=2026-09-16&amp;currency=EUR&amp;startStation=58&amp;endStation=56", "Clic para verlo en la web de RoadSurfer")</f>
        <v/>
      </c>
    </row>
    <row r="149">
      <c r="A149" t="inlineStr">
        <is>
          <t>Italia</t>
        </is>
      </c>
      <c r="B149" t="inlineStr">
        <is>
          <t>Turín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Family Finca</t>
        </is>
      </c>
      <c r="H149">
        <f>HYPERLINK("https://booking.roadsurfer.com/es/rally/pick?pickup_date=2026-09-08&amp;return_date=2026-09-15&amp;currency=EUR&amp;startStation=58&amp;endStation=22", "Clic para verlo en la web de RoadSurfer")</f>
        <v/>
      </c>
    </row>
    <row r="150">
      <c r="A150" t="inlineStr">
        <is>
          <t>Italia</t>
        </is>
      </c>
      <c r="B150" t="inlineStr">
        <is>
          <t>Turín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2026-09-10</t>
        </is>
      </c>
      <c r="F150" t="inlineStr">
        <is>
          <t>2026-09-17</t>
        </is>
      </c>
      <c r="G150" t="inlineStr">
        <is>
          <t xml:space="preserve"> - ROAD HOUSE</t>
        </is>
      </c>
      <c r="H150">
        <f>HYPERLINK("https://booking.roadsurfer.com/es/rally/pick?pickup_date=2026-09-10&amp;return_date=2026-09-17&amp;currency=EUR&amp;startStation=58&amp;endStation=22", "Clic para verlo en la web de RoadSurfer")</f>
        <v/>
      </c>
    </row>
    <row r="151">
      <c r="A151" t="inlineStr">
        <is>
          <t>Italia</t>
        </is>
      </c>
      <c r="B151" t="inlineStr">
        <is>
          <t>Turín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Road House</t>
        </is>
      </c>
      <c r="H151">
        <f>HYPERLINK("https://booking.roadsurfer.com/es/rally/pick?pickup_date=2026-09-11&amp;return_date=2026-09-18&amp;currency=EUR&amp;startStation=58&amp;endStation=22", "Clic para verlo en la web de RoadSurfer")</f>
        <v/>
      </c>
    </row>
    <row r="152">
      <c r="A152" t="inlineStr">
        <is>
          <t>Italia</t>
        </is>
      </c>
      <c r="B152" t="inlineStr">
        <is>
          <t>Turín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Surfer Suite</t>
        </is>
      </c>
      <c r="H152">
        <f>HYPERLINK("https://booking.roadsurfer.com/es/rally/pick?pickup_date=2026-09-15&amp;return_date=2026-09-22&amp;currency=EUR&amp;startStation=58&amp;endStation=22", "Clic para verlo en la web de RoadSurfer")</f>
        <v/>
      </c>
    </row>
    <row r="153">
      <c r="A153" t="inlineStr">
        <is>
          <t>Italia</t>
        </is>
      </c>
      <c r="B153" t="inlineStr">
        <is>
          <t>Turín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2026-09-21</t>
        </is>
      </c>
      <c r="F153" t="inlineStr">
        <is>
          <t>2026-09-28</t>
        </is>
      </c>
      <c r="G153" t="inlineStr">
        <is>
          <t xml:space="preserve"> - Road House</t>
        </is>
      </c>
      <c r="H153">
        <f>HYPERLINK("https://booking.roadsurfer.com/es/rally/pick?pickup_date=2026-09-21&amp;return_date=2026-09-28&amp;currency=EUR&amp;startStation=58&amp;endStation=55", "Clic para verlo en la web de RoadSurfer")</f>
        <v/>
      </c>
    </row>
    <row r="154">
      <c r="A154" t="inlineStr">
        <is>
          <t>Italia</t>
        </is>
      </c>
      <c r="B154" t="inlineStr">
        <is>
          <t>Turín</t>
        </is>
      </c>
      <c r="C154" t="inlineStr">
        <is>
          <t>Alemania</t>
        </is>
      </c>
      <c r="D154" t="inlineStr">
        <is>
          <t>Bremen</t>
        </is>
      </c>
      <c r="E154" t="inlineStr">
        <is>
          <t>2026-09-29</t>
        </is>
      </c>
      <c r="F154" t="inlineStr">
        <is>
          <t>2026-10-06</t>
        </is>
      </c>
      <c r="G154" t="inlineStr">
        <is>
          <t xml:space="preserve"> - Family Finca</t>
        </is>
      </c>
      <c r="H154">
        <f>HYPERLINK("https://booking.roadsurfer.com/es/rally/pick?pickup_date=2026-09-29&amp;return_date=2026-10-06&amp;currency=EUR&amp;startStation=58&amp;endStation=55", "Clic para verlo en la web de RoadSurfer")</f>
        <v/>
      </c>
    </row>
    <row r="155">
      <c r="A155" t="inlineStr">
        <is>
          <t>Italia</t>
        </is>
      </c>
      <c r="B155" t="inlineStr">
        <is>
          <t>Turín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2026-09-07</t>
        </is>
      </c>
      <c r="F155" t="inlineStr">
        <is>
          <t>2026-09-14</t>
        </is>
      </c>
      <c r="G155" t="inlineStr">
        <is>
          <t xml:space="preserve"> - Surfer Suite</t>
        </is>
      </c>
      <c r="H155">
        <f>HYPERLINK("https://booking.roadsurfer.com/es/rally/pick?pickup_date=2026-09-07&amp;return_date=2026-09-14&amp;currency=EUR&amp;startStation=58&amp;endStation=7", "Clic para verlo en la web de RoadSurfer")</f>
        <v/>
      </c>
    </row>
    <row r="156">
      <c r="A156" t="inlineStr">
        <is>
          <t>España</t>
        </is>
      </c>
      <c r="B156" t="inlineStr">
        <is>
          <t>Valencia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Surfer Suite</t>
        </is>
      </c>
      <c r="H156">
        <f>HYPERLINK("https://booking.roadsurfer.com/es/rally/pick?pickup_date=2026-09-02&amp;return_date=2026-09-09&amp;currency=EUR&amp;startStation=38&amp;endStation=55", "Clic para verlo en la web de RoadSurfer")</f>
        <v/>
      </c>
    </row>
    <row r="157">
      <c r="A157" t="inlineStr">
        <is>
          <t>España</t>
        </is>
      </c>
      <c r="B157" t="inlineStr">
        <is>
          <t>Valencia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Surfer Suite</t>
        </is>
      </c>
      <c r="H157">
        <f>HYPERLINK("https://booking.roadsurfer.com/es/rally/pick?pickup_date=2026-09-02&amp;return_date=2026-09-09&amp;currency=EUR&amp;startStation=38&amp;endStation=22", "Clic para verlo en la web de RoadSurfer")</f>
        <v/>
      </c>
    </row>
    <row r="158">
      <c r="A158" t="inlineStr">
        <is>
          <t>España</t>
        </is>
      </c>
      <c r="B158" t="inlineStr">
        <is>
          <t>Valencia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2026-09-25</t>
        </is>
      </c>
      <c r="F158" t="inlineStr">
        <is>
          <t>2026-10-02</t>
        </is>
      </c>
      <c r="G158" t="inlineStr">
        <is>
          <t xml:space="preserve"> - Couple Cottage</t>
        </is>
      </c>
      <c r="H158">
        <f>HYPERLINK("https://booking.roadsurfer.com/es/rally/pick?pickup_date=2026-09-25&amp;return_date=2026-10-02&amp;currency=EUR&amp;startStation=38&amp;endStation=22", "Clic para verlo en la web de RoadSurfer")</f>
        <v/>
      </c>
    </row>
    <row r="159">
      <c r="A159" t="inlineStr">
        <is>
          <t>España</t>
        </is>
      </c>
      <c r="B159" t="inlineStr">
        <is>
          <t>Valencia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2026-09-16</t>
        </is>
      </c>
      <c r="F159" t="inlineStr">
        <is>
          <t>2026-09-23</t>
        </is>
      </c>
      <c r="G159" t="inlineStr">
        <is>
          <t xml:space="preserve"> - Beach Hostel</t>
        </is>
      </c>
      <c r="H159">
        <f>HYPERLINK("https://booking.roadsurfer.com/es/rally/pick?pickup_date=2026-09-16&amp;return_date=2026-09-23&amp;currency=EUR&amp;startStation=38&amp;endStation=22", "Clic para verlo en la web de RoadSurfer")</f>
        <v/>
      </c>
    </row>
    <row r="160">
      <c r="A160" t="inlineStr">
        <is>
          <t>España</t>
        </is>
      </c>
      <c r="B160" t="inlineStr">
        <is>
          <t>Valencia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2026-09-30</t>
        </is>
      </c>
      <c r="F160" t="inlineStr">
        <is>
          <t>2026-10-07</t>
        </is>
      </c>
      <c r="G160" t="inlineStr">
        <is>
          <t xml:space="preserve"> - Surfer Suite</t>
        </is>
      </c>
      <c r="H160">
        <f>HYPERLINK("https://booking.roadsurfer.com/es/rally/pick?pickup_date=2026-09-30&amp;return_date=2026-10-07&amp;currency=EUR&amp;startStation=38&amp;endStation=1", "Clic para verlo en la web de RoadSurfer")</f>
        <v/>
      </c>
    </row>
    <row r="161">
      <c r="A161" t="inlineStr">
        <is>
          <t>Italia</t>
        </is>
      </c>
      <c r="B161" t="inlineStr">
        <is>
          <t>Venecia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2026-09-12</t>
        </is>
      </c>
      <c r="F161" t="inlineStr">
        <is>
          <t>2026-09-19</t>
        </is>
      </c>
      <c r="G161" t="inlineStr">
        <is>
          <t xml:space="preserve"> - No hay coche</t>
        </is>
      </c>
      <c r="H161">
        <f>HYPERLINK("https://booking.roadsurfer.com/es/rally/pick?pickup_date=2026-09-12&amp;return_date=2026-09-19&amp;currency=EUR&amp;startStation=78&amp;endStation=51", "Clic para verlo en la web de RoadSurfer")</f>
        <v/>
      </c>
    </row>
    <row r="162">
      <c r="A162" t="inlineStr">
        <is>
          <t>Italia</t>
        </is>
      </c>
      <c r="B162" t="inlineStr">
        <is>
          <t>Venecia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2026-09-25</t>
        </is>
      </c>
      <c r="F162" t="inlineStr">
        <is>
          <t>2026-10-02</t>
        </is>
      </c>
      <c r="G162" t="inlineStr">
        <is>
          <t xml:space="preserve"> - Surfer Suite</t>
        </is>
      </c>
      <c r="H162">
        <f>HYPERLINK("https://booking.roadsurfer.com/es/rally/pick?pickup_date=2026-09-25&amp;return_date=2026-10-02&amp;currency=EUR&amp;startStation=78&amp;endStation=51", "Clic para verlo en la web de RoadSurfer")</f>
        <v/>
      </c>
    </row>
    <row r="163">
      <c r="A163" t="inlineStr">
        <is>
          <t>Italia</t>
        </is>
      </c>
      <c r="B163" t="inlineStr">
        <is>
          <t>Venecia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No hay coche</t>
        </is>
      </c>
      <c r="H163">
        <f>HYPERLINK("https://booking.roadsurfer.com/es/rally/pick?pickup_date=2026-09-14&amp;return_date=2026-09-21&amp;currency=EUR&amp;startStation=78&amp;endStation=22", "Clic para verlo en la web de RoadSurfer")</f>
        <v/>
      </c>
    </row>
    <row r="164">
      <c r="A164" t="inlineStr">
        <is>
          <t>Italia</t>
        </is>
      </c>
      <c r="B164" t="inlineStr">
        <is>
          <t>Venecia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2026-09-26</t>
        </is>
      </c>
      <c r="F164" t="inlineStr">
        <is>
          <t>2026-10-03</t>
        </is>
      </c>
      <c r="G164" t="inlineStr">
        <is>
          <t xml:space="preserve"> - No hay coche</t>
        </is>
      </c>
      <c r="H164">
        <f>HYPERLINK("https://booking.roadsurfer.com/es/rally/pick?pickup_date=2026-09-26&amp;return_date=2026-10-03&amp;currency=EUR&amp;startStation=78&amp;endStation=22", "Clic para verlo en la web de RoadSurfer")</f>
        <v/>
      </c>
    </row>
    <row r="165">
      <c r="A165" t="inlineStr">
        <is>
          <t>Italia</t>
        </is>
      </c>
      <c r="B165" t="inlineStr">
        <is>
          <t>Venecia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2026-09-23</t>
        </is>
      </c>
      <c r="F165" t="inlineStr">
        <is>
          <t>2026-09-30</t>
        </is>
      </c>
      <c r="G165" t="inlineStr">
        <is>
          <t xml:space="preserve"> - Road House</t>
        </is>
      </c>
      <c r="H165">
        <f>HYPERLINK("https://booking.roadsurfer.com/es/rally/pick?pickup_date=2026-09-23&amp;return_date=2026-09-30&amp;currency=EUR&amp;startStation=78&amp;endStation=22", "Clic para verlo en la web de RoadSurfer")</f>
        <v/>
      </c>
    </row>
    <row r="166">
      <c r="A166" t="inlineStr">
        <is>
          <t>Austria</t>
        </is>
      </c>
      <c r="B166" t="inlineStr">
        <is>
          <t>Viena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2026-09-29</t>
        </is>
      </c>
      <c r="F166" t="inlineStr">
        <is>
          <t>2026-10-06</t>
        </is>
      </c>
      <c r="G166" t="inlineStr">
        <is>
          <t xml:space="preserve"> - No hay coche</t>
        </is>
      </c>
      <c r="H166">
        <f>HYPERLINK("https://booking.roadsurfer.com/es/rally/pick?pickup_date=2026-09-29&amp;return_date=2026-10-06&amp;currency=EUR&amp;startStation=36&amp;endStation=7", "Clic para verlo en la web de RoadSurfer")</f>
        <v/>
      </c>
    </row>
    <row r="167">
      <c r="A167" t="inlineStr">
        <is>
          <t>Austria</t>
        </is>
      </c>
      <c r="B167" t="inlineStr">
        <is>
          <t>Viena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2026-09-03</t>
        </is>
      </c>
      <c r="F167" t="inlineStr">
        <is>
          <t>2026-09-10</t>
        </is>
      </c>
      <c r="G167" t="inlineStr">
        <is>
          <t xml:space="preserve"> - COZY COTTAGE</t>
        </is>
      </c>
      <c r="H167">
        <f>HYPERLINK("https://booking.roadsurfer.com/es/rally/pick?pickup_date=2026-09-03&amp;return_date=2026-09-10&amp;currency=EUR&amp;startStation=36&amp;endStation=22", "Clic para verlo en la web de RoadSurfer")</f>
        <v/>
      </c>
    </row>
    <row r="168">
      <c r="A168" t="inlineStr">
        <is>
          <t>Austria</t>
        </is>
      </c>
      <c r="B168" t="inlineStr">
        <is>
          <t>Viena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2026-09-05</t>
        </is>
      </c>
      <c r="F168" t="inlineStr">
        <is>
          <t>2026-09-12</t>
        </is>
      </c>
      <c r="G168" t="inlineStr">
        <is>
          <t xml:space="preserve"> - Road House</t>
        </is>
      </c>
      <c r="H168">
        <f>HYPERLINK("https://booking.roadsurfer.com/es/rally/pick?pickup_date=2026-09-05&amp;return_date=2026-09-12&amp;currency=EUR&amp;startStation=36&amp;endStation=90", "Clic para verlo en la web de RoadSurfer")</f>
        <v/>
      </c>
    </row>
    <row r="169">
      <c r="A169" t="inlineStr">
        <is>
          <t>Austria</t>
        </is>
      </c>
      <c r="B169" t="inlineStr">
        <is>
          <t>Viena Sur</t>
        </is>
      </c>
      <c r="C169" t="inlineStr">
        <is>
          <t>Alemania</t>
        </is>
      </c>
      <c r="D169" t="inlineStr">
        <is>
          <t>Karlsruhe</t>
        </is>
      </c>
      <c r="E169" t="inlineStr">
        <is>
          <t>2026-10-05</t>
        </is>
      </c>
      <c r="F169" t="inlineStr">
        <is>
          <t>2026-10-12</t>
        </is>
      </c>
      <c r="G169" t="inlineStr">
        <is>
          <t xml:space="preserve"> - Camper Cabin Deluxe</t>
        </is>
      </c>
      <c r="H169">
        <f>HYPERLINK("https://booking.roadsurfer.com/es/rally/pick?pickup_date=2026-10-05&amp;return_date=2026-10-12&amp;currency=EUR&amp;startStation=45&amp;endStation=110", "Clic para verlo en la web de RoadSurfer")</f>
        <v/>
      </c>
    </row>
    <row r="170">
      <c r="A170" t="inlineStr">
        <is>
          <t>Austria</t>
        </is>
      </c>
      <c r="B170" t="inlineStr">
        <is>
          <t>Viena Sur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2026-09-04</t>
        </is>
      </c>
      <c r="F170" t="inlineStr">
        <is>
          <t>2026-09-11</t>
        </is>
      </c>
      <c r="G170" t="inlineStr">
        <is>
          <t xml:space="preserve"> - Couple Cottage</t>
        </is>
      </c>
      <c r="H170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2026-08-03T16:21:37Z</dcterms:created>
  <dcterms:modified xsi:type="dcterms:W3CDTF">2026-08-03T16:21:37Z</dcterms:modified>
</cp:coreProperties>
</file>