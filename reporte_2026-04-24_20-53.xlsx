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Camper Castle</t>
        </is>
      </c>
      <c r="H26">
        <f>HYPERLINK("https://booking.roadsurfer.com/es/rally/pick?pickup_date=2026-05-04&amp;return_date=2026-05-11&amp;currency=EUR&amp;startStation=94&amp;endStation=111",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Couple Cottage</t>
        </is>
      </c>
      <c r="H28">
        <f>HYPERLINK("https://booking.roadsurfer.com/es/rally/pick?pickup_date=2026-05-04&amp;return_date=2026-05-11&amp;currency=EUR&amp;startStation=94&amp;endStation=22",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Bielefeld</t>
        </is>
      </c>
      <c r="E29" t="inlineStr">
        <is>
          <t>2026-04-30</t>
        </is>
      </c>
      <c r="F29" t="inlineStr">
        <is>
          <t>2026-05-07</t>
        </is>
      </c>
      <c r="G29" t="inlineStr">
        <is>
          <t xml:space="preserve"> - Cozy Cottage</t>
        </is>
      </c>
      <c r="H29">
        <f>HYPERLINK("https://booking.roadsurfer.com/es/rally/pick?pickup_date=2026-04-30&amp;return_date=2026-05-07&amp;currency=EUR&amp;startStation=94&amp;endStation=91",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HYPERLINK("https://booking.roadsurfer.com/es/rally/pick?pickup_date=2026-05-18&amp;return_date=2026-05-25&amp;currency=EUR&amp;startStation=6&amp;endStation=12",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No hay coche</t>
        </is>
      </c>
      <c r="H31">
        <f>HYPERLINK("https://booking.roadsurfer.com/es/rally/pick?pickup_date=2026-05-04&amp;return_date=2026-05-11&amp;currency=EUR&amp;startStation=6&amp;endStation=130",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No hay coche</t>
        </is>
      </c>
      <c r="H32">
        <f>HYPERLINK("https://booking.roadsurfer.com/es/rally/pick?pickup_date=2026-05-02&amp;return_date=2026-05-09&amp;currency=EUR&amp;startStation=6&amp;endStation=130",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Flensburgo</t>
        </is>
      </c>
      <c r="E33" t="inlineStr">
        <is>
          <t>2026-05-15</t>
        </is>
      </c>
      <c r="F33" t="inlineStr">
        <is>
          <t>2026-05-22</t>
        </is>
      </c>
      <c r="G33" t="inlineStr">
        <is>
          <t xml:space="preserve"> - Road House</t>
        </is>
      </c>
      <c r="H33">
        <f>HYPERLINK("https://booking.roadsurfer.com/es/rally/pick?pickup_date=2026-05-15&amp;return_date=2026-05-22&amp;currency=EUR&amp;startStation=6&amp;endStation=130",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Camper Castle</t>
        </is>
      </c>
      <c r="H34">
        <f>HYPERLINK("https://booking.roadsurfer.com/es/rally/pick?pickup_date=2026-05-12&amp;return_date=2026-05-19&amp;currency=EUR&amp;startStation=6&amp;endStation=48",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Camper Castle</t>
        </is>
      </c>
      <c r="H35">
        <f>HYPERLINK("https://booking.roadsurfer.com/es/rally/pick?pickup_date=2026-05-06&amp;return_date=2026-05-13&amp;currency=EUR&amp;startStation=6&amp;endStation=77",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2026-05-18</t>
        </is>
      </c>
      <c r="F36" t="inlineStr">
        <is>
          <t>2026-05-25</t>
        </is>
      </c>
      <c r="G36" t="inlineStr">
        <is>
          <t xml:space="preserve"> - No hay coche</t>
        </is>
      </c>
      <c r="H36">
        <f>HYPERLINK("https://booking.roadsurfer.com/es/rally/pick?pickup_date=2026-05-18&amp;return_date=2026-05-25&amp;currency=EUR&amp;startStation=6&amp;endStation=16",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2026-05-05</t>
        </is>
      </c>
      <c r="F37" t="inlineStr">
        <is>
          <t>2026-05-12</t>
        </is>
      </c>
      <c r="G37" t="inlineStr">
        <is>
          <t xml:space="preserve"> - Couple Cottage</t>
        </is>
      </c>
      <c r="H37">
        <f>HYPERLINK("https://booking.roadsurfer.com/es/rally/pick?pickup_date=2026-05-05&amp;return_date=2026-05-12&amp;currency=EUR&amp;startStation=6&amp;endStation=59",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Surfer Suite</t>
        </is>
      </c>
      <c r="H38">
        <f>HYPERLINK("https://booking.roadsurfer.com/es/rally/pick?pickup_date=2026-05-04&amp;return_date=2026-05-11&amp;currency=EUR&amp;startStation=51&amp;endStation=130",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Road House</t>
        </is>
      </c>
      <c r="H39">
        <f>HYPERLINK("https://booking.roadsurfer.com/es/rally/pick?pickup_date=2026-05-12&amp;return_date=2026-05-19&amp;currency=EUR&amp;startStation=51&amp;endStation=77",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Colonia-Bonn</t>
        </is>
      </c>
      <c r="E40" t="inlineStr">
        <is>
          <t>2026-05-15</t>
        </is>
      </c>
      <c r="F40" t="inlineStr">
        <is>
          <t>2026-05-22</t>
        </is>
      </c>
      <c r="G40" t="inlineStr">
        <is>
          <t xml:space="preserve"> - Cozy Cottage</t>
        </is>
      </c>
      <c r="H40">
        <f>HYPERLINK("https://booking.roadsurfer.com/es/rally/pick?pickup_date=2026-05-15&amp;return_date=2026-05-22&amp;currency=EUR&amp;startStation=51&amp;endStation=52",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2026-04-30</t>
        </is>
      </c>
      <c r="F41" t="inlineStr">
        <is>
          <t>2026-05-07</t>
        </is>
      </c>
      <c r="G41" t="inlineStr">
        <is>
          <t xml:space="preserve"> - Couple Cottage</t>
        </is>
      </c>
      <c r="H41">
        <f>HYPERLINK("https://booking.roadsurfer.com/es/rally/pick?pickup_date=2026-04-30&amp;return_date=2026-05-07&amp;currency=EUR&amp;startStation=51&amp;endStation=52",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2026-05-15</t>
        </is>
      </c>
      <c r="F42" t="inlineStr">
        <is>
          <t>2026-05-22</t>
        </is>
      </c>
      <c r="G42" t="inlineStr">
        <is>
          <t xml:space="preserve"> - Cozy Cottage</t>
        </is>
      </c>
      <c r="H42">
        <f>HYPERLINK("https://booking.roadsurfer.com/es/rally/pick?pickup_date=2026-05-15&amp;return_date=2026-05-22&amp;currency=EUR&amp;startStation=51&amp;endStation=78",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No hay coche</t>
        </is>
      </c>
      <c r="H43">
        <f>HYPERLINK("https://booking.roadsurfer.com/es/rally/pick?pickup_date=2026-05-04&amp;return_date=2026-05-11&amp;currency=EUR&amp;startStation=91&amp;endStation=33",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2026-05-11</t>
        </is>
      </c>
      <c r="F44" t="inlineStr">
        <is>
          <t>2026-05-18</t>
        </is>
      </c>
      <c r="G44" t="inlineStr"/>
      <c r="H44">
        <f>HYPERLINK("https://booking.roadsurfer.com/es/rally/pick?pickup_date=2026-05-11&amp;return_date=2026-05-18&amp;currency=EUR&amp;startStation=91&amp;endStation=33",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2026-05-26</t>
        </is>
      </c>
      <c r="F45" t="inlineStr">
        <is>
          <t>2026-06-02</t>
        </is>
      </c>
      <c r="G45" t="inlineStr">
        <is>
          <t xml:space="preserve"> - Family Finca</t>
        </is>
      </c>
      <c r="H45">
        <f>HYPERLINK("https://booking.roadsurfer.com/es/rally/pick?pickup_date=2026-05-26&amp;return_date=2026-06-02&amp;currency=EUR&amp;startStation=91&amp;endStation=60",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2026-06-04</t>
        </is>
      </c>
      <c r="F46" t="inlineStr">
        <is>
          <t>2026-06-11</t>
        </is>
      </c>
      <c r="G46" t="inlineStr">
        <is>
          <t xml:space="preserve"> - No hay coche</t>
        </is>
      </c>
      <c r="H46">
        <f>HYPERLINK("https://booking.roadsurfer.com/es/rally/pick?pickup_date=2026-06-04&amp;return_date=2026-06-11&amp;currency=EUR&amp;startStation=91&amp;endStation=60",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2026-04-28</t>
        </is>
      </c>
      <c r="F47" t="inlineStr">
        <is>
          <t>2026-05-05</t>
        </is>
      </c>
      <c r="G47" t="inlineStr">
        <is>
          <t xml:space="preserve"> - Surfer Suite</t>
        </is>
      </c>
      <c r="H47">
        <f>HYPERLINK("https://booking.roadsurfer.com/es/rally/pick?pickup_date=2026-04-28&amp;return_date=2026-05-05&amp;currency=EUR&amp;startStation=91&amp;endStation=48",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2026-05-26</t>
        </is>
      </c>
      <c r="F48" t="inlineStr">
        <is>
          <t>2026-06-02</t>
        </is>
      </c>
      <c r="G48" t="inlineStr">
        <is>
          <t xml:space="preserve"> - Camper Castle</t>
        </is>
      </c>
      <c r="H48">
        <f>HYPERLINK("https://booking.roadsurfer.com/es/rally/pick?pickup_date=2026-05-26&amp;return_date=2026-06-02&amp;currency=EUR&amp;startStation=91&amp;endStation=40",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España</t>
        </is>
      </c>
      <c r="D49" t="inlineStr">
        <is>
          <t>Bilbao</t>
        </is>
      </c>
      <c r="E49" t="inlineStr">
        <is>
          <t>2026-05-02</t>
        </is>
      </c>
      <c r="F49" t="inlineStr">
        <is>
          <t>2026-05-09</t>
        </is>
      </c>
      <c r="G49" t="inlineStr">
        <is>
          <t xml:space="preserve"> - Surfer Suite</t>
        </is>
      </c>
      <c r="H49">
        <f>HYPERLINK("https://booking.roadsurfer.com/es/rally/pick?pickup_date=2026-05-02&amp;return_date=2026-05-09&amp;currency=EUR&amp;startStation=91&amp;endStation=40",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2026-05-02</t>
        </is>
      </c>
      <c r="F50" t="inlineStr">
        <is>
          <t>2026-05-09</t>
        </is>
      </c>
      <c r="G50" t="inlineStr">
        <is>
          <t xml:space="preserve"> - Road House</t>
        </is>
      </c>
      <c r="H50">
        <f>HYPERLINK("https://booking.roadsurfer.com/es/rally/pick?pickup_date=2026-05-02&amp;return_date=2026-05-09&amp;currency=EUR&amp;startStation=91&amp;endStation=12",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Road House</t>
        </is>
      </c>
      <c r="H51">
        <f>HYPERLINK("https://booking.roadsurfer.com/es/rally/pick?pickup_date=2026-05-11&amp;return_date=2026-05-18&amp;currency=EUR&amp;startStation=91&amp;endStation=59",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2026-05-26</t>
        </is>
      </c>
      <c r="F52" t="inlineStr">
        <is>
          <t>2026-06-02</t>
        </is>
      </c>
      <c r="G52" t="inlineStr">
        <is>
          <t xml:space="preserve"> - Road House</t>
        </is>
      </c>
      <c r="H52">
        <f>HYPERLINK("https://booking.roadsurfer.com/es/rally/pick?pickup_date=2026-05-26&amp;return_date=2026-06-02&amp;currency=EUR&amp;startStation=91&amp;endStation=59",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2026-05-02</t>
        </is>
      </c>
      <c r="F53" t="inlineStr">
        <is>
          <t>2026-05-09</t>
        </is>
      </c>
      <c r="G53" t="inlineStr">
        <is>
          <t xml:space="preserve"> - Camper Castle</t>
        </is>
      </c>
      <c r="H53">
        <f>HYPERLINK("https://booking.roadsurfer.com/es/rally/pick?pickup_date=2026-05-02&amp;return_date=2026-05-09&amp;currency=EUR&amp;startStation=91&amp;endStation=47",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Italia</t>
        </is>
      </c>
      <c r="D54" t="inlineStr">
        <is>
          <t>Milán</t>
        </is>
      </c>
      <c r="E54" t="inlineStr">
        <is>
          <t>2026-05-16</t>
        </is>
      </c>
      <c r="F54" t="inlineStr">
        <is>
          <t>2026-05-23</t>
        </is>
      </c>
      <c r="G54" t="inlineStr">
        <is>
          <t xml:space="preserve"> - No hay coche</t>
        </is>
      </c>
      <c r="H54">
        <f>HYPERLINK("https://booking.roadsurfer.com/es/rally/pick?pickup_date=2026-05-16&amp;return_date=2026-05-23&amp;currency=EUR&amp;startStation=91&amp;endStation=34",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2026-05-08</t>
        </is>
      </c>
      <c r="F55" t="inlineStr">
        <is>
          <t>2026-05-15</t>
        </is>
      </c>
      <c r="G55" t="inlineStr">
        <is>
          <t xml:space="preserve"> - Camper Castle</t>
        </is>
      </c>
      <c r="H55">
        <f>HYPERLINK("https://booking.roadsurfer.com/es/rally/pick?pickup_date=2026-05-08&amp;return_date=2026-05-15&amp;currency=EUR&amp;startStation=91&amp;endStation=34",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Lille</t>
        </is>
      </c>
      <c r="E56" t="inlineStr">
        <is>
          <t>2026-05-12</t>
        </is>
      </c>
      <c r="F56" t="inlineStr">
        <is>
          <t>2026-05-19</t>
        </is>
      </c>
      <c r="G56" t="inlineStr">
        <is>
          <t xml:space="preserve"> - Family Finca</t>
        </is>
      </c>
      <c r="H56">
        <f>HYPERLINK("https://booking.roadsurfer.com/es/rally/pick?pickup_date=2026-05-12&amp;return_date=2026-05-19&amp;currency=EUR&amp;startStation=91&amp;endStation=87",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2026-04-29</t>
        </is>
      </c>
      <c r="F57" t="inlineStr">
        <is>
          <t>2026-05-06</t>
        </is>
      </c>
      <c r="G57" t="inlineStr">
        <is>
          <t xml:space="preserve"> - Family Finca</t>
        </is>
      </c>
      <c r="H57">
        <f>HYPERLINK("https://booking.roadsurfer.com/es/rally/pick?pickup_date=2026-04-29&amp;return_date=2026-05-06&amp;currency=EUR&amp;startStation=91&amp;endStation=77",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2026-05-30</t>
        </is>
      </c>
      <c r="F58" t="inlineStr">
        <is>
          <t>2026-06-06</t>
        </is>
      </c>
      <c r="G58" t="inlineStr">
        <is>
          <t xml:space="preserve"> - No hay coche</t>
        </is>
      </c>
      <c r="H58">
        <f>HYPERLINK("https://booking.roadsurfer.com/es/rally/pick?pickup_date=2026-05-30&amp;return_date=2026-06-06&amp;currency=EUR&amp;startStation=91&amp;endStation=77",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Málaga</t>
        </is>
      </c>
      <c r="E59" t="inlineStr">
        <is>
          <t>2026-04-30</t>
        </is>
      </c>
      <c r="F59" t="inlineStr">
        <is>
          <t>2026-05-07</t>
        </is>
      </c>
      <c r="G59" t="inlineStr">
        <is>
          <t xml:space="preserve"> - Family Finca</t>
        </is>
      </c>
      <c r="H59">
        <f>HYPERLINK("https://booking.roadsurfer.com/es/rally/pick?pickup_date=2026-04-30&amp;return_date=2026-05-07&amp;currency=EUR&amp;startStation=91&amp;endStation=21",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Alemania</t>
        </is>
      </c>
      <c r="D60" t="inlineStr">
        <is>
          <t>Friburgo-Basilea (Alemania)</t>
        </is>
      </c>
      <c r="E60" t="inlineStr">
        <is>
          <t>2026-04-25</t>
        </is>
      </c>
      <c r="F60" t="inlineStr">
        <is>
          <t>2026-05-02</t>
        </is>
      </c>
      <c r="G60" t="inlineStr"/>
      <c r="H60">
        <f>HYPERLINK("https://booking.roadsurfer.com/es/rally/pick?pickup_date=2026-04-25&amp;return_date=2026-05-02&amp;currency=EUR&amp;startStation=91&amp;endStation=9",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Alemania</t>
        </is>
      </c>
      <c r="D61" t="inlineStr">
        <is>
          <t>Friburgo-Basilea (Alemania)</t>
        </is>
      </c>
      <c r="E61" t="inlineStr">
        <is>
          <t>2026-04-27</t>
        </is>
      </c>
      <c r="F61" t="inlineStr">
        <is>
          <t>2026-05-04</t>
        </is>
      </c>
      <c r="G61" t="inlineStr">
        <is>
          <t xml:space="preserve"> - Family Finca</t>
        </is>
      </c>
      <c r="H61">
        <f>HYPERLINK("https://booking.roadsurfer.com/es/rally/pick?pickup_date=2026-04-27&amp;return_date=2026-05-04&amp;currency=EUR&amp;startStation=91&amp;endStation=9",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2026-05-02</t>
        </is>
      </c>
      <c r="F62" t="inlineStr">
        <is>
          <t>2026-05-09</t>
        </is>
      </c>
      <c r="G62" t="inlineStr">
        <is>
          <t xml:space="preserve"> - Sunrise Suite</t>
        </is>
      </c>
      <c r="H62">
        <f>HYPERLINK("https://booking.roadsurfer.com/es/rally/pick?pickup_date=2026-05-02&amp;return_date=2026-05-09&amp;currency=EUR&amp;startStation=91&amp;endStation=42",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2026-05-21</t>
        </is>
      </c>
      <c r="F63" t="inlineStr">
        <is>
          <t>2026-05-28</t>
        </is>
      </c>
      <c r="G63" t="inlineStr">
        <is>
          <t xml:space="preserve"> - Surfer Suite</t>
        </is>
      </c>
      <c r="H63">
        <f>HYPERLINK("https://booking.roadsurfer.com/es/rally/pick?pickup_date=2026-05-21&amp;return_date=2026-05-28&amp;currency=EUR&amp;startStation=40&amp;endStation=2",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2026-05-06</t>
        </is>
      </c>
      <c r="F64" t="inlineStr">
        <is>
          <t>2026-05-13</t>
        </is>
      </c>
      <c r="G64" t="inlineStr">
        <is>
          <t xml:space="preserve"> - Surfer Suite</t>
        </is>
      </c>
      <c r="H64">
        <f>HYPERLINK("https://booking.roadsurfer.com/es/rally/pick?pickup_date=2026-05-06&amp;return_date=2026-05-13&amp;currency=EUR&amp;startStation=40&amp;endStation=2",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Maguncia</t>
        </is>
      </c>
      <c r="E65" t="inlineStr">
        <is>
          <t>2026-05-30</t>
        </is>
      </c>
      <c r="F65" t="inlineStr">
        <is>
          <t>2026-06-06</t>
        </is>
      </c>
      <c r="G65" t="inlineStr">
        <is>
          <t xml:space="preserve"> - Sunrise Suite</t>
        </is>
      </c>
      <c r="H65">
        <f>HYPERLINK("https://booking.roadsurfer.com/es/rally/pick?pickup_date=2026-05-30&amp;return_date=2026-06-06&amp;currency=EUR&amp;startStation=40&amp;endStation=54",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Maguncia</t>
        </is>
      </c>
      <c r="E66" t="inlineStr">
        <is>
          <t>2026-06-01</t>
        </is>
      </c>
      <c r="F66" t="inlineStr">
        <is>
          <t>2026-06-08</t>
        </is>
      </c>
      <c r="G66" t="inlineStr">
        <is>
          <t xml:space="preserve"> - Couple Cottage</t>
        </is>
      </c>
      <c r="H66">
        <f>HYPERLINK("https://booking.roadsurfer.com/es/rally/pick?pickup_date=2026-06-01&amp;return_date=2026-06-08&amp;currency=EUR&amp;startStation=40&amp;endStation=54",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2026-05-15</t>
        </is>
      </c>
      <c r="F67" t="inlineStr">
        <is>
          <t>2026-05-22</t>
        </is>
      </c>
      <c r="G67" t="inlineStr">
        <is>
          <t xml:space="preserve"> - Surfer Suite</t>
        </is>
      </c>
      <c r="H67">
        <f>HYPERLINK("https://booking.roadsurfer.com/es/rally/pick?pickup_date=2026-05-15&amp;return_date=2026-05-22&amp;currency=EUR&amp;startStation=40&amp;endStation=54",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Camper Cabin</t>
        </is>
      </c>
      <c r="H68">
        <f>HYPERLINK("https://booking.roadsurfer.com/es/rally/pick?pickup_date=2026-05-11&amp;return_date=2026-05-18&amp;currency=EUR&amp;startStation=40&amp;endStation=22",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Sunrise Suite</t>
        </is>
      </c>
      <c r="H69">
        <f>HYPERLINK("https://booking.roadsurfer.com/es/rally/pick?pickup_date=2026-05-06&amp;return_date=2026-05-13&amp;currency=EUR&amp;startStation=40&amp;endStation=22",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Beach Hostel</t>
        </is>
      </c>
      <c r="H70">
        <f>HYPERLINK("https://booking.roadsurfer.com/es/rally/pick?pickup_date=2026-05-15&amp;return_date=2026-05-22&amp;currency=EUR&amp;startStation=40&amp;endStation=22",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Couple Cottage</t>
        </is>
      </c>
      <c r="H71">
        <f>HYPERLINK("https://booking.roadsurfer.com/es/rally/pick?pickup_date=2026-05-19&amp;return_date=2026-05-26&amp;currency=EUR&amp;startStation=40&amp;endStation=22",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2026-04-29</t>
        </is>
      </c>
      <c r="F72" t="inlineStr">
        <is>
          <t>2026-05-06</t>
        </is>
      </c>
      <c r="G72" t="inlineStr">
        <is>
          <t xml:space="preserve"> - Sunrise Suite</t>
        </is>
      </c>
      <c r="H72">
        <f>HYPERLINK("https://booking.roadsurfer.com/es/rally/pick?pickup_date=2026-04-29&amp;return_date=2026-05-06&amp;currency=EUR&amp;startStation=40&amp;endStation=22",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2026-05-02</t>
        </is>
      </c>
      <c r="F73" t="inlineStr">
        <is>
          <t>2026-05-09</t>
        </is>
      </c>
      <c r="G73" t="inlineStr">
        <is>
          <t xml:space="preserve"> - No hay coche</t>
        </is>
      </c>
      <c r="H73">
        <f>HYPERLINK("https://booking.roadsurfer.com/es/rally/pick?pickup_date=2026-05-02&amp;return_date=2026-05-09&amp;currency=EUR&amp;startStation=40&amp;endStation=22",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2026-04-30</t>
        </is>
      </c>
      <c r="F74" t="inlineStr">
        <is>
          <t>2026-05-07</t>
        </is>
      </c>
      <c r="G74" t="inlineStr">
        <is>
          <t xml:space="preserve"> - Couple Cottage</t>
        </is>
      </c>
      <c r="H74">
        <f>HYPERLINK("https://booking.roadsurfer.com/es/rally/pick?pickup_date=2026-04-30&amp;return_date=2026-05-07&amp;currency=EUR&amp;startStation=40&amp;endStation=22",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2026-04-28</t>
        </is>
      </c>
      <c r="F75" t="inlineStr">
        <is>
          <t>2026-05-05</t>
        </is>
      </c>
      <c r="G75" t="inlineStr">
        <is>
          <t xml:space="preserve"> - Couple Cottage</t>
        </is>
      </c>
      <c r="H75">
        <f>HYPERLINK("https://booking.roadsurfer.com/es/rally/pick?pickup_date=2026-04-28&amp;return_date=2026-05-05&amp;currency=EUR&amp;startStation=40&amp;endStation=22",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Kassel</t>
        </is>
      </c>
      <c r="E76" t="inlineStr">
        <is>
          <t>2026-05-02</t>
        </is>
      </c>
      <c r="F76" t="inlineStr">
        <is>
          <t>2026-05-09</t>
        </is>
      </c>
      <c r="G76" t="inlineStr">
        <is>
          <t xml:space="preserve"> - Travel Home</t>
        </is>
      </c>
      <c r="H76">
        <f>HYPERLINK("https://booking.roadsurfer.com/es/rally/pick?pickup_date=2026-05-02&amp;return_date=2026-05-09&amp;currency=EUR&amp;startStation=40&amp;endStation=92",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Bielefeld</t>
        </is>
      </c>
      <c r="E77" t="inlineStr">
        <is>
          <t>2026-05-08</t>
        </is>
      </c>
      <c r="F77" t="inlineStr">
        <is>
          <t>2026-05-15</t>
        </is>
      </c>
      <c r="G77" t="inlineStr">
        <is>
          <t xml:space="preserve"> - Camper Cabin</t>
        </is>
      </c>
      <c r="H77">
        <f>HYPERLINK("https://booking.roadsurfer.com/es/rally/pick?pickup_date=2026-05-08&amp;return_date=2026-05-15&amp;currency=EUR&amp;startStation=40&amp;endStation=91",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Road House</t>
        </is>
      </c>
      <c r="H78">
        <f>HYPERLINK("https://booking.roadsurfer.com/es/rally/pick?pickup_date=2026-05-04&amp;return_date=2026-05-11&amp;currency=EUR&amp;startStation=40&amp;endStation=91",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2026-04-28</t>
        </is>
      </c>
      <c r="F79" t="inlineStr">
        <is>
          <t>2026-05-05</t>
        </is>
      </c>
      <c r="G79" t="inlineStr">
        <is>
          <t xml:space="preserve"> - Camper Castle</t>
        </is>
      </c>
      <c r="H79">
        <f>HYPERLINK("https://booking.roadsurfer.com/es/rally/pick?pickup_date=2026-04-28&amp;return_date=2026-05-05&amp;currency=EUR&amp;startStation=40&amp;endStation=91",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Tréveris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Camper Cabin</t>
        </is>
      </c>
      <c r="H80">
        <f>HYPERLINK("https://booking.roadsurfer.com/es/rally/pick?pickup_date=2026-05-11&amp;return_date=2026-05-18&amp;currency=EUR&amp;startStation=40&amp;endStation=28",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Tréveris</t>
        </is>
      </c>
      <c r="E81" t="inlineStr">
        <is>
          <t>2026-05-14</t>
        </is>
      </c>
      <c r="F81" t="inlineStr">
        <is>
          <t>2026-05-21</t>
        </is>
      </c>
      <c r="G81" t="inlineStr">
        <is>
          <t xml:space="preserve"> - Sunrise Suite</t>
        </is>
      </c>
      <c r="H81">
        <f>HYPERLINK("https://booking.roadsurfer.com/es/rally/pick?pickup_date=2026-05-14&amp;return_date=2026-05-21&amp;currency=EUR&amp;startStation=40&amp;endStation=28",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No hay coche</t>
        </is>
      </c>
      <c r="H82">
        <f>HYPERLINK("https://booking.roadsurfer.com/es/rally/pick?pickup_date=2026-05-04&amp;return_date=2026-05-11&amp;currency=EUR&amp;startStation=40&amp;endStation=28",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Road House</t>
        </is>
      </c>
      <c r="H83">
        <f>HYPERLINK("https://booking.roadsurfer.com/es/rally/pick?pickup_date=2026-05-04&amp;return_date=2026-05-11&amp;currency=EUR&amp;startStation=40&amp;endStation=90",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2026-05-07</t>
        </is>
      </c>
      <c r="F84" t="inlineStr">
        <is>
          <t>2026-05-14</t>
        </is>
      </c>
      <c r="G84" t="inlineStr">
        <is>
          <t xml:space="preserve"> - No hay coche</t>
        </is>
      </c>
      <c r="H84">
        <f>HYPERLINK("https://booking.roadsurfer.com/es/rally/pick?pickup_date=2026-05-07&amp;return_date=2026-05-14&amp;currency=EUR&amp;startStation=40&amp;endStation=90",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No hay coche</t>
        </is>
      </c>
      <c r="H85">
        <f>HYPERLINK("https://booking.roadsurfer.com/es/rally/pick?pickup_date=2026-05-18&amp;return_date=2026-05-25&amp;currency=EUR&amp;startStation=40&amp;endStation=90",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Road House</t>
        </is>
      </c>
      <c r="H86">
        <f>HYPERLINK("https://booking.roadsurfer.com/es/rally/pick?pickup_date=2026-05-04&amp;return_date=2026-05-11&amp;currency=EUR&amp;startStation=40&amp;endStation=5",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Couple Cottage</t>
        </is>
      </c>
      <c r="H87">
        <f>HYPERLINK("https://booking.roadsurfer.com/es/rally/pick?pickup_date=2026-05-11&amp;return_date=2026-05-18&amp;currency=EUR&amp;startStation=40&amp;endStation=5",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Colonia-Bonn</t>
        </is>
      </c>
      <c r="E88" t="inlineStr">
        <is>
          <t>2026-04-30</t>
        </is>
      </c>
      <c r="F88" t="inlineStr">
        <is>
          <t>2026-05-07</t>
        </is>
      </c>
      <c r="G88" t="inlineStr">
        <is>
          <t xml:space="preserve"> - Road House</t>
        </is>
      </c>
      <c r="H88">
        <f>HYPERLINK("https://booking.roadsurfer.com/es/rally/pick?pickup_date=2026-04-30&amp;return_date=2026-05-07&amp;currency=EUR&amp;startStation=40&amp;endStation=52",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Family Finca</t>
        </is>
      </c>
      <c r="H89">
        <f>HYPERLINK("https://booking.roadsurfer.com/es/rally/pick?pickup_date=2026-04-27&amp;return_date=2026-05-04&amp;currency=EUR&amp;startStation=40&amp;endStation=10",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Road House</t>
        </is>
      </c>
      <c r="H90">
        <f>HYPERLINK("https://booking.roadsurfer.com/es/rally/pick?pickup_date=2026-05-11&amp;return_date=2026-05-18&amp;currency=EUR&amp;startStation=40&amp;endStation=10",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Heidelberg</t>
        </is>
      </c>
      <c r="E91" t="inlineStr">
        <is>
          <t>2026-04-30</t>
        </is>
      </c>
      <c r="F91" t="inlineStr">
        <is>
          <t>2026-05-07</t>
        </is>
      </c>
      <c r="G91" t="inlineStr">
        <is>
          <t xml:space="preserve"> - Road House</t>
        </is>
      </c>
      <c r="H91">
        <f>HYPERLINK("https://booking.roadsurfer.com/es/rally/pick?pickup_date=2026-04-30&amp;return_date=2026-05-07&amp;currency=EUR&amp;startStation=40&amp;endStation=79",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2026-04-29</t>
        </is>
      </c>
      <c r="F92" t="inlineStr">
        <is>
          <t>2026-05-06</t>
        </is>
      </c>
      <c r="G92" t="inlineStr">
        <is>
          <t xml:space="preserve"> - Family Finca</t>
        </is>
      </c>
      <c r="H92">
        <f>HYPERLINK("https://booking.roadsurfer.com/es/rally/pick?pickup_date=2026-04-29&amp;return_date=2026-05-06&amp;currency=EUR&amp;startStation=40&amp;endStation=1",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2026-04-29</t>
        </is>
      </c>
      <c r="F93" t="inlineStr">
        <is>
          <t>2026-05-06</t>
        </is>
      </c>
      <c r="G93" t="inlineStr">
        <is>
          <t xml:space="preserve"> - Surfer Suite</t>
        </is>
      </c>
      <c r="H93">
        <f>HYPERLINK("https://booking.roadsurfer.com/es/rally/pick?pickup_date=2026-04-29&amp;return_date=2026-05-06&amp;currency=EUR&amp;startStation=57&amp;endStation=56",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Kassel</t>
        </is>
      </c>
      <c r="E94" t="inlineStr">
        <is>
          <t>2026-05-07</t>
        </is>
      </c>
      <c r="F94" t="inlineStr">
        <is>
          <t>2026-05-14</t>
        </is>
      </c>
      <c r="G94" t="inlineStr">
        <is>
          <t xml:space="preserve"> - No hay coche</t>
        </is>
      </c>
      <c r="H94">
        <f>HYPERLINK("https://booking.roadsurfer.com/es/rally/pick?pickup_date=2026-05-07&amp;return_date=2026-05-14&amp;currency=EUR&amp;startStation=57&amp;endStation=92",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Ulm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Surfer Suite</t>
        </is>
      </c>
      <c r="H95">
        <f>HYPERLINK("https://booking.roadsurfer.com/es/rally/pick?pickup_date=2026-05-04&amp;return_date=2026-05-11&amp;currency=EUR&amp;startStation=57&amp;endStation=112",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Family Finca</t>
        </is>
      </c>
      <c r="H96">
        <f>HYPERLINK("https://booking.roadsurfer.com/es/rally/pick?pickup_date=2026-05-06&amp;return_date=2026-05-13&amp;currency=EUR&amp;startStation=57&amp;endStation=8",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Road House</t>
        </is>
      </c>
      <c r="H97">
        <f>HYPERLINK("https://booking.roadsurfer.com/es/rally/pick?pickup_date=2026-05-04&amp;return_date=2026-05-11&amp;currency=EUR&amp;startStation=57&amp;endStation=8",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2026-05-12</t>
        </is>
      </c>
      <c r="F98" t="inlineStr">
        <is>
          <t>2026-05-19</t>
        </is>
      </c>
      <c r="G98" t="inlineStr">
        <is>
          <t xml:space="preserve"> - Road House</t>
        </is>
      </c>
      <c r="H98">
        <f>HYPERLINK("https://booking.roadsurfer.com/es/rally/pick?pickup_date=2026-05-12&amp;return_date=2026-05-19&amp;currency=EUR&amp;startStation=57&amp;endStation=5",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No hay coche</t>
        </is>
      </c>
      <c r="H99">
        <f>HYPERLINK("https://booking.roadsurfer.com/es/rally/pick?pickup_date=2026-06-01&amp;return_date=2026-06-08&amp;currency=EUR&amp;startStation=57&amp;endStation=1",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2026-05-19</t>
        </is>
      </c>
      <c r="F100" t="inlineStr">
        <is>
          <t>2026-05-26</t>
        </is>
      </c>
      <c r="G100" t="inlineStr">
        <is>
          <t xml:space="preserve"> - Couple Cottage</t>
        </is>
      </c>
      <c r="H100">
        <f>HYPERLINK("https://booking.roadsurfer.com/es/rally/pick?pickup_date=2026-05-19&amp;return_date=2026-05-26&amp;currency=EUR&amp;startStation=57&amp;endStation=22",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Couple Cottage</t>
        </is>
      </c>
      <c r="H101">
        <f>HYPERLINK("https://booking.roadsurfer.com/es/rally/pick?pickup_date=2026-05-06&amp;return_date=2026-05-13&amp;currency=EUR&amp;startStation=57&amp;endStation=22",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Road House</t>
        </is>
      </c>
      <c r="H102">
        <f>HYPERLINK("https://booking.roadsurfer.com/es/rally/pick?pickup_date=2026-05-04&amp;return_date=2026-05-11&amp;currency=EUR&amp;startStation=13&amp;endStation=56",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No hay coche</t>
        </is>
      </c>
      <c r="H103">
        <f>HYPERLINK("https://booking.roadsurfer.com/es/rally/pick?pickup_date=2026-05-08&amp;return_date=2026-05-15&amp;currency=EUR&amp;startStation=13&amp;endStation=56",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Surfer Suite - Road House</t>
        </is>
      </c>
      <c r="H104">
        <f>HYPERLINK("https://booking.roadsurfer.com/es/rally/pick?pickup_date=2026-05-11&amp;return_date=2026-05-18&amp;currency=EUR&amp;startStation=13&amp;endStation=56",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2026-05-26</t>
        </is>
      </c>
      <c r="F105" t="inlineStr">
        <is>
          <t>2026-06-02</t>
        </is>
      </c>
      <c r="G105" t="inlineStr">
        <is>
          <t xml:space="preserve"> - No hay coche</t>
        </is>
      </c>
      <c r="H105">
        <f>HYPERLINK("https://booking.roadsurfer.com/es/rally/pick?pickup_date=2026-05-26&amp;return_date=2026-06-02&amp;currency=EUR&amp;startStation=13&amp;endStation=56",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2026-05-20</t>
        </is>
      </c>
      <c r="F107" t="inlineStr">
        <is>
          <t>2026-05-27</t>
        </is>
      </c>
      <c r="G107" t="inlineStr">
        <is>
          <t xml:space="preserve"> - Surfer Suite</t>
        </is>
      </c>
      <c r="H107">
        <f>HYPERLINK("https://booking.roadsurfer.com/es/rally/pick?pickup_date=2026-05-20&amp;return_date=2026-05-27&amp;currency=EUR&amp;startStation=13&amp;endStation=56",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No hay coche</t>
        </is>
      </c>
      <c r="H108">
        <f>HYPERLINK("https://booking.roadsurfer.com/es/rally/pick?pickup_date=2026-05-08&amp;return_date=2026-05-15&amp;currency=EUR&amp;startStation=13&amp;endStation=22",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Camper Cabin</t>
        </is>
      </c>
      <c r="H109">
        <f>HYPERLINK("https://booking.roadsurfer.com/es/rally/pick?pickup_date=2026-05-04&amp;return_date=2026-05-11&amp;currency=EUR&amp;startStation=13&amp;endStation=22",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Couple Cottage</t>
        </is>
      </c>
      <c r="H110">
        <f>HYPERLINK("https://booking.roadsurfer.com/es/rally/pick?pickup_date=2026-05-11&amp;return_date=2026-05-18&amp;currency=EUR&amp;startStation=13&amp;endStation=22",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Sunrise Suite</t>
        </is>
      </c>
      <c r="H111">
        <f>HYPERLINK("https://booking.roadsurfer.com/es/rally/pick?pickup_date=2026-05-04&amp;return_date=2026-05-11&amp;currency=EUR&amp;startStation=13&amp;endStation=90",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2026-05-16</t>
        </is>
      </c>
      <c r="F112" t="inlineStr">
        <is>
          <t>2026-05-23</t>
        </is>
      </c>
      <c r="G112" t="inlineStr">
        <is>
          <t xml:space="preserve"> - No hay coche</t>
        </is>
      </c>
      <c r="H112">
        <f>HYPERLINK("https://booking.roadsurfer.com/es/rally/pick?pickup_date=2026-05-16&amp;return_date=2026-05-23&amp;currency=EUR&amp;startStation=13&amp;endStation=90",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2026-06-01</t>
        </is>
      </c>
      <c r="F113" t="inlineStr">
        <is>
          <t>2026-06-08</t>
        </is>
      </c>
      <c r="G113" t="inlineStr">
        <is>
          <t xml:space="preserve"> - Sunrise Suite</t>
        </is>
      </c>
      <c r="H113">
        <f>HYPERLINK("https://booking.roadsurfer.com/es/rally/pick?pickup_date=2026-06-01&amp;return_date=2026-06-08&amp;currency=EUR&amp;startStation=13&amp;endStation=90",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2026-05-28</t>
        </is>
      </c>
      <c r="F114" t="inlineStr">
        <is>
          <t>2026-06-04</t>
        </is>
      </c>
      <c r="G114" t="inlineStr">
        <is>
          <t xml:space="preserve"> - Couple Cottage</t>
        </is>
      </c>
      <c r="H114">
        <f>HYPERLINK("https://booking.roadsurfer.com/es/rally/pick?pickup_date=2026-05-28&amp;return_date=2026-06-04&amp;currency=EUR&amp;startStation=13&amp;endStation=90",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Surfer Suite</t>
        </is>
      </c>
      <c r="H115">
        <f>HYPERLINK("https://booking.roadsurfer.com/es/rally/pick?pickup_date=2026-05-04&amp;return_date=2026-05-11&amp;currency=EUR&amp;startStation=13&amp;endStation=29",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Flensburgo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No hay coche</t>
        </is>
      </c>
      <c r="H116">
        <f>HYPERLINK("https://booking.roadsurfer.com/es/rally/pick?pickup_date=2026-05-04&amp;return_date=2026-05-11&amp;currency=EUR&amp;startStation=13&amp;endStation=130",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2026-04-29</t>
        </is>
      </c>
      <c r="F117" t="inlineStr">
        <is>
          <t>2026-05-06</t>
        </is>
      </c>
      <c r="G117" t="inlineStr">
        <is>
          <t xml:space="preserve"> - Beach Hostel</t>
        </is>
      </c>
      <c r="H117">
        <f>HYPERLINK("https://booking.roadsurfer.com/es/rally/pick?pickup_date=2026-04-29&amp;return_date=2026-05-06&amp;currency=EUR&amp;startStation=13&amp;endStation=128",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2026-04-28</t>
        </is>
      </c>
      <c r="F118" t="inlineStr">
        <is>
          <t>2026-05-05</t>
        </is>
      </c>
      <c r="G118" t="inlineStr">
        <is>
          <t xml:space="preserve"> - Beach Hostel</t>
        </is>
      </c>
      <c r="H118">
        <f>HYPERLINK("https://booking.roadsurfer.com/es/rally/pick?pickup_date=2026-04-28&amp;return_date=2026-05-05&amp;currency=EUR&amp;startStation=13&amp;endStation=128",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Camper Cabin</t>
        </is>
      </c>
      <c r="H119">
        <f>HYPERLINK("https://booking.roadsurfer.com/es/rally/pick?pickup_date=2026-04-30&amp;return_date=2026-05-07&amp;currency=EUR&amp;startStation=13&amp;endStation=109",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Camper Castle</t>
        </is>
      </c>
      <c r="H120">
        <f>HYPERLINK("https://booking.roadsurfer.com/es/rally/pick?pickup_date=2026-05-06&amp;return_date=2026-05-13&amp;currency=EUR&amp;startStation=13&amp;endStation=8",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Road House</t>
        </is>
      </c>
      <c r="H121">
        <f>HYPERLINK("https://booking.roadsurfer.com/es/rally/pick?pickup_date=2026-05-13&amp;return_date=2026-05-20&amp;currency=EUR&amp;startStation=13&amp;endStation=8",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Ratisbona</t>
        </is>
      </c>
      <c r="E122" t="inlineStr">
        <is>
          <t>2026-05-02</t>
        </is>
      </c>
      <c r="F122" t="inlineStr">
        <is>
          <t>2026-05-09</t>
        </is>
      </c>
      <c r="G122" t="inlineStr">
        <is>
          <t xml:space="preserve"> - Road House</t>
        </is>
      </c>
      <c r="H122">
        <f>HYPERLINK("https://booking.roadsurfer.com/es/rally/pick?pickup_date=2026-05-02&amp;return_date=2026-05-09&amp;currency=EUR&amp;startStation=13&amp;endStation=89",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2026-05-02</t>
        </is>
      </c>
      <c r="F123" t="inlineStr">
        <is>
          <t>2026-05-09</t>
        </is>
      </c>
      <c r="G123" t="inlineStr">
        <is>
          <t xml:space="preserve"> - Road House</t>
        </is>
      </c>
      <c r="H123">
        <f>HYPERLINK("https://booking.roadsurfer.com/es/rally/pick?pickup_date=2026-05-02&amp;return_date=2026-05-09&amp;currency=EUR&amp;startStation=13&amp;endStation=112",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Lindau-Wangen</t>
        </is>
      </c>
      <c r="E124" t="inlineStr">
        <is>
          <t>2026-04-30</t>
        </is>
      </c>
      <c r="F124" t="inlineStr">
        <is>
          <t>2026-05-07</t>
        </is>
      </c>
      <c r="G124" t="inlineStr">
        <is>
          <t xml:space="preserve"> - Road House</t>
        </is>
      </c>
      <c r="H124">
        <f>HYPERLINK("https://booking.roadsurfer.com/es/rally/pick?pickup_date=2026-04-30&amp;return_date=2026-05-07&amp;currency=EUR&amp;startStation=13&amp;endStation=117",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2026-04-29</t>
        </is>
      </c>
      <c r="F125" t="inlineStr">
        <is>
          <t>2026-05-06</t>
        </is>
      </c>
      <c r="G125" t="inlineStr">
        <is>
          <t xml:space="preserve"> - Family Finca</t>
        </is>
      </c>
      <c r="H125">
        <f>HYPERLINK("https://booking.roadsurfer.com/es/rally/pick?pickup_date=2026-04-29&amp;return_date=2026-05-06&amp;currency=EUR&amp;startStation=13&amp;endStation=4",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Sunrise Suite</t>
        </is>
      </c>
      <c r="H126">
        <f>HYPERLINK("https://booking.roadsurfer.com/es/rally/pick?pickup_date=2026-05-04&amp;return_date=2026-05-11&amp;currency=EUR&amp;startStation=13&amp;endStation=4",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No hay coche</t>
        </is>
      </c>
      <c r="H127">
        <f>HYPERLINK("https://booking.roadsurfer.com/es/rally/pick?pickup_date=2026-05-13&amp;return_date=2026-05-20&amp;currency=EUR&amp;startStation=13&amp;endStation=4",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Couple Cottage</t>
        </is>
      </c>
      <c r="H128">
        <f>HYPERLINK("https://booking.roadsurfer.com/es/rally/pick?pickup_date=2026-05-04&amp;return_date=2026-05-11&amp;currency=EUR&amp;startStation=13&amp;endStation=15",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Alemania</t>
        </is>
      </c>
      <c r="D129" t="inlineStr">
        <is>
          <t>Flensburgo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Surfer Suite</t>
        </is>
      </c>
      <c r="H129">
        <f>HYPERLINK("https://booking.roadsurfer.com/es/rally/pick?pickup_date=2026-05-04&amp;return_date=2026-05-11&amp;currency=EUR&amp;startStation=55&amp;endStation=130",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2026-05-13</t>
        </is>
      </c>
      <c r="F130" t="inlineStr">
        <is>
          <t>2026-05-20</t>
        </is>
      </c>
      <c r="G130" t="inlineStr"/>
      <c r="H130">
        <f>HYPERLINK("https://booking.roadsurfer.com/es/rally/pick?pickup_date=2026-05-13&amp;return_date=2026-05-20&amp;currency=EUR&amp;startStation=55&amp;endStation=59",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2026-05-05</t>
        </is>
      </c>
      <c r="F131" t="inlineStr">
        <is>
          <t>2026-05-12</t>
        </is>
      </c>
      <c r="G131" t="inlineStr">
        <is>
          <t xml:space="preserve"> - Couple Cottage</t>
        </is>
      </c>
      <c r="H131">
        <f>HYPERLINK("https://booking.roadsurfer.com/es/rally/pick?pickup_date=2026-05-05&amp;return_date=2026-05-12&amp;currency=EUR&amp;startStation=55&amp;endStation=59",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2026-05-15</t>
        </is>
      </c>
      <c r="F132" t="inlineStr">
        <is>
          <t>2026-05-22</t>
        </is>
      </c>
      <c r="G132" t="inlineStr">
        <is>
          <t xml:space="preserve"> - No hay coche</t>
        </is>
      </c>
      <c r="H132">
        <f>HYPERLINK("https://booking.roadsurfer.com/es/rally/pick?pickup_date=2026-05-15&amp;return_date=2026-05-22&amp;currency=EUR&amp;startStation=55&amp;endStation=60",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2026-05-18</t>
        </is>
      </c>
      <c r="F133" t="inlineStr">
        <is>
          <t>2026-05-25</t>
        </is>
      </c>
      <c r="G133" t="inlineStr"/>
      <c r="H133">
        <f>HYPERLINK("https://booking.roadsurfer.com/es/rally/pick?pickup_date=2026-05-18&amp;return_date=2026-05-25&amp;currency=EUR&amp;startStation=55&amp;endStation=60",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2026-06-05</t>
        </is>
      </c>
      <c r="F134" t="inlineStr">
        <is>
          <t>2026-06-12</t>
        </is>
      </c>
      <c r="G134" t="inlineStr">
        <is>
          <t xml:space="preserve"> - No hay coche</t>
        </is>
      </c>
      <c r="H134">
        <f>HYPERLINK("https://booking.roadsurfer.com/es/rally/pick?pickup_date=2026-06-05&amp;return_date=2026-06-12&amp;currency=EUR&amp;startStation=55&amp;endStation=42",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2026-05-18</t>
        </is>
      </c>
      <c r="F135" t="inlineStr">
        <is>
          <t>2026-05-25</t>
        </is>
      </c>
      <c r="G135" t="inlineStr">
        <is>
          <t xml:space="preserve"> - No hay coche</t>
        </is>
      </c>
      <c r="H135">
        <f>HYPERLINK("https://booking.roadsurfer.com/es/rally/pick?pickup_date=2026-05-18&amp;return_date=2026-05-25&amp;currency=EUR&amp;startStation=55&amp;endStation=42",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Alemania</t>
        </is>
      </c>
      <c r="D136" t="inlineStr">
        <is>
          <t>Lindau-Wangen</t>
        </is>
      </c>
      <c r="E136" t="inlineStr">
        <is>
          <t>2026-04-28</t>
        </is>
      </c>
      <c r="F136" t="inlineStr">
        <is>
          <t>2026-05-05</t>
        </is>
      </c>
      <c r="G136" t="inlineStr">
        <is>
          <t xml:space="preserve"> - Family Finca</t>
        </is>
      </c>
      <c r="H136">
        <f>HYPERLINK("https://booking.roadsurfer.com/es/rally/pick?pickup_date=2026-04-28&amp;return_date=2026-05-05&amp;currency=EUR&amp;startStation=55&amp;endStation=117",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2026-05-02</t>
        </is>
      </c>
      <c r="F137" t="inlineStr">
        <is>
          <t>2026-05-09</t>
        </is>
      </c>
      <c r="G137" t="inlineStr">
        <is>
          <t xml:space="preserve"> - Cozy Cottage</t>
        </is>
      </c>
      <c r="H137">
        <f>HYPERLINK("https://booking.roadsurfer.com/es/rally/pick?pickup_date=2026-05-02&amp;return_date=2026-05-09&amp;currency=EUR&amp;startStation=55&amp;endStation=77",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Sunrise Suite</t>
        </is>
      </c>
      <c r="H138">
        <f>HYPERLINK("https://booking.roadsurfer.com/es/rally/pick?pickup_date=2026-06-08&amp;return_date=2026-06-15&amp;currency=EUR&amp;startStation=55&amp;endStation=13",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Bochum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Surfer Suite - Sunrise Suite</t>
        </is>
      </c>
      <c r="H139">
        <f>HYPERLINK("https://booking.roadsurfer.com/es/rally/pick?pickup_date=2026-05-11&amp;return_date=2026-05-18&amp;currency=EUR&amp;startStation=42&amp;endStation=24",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Bochum</t>
        </is>
      </c>
      <c r="E140" t="inlineStr">
        <is>
          <t>2026-05-21</t>
        </is>
      </c>
      <c r="F140" t="inlineStr">
        <is>
          <t>2026-05-28</t>
        </is>
      </c>
      <c r="G140" t="inlineStr">
        <is>
          <t xml:space="preserve"> - Camper Cabin</t>
        </is>
      </c>
      <c r="H140">
        <f>HYPERLINK("https://booking.roadsurfer.com/es/rally/pick?pickup_date=2026-05-21&amp;return_date=2026-05-28&amp;currency=EUR&amp;startStation=42&amp;endStation=24",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Couple Cottage</t>
        </is>
      </c>
      <c r="H141">
        <f>HYPERLINK("https://booking.roadsurfer.com/es/rally/pick?pickup_date=2026-05-04&amp;return_date=2026-05-11&amp;currency=EUR&amp;startStation=42&amp;endStation=90",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2026-04-30</t>
        </is>
      </c>
      <c r="F142" t="inlineStr">
        <is>
          <t>2026-05-07</t>
        </is>
      </c>
      <c r="G142" t="inlineStr">
        <is>
          <t xml:space="preserve"> - Beach Hostel</t>
        </is>
      </c>
      <c r="H142">
        <f>HYPERLINK("https://booking.roadsurfer.com/es/rally/pick?pickup_date=2026-04-30&amp;return_date=2026-05-07&amp;currency=EUR&amp;startStation=42&amp;endStation=90",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2026-04-28</t>
        </is>
      </c>
      <c r="F143" t="inlineStr">
        <is>
          <t>2026-05-05</t>
        </is>
      </c>
      <c r="G143" t="inlineStr">
        <is>
          <t xml:space="preserve"> - Couple Cottage</t>
        </is>
      </c>
      <c r="H143">
        <f>HYPERLINK("https://booking.roadsurfer.com/es/rally/pick?pickup_date=2026-04-28&amp;return_date=2026-05-05&amp;currency=EUR&amp;startStation=42&amp;endStation=90",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2026-05-26</t>
        </is>
      </c>
      <c r="F144" t="inlineStr">
        <is>
          <t>2026-06-02</t>
        </is>
      </c>
      <c r="G144" t="inlineStr">
        <is>
          <t xml:space="preserve"> - Sunrise Suite</t>
        </is>
      </c>
      <c r="H144">
        <f>HYPERLINK("https://booking.roadsurfer.com/es/rally/pick?pickup_date=2026-05-26&amp;return_date=2026-06-02&amp;currency=EUR&amp;startStation=42&amp;endStation=55",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Bremen</t>
        </is>
      </c>
      <c r="E145" t="inlineStr">
        <is>
          <t>2026-05-06</t>
        </is>
      </c>
      <c r="F145" t="inlineStr">
        <is>
          <t>2026-05-13</t>
        </is>
      </c>
      <c r="G145" t="inlineStr">
        <is>
          <t xml:space="preserve"> - No hay coche</t>
        </is>
      </c>
      <c r="H145">
        <f>HYPERLINK("https://booking.roadsurfer.com/es/rally/pick?pickup_date=2026-05-06&amp;return_date=2026-05-13&amp;currency=EUR&amp;startStation=42&amp;endStation=55",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Road House</t>
        </is>
      </c>
      <c r="H146">
        <f>HYPERLINK("https://booking.roadsurfer.com/es/rally/pick?pickup_date=2026-05-06&amp;return_date=2026-05-13&amp;currency=EUR&amp;startStation=42&amp;endStation=91",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Bielefeld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Camper Castle</t>
        </is>
      </c>
      <c r="H147">
        <f>HYPERLINK("https://booking.roadsurfer.com/es/rally/pick?pickup_date=2026-05-04&amp;return_date=2026-05-11&amp;currency=EUR&amp;startStation=42&amp;endStation=91",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Surfer Suite</t>
        </is>
      </c>
      <c r="H149">
        <f>HYPERLINK("https://booking.roadsurfer.com/es/rally/pick?pickup_date=2026-05-04&amp;return_date=2026-05-11&amp;currency=EUR&amp;startStation=52&amp;endStation=29",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Países Bajos</t>
        </is>
      </c>
      <c r="D150" t="inlineStr">
        <is>
          <t>Ámsterdam</t>
        </is>
      </c>
      <c r="E150" t="inlineStr">
        <is>
          <t>2026-05-18</t>
        </is>
      </c>
      <c r="F150" t="inlineStr">
        <is>
          <t>2026-05-25</t>
        </is>
      </c>
      <c r="G150" t="inlineStr">
        <is>
          <t xml:space="preserve"> - No hay coche</t>
        </is>
      </c>
      <c r="H150">
        <f>HYPERLINK("https://booking.roadsurfer.com/es/rally/pick?pickup_date=2026-05-18&amp;return_date=2026-05-25&amp;currency=EUR&amp;startStation=52&amp;endStation=32",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Alemania</t>
        </is>
      </c>
      <c r="D151" t="inlineStr">
        <is>
          <t>Flensburgo</t>
        </is>
      </c>
      <c r="E151" t="inlineStr">
        <is>
          <t>2026-05-04</t>
        </is>
      </c>
      <c r="F151" t="inlineStr">
        <is>
          <t>2026-05-11</t>
        </is>
      </c>
      <c r="G151" t="inlineStr">
        <is>
          <t xml:space="preserve"> - Beach Hostel</t>
        </is>
      </c>
      <c r="H151">
        <f>HYPERLINK("https://booking.roadsurfer.com/es/rally/pick?pickup_date=2026-05-04&amp;return_date=2026-05-11&amp;currency=EUR&amp;startStation=52&amp;endStation=130",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Alemania</t>
        </is>
      </c>
      <c r="D152" t="inlineStr">
        <is>
          <t>Flensburgo</t>
        </is>
      </c>
      <c r="E152" t="inlineStr">
        <is>
          <t>2026-05-02</t>
        </is>
      </c>
      <c r="F152" t="inlineStr">
        <is>
          <t>2026-05-09</t>
        </is>
      </c>
      <c r="G152" t="inlineStr">
        <is>
          <t xml:space="preserve"> - Camper Cabin</t>
        </is>
      </c>
      <c r="H152">
        <f>HYPERLINK("https://booking.roadsurfer.com/es/rally/pick?pickup_date=2026-05-02&amp;return_date=2026-05-09&amp;currency=EUR&amp;startStation=52&amp;endStation=130",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2026-04-30</t>
        </is>
      </c>
      <c r="F153" t="inlineStr">
        <is>
          <t>2026-05-07</t>
        </is>
      </c>
      <c r="G153" t="inlineStr">
        <is>
          <t xml:space="preserve"> - Camper Cabin</t>
        </is>
      </c>
      <c r="H153">
        <f>HYPERLINK("https://booking.roadsurfer.com/es/rally/pick?pickup_date=2026-04-30&amp;return_date=2026-05-07&amp;currency=EUR&amp;startStation=52&amp;endStation=13",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París Aeropuerto CDG</t>
        </is>
      </c>
      <c r="E154" t="inlineStr">
        <is>
          <t>2026-05-18</t>
        </is>
      </c>
      <c r="F154" t="inlineStr">
        <is>
          <t>2026-05-25</t>
        </is>
      </c>
      <c r="G154" t="inlineStr">
        <is>
          <t xml:space="preserve"> - No hay coche</t>
        </is>
      </c>
      <c r="H154">
        <f>HYPERLINK("https://booking.roadsurfer.com/es/rally/pick?pickup_date=2026-05-18&amp;return_date=2026-05-25&amp;currency=EUR&amp;startStation=52&amp;endStation=48",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París Aeropuerto CDG</t>
        </is>
      </c>
      <c r="E155" t="inlineStr">
        <is>
          <t>2026-05-04</t>
        </is>
      </c>
      <c r="F155" t="inlineStr">
        <is>
          <t>2026-05-11</t>
        </is>
      </c>
      <c r="G155" t="inlineStr"/>
      <c r="H155">
        <f>HYPERLINK("https://booking.roadsurfer.com/es/rally/pick?pickup_date=2026-05-04&amp;return_date=2026-05-11&amp;currency=EUR&amp;startStation=52&amp;endStation=48",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París Aeropuerto CDG</t>
        </is>
      </c>
      <c r="E156" t="inlineStr">
        <is>
          <t>2026-04-30</t>
        </is>
      </c>
      <c r="F156" t="inlineStr">
        <is>
          <t>2026-05-07</t>
        </is>
      </c>
      <c r="G156" t="inlineStr">
        <is>
          <t xml:space="preserve"> - Family Finca</t>
        </is>
      </c>
      <c r="H156">
        <f>HYPERLINK("https://booking.roadsurfer.com/es/rally/pick?pickup_date=2026-04-30&amp;return_date=2026-05-07&amp;currency=EUR&amp;startStation=52&amp;endStation=48",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París Sur (Orly)</t>
        </is>
      </c>
      <c r="E157" t="inlineStr">
        <is>
          <t>2026-05-12</t>
        </is>
      </c>
      <c r="F157" t="inlineStr">
        <is>
          <t>2026-05-19</t>
        </is>
      </c>
      <c r="G157" t="inlineStr">
        <is>
          <t xml:space="preserve"> - Family Finca</t>
        </is>
      </c>
      <c r="H157">
        <f>HYPERLINK("https://booking.roadsurfer.com/es/rally/pick?pickup_date=2026-05-12&amp;return_date=2026-05-19&amp;currency=EUR&amp;startStation=52&amp;endStation=12",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No hay coche</t>
        </is>
      </c>
      <c r="H158">
        <f>HYPERLINK("https://booking.roadsurfer.com/es/rally/pick?pickup_date=2026-05-04&amp;return_date=2026-05-11&amp;currency=EUR&amp;startStation=4&amp;endStation=31",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Austria</t>
        </is>
      </c>
      <c r="D159" t="inlineStr">
        <is>
          <t>Viena Sur</t>
        </is>
      </c>
      <c r="E159" t="inlineStr">
        <is>
          <t>2026-05-05</t>
        </is>
      </c>
      <c r="F159" t="inlineStr">
        <is>
          <t>2026-05-12</t>
        </is>
      </c>
      <c r="G159" t="inlineStr">
        <is>
          <t xml:space="preserve"> - Camper Cabin</t>
        </is>
      </c>
      <c r="H159">
        <f>HYPERLINK("https://booking.roadsurfer.com/es/rally/pick?pickup_date=2026-05-05&amp;return_date=2026-05-12&amp;currency=EUR&amp;startStation=4&amp;endStation=45",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Austria</t>
        </is>
      </c>
      <c r="D160" t="inlineStr">
        <is>
          <t>Viena Sur</t>
        </is>
      </c>
      <c r="E160" t="inlineStr">
        <is>
          <t>2026-05-08</t>
        </is>
      </c>
      <c r="F160" t="inlineStr">
        <is>
          <t>2026-05-15</t>
        </is>
      </c>
      <c r="G160" t="inlineStr">
        <is>
          <t xml:space="preserve"> - No hay coche</t>
        </is>
      </c>
      <c r="H160">
        <f>HYPERLINK("https://booking.roadsurfer.com/es/rally/pick?pickup_date=2026-05-08&amp;return_date=2026-05-15&amp;currency=EUR&amp;startStation=4&amp;endStation=45",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2026-05-05</t>
        </is>
      </c>
      <c r="F161" t="inlineStr">
        <is>
          <t>2026-05-12</t>
        </is>
      </c>
      <c r="G161" t="inlineStr">
        <is>
          <t xml:space="preserve"> - No hay coche</t>
        </is>
      </c>
      <c r="H161">
        <f>HYPERLINK("https://booking.roadsurfer.com/es/rally/pick?pickup_date=2026-05-05&amp;return_date=2026-05-12&amp;currency=EUR&amp;startStation=4&amp;endStation=15",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Lille</t>
        </is>
      </c>
      <c r="E162" t="inlineStr">
        <is>
          <t>2026-05-02</t>
        </is>
      </c>
      <c r="F162" t="inlineStr">
        <is>
          <t>2026-05-09</t>
        </is>
      </c>
      <c r="G162" t="inlineStr">
        <is>
          <t xml:space="preserve"> - Road House</t>
        </is>
      </c>
      <c r="H162">
        <f>HYPERLINK("https://booking.roadsurfer.com/es/rally/pick?pickup_date=2026-05-02&amp;return_date=2026-05-09&amp;currency=EUR&amp;startStation=4&amp;endStation=87",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2026-05-27</t>
        </is>
      </c>
      <c r="F163" t="inlineStr">
        <is>
          <t>2026-06-03</t>
        </is>
      </c>
      <c r="G163" t="inlineStr">
        <is>
          <t xml:space="preserve"> - Family Finca</t>
        </is>
      </c>
      <c r="H163">
        <f>HYPERLINK("https://booking.roadsurfer.com/es/rally/pick?pickup_date=2026-05-27&amp;return_date=2026-06-03&amp;currency=EUR&amp;startStation=4&amp;endStation=13",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Aix-Marsella</t>
        </is>
      </c>
      <c r="E164" t="inlineStr">
        <is>
          <t>2026-05-08</t>
        </is>
      </c>
      <c r="F164" t="inlineStr">
        <is>
          <t>2026-05-15</t>
        </is>
      </c>
      <c r="G164" t="inlineStr">
        <is>
          <t xml:space="preserve"> - Couple Cottage</t>
        </is>
      </c>
      <c r="H164">
        <f>HYPERLINK("https://booking.roadsurfer.com/es/rally/pick?pickup_date=2026-05-08&amp;return_date=2026-05-15&amp;currency=EUR&amp;startStation=4&amp;endStation=16",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Niza</t>
        </is>
      </c>
      <c r="E165" t="inlineStr">
        <is>
          <t>2026-05-19</t>
        </is>
      </c>
      <c r="F165" t="inlineStr">
        <is>
          <t>2026-05-26</t>
        </is>
      </c>
      <c r="G165" t="inlineStr">
        <is>
          <t xml:space="preserve"> - Couple Cottage</t>
        </is>
      </c>
      <c r="H165">
        <f>HYPERLINK("https://booking.roadsurfer.com/es/rally/pick?pickup_date=2026-05-19&amp;return_date=2026-05-26&amp;currency=EUR&amp;startStation=4&amp;endStation=88",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2026-04-30</t>
        </is>
      </c>
      <c r="F166" t="inlineStr">
        <is>
          <t>2026-05-07</t>
        </is>
      </c>
      <c r="G166" t="inlineStr">
        <is>
          <t xml:space="preserve"> - Cozy Cottage</t>
        </is>
      </c>
      <c r="H166">
        <f>HYPERLINK("https://booking.roadsurfer.com/es/rally/pick?pickup_date=2026-04-30&amp;return_date=2026-05-07&amp;currency=EUR&amp;startStation=4&amp;endStation=56",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Alemania</t>
        </is>
      </c>
      <c r="D167" t="inlineStr">
        <is>
          <t>Dresde</t>
        </is>
      </c>
      <c r="E167" t="inlineStr">
        <is>
          <t>2026-05-04</t>
        </is>
      </c>
      <c r="F167" t="inlineStr">
        <is>
          <t>2026-05-11</t>
        </is>
      </c>
      <c r="G167" t="inlineStr">
        <is>
          <t xml:space="preserve"> - Cozy Cottage</t>
        </is>
      </c>
      <c r="H167">
        <f>HYPERLINK("https://booking.roadsurfer.com/es/rally/pick?pickup_date=2026-05-04&amp;return_date=2026-05-11&amp;currency=EUR&amp;startStation=4&amp;endStation=56",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Austria</t>
        </is>
      </c>
      <c r="D168" t="inlineStr">
        <is>
          <t>Graz</t>
        </is>
      </c>
      <c r="E168" t="inlineStr">
        <is>
          <t>2026-06-01</t>
        </is>
      </c>
      <c r="F168" t="inlineStr">
        <is>
          <t>2026-06-08</t>
        </is>
      </c>
      <c r="G168" t="inlineStr">
        <is>
          <t xml:space="preserve"> - Cozy Cottage</t>
        </is>
      </c>
      <c r="H168">
        <f>HYPERLINK("https://booking.roadsurfer.com/es/rally/pick?pickup_date=2026-06-01&amp;return_date=2026-06-08&amp;currency=EUR&amp;startStation=4&amp;endStation=37",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2026-05-21</t>
        </is>
      </c>
      <c r="F169" t="inlineStr">
        <is>
          <t>2026-05-28</t>
        </is>
      </c>
      <c r="G169" t="inlineStr">
        <is>
          <t xml:space="preserve"> - Surfer Suite</t>
        </is>
      </c>
      <c r="H169">
        <f>HYPERLINK("https://booking.roadsurfer.com/es/rally/pick?pickup_date=2026-05-21&amp;return_date=2026-05-28&amp;currency=EUR&amp;startStation=10&amp;endStation=40",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2026-05-05</t>
        </is>
      </c>
      <c r="F170" t="inlineStr">
        <is>
          <t>2026-05-12</t>
        </is>
      </c>
      <c r="G170" t="inlineStr">
        <is>
          <t xml:space="preserve"> - Family Finca</t>
        </is>
      </c>
      <c r="H170">
        <f>HYPERLINK("https://booking.roadsurfer.com/es/rally/pick?pickup_date=2026-05-05&amp;return_date=2026-05-12&amp;currency=EUR&amp;startStation=10&amp;endStation=15", "Clic para verlo en la web de RoadSurfer")</f>
        <v/>
      </c>
    </row>
    <row r="171">
      <c r="A171" t="inlineStr">
        <is>
          <t>Alemania</t>
        </is>
      </c>
      <c r="B171" t="inlineStr">
        <is>
          <t>Constanza (Aach)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2026-04-30</t>
        </is>
      </c>
      <c r="F171" t="inlineStr">
        <is>
          <t>2026-05-07</t>
        </is>
      </c>
      <c r="G171" t="inlineStr">
        <is>
          <t xml:space="preserve"> - Surfer Suite</t>
        </is>
      </c>
      <c r="H171">
        <f>HYPERLINK("https://booking.roadsurfer.com/es/rally/pick?pickup_date=2026-04-30&amp;return_date=2026-05-07&amp;currency=EUR&amp;startStation=10&amp;endStation=15", "Clic para verlo en la web de RoadSurfer")</f>
        <v/>
      </c>
    </row>
    <row r="172">
      <c r="A172" t="inlineStr">
        <is>
          <t>Alemania</t>
        </is>
      </c>
      <c r="B172" t="inlineStr">
        <is>
          <t>Constanza (Aach)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No hay coche</t>
        </is>
      </c>
      <c r="H172">
        <f>HYPERLINK("https://booking.roadsurfer.com/es/rally/pick?pickup_date=2026-05-06&amp;return_date=2026-05-13&amp;currency=EUR&amp;startStation=10&amp;endStation=31",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Alemania</t>
        </is>
      </c>
      <c r="D173" t="inlineStr">
        <is>
          <t>Tréveris</t>
        </is>
      </c>
      <c r="E173" t="inlineStr">
        <is>
          <t>2026-04-30</t>
        </is>
      </c>
      <c r="F173" t="inlineStr">
        <is>
          <t>2026-05-07</t>
        </is>
      </c>
      <c r="G173" t="inlineStr">
        <is>
          <t xml:space="preserve"> - Road House</t>
        </is>
      </c>
      <c r="H173">
        <f>HYPERLINK("https://booking.roadsurfer.com/es/rally/pick?pickup_date=2026-04-30&amp;return_date=2026-05-07&amp;currency=EUR&amp;startStation=10&amp;endStation=28",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Austria</t>
        </is>
      </c>
      <c r="D174" t="inlineStr">
        <is>
          <t>Viena</t>
        </is>
      </c>
      <c r="E174" t="inlineStr">
        <is>
          <t>2026-05-08</t>
        </is>
      </c>
      <c r="F174" t="inlineStr">
        <is>
          <t>2026-05-15</t>
        </is>
      </c>
      <c r="G174" t="inlineStr">
        <is>
          <t xml:space="preserve"> - Camper Castle</t>
        </is>
      </c>
      <c r="H174">
        <f>HYPERLINK("https://booking.roadsurfer.com/es/rally/pick?pickup_date=2026-05-08&amp;return_date=2026-05-15&amp;currency=EUR&amp;startStation=10&amp;endStation=36",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Italia</t>
        </is>
      </c>
      <c r="D175" t="inlineStr">
        <is>
          <t>Turín</t>
        </is>
      </c>
      <c r="E175" t="inlineStr">
        <is>
          <t>2026-05-11</t>
        </is>
      </c>
      <c r="F175" t="inlineStr">
        <is>
          <t>2026-05-18</t>
        </is>
      </c>
      <c r="G175" t="inlineStr">
        <is>
          <t xml:space="preserve"> - Family Finca</t>
        </is>
      </c>
      <c r="H175">
        <f>HYPERLINK("https://booking.roadsurfer.com/es/rally/pick?pickup_date=2026-05-11&amp;return_date=2026-05-18&amp;currency=EUR&amp;startStation=10&amp;endStation=58",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Alemania</t>
        </is>
      </c>
      <c r="D176" t="inlineStr">
        <is>
          <t>Braunschweig</t>
        </is>
      </c>
      <c r="E176" t="inlineStr">
        <is>
          <t>2026-05-02</t>
        </is>
      </c>
      <c r="F176" t="inlineStr">
        <is>
          <t>2026-05-09</t>
        </is>
      </c>
      <c r="G176" t="inlineStr">
        <is>
          <t xml:space="preserve"> - Surfer Suite</t>
        </is>
      </c>
      <c r="H176">
        <f>HYPERLINK("https://booking.roadsurfer.com/es/rally/pick?pickup_date=2026-05-02&amp;return_date=2026-05-09&amp;currency=EUR&amp;startStation=56&amp;endStation=128",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Países Bajos</t>
        </is>
      </c>
      <c r="D177" t="inlineStr">
        <is>
          <t>Róterdam</t>
        </is>
      </c>
      <c r="E177" t="inlineStr">
        <is>
          <t>2026-05-16</t>
        </is>
      </c>
      <c r="F177" t="inlineStr">
        <is>
          <t>2026-05-23</t>
        </is>
      </c>
      <c r="G177" t="inlineStr">
        <is>
          <t xml:space="preserve"> - No hay coche</t>
        </is>
      </c>
      <c r="H177">
        <f>HYPERLINK("https://booking.roadsurfer.com/es/rally/pick?pickup_date=2026-05-16&amp;return_date=2026-05-23&amp;currency=EUR&amp;startStation=56&amp;endStation=33",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2026-04-30</t>
        </is>
      </c>
      <c r="F178" t="inlineStr">
        <is>
          <t>2026-05-07</t>
        </is>
      </c>
      <c r="G178" t="inlineStr">
        <is>
          <t xml:space="preserve"> - Beach Hostel - Sunrise Suite</t>
        </is>
      </c>
      <c r="H178">
        <f>HYPERLINK("https://booking.roadsurfer.com/es/rally/pick?pickup_date=2026-04-30&amp;return_date=2026-05-07&amp;currency=EUR&amp;startStation=56&amp;endStation=47",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2026-05-13</t>
        </is>
      </c>
      <c r="F179" t="inlineStr">
        <is>
          <t>2026-05-20</t>
        </is>
      </c>
      <c r="G179" t="inlineStr"/>
      <c r="H179">
        <f>HYPERLINK("https://booking.roadsurfer.com/es/rally/pick?pickup_date=2026-05-13&amp;return_date=2026-05-20&amp;currency=EUR&amp;startStation=56&amp;endStation=47",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2026-05-02</t>
        </is>
      </c>
      <c r="F180" t="inlineStr">
        <is>
          <t>2026-05-09</t>
        </is>
      </c>
      <c r="G180" t="inlineStr">
        <is>
          <t xml:space="preserve"> - Surfer Suite</t>
        </is>
      </c>
      <c r="H180">
        <f>HYPERLINK("https://booking.roadsurfer.com/es/rally/pick?pickup_date=2026-05-02&amp;return_date=2026-05-09&amp;currency=EUR&amp;startStation=56&amp;endStation=47",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Alemania</t>
        </is>
      </c>
      <c r="D181" t="inlineStr">
        <is>
          <t>Bochum</t>
        </is>
      </c>
      <c r="E181" t="inlineStr">
        <is>
          <t>2026-04-28</t>
        </is>
      </c>
      <c r="F181" t="inlineStr">
        <is>
          <t>2026-05-05</t>
        </is>
      </c>
      <c r="G181" t="inlineStr">
        <is>
          <t xml:space="preserve"> - Surfer Suite</t>
        </is>
      </c>
      <c r="H181">
        <f>HYPERLINK("https://booking.roadsurfer.com/es/rally/pick?pickup_date=2026-04-28&amp;return_date=2026-05-05&amp;currency=EUR&amp;startStation=56&amp;endStation=24",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2026-05-20</t>
        </is>
      </c>
      <c r="F182" t="inlineStr">
        <is>
          <t>2026-05-27</t>
        </is>
      </c>
      <c r="G182" t="inlineStr">
        <is>
          <t xml:space="preserve"> - Road House</t>
        </is>
      </c>
      <c r="H182">
        <f>HYPERLINK("https://booking.roadsurfer.com/es/rally/pick?pickup_date=2026-05-20&amp;return_date=2026-05-27&amp;currency=EUR&amp;startStation=56&amp;endStation=59",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2026-05-28</t>
        </is>
      </c>
      <c r="F183" t="inlineStr">
        <is>
          <t>2026-06-04</t>
        </is>
      </c>
      <c r="G183" t="inlineStr">
        <is>
          <t xml:space="preserve"> - Road House</t>
        </is>
      </c>
      <c r="H183">
        <f>HYPERLINK("https://booking.roadsurfer.com/es/rally/pick?pickup_date=2026-05-28&amp;return_date=2026-06-04&amp;currency=EUR&amp;startStation=56&amp;endStation=59",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Austria</t>
        </is>
      </c>
      <c r="D184" t="inlineStr">
        <is>
          <t>Graz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Camper Castle</t>
        </is>
      </c>
      <c r="H184">
        <f>HYPERLINK("https://booking.roadsurfer.com/es/rally/pick?pickup_date=2026-05-04&amp;return_date=2026-05-11&amp;currency=EUR&amp;startStation=56&amp;endStation=37",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Austria</t>
        </is>
      </c>
      <c r="D185" t="inlineStr">
        <is>
          <t>Graz</t>
        </is>
      </c>
      <c r="E185" t="inlineStr">
        <is>
          <t>2026-06-16</t>
        </is>
      </c>
      <c r="F185" t="inlineStr">
        <is>
          <t>2026-06-23</t>
        </is>
      </c>
      <c r="G185" t="inlineStr">
        <is>
          <t xml:space="preserve"> - Road House</t>
        </is>
      </c>
      <c r="H185">
        <f>HYPERLINK("https://booking.roadsurfer.com/es/rally/pick?pickup_date=2026-06-16&amp;return_date=2026-06-23&amp;currency=EUR&amp;startStation=56&amp;endStation=37",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Austria</t>
        </is>
      </c>
      <c r="D186" t="inlineStr">
        <is>
          <t>Graz</t>
        </is>
      </c>
      <c r="E186" t="inlineStr">
        <is>
          <t>2026-05-12</t>
        </is>
      </c>
      <c r="F186" t="inlineStr">
        <is>
          <t>2026-05-19</t>
        </is>
      </c>
      <c r="G186" t="inlineStr">
        <is>
          <t xml:space="preserve"> - Road House</t>
        </is>
      </c>
      <c r="H186">
        <f>HYPERLINK("https://booking.roadsurfer.com/es/rally/pick?pickup_date=2026-05-12&amp;return_date=2026-05-19&amp;currency=EUR&amp;startStation=56&amp;endStation=37",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Road House</t>
        </is>
      </c>
      <c r="H187">
        <f>HYPERLINK("https://booking.roadsurfer.com/es/rally/pick?pickup_date=2026-05-04&amp;return_date=2026-05-11&amp;currency=EUR&amp;startStation=56&amp;endStation=77",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2026-04-30</t>
        </is>
      </c>
      <c r="F188" t="inlineStr">
        <is>
          <t>2026-05-07</t>
        </is>
      </c>
      <c r="G188" t="inlineStr">
        <is>
          <t xml:space="preserve"> - Family Finca</t>
        </is>
      </c>
      <c r="H188">
        <f>HYPERLINK("https://booking.roadsurfer.com/es/rally/pick?pickup_date=2026-04-30&amp;return_date=2026-05-07&amp;currency=EUR&amp;startStation=56&amp;endStation=77",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Italia</t>
        </is>
      </c>
      <c r="D189" t="inlineStr">
        <is>
          <t>Milán</t>
        </is>
      </c>
      <c r="E189" t="inlineStr">
        <is>
          <t>2026-05-08</t>
        </is>
      </c>
      <c r="F189" t="inlineStr">
        <is>
          <t>2026-05-15</t>
        </is>
      </c>
      <c r="G189" t="inlineStr">
        <is>
          <t xml:space="preserve"> - Camper Castle</t>
        </is>
      </c>
      <c r="H189">
        <f>HYPERLINK("https://booking.roadsurfer.com/es/rally/pick?pickup_date=2026-05-08&amp;return_date=2026-05-15&amp;currency=EUR&amp;startStation=56&amp;endStation=34",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2026-04-28</t>
        </is>
      </c>
      <c r="F190" t="inlineStr">
        <is>
          <t>2026-05-05</t>
        </is>
      </c>
      <c r="G190" t="inlineStr">
        <is>
          <t xml:space="preserve"> - Camper Castle</t>
        </is>
      </c>
      <c r="H190">
        <f>HYPERLINK("https://booking.roadsurfer.com/es/rally/pick?pickup_date=2026-04-28&amp;return_date=2026-05-05&amp;currency=EUR&amp;startStation=56&amp;endStation=31",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Viena Sur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Couple Cottage</t>
        </is>
      </c>
      <c r="H191">
        <f>HYPERLINK("https://booking.roadsurfer.com/es/rally/pick?pickup_date=2026-05-13&amp;return_date=2026-05-20&amp;currency=EUR&amp;startStation=56&amp;endStation=45",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Austria</t>
        </is>
      </c>
      <c r="D192" t="inlineStr">
        <is>
          <t>Viena Sur</t>
        </is>
      </c>
      <c r="E192" t="inlineStr">
        <is>
          <t>2026-05-12</t>
        </is>
      </c>
      <c r="F192" t="inlineStr">
        <is>
          <t>2026-05-19</t>
        </is>
      </c>
      <c r="G192" t="inlineStr">
        <is>
          <t xml:space="preserve"> - Family Finca</t>
        </is>
      </c>
      <c r="H192">
        <f>HYPERLINK("https://booking.roadsurfer.com/es/rally/pick?pickup_date=2026-05-12&amp;return_date=2026-05-19&amp;currency=EUR&amp;startStation=56&amp;endStation=45",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2026-05-04</t>
        </is>
      </c>
      <c r="F193" t="inlineStr">
        <is>
          <t>2026-05-11</t>
        </is>
      </c>
      <c r="G193" t="inlineStr"/>
      <c r="H193">
        <f>HYPERLINK("https://booking.roadsurfer.com/es/rally/pick?pickup_date=2026-05-04&amp;return_date=2026-05-11&amp;currency=EUR&amp;startStation=56&amp;endStation=13", "Clic para verlo en la web de RoadSurfer")</f>
        <v/>
      </c>
    </row>
    <row r="194">
      <c r="A194" t="inlineStr">
        <is>
          <t>Alemania</t>
        </is>
      </c>
      <c r="B194" t="inlineStr">
        <is>
          <t>Duisburgo</t>
        </is>
      </c>
      <c r="C194" t="inlineStr">
        <is>
          <t>Francia</t>
        </is>
      </c>
      <c r="D194" t="inlineStr">
        <is>
          <t>Lille</t>
        </is>
      </c>
      <c r="E194" t="inlineStr">
        <is>
          <t>2026-04-30</t>
        </is>
      </c>
      <c r="F194" t="inlineStr">
        <is>
          <t>2026-05-07</t>
        </is>
      </c>
      <c r="G194" t="inlineStr">
        <is>
          <t xml:space="preserve"> - No hay coche</t>
        </is>
      </c>
      <c r="H194">
        <f>HYPERLINK("https://booking.roadsurfer.com/es/rally/pick?pickup_date=2026-04-30&amp;return_date=2026-05-07&amp;currency=EUR&amp;startStation=113&amp;endStation=87", "Clic para verlo en la web de RoadSurfer")</f>
        <v/>
      </c>
    </row>
    <row r="195">
      <c r="A195" t="inlineStr">
        <is>
          <t>Alemania</t>
        </is>
      </c>
      <c r="B195" t="inlineStr">
        <is>
          <t>Duisburgo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2026-04-29</t>
        </is>
      </c>
      <c r="F195" t="inlineStr">
        <is>
          <t>2026-05-06</t>
        </is>
      </c>
      <c r="G195" t="inlineStr">
        <is>
          <t xml:space="preserve"> - Family Finca</t>
        </is>
      </c>
      <c r="H195">
        <f>HYPERLINK("https://booking.roadsurfer.com/es/rally/pick?pickup_date=2026-04-29&amp;return_date=2026-05-06&amp;currency=EUR&amp;startStation=113&amp;endStation=31",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Surfer Suite - Road House</t>
        </is>
      </c>
      <c r="H196">
        <f>HYPERLINK("https://booking.roadsurfer.com/es/rally/pick?pickup_date=2026-05-04&amp;return_date=2026-05-11&amp;currency=EUR&amp;startStation=90&amp;endStation=47",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Sunrise Suite</t>
        </is>
      </c>
      <c r="H197">
        <f>HYPERLINK("https://booking.roadsurfer.com/es/rally/pick?pickup_date=2026-05-13&amp;return_date=2026-05-20&amp;currency=EUR&amp;startStation=90&amp;endStation=47",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Surfer Suite</t>
        </is>
      </c>
      <c r="H198">
        <f>HYPERLINK("https://booking.roadsurfer.com/es/rally/pick?pickup_date=2026-05-04&amp;return_date=2026-05-11&amp;currency=EUR&amp;startStation=90&amp;endStation=42",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2026-06-04</t>
        </is>
      </c>
      <c r="F199" t="inlineStr">
        <is>
          <t>2026-06-11</t>
        </is>
      </c>
      <c r="G199" t="inlineStr">
        <is>
          <t xml:space="preserve"> - Beach Hostel</t>
        </is>
      </c>
      <c r="H199">
        <f>HYPERLINK("https://booking.roadsurfer.com/es/rally/pick?pickup_date=2026-06-04&amp;return_date=2026-06-11&amp;currency=EUR&amp;startStation=90&amp;endStation=42",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Alemania</t>
        </is>
      </c>
      <c r="D200" t="inlineStr">
        <is>
          <t>Flensburgo</t>
        </is>
      </c>
      <c r="E200" t="inlineStr">
        <is>
          <t>2026-04-30</t>
        </is>
      </c>
      <c r="F200" t="inlineStr">
        <is>
          <t>2026-05-07</t>
        </is>
      </c>
      <c r="G200" t="inlineStr">
        <is>
          <t xml:space="preserve"> - Surfer Suite</t>
        </is>
      </c>
      <c r="H200">
        <f>HYPERLINK("https://booking.roadsurfer.com/es/rally/pick?pickup_date=2026-04-30&amp;return_date=2026-05-07&amp;currency=EUR&amp;startStation=90&amp;endStation=130",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Austria</t>
        </is>
      </c>
      <c r="D201" t="inlineStr">
        <is>
          <t>Linz</t>
        </is>
      </c>
      <c r="E201" t="inlineStr">
        <is>
          <t>2026-04-30</t>
        </is>
      </c>
      <c r="F201" t="inlineStr">
        <is>
          <t>2026-05-07</t>
        </is>
      </c>
      <c r="G201" t="inlineStr">
        <is>
          <t xml:space="preserve"> - Surfer Suite</t>
        </is>
      </c>
      <c r="H201">
        <f>HYPERLINK("https://booking.roadsurfer.com/es/rally/pick?pickup_date=2026-04-30&amp;return_date=2026-05-07&amp;currency=EUR&amp;startStation=90&amp;endStation=116",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Austria</t>
        </is>
      </c>
      <c r="D202" t="inlineStr">
        <is>
          <t>Graz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Surfer Suite</t>
        </is>
      </c>
      <c r="H202">
        <f>HYPERLINK("https://booking.roadsurfer.com/es/rally/pick?pickup_date=2026-05-04&amp;return_date=2026-05-11&amp;currency=EUR&amp;startStation=90&amp;endStation=37",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Austria</t>
        </is>
      </c>
      <c r="D203" t="inlineStr">
        <is>
          <t>Graz</t>
        </is>
      </c>
      <c r="E203" t="inlineStr">
        <is>
          <t>2026-05-13</t>
        </is>
      </c>
      <c r="F203" t="inlineStr">
        <is>
          <t>2026-05-20</t>
        </is>
      </c>
      <c r="G203" t="inlineStr">
        <is>
          <t xml:space="preserve"> - Surfer Suite</t>
        </is>
      </c>
      <c r="H203">
        <f>HYPERLINK("https://booking.roadsurfer.com/es/rally/pick?pickup_date=2026-05-13&amp;return_date=2026-05-20&amp;currency=EUR&amp;startStation=90&amp;endStation=37",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2026-05-02</t>
        </is>
      </c>
      <c r="F204" t="inlineStr">
        <is>
          <t>2026-05-09</t>
        </is>
      </c>
      <c r="G204" t="inlineStr">
        <is>
          <t xml:space="preserve"> - Surfer Suite</t>
        </is>
      </c>
      <c r="H204">
        <f>HYPERLINK("https://booking.roadsurfer.com/es/rally/pick?pickup_date=2026-05-02&amp;return_date=2026-05-09&amp;currency=EUR&amp;startStation=90&amp;endStation=48",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Alemania</t>
        </is>
      </c>
      <c r="D205" t="inlineStr">
        <is>
          <t>Augsburgo</t>
        </is>
      </c>
      <c r="E205" t="inlineStr">
        <is>
          <t>2026-05-02</t>
        </is>
      </c>
      <c r="F205" t="inlineStr">
        <is>
          <t>2026-05-09</t>
        </is>
      </c>
      <c r="G205" t="inlineStr">
        <is>
          <t xml:space="preserve"> - Surfer Suite</t>
        </is>
      </c>
      <c r="H205">
        <f>HYPERLINK("https://booking.roadsurfer.com/es/rally/pick?pickup_date=2026-05-02&amp;return_date=2026-05-09&amp;currency=EUR&amp;startStation=90&amp;endStation=108",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Francia</t>
        </is>
      </c>
      <c r="D206" t="inlineStr">
        <is>
          <t>Toulouse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Surfer Suite</t>
        </is>
      </c>
      <c r="H206">
        <f>HYPERLINK("https://booking.roadsurfer.com/es/rally/pick?pickup_date=2026-06-01&amp;return_date=2026-06-08&amp;currency=EUR&amp;startStation=90&amp;endStation=30",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Estrasburgo</t>
        </is>
      </c>
      <c r="E207" t="inlineStr">
        <is>
          <t>2026-05-16</t>
        </is>
      </c>
      <c r="F207" t="inlineStr">
        <is>
          <t>2026-05-23</t>
        </is>
      </c>
      <c r="G207" t="inlineStr">
        <is>
          <t xml:space="preserve"> - Beach Hostel</t>
        </is>
      </c>
      <c r="H207">
        <f>HYPERLINK("https://booking.roadsurfer.com/es/rally/pick?pickup_date=2026-05-16&amp;return_date=2026-05-23&amp;currency=EUR&amp;startStation=90&amp;endStation=49",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2026-04-29</t>
        </is>
      </c>
      <c r="F208" t="inlineStr">
        <is>
          <t>2026-05-06</t>
        </is>
      </c>
      <c r="G208" t="inlineStr">
        <is>
          <t xml:space="preserve"> - Beach Hostel</t>
        </is>
      </c>
      <c r="H208">
        <f>HYPERLINK("https://booking.roadsurfer.com/es/rally/pick?pickup_date=2026-04-29&amp;return_date=2026-05-06&amp;currency=EUR&amp;startStation=90&amp;endStation=15",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2026-05-30</t>
        </is>
      </c>
      <c r="F209" t="inlineStr">
        <is>
          <t>2026-06-06</t>
        </is>
      </c>
      <c r="G209" t="inlineStr">
        <is>
          <t xml:space="preserve"> - Camper Cabin</t>
        </is>
      </c>
      <c r="H209">
        <f>HYPERLINK("https://booking.roadsurfer.com/es/rally/pick?pickup_date=2026-05-30&amp;return_date=2026-06-06&amp;currency=EUR&amp;startStation=90&amp;endStation=15",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2026-05-20</t>
        </is>
      </c>
      <c r="F210" t="inlineStr">
        <is>
          <t>2026-05-27</t>
        </is>
      </c>
      <c r="G210" t="inlineStr">
        <is>
          <t xml:space="preserve"> - Family Finca</t>
        </is>
      </c>
      <c r="H210">
        <f>HYPERLINK("https://booking.roadsurfer.com/es/rally/pick?pickup_date=2026-05-20&amp;return_date=2026-05-27&amp;currency=EUR&amp;startStation=90&amp;endStation=77",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2026-05-02</t>
        </is>
      </c>
      <c r="F211" t="inlineStr">
        <is>
          <t>2026-05-09</t>
        </is>
      </c>
      <c r="G211" t="inlineStr">
        <is>
          <t xml:space="preserve"> - Road House</t>
        </is>
      </c>
      <c r="H211">
        <f>HYPERLINK("https://booking.roadsurfer.com/es/rally/pick?pickup_date=2026-05-02&amp;return_date=2026-05-09&amp;currency=EUR&amp;startStation=90&amp;endStation=77",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2026-06-02</t>
        </is>
      </c>
      <c r="F212" t="inlineStr">
        <is>
          <t>2026-06-09</t>
        </is>
      </c>
      <c r="G212" t="inlineStr">
        <is>
          <t xml:space="preserve"> - Sunrise Suite</t>
        </is>
      </c>
      <c r="H212">
        <f>HYPERLINK("https://booking.roadsurfer.com/es/rally/pick?pickup_date=2026-06-02&amp;return_date=2026-06-09&amp;currency=EUR&amp;startStation=90&amp;endStation=77",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2026-06-05</t>
        </is>
      </c>
      <c r="F213" t="inlineStr">
        <is>
          <t>2026-06-12</t>
        </is>
      </c>
      <c r="G213" t="inlineStr">
        <is>
          <t xml:space="preserve"> - Beach Hostel</t>
        </is>
      </c>
      <c r="H213">
        <f>HYPERLINK("https://booking.roadsurfer.com/es/rally/pick?pickup_date=2026-06-05&amp;return_date=2026-06-12&amp;currency=EUR&amp;startStation=90&amp;endStation=77",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2026-05-06</t>
        </is>
      </c>
      <c r="F214" t="inlineStr">
        <is>
          <t>2026-05-13</t>
        </is>
      </c>
      <c r="G214" t="inlineStr">
        <is>
          <t xml:space="preserve"> - Travel Home</t>
        </is>
      </c>
      <c r="H214">
        <f>HYPERLINK("https://booking.roadsurfer.com/es/rally/pick?pickup_date=2026-05-06&amp;return_date=2026-05-13&amp;currency=EUR&amp;startStation=90&amp;endStation=13",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2026-05-25</t>
        </is>
      </c>
      <c r="F215" t="inlineStr">
        <is>
          <t>2026-06-01</t>
        </is>
      </c>
      <c r="G215" t="inlineStr">
        <is>
          <t xml:space="preserve"> - No hay coche</t>
        </is>
      </c>
      <c r="H215">
        <f>HYPERLINK("https://booking.roadsurfer.com/es/rally/pick?pickup_date=2026-05-25&amp;return_date=2026-06-01&amp;currency=EUR&amp;startStation=90&amp;endStation=40",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2026-05-26</t>
        </is>
      </c>
      <c r="F216" t="inlineStr">
        <is>
          <t>2026-06-02</t>
        </is>
      </c>
      <c r="G216" t="inlineStr">
        <is>
          <t xml:space="preserve"> - Road House</t>
        </is>
      </c>
      <c r="H216">
        <f>HYPERLINK("https://booking.roadsurfer.com/es/rally/pick?pickup_date=2026-05-26&amp;return_date=2026-06-02&amp;currency=EUR&amp;startStation=90&amp;endStation=59",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2026-05-12</t>
        </is>
      </c>
      <c r="F217" t="inlineStr">
        <is>
          <t>2026-05-19</t>
        </is>
      </c>
      <c r="G217" t="inlineStr">
        <is>
          <t xml:space="preserve"> - Road House</t>
        </is>
      </c>
      <c r="H217">
        <f>HYPERLINK("https://booking.roadsurfer.com/es/rally/pick?pickup_date=2026-05-12&amp;return_date=2026-05-19&amp;currency=EUR&amp;startStation=90&amp;endStation=52",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París Sur (Orly)</t>
        </is>
      </c>
      <c r="E218" t="inlineStr">
        <is>
          <t>2026-04-30</t>
        </is>
      </c>
      <c r="F218" t="inlineStr">
        <is>
          <t>2026-05-07</t>
        </is>
      </c>
      <c r="G218" t="inlineStr">
        <is>
          <t xml:space="preserve"> - Family Finca</t>
        </is>
      </c>
      <c r="H218">
        <f>HYPERLINK("https://booking.roadsurfer.com/es/rally/pick?pickup_date=2026-04-30&amp;return_date=2026-05-07&amp;currency=EUR&amp;startStation=90&amp;endStation=12",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No hay coche</t>
        </is>
      </c>
      <c r="H219">
        <f>HYPERLINK("https://booking.roadsurfer.com/es/rally/pick?pickup_date=2026-05-02&amp;return_date=2026-05-09&amp;currency=EUR&amp;startStation=90&amp;endStation=12",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Suecia</t>
        </is>
      </c>
      <c r="D220" t="inlineStr">
        <is>
          <t>Malmö</t>
        </is>
      </c>
      <c r="E220" t="inlineStr">
        <is>
          <t>2026-05-12</t>
        </is>
      </c>
      <c r="F220" t="inlineStr">
        <is>
          <t>2026-05-19</t>
        </is>
      </c>
      <c r="G220" t="inlineStr"/>
      <c r="H220">
        <f>HYPERLINK("https://booking.roadsurfer.com/es/rally/pick?pickup_date=2026-05-12&amp;return_date=2026-05-19&amp;currency=EUR&amp;startStation=90&amp;endStation=60",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Suecia</t>
        </is>
      </c>
      <c r="D221" t="inlineStr">
        <is>
          <t>Malmö</t>
        </is>
      </c>
      <c r="E221" t="inlineStr">
        <is>
          <t>2026-06-01</t>
        </is>
      </c>
      <c r="F221" t="inlineStr">
        <is>
          <t>2026-06-08</t>
        </is>
      </c>
      <c r="G221" t="inlineStr">
        <is>
          <t xml:space="preserve"> - Family Finca</t>
        </is>
      </c>
      <c r="H221">
        <f>HYPERLINK("https://booking.roadsurfer.com/es/rally/pick?pickup_date=2026-06-01&amp;return_date=2026-06-08&amp;currency=EUR&amp;startStation=90&amp;endStation=60",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Austria</t>
        </is>
      </c>
      <c r="D222" t="inlineStr">
        <is>
          <t>Viena</t>
        </is>
      </c>
      <c r="E222" t="inlineStr">
        <is>
          <t>2026-05-13</t>
        </is>
      </c>
      <c r="F222" t="inlineStr">
        <is>
          <t>2026-05-20</t>
        </is>
      </c>
      <c r="G222" t="inlineStr">
        <is>
          <t xml:space="preserve"> - Couple Cottage</t>
        </is>
      </c>
      <c r="H222">
        <f>HYPERLINK("https://booking.roadsurfer.com/es/rally/pick?pickup_date=2026-05-13&amp;return_date=2026-05-20&amp;currency=EUR&amp;startStation=90&amp;endStation=36",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2026-05-21</t>
        </is>
      </c>
      <c r="F223" t="inlineStr">
        <is>
          <t>2026-05-28</t>
        </is>
      </c>
      <c r="G223" t="inlineStr">
        <is>
          <t xml:space="preserve"> - Couple Cottage</t>
        </is>
      </c>
      <c r="H223">
        <f>HYPERLINK("https://booking.roadsurfer.com/es/rally/pick?pickup_date=2026-05-21&amp;return_date=2026-05-28&amp;currency=EUR&amp;startStation=90&amp;endStation=94",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2026-04-25</t>
        </is>
      </c>
      <c r="F224" t="inlineStr">
        <is>
          <t>2026-05-02</t>
        </is>
      </c>
      <c r="G224" t="inlineStr">
        <is>
          <t xml:space="preserve"> - No hay coche</t>
        </is>
      </c>
      <c r="H224">
        <f>HYPERLINK("https://booking.roadsurfer.com/es/rally/pick?pickup_date=2026-04-25&amp;return_date=2026-05-02&amp;currency=EUR&amp;startStation=90&amp;endStation=29",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Cozy Cottage</t>
        </is>
      </c>
      <c r="H225">
        <f>HYPERLINK("https://booking.roadsurfer.com/es/rally/pick?pickup_date=2026-05-13&amp;return_date=2026-05-20&amp;currency=EUR&amp;startStation=90&amp;endStation=45", "Clic para verlo en la web de RoadSurfer")</f>
        <v/>
      </c>
    </row>
    <row r="226">
      <c r="A226" t="inlineStr">
        <is>
          <t>Italia</t>
        </is>
      </c>
      <c r="B226" t="inlineStr">
        <is>
          <t>Florencia</t>
        </is>
      </c>
      <c r="C226" t="inlineStr">
        <is>
          <t>Alemania</t>
        </is>
      </c>
      <c r="D226" t="inlineStr">
        <is>
          <t>Stuttgart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Road House</t>
        </is>
      </c>
      <c r="H226">
        <f>HYPERLINK("https://booking.roadsurfer.com/es/rally/pick?pickup_date=2026-05-11&amp;return_date=2026-05-18&amp;currency=EUR&amp;startStation=80&amp;endStation=5",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Alemania</t>
        </is>
      </c>
      <c r="D227" t="inlineStr">
        <is>
          <t>Braunschweig</t>
        </is>
      </c>
      <c r="E227" t="inlineStr">
        <is>
          <t>2026-04-28</t>
        </is>
      </c>
      <c r="F227" t="inlineStr">
        <is>
          <t>2026-05-05</t>
        </is>
      </c>
      <c r="G227" t="inlineStr">
        <is>
          <t xml:space="preserve"> - Surfer Suite</t>
        </is>
      </c>
      <c r="H227">
        <f>HYPERLINK("https://booking.roadsurfer.com/es/rally/pick?pickup_date=2026-04-28&amp;return_date=2026-05-05&amp;currency=EUR&amp;startStation=2&amp;endStation=128",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Alemania</t>
        </is>
      </c>
      <c r="D228" t="inlineStr">
        <is>
          <t>Braunschweig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No hay coche</t>
        </is>
      </c>
      <c r="H228">
        <f>HYPERLINK("https://booking.roadsurfer.com/es/rally/pick?pickup_date=2026-05-04&amp;return_date=2026-05-11&amp;currency=EUR&amp;startStation=2&amp;endStation=128",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Alemania</t>
        </is>
      </c>
      <c r="D229" t="inlineStr">
        <is>
          <t>Braunschweig</t>
        </is>
      </c>
      <c r="E229" t="inlineStr">
        <is>
          <t>2026-05-01</t>
        </is>
      </c>
      <c r="F229" t="inlineStr">
        <is>
          <t>2026-05-08</t>
        </is>
      </c>
      <c r="G229" t="inlineStr">
        <is>
          <t xml:space="preserve"> - No hay coche</t>
        </is>
      </c>
      <c r="H229">
        <f>HYPERLINK("https://booking.roadsurfer.com/es/rally/pick?pickup_date=2026-05-01&amp;return_date=2026-05-08&amp;currency=EUR&amp;startStation=2&amp;endStation=128",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Alemania</t>
        </is>
      </c>
      <c r="D230" t="inlineStr">
        <is>
          <t>Braunschweig</t>
        </is>
      </c>
      <c r="E230" t="inlineStr">
        <is>
          <t>2026-05-02</t>
        </is>
      </c>
      <c r="F230" t="inlineStr">
        <is>
          <t>2026-05-09</t>
        </is>
      </c>
      <c r="G230" t="inlineStr">
        <is>
          <t xml:space="preserve"> - Surfer Suite</t>
        </is>
      </c>
      <c r="H230">
        <f>HYPERLINK("https://booking.roadsurfer.com/es/rally/pick?pickup_date=2026-05-02&amp;return_date=2026-05-09&amp;currency=EUR&amp;startStation=2&amp;endStation=128",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2026-04-29</t>
        </is>
      </c>
      <c r="F231" t="inlineStr">
        <is>
          <t>2026-05-06</t>
        </is>
      </c>
      <c r="G231" t="inlineStr">
        <is>
          <t xml:space="preserve"> - Surfer Suite</t>
        </is>
      </c>
      <c r="H231">
        <f>HYPERLINK("https://booking.roadsurfer.com/es/rally/pick?pickup_date=2026-04-29&amp;return_date=2026-05-06&amp;currency=EUR&amp;startStation=2&amp;endStation=48",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Italia</t>
        </is>
      </c>
      <c r="D232" t="inlineStr">
        <is>
          <t>Florencia</t>
        </is>
      </c>
      <c r="E232" t="inlineStr">
        <is>
          <t>2026-05-02</t>
        </is>
      </c>
      <c r="F232" t="inlineStr">
        <is>
          <t>2026-05-09</t>
        </is>
      </c>
      <c r="G232" t="inlineStr">
        <is>
          <t xml:space="preserve"> - Surfer Suite - Couple Cottage</t>
        </is>
      </c>
      <c r="H232">
        <f>HYPERLINK("https://booking.roadsurfer.com/es/rally/pick?pickup_date=2026-05-02&amp;return_date=2026-05-09&amp;currency=EUR&amp;startStation=2&amp;endStation=80",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2026-06-12</t>
        </is>
      </c>
      <c r="F233" t="inlineStr">
        <is>
          <t>2026-06-19</t>
        </is>
      </c>
      <c r="G233" t="inlineStr">
        <is>
          <t xml:space="preserve"> - Surfer Suite</t>
        </is>
      </c>
      <c r="H233">
        <f>HYPERLINK("https://booking.roadsurfer.com/es/rally/pick?pickup_date=2026-06-12&amp;return_date=2026-06-19&amp;currency=EUR&amp;startStation=2&amp;endStation=40",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España</t>
        </is>
      </c>
      <c r="D234" t="inlineStr">
        <is>
          <t>Bilbao</t>
        </is>
      </c>
      <c r="E234" t="inlineStr">
        <is>
          <t>2026-05-08</t>
        </is>
      </c>
      <c r="F234" t="inlineStr">
        <is>
          <t>2026-05-15</t>
        </is>
      </c>
      <c r="G234" t="inlineStr">
        <is>
          <t xml:space="preserve"> - Couple Cottage - Sunrise Suite</t>
        </is>
      </c>
      <c r="H234">
        <f>HYPERLINK("https://booking.roadsurfer.com/es/rally/pick?pickup_date=2026-05-08&amp;return_date=2026-05-15&amp;currency=EUR&amp;startStation=2&amp;endStation=40",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España</t>
        </is>
      </c>
      <c r="D235" t="inlineStr">
        <is>
          <t>Bilbao</t>
        </is>
      </c>
      <c r="E235" t="inlineStr">
        <is>
          <t>2026-05-14</t>
        </is>
      </c>
      <c r="F235" t="inlineStr">
        <is>
          <t>2026-05-21</t>
        </is>
      </c>
      <c r="G235" t="inlineStr">
        <is>
          <t xml:space="preserve"> - No hay coche</t>
        </is>
      </c>
      <c r="H235">
        <f>HYPERLINK("https://booking.roadsurfer.com/es/rally/pick?pickup_date=2026-05-14&amp;return_date=2026-05-21&amp;currency=EUR&amp;startStation=2&amp;endStation=40",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Alemania</t>
        </is>
      </c>
      <c r="D236" t="inlineStr">
        <is>
          <t>Hamburgo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Camper Cabin</t>
        </is>
      </c>
      <c r="H236">
        <f>HYPERLINK("https://booking.roadsurfer.com/es/rally/pick?pickup_date=2026-05-04&amp;return_date=2026-05-11&amp;currency=EUR&amp;startStation=2&amp;endStation=3",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Italia</t>
        </is>
      </c>
      <c r="D237" t="inlineStr">
        <is>
          <t>Bérgamo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Road House</t>
        </is>
      </c>
      <c r="H237">
        <f>HYPERLINK("https://booking.roadsurfer.com/es/rally/pick?pickup_date=2026-05-04&amp;return_date=2026-05-11&amp;currency=EUR&amp;startStation=2&amp;endStation=94",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2026-05-15</t>
        </is>
      </c>
      <c r="F238" t="inlineStr">
        <is>
          <t>2026-05-22</t>
        </is>
      </c>
      <c r="G238" t="inlineStr">
        <is>
          <t xml:space="preserve"> - Camper Castle</t>
        </is>
      </c>
      <c r="H238">
        <f>HYPERLINK("https://booking.roadsurfer.com/es/rally/pick?pickup_date=2026-05-15&amp;return_date=2026-05-22&amp;currency=EUR&amp;startStation=2&amp;endStation=20",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2026-05-12</t>
        </is>
      </c>
      <c r="F239" t="inlineStr">
        <is>
          <t>2026-05-19</t>
        </is>
      </c>
      <c r="G239" t="inlineStr">
        <is>
          <t xml:space="preserve"> - Camper Castle</t>
        </is>
      </c>
      <c r="H239">
        <f>HYPERLINK("https://booking.roadsurfer.com/es/rally/pick?pickup_date=2026-05-12&amp;return_date=2026-05-19&amp;currency=EUR&amp;startStation=2&amp;endStation=20",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2026-05-05</t>
        </is>
      </c>
      <c r="F240" t="inlineStr">
        <is>
          <t>2026-05-12</t>
        </is>
      </c>
      <c r="G240" t="inlineStr"/>
      <c r="H240">
        <f>HYPERLINK("https://booking.roadsurfer.com/es/rally/pick?pickup_date=2026-05-05&amp;return_date=2026-05-12&amp;currency=EUR&amp;startStation=2&amp;endStation=20",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2026-04-30</t>
        </is>
      </c>
      <c r="F241" t="inlineStr">
        <is>
          <t>2026-05-07</t>
        </is>
      </c>
      <c r="G241" t="inlineStr">
        <is>
          <t xml:space="preserve"> - Family Finca</t>
        </is>
      </c>
      <c r="H241">
        <f>HYPERLINK("https://booking.roadsurfer.com/es/rally/pick?pickup_date=2026-04-30&amp;return_date=2026-05-07&amp;currency=EUR&amp;startStation=2&amp;endStation=29",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2026-04-29</t>
        </is>
      </c>
      <c r="F242" t="inlineStr">
        <is>
          <t>2026-05-06</t>
        </is>
      </c>
      <c r="G242" t="inlineStr">
        <is>
          <t xml:space="preserve"> - Couple Cottage</t>
        </is>
      </c>
      <c r="H242">
        <f>HYPERLINK("https://booking.roadsurfer.com/es/rally/pick?pickup_date=2026-04-29&amp;return_date=2026-05-06&amp;currency=EUR&amp;startStation=2&amp;endStation=47",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2026-05-08</t>
        </is>
      </c>
      <c r="F243" t="inlineStr">
        <is>
          <t>2026-05-15</t>
        </is>
      </c>
      <c r="G243" t="inlineStr">
        <is>
          <t xml:space="preserve"> - Couple Cottage</t>
        </is>
      </c>
      <c r="H243">
        <f>HYPERLINK("https://booking.roadsurfer.com/es/rally/pick?pickup_date=2026-05-08&amp;return_date=2026-05-15&amp;currency=EUR&amp;startStation=2&amp;endStation=45",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Couple Cottage</t>
        </is>
      </c>
      <c r="H244">
        <f>HYPERLINK("https://booking.roadsurfer.com/es/rally/pick?pickup_date=2026-05-04&amp;return_date=2026-05-11&amp;currency=EUR&amp;startStation=2&amp;endStation=77",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Italia</t>
        </is>
      </c>
      <c r="D245" t="inlineStr">
        <is>
          <t>Bolonia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Couple Cottage</t>
        </is>
      </c>
      <c r="H245">
        <f>HYPERLINK("https://booking.roadsurfer.com/es/rally/pick?pickup_date=2026-05-04&amp;return_date=2026-05-11&amp;currency=EUR&amp;startStation=2&amp;endStation=57",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2026-05-02</t>
        </is>
      </c>
      <c r="F246" t="inlineStr">
        <is>
          <t>2026-05-09</t>
        </is>
      </c>
      <c r="G246" t="inlineStr">
        <is>
          <t xml:space="preserve"> - Couple Cottage</t>
        </is>
      </c>
      <c r="H246">
        <f>HYPERLINK("https://booking.roadsurfer.com/es/rally/pick?pickup_date=2026-05-02&amp;return_date=2026-05-09&amp;currency=EUR&amp;startStation=2&amp;endStation=12",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Suecia</t>
        </is>
      </c>
      <c r="D247" t="inlineStr">
        <is>
          <t>Malmö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Couple Cottage</t>
        </is>
      </c>
      <c r="H247">
        <f>HYPERLINK("https://booking.roadsurfer.com/es/rally/pick?pickup_date=2026-05-06&amp;return_date=2026-05-13&amp;currency=EUR&amp;startStation=2&amp;endStation=60",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2026-05-04</t>
        </is>
      </c>
      <c r="F248" t="inlineStr">
        <is>
          <t>2026-05-11</t>
        </is>
      </c>
      <c r="G248" t="inlineStr"/>
      <c r="H248">
        <f>HYPERLINK("https://booking.roadsurfer.com/es/rally/pick?pickup_date=2026-05-04&amp;return_date=2026-05-11&amp;currency=EUR&amp;startStation=2&amp;endStation=33",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Alemania</t>
        </is>
      </c>
      <c r="D249" t="inlineStr">
        <is>
          <t>Hamburgo Aeropuerto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Cozy Cottage</t>
        </is>
      </c>
      <c r="H249">
        <f>HYPERLINK("https://booking.roadsurfer.com/es/rally/pick?pickup_date=2026-05-04&amp;return_date=2026-05-11&amp;currency=EUR&amp;startStation=2&amp;endStation=65",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2026-04-29</t>
        </is>
      </c>
      <c r="F250" t="inlineStr">
        <is>
          <t>2026-05-06</t>
        </is>
      </c>
      <c r="G250" t="inlineStr">
        <is>
          <t xml:space="preserve"> - Surfer Suite</t>
        </is>
      </c>
      <c r="H250">
        <f>HYPERLINK("https://booking.roadsurfer.com/es/rally/pick?pickup_date=2026-04-29&amp;return_date=2026-05-06&amp;currency=EUR&amp;startStation=9&amp;endStation=40",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Road House</t>
        </is>
      </c>
      <c r="H251">
        <f>HYPERLINK("https://booking.roadsurfer.com/es/rally/pick?pickup_date=2026-05-13&amp;return_date=2026-05-20&amp;currency=EUR&amp;startStation=9&amp;endStation=40",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2026-05-02</t>
        </is>
      </c>
      <c r="F252" t="inlineStr">
        <is>
          <t>2026-05-09</t>
        </is>
      </c>
      <c r="G252" t="inlineStr">
        <is>
          <t xml:space="preserve"> - Camper Cabin</t>
        </is>
      </c>
      <c r="H252">
        <f>HYPERLINK("https://booking.roadsurfer.com/es/rally/pick?pickup_date=2026-05-02&amp;return_date=2026-05-09&amp;currency=EUR&amp;startStation=9&amp;endStation=40",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2026-05-19</t>
        </is>
      </c>
      <c r="F253" t="inlineStr">
        <is>
          <t>2026-05-26</t>
        </is>
      </c>
      <c r="G253" t="inlineStr">
        <is>
          <t xml:space="preserve"> - Surfer Suite</t>
        </is>
      </c>
      <c r="H253">
        <f>HYPERLINK("https://booking.roadsurfer.com/es/rally/pick?pickup_date=2026-05-19&amp;return_date=2026-05-26&amp;currency=EUR&amp;startStation=9&amp;endStation=40",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Alemania</t>
        </is>
      </c>
      <c r="D254" t="inlineStr">
        <is>
          <t>Duisburgo</t>
        </is>
      </c>
      <c r="E254" t="inlineStr">
        <is>
          <t>2026-05-02</t>
        </is>
      </c>
      <c r="F254" t="inlineStr">
        <is>
          <t>2026-05-09</t>
        </is>
      </c>
      <c r="G254" t="inlineStr">
        <is>
          <t xml:space="preserve"> - Surfer Suite</t>
        </is>
      </c>
      <c r="H254">
        <f>HYPERLINK("https://booking.roadsurfer.com/es/rally/pick?pickup_date=2026-05-02&amp;return_date=2026-05-09&amp;currency=EUR&amp;startStation=9&amp;endStation=113",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2026-05-06</t>
        </is>
      </c>
      <c r="F255" t="inlineStr">
        <is>
          <t>2026-05-13</t>
        </is>
      </c>
      <c r="G255" t="inlineStr">
        <is>
          <t xml:space="preserve"> - Surfer Suite</t>
        </is>
      </c>
      <c r="H255">
        <f>HYPERLINK("https://booking.roadsurfer.com/es/rally/pick?pickup_date=2026-05-06&amp;return_date=2026-05-13&amp;currency=EUR&amp;startStation=9&amp;endStation=15",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Surfer Suite</t>
        </is>
      </c>
      <c r="H256">
        <f>HYPERLINK("https://booking.roadsurfer.com/es/rally/pick?pickup_date=2026-05-04&amp;return_date=2026-05-11&amp;currency=EUR&amp;startStation=9&amp;endStation=15",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2026-05-15</t>
        </is>
      </c>
      <c r="F257" t="inlineStr">
        <is>
          <t>2026-05-22</t>
        </is>
      </c>
      <c r="G257" t="inlineStr">
        <is>
          <t xml:space="preserve"> - Surfer Suite</t>
        </is>
      </c>
      <c r="H257">
        <f>HYPERLINK("https://booking.roadsurfer.com/es/rally/pick?pickup_date=2026-05-15&amp;return_date=2026-05-22&amp;currency=EUR&amp;startStation=9&amp;endStation=15",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2026-04-28</t>
        </is>
      </c>
      <c r="F258" t="inlineStr">
        <is>
          <t>2026-05-05</t>
        </is>
      </c>
      <c r="G258" t="inlineStr">
        <is>
          <t xml:space="preserve"> - Travel Home</t>
        </is>
      </c>
      <c r="H258">
        <f>HYPERLINK("https://booking.roadsurfer.com/es/rally/pick?pickup_date=2026-04-28&amp;return_date=2026-05-05&amp;currency=EUR&amp;startStation=9&amp;endStation=15",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2026-05-19</t>
        </is>
      </c>
      <c r="F259" t="inlineStr">
        <is>
          <t>2026-05-26</t>
        </is>
      </c>
      <c r="G259" t="inlineStr">
        <is>
          <t xml:space="preserve"> - No hay coche</t>
        </is>
      </c>
      <c r="H259">
        <f>HYPERLINK("https://booking.roadsurfer.com/es/rally/pick?pickup_date=2026-05-19&amp;return_date=2026-05-26&amp;currency=EUR&amp;startStation=9&amp;endStation=20",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2026-05-02</t>
        </is>
      </c>
      <c r="F260" t="inlineStr">
        <is>
          <t>2026-05-09</t>
        </is>
      </c>
      <c r="G260" t="inlineStr">
        <is>
          <t xml:space="preserve"> - Surfer Suite</t>
        </is>
      </c>
      <c r="H260">
        <f>HYPERLINK("https://booking.roadsurfer.com/es/rally/pick?pickup_date=2026-05-02&amp;return_date=2026-05-09&amp;currency=EUR&amp;startStation=9&amp;endStation=20",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Alemania</t>
        </is>
      </c>
      <c r="D261" t="inlineStr">
        <is>
          <t>Aquisgrán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Surfer Suite</t>
        </is>
      </c>
      <c r="H261">
        <f>HYPERLINK("https://booking.roadsurfer.com/es/rally/pick?pickup_date=2026-05-04&amp;return_date=2026-05-11&amp;currency=EUR&amp;startStation=9&amp;endStation=114",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Alemania</t>
        </is>
      </c>
      <c r="D262" t="inlineStr">
        <is>
          <t>Flensburgo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Surfer Suite</t>
        </is>
      </c>
      <c r="H262">
        <f>HYPERLINK("https://booking.roadsurfer.com/es/rally/pick?pickup_date=2026-05-02&amp;return_date=2026-05-09&amp;currency=EUR&amp;startStation=9&amp;endStation=130",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2026-04-30</t>
        </is>
      </c>
      <c r="F263" t="inlineStr">
        <is>
          <t>2026-05-07</t>
        </is>
      </c>
      <c r="G263" t="inlineStr">
        <is>
          <t xml:space="preserve"> - Camper Cabin</t>
        </is>
      </c>
      <c r="H263">
        <f>HYPERLINK("https://booking.roadsurfer.com/es/rally/pick?pickup_date=2026-04-30&amp;return_date=2026-05-07&amp;currency=EUR&amp;startStation=9&amp;endStation=31",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Road House</t>
        </is>
      </c>
      <c r="H264">
        <f>HYPERLINK("https://booking.roadsurfer.com/es/rally/pick?pickup_date=2026-05-04&amp;return_date=2026-05-11&amp;currency=EUR&amp;startStation=9&amp;endStation=31",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España</t>
        </is>
      </c>
      <c r="D265" t="inlineStr">
        <is>
          <t>Valencia</t>
        </is>
      </c>
      <c r="E265" t="inlineStr">
        <is>
          <t>2026-06-09</t>
        </is>
      </c>
      <c r="F265" t="inlineStr">
        <is>
          <t>2026-06-16</t>
        </is>
      </c>
      <c r="G265" t="inlineStr">
        <is>
          <t xml:space="preserve"> - Road House</t>
        </is>
      </c>
      <c r="H265">
        <f>HYPERLINK("https://booking.roadsurfer.com/es/rally/pick?pickup_date=2026-06-09&amp;return_date=2026-06-16&amp;currency=EUR&amp;startStation=9&amp;endStation=38",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España</t>
        </is>
      </c>
      <c r="D266" t="inlineStr">
        <is>
          <t>Valencia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Road House</t>
        </is>
      </c>
      <c r="H266">
        <f>HYPERLINK("https://booking.roadsurfer.com/es/rally/pick?pickup_date=2026-05-04&amp;return_date=2026-05-11&amp;currency=EUR&amp;startStation=9&amp;endStation=38",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Road House</t>
        </is>
      </c>
      <c r="H267">
        <f>HYPERLINK("https://booking.roadsurfer.com/es/rally/pick?pickup_date=2026-05-04&amp;return_date=2026-05-11&amp;currency=EUR&amp;startStation=9&amp;endStation=52",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2026-05-18</t>
        </is>
      </c>
      <c r="F268" t="inlineStr">
        <is>
          <t>2026-05-25</t>
        </is>
      </c>
      <c r="G268" t="inlineStr">
        <is>
          <t xml:space="preserve"> - Road House</t>
        </is>
      </c>
      <c r="H268">
        <f>HYPERLINK("https://booking.roadsurfer.com/es/rally/pick?pickup_date=2026-05-18&amp;return_date=2026-05-25&amp;currency=EUR&amp;startStation=9&amp;endStation=94",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2026-05-05</t>
        </is>
      </c>
      <c r="F269" t="inlineStr">
        <is>
          <t>2026-05-11</t>
        </is>
      </c>
      <c r="G269" t="inlineStr">
        <is>
          <t xml:space="preserve"> - Couple Cottage</t>
        </is>
      </c>
      <c r="H269">
        <f>HYPERLINK("https://booking.roadsurfer.com/es/rally/pick?pickup_date=2026-05-05&amp;return_date=2026-05-11&amp;currency=EUR&amp;startStation=9&amp;endStation=32",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2026-05-15</t>
        </is>
      </c>
      <c r="F270" t="inlineStr">
        <is>
          <t>2026-05-22</t>
        </is>
      </c>
      <c r="G270" t="inlineStr">
        <is>
          <t xml:space="preserve"> - Camper Cabin</t>
        </is>
      </c>
      <c r="H270">
        <f>HYPERLINK("https://booking.roadsurfer.com/es/rally/pick?pickup_date=2026-05-15&amp;return_date=2026-05-22&amp;currency=EUR&amp;startStation=29&amp;endStation=90",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Surfer Suite</t>
        </is>
      </c>
      <c r="H271">
        <f>HYPERLINK("https://booking.roadsurfer.com/es/rally/pick?pickup_date=2026-05-06&amp;return_date=2026-05-13&amp;currency=EUR&amp;startStation=29&amp;endStation=90",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Beach Hostel</t>
        </is>
      </c>
      <c r="H272">
        <f>HYPERLINK("https://booking.roadsurfer.com/es/rally/pick?pickup_date=2026-05-06&amp;return_date=2026-05-13&amp;currency=EUR&amp;startStation=29&amp;endStation=1",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2026-05-06</t>
        </is>
      </c>
      <c r="F273" t="inlineStr">
        <is>
          <t>2026-05-13</t>
        </is>
      </c>
      <c r="G273" t="inlineStr">
        <is>
          <t xml:space="preserve"> - Travel Home</t>
        </is>
      </c>
      <c r="H273">
        <f>HYPERLINK("https://booking.roadsurfer.com/es/rally/pick?pickup_date=2026-05-06&amp;return_date=2026-05-13&amp;currency=EUR&amp;startStation=29&amp;endStation=22",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Kassel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Camper Cabin</t>
        </is>
      </c>
      <c r="H274">
        <f>HYPERLINK("https://booking.roadsurfer.com/es/rally/pick?pickup_date=2026-05-04&amp;return_date=2026-05-11&amp;currency=EUR&amp;startStation=29&amp;endStation=92",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Camper Cabin</t>
        </is>
      </c>
      <c r="H275">
        <f>HYPERLINK("https://booking.roadsurfer.com/es/rally/pick?pickup_date=2026-05-11&amp;return_date=2026-05-18&amp;currency=EUR&amp;startStation=29&amp;endStation=56",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2026-05-08</t>
        </is>
      </c>
      <c r="F276" t="inlineStr">
        <is>
          <t>2026-05-15</t>
        </is>
      </c>
      <c r="G276" t="inlineStr">
        <is>
          <t xml:space="preserve"> - No hay coche</t>
        </is>
      </c>
      <c r="H276">
        <f>HYPERLINK("https://booking.roadsurfer.com/es/rally/pick?pickup_date=2026-05-08&amp;return_date=2026-05-15&amp;currency=EUR&amp;startStation=29&amp;endStation=56",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2026-05-15</t>
        </is>
      </c>
      <c r="F277" t="inlineStr">
        <is>
          <t>2026-05-22</t>
        </is>
      </c>
      <c r="G277" t="inlineStr">
        <is>
          <t xml:space="preserve"> - Sunrise Suite</t>
        </is>
      </c>
      <c r="H277">
        <f>HYPERLINK("https://booking.roadsurfer.com/es/rally/pick?pickup_date=2026-05-15&amp;return_date=2026-05-22&amp;currency=EUR&amp;startStation=29&amp;endStation=56",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Constanza (Aach)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Camper Cabin</t>
        </is>
      </c>
      <c r="H278">
        <f>HYPERLINK("https://booking.roadsurfer.com/es/rally/pick?pickup_date=2026-05-15&amp;return_date=2026-05-22&amp;currency=EUR&amp;startStation=29&amp;endStation=10",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Constanza (Aach)</t>
        </is>
      </c>
      <c r="E279" t="inlineStr">
        <is>
          <t>2026-05-05</t>
        </is>
      </c>
      <c r="F279" t="inlineStr">
        <is>
          <t>2026-05-12</t>
        </is>
      </c>
      <c r="G279" t="inlineStr"/>
      <c r="H279">
        <f>HYPERLINK("https://booking.roadsurfer.com/es/rally/pick?pickup_date=2026-05-05&amp;return_date=2026-05-12&amp;currency=EUR&amp;startStation=29&amp;endStation=10",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Bochum</t>
        </is>
      </c>
      <c r="E280" t="inlineStr">
        <is>
          <t>2026-05-18</t>
        </is>
      </c>
      <c r="F280" t="inlineStr">
        <is>
          <t>2026-05-25</t>
        </is>
      </c>
      <c r="G280" t="inlineStr">
        <is>
          <t xml:space="preserve"> - No hay coche</t>
        </is>
      </c>
      <c r="H280">
        <f>HYPERLINK("https://booking.roadsurfer.com/es/rally/pick?pickup_date=2026-05-18&amp;return_date=2026-05-25&amp;currency=EUR&amp;startStation=29&amp;endStation=24",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Lübeck</t>
        </is>
      </c>
      <c r="E281" t="inlineStr">
        <is>
          <t>2026-05-29</t>
        </is>
      </c>
      <c r="F281" t="inlineStr">
        <is>
          <t>2026-06-05</t>
        </is>
      </c>
      <c r="G281" t="inlineStr">
        <is>
          <t xml:space="preserve"> - Couple Cottage</t>
        </is>
      </c>
      <c r="H281">
        <f>HYPERLINK("https://booking.roadsurfer.com/es/rally/pick?pickup_date=2026-05-29&amp;return_date=2026-06-05&amp;currency=EUR&amp;startStation=29&amp;endStation=109",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Colonia-Düsseldorf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No hay coche</t>
        </is>
      </c>
      <c r="H282">
        <f>HYPERLINK("https://booking.roadsurfer.com/es/rally/pick?pickup_date=2026-05-08&amp;return_date=2026-05-15&amp;currency=EUR&amp;startStation=29&amp;endStation=4",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Hamburgo Aeropuerto</t>
        </is>
      </c>
      <c r="E283" t="inlineStr">
        <is>
          <t>2026-04-30</t>
        </is>
      </c>
      <c r="F283" t="inlineStr">
        <is>
          <t>2026-05-07</t>
        </is>
      </c>
      <c r="G283" t="inlineStr">
        <is>
          <t xml:space="preserve"> - Surfer Suite</t>
        </is>
      </c>
      <c r="H283">
        <f>HYPERLINK("https://booking.roadsurfer.com/es/rally/pick?pickup_date=2026-04-30&amp;return_date=2026-05-07&amp;currency=EUR&amp;startStation=77&amp;endStation=65",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Kiel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Surfer Suite</t>
        </is>
      </c>
      <c r="H284">
        <f>HYPERLINK("https://booking.roadsurfer.com/es/rally/pick?pickup_date=2026-05-04&amp;return_date=2026-05-11&amp;currency=EUR&amp;startStation=77&amp;endStation=111",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Bielefeld</t>
        </is>
      </c>
      <c r="E285" t="inlineStr">
        <is>
          <t>2026-04-27</t>
        </is>
      </c>
      <c r="F285" t="inlineStr">
        <is>
          <t>2026-05-04</t>
        </is>
      </c>
      <c r="G285" t="inlineStr">
        <is>
          <t xml:space="preserve"> - Beach Hostel</t>
        </is>
      </c>
      <c r="H285">
        <f>HYPERLINK("https://booking.roadsurfer.com/es/rally/pick?pickup_date=2026-04-27&amp;return_date=2026-05-04&amp;currency=EUR&amp;startStation=77&amp;endStation=91",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Bielefeld</t>
        </is>
      </c>
      <c r="E286" t="inlineStr">
        <is>
          <t>2026-05-06</t>
        </is>
      </c>
      <c r="F286" t="inlineStr">
        <is>
          <t>2026-05-13</t>
        </is>
      </c>
      <c r="G286" t="inlineStr">
        <is>
          <t xml:space="preserve"> - Road House</t>
        </is>
      </c>
      <c r="H286">
        <f>HYPERLINK("https://booking.roadsurfer.com/es/rally/pick?pickup_date=2026-05-06&amp;return_date=2026-05-13&amp;currency=EUR&amp;startStation=77&amp;endStation=91",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Bielefeld</t>
        </is>
      </c>
      <c r="E287" t="inlineStr">
        <is>
          <t>2026-04-29</t>
        </is>
      </c>
      <c r="F287" t="inlineStr">
        <is>
          <t>2026-05-06</t>
        </is>
      </c>
      <c r="G287" t="inlineStr">
        <is>
          <t xml:space="preserve"> - Surfer Suite</t>
        </is>
      </c>
      <c r="H287">
        <f>HYPERLINK("https://booking.roadsurfer.com/es/rally/pick?pickup_date=2026-04-29&amp;return_date=2026-05-06&amp;currency=EUR&amp;startStation=77&amp;endStation=91",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2026-05-02</t>
        </is>
      </c>
      <c r="F288" t="inlineStr">
        <is>
          <t>2026-05-09</t>
        </is>
      </c>
      <c r="G288" t="inlineStr">
        <is>
          <t xml:space="preserve"> - Sunrise Suite</t>
        </is>
      </c>
      <c r="H288">
        <f>HYPERLINK("https://booking.roadsurfer.com/es/rally/pick?pickup_date=2026-05-02&amp;return_date=2026-05-09&amp;currency=EUR&amp;startStation=77&amp;endStation=91",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Bremen</t>
        </is>
      </c>
      <c r="E289" t="inlineStr">
        <is>
          <t>2026-04-26</t>
        </is>
      </c>
      <c r="F289" t="inlineStr">
        <is>
          <t>2026-05-03</t>
        </is>
      </c>
      <c r="G289" t="inlineStr">
        <is>
          <t xml:space="preserve"> - No hay coche</t>
        </is>
      </c>
      <c r="H289">
        <f>HYPERLINK("https://booking.roadsurfer.com/es/rally/pick?pickup_date=2026-04-26&amp;return_date=2026-05-03&amp;currency=EUR&amp;startStation=77&amp;endStation=55",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2026-04-30</t>
        </is>
      </c>
      <c r="F290" t="inlineStr">
        <is>
          <t>2026-05-07</t>
        </is>
      </c>
      <c r="G290" t="inlineStr">
        <is>
          <t xml:space="preserve"> - Family Finca</t>
        </is>
      </c>
      <c r="H290">
        <f>HYPERLINK("https://booking.roadsurfer.com/es/rally/pick?pickup_date=2026-04-30&amp;return_date=2026-05-07&amp;currency=EUR&amp;startStation=77&amp;endStation=3",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Surfer Suite</t>
        </is>
      </c>
      <c r="H291">
        <f>HYPERLINK("https://booking.roadsurfer.com/es/rally/pick?pickup_date=2026-05-04&amp;return_date=2026-05-11&amp;currency=EUR&amp;startStation=77&amp;endStation=3",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2026-04-29</t>
        </is>
      </c>
      <c r="F292" t="inlineStr">
        <is>
          <t>2026-05-06</t>
        </is>
      </c>
      <c r="G292" t="inlineStr">
        <is>
          <t xml:space="preserve"> - Beach Hostel</t>
        </is>
      </c>
      <c r="H292">
        <f>HYPERLINK("https://booking.roadsurfer.com/es/rally/pick?pickup_date=2026-04-29&amp;return_date=2026-05-06&amp;currency=EUR&amp;startStation=77&amp;endStation=22",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2026-04-28</t>
        </is>
      </c>
      <c r="F293" t="inlineStr">
        <is>
          <t>2026-05-05</t>
        </is>
      </c>
      <c r="G293" t="inlineStr">
        <is>
          <t xml:space="preserve"> - Couple Cottage</t>
        </is>
      </c>
      <c r="H293">
        <f>HYPERLINK("https://booking.roadsurfer.com/es/rally/pick?pickup_date=2026-04-28&amp;return_date=2026-05-05&amp;currency=EUR&amp;startStation=77&amp;endStation=22",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2026-04-30</t>
        </is>
      </c>
      <c r="F294" t="inlineStr">
        <is>
          <t>2026-05-07</t>
        </is>
      </c>
      <c r="G294" t="inlineStr">
        <is>
          <t xml:space="preserve"> - Couple Cottage</t>
        </is>
      </c>
      <c r="H294">
        <f>HYPERLINK("https://booking.roadsurfer.com/es/rally/pick?pickup_date=2026-04-30&amp;return_date=2026-05-07&amp;currency=EUR&amp;startStation=77&amp;endStation=22",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Erfurt</t>
        </is>
      </c>
      <c r="E295" t="inlineStr">
        <is>
          <t>2026-05-08</t>
        </is>
      </c>
      <c r="F295" t="inlineStr">
        <is>
          <t>2026-05-15</t>
        </is>
      </c>
      <c r="G295" t="inlineStr">
        <is>
          <t xml:space="preserve"> - Beach Hostel</t>
        </is>
      </c>
      <c r="H295">
        <f>HYPERLINK("https://booking.roadsurfer.com/es/rally/pick?pickup_date=2026-05-08&amp;return_date=2026-05-15&amp;currency=EUR&amp;startStation=77&amp;endStation=90",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Erfurt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Sunrise Suite</t>
        </is>
      </c>
      <c r="H296">
        <f>HYPERLINK("https://booking.roadsurfer.com/es/rally/pick?pickup_date=2026-05-11&amp;return_date=2026-05-18&amp;currency=EUR&amp;startStation=77&amp;endStation=90",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Berlín</t>
        </is>
      </c>
      <c r="E297" t="inlineStr">
        <is>
          <t>2026-04-30</t>
        </is>
      </c>
      <c r="F297" t="inlineStr">
        <is>
          <t>2026-05-07</t>
        </is>
      </c>
      <c r="G297" t="inlineStr">
        <is>
          <t xml:space="preserve"> - Camper Castle</t>
        </is>
      </c>
      <c r="H297">
        <f>HYPERLINK("https://booking.roadsurfer.com/es/rally/pick?pickup_date=2026-04-30&amp;return_date=2026-05-07&amp;currency=EUR&amp;startStation=77&amp;endStation=6",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Karlsruhe</t>
        </is>
      </c>
      <c r="E298" t="inlineStr">
        <is>
          <t>2026-05-17</t>
        </is>
      </c>
      <c r="F298" t="inlineStr">
        <is>
          <t>2026-05-24</t>
        </is>
      </c>
      <c r="G298" t="inlineStr">
        <is>
          <t xml:space="preserve"> - No hay coche</t>
        </is>
      </c>
      <c r="H298">
        <f>HYPERLINK("https://booking.roadsurfer.com/es/rally/pick?pickup_date=2026-05-17&amp;return_date=2026-05-24&amp;currency=EUR&amp;startStation=77&amp;endStation=110", "Clic para verlo en la web de RoadSurfer")</f>
        <v/>
      </c>
    </row>
    <row r="299">
      <c r="A299" t="inlineStr">
        <is>
          <t>Austria</t>
        </is>
      </c>
      <c r="B299" t="inlineStr">
        <is>
          <t>Graz</t>
        </is>
      </c>
      <c r="C299" t="inlineStr">
        <is>
          <t>Alemania</t>
        </is>
      </c>
      <c r="D299" t="inlineStr">
        <is>
          <t>Leipzig</t>
        </is>
      </c>
      <c r="E299" t="inlineStr">
        <is>
          <t>2026-05-06</t>
        </is>
      </c>
      <c r="F299" t="inlineStr">
        <is>
          <t>2026-05-13</t>
        </is>
      </c>
      <c r="G299" t="inlineStr"/>
      <c r="H299">
        <f>HYPERLINK("https://booking.roadsurfer.com/es/rally/pick?pickup_date=2026-05-06&amp;return_date=2026-05-13&amp;currency=EUR&amp;startStation=37&amp;endStation=8", "Clic para verlo en la web de RoadSurfer")</f>
        <v/>
      </c>
    </row>
    <row r="300">
      <c r="A300" t="inlineStr">
        <is>
          <t>Austria</t>
        </is>
      </c>
      <c r="B300" t="inlineStr">
        <is>
          <t>Graz</t>
        </is>
      </c>
      <c r="C300" t="inlineStr">
        <is>
          <t>Alemania</t>
        </is>
      </c>
      <c r="D300" t="inlineStr">
        <is>
          <t>Leipzig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Road House</t>
        </is>
      </c>
      <c r="H300">
        <f>HYPERLINK("https://booking.roadsurfer.com/es/rally/pick?pickup_date=2026-05-04&amp;return_date=2026-05-11&amp;currency=EUR&amp;startStation=37&amp;endStation=8", "Clic para verlo en la web de RoadSurfer")</f>
        <v/>
      </c>
    </row>
    <row r="301">
      <c r="A301" t="inlineStr">
        <is>
          <t>Austria</t>
        </is>
      </c>
      <c r="B301" t="inlineStr">
        <is>
          <t>Graz</t>
        </is>
      </c>
      <c r="C301" t="inlineStr">
        <is>
          <t>Alemania</t>
        </is>
      </c>
      <c r="D301" t="inlineStr">
        <is>
          <t>Bielefeld</t>
        </is>
      </c>
      <c r="E301" t="inlineStr">
        <is>
          <t>2026-05-07</t>
        </is>
      </c>
      <c r="F301" t="inlineStr">
        <is>
          <t>2026-05-14</t>
        </is>
      </c>
      <c r="G301" t="inlineStr">
        <is>
          <t xml:space="preserve"> - No hay coche</t>
        </is>
      </c>
      <c r="H301">
        <f>HYPERLINK("https://booking.roadsurfer.com/es/rally/pick?pickup_date=2026-05-07&amp;return_date=2026-05-14&amp;currency=EUR&amp;startStation=37&amp;endStation=91", "Clic para verlo en la web de RoadSurfer")</f>
        <v/>
      </c>
    </row>
    <row r="302">
      <c r="A302" t="inlineStr">
        <is>
          <t>Austria</t>
        </is>
      </c>
      <c r="B302" t="inlineStr">
        <is>
          <t>Graz</t>
        </is>
      </c>
      <c r="C302" t="inlineStr">
        <is>
          <t>Alemania</t>
        </is>
      </c>
      <c r="D302" t="inlineStr">
        <is>
          <t>Dresde</t>
        </is>
      </c>
      <c r="E302" t="inlineStr">
        <is>
          <t>2026-05-16</t>
        </is>
      </c>
      <c r="F302" t="inlineStr">
        <is>
          <t>2026-05-23</t>
        </is>
      </c>
      <c r="G302" t="inlineStr">
        <is>
          <t xml:space="preserve"> - Family Finca</t>
        </is>
      </c>
      <c r="H302">
        <f>HYPERLINK("https://booking.roadsurfer.com/es/rally/pick?pickup_date=2026-05-16&amp;return_date=2026-05-23&amp;currency=EUR&amp;startStation=37&amp;endStation=56", "Clic para verlo en la web de RoadSurfer")</f>
        <v/>
      </c>
    </row>
    <row r="303">
      <c r="A303" t="inlineStr">
        <is>
          <t>Austria</t>
        </is>
      </c>
      <c r="B303" t="inlineStr">
        <is>
          <t>Graz</t>
        </is>
      </c>
      <c r="C303" t="inlineStr">
        <is>
          <t>Alemania</t>
        </is>
      </c>
      <c r="D303" t="inlineStr">
        <is>
          <t>Dresde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No hay coche</t>
        </is>
      </c>
      <c r="H303">
        <f>HYPERLINK("https://booking.roadsurfer.com/es/rally/pick?pickup_date=2026-05-04&amp;return_date=2026-05-11&amp;currency=EUR&amp;startStation=37&amp;endStation=56", "Clic para verlo en la web de RoadSurfer")</f>
        <v/>
      </c>
    </row>
    <row r="304">
      <c r="A304" t="inlineStr">
        <is>
          <t>Austria</t>
        </is>
      </c>
      <c r="B304" t="inlineStr">
        <is>
          <t>Graz</t>
        </is>
      </c>
      <c r="C304" t="inlineStr">
        <is>
          <t>Alemania</t>
        </is>
      </c>
      <c r="D304" t="inlineStr">
        <is>
          <t>Dresde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Camper Castle</t>
        </is>
      </c>
      <c r="H304">
        <f>HYPERLINK("https://booking.roadsurfer.com/es/rally/pick?pickup_date=2026-05-06&amp;return_date=2026-05-13&amp;currency=EUR&amp;startStation=37&amp;endStation=56", "Clic para verlo en la web de RoadSurfer")</f>
        <v/>
      </c>
    </row>
    <row r="305">
      <c r="A305" t="inlineStr">
        <is>
          <t>Austria</t>
        </is>
      </c>
      <c r="B305" t="inlineStr">
        <is>
          <t>Graz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2026-05-09</t>
        </is>
      </c>
      <c r="F305" t="inlineStr">
        <is>
          <t>2026-05-16</t>
        </is>
      </c>
      <c r="G305" t="inlineStr">
        <is>
          <t xml:space="preserve"> - Couple Cottage</t>
        </is>
      </c>
      <c r="H305">
        <f>HYPERLINK("https://booking.roadsurfer.com/es/rally/pick?pickup_date=2026-05-09&amp;return_date=2026-05-16&amp;currency=EUR&amp;startStation=37&amp;endStation=56",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2026-05-08</t>
        </is>
      </c>
      <c r="F306" t="inlineStr">
        <is>
          <t>2026-05-15</t>
        </is>
      </c>
      <c r="G306" t="inlineStr">
        <is>
          <t xml:space="preserve"> - Camper Castle</t>
        </is>
      </c>
      <c r="H306">
        <f>HYPERLINK("https://booking.roadsurfer.com/es/rally/pick?pickup_date=2026-05-08&amp;return_date=2026-05-15&amp;currency=EUR&amp;startStation=37&amp;endStation=1",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2026-05-02</t>
        </is>
      </c>
      <c r="F307" t="inlineStr">
        <is>
          <t>2026-05-09</t>
        </is>
      </c>
      <c r="G307" t="inlineStr">
        <is>
          <t xml:space="preserve"> - Surfer Suite</t>
        </is>
      </c>
      <c r="H307">
        <f>HYPERLINK("https://booking.roadsurfer.com/es/rally/pick?pickup_date=2026-05-02&amp;return_date=2026-05-09&amp;currency=EUR&amp;startStation=3&amp;endStation=32",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Alemania</t>
        </is>
      </c>
      <c r="D308" t="inlineStr">
        <is>
          <t>Flensburgo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Surfer Suite - Beach Hostel - Road House - Camper Castle</t>
        </is>
      </c>
      <c r="H308">
        <f>HYPERLINK("https://booking.roadsurfer.com/es/rally/pick?pickup_date=2026-05-04&amp;return_date=2026-05-11&amp;currency=EUR&amp;startStation=3&amp;endStation=130",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Alemania</t>
        </is>
      </c>
      <c r="D309" t="inlineStr">
        <is>
          <t>Flensburgo</t>
        </is>
      </c>
      <c r="E309" t="inlineStr">
        <is>
          <t>2026-05-02</t>
        </is>
      </c>
      <c r="F309" t="inlineStr">
        <is>
          <t>2026-05-09</t>
        </is>
      </c>
      <c r="G309" t="inlineStr">
        <is>
          <t xml:space="preserve"> - Road House - Camper Castle</t>
        </is>
      </c>
      <c r="H309">
        <f>HYPERLINK("https://booking.roadsurfer.com/es/rally/pick?pickup_date=2026-05-02&amp;return_date=2026-05-09&amp;currency=EUR&amp;startStation=3&amp;endStation=130",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Austria</t>
        </is>
      </c>
      <c r="D310" t="inlineStr">
        <is>
          <t>Viena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Beach Hostel</t>
        </is>
      </c>
      <c r="H310">
        <f>HYPERLINK("https://booking.roadsurfer.com/es/rally/pick?pickup_date=2026-05-04&amp;return_date=2026-05-11&amp;currency=EUR&amp;startStation=3&amp;endStation=36", "Clic para verlo en la web de RoadSurfer")</f>
        <v/>
      </c>
    </row>
    <row r="311">
      <c r="A311" t="inlineStr">
        <is>
          <t>Alemania</t>
        </is>
      </c>
      <c r="B311" t="inlineStr">
        <is>
          <t>Hamburgo</t>
        </is>
      </c>
      <c r="C311" t="inlineStr">
        <is>
          <t>Austria</t>
        </is>
      </c>
      <c r="D311" t="inlineStr">
        <is>
          <t>Linz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Road House</t>
        </is>
      </c>
      <c r="H311">
        <f>HYPERLINK("https://booking.roadsurfer.com/es/rally/pick?pickup_date=2026-05-04&amp;return_date=2026-05-11&amp;currency=EUR&amp;startStation=3&amp;endStation=116", "Clic para verlo en la web de RoadSurfer")</f>
        <v/>
      </c>
    </row>
    <row r="312">
      <c r="A312" t="inlineStr">
        <is>
          <t>Alemania</t>
        </is>
      </c>
      <c r="B312" t="inlineStr">
        <is>
          <t>Hamburgo</t>
        </is>
      </c>
      <c r="C312" t="inlineStr">
        <is>
          <t>Alemania</t>
        </is>
      </c>
      <c r="D312" t="inlineStr">
        <is>
          <t>Aquisgrán</t>
        </is>
      </c>
      <c r="E312" t="inlineStr">
        <is>
          <t>2026-04-29</t>
        </is>
      </c>
      <c r="F312" t="inlineStr">
        <is>
          <t>2026-05-06</t>
        </is>
      </c>
      <c r="G312" t="inlineStr">
        <is>
          <t xml:space="preserve"> - Road House</t>
        </is>
      </c>
      <c r="H312">
        <f>HYPERLINK("https://booking.roadsurfer.com/es/rally/pick?pickup_date=2026-04-29&amp;return_date=2026-05-06&amp;currency=EUR&amp;startStation=3&amp;endStation=114", "Clic para verlo en la web de RoadSurfer")</f>
        <v/>
      </c>
    </row>
    <row r="313">
      <c r="A313" t="inlineStr">
        <is>
          <t>Alemania</t>
        </is>
      </c>
      <c r="B313" t="inlineStr">
        <is>
          <t>Hamburgo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2026-05-18</t>
        </is>
      </c>
      <c r="F313" t="inlineStr">
        <is>
          <t>2026-05-26</t>
        </is>
      </c>
      <c r="G313" t="inlineStr">
        <is>
          <t xml:space="preserve"> - No hay coche</t>
        </is>
      </c>
      <c r="H313">
        <f>HYPERLINK("https://booking.roadsurfer.com/es/rally/pick?pickup_date=2026-05-18&amp;return_date=2026-05-26&amp;currency=EUR&amp;startStation=3&amp;endStation=33",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Bélgica</t>
        </is>
      </c>
      <c r="D314" t="inlineStr">
        <is>
          <t>Bruselas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Camper Castle</t>
        </is>
      </c>
      <c r="H314">
        <f>HYPERLINK("https://booking.roadsurfer.com/es/rally/pick?pickup_date=2026-05-21&amp;return_date=2026-05-28&amp;currency=EUR&amp;startStation=3&amp;endStation=42",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2026-05-19</t>
        </is>
      </c>
      <c r="F315" t="inlineStr">
        <is>
          <t>2026-05-26</t>
        </is>
      </c>
      <c r="G315" t="inlineStr">
        <is>
          <t xml:space="preserve"> - Family Finca</t>
        </is>
      </c>
      <c r="H315">
        <f>HYPERLINK("https://booking.roadsurfer.com/es/rally/pick?pickup_date=2026-05-19&amp;return_date=2026-05-26&amp;currency=EUR&amp;startStation=3&amp;endStation=59",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Suecia</t>
        </is>
      </c>
      <c r="D316" t="inlineStr">
        <is>
          <t>Malmö</t>
        </is>
      </c>
      <c r="E316" t="inlineStr">
        <is>
          <t>2026-05-08</t>
        </is>
      </c>
      <c r="F316" t="inlineStr">
        <is>
          <t>2026-05-15</t>
        </is>
      </c>
      <c r="G316" t="inlineStr">
        <is>
          <t xml:space="preserve"> - Family Finca</t>
        </is>
      </c>
      <c r="H316">
        <f>HYPERLINK("https://booking.roadsurfer.com/es/rally/pick?pickup_date=2026-05-08&amp;return_date=2026-05-15&amp;currency=EUR&amp;startStation=3&amp;endStation=60",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2026-04-30</t>
        </is>
      </c>
      <c r="F317" t="inlineStr">
        <is>
          <t>2026-05-07</t>
        </is>
      </c>
      <c r="G317" t="inlineStr"/>
      <c r="H317">
        <f>HYPERLINK("https://booking.roadsurfer.com/es/rally/pick?pickup_date=2026-04-30&amp;return_date=2026-05-07&amp;currency=EUR&amp;startStation=3&amp;endStation=77",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Cozy Cottage</t>
        </is>
      </c>
      <c r="H318">
        <f>HYPERLINK("https://booking.roadsurfer.com/es/rally/pick?pickup_date=2026-05-04&amp;return_date=2026-05-11&amp;currency=EUR&amp;startStation=3&amp;endStation=77", "Clic para verlo en la web de RoadSurfer")</f>
        <v/>
      </c>
    </row>
    <row r="319">
      <c r="A319" t="inlineStr">
        <is>
          <t>Alemania</t>
        </is>
      </c>
      <c r="B319" t="inlineStr">
        <is>
          <t>Hannover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2026-04-25</t>
        </is>
      </c>
      <c r="F319" t="inlineStr">
        <is>
          <t>2026-05-02</t>
        </is>
      </c>
      <c r="G319" t="inlineStr">
        <is>
          <t xml:space="preserve"> - No hay coche</t>
        </is>
      </c>
      <c r="H319">
        <f>HYPERLINK("https://booking.roadsurfer.com/es/rally/pick?pickup_date=2026-04-25&amp;return_date=2026-05-02&amp;currency=EUR&amp;startStation=7&amp;endStation=59", "Clic para verlo en la web de RoadSurfer")</f>
        <v/>
      </c>
    </row>
    <row r="320">
      <c r="A320" t="inlineStr">
        <is>
          <t>Alemania</t>
        </is>
      </c>
      <c r="B320" t="inlineStr">
        <is>
          <t>Hannover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2026-05-02</t>
        </is>
      </c>
      <c r="F320" t="inlineStr">
        <is>
          <t>2026-05-09</t>
        </is>
      </c>
      <c r="G320" t="inlineStr">
        <is>
          <t xml:space="preserve"> - Surfer Suite</t>
        </is>
      </c>
      <c r="H320">
        <f>HYPERLINK("https://booking.roadsurfer.com/es/rally/pick?pickup_date=2026-05-02&amp;return_date=2026-05-09&amp;currency=EUR&amp;startStation=7&amp;endStation=59", "Clic para verlo en la web de RoadSurfer")</f>
        <v/>
      </c>
    </row>
    <row r="321">
      <c r="A321" t="inlineStr">
        <is>
          <t>Alemania</t>
        </is>
      </c>
      <c r="B321" t="inlineStr">
        <is>
          <t>Hannover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2026-04-30</t>
        </is>
      </c>
      <c r="F321" t="inlineStr">
        <is>
          <t>2026-05-07</t>
        </is>
      </c>
      <c r="G321" t="inlineStr">
        <is>
          <t xml:space="preserve"> - Road House</t>
        </is>
      </c>
      <c r="H321">
        <f>HYPERLINK("https://booking.roadsurfer.com/es/rally/pick?pickup_date=2026-04-30&amp;return_date=2026-05-07&amp;currency=EUR&amp;startStation=7&amp;endStation=34", "Clic para verlo en la web de RoadSurfer")</f>
        <v/>
      </c>
    </row>
    <row r="322">
      <c r="A322" t="inlineStr">
        <is>
          <t>Alemania</t>
        </is>
      </c>
      <c r="B322" t="inlineStr">
        <is>
          <t>Hannover</t>
        </is>
      </c>
      <c r="C322" t="inlineStr">
        <is>
          <t>España</t>
        </is>
      </c>
      <c r="D322" t="inlineStr">
        <is>
          <t>Bilbao</t>
        </is>
      </c>
      <c r="E322" t="inlineStr">
        <is>
          <t>2026-04-29</t>
        </is>
      </c>
      <c r="F322" t="inlineStr">
        <is>
          <t>2026-05-06</t>
        </is>
      </c>
      <c r="G322" t="inlineStr">
        <is>
          <t xml:space="preserve"> - Camper Castle</t>
        </is>
      </c>
      <c r="H322">
        <f>HYPERLINK("https://booking.roadsurfer.com/es/rally/pick?pickup_date=2026-04-29&amp;return_date=2026-05-06&amp;currency=EUR&amp;startStation=7&amp;endStation=40", "Clic para verlo en la web de RoadSurfer")</f>
        <v/>
      </c>
    </row>
    <row r="323">
      <c r="A323" t="inlineStr">
        <is>
          <t>Alemania</t>
        </is>
      </c>
      <c r="B323" t="inlineStr">
        <is>
          <t>Heidelberg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2026-04-30</t>
        </is>
      </c>
      <c r="F323" t="inlineStr">
        <is>
          <t>2026-05-07</t>
        </is>
      </c>
      <c r="G323" t="inlineStr">
        <is>
          <t xml:space="preserve"> - Surfer Suite</t>
        </is>
      </c>
      <c r="H323">
        <f>HYPERLINK("https://booking.roadsurfer.com/es/rally/pick?pickup_date=2026-04-30&amp;return_date=2026-05-07&amp;currency=EUR&amp;startStation=79&amp;endStation=77", "Clic para verlo en la web de RoadSurfer")</f>
        <v/>
      </c>
    </row>
    <row r="324">
      <c r="A324" t="inlineStr">
        <is>
          <t>Austria</t>
        </is>
      </c>
      <c r="B324" t="inlineStr">
        <is>
          <t>Innsbruck-Wiesing</t>
        </is>
      </c>
      <c r="C324" t="inlineStr">
        <is>
          <t>Alemania</t>
        </is>
      </c>
      <c r="D324" t="inlineStr">
        <is>
          <t>Ulm</t>
        </is>
      </c>
      <c r="E324" t="inlineStr">
        <is>
          <t>2026-04-25</t>
        </is>
      </c>
      <c r="F324" t="inlineStr">
        <is>
          <t>2026-05-02</t>
        </is>
      </c>
      <c r="G324" t="inlineStr">
        <is>
          <t xml:space="preserve"> - Family Finca</t>
        </is>
      </c>
      <c r="H324">
        <f>HYPERLINK("https://booking.roadsurfer.com/es/rally/pick?pickup_date=2026-04-25&amp;return_date=2026-05-02&amp;currency=EUR&amp;startStation=46&amp;endStation=112", "Clic para verlo en la web de RoadSurfer")</f>
        <v/>
      </c>
    </row>
    <row r="325">
      <c r="A325" t="inlineStr">
        <is>
          <t>Austria</t>
        </is>
      </c>
      <c r="B325" t="inlineStr">
        <is>
          <t>Innsbruck-Wiesing</t>
        </is>
      </c>
      <c r="C325" t="inlineStr">
        <is>
          <t>Alemania</t>
        </is>
      </c>
      <c r="D325" t="inlineStr">
        <is>
          <t>Ulm</t>
        </is>
      </c>
      <c r="E325" t="inlineStr">
        <is>
          <t>2026-05-02</t>
        </is>
      </c>
      <c r="F325" t="inlineStr">
        <is>
          <t>2026-05-09</t>
        </is>
      </c>
      <c r="G325" t="inlineStr">
        <is>
          <t xml:space="preserve"> - Surfer Suite</t>
        </is>
      </c>
      <c r="H325">
        <f>HYPERLINK("https://booking.roadsurfer.com/es/rally/pick?pickup_date=2026-05-02&amp;return_date=2026-05-09&amp;currency=EUR&amp;startStation=46&amp;endStation=112", "Clic para verlo en la web de RoadSurfer")</f>
        <v/>
      </c>
    </row>
    <row r="326">
      <c r="A326" t="inlineStr">
        <is>
          <t>Austria</t>
        </is>
      </c>
      <c r="B326" t="inlineStr">
        <is>
          <t>Innsbruck-Wiesing</t>
        </is>
      </c>
      <c r="C326" t="inlineStr">
        <is>
          <t>Alemania</t>
        </is>
      </c>
      <c r="D326" t="inlineStr">
        <is>
          <t>Aquisgrán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Camper Cabin</t>
        </is>
      </c>
      <c r="H326">
        <f>HYPERLINK("https://booking.roadsurfer.com/es/rally/pick?pickup_date=2026-05-04&amp;return_date=2026-05-11&amp;currency=EUR&amp;startStation=46&amp;endStation=114", "Clic para verlo en la web de RoadSurfer")</f>
        <v/>
      </c>
    </row>
    <row r="327">
      <c r="A327" t="inlineStr">
        <is>
          <t>Austria</t>
        </is>
      </c>
      <c r="B327" t="inlineStr">
        <is>
          <t>Innsbruck-Wiesing</t>
        </is>
      </c>
      <c r="C327" t="inlineStr">
        <is>
          <t>Alemania</t>
        </is>
      </c>
      <c r="D327" t="inlineStr">
        <is>
          <t>Hamburgo Aeropuerto</t>
        </is>
      </c>
      <c r="E327" t="inlineStr">
        <is>
          <t>2026-04-30</t>
        </is>
      </c>
      <c r="F327" t="inlineStr">
        <is>
          <t>2026-05-07</t>
        </is>
      </c>
      <c r="G327" t="inlineStr">
        <is>
          <t xml:space="preserve"> - Cozy Cottage</t>
        </is>
      </c>
      <c r="H327">
        <f>HYPERLINK("https://booking.roadsurfer.com/es/rally/pick?pickup_date=2026-04-30&amp;return_date=2026-05-07&amp;currency=EUR&amp;startStation=46&amp;endStation=65", "Clic para verlo en la web de RoadSurfer")</f>
        <v/>
      </c>
    </row>
    <row r="328">
      <c r="A328" t="inlineStr">
        <is>
          <t>Alemania</t>
        </is>
      </c>
      <c r="B328" t="inlineStr">
        <is>
          <t>Karlsruhe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Surfer Suite</t>
        </is>
      </c>
      <c r="H328">
        <f>HYPERLINK("https://booking.roadsurfer.com/es/rally/pick?pickup_date=2026-05-04&amp;return_date=2026-05-11&amp;currency=EUR&amp;startStation=110&amp;endStation=32", "Clic para verlo en la web de RoadSurfer")</f>
        <v/>
      </c>
    </row>
    <row r="329">
      <c r="A329" t="inlineStr">
        <is>
          <t>Alemania</t>
        </is>
      </c>
      <c r="B329" t="inlineStr">
        <is>
          <t>Karlsruhe</t>
        </is>
      </c>
      <c r="C329" t="inlineStr">
        <is>
          <t>Francia</t>
        </is>
      </c>
      <c r="D329" t="inlineStr">
        <is>
          <t>Lille</t>
        </is>
      </c>
      <c r="E329" t="inlineStr">
        <is>
          <t>2026-04-30</t>
        </is>
      </c>
      <c r="F329" t="inlineStr">
        <is>
          <t>2026-05-07</t>
        </is>
      </c>
      <c r="G329" t="inlineStr">
        <is>
          <t xml:space="preserve"> - Cozy Cottage</t>
        </is>
      </c>
      <c r="H329">
        <f>HYPERLINK("https://booking.roadsurfer.com/es/rally/pick?pickup_date=2026-04-30&amp;return_date=2026-05-07&amp;currency=EUR&amp;startStation=110&amp;endStation=87", "Clic para verlo en la web de RoadSurfer")</f>
        <v/>
      </c>
    </row>
    <row r="330">
      <c r="A330" t="inlineStr">
        <is>
          <t>Alemania</t>
        </is>
      </c>
      <c r="B330" t="inlineStr">
        <is>
          <t>Karlsruhe</t>
        </is>
      </c>
      <c r="C330" t="inlineStr">
        <is>
          <t>España</t>
        </is>
      </c>
      <c r="D330" t="inlineStr">
        <is>
          <t>Madrid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Sunrise Suite</t>
        </is>
      </c>
      <c r="H330">
        <f>HYPERLINK("https://booking.roadsurfer.com/es/rally/pick?pickup_date=2026-05-04&amp;return_date=2026-05-11&amp;currency=EUR&amp;startStation=110&amp;endStation=20", "Clic para verlo en la web de RoadSurfer")</f>
        <v/>
      </c>
    </row>
    <row r="331">
      <c r="A331" t="inlineStr">
        <is>
          <t>Alemania</t>
        </is>
      </c>
      <c r="B331" t="inlineStr">
        <is>
          <t>Kassel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2026-05-09</t>
        </is>
      </c>
      <c r="F331" t="inlineStr">
        <is>
          <t>2026-05-16</t>
        </is>
      </c>
      <c r="G331" t="inlineStr">
        <is>
          <t xml:space="preserve"> - Beach Hostel</t>
        </is>
      </c>
      <c r="H331">
        <f>HYPERLINK("https://booking.roadsurfer.com/es/rally/pick?pickup_date=2026-05-09&amp;return_date=2026-05-16&amp;currency=EUR&amp;startStation=92&amp;endStation=13", "Clic para verlo en la web de RoadSurfer")</f>
        <v/>
      </c>
    </row>
    <row r="332">
      <c r="A332" t="inlineStr">
        <is>
          <t>Alemania</t>
        </is>
      </c>
      <c r="B332" t="inlineStr">
        <is>
          <t>Kassel</t>
        </is>
      </c>
      <c r="C332" t="inlineStr">
        <is>
          <t>Francia</t>
        </is>
      </c>
      <c r="D332" t="inlineStr">
        <is>
          <t>Ginebra-Pays de Gex (Francia)</t>
        </is>
      </c>
      <c r="E332" t="inlineStr">
        <is>
          <t>2026-05-08</t>
        </is>
      </c>
      <c r="F332" t="inlineStr">
        <is>
          <t>2026-05-15</t>
        </is>
      </c>
      <c r="G332" t="inlineStr">
        <is>
          <t xml:space="preserve"> - No hay coche</t>
        </is>
      </c>
      <c r="H332">
        <f>HYPERLINK("https://booking.roadsurfer.com/es/rally/pick?pickup_date=2026-05-08&amp;return_date=2026-05-15&amp;currency=EUR&amp;startStation=92&amp;endStation=29", "Clic para verlo en la web de RoadSurfer")</f>
        <v/>
      </c>
    </row>
    <row r="333">
      <c r="A333" t="inlineStr">
        <is>
          <t>Alemania</t>
        </is>
      </c>
      <c r="B333" t="inlineStr">
        <is>
          <t>Kiel</t>
        </is>
      </c>
      <c r="C333" t="inlineStr">
        <is>
          <t>Alemania</t>
        </is>
      </c>
      <c r="D333" t="inlineStr">
        <is>
          <t>Flensburgo</t>
        </is>
      </c>
      <c r="E333" t="inlineStr">
        <is>
          <t>2026-04-30</t>
        </is>
      </c>
      <c r="F333" t="inlineStr">
        <is>
          <t>2026-05-07</t>
        </is>
      </c>
      <c r="G333" t="inlineStr">
        <is>
          <t xml:space="preserve"> - Surfer Suite</t>
        </is>
      </c>
      <c r="H333">
        <f>HYPERLINK("https://booking.roadsurfer.com/es/rally/pick?pickup_date=2026-04-30&amp;return_date=2026-05-07&amp;currency=EUR&amp;startStation=111&amp;endStation=130", "Clic para verlo en la web de RoadSurfer")</f>
        <v/>
      </c>
    </row>
    <row r="334">
      <c r="A334" t="inlineStr">
        <is>
          <t>Alemania</t>
        </is>
      </c>
      <c r="B334" t="inlineStr">
        <is>
          <t>Kiel</t>
        </is>
      </c>
      <c r="C334" t="inlineStr">
        <is>
          <t>Suecia</t>
        </is>
      </c>
      <c r="D334" t="inlineStr">
        <is>
          <t>Malmö</t>
        </is>
      </c>
      <c r="E334" t="inlineStr">
        <is>
          <t>2026-05-19</t>
        </is>
      </c>
      <c r="F334" t="inlineStr">
        <is>
          <t>2026-05-26</t>
        </is>
      </c>
      <c r="G334" t="inlineStr">
        <is>
          <t xml:space="preserve"> - Camper Castle</t>
        </is>
      </c>
      <c r="H334">
        <f>HYPERLINK("https://booking.roadsurfer.com/es/rally/pick?pickup_date=2026-05-19&amp;return_date=2026-05-26&amp;currency=EUR&amp;startStation=111&amp;endStation=60", "Clic para verlo en la web de RoadSurfer")</f>
        <v/>
      </c>
    </row>
    <row r="335">
      <c r="A335" t="inlineStr">
        <is>
          <t>Alemania</t>
        </is>
      </c>
      <c r="B335" t="inlineStr">
        <is>
          <t>Kiel</t>
        </is>
      </c>
      <c r="C335" t="inlineStr">
        <is>
          <t>Suecia</t>
        </is>
      </c>
      <c r="D335" t="inlineStr">
        <is>
          <t>Malmö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Road House</t>
        </is>
      </c>
      <c r="H335">
        <f>HYPERLINK("https://booking.roadsurfer.com/es/rally/pick?pickup_date=2026-05-04&amp;return_date=2026-05-11&amp;currency=EUR&amp;startStation=111&amp;endStation=60", "Clic para verlo en la web de RoadSurfer")</f>
        <v/>
      </c>
    </row>
    <row r="336">
      <c r="A336" t="inlineStr">
        <is>
          <t>Alemania</t>
        </is>
      </c>
      <c r="B336" t="inlineStr">
        <is>
          <t>Kiel</t>
        </is>
      </c>
      <c r="C336" t="inlineStr">
        <is>
          <t>Alemania</t>
        </is>
      </c>
      <c r="D336" t="inlineStr">
        <is>
          <t>Stuttgart</t>
        </is>
      </c>
      <c r="E336" t="inlineStr">
        <is>
          <t>2026-06-08</t>
        </is>
      </c>
      <c r="F336" t="inlineStr">
        <is>
          <t>2026-06-15</t>
        </is>
      </c>
      <c r="G336" t="inlineStr">
        <is>
          <t xml:space="preserve"> - Camper Cabin Deluxe</t>
        </is>
      </c>
      <c r="H336">
        <f>HYPERLINK("https://booking.roadsurfer.com/es/rally/pick?pickup_date=2026-06-08&amp;return_date=2026-06-15&amp;currency=EUR&amp;startStation=111&amp;endStation=5", "Clic para verlo en la web de RoadSurfer")</f>
        <v/>
      </c>
    </row>
    <row r="337">
      <c r="A337" t="inlineStr">
        <is>
          <t>EE.UU.</t>
        </is>
      </c>
      <c r="B337" t="inlineStr">
        <is>
          <t>Las Vegas</t>
        </is>
      </c>
      <c r="C337" t="inlineStr">
        <is>
          <t>EE.UU.</t>
        </is>
      </c>
      <c r="D337" t="inlineStr">
        <is>
          <t>Denver</t>
        </is>
      </c>
      <c r="E337" t="inlineStr">
        <is>
          <t>2026-06-17</t>
        </is>
      </c>
      <c r="F337" t="inlineStr">
        <is>
          <t>2026-06-24</t>
        </is>
      </c>
      <c r="G337" t="inlineStr">
        <is>
          <t xml:space="preserve"> - Family Freedom</t>
        </is>
      </c>
      <c r="H337">
        <f>HYPERLINK("https://booking.roadsurfer.com/es/rally/pick?pickup_date=2026-06-17&amp;return_date=2026-06-24&amp;currency=EUR&amp;startStation=76&amp;endStation=104", "Clic para verlo en la web de RoadSurfer")</f>
        <v/>
      </c>
    </row>
    <row r="338">
      <c r="A338" t="inlineStr">
        <is>
          <t>EE.UU.</t>
        </is>
      </c>
      <c r="B338" t="inlineStr">
        <is>
          <t>Las Vegas</t>
        </is>
      </c>
      <c r="C338" t="inlineStr">
        <is>
          <t>EE.UU.</t>
        </is>
      </c>
      <c r="D338" t="inlineStr">
        <is>
          <t>Denver</t>
        </is>
      </c>
      <c r="E338" t="inlineStr">
        <is>
          <t>2026-05-07</t>
        </is>
      </c>
      <c r="F338" t="inlineStr">
        <is>
          <t>2026-05-14</t>
        </is>
      </c>
      <c r="G338" t="inlineStr">
        <is>
          <t xml:space="preserve"> - Family Freedom</t>
        </is>
      </c>
      <c r="H338">
        <f>HYPERLINK("https://booking.roadsurfer.com/es/rally/pick?pickup_date=2026-05-07&amp;return_date=2026-05-14&amp;currency=EUR&amp;startStation=76&amp;endStation=104", "Clic para verlo en la web de RoadSurfer")</f>
        <v/>
      </c>
    </row>
    <row r="339">
      <c r="A339" t="inlineStr">
        <is>
          <t>EE.UU.</t>
        </is>
      </c>
      <c r="B339" t="inlineStr">
        <is>
          <t>Las Vegas</t>
        </is>
      </c>
      <c r="C339" t="inlineStr">
        <is>
          <t>EE.UU.</t>
        </is>
      </c>
      <c r="D339" t="inlineStr">
        <is>
          <t>Seattle</t>
        </is>
      </c>
      <c r="E339" t="inlineStr">
        <is>
          <t>2026-04-24</t>
        </is>
      </c>
      <c r="F339" t="inlineStr">
        <is>
          <t>2026-05-04</t>
        </is>
      </c>
      <c r="G339" t="inlineStr">
        <is>
          <t xml:space="preserve"> - Family Freedom</t>
        </is>
      </c>
      <c r="H339">
        <f>HYPERLINK("https://booking.roadsurfer.com/es/rally/pick?pickup_date=2026-04-24&amp;return_date=2026-05-04&amp;currency=EUR&amp;startStation=76&amp;endStation=107", "Clic para verlo en la web de RoadSurfer")</f>
        <v/>
      </c>
    </row>
    <row r="340">
      <c r="A340" t="inlineStr">
        <is>
          <t>EE.UU.</t>
        </is>
      </c>
      <c r="B340" t="inlineStr">
        <is>
          <t>Las Vegas</t>
        </is>
      </c>
      <c r="C340" t="inlineStr">
        <is>
          <t>EE.UU.</t>
        </is>
      </c>
      <c r="D340" t="inlineStr">
        <is>
          <t>Dallas</t>
        </is>
      </c>
      <c r="E340" t="inlineStr">
        <is>
          <t>2026-05-30</t>
        </is>
      </c>
      <c r="F340" t="inlineStr">
        <is>
          <t>2026-06-06</t>
        </is>
      </c>
      <c r="G340" t="inlineStr">
        <is>
          <t xml:space="preserve"> - Family Freedom</t>
        </is>
      </c>
      <c r="H340">
        <f>HYPERLINK("https://booking.roadsurfer.com/es/rally/pick?pickup_date=2026-05-30&amp;return_date=2026-06-06&amp;currency=EUR&amp;startStation=76&amp;endStation=125",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Países Bajos</t>
        </is>
      </c>
      <c r="D341" t="inlineStr">
        <is>
          <t>Róterdam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Surfer Suite - Camper Cabin - Couple Cottage</t>
        </is>
      </c>
      <c r="H341">
        <f>HYPERLINK("https://booking.roadsurfer.com/es/rally/pick?pickup_date=2026-05-04&amp;return_date=2026-05-11&amp;currency=EUR&amp;startStation=8&amp;endStation=33",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2026-04-25</t>
        </is>
      </c>
      <c r="F342" t="inlineStr">
        <is>
          <t>2026-05-02</t>
        </is>
      </c>
      <c r="G342" t="inlineStr">
        <is>
          <t xml:space="preserve"> - Couple Cottage</t>
        </is>
      </c>
      <c r="H342">
        <f>HYPERLINK("https://booking.roadsurfer.com/es/rally/pick?pickup_date=2026-04-25&amp;return_date=2026-05-02&amp;currency=EUR&amp;startStation=8&amp;endStation=33",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2026-04-30</t>
        </is>
      </c>
      <c r="F343" t="inlineStr">
        <is>
          <t>2026-05-07</t>
        </is>
      </c>
      <c r="G343" t="inlineStr">
        <is>
          <t xml:space="preserve"> - Camper Cabin</t>
        </is>
      </c>
      <c r="H343">
        <f>HYPERLINK("https://booking.roadsurfer.com/es/rally/pick?pickup_date=2026-04-30&amp;return_date=2026-05-07&amp;currency=EUR&amp;startStation=8&amp;endStation=33",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Alemania</t>
        </is>
      </c>
      <c r="D344" t="inlineStr">
        <is>
          <t>Braunschweig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Beach Hostel - Road House - Family Finca</t>
        </is>
      </c>
      <c r="H344">
        <f>HYPERLINK("https://booking.roadsurfer.com/es/rally/pick?pickup_date=2026-04-30&amp;return_date=2026-05-07&amp;currency=EUR&amp;startStation=8&amp;endStation=128",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Alemania</t>
        </is>
      </c>
      <c r="D345" t="inlineStr">
        <is>
          <t>Braunschweig</t>
        </is>
      </c>
      <c r="E345" t="inlineStr">
        <is>
          <t>2026-05-01</t>
        </is>
      </c>
      <c r="F345" t="inlineStr">
        <is>
          <t>2026-05-08</t>
        </is>
      </c>
      <c r="G345" t="inlineStr">
        <is>
          <t xml:space="preserve"> - No hay coche</t>
        </is>
      </c>
      <c r="H345">
        <f>HYPERLINK("https://booking.roadsurfer.com/es/rally/pick?pickup_date=2026-05-01&amp;return_date=2026-05-08&amp;currency=EUR&amp;startStation=8&amp;endStation=128",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Alemania</t>
        </is>
      </c>
      <c r="D346" t="inlineStr">
        <is>
          <t>Braunschweig</t>
        </is>
      </c>
      <c r="E346" t="inlineStr">
        <is>
          <t>2026-05-05</t>
        </is>
      </c>
      <c r="F346" t="inlineStr">
        <is>
          <t>2026-05-12</t>
        </is>
      </c>
      <c r="G346" t="inlineStr">
        <is>
          <t xml:space="preserve"> - Beach Hostel</t>
        </is>
      </c>
      <c r="H346">
        <f>HYPERLINK("https://booking.roadsurfer.com/es/rally/pick?pickup_date=2026-05-05&amp;return_date=2026-05-12&amp;currency=EUR&amp;startStation=8&amp;endStation=128",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2026-05-06</t>
        </is>
      </c>
      <c r="F347" t="inlineStr">
        <is>
          <t>2026-05-13</t>
        </is>
      </c>
      <c r="G347" t="inlineStr">
        <is>
          <t xml:space="preserve"> - Camper Cabin</t>
        </is>
      </c>
      <c r="H347">
        <f>HYPERLINK("https://booking.roadsurfer.com/es/rally/pick?pickup_date=2026-05-06&amp;return_date=2026-05-13&amp;currency=EUR&amp;startStation=8&amp;endStation=15",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Austria</t>
        </is>
      </c>
      <c r="D348" t="inlineStr">
        <is>
          <t>Viena</t>
        </is>
      </c>
      <c r="E348" t="inlineStr">
        <is>
          <t>2026-05-16</t>
        </is>
      </c>
      <c r="F348" t="inlineStr">
        <is>
          <t>2026-05-23</t>
        </is>
      </c>
      <c r="G348" t="inlineStr">
        <is>
          <t xml:space="preserve"> - Camper Cabin</t>
        </is>
      </c>
      <c r="H348">
        <f>HYPERLINK("https://booking.roadsurfer.com/es/rally/pick?pickup_date=2026-05-16&amp;return_date=2026-05-23&amp;currency=EUR&amp;startStation=8&amp;endStation=36",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2026-05-18</t>
        </is>
      </c>
      <c r="F349" t="inlineStr">
        <is>
          <t>2026-05-25</t>
        </is>
      </c>
      <c r="G349" t="inlineStr">
        <is>
          <t xml:space="preserve"> - No hay coche</t>
        </is>
      </c>
      <c r="H349">
        <f>HYPERLINK("https://booking.roadsurfer.com/es/rally/pick?pickup_date=2026-05-18&amp;return_date=2026-05-25&amp;currency=EUR&amp;startStation=8&amp;endStation=45",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Austria</t>
        </is>
      </c>
      <c r="D350" t="inlineStr">
        <is>
          <t>Viena Sur</t>
        </is>
      </c>
      <c r="E350" t="inlineStr">
        <is>
          <t>2026-05-26</t>
        </is>
      </c>
      <c r="F350" t="inlineStr">
        <is>
          <t>2026-06-02</t>
        </is>
      </c>
      <c r="G350" t="inlineStr">
        <is>
          <t xml:space="preserve"> - No hay coche</t>
        </is>
      </c>
      <c r="H350">
        <f>HYPERLINK("https://booking.roadsurfer.com/es/rally/pick?pickup_date=2026-05-26&amp;return_date=2026-06-02&amp;currency=EUR&amp;startStation=8&amp;endStation=45",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2026-05-12</t>
        </is>
      </c>
      <c r="F351" t="inlineStr">
        <is>
          <t>2026-05-19</t>
        </is>
      </c>
      <c r="G351" t="inlineStr">
        <is>
          <t xml:space="preserve"> - Family Finca</t>
        </is>
      </c>
      <c r="H351">
        <f>HYPERLINK("https://booking.roadsurfer.com/es/rally/pick?pickup_date=2026-05-12&amp;return_date=2026-05-19&amp;currency=EUR&amp;startStation=8&amp;endStation=45",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Austria</t>
        </is>
      </c>
      <c r="D352" t="inlineStr">
        <is>
          <t>Viena Sur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Road House</t>
        </is>
      </c>
      <c r="H352">
        <f>HYPERLINK("https://booking.roadsurfer.com/es/rally/pick?pickup_date=2026-05-04&amp;return_date=2026-05-11&amp;currency=EUR&amp;startStation=8&amp;endStation=45",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Italia</t>
        </is>
      </c>
      <c r="D353" t="inlineStr">
        <is>
          <t>Venecia</t>
        </is>
      </c>
      <c r="E353" t="inlineStr">
        <is>
          <t>2026-05-12</t>
        </is>
      </c>
      <c r="F353" t="inlineStr">
        <is>
          <t>2026-05-19</t>
        </is>
      </c>
      <c r="G353" t="inlineStr">
        <is>
          <t xml:space="preserve"> - Family Finca</t>
        </is>
      </c>
      <c r="H353">
        <f>HYPERLINK("https://booking.roadsurfer.com/es/rally/pick?pickup_date=2026-05-12&amp;return_date=2026-05-19&amp;currency=EUR&amp;startStation=8&amp;endStation=78",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2026-05-25</t>
        </is>
      </c>
      <c r="F354" t="inlineStr">
        <is>
          <t>2026-06-01</t>
        </is>
      </c>
      <c r="G354" t="inlineStr">
        <is>
          <t xml:space="preserve"> - No hay coche</t>
        </is>
      </c>
      <c r="H354">
        <f>HYPERLINK("https://booking.roadsurfer.com/es/rally/pick?pickup_date=2026-05-25&amp;return_date=2026-06-01&amp;currency=EUR&amp;startStation=8&amp;endStation=20",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España</t>
        </is>
      </c>
      <c r="D355" t="inlineStr">
        <is>
          <t>Valencia</t>
        </is>
      </c>
      <c r="E355" t="inlineStr">
        <is>
          <t>2026-06-02</t>
        </is>
      </c>
      <c r="F355" t="inlineStr">
        <is>
          <t>2026-06-09</t>
        </is>
      </c>
      <c r="G355" t="inlineStr">
        <is>
          <t xml:space="preserve"> - Family Finca</t>
        </is>
      </c>
      <c r="H355">
        <f>HYPERLINK("https://booking.roadsurfer.com/es/rally/pick?pickup_date=2026-06-02&amp;return_date=2026-06-09&amp;currency=EUR&amp;startStation=8&amp;endStation=38",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Couple Cottage</t>
        </is>
      </c>
      <c r="H356">
        <f>HYPERLINK("https://booking.roadsurfer.com/es/rally/pick?pickup_date=2026-05-11&amp;return_date=2026-05-18&amp;currency=EUR&amp;startStation=8&amp;endStation=59",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Cozy Cottage</t>
        </is>
      </c>
      <c r="H357">
        <f>HYPERLINK("https://booking.roadsurfer.com/es/rally/pick?pickup_date=2026-04-30&amp;return_date=2026-05-07&amp;currency=EUR&amp;startStation=8&amp;endStation=59",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Austria</t>
        </is>
      </c>
      <c r="D358" t="inlineStr">
        <is>
          <t>Graz</t>
        </is>
      </c>
      <c r="E358" t="inlineStr">
        <is>
          <t>2026-05-04</t>
        </is>
      </c>
      <c r="F358" t="inlineStr">
        <is>
          <t>2026-05-11</t>
        </is>
      </c>
      <c r="G358" t="inlineStr"/>
      <c r="H358">
        <f>HYPERLINK("https://booking.roadsurfer.com/es/rally/pick?pickup_date=2026-05-04&amp;return_date=2026-05-11&amp;currency=EUR&amp;startStation=8&amp;endStation=37",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Austria</t>
        </is>
      </c>
      <c r="D359" t="inlineStr">
        <is>
          <t>Graz</t>
        </is>
      </c>
      <c r="E359" t="inlineStr">
        <is>
          <t>2026-05-23</t>
        </is>
      </c>
      <c r="F359" t="inlineStr">
        <is>
          <t>2026-05-30</t>
        </is>
      </c>
      <c r="G359" t="inlineStr">
        <is>
          <t xml:space="preserve"> - No hay coche</t>
        </is>
      </c>
      <c r="H359">
        <f>HYPERLINK("https://booking.roadsurfer.com/es/rally/pick?pickup_date=2026-05-23&amp;return_date=2026-05-30&amp;currency=EUR&amp;startStation=8&amp;endStation=37",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Italia</t>
        </is>
      </c>
      <c r="D360" t="inlineStr">
        <is>
          <t>Turín</t>
        </is>
      </c>
      <c r="E360" t="inlineStr">
        <is>
          <t>2026-05-11</t>
        </is>
      </c>
      <c r="F360" t="inlineStr">
        <is>
          <t>2026-05-18</t>
        </is>
      </c>
      <c r="G360" t="inlineStr">
        <is>
          <t xml:space="preserve"> - Couple Cottage</t>
        </is>
      </c>
      <c r="H360">
        <f>HYPERLINK("https://booking.roadsurfer.com/es/rally/pick?pickup_date=2026-05-11&amp;return_date=2026-05-18&amp;currency=EUR&amp;startStation=8&amp;endStation=58", "Clic para verlo en la web de RoadSurfer")</f>
        <v/>
      </c>
    </row>
    <row r="361">
      <c r="A361" t="inlineStr">
        <is>
          <t>Francia</t>
        </is>
      </c>
      <c r="B361" t="inlineStr">
        <is>
          <t>Lille</t>
        </is>
      </c>
      <c r="C361" t="inlineStr">
        <is>
          <t>Alemania</t>
        </is>
      </c>
      <c r="D361" t="inlineStr">
        <is>
          <t>Braunschweig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Road House</t>
        </is>
      </c>
      <c r="H361">
        <f>HYPERLINK("https://booking.roadsurfer.com/es/rally/pick?pickup_date=2026-05-04&amp;return_date=2026-05-11&amp;currency=EUR&amp;startStation=87&amp;endStation=128", "Clic para verlo en la web de RoadSurfer")</f>
        <v/>
      </c>
    </row>
    <row r="362">
      <c r="A362" t="inlineStr">
        <is>
          <t>Francia</t>
        </is>
      </c>
      <c r="B362" t="inlineStr">
        <is>
          <t>Lille</t>
        </is>
      </c>
      <c r="C362" t="inlineStr">
        <is>
          <t>Alemania</t>
        </is>
      </c>
      <c r="D362" t="inlineStr">
        <is>
          <t>Braunschweig</t>
        </is>
      </c>
      <c r="E362" t="inlineStr">
        <is>
          <t>2026-04-27</t>
        </is>
      </c>
      <c r="F362" t="inlineStr">
        <is>
          <t>2026-05-04</t>
        </is>
      </c>
      <c r="G362" t="inlineStr"/>
      <c r="H362">
        <f>HYPERLINK("https://booking.roadsurfer.com/es/rally/pick?pickup_date=2026-04-27&amp;return_date=2026-05-04&amp;currency=EUR&amp;startStation=87&amp;endStation=128",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España</t>
        </is>
      </c>
      <c r="D363" t="inlineStr">
        <is>
          <t>Barcelona</t>
        </is>
      </c>
      <c r="E363" t="inlineStr">
        <is>
          <t>2026-05-11</t>
        </is>
      </c>
      <c r="F363" t="inlineStr">
        <is>
          <t>2026-05-18</t>
        </is>
      </c>
      <c r="G363" t="inlineStr">
        <is>
          <t xml:space="preserve"> - Cozy Cottage</t>
        </is>
      </c>
      <c r="H363">
        <f>HYPERLINK("https://booking.roadsurfer.com/es/rally/pick?pickup_date=2026-05-11&amp;return_date=2026-05-18&amp;currency=EUR&amp;startStation=117&amp;endStation=17",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España</t>
        </is>
      </c>
      <c r="D364" t="inlineStr">
        <is>
          <t>Madrid</t>
        </is>
      </c>
      <c r="E364" t="inlineStr">
        <is>
          <t>2026-04-28</t>
        </is>
      </c>
      <c r="F364" t="inlineStr">
        <is>
          <t>2026-05-05</t>
        </is>
      </c>
      <c r="G364" t="inlineStr">
        <is>
          <t xml:space="preserve"> - Family Finca</t>
        </is>
      </c>
      <c r="H364">
        <f>HYPERLINK("https://booking.roadsurfer.com/es/rally/pick?pickup_date=2026-04-28&amp;return_date=2026-05-05&amp;currency=EUR&amp;startStation=117&amp;endStation=20",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Italia</t>
        </is>
      </c>
      <c r="D365" t="inlineStr">
        <is>
          <t>Venecia</t>
        </is>
      </c>
      <c r="E365" t="inlineStr">
        <is>
          <t>2026-05-06</t>
        </is>
      </c>
      <c r="F365" t="inlineStr">
        <is>
          <t>2026-05-13</t>
        </is>
      </c>
      <c r="G365" t="inlineStr">
        <is>
          <t xml:space="preserve"> - Family Finca</t>
        </is>
      </c>
      <c r="H365">
        <f>HYPERLINK("https://booking.roadsurfer.com/es/rally/pick?pickup_date=2026-05-06&amp;return_date=2026-05-13&amp;currency=EUR&amp;startStation=117&amp;endStation=78", "Clic para verlo en la web de RoadSurfer")</f>
        <v/>
      </c>
    </row>
    <row r="366">
      <c r="A366" t="inlineStr">
        <is>
          <t>Alemania</t>
        </is>
      </c>
      <c r="B366" t="inlineStr">
        <is>
          <t>Lindau-Wangen</t>
        </is>
      </c>
      <c r="C366" t="inlineStr">
        <is>
          <t>Alemania</t>
        </is>
      </c>
      <c r="D366" t="inlineStr">
        <is>
          <t>Hamburgo Aeropuerto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No hay coche</t>
        </is>
      </c>
      <c r="H366">
        <f>HYPERLINK("https://booking.roadsurfer.com/es/rally/pick?pickup_date=2026-05-04&amp;return_date=2026-05-11&amp;currency=EUR&amp;startStation=117&amp;endStation=65", "Clic para verlo en la web de RoadSurfer")</f>
        <v/>
      </c>
    </row>
    <row r="367">
      <c r="A367" t="inlineStr">
        <is>
          <t>Alemania</t>
        </is>
      </c>
      <c r="B367" t="inlineStr">
        <is>
          <t>Lübeck</t>
        </is>
      </c>
      <c r="C367" t="inlineStr">
        <is>
          <t>Italia</t>
        </is>
      </c>
      <c r="D367" t="inlineStr">
        <is>
          <t>Venecia</t>
        </is>
      </c>
      <c r="E367" t="inlineStr">
        <is>
          <t>2026-05-16</t>
        </is>
      </c>
      <c r="F367" t="inlineStr">
        <is>
          <t>2026-05-23</t>
        </is>
      </c>
      <c r="G367" t="inlineStr">
        <is>
          <t xml:space="preserve"> - Cozy Cottage</t>
        </is>
      </c>
      <c r="H367">
        <f>HYPERLINK("https://booking.roadsurfer.com/es/rally/pick?pickup_date=2026-05-16&amp;return_date=2026-05-23&amp;currency=EUR&amp;startStation=109&amp;endStation=78", "Clic para verlo en la web de RoadSurfer")</f>
        <v/>
      </c>
    </row>
    <row r="368">
      <c r="A368" t="inlineStr">
        <is>
          <t>Alemania</t>
        </is>
      </c>
      <c r="B368" t="inlineStr">
        <is>
          <t>Lübeck</t>
        </is>
      </c>
      <c r="C368" t="inlineStr">
        <is>
          <t>Suecia</t>
        </is>
      </c>
      <c r="D368" t="inlineStr">
        <is>
          <t>Gotemburgo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Surfer Suite</t>
        </is>
      </c>
      <c r="H368">
        <f>HYPERLINK("https://booking.roadsurfer.com/es/rally/pick?pickup_date=2026-05-04&amp;return_date=2026-05-11&amp;currency=EUR&amp;startStation=109&amp;endStation=77", "Clic para verlo en la web de RoadSurfer")</f>
        <v/>
      </c>
    </row>
    <row r="369">
      <c r="A369" t="inlineStr">
        <is>
          <t>Alemania</t>
        </is>
      </c>
      <c r="B369" t="inlineStr">
        <is>
          <t>Lübeck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2026-04-30</t>
        </is>
      </c>
      <c r="F369" t="inlineStr">
        <is>
          <t>2026-05-07</t>
        </is>
      </c>
      <c r="G369" t="inlineStr">
        <is>
          <t xml:space="preserve"> - Surfer Suite</t>
        </is>
      </c>
      <c r="H369">
        <f>HYPERLINK("https://booking.roadsurfer.com/es/rally/pick?pickup_date=2026-04-30&amp;return_date=2026-05-07&amp;currency=EUR&amp;startStation=109&amp;endStation=40",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2026-04-28</t>
        </is>
      </c>
      <c r="F370" t="inlineStr">
        <is>
          <t>2026-05-05</t>
        </is>
      </c>
      <c r="G370" t="inlineStr">
        <is>
          <t xml:space="preserve"> - Road House</t>
        </is>
      </c>
      <c r="H370">
        <f>HYPERLINK("https://booking.roadsurfer.com/es/rally/pick?pickup_date=2026-04-28&amp;return_date=2026-05-05&amp;currency=EUR&amp;startStation=109&amp;endStation=29",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2026-04-30</t>
        </is>
      </c>
      <c r="F371" t="inlineStr">
        <is>
          <t>2026-05-07</t>
        </is>
      </c>
      <c r="G371" t="inlineStr">
        <is>
          <t xml:space="preserve"> - Road House</t>
        </is>
      </c>
      <c r="H371">
        <f>HYPERLINK("https://booking.roadsurfer.com/es/rally/pick?pickup_date=2026-04-30&amp;return_date=2026-05-07&amp;currency=EUR&amp;startStation=15&amp;endStation=8",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Surfer Suite</t>
        </is>
      </c>
      <c r="H372">
        <f>HYPERLINK("https://booking.roadsurfer.com/es/rally/pick?pickup_date=2026-05-11&amp;return_date=2026-05-18&amp;currency=EUR&amp;startStation=15&amp;endStation=8",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Couple Cottage</t>
        </is>
      </c>
      <c r="H373">
        <f>HYPERLINK("https://booking.roadsurfer.com/es/rally/pick?pickup_date=2026-05-04&amp;return_date=2026-05-11&amp;currency=EUR&amp;startStation=15&amp;endStation=90",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Beach Hostel</t>
        </is>
      </c>
      <c r="H374">
        <f>HYPERLINK("https://booking.roadsurfer.com/es/rally/pick?pickup_date=2026-05-11&amp;return_date=2026-05-18&amp;currency=EUR&amp;startStation=15&amp;endStation=90",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2026-05-18</t>
        </is>
      </c>
      <c r="F375" t="inlineStr">
        <is>
          <t>2026-05-25</t>
        </is>
      </c>
      <c r="G375" t="inlineStr">
        <is>
          <t xml:space="preserve"> - No hay coche</t>
        </is>
      </c>
      <c r="H375">
        <f>HYPERLINK("https://booking.roadsurfer.com/es/rally/pick?pickup_date=2026-05-18&amp;return_date=2026-05-25&amp;currency=EUR&amp;startStation=15&amp;endStation=90",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2026-05-07</t>
        </is>
      </c>
      <c r="F376" t="inlineStr">
        <is>
          <t>2026-05-14</t>
        </is>
      </c>
      <c r="G376" t="inlineStr">
        <is>
          <t xml:space="preserve"> - No hay coche</t>
        </is>
      </c>
      <c r="H376">
        <f>HYPERLINK("https://booking.roadsurfer.com/es/rally/pick?pickup_date=2026-05-07&amp;return_date=2026-05-14&amp;currency=EUR&amp;startStation=15&amp;endStation=90",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2026-06-08</t>
        </is>
      </c>
      <c r="F377" t="inlineStr">
        <is>
          <t>2026-06-15</t>
        </is>
      </c>
      <c r="G377" t="inlineStr">
        <is>
          <t xml:space="preserve"> - Road House</t>
        </is>
      </c>
      <c r="H377">
        <f>HYPERLINK("https://booking.roadsurfer.com/es/rally/pick?pickup_date=2026-06-08&amp;return_date=2026-06-15&amp;currency=EUR&amp;startStation=15&amp;endStation=90",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2026-06-01</t>
        </is>
      </c>
      <c r="F378" t="inlineStr">
        <is>
          <t>2026-06-08</t>
        </is>
      </c>
      <c r="G378" t="inlineStr">
        <is>
          <t xml:space="preserve"> - Camper Cabin</t>
        </is>
      </c>
      <c r="H378">
        <f>HYPERLINK("https://booking.roadsurfer.com/es/rally/pick?pickup_date=2026-06-01&amp;return_date=2026-06-08&amp;currency=EUR&amp;startStation=15&amp;endStation=90",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2026-05-02</t>
        </is>
      </c>
      <c r="F379" t="inlineStr">
        <is>
          <t>2026-05-09</t>
        </is>
      </c>
      <c r="G379" t="inlineStr">
        <is>
          <t xml:space="preserve"> - Camper Cabin</t>
        </is>
      </c>
      <c r="H379">
        <f>HYPERLINK("https://booking.roadsurfer.com/es/rally/pick?pickup_date=2026-05-02&amp;return_date=2026-05-09&amp;currency=EUR&amp;startStation=15&amp;endStation=90",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Erfurt</t>
        </is>
      </c>
      <c r="E380" t="inlineStr">
        <is>
          <t>2026-04-30</t>
        </is>
      </c>
      <c r="F380" t="inlineStr">
        <is>
          <t>2026-05-07</t>
        </is>
      </c>
      <c r="G380" t="inlineStr">
        <is>
          <t xml:space="preserve"> - Road House</t>
        </is>
      </c>
      <c r="H380">
        <f>HYPERLINK("https://booking.roadsurfer.com/es/rally/pick?pickup_date=2026-04-30&amp;return_date=2026-05-07&amp;currency=EUR&amp;startStation=15&amp;endStation=90",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2026-05-16</t>
        </is>
      </c>
      <c r="F381" t="inlineStr">
        <is>
          <t>2026-05-23</t>
        </is>
      </c>
      <c r="G381" t="inlineStr">
        <is>
          <t xml:space="preserve"> - Road House</t>
        </is>
      </c>
      <c r="H381">
        <f>HYPERLINK("https://booking.roadsurfer.com/es/rally/pick?pickup_date=2026-05-16&amp;return_date=2026-05-23&amp;currency=EUR&amp;startStation=15&amp;endStation=56",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2026-05-29</t>
        </is>
      </c>
      <c r="F382" t="inlineStr">
        <is>
          <t>2026-06-05</t>
        </is>
      </c>
      <c r="G382" t="inlineStr"/>
      <c r="H382">
        <f>HYPERLINK("https://booking.roadsurfer.com/es/rally/pick?pickup_date=2026-05-29&amp;return_date=2026-06-05&amp;currency=EUR&amp;startStation=15&amp;endStation=56",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2026-05-21</t>
        </is>
      </c>
      <c r="F383" t="inlineStr">
        <is>
          <t>2026-05-28</t>
        </is>
      </c>
      <c r="G383" t="inlineStr">
        <is>
          <t xml:space="preserve"> - Camper Cabin</t>
        </is>
      </c>
      <c r="H383">
        <f>HYPERLINK("https://booking.roadsurfer.com/es/rally/pick?pickup_date=2026-05-21&amp;return_date=2026-05-28&amp;currency=EUR&amp;startStation=15&amp;endStation=1",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Múnich</t>
        </is>
      </c>
      <c r="E384" t="inlineStr">
        <is>
          <t>2026-05-14</t>
        </is>
      </c>
      <c r="F384" t="inlineStr">
        <is>
          <t>2026-05-21</t>
        </is>
      </c>
      <c r="G384" t="inlineStr">
        <is>
          <t xml:space="preserve"> - No hay coche</t>
        </is>
      </c>
      <c r="H384">
        <f>HYPERLINK("https://booking.roadsurfer.com/es/rally/pick?pickup_date=2026-05-14&amp;return_date=2026-05-21&amp;currency=EUR&amp;startStation=15&amp;endStation=1",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Colonia-Düsseldorf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Road House</t>
        </is>
      </c>
      <c r="H385">
        <f>HYPERLINK("https://booking.roadsurfer.com/es/rally/pick?pickup_date=2026-05-04&amp;return_date=2026-05-11&amp;currency=EUR&amp;startStation=15&amp;endStation=4",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Colonia-Düsseldorf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Camper Cabin</t>
        </is>
      </c>
      <c r="H386">
        <f>HYPERLINK("https://booking.roadsurfer.com/es/rally/pick?pickup_date=2026-05-15&amp;return_date=2026-05-22&amp;currency=EUR&amp;startStation=15&amp;endStation=4",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Road House</t>
        </is>
      </c>
      <c r="H387">
        <f>HYPERLINK("https://booking.roadsurfer.com/es/rally/pick?pickup_date=2026-05-04&amp;return_date=2026-05-11&amp;currency=EUR&amp;startStation=15&amp;endStation=22",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Bremen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Family Finca</t>
        </is>
      </c>
      <c r="H388">
        <f>HYPERLINK("https://booking.roadsurfer.com/es/rally/pick?pickup_date=2026-05-04&amp;return_date=2026-05-11&amp;currency=EUR&amp;startStation=15&amp;endStation=55",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Stuttgart</t>
        </is>
      </c>
      <c r="E389" t="inlineStr">
        <is>
          <t>2026-05-06</t>
        </is>
      </c>
      <c r="F389" t="inlineStr">
        <is>
          <t>2026-05-13</t>
        </is>
      </c>
      <c r="G389" t="inlineStr">
        <is>
          <t xml:space="preserve"> - Camper Cabin</t>
        </is>
      </c>
      <c r="H389">
        <f>HYPERLINK("https://booking.roadsurfer.com/es/rally/pick?pickup_date=2026-05-06&amp;return_date=2026-05-13&amp;currency=EUR&amp;startStation=20&amp;endStation=5",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2026-05-08</t>
        </is>
      </c>
      <c r="F390" t="inlineStr">
        <is>
          <t>2026-05-15</t>
        </is>
      </c>
      <c r="G390" t="inlineStr">
        <is>
          <t xml:space="preserve"> - Surfer Suite</t>
        </is>
      </c>
      <c r="H390">
        <f>HYPERLINK("https://booking.roadsurfer.com/es/rally/pick?pickup_date=2026-05-08&amp;return_date=2026-05-15&amp;currency=EUR&amp;startStation=20&amp;endStation=5",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2026-05-22</t>
        </is>
      </c>
      <c r="F391" t="inlineStr">
        <is>
          <t>2026-05-29</t>
        </is>
      </c>
      <c r="G391" t="inlineStr">
        <is>
          <t xml:space="preserve"> - Road House</t>
        </is>
      </c>
      <c r="H391">
        <f>HYPERLINK("https://booking.roadsurfer.com/es/rally/pick?pickup_date=2026-05-22&amp;return_date=2026-05-29&amp;currency=EUR&amp;startStation=20&amp;endStation=5",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2026-05-04</t>
        </is>
      </c>
      <c r="F392" t="inlineStr">
        <is>
          <t>2026-05-11</t>
        </is>
      </c>
      <c r="G392" t="inlineStr">
        <is>
          <t xml:space="preserve"> - No hay coche</t>
        </is>
      </c>
      <c r="H392">
        <f>HYPERLINK("https://booking.roadsurfer.com/es/rally/pick?pickup_date=2026-05-04&amp;return_date=2026-05-11&amp;currency=EUR&amp;startStation=20&amp;endStation=5",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Maguncia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Couple Cottage - Sunrise Suite</t>
        </is>
      </c>
      <c r="H393">
        <f>HYPERLINK("https://booking.roadsurfer.com/es/rally/pick?pickup_date=2026-05-04&amp;return_date=2026-05-11&amp;currency=EUR&amp;startStation=20&amp;endStation=54",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Maguncia</t>
        </is>
      </c>
      <c r="E394" t="inlineStr">
        <is>
          <t>2026-05-15</t>
        </is>
      </c>
      <c r="F394" t="inlineStr">
        <is>
          <t>2026-05-22</t>
        </is>
      </c>
      <c r="G394" t="inlineStr"/>
      <c r="H394">
        <f>HYPERLINK("https://booking.roadsurfer.com/es/rally/pick?pickup_date=2026-05-15&amp;return_date=2026-05-22&amp;currency=EUR&amp;startStation=20&amp;endStation=54",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Heidelberg</t>
        </is>
      </c>
      <c r="E395" t="inlineStr">
        <is>
          <t>2026-05-11</t>
        </is>
      </c>
      <c r="F395" t="inlineStr">
        <is>
          <t>2026-05-18</t>
        </is>
      </c>
      <c r="G395" t="inlineStr"/>
      <c r="H395">
        <f>HYPERLINK("https://booking.roadsurfer.com/es/rally/pick?pickup_date=2026-05-11&amp;return_date=2026-05-18&amp;currency=EUR&amp;startStation=20&amp;endStation=79",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Ulm</t>
        </is>
      </c>
      <c r="E396" t="inlineStr">
        <is>
          <t>2026-05-11</t>
        </is>
      </c>
      <c r="F396" t="inlineStr">
        <is>
          <t>2026-05-18</t>
        </is>
      </c>
      <c r="G396" t="inlineStr"/>
      <c r="H396">
        <f>HYPERLINK("https://booking.roadsurfer.com/es/rally/pick?pickup_date=2026-05-11&amp;return_date=2026-05-18&amp;currency=EUR&amp;startStation=20&amp;endStation=112",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Wurzburgo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No hay coche</t>
        </is>
      </c>
      <c r="H397">
        <f>HYPERLINK("https://booking.roadsurfer.com/es/rally/pick?pickup_date=2026-05-15&amp;return_date=2026-05-22&amp;currency=EUR&amp;startStation=20&amp;endStation=115",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Wurzburgo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Family Finca</t>
        </is>
      </c>
      <c r="H398">
        <f>HYPERLINK("https://booking.roadsurfer.com/es/rally/pick?pickup_date=2026-05-04&amp;return_date=2026-05-11&amp;currency=EUR&amp;startStation=20&amp;endStation=115",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Lindau-Wangen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Couple Cottage</t>
        </is>
      </c>
      <c r="H399">
        <f>HYPERLINK("https://booking.roadsurfer.com/es/rally/pick?pickup_date=2026-04-30&amp;return_date=2026-05-07&amp;currency=EUR&amp;startStation=20&amp;endStation=117",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Lindau-Wangen</t>
        </is>
      </c>
      <c r="E400" t="inlineStr">
        <is>
          <t>2026-05-25</t>
        </is>
      </c>
      <c r="F400" t="inlineStr">
        <is>
          <t>2026-06-01</t>
        </is>
      </c>
      <c r="G400" t="inlineStr">
        <is>
          <t xml:space="preserve"> - Couple Cottage</t>
        </is>
      </c>
      <c r="H400">
        <f>HYPERLINK("https://booking.roadsurfer.com/es/rally/pick?pickup_date=2026-05-25&amp;return_date=2026-06-01&amp;currency=EUR&amp;startStation=20&amp;endStation=117",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Lindau-Wangen</t>
        </is>
      </c>
      <c r="E401" t="inlineStr">
        <is>
          <t>2026-05-02</t>
        </is>
      </c>
      <c r="F401" t="inlineStr">
        <is>
          <t>2026-05-09</t>
        </is>
      </c>
      <c r="G401" t="inlineStr">
        <is>
          <t xml:space="preserve"> - No hay coche</t>
        </is>
      </c>
      <c r="H401">
        <f>HYPERLINK("https://booking.roadsurfer.com/es/rally/pick?pickup_date=2026-05-02&amp;return_date=2026-05-09&amp;currency=EUR&amp;startStation=20&amp;endStation=117",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Leipzig</t>
        </is>
      </c>
      <c r="E402" t="inlineStr">
        <is>
          <t>2026-04-28</t>
        </is>
      </c>
      <c r="F402" t="inlineStr">
        <is>
          <t>2026-05-05</t>
        </is>
      </c>
      <c r="G402" t="inlineStr">
        <is>
          <t xml:space="preserve"> - Family Finca</t>
        </is>
      </c>
      <c r="H402">
        <f>HYPERLINK("https://booking.roadsurfer.com/es/rally/pick?pickup_date=2026-04-28&amp;return_date=2026-05-05&amp;currency=EUR&amp;startStation=20&amp;endStation=8",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Friburgo-Basilea (Alemania)</t>
        </is>
      </c>
      <c r="E403" t="inlineStr">
        <is>
          <t>2026-04-26</t>
        </is>
      </c>
      <c r="F403" t="inlineStr">
        <is>
          <t>2026-05-03</t>
        </is>
      </c>
      <c r="G403" t="inlineStr"/>
      <c r="H403">
        <f>HYPERLINK("https://booking.roadsurfer.com/es/rally/pick?pickup_date=2026-04-26&amp;return_date=2026-05-03&amp;currency=EUR&amp;startStation=20&amp;endStation=9",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Karlsruhe</t>
        </is>
      </c>
      <c r="E404" t="inlineStr">
        <is>
          <t>2026-05-13</t>
        </is>
      </c>
      <c r="F404" t="inlineStr">
        <is>
          <t>2026-05-20</t>
        </is>
      </c>
      <c r="G404" t="inlineStr">
        <is>
          <t xml:space="preserve"> - Sunrise Suite</t>
        </is>
      </c>
      <c r="H404">
        <f>HYPERLINK("https://booking.roadsurfer.com/es/rally/pick?pickup_date=2026-05-13&amp;return_date=2026-05-20&amp;currency=EUR&amp;startStation=20&amp;endStation=110",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No hay coche</t>
        </is>
      </c>
      <c r="H405">
        <f>HYPERLINK("https://booking.roadsurfer.com/es/rally/pick?pickup_date=2026-05-15&amp;return_date=2026-05-22&amp;currency=EUR&amp;startStation=20&amp;endStation=110",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Sunrise Suite</t>
        </is>
      </c>
      <c r="H406">
        <f>HYPERLINK("https://booking.roadsurfer.com/es/rally/pick?pickup_date=2026-05-04&amp;return_date=2026-05-11&amp;currency=EUR&amp;startStation=20&amp;endStation=22", "Clic para verlo en la web de RoadSurfer")</f>
        <v/>
      </c>
    </row>
    <row r="407">
      <c r="A407" t="inlineStr">
        <is>
          <t>Alemania</t>
        </is>
      </c>
      <c r="B407" t="inlineStr">
        <is>
          <t>Maguncia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2026-04-30</t>
        </is>
      </c>
      <c r="F407" t="inlineStr">
        <is>
          <t>2026-05-07</t>
        </is>
      </c>
      <c r="G407" t="inlineStr">
        <is>
          <t xml:space="preserve"> - Camper Cabin Deluxe</t>
        </is>
      </c>
      <c r="H407">
        <f>HYPERLINK("https://booking.roadsurfer.com/es/rally/pick?pickup_date=2026-04-30&amp;return_date=2026-05-07&amp;currency=EUR&amp;startStation=54&amp;endStation=29", "Clic para verlo en la web de RoadSurfer")</f>
        <v/>
      </c>
    </row>
    <row r="408">
      <c r="A408" t="inlineStr">
        <is>
          <t>España</t>
        </is>
      </c>
      <c r="B408" t="inlineStr">
        <is>
          <t>Málaga</t>
        </is>
      </c>
      <c r="C408" t="inlineStr">
        <is>
          <t>Alemania</t>
        </is>
      </c>
      <c r="D408" t="inlineStr">
        <is>
          <t>Friburgo-Basilea (Alemania)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Surfer Suite</t>
        </is>
      </c>
      <c r="H408">
        <f>HYPERLINK("https://booking.roadsurfer.com/es/rally/pick?pickup_date=2026-05-04&amp;return_date=2026-05-11&amp;currency=EUR&amp;startStation=21&amp;endStation=9", "Clic para verlo en la web de RoadSurfer")</f>
        <v/>
      </c>
    </row>
    <row r="409">
      <c r="A409" t="inlineStr">
        <is>
          <t>España</t>
        </is>
      </c>
      <c r="B409" t="inlineStr">
        <is>
          <t>Málaga</t>
        </is>
      </c>
      <c r="C409" t="inlineStr">
        <is>
          <t>Alemania</t>
        </is>
      </c>
      <c r="D409" t="inlineStr">
        <is>
          <t>Ulm</t>
        </is>
      </c>
      <c r="E409" t="inlineStr">
        <is>
          <t>2026-04-30</t>
        </is>
      </c>
      <c r="F409" t="inlineStr">
        <is>
          <t>2026-05-07</t>
        </is>
      </c>
      <c r="G409" t="inlineStr">
        <is>
          <t xml:space="preserve"> - Surfer Suite</t>
        </is>
      </c>
      <c r="H409">
        <f>HYPERLINK("https://booking.roadsurfer.com/es/rally/pick?pickup_date=2026-04-30&amp;return_date=2026-05-07&amp;currency=EUR&amp;startStation=21&amp;endStation=112", "Clic para verlo en la web de RoadSurfer")</f>
        <v/>
      </c>
    </row>
    <row r="410">
      <c r="A410" t="inlineStr">
        <is>
          <t>España</t>
        </is>
      </c>
      <c r="B410" t="inlineStr">
        <is>
          <t>Málaga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2026-05-14</t>
        </is>
      </c>
      <c r="F410" t="inlineStr">
        <is>
          <t>2026-05-21</t>
        </is>
      </c>
      <c r="G410" t="inlineStr">
        <is>
          <t xml:space="preserve"> - Road House</t>
        </is>
      </c>
      <c r="H410">
        <f>HYPERLINK("https://booking.roadsurfer.com/es/rally/pick?pickup_date=2026-05-14&amp;return_date=2026-05-21&amp;currency=EUR&amp;startStation=21&amp;endStation=54",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2026-04-29</t>
        </is>
      </c>
      <c r="F411" t="inlineStr">
        <is>
          <t>2026-05-06</t>
        </is>
      </c>
      <c r="G411" t="inlineStr">
        <is>
          <t xml:space="preserve"> - Surfer Suite - Road House - Cozy Cottage</t>
        </is>
      </c>
      <c r="H411">
        <f>HYPERLINK("https://booking.roadsurfer.com/es/rally/pick?pickup_date=2026-04-29&amp;return_date=2026-05-06&amp;currency=EUR&amp;startStation=60&amp;endStation=22",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2026-05-04</t>
        </is>
      </c>
      <c r="F412" t="inlineStr">
        <is>
          <t>2026-05-11</t>
        </is>
      </c>
      <c r="G412" t="inlineStr"/>
      <c r="H412">
        <f>HYPERLINK("https://booking.roadsurfer.com/es/rally/pick?pickup_date=2026-05-04&amp;return_date=2026-05-11&amp;currency=EUR&amp;startStation=60&amp;endStation=22",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2026-04-28</t>
        </is>
      </c>
      <c r="F413" t="inlineStr">
        <is>
          <t>2026-05-05</t>
        </is>
      </c>
      <c r="G413" t="inlineStr">
        <is>
          <t xml:space="preserve"> - Camper Castle</t>
        </is>
      </c>
      <c r="H413">
        <f>HYPERLINK("https://booking.roadsurfer.com/es/rally/pick?pickup_date=2026-04-28&amp;return_date=2026-05-05&amp;currency=EUR&amp;startStation=60&amp;endStation=22", "Clic para verlo en la web de RoadSurfer")</f>
        <v/>
      </c>
    </row>
    <row r="414">
      <c r="A414" t="inlineStr">
        <is>
          <t>Suecia</t>
        </is>
      </c>
      <c r="B414" t="inlineStr">
        <is>
          <t>Malmö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Family Finca</t>
        </is>
      </c>
      <c r="H414">
        <f>HYPERLINK("https://booking.roadsurfer.com/es/rally/pick?pickup_date=2026-04-30&amp;return_date=2026-05-07&amp;currency=EUR&amp;startStation=60&amp;endStation=22", "Clic para verlo en la web de RoadSurfer")</f>
        <v/>
      </c>
    </row>
    <row r="415">
      <c r="A415" t="inlineStr">
        <is>
          <t>Suecia</t>
        </is>
      </c>
      <c r="B415" t="inlineStr">
        <is>
          <t>Malmö</t>
        </is>
      </c>
      <c r="C415" t="inlineStr">
        <is>
          <t>Alemania</t>
        </is>
      </c>
      <c r="D415" t="inlineStr">
        <is>
          <t>Núremberg</t>
        </is>
      </c>
      <c r="E415" t="inlineStr">
        <is>
          <t>2026-05-02</t>
        </is>
      </c>
      <c r="F415" t="inlineStr">
        <is>
          <t>2026-05-09</t>
        </is>
      </c>
      <c r="G415" t="inlineStr">
        <is>
          <t xml:space="preserve"> - Surfer Suite</t>
        </is>
      </c>
      <c r="H415">
        <f>HYPERLINK("https://booking.roadsurfer.com/es/rally/pick?pickup_date=2026-05-02&amp;return_date=2026-05-09&amp;currency=EUR&amp;startStation=60&amp;endStation=11", "Clic para verlo en la web de RoadSurfer")</f>
        <v/>
      </c>
    </row>
    <row r="416">
      <c r="A416" t="inlineStr">
        <is>
          <t>Suecia</t>
        </is>
      </c>
      <c r="B416" t="inlineStr">
        <is>
          <t>Malmö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2026-04-30</t>
        </is>
      </c>
      <c r="F416" t="inlineStr">
        <is>
          <t>2026-05-07</t>
        </is>
      </c>
      <c r="G416" t="inlineStr">
        <is>
          <t xml:space="preserve"> - Surfer Suite</t>
        </is>
      </c>
      <c r="H416">
        <f>HYPERLINK("https://booking.roadsurfer.com/es/rally/pick?pickup_date=2026-04-30&amp;return_date=2026-05-07&amp;currency=EUR&amp;startStation=60&amp;endStation=52", "Clic para verlo en la web de RoadSurfer")</f>
        <v/>
      </c>
    </row>
    <row r="417">
      <c r="A417" t="inlineStr">
        <is>
          <t>Suecia</t>
        </is>
      </c>
      <c r="B417" t="inlineStr">
        <is>
          <t>Malmö</t>
        </is>
      </c>
      <c r="C417" t="inlineStr">
        <is>
          <t>Alemania</t>
        </is>
      </c>
      <c r="D417" t="inlineStr">
        <is>
          <t>Maguncia</t>
        </is>
      </c>
      <c r="E417" t="inlineStr">
        <is>
          <t>2026-04-29</t>
        </is>
      </c>
      <c r="F417" t="inlineStr">
        <is>
          <t>2026-05-06</t>
        </is>
      </c>
      <c r="G417" t="inlineStr">
        <is>
          <t xml:space="preserve"> - Surfer Suite</t>
        </is>
      </c>
      <c r="H417">
        <f>HYPERLINK("https://booking.roadsurfer.com/es/rally/pick?pickup_date=2026-04-29&amp;return_date=2026-05-06&amp;currency=EUR&amp;startStation=60&amp;endStation=54", "Clic para verlo en la web de RoadSurfer")</f>
        <v/>
      </c>
    </row>
    <row r="418">
      <c r="A418" t="inlineStr">
        <is>
          <t>Suecia</t>
        </is>
      </c>
      <c r="B418" t="inlineStr">
        <is>
          <t>Malmö</t>
        </is>
      </c>
      <c r="C418" t="inlineStr">
        <is>
          <t>Alemania</t>
        </is>
      </c>
      <c r="D418" t="inlineStr">
        <is>
          <t>Bielefeld</t>
        </is>
      </c>
      <c r="E418" t="inlineStr">
        <is>
          <t>2026-04-28</t>
        </is>
      </c>
      <c r="F418" t="inlineStr">
        <is>
          <t>2026-05-05</t>
        </is>
      </c>
      <c r="G418" t="inlineStr">
        <is>
          <t xml:space="preserve"> - Family Finca</t>
        </is>
      </c>
      <c r="H418">
        <f>HYPERLINK("https://booking.roadsurfer.com/es/rally/pick?pickup_date=2026-04-28&amp;return_date=2026-05-05&amp;currency=EUR&amp;startStation=60&amp;endStation=91", "Clic para verlo en la web de RoadSurfer")</f>
        <v/>
      </c>
    </row>
    <row r="419">
      <c r="A419" t="inlineStr">
        <is>
          <t>Suecia</t>
        </is>
      </c>
      <c r="B419" t="inlineStr">
        <is>
          <t>Malmö</t>
        </is>
      </c>
      <c r="C419" t="inlineStr">
        <is>
          <t>Alemania</t>
        </is>
      </c>
      <c r="D419" t="inlineStr">
        <is>
          <t>Bielefeld</t>
        </is>
      </c>
      <c r="E419" t="inlineStr">
        <is>
          <t>2026-05-07</t>
        </is>
      </c>
      <c r="F419" t="inlineStr">
        <is>
          <t>2026-05-14</t>
        </is>
      </c>
      <c r="G419" t="inlineStr">
        <is>
          <t xml:space="preserve"> - No hay coche</t>
        </is>
      </c>
      <c r="H419">
        <f>HYPERLINK("https://booking.roadsurfer.com/es/rally/pick?pickup_date=2026-05-07&amp;return_date=2026-05-14&amp;currency=EUR&amp;startStation=60&amp;endStation=91",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Hamburgo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Surfer Suite</t>
        </is>
      </c>
      <c r="H420">
        <f>HYPERLINK("https://booking.roadsurfer.com/es/rally/pick?pickup_date=2026-05-04&amp;return_date=2026-05-11&amp;currency=EUR&amp;startStation=60&amp;endStation=3",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Hamburgo</t>
        </is>
      </c>
      <c r="E421" t="inlineStr">
        <is>
          <t>2026-05-27</t>
        </is>
      </c>
      <c r="F421" t="inlineStr">
        <is>
          <t>2026-06-03</t>
        </is>
      </c>
      <c r="G421" t="inlineStr">
        <is>
          <t xml:space="preserve"> - Camper Castle</t>
        </is>
      </c>
      <c r="H421">
        <f>HYPERLINK("https://booking.roadsurfer.com/es/rally/pick?pickup_date=2026-05-27&amp;return_date=2026-06-03&amp;currency=EUR&amp;startStation=60&amp;endStation=3",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Lübeck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Road House</t>
        </is>
      </c>
      <c r="H422">
        <f>HYPERLINK("https://booking.roadsurfer.com/es/rally/pick?pickup_date=2026-05-04&amp;return_date=2026-05-11&amp;currency=EUR&amp;startStation=60&amp;endStation=109",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Flensburgo</t>
        </is>
      </c>
      <c r="E423" t="inlineStr">
        <is>
          <t>2026-05-16</t>
        </is>
      </c>
      <c r="F423" t="inlineStr">
        <is>
          <t>2026-05-23</t>
        </is>
      </c>
      <c r="G423" t="inlineStr">
        <is>
          <t xml:space="preserve"> - Camper Castle</t>
        </is>
      </c>
      <c r="H423">
        <f>HYPERLINK("https://booking.roadsurfer.com/es/rally/pick?pickup_date=2026-05-16&amp;return_date=2026-05-23&amp;currency=EUR&amp;startStation=60&amp;endStation=130",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Flensburgo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Camper Castle</t>
        </is>
      </c>
      <c r="H424">
        <f>HYPERLINK("https://booking.roadsurfer.com/es/rally/pick?pickup_date=2026-05-11&amp;return_date=2026-05-18&amp;currency=EUR&amp;startStation=60&amp;endStation=130",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Stuttgart</t>
        </is>
      </c>
      <c r="E425" t="inlineStr">
        <is>
          <t>2026-05-02</t>
        </is>
      </c>
      <c r="F425" t="inlineStr">
        <is>
          <t>2026-05-09</t>
        </is>
      </c>
      <c r="G425" t="inlineStr">
        <is>
          <t xml:space="preserve"> - Camper Castle</t>
        </is>
      </c>
      <c r="H425">
        <f>HYPERLINK("https://booking.roadsurfer.com/es/rally/pick?pickup_date=2026-05-02&amp;return_date=2026-05-09&amp;currency=EUR&amp;startStation=60&amp;endStation=5",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Kiel</t>
        </is>
      </c>
      <c r="E426" t="inlineStr">
        <is>
          <t>2026-04-27</t>
        </is>
      </c>
      <c r="F426" t="inlineStr">
        <is>
          <t>2026-05-03</t>
        </is>
      </c>
      <c r="G426" t="inlineStr">
        <is>
          <t xml:space="preserve"> - No hay coche</t>
        </is>
      </c>
      <c r="H426">
        <f>HYPERLINK("https://booking.roadsurfer.com/es/rally/pick?pickup_date=2026-04-27&amp;return_date=2026-05-03&amp;currency=EUR&amp;startStation=60&amp;endStation=111",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2026-05-20</t>
        </is>
      </c>
      <c r="F427" t="inlineStr">
        <is>
          <t>2026-05-27</t>
        </is>
      </c>
      <c r="G427" t="inlineStr">
        <is>
          <t xml:space="preserve"> - Camper Castle</t>
        </is>
      </c>
      <c r="H427">
        <f>HYPERLINK("https://booking.roadsurfer.com/es/rally/pick?pickup_date=2026-05-20&amp;return_date=2026-05-27&amp;currency=EUR&amp;startStation=60&amp;endStation=90",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Family Finca</t>
        </is>
      </c>
      <c r="H428">
        <f>HYPERLINK("https://booking.roadsurfer.com/es/rally/pick?pickup_date=2026-05-04&amp;return_date=2026-05-11&amp;currency=EUR&amp;startStation=60&amp;endStation=90",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Berlín-Schönefeld</t>
        </is>
      </c>
      <c r="E429" t="inlineStr">
        <is>
          <t>2026-04-27</t>
        </is>
      </c>
      <c r="F429" t="inlineStr">
        <is>
          <t>2026-05-04</t>
        </is>
      </c>
      <c r="G429" t="inlineStr">
        <is>
          <t xml:space="preserve"> - Family Finca</t>
        </is>
      </c>
      <c r="H429">
        <f>HYPERLINK("https://booking.roadsurfer.com/es/rally/pick?pickup_date=2026-04-27&amp;return_date=2026-05-04&amp;currency=EUR&amp;startStation=60&amp;endStation=51",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Augsburgo</t>
        </is>
      </c>
      <c r="E430" t="inlineStr">
        <is>
          <t>2026-05-02</t>
        </is>
      </c>
      <c r="F430" t="inlineStr">
        <is>
          <t>2026-05-09</t>
        </is>
      </c>
      <c r="G430" t="inlineStr">
        <is>
          <t xml:space="preserve"> - Couple Cottage</t>
        </is>
      </c>
      <c r="H430">
        <f>HYPERLINK("https://booking.roadsurfer.com/es/rally/pick?pickup_date=2026-05-02&amp;return_date=2026-05-09&amp;currency=EUR&amp;startStation=60&amp;endStation=108",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Karlsruhe</t>
        </is>
      </c>
      <c r="E431" t="inlineStr">
        <is>
          <t>2026-04-28</t>
        </is>
      </c>
      <c r="F431" t="inlineStr">
        <is>
          <t>2026-05-05</t>
        </is>
      </c>
      <c r="G431" t="inlineStr">
        <is>
          <t xml:space="preserve"> - Couple Cottage</t>
        </is>
      </c>
      <c r="H431">
        <f>HYPERLINK("https://booking.roadsurfer.com/es/rally/pick?pickup_date=2026-04-28&amp;return_date=2026-05-05&amp;currency=EUR&amp;startStation=60&amp;endStation=110",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Berlín</t>
        </is>
      </c>
      <c r="E432" t="inlineStr">
        <is>
          <t>2026-04-28</t>
        </is>
      </c>
      <c r="F432" t="inlineStr">
        <is>
          <t>2026-05-05</t>
        </is>
      </c>
      <c r="G432" t="inlineStr">
        <is>
          <t xml:space="preserve"> - Cozy Cottage</t>
        </is>
      </c>
      <c r="H432">
        <f>HYPERLINK("https://booking.roadsurfer.com/es/rally/pick?pickup_date=2026-04-28&amp;return_date=2026-05-05&amp;currency=EUR&amp;startStation=60&amp;endStation=6",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Burdeos</t>
        </is>
      </c>
      <c r="E433" t="inlineStr">
        <is>
          <t>2026-05-13</t>
        </is>
      </c>
      <c r="F433" t="inlineStr">
        <is>
          <t>2026-05-20</t>
        </is>
      </c>
      <c r="G433" t="inlineStr">
        <is>
          <t xml:space="preserve"> - Surfer Suite</t>
        </is>
      </c>
      <c r="H433">
        <f>HYPERLINK("https://booking.roadsurfer.com/es/rally/pick?pickup_date=2026-05-13&amp;return_date=2026-05-20&amp;currency=EUR&amp;startStation=22&amp;endStation=13",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Burdeos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Beach Hostel</t>
        </is>
      </c>
      <c r="H434">
        <f>HYPERLINK("https://booking.roadsurfer.com/es/rally/pick?pickup_date=2026-05-04&amp;return_date=2026-05-11&amp;currency=EUR&amp;startStation=22&amp;endStation=13",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Austria</t>
        </is>
      </c>
      <c r="D435" t="inlineStr">
        <is>
          <t>Linz</t>
        </is>
      </c>
      <c r="E435" t="inlineStr">
        <is>
          <t>2026-05-02</t>
        </is>
      </c>
      <c r="F435" t="inlineStr">
        <is>
          <t>2026-05-09</t>
        </is>
      </c>
      <c r="G435" t="inlineStr">
        <is>
          <t xml:space="preserve"> - No hay coche</t>
        </is>
      </c>
      <c r="H435">
        <f>HYPERLINK("https://booking.roadsurfer.com/es/rally/pick?pickup_date=2026-05-02&amp;return_date=2026-05-09&amp;currency=EUR&amp;startStation=22&amp;endStation=116",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Países Bajos</t>
        </is>
      </c>
      <c r="D436" t="inlineStr">
        <is>
          <t>Róterdam</t>
        </is>
      </c>
      <c r="E436" t="inlineStr">
        <is>
          <t>2026-05-02</t>
        </is>
      </c>
      <c r="F436" t="inlineStr">
        <is>
          <t>2026-05-09</t>
        </is>
      </c>
      <c r="G436" t="inlineStr">
        <is>
          <t xml:space="preserve"> - No hay coche</t>
        </is>
      </c>
      <c r="H436">
        <f>HYPERLINK("https://booking.roadsurfer.com/es/rally/pick?pickup_date=2026-05-02&amp;return_date=2026-05-09&amp;currency=EUR&amp;startStation=22&amp;endStation=33",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Países Bajos</t>
        </is>
      </c>
      <c r="D437" t="inlineStr">
        <is>
          <t>Róterdam</t>
        </is>
      </c>
      <c r="E437" t="inlineStr">
        <is>
          <t>2026-05-04</t>
        </is>
      </c>
      <c r="F437" t="inlineStr">
        <is>
          <t>2026-05-11</t>
        </is>
      </c>
      <c r="G437" t="inlineStr">
        <is>
          <t xml:space="preserve"> - Surfer Suite</t>
        </is>
      </c>
      <c r="H437">
        <f>HYPERLINK("https://booking.roadsurfer.com/es/rally/pick?pickup_date=2026-05-04&amp;return_date=2026-05-11&amp;currency=EUR&amp;startStation=22&amp;endStation=33",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Lyon</t>
        </is>
      </c>
      <c r="E438" t="inlineStr">
        <is>
          <t>2026-04-30</t>
        </is>
      </c>
      <c r="F438" t="inlineStr">
        <is>
          <t>2026-05-07</t>
        </is>
      </c>
      <c r="G438" t="inlineStr">
        <is>
          <t xml:space="preserve"> - Surfer Suite</t>
        </is>
      </c>
      <c r="H438">
        <f>HYPERLINK("https://booking.roadsurfer.com/es/rally/pick?pickup_date=2026-04-30&amp;return_date=2026-05-07&amp;currency=EUR&amp;startStation=22&amp;endStation=15",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Lyon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No hay coche</t>
        </is>
      </c>
      <c r="H439">
        <f>HYPERLINK("https://booking.roadsurfer.com/es/rally/pick?pickup_date=2026-05-06&amp;return_date=2026-05-13&amp;currency=EUR&amp;startStation=22&amp;endStation=15",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Lyon</t>
        </is>
      </c>
      <c r="E440" t="inlineStr">
        <is>
          <t>2026-05-02</t>
        </is>
      </c>
      <c r="F440" t="inlineStr">
        <is>
          <t>2026-05-09</t>
        </is>
      </c>
      <c r="G440" t="inlineStr">
        <is>
          <t xml:space="preserve"> - No hay coche</t>
        </is>
      </c>
      <c r="H440">
        <f>HYPERLINK("https://booking.roadsurfer.com/es/rally/pick?pickup_date=2026-05-02&amp;return_date=2026-05-09&amp;currency=EUR&amp;startStation=22&amp;endStation=15",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2026-04-28</t>
        </is>
      </c>
      <c r="F441" t="inlineStr">
        <is>
          <t>2026-05-05</t>
        </is>
      </c>
      <c r="G441" t="inlineStr">
        <is>
          <t xml:space="preserve"> - Surfer Suite</t>
        </is>
      </c>
      <c r="H441">
        <f>HYPERLINK("https://booking.roadsurfer.com/es/rally/pick?pickup_date=2026-04-28&amp;return_date=2026-05-05&amp;currency=EUR&amp;startStation=22&amp;endStation=59",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Suecia</t>
        </is>
      </c>
      <c r="D442" t="inlineStr">
        <is>
          <t>Estocolmo</t>
        </is>
      </c>
      <c r="E442" t="inlineStr">
        <is>
          <t>2026-04-30</t>
        </is>
      </c>
      <c r="F442" t="inlineStr">
        <is>
          <t>2026-05-07</t>
        </is>
      </c>
      <c r="G442" t="inlineStr">
        <is>
          <t xml:space="preserve"> - Surfer Suite</t>
        </is>
      </c>
      <c r="H442">
        <f>HYPERLINK("https://booking.roadsurfer.com/es/rally/pick?pickup_date=2026-04-30&amp;return_date=2026-05-07&amp;currency=EUR&amp;startStation=22&amp;endStation=59",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Suecia</t>
        </is>
      </c>
      <c r="D443" t="inlineStr">
        <is>
          <t>Estocolmo</t>
        </is>
      </c>
      <c r="E443" t="inlineStr">
        <is>
          <t>2026-04-29</t>
        </is>
      </c>
      <c r="F443" t="inlineStr">
        <is>
          <t>2026-05-06</t>
        </is>
      </c>
      <c r="G443" t="inlineStr">
        <is>
          <t xml:space="preserve"> - Surfer Suite</t>
        </is>
      </c>
      <c r="H443">
        <f>HYPERLINK("https://booking.roadsurfer.com/es/rally/pick?pickup_date=2026-04-29&amp;return_date=2026-05-06&amp;currency=EUR&amp;startStation=22&amp;endStation=59",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Suecia</t>
        </is>
      </c>
      <c r="D444" t="inlineStr">
        <is>
          <t>Estocolmo</t>
        </is>
      </c>
      <c r="E444" t="inlineStr">
        <is>
          <t>2026-05-02</t>
        </is>
      </c>
      <c r="F444" t="inlineStr">
        <is>
          <t>2026-05-09</t>
        </is>
      </c>
      <c r="G444" t="inlineStr">
        <is>
          <t xml:space="preserve"> - No hay coche</t>
        </is>
      </c>
      <c r="H444">
        <f>HYPERLINK("https://booking.roadsurfer.com/es/rally/pick?pickup_date=2026-05-02&amp;return_date=2026-05-09&amp;currency=EUR&amp;startStation=22&amp;endStation=59",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Suecia</t>
        </is>
      </c>
      <c r="D445" t="inlineStr">
        <is>
          <t>Estocolmo</t>
        </is>
      </c>
      <c r="E445" t="inlineStr">
        <is>
          <t>2026-06-01</t>
        </is>
      </c>
      <c r="F445" t="inlineStr">
        <is>
          <t>2026-06-08</t>
        </is>
      </c>
      <c r="G445" t="inlineStr">
        <is>
          <t xml:space="preserve"> - Beach Hostel - Camper Castle</t>
        </is>
      </c>
      <c r="H445">
        <f>HYPERLINK("https://booking.roadsurfer.com/es/rally/pick?pickup_date=2026-06-01&amp;return_date=2026-06-08&amp;currency=EUR&amp;startStation=22&amp;endStation=59",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Suecia</t>
        </is>
      </c>
      <c r="D446" t="inlineStr">
        <is>
          <t>Estocolmo</t>
        </is>
      </c>
      <c r="E446" t="inlineStr">
        <is>
          <t>2026-05-14</t>
        </is>
      </c>
      <c r="F446" t="inlineStr">
        <is>
          <t>2026-05-21</t>
        </is>
      </c>
      <c r="G446" t="inlineStr">
        <is>
          <t xml:space="preserve"> - Camper Castle</t>
        </is>
      </c>
      <c r="H446">
        <f>HYPERLINK("https://booking.roadsurfer.com/es/rally/pick?pickup_date=2026-05-14&amp;return_date=2026-05-21&amp;currency=EUR&amp;startStation=22&amp;endStation=59",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Suecia</t>
        </is>
      </c>
      <c r="D447" t="inlineStr">
        <is>
          <t>Estocolmo</t>
        </is>
      </c>
      <c r="E447" t="inlineStr">
        <is>
          <t>2026-05-28</t>
        </is>
      </c>
      <c r="F447" t="inlineStr">
        <is>
          <t>2026-06-04</t>
        </is>
      </c>
      <c r="G447" t="inlineStr">
        <is>
          <t xml:space="preserve"> - Camper Castle</t>
        </is>
      </c>
      <c r="H447">
        <f>HYPERLINK("https://booking.roadsurfer.com/es/rally/pick?pickup_date=2026-05-28&amp;return_date=2026-06-04&amp;currency=EUR&amp;startStation=22&amp;endStation=59",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Suecia</t>
        </is>
      </c>
      <c r="D448" t="inlineStr">
        <is>
          <t>Estocolmo</t>
        </is>
      </c>
      <c r="E448" t="inlineStr">
        <is>
          <t>2026-05-16</t>
        </is>
      </c>
      <c r="F448" t="inlineStr">
        <is>
          <t>2026-05-23</t>
        </is>
      </c>
      <c r="G448" t="inlineStr">
        <is>
          <t xml:space="preserve"> - No hay coche</t>
        </is>
      </c>
      <c r="H448">
        <f>HYPERLINK("https://booking.roadsurfer.com/es/rally/pick?pickup_date=2026-05-16&amp;return_date=2026-05-23&amp;currency=EUR&amp;startStation=22&amp;endStation=59",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2026-05-05</t>
        </is>
      </c>
      <c r="F449" t="inlineStr">
        <is>
          <t>2026-05-12</t>
        </is>
      </c>
      <c r="G449" t="inlineStr">
        <is>
          <t xml:space="preserve"> - Couple Cottage</t>
        </is>
      </c>
      <c r="H449">
        <f>HYPERLINK("https://booking.roadsurfer.com/es/rally/pick?pickup_date=2026-05-05&amp;return_date=2026-05-12&amp;currency=EUR&amp;startStation=22&amp;endStation=59",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Nantes</t>
        </is>
      </c>
      <c r="E450" t="inlineStr">
        <is>
          <t>2026-04-30</t>
        </is>
      </c>
      <c r="F450" t="inlineStr">
        <is>
          <t>2026-05-07</t>
        </is>
      </c>
      <c r="G450" t="inlineStr">
        <is>
          <t xml:space="preserve"> - Surfer Suite</t>
        </is>
      </c>
      <c r="H450">
        <f>HYPERLINK("https://booking.roadsurfer.com/es/rally/pick?pickup_date=2026-04-30&amp;return_date=2026-05-07&amp;currency=EUR&amp;startStation=22&amp;endStation=31",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Nantes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Surfer Suite</t>
        </is>
      </c>
      <c r="H451">
        <f>HYPERLINK("https://booking.roadsurfer.com/es/rally/pick?pickup_date=2026-05-04&amp;return_date=2026-05-11&amp;currency=EUR&amp;startStation=22&amp;endStation=31",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Nantes</t>
        </is>
      </c>
      <c r="E452" t="inlineStr">
        <is>
          <t>2026-05-02</t>
        </is>
      </c>
      <c r="F452" t="inlineStr">
        <is>
          <t>2026-05-09</t>
        </is>
      </c>
      <c r="G452" t="inlineStr">
        <is>
          <t xml:space="preserve"> - No hay coche</t>
        </is>
      </c>
      <c r="H452">
        <f>HYPERLINK("https://booking.roadsurfer.com/es/rally/pick?pickup_date=2026-05-02&amp;return_date=2026-05-09&amp;currency=EUR&amp;startStation=22&amp;endStation=31",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Nantes</t>
        </is>
      </c>
      <c r="E453" t="inlineStr">
        <is>
          <t>2026-04-29</t>
        </is>
      </c>
      <c r="F453" t="inlineStr">
        <is>
          <t>2026-05-06</t>
        </is>
      </c>
      <c r="G453" t="inlineStr">
        <is>
          <t xml:space="preserve"> - Surfer Suite</t>
        </is>
      </c>
      <c r="H453">
        <f>HYPERLINK("https://booking.roadsurfer.com/es/rally/pick?pickup_date=2026-04-29&amp;return_date=2026-05-06&amp;currency=EUR&amp;startStation=22&amp;endStation=31",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Nantes</t>
        </is>
      </c>
      <c r="E454" t="inlineStr">
        <is>
          <t>2026-04-28</t>
        </is>
      </c>
      <c r="F454" t="inlineStr">
        <is>
          <t>2026-05-05</t>
        </is>
      </c>
      <c r="G454" t="inlineStr">
        <is>
          <t xml:space="preserve"> - Surfer Suite</t>
        </is>
      </c>
      <c r="H454">
        <f>HYPERLINK("https://booking.roadsurfer.com/es/rally/pick?pickup_date=2026-04-28&amp;return_date=2026-05-05&amp;currency=EUR&amp;startStation=22&amp;endStation=31",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Ginebra-Pays de Gex (Francia)</t>
        </is>
      </c>
      <c r="E455" t="inlineStr">
        <is>
          <t>2026-04-30</t>
        </is>
      </c>
      <c r="F455" t="inlineStr">
        <is>
          <t>2026-05-07</t>
        </is>
      </c>
      <c r="G455" t="inlineStr">
        <is>
          <t xml:space="preserve"> - Surfer Suite</t>
        </is>
      </c>
      <c r="H455">
        <f>HYPERLINK("https://booking.roadsurfer.com/es/rally/pick?pickup_date=2026-04-30&amp;return_date=2026-05-07&amp;currency=EUR&amp;startStation=22&amp;endStation=29",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Ginebra-Pays de Gex (Francia)</t>
        </is>
      </c>
      <c r="E456" t="inlineStr">
        <is>
          <t>2026-04-29</t>
        </is>
      </c>
      <c r="F456" t="inlineStr">
        <is>
          <t>2026-05-06</t>
        </is>
      </c>
      <c r="G456" t="inlineStr">
        <is>
          <t xml:space="preserve"> - Surfer Suite</t>
        </is>
      </c>
      <c r="H456">
        <f>HYPERLINK("https://booking.roadsurfer.com/es/rally/pick?pickup_date=2026-04-29&amp;return_date=2026-05-06&amp;currency=EUR&amp;startStation=22&amp;endStation=29",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Ginebra-Pays de Gex (Francia)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Surfer Suite</t>
        </is>
      </c>
      <c r="H457">
        <f>HYPERLINK("https://booking.roadsurfer.com/es/rally/pick?pickup_date=2026-05-04&amp;return_date=2026-05-11&amp;currency=EUR&amp;startStation=22&amp;endStation=29",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Ginebra-Pays de Gex (Francia)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Couple Cottage</t>
        </is>
      </c>
      <c r="H458">
        <f>HYPERLINK("https://booking.roadsurfer.com/es/rally/pick?pickup_date=2026-05-15&amp;return_date=2026-05-22&amp;currency=EUR&amp;startStation=22&amp;endStation=29",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Francia</t>
        </is>
      </c>
      <c r="D459" t="inlineStr">
        <is>
          <t>Ginebra-Pays de Gex (Francia)</t>
        </is>
      </c>
      <c r="E459" t="inlineStr">
        <is>
          <t>2026-05-07</t>
        </is>
      </c>
      <c r="F459" t="inlineStr">
        <is>
          <t>2026-05-14</t>
        </is>
      </c>
      <c r="G459" t="inlineStr">
        <is>
          <t xml:space="preserve"> - No hay coche</t>
        </is>
      </c>
      <c r="H459">
        <f>HYPERLINK("https://booking.roadsurfer.com/es/rally/pick?pickup_date=2026-05-07&amp;return_date=2026-05-14&amp;currency=EUR&amp;startStation=22&amp;endStation=29",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2026-05-11</t>
        </is>
      </c>
      <c r="F460" t="inlineStr">
        <is>
          <t>2026-05-18</t>
        </is>
      </c>
      <c r="G460" t="inlineStr"/>
      <c r="H460">
        <f>HYPERLINK("https://booking.roadsurfer.com/es/rally/pick?pickup_date=2026-05-11&amp;return_date=2026-05-18&amp;currency=EUR&amp;startStation=22&amp;endStation=29",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Alemania</t>
        </is>
      </c>
      <c r="D461" t="inlineStr">
        <is>
          <t>Augsburgo</t>
        </is>
      </c>
      <c r="E461" t="inlineStr">
        <is>
          <t>2026-05-02</t>
        </is>
      </c>
      <c r="F461" t="inlineStr">
        <is>
          <t>2026-05-09</t>
        </is>
      </c>
      <c r="G461" t="inlineStr">
        <is>
          <t xml:space="preserve"> - No hay coche</t>
        </is>
      </c>
      <c r="H461">
        <f>HYPERLINK("https://booking.roadsurfer.com/es/rally/pick?pickup_date=2026-05-02&amp;return_date=2026-05-09&amp;currency=EUR&amp;startStation=22&amp;endStation=108",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Italia</t>
        </is>
      </c>
      <c r="D462" t="inlineStr">
        <is>
          <t>Roma Aeropuerto Fiumicino</t>
        </is>
      </c>
      <c r="E462" t="inlineStr">
        <is>
          <t>2026-05-02</t>
        </is>
      </c>
      <c r="F462" t="inlineStr">
        <is>
          <t>2026-05-09</t>
        </is>
      </c>
      <c r="G462" t="inlineStr"/>
      <c r="H462">
        <f>HYPERLINK("https://booking.roadsurfer.com/es/rally/pick?pickup_date=2026-05-02&amp;return_date=2026-05-09&amp;currency=EUR&amp;startStation=22&amp;endStation=35",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Italia</t>
        </is>
      </c>
      <c r="D463" t="inlineStr">
        <is>
          <t>Roma Aeropuerto Fiumicino</t>
        </is>
      </c>
      <c r="E463" t="inlineStr">
        <is>
          <t>2026-04-30</t>
        </is>
      </c>
      <c r="F463" t="inlineStr">
        <is>
          <t>2026-05-07</t>
        </is>
      </c>
      <c r="G463" t="inlineStr">
        <is>
          <t xml:space="preserve"> - Surfer Suite</t>
        </is>
      </c>
      <c r="H463">
        <f>HYPERLINK("https://booking.roadsurfer.com/es/rally/pick?pickup_date=2026-04-30&amp;return_date=2026-05-07&amp;currency=EUR&amp;startStation=22&amp;endStation=35",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Roma Aeropuerto Fiumicino</t>
        </is>
      </c>
      <c r="E464" t="inlineStr">
        <is>
          <t>2026-05-27</t>
        </is>
      </c>
      <c r="F464" t="inlineStr">
        <is>
          <t>2026-06-03</t>
        </is>
      </c>
      <c r="G464" t="inlineStr">
        <is>
          <t xml:space="preserve"> - Couple Cottage</t>
        </is>
      </c>
      <c r="H464">
        <f>HYPERLINK("https://booking.roadsurfer.com/es/rally/pick?pickup_date=2026-05-27&amp;return_date=2026-06-03&amp;currency=EUR&amp;startStation=22&amp;endStation=35",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Surfer Suite</t>
        </is>
      </c>
      <c r="H465">
        <f>HYPERLINK("https://booking.roadsurfer.com/es/rally/pick?pickup_date=2026-05-04&amp;return_date=2026-05-11&amp;currency=EUR&amp;startStation=22&amp;endStation=77",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Surfer Suite</t>
        </is>
      </c>
      <c r="H466">
        <f>HYPERLINK("https://booking.roadsurfer.com/es/rally/pick?pickup_date=2026-04-30&amp;return_date=2026-05-07&amp;currency=EUR&amp;startStation=22&amp;endStation=77",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2026-05-27</t>
        </is>
      </c>
      <c r="F467" t="inlineStr">
        <is>
          <t>2026-06-03</t>
        </is>
      </c>
      <c r="G467" t="inlineStr"/>
      <c r="H467">
        <f>HYPERLINK("https://booking.roadsurfer.com/es/rally/pick?pickup_date=2026-05-27&amp;return_date=2026-06-03&amp;currency=EUR&amp;startStation=22&amp;endStation=77",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2026-04-29</t>
        </is>
      </c>
      <c r="F468" t="inlineStr">
        <is>
          <t>2026-05-06</t>
        </is>
      </c>
      <c r="G468" t="inlineStr"/>
      <c r="H468">
        <f>HYPERLINK("https://booking.roadsurfer.com/es/rally/pick?pickup_date=2026-04-29&amp;return_date=2026-05-06&amp;currency=EUR&amp;startStation=22&amp;endStation=77",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2026-05-26</t>
        </is>
      </c>
      <c r="F469" t="inlineStr">
        <is>
          <t>2026-06-02</t>
        </is>
      </c>
      <c r="G469" t="inlineStr">
        <is>
          <t xml:space="preserve"> - Couple Cottage</t>
        </is>
      </c>
      <c r="H469">
        <f>HYPERLINK("https://booking.roadsurfer.com/es/rally/pick?pickup_date=2026-05-26&amp;return_date=2026-06-02&amp;currency=EUR&amp;startStation=22&amp;endStation=77",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Bélgica</t>
        </is>
      </c>
      <c r="D470" t="inlineStr">
        <is>
          <t>Amberes</t>
        </is>
      </c>
      <c r="E470" t="inlineStr">
        <is>
          <t>2026-05-02</t>
        </is>
      </c>
      <c r="F470" t="inlineStr">
        <is>
          <t>2026-05-09</t>
        </is>
      </c>
      <c r="G470" t="inlineStr">
        <is>
          <t xml:space="preserve"> - No hay coche</t>
        </is>
      </c>
      <c r="H470">
        <f>HYPERLINK("https://booking.roadsurfer.com/es/rally/pick?pickup_date=2026-05-02&amp;return_date=2026-05-09&amp;currency=EUR&amp;startStation=22&amp;endStation=47",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Bélgica</t>
        </is>
      </c>
      <c r="D471" t="inlineStr">
        <is>
          <t>Amberes</t>
        </is>
      </c>
      <c r="E471" t="inlineStr">
        <is>
          <t>2026-04-28</t>
        </is>
      </c>
      <c r="F471" t="inlineStr">
        <is>
          <t>2026-05-05</t>
        </is>
      </c>
      <c r="G471" t="inlineStr"/>
      <c r="H471">
        <f>HYPERLINK("https://booking.roadsurfer.com/es/rally/pick?pickup_date=2026-04-28&amp;return_date=2026-05-05&amp;currency=EUR&amp;startStation=22&amp;endStation=47",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Bélgica</t>
        </is>
      </c>
      <c r="D472" t="inlineStr">
        <is>
          <t>Amberes</t>
        </is>
      </c>
      <c r="E472" t="inlineStr">
        <is>
          <t>2026-05-04</t>
        </is>
      </c>
      <c r="F472" t="inlineStr">
        <is>
          <t>2026-05-11</t>
        </is>
      </c>
      <c r="G472" t="inlineStr">
        <is>
          <t xml:space="preserve"> - Camper Cabin</t>
        </is>
      </c>
      <c r="H472">
        <f>HYPERLINK("https://booking.roadsurfer.com/es/rally/pick?pickup_date=2026-05-04&amp;return_date=2026-05-11&amp;currency=EUR&amp;startStation=22&amp;endStation=47",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España</t>
        </is>
      </c>
      <c r="D473" t="inlineStr">
        <is>
          <t>Bilbao</t>
        </is>
      </c>
      <c r="E473" t="inlineStr">
        <is>
          <t>2026-04-28</t>
        </is>
      </c>
      <c r="F473" t="inlineStr">
        <is>
          <t>2026-05-05</t>
        </is>
      </c>
      <c r="G473" t="inlineStr"/>
      <c r="H473">
        <f>HYPERLINK("https://booking.roadsurfer.com/es/rally/pick?pickup_date=2026-04-28&amp;return_date=2026-05-05&amp;currency=EUR&amp;startStation=22&amp;endStation=40",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España</t>
        </is>
      </c>
      <c r="D474" t="inlineStr">
        <is>
          <t>Bilbao</t>
        </is>
      </c>
      <c r="E474" t="inlineStr">
        <is>
          <t>2026-04-30</t>
        </is>
      </c>
      <c r="F474" t="inlineStr">
        <is>
          <t>2026-05-07</t>
        </is>
      </c>
      <c r="G474" t="inlineStr">
        <is>
          <t xml:space="preserve"> - Surfer Suite</t>
        </is>
      </c>
      <c r="H474">
        <f>HYPERLINK("https://booking.roadsurfer.com/es/rally/pick?pickup_date=2026-04-30&amp;return_date=2026-05-07&amp;currency=EUR&amp;startStation=22&amp;endStation=40",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España</t>
        </is>
      </c>
      <c r="D475" t="inlineStr">
        <is>
          <t>Bilbao</t>
        </is>
      </c>
      <c r="E475" t="inlineStr">
        <is>
          <t>2026-06-08</t>
        </is>
      </c>
      <c r="F475" t="inlineStr">
        <is>
          <t>2026-06-15</t>
        </is>
      </c>
      <c r="G475" t="inlineStr"/>
      <c r="H475">
        <f>HYPERLINK("https://booking.roadsurfer.com/es/rally/pick?pickup_date=2026-06-08&amp;return_date=2026-06-15&amp;currency=EUR&amp;startStation=22&amp;endStation=40",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España</t>
        </is>
      </c>
      <c r="D476" t="inlineStr">
        <is>
          <t>Bilbao</t>
        </is>
      </c>
      <c r="E476" t="inlineStr">
        <is>
          <t>2026-05-22</t>
        </is>
      </c>
      <c r="F476" t="inlineStr">
        <is>
          <t>2026-05-29</t>
        </is>
      </c>
      <c r="G476" t="inlineStr">
        <is>
          <t xml:space="preserve"> - Couple Cottage</t>
        </is>
      </c>
      <c r="H476">
        <f>HYPERLINK("https://booking.roadsurfer.com/es/rally/pick?pickup_date=2026-05-22&amp;return_date=2026-05-29&amp;currency=EUR&amp;startStation=22&amp;endStation=40",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España</t>
        </is>
      </c>
      <c r="D477" t="inlineStr">
        <is>
          <t>Valencia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Surfer Suite</t>
        </is>
      </c>
      <c r="H477">
        <f>HYPERLINK("https://booking.roadsurfer.com/es/rally/pick?pickup_date=2026-05-04&amp;return_date=2026-05-11&amp;currency=EUR&amp;startStation=22&amp;endStation=38",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Bélgica</t>
        </is>
      </c>
      <c r="D478" t="inlineStr">
        <is>
          <t>Bruselas</t>
        </is>
      </c>
      <c r="E478" t="inlineStr">
        <is>
          <t>2026-04-28</t>
        </is>
      </c>
      <c r="F478" t="inlineStr">
        <is>
          <t>2026-05-05</t>
        </is>
      </c>
      <c r="G478" t="inlineStr">
        <is>
          <t xml:space="preserve"> - Surfer Suite</t>
        </is>
      </c>
      <c r="H478">
        <f>HYPERLINK("https://booking.roadsurfer.com/es/rally/pick?pickup_date=2026-04-28&amp;return_date=2026-05-05&amp;currency=EUR&amp;startStation=22&amp;endStation=42",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Bélgica</t>
        </is>
      </c>
      <c r="D479" t="inlineStr">
        <is>
          <t>Bruselas</t>
        </is>
      </c>
      <c r="E479" t="inlineStr">
        <is>
          <t>2026-04-30</t>
        </is>
      </c>
      <c r="F479" t="inlineStr">
        <is>
          <t>2026-05-07</t>
        </is>
      </c>
      <c r="G479" t="inlineStr"/>
      <c r="H479">
        <f>HYPERLINK("https://booking.roadsurfer.com/es/rally/pick?pickup_date=2026-04-30&amp;return_date=2026-05-07&amp;currency=EUR&amp;startStation=22&amp;endStation=42",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Alemania</t>
        </is>
      </c>
      <c r="D480" t="inlineStr">
        <is>
          <t>Flensburgo</t>
        </is>
      </c>
      <c r="E480" t="inlineStr">
        <is>
          <t>2026-05-02</t>
        </is>
      </c>
      <c r="F480" t="inlineStr">
        <is>
          <t>2026-05-09</t>
        </is>
      </c>
      <c r="G480" t="inlineStr">
        <is>
          <t xml:space="preserve"> - No hay coche</t>
        </is>
      </c>
      <c r="H480">
        <f>HYPERLINK("https://booking.roadsurfer.com/es/rally/pick?pickup_date=2026-05-02&amp;return_date=2026-05-09&amp;currency=EUR&amp;startStation=22&amp;endStation=130",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Malmö</t>
        </is>
      </c>
      <c r="E481" t="inlineStr">
        <is>
          <t>2026-05-02</t>
        </is>
      </c>
      <c r="F481" t="inlineStr">
        <is>
          <t>2026-05-09</t>
        </is>
      </c>
      <c r="G481" t="inlineStr">
        <is>
          <t xml:space="preserve"> - No hay coche</t>
        </is>
      </c>
      <c r="H481">
        <f>HYPERLINK("https://booking.roadsurfer.com/es/rally/pick?pickup_date=2026-05-02&amp;return_date=2026-05-09&amp;currency=EUR&amp;startStation=22&amp;endStation=60",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Malmö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Surfer Suite - Family Finca</t>
        </is>
      </c>
      <c r="H482">
        <f>HYPERLINK("https://booking.roadsurfer.com/es/rally/pick?pickup_date=2026-05-04&amp;return_date=2026-05-11&amp;currency=EUR&amp;startStation=22&amp;endStation=60",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Malmö</t>
        </is>
      </c>
      <c r="E483" t="inlineStr">
        <is>
          <t>2026-05-01</t>
        </is>
      </c>
      <c r="F483" t="inlineStr">
        <is>
          <t>2026-05-08</t>
        </is>
      </c>
      <c r="G483" t="inlineStr">
        <is>
          <t xml:space="preserve"> - Beach Hostel</t>
        </is>
      </c>
      <c r="H483">
        <f>HYPERLINK("https://booking.roadsurfer.com/es/rally/pick?pickup_date=2026-05-01&amp;return_date=2026-05-08&amp;currency=EUR&amp;startStation=22&amp;endStation=60",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Austria</t>
        </is>
      </c>
      <c r="D484" t="inlineStr">
        <is>
          <t>Viena Sur</t>
        </is>
      </c>
      <c r="E484" t="inlineStr">
        <is>
          <t>2026-04-29</t>
        </is>
      </c>
      <c r="F484" t="inlineStr">
        <is>
          <t>2026-05-06</t>
        </is>
      </c>
      <c r="G484" t="inlineStr">
        <is>
          <t xml:space="preserve"> - Surfer Suite</t>
        </is>
      </c>
      <c r="H484">
        <f>HYPERLINK("https://booking.roadsurfer.com/es/rally/pick?pickup_date=2026-04-29&amp;return_date=2026-05-06&amp;currency=EUR&amp;startStation=22&amp;endStation=45",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Austria</t>
        </is>
      </c>
      <c r="D485" t="inlineStr">
        <is>
          <t>Salzburgo</t>
        </is>
      </c>
      <c r="E485" t="inlineStr">
        <is>
          <t>2026-04-30</t>
        </is>
      </c>
      <c r="F485" t="inlineStr">
        <is>
          <t>2026-05-07</t>
        </is>
      </c>
      <c r="G485" t="inlineStr">
        <is>
          <t xml:space="preserve"> - Surfer Suite</t>
        </is>
      </c>
      <c r="H485">
        <f>HYPERLINK("https://booking.roadsurfer.com/es/rally/pick?pickup_date=2026-04-30&amp;return_date=2026-05-07&amp;currency=EUR&amp;startStation=22&amp;endStation=85",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Italia</t>
        </is>
      </c>
      <c r="D486" t="inlineStr">
        <is>
          <t>Bérgamo</t>
        </is>
      </c>
      <c r="E486" t="inlineStr">
        <is>
          <t>2026-04-29</t>
        </is>
      </c>
      <c r="F486" t="inlineStr">
        <is>
          <t>2026-05-02</t>
        </is>
      </c>
      <c r="G486" t="inlineStr">
        <is>
          <t xml:space="preserve"> - Beach Hostel</t>
        </is>
      </c>
      <c r="H486">
        <f>HYPERLINK("https://booking.roadsurfer.com/es/rally/pick?pickup_date=2026-04-29&amp;return_date=2026-05-02&amp;currency=EUR&amp;startStation=22&amp;endStation=94",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Bérgamo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Surfer Suite</t>
        </is>
      </c>
      <c r="H487">
        <f>HYPERLINK("https://booking.roadsurfer.com/es/rally/pick?pickup_date=2026-05-04&amp;return_date=2026-05-11&amp;currency=EUR&amp;startStation=22&amp;endStation=94",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Lille</t>
        </is>
      </c>
      <c r="E488" t="inlineStr">
        <is>
          <t>2026-04-29</t>
        </is>
      </c>
      <c r="F488" t="inlineStr">
        <is>
          <t>2026-05-06</t>
        </is>
      </c>
      <c r="G488" t="inlineStr">
        <is>
          <t xml:space="preserve"> - Surfer Suite</t>
        </is>
      </c>
      <c r="H488">
        <f>HYPERLINK("https://booking.roadsurfer.com/es/rally/pick?pickup_date=2026-04-29&amp;return_date=2026-05-06&amp;currency=EUR&amp;startStation=22&amp;endStation=87",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Milán</t>
        </is>
      </c>
      <c r="E489" t="inlineStr">
        <is>
          <t>2026-05-02</t>
        </is>
      </c>
      <c r="F489" t="inlineStr">
        <is>
          <t>2026-05-09</t>
        </is>
      </c>
      <c r="G489" t="inlineStr">
        <is>
          <t xml:space="preserve"> - No hay coche</t>
        </is>
      </c>
      <c r="H489">
        <f>HYPERLINK("https://booking.roadsurfer.com/es/rally/pick?pickup_date=2026-05-02&amp;return_date=2026-05-09&amp;currency=EUR&amp;startStation=22&amp;endStation=34",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Italia</t>
        </is>
      </c>
      <c r="D490" t="inlineStr">
        <is>
          <t>Milán</t>
        </is>
      </c>
      <c r="E490" t="inlineStr">
        <is>
          <t>2026-04-29</t>
        </is>
      </c>
      <c r="F490" t="inlineStr">
        <is>
          <t>2026-05-06</t>
        </is>
      </c>
      <c r="G490" t="inlineStr">
        <is>
          <t xml:space="preserve"> - Road House</t>
        </is>
      </c>
      <c r="H490">
        <f>HYPERLINK("https://booking.roadsurfer.com/es/rally/pick?pickup_date=2026-04-29&amp;return_date=2026-05-06&amp;currency=EUR&amp;startStation=22&amp;endStation=34",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Milán</t>
        </is>
      </c>
      <c r="E491" t="inlineStr">
        <is>
          <t>2026-04-28</t>
        </is>
      </c>
      <c r="F491" t="inlineStr">
        <is>
          <t>2026-05-05</t>
        </is>
      </c>
      <c r="G491" t="inlineStr"/>
      <c r="H491">
        <f>HYPERLINK("https://booking.roadsurfer.com/es/rally/pick?pickup_date=2026-04-28&amp;return_date=2026-05-05&amp;currency=EUR&amp;startStation=22&amp;endStation=34",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Italia</t>
        </is>
      </c>
      <c r="D492" t="inlineStr">
        <is>
          <t>Bolonia</t>
        </is>
      </c>
      <c r="E492" t="inlineStr">
        <is>
          <t>2026-05-02</t>
        </is>
      </c>
      <c r="F492" t="inlineStr">
        <is>
          <t>2026-05-09</t>
        </is>
      </c>
      <c r="G492" t="inlineStr">
        <is>
          <t xml:space="preserve"> - No hay coche</t>
        </is>
      </c>
      <c r="H492">
        <f>HYPERLINK("https://booking.roadsurfer.com/es/rally/pick?pickup_date=2026-05-02&amp;return_date=2026-05-09&amp;currency=EUR&amp;startStation=22&amp;endStation=57",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España</t>
        </is>
      </c>
      <c r="D493" t="inlineStr">
        <is>
          <t>Málaga</t>
        </is>
      </c>
      <c r="E493" t="inlineStr">
        <is>
          <t>2026-04-30</t>
        </is>
      </c>
      <c r="F493" t="inlineStr">
        <is>
          <t>2026-05-07</t>
        </is>
      </c>
      <c r="G493" t="inlineStr">
        <is>
          <t xml:space="preserve"> - Road House</t>
        </is>
      </c>
      <c r="H493">
        <f>HYPERLINK("https://booking.roadsurfer.com/es/rally/pick?pickup_date=2026-04-30&amp;return_date=2026-05-07&amp;currency=EUR&amp;startStation=22&amp;endStation=21",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España</t>
        </is>
      </c>
      <c r="D494" t="inlineStr">
        <is>
          <t>Málaga</t>
        </is>
      </c>
      <c r="E494" t="inlineStr">
        <is>
          <t>2026-05-28</t>
        </is>
      </c>
      <c r="F494" t="inlineStr">
        <is>
          <t>2026-06-04</t>
        </is>
      </c>
      <c r="G494" t="inlineStr">
        <is>
          <t xml:space="preserve"> - Road House</t>
        </is>
      </c>
      <c r="H494">
        <f>HYPERLINK("https://booking.roadsurfer.com/es/rally/pick?pickup_date=2026-05-28&amp;return_date=2026-06-04&amp;currency=EUR&amp;startStation=22&amp;endStation=21",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Aix-Marsella</t>
        </is>
      </c>
      <c r="E495" t="inlineStr">
        <is>
          <t>2026-06-08</t>
        </is>
      </c>
      <c r="F495" t="inlineStr">
        <is>
          <t>2026-06-15</t>
        </is>
      </c>
      <c r="G495" t="inlineStr">
        <is>
          <t xml:space="preserve"> - Camper Castle</t>
        </is>
      </c>
      <c r="H495">
        <f>HYPERLINK("https://booking.roadsurfer.com/es/rally/pick?pickup_date=2026-06-08&amp;return_date=2026-06-15&amp;currency=EUR&amp;startStation=22&amp;endStation=16",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Austria</t>
        </is>
      </c>
      <c r="D496" t="inlineStr">
        <is>
          <t>Graz</t>
        </is>
      </c>
      <c r="E496" t="inlineStr">
        <is>
          <t>2026-06-08</t>
        </is>
      </c>
      <c r="F496" t="inlineStr">
        <is>
          <t>2026-06-15</t>
        </is>
      </c>
      <c r="G496" t="inlineStr">
        <is>
          <t xml:space="preserve"> - Couple Cottage</t>
        </is>
      </c>
      <c r="H496">
        <f>HYPERLINK("https://booking.roadsurfer.com/es/rally/pick?pickup_date=2026-06-08&amp;return_date=2026-06-15&amp;currency=EUR&amp;startStation=22&amp;endStation=37", "Clic para verlo en la web de RoadSurfer")</f>
        <v/>
      </c>
    </row>
    <row r="497">
      <c r="A497" t="inlineStr">
        <is>
          <t>Italia</t>
        </is>
      </c>
      <c r="B497" t="inlineStr">
        <is>
          <t>Milán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2026-05-12</t>
        </is>
      </c>
      <c r="F497" t="inlineStr">
        <is>
          <t>2026-05-19</t>
        </is>
      </c>
      <c r="G497" t="inlineStr">
        <is>
          <t xml:space="preserve"> - Surfer Suite</t>
        </is>
      </c>
      <c r="H497">
        <f>HYPERLINK("https://booking.roadsurfer.com/es/rally/pick?pickup_date=2026-05-12&amp;return_date=2026-05-19&amp;currency=EUR&amp;startStation=34&amp;endStation=22", "Clic para verlo en la web de RoadSurfer")</f>
        <v/>
      </c>
    </row>
    <row r="498">
      <c r="A498" t="inlineStr">
        <is>
          <t>Italia</t>
        </is>
      </c>
      <c r="B498" t="inlineStr">
        <is>
          <t>Milán</t>
        </is>
      </c>
      <c r="C498" t="inlineStr">
        <is>
          <t>Alemania</t>
        </is>
      </c>
      <c r="D498" t="inlineStr">
        <is>
          <t>Marburg</t>
        </is>
      </c>
      <c r="E498" t="inlineStr">
        <is>
          <t>2026-05-02</t>
        </is>
      </c>
      <c r="F498" t="inlineStr">
        <is>
          <t>2026-05-09</t>
        </is>
      </c>
      <c r="G498" t="inlineStr">
        <is>
          <t xml:space="preserve"> - No hay coche</t>
        </is>
      </c>
      <c r="H498">
        <f>HYPERLINK("https://booking.roadsurfer.com/es/rally/pick?pickup_date=2026-05-02&amp;return_date=2026-05-09&amp;currency=EUR&amp;startStation=34&amp;endStation=22", "Clic para verlo en la web de RoadSurfer")</f>
        <v/>
      </c>
    </row>
    <row r="499">
      <c r="A499" t="inlineStr">
        <is>
          <t>Italia</t>
        </is>
      </c>
      <c r="B499" t="inlineStr">
        <is>
          <t>Milán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Road House</t>
        </is>
      </c>
      <c r="H499">
        <f>HYPERLINK("https://booking.roadsurfer.com/es/rally/pick?pickup_date=2026-05-11&amp;return_date=2026-05-18&amp;currency=EUR&amp;startStation=34&amp;endStation=90", "Clic para verlo en la web de RoadSurfer")</f>
        <v/>
      </c>
    </row>
    <row r="500">
      <c r="A500" t="inlineStr">
        <is>
          <t>Italia</t>
        </is>
      </c>
      <c r="B500" t="inlineStr">
        <is>
          <t>Milán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2026-05-15</t>
        </is>
      </c>
      <c r="F500" t="inlineStr">
        <is>
          <t>2026-05-22</t>
        </is>
      </c>
      <c r="G500" t="inlineStr">
        <is>
          <t xml:space="preserve"> - Sunrise Suite</t>
        </is>
      </c>
      <c r="H500">
        <f>HYPERLINK("https://booking.roadsurfer.com/es/rally/pick?pickup_date=2026-05-15&amp;return_date=2026-05-22&amp;currency=EUR&amp;startStation=34&amp;endStation=90", "Clic para verlo en la web de RoadSurfer")</f>
        <v/>
      </c>
    </row>
    <row r="501">
      <c r="A501" t="inlineStr">
        <is>
          <t>Italia</t>
        </is>
      </c>
      <c r="B501" t="inlineStr">
        <is>
          <t>Milán</t>
        </is>
      </c>
      <c r="C501" t="inlineStr">
        <is>
          <t>Alemania</t>
        </is>
      </c>
      <c r="D501" t="inlineStr">
        <is>
          <t>Dresde</t>
        </is>
      </c>
      <c r="E501" t="inlineStr">
        <is>
          <t>2026-05-07</t>
        </is>
      </c>
      <c r="F501" t="inlineStr">
        <is>
          <t>2026-05-14</t>
        </is>
      </c>
      <c r="G501" t="inlineStr">
        <is>
          <t xml:space="preserve"> - No hay coche</t>
        </is>
      </c>
      <c r="H501">
        <f>HYPERLINK("https://booking.roadsurfer.com/es/rally/pick?pickup_date=2026-05-07&amp;return_date=2026-05-14&amp;currency=EUR&amp;startStation=34&amp;endStation=56", "Clic para verlo en la web de RoadSurfer")</f>
        <v/>
      </c>
    </row>
    <row r="502">
      <c r="A502" t="inlineStr">
        <is>
          <t>Italia</t>
        </is>
      </c>
      <c r="B502" t="inlineStr">
        <is>
          <t>Milán</t>
        </is>
      </c>
      <c r="C502" t="inlineStr">
        <is>
          <t>Alemania</t>
        </is>
      </c>
      <c r="D502" t="inlineStr">
        <is>
          <t>Stuttgart</t>
        </is>
      </c>
      <c r="E502" t="inlineStr">
        <is>
          <t>2026-05-04</t>
        </is>
      </c>
      <c r="F502" t="inlineStr">
        <is>
          <t>2026-05-11</t>
        </is>
      </c>
      <c r="G502" t="inlineStr">
        <is>
          <t xml:space="preserve"> - Sunrise Suite</t>
        </is>
      </c>
      <c r="H502">
        <f>HYPERLINK("https://booking.roadsurfer.com/es/rally/pick?pickup_date=2026-05-04&amp;return_date=2026-05-11&amp;currency=EUR&amp;startStation=34&amp;endStation=5",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Francia</t>
        </is>
      </c>
      <c r="D503" t="inlineStr">
        <is>
          <t>Aix-Marsella</t>
        </is>
      </c>
      <c r="E503" t="inlineStr">
        <is>
          <t>2026-05-06</t>
        </is>
      </c>
      <c r="F503" t="inlineStr">
        <is>
          <t>2026-05-13</t>
        </is>
      </c>
      <c r="G503" t="inlineStr">
        <is>
          <t xml:space="preserve"> - Surfer Suite</t>
        </is>
      </c>
      <c r="H503">
        <f>HYPERLINK("https://booking.roadsurfer.com/es/rally/pick?pickup_date=2026-05-06&amp;return_date=2026-05-13&amp;currency=EUR&amp;startStation=1&amp;endStation=16",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Francia</t>
        </is>
      </c>
      <c r="D504" t="inlineStr">
        <is>
          <t>Aix-Marsella</t>
        </is>
      </c>
      <c r="E504" t="inlineStr">
        <is>
          <t>2026-04-30</t>
        </is>
      </c>
      <c r="F504" t="inlineStr">
        <is>
          <t>2026-05-07</t>
        </is>
      </c>
      <c r="G504" t="inlineStr">
        <is>
          <t xml:space="preserve"> - Couple Cottage</t>
        </is>
      </c>
      <c r="H504">
        <f>HYPERLINK("https://booking.roadsurfer.com/es/rally/pick?pickup_date=2026-04-30&amp;return_date=2026-05-07&amp;currency=EUR&amp;startStation=1&amp;endStation=16",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Países Bajos</t>
        </is>
      </c>
      <c r="D505" t="inlineStr">
        <is>
          <t>Ámsterdam</t>
        </is>
      </c>
      <c r="E505" t="inlineStr">
        <is>
          <t>2026-05-11</t>
        </is>
      </c>
      <c r="F505" t="inlineStr">
        <is>
          <t>2026-05-18</t>
        </is>
      </c>
      <c r="G505" t="inlineStr"/>
      <c r="H505">
        <f>HYPERLINK("https://booking.roadsurfer.com/es/rally/pick?pickup_date=2026-05-11&amp;return_date=2026-05-18&amp;currency=EUR&amp;startStation=1&amp;endStation=32",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Países Bajos</t>
        </is>
      </c>
      <c r="D506" t="inlineStr">
        <is>
          <t>Ámsterdam</t>
        </is>
      </c>
      <c r="E506" t="inlineStr">
        <is>
          <t>2026-05-13</t>
        </is>
      </c>
      <c r="F506" t="inlineStr">
        <is>
          <t>2026-05-20</t>
        </is>
      </c>
      <c r="G506" t="inlineStr">
        <is>
          <t xml:space="preserve"> - Surfer Suite</t>
        </is>
      </c>
      <c r="H506">
        <f>HYPERLINK("https://booking.roadsurfer.com/es/rally/pick?pickup_date=2026-05-13&amp;return_date=2026-05-20&amp;currency=EUR&amp;startStation=1&amp;endStation=32",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Alemania</t>
        </is>
      </c>
      <c r="D507" t="inlineStr">
        <is>
          <t>Braunschweig</t>
        </is>
      </c>
      <c r="E507" t="inlineStr">
        <is>
          <t>2026-04-30</t>
        </is>
      </c>
      <c r="F507" t="inlineStr">
        <is>
          <t>2026-05-06</t>
        </is>
      </c>
      <c r="G507" t="inlineStr"/>
      <c r="H507">
        <f>HYPERLINK("https://booking.roadsurfer.com/es/rally/pick?pickup_date=2026-04-30&amp;return_date=2026-05-06&amp;currency=EUR&amp;startStation=1&amp;endStation=128",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Alemania</t>
        </is>
      </c>
      <c r="D508" t="inlineStr">
        <is>
          <t>Braunschweig</t>
        </is>
      </c>
      <c r="E508" t="inlineStr">
        <is>
          <t>2026-05-03</t>
        </is>
      </c>
      <c r="F508" t="inlineStr">
        <is>
          <t>2026-05-10</t>
        </is>
      </c>
      <c r="G508" t="inlineStr"/>
      <c r="H508">
        <f>HYPERLINK("https://booking.roadsurfer.com/es/rally/pick?pickup_date=2026-05-03&amp;return_date=2026-05-10&amp;currency=EUR&amp;startStation=1&amp;endStation=128",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Alemania</t>
        </is>
      </c>
      <c r="D509" t="inlineStr">
        <is>
          <t>Braunschweig</t>
        </is>
      </c>
      <c r="E509" t="inlineStr">
        <is>
          <t>2026-04-29</t>
        </is>
      </c>
      <c r="F509" t="inlineStr">
        <is>
          <t>2026-05-06</t>
        </is>
      </c>
      <c r="G509" t="inlineStr"/>
      <c r="H509">
        <f>HYPERLINK("https://booking.roadsurfer.com/es/rally/pick?pickup_date=2026-04-29&amp;return_date=2026-05-06&amp;currency=EUR&amp;startStation=1&amp;endStation=128",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Austria</t>
        </is>
      </c>
      <c r="D510" t="inlineStr">
        <is>
          <t>Graz</t>
        </is>
      </c>
      <c r="E510" t="inlineStr">
        <is>
          <t>2026-04-28</t>
        </is>
      </c>
      <c r="F510" t="inlineStr">
        <is>
          <t>2026-05-05</t>
        </is>
      </c>
      <c r="G510" t="inlineStr">
        <is>
          <t xml:space="preserve"> - No hay coche</t>
        </is>
      </c>
      <c r="H510">
        <f>HYPERLINK("https://booking.roadsurfer.com/es/rally/pick?pickup_date=2026-04-28&amp;return_date=2026-05-05&amp;currency=EUR&amp;startStation=1&amp;endStation=37",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Austria</t>
        </is>
      </c>
      <c r="D511" t="inlineStr">
        <is>
          <t>Graz</t>
        </is>
      </c>
      <c r="E511" t="inlineStr">
        <is>
          <t>2026-05-13</t>
        </is>
      </c>
      <c r="F511" t="inlineStr">
        <is>
          <t>2026-05-20</t>
        </is>
      </c>
      <c r="G511" t="inlineStr">
        <is>
          <t xml:space="preserve"> - Couple Cottage</t>
        </is>
      </c>
      <c r="H511">
        <f>HYPERLINK("https://booking.roadsurfer.com/es/rally/pick?pickup_date=2026-05-13&amp;return_date=2026-05-20&amp;currency=EUR&amp;startStation=1&amp;endStation=37",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Austria</t>
        </is>
      </c>
      <c r="D512" t="inlineStr">
        <is>
          <t>Graz</t>
        </is>
      </c>
      <c r="E512" t="inlineStr">
        <is>
          <t>2026-05-11</t>
        </is>
      </c>
      <c r="F512" t="inlineStr">
        <is>
          <t>2026-05-18</t>
        </is>
      </c>
      <c r="G512" t="inlineStr">
        <is>
          <t xml:space="preserve"> - Couple Cottage</t>
        </is>
      </c>
      <c r="H512">
        <f>HYPERLINK("https://booking.roadsurfer.com/es/rally/pick?pickup_date=2026-05-11&amp;return_date=2026-05-18&amp;currency=EUR&amp;startStation=1&amp;endStation=37",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Austria</t>
        </is>
      </c>
      <c r="D513" t="inlineStr">
        <is>
          <t>Graz</t>
        </is>
      </c>
      <c r="E513" t="inlineStr">
        <is>
          <t>2026-05-15</t>
        </is>
      </c>
      <c r="F513" t="inlineStr">
        <is>
          <t>2026-05-22</t>
        </is>
      </c>
      <c r="G513" t="inlineStr">
        <is>
          <t xml:space="preserve"> - No hay coche</t>
        </is>
      </c>
      <c r="H513">
        <f>HYPERLINK("https://booking.roadsurfer.com/es/rally/pick?pickup_date=2026-05-15&amp;return_date=2026-05-22&amp;currency=EUR&amp;startStation=1&amp;endStation=37",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Austria</t>
        </is>
      </c>
      <c r="D514" t="inlineStr">
        <is>
          <t>Graz</t>
        </is>
      </c>
      <c r="E514" t="inlineStr">
        <is>
          <t>2026-04-30</t>
        </is>
      </c>
      <c r="F514" t="inlineStr">
        <is>
          <t>2026-05-07</t>
        </is>
      </c>
      <c r="G514" t="inlineStr">
        <is>
          <t xml:space="preserve"> - Cozy Cottage</t>
        </is>
      </c>
      <c r="H514">
        <f>HYPERLINK("https://booking.roadsurfer.com/es/rally/pick?pickup_date=2026-04-30&amp;return_date=2026-05-07&amp;currency=EUR&amp;startStation=1&amp;endStation=37",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Francia</t>
        </is>
      </c>
      <c r="D515" t="inlineStr">
        <is>
          <t>París Aeropuerto CDG</t>
        </is>
      </c>
      <c r="E515" t="inlineStr">
        <is>
          <t>2026-05-15</t>
        </is>
      </c>
      <c r="F515" t="inlineStr">
        <is>
          <t>2026-05-22</t>
        </is>
      </c>
      <c r="G515" t="inlineStr">
        <is>
          <t xml:space="preserve"> - Road House</t>
        </is>
      </c>
      <c r="H515">
        <f>HYPERLINK("https://booking.roadsurfer.com/es/rally/pick?pickup_date=2026-05-15&amp;return_date=2026-05-22&amp;currency=EUR&amp;startStation=1&amp;endStation=48", "Clic para verlo en la web de RoadSurfer")</f>
        <v/>
      </c>
    </row>
    <row r="516">
      <c r="A516" t="inlineStr">
        <is>
          <t>Alemania</t>
        </is>
      </c>
      <c r="B516" t="inlineStr">
        <is>
          <t>Múnich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Camper Castle</t>
        </is>
      </c>
      <c r="H516">
        <f>HYPERLINK("https://booking.roadsurfer.com/es/rally/pick?pickup_date=2026-05-11&amp;return_date=2026-05-18&amp;currency=EUR&amp;startStation=1&amp;endStation=40", "Clic para verlo en la web de RoadSurfer")</f>
        <v/>
      </c>
    </row>
    <row r="517">
      <c r="A517" t="inlineStr">
        <is>
          <t>Alemania</t>
        </is>
      </c>
      <c r="B517" t="inlineStr">
        <is>
          <t>Múnich</t>
        </is>
      </c>
      <c r="C517" t="inlineStr">
        <is>
          <t>España</t>
        </is>
      </c>
      <c r="D517" t="inlineStr">
        <is>
          <t>Málaga</t>
        </is>
      </c>
      <c r="E517" t="inlineStr">
        <is>
          <t>2026-06-22</t>
        </is>
      </c>
      <c r="F517" t="inlineStr">
        <is>
          <t>2026-06-29</t>
        </is>
      </c>
      <c r="G517" t="inlineStr">
        <is>
          <t xml:space="preserve"> - Couple Cottage</t>
        </is>
      </c>
      <c r="H517">
        <f>HYPERLINK("https://booking.roadsurfer.com/es/rally/pick?pickup_date=2026-06-22&amp;return_date=2026-06-29&amp;currency=EUR&amp;startStation=1&amp;endStation=21", "Clic para verlo en la web de RoadSurfer")</f>
        <v/>
      </c>
    </row>
    <row r="518">
      <c r="A518" t="inlineStr">
        <is>
          <t>Alemania</t>
        </is>
      </c>
      <c r="B518" t="inlineStr">
        <is>
          <t>Múnich</t>
        </is>
      </c>
      <c r="C518" t="inlineStr">
        <is>
          <t>España</t>
        </is>
      </c>
      <c r="D518" t="inlineStr">
        <is>
          <t>Sevilla</t>
        </is>
      </c>
      <c r="E518" t="inlineStr">
        <is>
          <t>2026-05-13</t>
        </is>
      </c>
      <c r="F518" t="inlineStr">
        <is>
          <t>2026-05-20</t>
        </is>
      </c>
      <c r="G518" t="inlineStr">
        <is>
          <t xml:space="preserve"> - Cozy Cottage</t>
        </is>
      </c>
      <c r="H518">
        <f>HYPERLINK("https://booking.roadsurfer.com/es/rally/pick?pickup_date=2026-05-13&amp;return_date=2026-05-20&amp;currency=EUR&amp;startStation=1&amp;endStation=39", "Clic para verlo en la web de RoadSurfer")</f>
        <v/>
      </c>
    </row>
    <row r="519">
      <c r="A519" t="inlineStr">
        <is>
          <t>Alemania</t>
        </is>
      </c>
      <c r="B519" t="inlineStr">
        <is>
          <t>Múnich</t>
        </is>
      </c>
      <c r="C519" t="inlineStr">
        <is>
          <t>Francia</t>
        </is>
      </c>
      <c r="D519" t="inlineStr">
        <is>
          <t>Burdeos</t>
        </is>
      </c>
      <c r="E519" t="inlineStr">
        <is>
          <t>2026-04-30</t>
        </is>
      </c>
      <c r="F519" t="inlineStr">
        <is>
          <t>2026-05-07</t>
        </is>
      </c>
      <c r="G519" t="inlineStr">
        <is>
          <t xml:space="preserve"> - Sunrise Suite</t>
        </is>
      </c>
      <c r="H519">
        <f>HYPERLINK("https://booking.roadsurfer.com/es/rally/pick?pickup_date=2026-04-30&amp;return_date=2026-05-07&amp;currency=EUR&amp;startStation=1&amp;endStation=13", "Clic para verlo en la web de RoadSurfer")</f>
        <v/>
      </c>
    </row>
    <row r="520">
      <c r="A520" t="inlineStr">
        <is>
          <t>Francia</t>
        </is>
      </c>
      <c r="B520" t="inlineStr">
        <is>
          <t>Nantes</t>
        </is>
      </c>
      <c r="C520" t="inlineStr">
        <is>
          <t>Alemania</t>
        </is>
      </c>
      <c r="D520" t="inlineStr">
        <is>
          <t>Lindau-Wangen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Surfer Suite</t>
        </is>
      </c>
      <c r="H520">
        <f>HYPERLINK("https://booking.roadsurfer.com/es/rally/pick?pickup_date=2026-05-11&amp;return_date=2026-05-18&amp;currency=EUR&amp;startStation=31&amp;endStation=117", "Clic para verlo en la web de RoadSurfer")</f>
        <v/>
      </c>
    </row>
    <row r="521">
      <c r="A521" t="inlineStr">
        <is>
          <t>Francia</t>
        </is>
      </c>
      <c r="B521" t="inlineStr">
        <is>
          <t>Nantes</t>
        </is>
      </c>
      <c r="C521" t="inlineStr">
        <is>
          <t>Alemania</t>
        </is>
      </c>
      <c r="D521" t="inlineStr">
        <is>
          <t>Lindau-Wangen</t>
        </is>
      </c>
      <c r="E521" t="inlineStr">
        <is>
          <t>2026-05-18</t>
        </is>
      </c>
      <c r="F521" t="inlineStr">
        <is>
          <t>2026-05-25</t>
        </is>
      </c>
      <c r="G521" t="inlineStr">
        <is>
          <t xml:space="preserve"> - No hay coche</t>
        </is>
      </c>
      <c r="H521">
        <f>HYPERLINK("https://booking.roadsurfer.com/es/rally/pick?pickup_date=2026-05-18&amp;return_date=2026-05-25&amp;currency=EUR&amp;startStation=31&amp;endStation=117", "Clic para verlo en la web de RoadSurfer")</f>
        <v/>
      </c>
    </row>
    <row r="522">
      <c r="A522" t="inlineStr">
        <is>
          <t>Francia</t>
        </is>
      </c>
      <c r="B522" t="inlineStr">
        <is>
          <t>Nantes</t>
        </is>
      </c>
      <c r="C522" t="inlineStr">
        <is>
          <t>Francia</t>
        </is>
      </c>
      <c r="D522" t="inlineStr">
        <is>
          <t>Toulouse</t>
        </is>
      </c>
      <c r="E522" t="inlineStr">
        <is>
          <t>2026-05-02</t>
        </is>
      </c>
      <c r="F522" t="inlineStr">
        <is>
          <t>2026-05-09</t>
        </is>
      </c>
      <c r="G522" t="inlineStr">
        <is>
          <t xml:space="preserve"> - Surfer Suite</t>
        </is>
      </c>
      <c r="H522">
        <f>HYPERLINK("https://booking.roadsurfer.com/es/rally/pick?pickup_date=2026-05-02&amp;return_date=2026-05-09&amp;currency=EUR&amp;startStation=31&amp;endStation=30", "Clic para verlo en la web de RoadSurfer")</f>
        <v/>
      </c>
    </row>
    <row r="523">
      <c r="A523" t="inlineStr">
        <is>
          <t>Francia</t>
        </is>
      </c>
      <c r="B523" t="inlineStr">
        <is>
          <t>Nantes</t>
        </is>
      </c>
      <c r="C523" t="inlineStr">
        <is>
          <t>Alemania</t>
        </is>
      </c>
      <c r="D523" t="inlineStr">
        <is>
          <t>Ulm</t>
        </is>
      </c>
      <c r="E523" t="inlineStr">
        <is>
          <t>2026-05-02</t>
        </is>
      </c>
      <c r="F523" t="inlineStr">
        <is>
          <t>2026-05-09</t>
        </is>
      </c>
      <c r="G523" t="inlineStr">
        <is>
          <t xml:space="preserve"> - Beach Hostel</t>
        </is>
      </c>
      <c r="H523">
        <f>HYPERLINK("https://booking.roadsurfer.com/es/rally/pick?pickup_date=2026-05-02&amp;return_date=2026-05-09&amp;currency=EUR&amp;startStation=31&amp;endStation=112", "Clic para verlo en la web de RoadSurfer")</f>
        <v/>
      </c>
    </row>
    <row r="524">
      <c r="A524" t="inlineStr">
        <is>
          <t>Francia</t>
        </is>
      </c>
      <c r="B524" t="inlineStr">
        <is>
          <t>Nantes</t>
        </is>
      </c>
      <c r="C524" t="inlineStr">
        <is>
          <t>Alemania</t>
        </is>
      </c>
      <c r="D524" t="inlineStr">
        <is>
          <t>Kiel</t>
        </is>
      </c>
      <c r="E524" t="inlineStr">
        <is>
          <t>2026-05-02</t>
        </is>
      </c>
      <c r="F524" t="inlineStr">
        <is>
          <t>2026-05-09</t>
        </is>
      </c>
      <c r="G524" t="inlineStr">
        <is>
          <t xml:space="preserve"> - Camper Cabin</t>
        </is>
      </c>
      <c r="H524">
        <f>HYPERLINK("https://booking.roadsurfer.com/es/rally/pick?pickup_date=2026-05-02&amp;return_date=2026-05-09&amp;currency=EUR&amp;startStation=31&amp;endStation=111", "Clic para verlo en la web de RoadSurfer")</f>
        <v/>
      </c>
    </row>
    <row r="525">
      <c r="A525" t="inlineStr">
        <is>
          <t>Francia</t>
        </is>
      </c>
      <c r="B525" t="inlineStr">
        <is>
          <t>Nantes</t>
        </is>
      </c>
      <c r="C525" t="inlineStr">
        <is>
          <t>Alemania</t>
        </is>
      </c>
      <c r="D525" t="inlineStr">
        <is>
          <t>Constanza (Aach)</t>
        </is>
      </c>
      <c r="E525" t="inlineStr">
        <is>
          <t>2026-05-06</t>
        </is>
      </c>
      <c r="F525" t="inlineStr">
        <is>
          <t>2026-05-13</t>
        </is>
      </c>
      <c r="G525" t="inlineStr">
        <is>
          <t xml:space="preserve"> - Couple Cottage</t>
        </is>
      </c>
      <c r="H525">
        <f>HYPERLINK("https://booking.roadsurfer.com/es/rally/pick?pickup_date=2026-05-06&amp;return_date=2026-05-13&amp;currency=EUR&amp;startStation=31&amp;endStation=10", "Clic para verlo en la web de RoadSurfer")</f>
        <v/>
      </c>
    </row>
    <row r="526">
      <c r="A526" t="inlineStr">
        <is>
          <t>Francia</t>
        </is>
      </c>
      <c r="B526" t="inlineStr">
        <is>
          <t>Nantes</t>
        </is>
      </c>
      <c r="C526" t="inlineStr">
        <is>
          <t>Alemania</t>
        </is>
      </c>
      <c r="D526" t="inlineStr">
        <is>
          <t>Constanza (Aach)</t>
        </is>
      </c>
      <c r="E526" t="inlineStr">
        <is>
          <t>2026-05-13</t>
        </is>
      </c>
      <c r="F526" t="inlineStr">
        <is>
          <t>2026-05-20</t>
        </is>
      </c>
      <c r="G526" t="inlineStr">
        <is>
          <t xml:space="preserve"> - Camper Cabin</t>
        </is>
      </c>
      <c r="H526">
        <f>HYPERLINK("https://booking.roadsurfer.com/es/rally/pick?pickup_date=2026-05-13&amp;return_date=2026-05-20&amp;currency=EUR&amp;startStation=31&amp;endStation=10", "Clic para verlo en la web de RoadSurfer")</f>
        <v/>
      </c>
    </row>
    <row r="527">
      <c r="A527" t="inlineStr">
        <is>
          <t>Francia</t>
        </is>
      </c>
      <c r="B527" t="inlineStr">
        <is>
          <t>Nantes</t>
        </is>
      </c>
      <c r="C527" t="inlineStr">
        <is>
          <t>Alemania</t>
        </is>
      </c>
      <c r="D527" t="inlineStr">
        <is>
          <t>Núremberg</t>
        </is>
      </c>
      <c r="E527" t="inlineStr">
        <is>
          <t>2026-05-02</t>
        </is>
      </c>
      <c r="F527" t="inlineStr">
        <is>
          <t>2026-05-09</t>
        </is>
      </c>
      <c r="G527" t="inlineStr"/>
      <c r="H527">
        <f>HYPERLINK("https://booking.roadsurfer.com/es/rally/pick?pickup_date=2026-05-02&amp;return_date=2026-05-09&amp;currency=EUR&amp;startStation=31&amp;endStation=11", "Clic para verlo en la web de RoadSurfer")</f>
        <v/>
      </c>
    </row>
    <row r="528">
      <c r="A528" t="inlineStr">
        <is>
          <t>Francia</t>
        </is>
      </c>
      <c r="B528" t="inlineStr">
        <is>
          <t>Nantes</t>
        </is>
      </c>
      <c r="C528" t="inlineStr">
        <is>
          <t>Alemania</t>
        </is>
      </c>
      <c r="D528" t="inlineStr">
        <is>
          <t>Karlsruhe</t>
        </is>
      </c>
      <c r="E528" t="inlineStr">
        <is>
          <t>2026-05-20</t>
        </is>
      </c>
      <c r="F528" t="inlineStr">
        <is>
          <t>2026-05-27</t>
        </is>
      </c>
      <c r="G528" t="inlineStr">
        <is>
          <t xml:space="preserve"> - Couple Cottage</t>
        </is>
      </c>
      <c r="H528">
        <f>HYPERLINK("https://booking.roadsurfer.com/es/rally/pick?pickup_date=2026-05-20&amp;return_date=2026-05-27&amp;currency=EUR&amp;startStation=31&amp;endStation=110", "Clic para verlo en la web de RoadSurfer")</f>
        <v/>
      </c>
    </row>
    <row r="529">
      <c r="A529" t="inlineStr">
        <is>
          <t>Alemania</t>
        </is>
      </c>
      <c r="B529" t="inlineStr">
        <is>
          <t>Núremberg</t>
        </is>
      </c>
      <c r="C529" t="inlineStr">
        <is>
          <t>Austria</t>
        </is>
      </c>
      <c r="D529" t="inlineStr">
        <is>
          <t>Linz</t>
        </is>
      </c>
      <c r="E529" t="inlineStr">
        <is>
          <t>2026-05-02</t>
        </is>
      </c>
      <c r="F529" t="inlineStr">
        <is>
          <t>2026-05-09</t>
        </is>
      </c>
      <c r="G529" t="inlineStr">
        <is>
          <t xml:space="preserve"> - Surfer Suite</t>
        </is>
      </c>
      <c r="H529">
        <f>HYPERLINK("https://booking.roadsurfer.com/es/rally/pick?pickup_date=2026-05-02&amp;return_date=2026-05-09&amp;currency=EUR&amp;startStation=11&amp;endStation=116", "Clic para verlo en la web de RoadSurfer")</f>
        <v/>
      </c>
    </row>
    <row r="530">
      <c r="A530" t="inlineStr">
        <is>
          <t>Alemania</t>
        </is>
      </c>
      <c r="B530" t="inlineStr">
        <is>
          <t>Núremberg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2026-04-30</t>
        </is>
      </c>
      <c r="F530" t="inlineStr">
        <is>
          <t>2026-05-07</t>
        </is>
      </c>
      <c r="G530" t="inlineStr">
        <is>
          <t xml:space="preserve"> - Camper Castle</t>
        </is>
      </c>
      <c r="H530">
        <f>HYPERLINK("https://booking.roadsurfer.com/es/rally/pick?pickup_date=2026-04-30&amp;return_date=2026-05-07&amp;currency=EUR&amp;startStation=11&amp;endStation=30", "Clic para verlo en la web de RoadSurfer")</f>
        <v/>
      </c>
    </row>
    <row r="531">
      <c r="A531" t="inlineStr">
        <is>
          <t>Alemania</t>
        </is>
      </c>
      <c r="B531" t="inlineStr">
        <is>
          <t>Núremberg</t>
        </is>
      </c>
      <c r="C531" t="inlineStr">
        <is>
          <t>Austria</t>
        </is>
      </c>
      <c r="D531" t="inlineStr">
        <is>
          <t>Viena Sur</t>
        </is>
      </c>
      <c r="E531" t="inlineStr">
        <is>
          <t>2026-05-18</t>
        </is>
      </c>
      <c r="F531" t="inlineStr">
        <is>
          <t>2026-05-25</t>
        </is>
      </c>
      <c r="G531" t="inlineStr">
        <is>
          <t xml:space="preserve"> - No hay coche</t>
        </is>
      </c>
      <c r="H531">
        <f>HYPERLINK("https://booking.roadsurfer.com/es/rally/pick?pickup_date=2026-05-18&amp;return_date=2026-05-25&amp;currency=EUR&amp;startStation=11&amp;endStation=45", "Clic para verlo en la web de RoadSurfer")</f>
        <v/>
      </c>
    </row>
    <row r="532">
      <c r="A532" t="inlineStr">
        <is>
          <t>Alemania</t>
        </is>
      </c>
      <c r="B532" t="inlineStr">
        <is>
          <t>Núremberg</t>
        </is>
      </c>
      <c r="C532" t="inlineStr">
        <is>
          <t>España</t>
        </is>
      </c>
      <c r="D532" t="inlineStr">
        <is>
          <t>Sevilla</t>
        </is>
      </c>
      <c r="E532" t="inlineStr">
        <is>
          <t>2026-05-02</t>
        </is>
      </c>
      <c r="F532" t="inlineStr">
        <is>
          <t>2026-05-09</t>
        </is>
      </c>
      <c r="G532" t="inlineStr">
        <is>
          <t xml:space="preserve"> - Cozy Cottage</t>
        </is>
      </c>
      <c r="H532">
        <f>HYPERLINK("https://booking.roadsurfer.com/es/rally/pick?pickup_date=2026-05-02&amp;return_date=2026-05-09&amp;currency=EUR&amp;startStation=11&amp;endStation=39", "Clic para verlo en la web de RoadSurfer")</f>
        <v/>
      </c>
    </row>
    <row r="533">
      <c r="A533" t="inlineStr">
        <is>
          <t>Francia</t>
        </is>
      </c>
      <c r="B533" t="inlineStr">
        <is>
          <t>París Sur (Orly)</t>
        </is>
      </c>
      <c r="C533" t="inlineStr">
        <is>
          <t>Alemania</t>
        </is>
      </c>
      <c r="D533" t="inlineStr">
        <is>
          <t>Bochum</t>
        </is>
      </c>
      <c r="E533" t="inlineStr">
        <is>
          <t>2026-05-13</t>
        </is>
      </c>
      <c r="F533" t="inlineStr">
        <is>
          <t>2026-05-20</t>
        </is>
      </c>
      <c r="G533" t="inlineStr">
        <is>
          <t xml:space="preserve"> - Camper Cabin Deluxe</t>
        </is>
      </c>
      <c r="H533">
        <f>HYPERLINK("https://booking.roadsurfer.com/es/rally/pick?pickup_date=2026-05-13&amp;return_date=2026-05-20&amp;currency=EUR&amp;startStation=12&amp;endStation=24", "Clic para verlo en la web de RoadSurfer")</f>
        <v/>
      </c>
    </row>
    <row r="534">
      <c r="A534" t="inlineStr">
        <is>
          <t>Francia</t>
        </is>
      </c>
      <c r="B534" t="inlineStr">
        <is>
          <t>París Sur (Orly)</t>
        </is>
      </c>
      <c r="C534" t="inlineStr">
        <is>
          <t>Alemania</t>
        </is>
      </c>
      <c r="D534" t="inlineStr">
        <is>
          <t>Bochum</t>
        </is>
      </c>
      <c r="E534" t="inlineStr">
        <is>
          <t>2026-05-26</t>
        </is>
      </c>
      <c r="F534" t="inlineStr">
        <is>
          <t>2026-06-02</t>
        </is>
      </c>
      <c r="G534" t="inlineStr">
        <is>
          <t xml:space="preserve"> - No hay coche</t>
        </is>
      </c>
      <c r="H534">
        <f>HYPERLINK("https://booking.roadsurfer.com/es/rally/pick?pickup_date=2026-05-26&amp;return_date=2026-06-02&amp;currency=EUR&amp;startStation=12&amp;endStation=24", "Clic para verlo en la web de RoadSurfer")</f>
        <v/>
      </c>
    </row>
    <row r="535">
      <c r="A535" t="inlineStr">
        <is>
          <t>Francia</t>
        </is>
      </c>
      <c r="B535" t="inlineStr">
        <is>
          <t>París Sur (Orly)</t>
        </is>
      </c>
      <c r="C535" t="inlineStr">
        <is>
          <t>Alemania</t>
        </is>
      </c>
      <c r="D535" t="inlineStr">
        <is>
          <t>Bochum</t>
        </is>
      </c>
      <c r="E535" t="inlineStr">
        <is>
          <t>2026-05-21</t>
        </is>
      </c>
      <c r="F535" t="inlineStr">
        <is>
          <t>2026-05-28</t>
        </is>
      </c>
      <c r="G535" t="inlineStr">
        <is>
          <t xml:space="preserve"> - Couple Cottage</t>
        </is>
      </c>
      <c r="H535">
        <f>HYPERLINK("https://booking.roadsurfer.com/es/rally/pick?pickup_date=2026-05-21&amp;return_date=2026-05-28&amp;currency=EUR&amp;startStation=12&amp;endStation=24", "Clic para verlo en la web de RoadSurfer")</f>
        <v/>
      </c>
    </row>
    <row r="536">
      <c r="A536" t="inlineStr">
        <is>
          <t>Francia</t>
        </is>
      </c>
      <c r="B536" t="inlineStr">
        <is>
          <t>París Sur (Orly)</t>
        </is>
      </c>
      <c r="C536" t="inlineStr">
        <is>
          <t>Alemania</t>
        </is>
      </c>
      <c r="D536" t="inlineStr">
        <is>
          <t>Bochum</t>
        </is>
      </c>
      <c r="E536" t="inlineStr">
        <is>
          <t>2026-05-20</t>
        </is>
      </c>
      <c r="F536" t="inlineStr">
        <is>
          <t>2026-05-27</t>
        </is>
      </c>
      <c r="G536" t="inlineStr">
        <is>
          <t xml:space="preserve"> - Family Finca</t>
        </is>
      </c>
      <c r="H536">
        <f>HYPERLINK("https://booking.roadsurfer.com/es/rally/pick?pickup_date=2026-05-20&amp;return_date=2026-05-27&amp;currency=EUR&amp;startStation=12&amp;endStation=24", "Clic para verlo en la web de RoadSurfer")</f>
        <v/>
      </c>
    </row>
    <row r="537">
      <c r="A537" t="inlineStr">
        <is>
          <t>Francia</t>
        </is>
      </c>
      <c r="B537" t="inlineStr">
        <is>
          <t>París Sur (Orly)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2026-05-08</t>
        </is>
      </c>
      <c r="F537" t="inlineStr">
        <is>
          <t>2026-05-15</t>
        </is>
      </c>
      <c r="G537" t="inlineStr">
        <is>
          <t xml:space="preserve"> - No hay coche</t>
        </is>
      </c>
      <c r="H537">
        <f>HYPERLINK("https://booking.roadsurfer.com/es/rally/pick?pickup_date=2026-05-08&amp;return_date=2026-05-15&amp;currency=EUR&amp;startStation=12&amp;endStation=56", "Clic para verlo en la web de RoadSurfer")</f>
        <v/>
      </c>
    </row>
    <row r="538">
      <c r="A538" t="inlineStr">
        <is>
          <t>Francia</t>
        </is>
      </c>
      <c r="B538" t="inlineStr">
        <is>
          <t>París Sur (Orly)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2026-05-19</t>
        </is>
      </c>
      <c r="F538" t="inlineStr">
        <is>
          <t>2026-05-26</t>
        </is>
      </c>
      <c r="G538" t="inlineStr">
        <is>
          <t xml:space="preserve"> - Camper Cabin</t>
        </is>
      </c>
      <c r="H538">
        <f>HYPERLINK("https://booking.roadsurfer.com/es/rally/pick?pickup_date=2026-05-19&amp;return_date=2026-05-26&amp;currency=EUR&amp;startStation=12&amp;endStation=56", "Clic para verlo en la web de RoadSurfer")</f>
        <v/>
      </c>
    </row>
    <row r="539">
      <c r="A539" t="inlineStr">
        <is>
          <t>Francia</t>
        </is>
      </c>
      <c r="B539" t="inlineStr">
        <is>
          <t>París Aeropuerto CDG</t>
        </is>
      </c>
      <c r="C539" t="inlineStr">
        <is>
          <t>Alemania</t>
        </is>
      </c>
      <c r="D539" t="inlineStr">
        <is>
          <t>Aquisgrán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Beach Hostel</t>
        </is>
      </c>
      <c r="H539">
        <f>HYPERLINK("https://booking.roadsurfer.com/es/rally/pick?pickup_date=2026-05-11&amp;return_date=2026-05-18&amp;currency=EUR&amp;startStation=48&amp;endStation=114", "Clic para verlo en la web de RoadSurfer")</f>
        <v/>
      </c>
    </row>
    <row r="540">
      <c r="A540" t="inlineStr">
        <is>
          <t>Francia</t>
        </is>
      </c>
      <c r="B540" t="inlineStr">
        <is>
          <t>París Aeropuerto CDG</t>
        </is>
      </c>
      <c r="C540" t="inlineStr">
        <is>
          <t>Alemania</t>
        </is>
      </c>
      <c r="D540" t="inlineStr">
        <is>
          <t>Aquisgrán</t>
        </is>
      </c>
      <c r="E540" t="inlineStr">
        <is>
          <t>2026-05-26</t>
        </is>
      </c>
      <c r="F540" t="inlineStr">
        <is>
          <t>2026-06-02</t>
        </is>
      </c>
      <c r="G540" t="inlineStr">
        <is>
          <t xml:space="preserve"> - Couple Cottage</t>
        </is>
      </c>
      <c r="H540">
        <f>HYPERLINK("https://booking.roadsurfer.com/es/rally/pick?pickup_date=2026-05-26&amp;return_date=2026-06-02&amp;currency=EUR&amp;startStation=48&amp;endStation=114", "Clic para verlo en la web de RoadSurfer")</f>
        <v/>
      </c>
    </row>
    <row r="541">
      <c r="A541" t="inlineStr">
        <is>
          <t>Francia</t>
        </is>
      </c>
      <c r="B541" t="inlineStr">
        <is>
          <t>París Aeropuerto CDG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2026-05-15</t>
        </is>
      </c>
      <c r="F541" t="inlineStr">
        <is>
          <t>2026-05-22</t>
        </is>
      </c>
      <c r="G541" t="inlineStr">
        <is>
          <t xml:space="preserve"> - Road House</t>
        </is>
      </c>
      <c r="H541">
        <f>HYPERLINK("https://booking.roadsurfer.com/es/rally/pick?pickup_date=2026-05-15&amp;return_date=2026-05-22&amp;currency=EUR&amp;startStation=48&amp;endStation=22", "Clic para verlo en la web de RoadSurfer")</f>
        <v/>
      </c>
    </row>
    <row r="542">
      <c r="A542" t="inlineStr">
        <is>
          <t>Francia</t>
        </is>
      </c>
      <c r="B542" t="inlineStr">
        <is>
          <t>París Aeropuerto CDG</t>
        </is>
      </c>
      <c r="C542" t="inlineStr">
        <is>
          <t>Alemania</t>
        </is>
      </c>
      <c r="D542" t="inlineStr">
        <is>
          <t>Bochum</t>
        </is>
      </c>
      <c r="E542" t="inlineStr">
        <is>
          <t>2026-05-13</t>
        </is>
      </c>
      <c r="F542" t="inlineStr">
        <is>
          <t>2026-05-20</t>
        </is>
      </c>
      <c r="G542" t="inlineStr">
        <is>
          <t xml:space="preserve"> - Camper Castle</t>
        </is>
      </c>
      <c r="H542">
        <f>HYPERLINK("https://booking.roadsurfer.com/es/rally/pick?pickup_date=2026-05-13&amp;return_date=2026-05-20&amp;currency=EUR&amp;startStation=48&amp;endStation=24", "Clic para verlo en la web de RoadSurfer")</f>
        <v/>
      </c>
    </row>
    <row r="543">
      <c r="A543" t="inlineStr">
        <is>
          <t>Francia</t>
        </is>
      </c>
      <c r="B543" t="inlineStr">
        <is>
          <t>París Aeropuerto CDG</t>
        </is>
      </c>
      <c r="C543" t="inlineStr">
        <is>
          <t>Alemania</t>
        </is>
      </c>
      <c r="D543" t="inlineStr">
        <is>
          <t>Bochum</t>
        </is>
      </c>
      <c r="E543" t="inlineStr">
        <is>
          <t>2026-06-12</t>
        </is>
      </c>
      <c r="F543" t="inlineStr">
        <is>
          <t>2026-06-19</t>
        </is>
      </c>
      <c r="G543" t="inlineStr">
        <is>
          <t xml:space="preserve"> - Couple Cottage</t>
        </is>
      </c>
      <c r="H543">
        <f>HYPERLINK("https://booking.roadsurfer.com/es/rally/pick?pickup_date=2026-06-12&amp;return_date=2026-06-19&amp;currency=EUR&amp;startStation=48&amp;endStation=24", "Clic para verlo en la web de RoadSurfer")</f>
        <v/>
      </c>
    </row>
    <row r="544">
      <c r="A544" t="inlineStr">
        <is>
          <t>Francia</t>
        </is>
      </c>
      <c r="B544" t="inlineStr">
        <is>
          <t>París Aeropuerto CDG</t>
        </is>
      </c>
      <c r="C544" t="inlineStr">
        <is>
          <t>Alemania</t>
        </is>
      </c>
      <c r="D544" t="inlineStr">
        <is>
          <t>Constanza (Aach)</t>
        </is>
      </c>
      <c r="E544" t="inlineStr">
        <is>
          <t>2026-05-05</t>
        </is>
      </c>
      <c r="F544" t="inlineStr">
        <is>
          <t>2026-05-12</t>
        </is>
      </c>
      <c r="G544" t="inlineStr"/>
      <c r="H544">
        <f>HYPERLINK("https://booking.roadsurfer.com/es/rally/pick?pickup_date=2026-05-05&amp;return_date=2026-05-12&amp;currency=EUR&amp;startStation=48&amp;endStation=10", "Clic para verlo en la web de RoadSurfer")</f>
        <v/>
      </c>
    </row>
    <row r="545">
      <c r="A545" t="inlineStr">
        <is>
          <t>Francia</t>
        </is>
      </c>
      <c r="B545" t="inlineStr">
        <is>
          <t>París Aeropuerto CDG</t>
        </is>
      </c>
      <c r="C545" t="inlineStr">
        <is>
          <t>Alemania</t>
        </is>
      </c>
      <c r="D545" t="inlineStr">
        <is>
          <t>Colonia-Bonn</t>
        </is>
      </c>
      <c r="E545" t="inlineStr">
        <is>
          <t>2026-05-27</t>
        </is>
      </c>
      <c r="F545" t="inlineStr">
        <is>
          <t>2026-06-03</t>
        </is>
      </c>
      <c r="G545" t="inlineStr">
        <is>
          <t xml:space="preserve"> - Couple Cottage</t>
        </is>
      </c>
      <c r="H545">
        <f>HYPERLINK("https://booking.roadsurfer.com/es/rally/pick?pickup_date=2026-05-27&amp;return_date=2026-06-03&amp;currency=EUR&amp;startStation=48&amp;endStation=52", "Clic para verlo en la web de RoadSurfer")</f>
        <v/>
      </c>
    </row>
    <row r="546">
      <c r="A546" t="inlineStr">
        <is>
          <t>Francia</t>
        </is>
      </c>
      <c r="B546" t="inlineStr">
        <is>
          <t>París Aeropuerto CDG</t>
        </is>
      </c>
      <c r="C546" t="inlineStr">
        <is>
          <t>Alemania</t>
        </is>
      </c>
      <c r="D546" t="inlineStr">
        <is>
          <t>Dresde</t>
        </is>
      </c>
      <c r="E546" t="inlineStr">
        <is>
          <t>2026-05-20</t>
        </is>
      </c>
      <c r="F546" t="inlineStr">
        <is>
          <t>2026-05-27</t>
        </is>
      </c>
      <c r="G546" t="inlineStr"/>
      <c r="H546">
        <f>HYPERLINK("https://booking.roadsurfer.com/es/rally/pick?pickup_date=2026-05-20&amp;return_date=2026-05-27&amp;currency=EUR&amp;startStation=48&amp;endStation=56", "Clic para verlo en la web de RoadSurfer")</f>
        <v/>
      </c>
    </row>
    <row r="547">
      <c r="A547" t="inlineStr">
        <is>
          <t>Alemania</t>
        </is>
      </c>
      <c r="B547" t="inlineStr">
        <is>
          <t>Ratisbona</t>
        </is>
      </c>
      <c r="C547" t="inlineStr">
        <is>
          <t>Alemania</t>
        </is>
      </c>
      <c r="D547" t="inlineStr">
        <is>
          <t>Karlsruhe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Surfer Suite</t>
        </is>
      </c>
      <c r="H547">
        <f>HYPERLINK("https://booking.roadsurfer.com/es/rally/pick?pickup_date=2026-05-04&amp;return_date=2026-05-11&amp;currency=EUR&amp;startStation=89&amp;endStation=110", "Clic para verlo en la web de RoadSurfer")</f>
        <v/>
      </c>
    </row>
    <row r="548">
      <c r="A548" t="inlineStr">
        <is>
          <t>Alemania</t>
        </is>
      </c>
      <c r="B548" t="inlineStr">
        <is>
          <t>Ratisbona</t>
        </is>
      </c>
      <c r="C548" t="inlineStr">
        <is>
          <t>Italia</t>
        </is>
      </c>
      <c r="D548" t="inlineStr">
        <is>
          <t>Bérgamo</t>
        </is>
      </c>
      <c r="E548" t="inlineStr">
        <is>
          <t>2026-05-11</t>
        </is>
      </c>
      <c r="F548" t="inlineStr">
        <is>
          <t>2026-05-18</t>
        </is>
      </c>
      <c r="G548" t="inlineStr"/>
      <c r="H548">
        <f>HYPERLINK("https://booking.roadsurfer.com/es/rally/pick?pickup_date=2026-05-11&amp;return_date=2026-05-18&amp;currency=EUR&amp;startStation=89&amp;endStation=94", "Clic para verlo en la web de RoadSurfer")</f>
        <v/>
      </c>
    </row>
    <row r="549">
      <c r="A549" t="inlineStr">
        <is>
          <t>Italia</t>
        </is>
      </c>
      <c r="B549" t="inlineStr">
        <is>
          <t>Roma Aeropuerto Fiumicino</t>
        </is>
      </c>
      <c r="C549" t="inlineStr">
        <is>
          <t>Alemania</t>
        </is>
      </c>
      <c r="D549" t="inlineStr">
        <is>
          <t>Wurzburgo</t>
        </is>
      </c>
      <c r="E549" t="inlineStr">
        <is>
          <t>2026-05-15</t>
        </is>
      </c>
      <c r="F549" t="inlineStr">
        <is>
          <t>2026-05-22</t>
        </is>
      </c>
      <c r="G549" t="inlineStr">
        <is>
          <t xml:space="preserve"> - Beach Hostel</t>
        </is>
      </c>
      <c r="H549">
        <f>HYPERLINK("https://booking.roadsurfer.com/es/rally/pick?pickup_date=2026-05-15&amp;return_date=2026-05-22&amp;currency=EUR&amp;startStation=35&amp;endStation=115", "Clic para verlo en la web de RoadSurfer")</f>
        <v/>
      </c>
    </row>
    <row r="550">
      <c r="A550" t="inlineStr">
        <is>
          <t>Italia</t>
        </is>
      </c>
      <c r="B550" t="inlineStr">
        <is>
          <t>Roma Aeropuerto Fiumicino</t>
        </is>
      </c>
      <c r="C550" t="inlineStr">
        <is>
          <t>Alemania</t>
        </is>
      </c>
      <c r="D550" t="inlineStr">
        <is>
          <t>Núremberg</t>
        </is>
      </c>
      <c r="E550" t="inlineStr">
        <is>
          <t>2026-05-18</t>
        </is>
      </c>
      <c r="F550" t="inlineStr">
        <is>
          <t>2026-05-25</t>
        </is>
      </c>
      <c r="G550" t="inlineStr"/>
      <c r="H550">
        <f>HYPERLINK("https://booking.roadsurfer.com/es/rally/pick?pickup_date=2026-05-18&amp;return_date=2026-05-25&amp;currency=EUR&amp;startStation=35&amp;endStation=11", "Clic para verlo en la web de RoadSurfer")</f>
        <v/>
      </c>
    </row>
    <row r="551">
      <c r="A551" t="inlineStr">
        <is>
          <t>España</t>
        </is>
      </c>
      <c r="B551" t="inlineStr">
        <is>
          <t>Sevilla</t>
        </is>
      </c>
      <c r="C551" t="inlineStr">
        <is>
          <t>Alemania</t>
        </is>
      </c>
      <c r="D551" t="inlineStr">
        <is>
          <t>Friburgo-Basilea (Alemania)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Surfer Suite</t>
        </is>
      </c>
      <c r="H551">
        <f>HYPERLINK("https://booking.roadsurfer.com/es/rally/pick?pickup_date=2026-05-04&amp;return_date=2026-05-11&amp;currency=EUR&amp;startStation=39&amp;endStation=9", "Clic para verlo en la web de RoadSurfer")</f>
        <v/>
      </c>
    </row>
    <row r="552">
      <c r="A552" t="inlineStr">
        <is>
          <t>España</t>
        </is>
      </c>
      <c r="B552" t="inlineStr">
        <is>
          <t>Sevilla</t>
        </is>
      </c>
      <c r="C552" t="inlineStr">
        <is>
          <t>Alemania</t>
        </is>
      </c>
      <c r="D552" t="inlineStr">
        <is>
          <t>Friburgo-Basilea (Alemania)</t>
        </is>
      </c>
      <c r="E552" t="inlineStr">
        <is>
          <t>2026-05-16</t>
        </is>
      </c>
      <c r="F552" t="inlineStr">
        <is>
          <t>2026-05-23</t>
        </is>
      </c>
      <c r="G552" t="inlineStr">
        <is>
          <t xml:space="preserve"> - Road House</t>
        </is>
      </c>
      <c r="H552">
        <f>HYPERLINK("https://booking.roadsurfer.com/es/rally/pick?pickup_date=2026-05-16&amp;return_date=2026-05-23&amp;currency=EUR&amp;startStation=39&amp;endStation=9", "Clic para verlo en la web de RoadSurfer")</f>
        <v/>
      </c>
    </row>
    <row r="553">
      <c r="A553" t="inlineStr">
        <is>
          <t>España</t>
        </is>
      </c>
      <c r="B553" t="inlineStr">
        <is>
          <t>Sevilla</t>
        </is>
      </c>
      <c r="C553" t="inlineStr">
        <is>
          <t>Francia</t>
        </is>
      </c>
      <c r="D553" t="inlineStr">
        <is>
          <t>Toulouse</t>
        </is>
      </c>
      <c r="E553" t="inlineStr">
        <is>
          <t>2026-05-02</t>
        </is>
      </c>
      <c r="F553" t="inlineStr">
        <is>
          <t>2026-05-09</t>
        </is>
      </c>
      <c r="G553" t="inlineStr">
        <is>
          <t xml:space="preserve"> - Surfer Suite</t>
        </is>
      </c>
      <c r="H553">
        <f>HYPERLINK("https://booking.roadsurfer.com/es/rally/pick?pickup_date=2026-05-02&amp;return_date=2026-05-09&amp;currency=EUR&amp;startStation=39&amp;endStation=30", "Clic para verlo en la web de RoadSurfer")</f>
        <v/>
      </c>
    </row>
    <row r="554">
      <c r="A554" t="inlineStr">
        <is>
          <t>España</t>
        </is>
      </c>
      <c r="B554" t="inlineStr">
        <is>
          <t>Sevilla</t>
        </is>
      </c>
      <c r="C554" t="inlineStr">
        <is>
          <t>Alemania</t>
        </is>
      </c>
      <c r="D554" t="inlineStr">
        <is>
          <t>Dresde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Beach Hostel</t>
        </is>
      </c>
      <c r="H554">
        <f>HYPERLINK("https://booking.roadsurfer.com/es/rally/pick?pickup_date=2026-05-04&amp;return_date=2026-05-11&amp;currency=EUR&amp;startStation=39&amp;endStation=56", "Clic para verlo en la web de RoadSurfer")</f>
        <v/>
      </c>
    </row>
    <row r="555">
      <c r="A555" t="inlineStr">
        <is>
          <t>España</t>
        </is>
      </c>
      <c r="B555" t="inlineStr">
        <is>
          <t>Sevilla</t>
        </is>
      </c>
      <c r="C555" t="inlineStr">
        <is>
          <t>Alemania</t>
        </is>
      </c>
      <c r="D555" t="inlineStr">
        <is>
          <t>Hamburgo</t>
        </is>
      </c>
      <c r="E555" t="inlineStr">
        <is>
          <t>2026-05-18</t>
        </is>
      </c>
      <c r="F555" t="inlineStr">
        <is>
          <t>2026-05-21</t>
        </is>
      </c>
      <c r="G555" t="inlineStr"/>
      <c r="H555">
        <f>HYPERLINK("https://booking.roadsurfer.com/es/rally/pick?pickup_date=2026-05-18&amp;return_date=2026-05-21&amp;currency=EUR&amp;startStation=39&amp;endStation=3", "Clic para verlo en la web de RoadSurfer")</f>
        <v/>
      </c>
    </row>
    <row r="556">
      <c r="A556" t="inlineStr">
        <is>
          <t>España</t>
        </is>
      </c>
      <c r="B556" t="inlineStr">
        <is>
          <t>Sevilla</t>
        </is>
      </c>
      <c r="C556" t="inlineStr">
        <is>
          <t>Alemania</t>
        </is>
      </c>
      <c r="D556" t="inlineStr">
        <is>
          <t>Stuttgart</t>
        </is>
      </c>
      <c r="E556" t="inlineStr">
        <is>
          <t>2026-05-06</t>
        </is>
      </c>
      <c r="F556" t="inlineStr">
        <is>
          <t>2026-05-13</t>
        </is>
      </c>
      <c r="G556" t="inlineStr">
        <is>
          <t xml:space="preserve"> - No hay coche</t>
        </is>
      </c>
      <c r="H556">
        <f>HYPERLINK("https://booking.roadsurfer.com/es/rally/pick?pickup_date=2026-05-06&amp;return_date=2026-05-13&amp;currency=EUR&amp;startStation=39&amp;endStation=5", "Clic para verlo en la web de RoadSurfer")</f>
        <v/>
      </c>
    </row>
    <row r="557">
      <c r="A557" t="inlineStr">
        <is>
          <t>España</t>
        </is>
      </c>
      <c r="B557" t="inlineStr">
        <is>
          <t>Sevilla</t>
        </is>
      </c>
      <c r="C557" t="inlineStr">
        <is>
          <t>Alemania</t>
        </is>
      </c>
      <c r="D557" t="inlineStr">
        <is>
          <t>Stuttgart</t>
        </is>
      </c>
      <c r="E557" t="inlineStr">
        <is>
          <t>2026-05-11</t>
        </is>
      </c>
      <c r="F557" t="inlineStr">
        <is>
          <t>2026-05-18</t>
        </is>
      </c>
      <c r="G557" t="inlineStr">
        <is>
          <t xml:space="preserve"> - Camper Castle - Couple Cottage</t>
        </is>
      </c>
      <c r="H557">
        <f>HYPERLINK("https://booking.roadsurfer.com/es/rally/pick?pickup_date=2026-05-11&amp;return_date=2026-05-18&amp;currency=EUR&amp;startStation=39&amp;endStation=5", "Clic para verlo en la web de RoadSurfer")</f>
        <v/>
      </c>
    </row>
    <row r="558">
      <c r="A558" t="inlineStr">
        <is>
          <t>España</t>
        </is>
      </c>
      <c r="B558" t="inlineStr">
        <is>
          <t>Sevilla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Road House</t>
        </is>
      </c>
      <c r="H558">
        <f>HYPERLINK("https://booking.roadsurfer.com/es/rally/pick?pickup_date=2026-05-11&amp;return_date=2026-05-18&amp;currency=EUR&amp;startStation=39&amp;endStation=22", "Clic para verlo en la web de RoadSurfer")</f>
        <v/>
      </c>
    </row>
    <row r="559">
      <c r="A559" t="inlineStr">
        <is>
          <t>España</t>
        </is>
      </c>
      <c r="B559" t="inlineStr">
        <is>
          <t>Sevilla</t>
        </is>
      </c>
      <c r="C559" t="inlineStr">
        <is>
          <t>Alemania</t>
        </is>
      </c>
      <c r="D559" t="inlineStr">
        <is>
          <t>Tréveris</t>
        </is>
      </c>
      <c r="E559" t="inlineStr">
        <is>
          <t>2026-05-14</t>
        </is>
      </c>
      <c r="F559" t="inlineStr">
        <is>
          <t>2026-05-21</t>
        </is>
      </c>
      <c r="G559" t="inlineStr">
        <is>
          <t xml:space="preserve"> - Couple Cottage</t>
        </is>
      </c>
      <c r="H559">
        <f>HYPERLINK("https://booking.roadsurfer.com/es/rally/pick?pickup_date=2026-05-14&amp;return_date=2026-05-21&amp;currency=EUR&amp;startStation=39&amp;endStation=28", "Clic para verlo en la web de RoadSurfer")</f>
        <v/>
      </c>
    </row>
    <row r="560">
      <c r="A560" t="inlineStr">
        <is>
          <t>España</t>
        </is>
      </c>
      <c r="B560" t="inlineStr">
        <is>
          <t>Sevilla</t>
        </is>
      </c>
      <c r="C560" t="inlineStr">
        <is>
          <t>Alemania</t>
        </is>
      </c>
      <c r="D560" t="inlineStr">
        <is>
          <t>Tréveris</t>
        </is>
      </c>
      <c r="E560" t="inlineStr">
        <is>
          <t>2026-05-16</t>
        </is>
      </c>
      <c r="F560" t="inlineStr">
        <is>
          <t>2026-05-23</t>
        </is>
      </c>
      <c r="G560" t="inlineStr">
        <is>
          <t xml:space="preserve"> - Couple Cottage</t>
        </is>
      </c>
      <c r="H560">
        <f>HYPERLINK("https://booking.roadsurfer.com/es/rally/pick?pickup_date=2026-05-16&amp;return_date=2026-05-23&amp;currency=EUR&amp;startStation=39&amp;endStation=28", "Clic para verlo en la web de RoadSurfer")</f>
        <v/>
      </c>
    </row>
    <row r="561">
      <c r="A561" t="inlineStr">
        <is>
          <t>España</t>
        </is>
      </c>
      <c r="B561" t="inlineStr">
        <is>
          <t>Sevilla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2026-04-28</t>
        </is>
      </c>
      <c r="F561" t="inlineStr">
        <is>
          <t>2026-05-05</t>
        </is>
      </c>
      <c r="G561" t="inlineStr"/>
      <c r="H561">
        <f>HYPERLINK("https://booking.roadsurfer.com/es/rally/pick?pickup_date=2026-04-28&amp;return_date=2026-05-05&amp;currency=EUR&amp;startStation=39&amp;endStation=2",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Bochum</t>
        </is>
      </c>
      <c r="E562" t="inlineStr">
        <is>
          <t>2026-05-14</t>
        </is>
      </c>
      <c r="F562" t="inlineStr">
        <is>
          <t>2026-05-21</t>
        </is>
      </c>
      <c r="G562" t="inlineStr">
        <is>
          <t xml:space="preserve"> - No hay coche</t>
        </is>
      </c>
      <c r="H562">
        <f>HYPERLINK("https://booking.roadsurfer.com/es/rally/pick?pickup_date=2026-05-14&amp;return_date=2026-05-21&amp;currency=EUR&amp;startStation=59&amp;endStation=24",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Flensburgo</t>
        </is>
      </c>
      <c r="E563" t="inlineStr">
        <is>
          <t>2026-04-29</t>
        </is>
      </c>
      <c r="F563" t="inlineStr">
        <is>
          <t>2026-05-06</t>
        </is>
      </c>
      <c r="G563" t="inlineStr"/>
      <c r="H563">
        <f>HYPERLINK("https://booking.roadsurfer.com/es/rally/pick?pickup_date=2026-04-29&amp;return_date=2026-05-06&amp;currency=EUR&amp;startStation=59&amp;endStation=130",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Flensburgo</t>
        </is>
      </c>
      <c r="E564" t="inlineStr">
        <is>
          <t>2026-05-04</t>
        </is>
      </c>
      <c r="F564" t="inlineStr">
        <is>
          <t>2026-05-11</t>
        </is>
      </c>
      <c r="G564" t="inlineStr"/>
      <c r="H564">
        <f>HYPERLINK("https://booking.roadsurfer.com/es/rally/pick?pickup_date=2026-05-04&amp;return_date=2026-05-11&amp;currency=EUR&amp;startStation=59&amp;endStation=130",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Ratisbona</t>
        </is>
      </c>
      <c r="E565" t="inlineStr">
        <is>
          <t>2026-05-04</t>
        </is>
      </c>
      <c r="F565" t="inlineStr">
        <is>
          <t>2026-05-11</t>
        </is>
      </c>
      <c r="G565" t="inlineStr"/>
      <c r="H565">
        <f>HYPERLINK("https://booking.roadsurfer.com/es/rally/pick?pickup_date=2026-05-04&amp;return_date=2026-05-11&amp;currency=EUR&amp;startStation=59&amp;endStation=89",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Erfurt</t>
        </is>
      </c>
      <c r="E566" t="inlineStr">
        <is>
          <t>2026-05-04</t>
        </is>
      </c>
      <c r="F566" t="inlineStr">
        <is>
          <t>2026-05-11</t>
        </is>
      </c>
      <c r="G566" t="inlineStr">
        <is>
          <t xml:space="preserve"> - Surfer Suite - Sunrise Suite</t>
        </is>
      </c>
      <c r="H566">
        <f>HYPERLINK("https://booking.roadsurfer.com/es/rally/pick?pickup_date=2026-05-04&amp;return_date=2026-05-11&amp;currency=EUR&amp;startStation=59&amp;endStation=90",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Erfurt</t>
        </is>
      </c>
      <c r="E567" t="inlineStr">
        <is>
          <t>2026-04-30</t>
        </is>
      </c>
      <c r="F567" t="inlineStr">
        <is>
          <t>2026-05-07</t>
        </is>
      </c>
      <c r="G567" t="inlineStr">
        <is>
          <t xml:space="preserve"> - Road House</t>
        </is>
      </c>
      <c r="H567">
        <f>HYPERLINK("https://booking.roadsurfer.com/es/rally/pick?pickup_date=2026-04-30&amp;return_date=2026-05-07&amp;currency=EUR&amp;startStation=59&amp;endStation=90",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Erfurt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Sunrise Suite</t>
        </is>
      </c>
      <c r="H568">
        <f>HYPERLINK("https://booking.roadsurfer.com/es/rally/pick?pickup_date=2026-05-11&amp;return_date=2026-05-18&amp;currency=EUR&amp;startStation=59&amp;endStation=90",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Erfurt</t>
        </is>
      </c>
      <c r="E569" t="inlineStr">
        <is>
          <t>2026-05-12</t>
        </is>
      </c>
      <c r="F569" t="inlineStr">
        <is>
          <t>2026-05-19</t>
        </is>
      </c>
      <c r="G569" t="inlineStr"/>
      <c r="H569">
        <f>HYPERLINK("https://booking.roadsurfer.com/es/rally/pick?pickup_date=2026-05-12&amp;return_date=2026-05-19&amp;currency=EUR&amp;startStation=59&amp;endStation=90",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Erfurt</t>
        </is>
      </c>
      <c r="E570" t="inlineStr">
        <is>
          <t>2026-06-01</t>
        </is>
      </c>
      <c r="F570" t="inlineStr">
        <is>
          <t>2026-06-08</t>
        </is>
      </c>
      <c r="G570" t="inlineStr">
        <is>
          <t xml:space="preserve"> - Family Finca</t>
        </is>
      </c>
      <c r="H570">
        <f>HYPERLINK("https://booking.roadsurfer.com/es/rally/pick?pickup_date=2026-06-01&amp;return_date=2026-06-08&amp;currency=EUR&amp;startStation=59&amp;endStation=90",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Erfurt</t>
        </is>
      </c>
      <c r="E571" t="inlineStr">
        <is>
          <t>2026-04-28</t>
        </is>
      </c>
      <c r="F571" t="inlineStr">
        <is>
          <t>2026-05-05</t>
        </is>
      </c>
      <c r="G571" t="inlineStr"/>
      <c r="H571">
        <f>HYPERLINK("https://booking.roadsurfer.com/es/rally/pick?pickup_date=2026-04-28&amp;return_date=2026-05-05&amp;currency=EUR&amp;startStation=59&amp;endStation=90",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2026-05-24</t>
        </is>
      </c>
      <c r="F572" t="inlineStr">
        <is>
          <t>2026-05-31</t>
        </is>
      </c>
      <c r="G572" t="inlineStr"/>
      <c r="H572">
        <f>HYPERLINK("https://booking.roadsurfer.com/es/rally/pick?pickup_date=2026-05-24&amp;return_date=2026-05-31&amp;currency=EUR&amp;startStation=59&amp;endStation=90",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2026-05-08</t>
        </is>
      </c>
      <c r="F573" t="inlineStr">
        <is>
          <t>2026-05-15</t>
        </is>
      </c>
      <c r="G573" t="inlineStr"/>
      <c r="H573">
        <f>HYPERLINK("https://booking.roadsurfer.com/es/rally/pick?pickup_date=2026-05-08&amp;return_date=2026-05-15&amp;currency=EUR&amp;startStation=59&amp;endStation=90",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2026-04-27</t>
        </is>
      </c>
      <c r="F574" t="inlineStr">
        <is>
          <t>2026-05-04</t>
        </is>
      </c>
      <c r="G574" t="inlineStr">
        <is>
          <t xml:space="preserve"> - Beach Hostel</t>
        </is>
      </c>
      <c r="H574">
        <f>HYPERLINK("https://booking.roadsurfer.com/es/rally/pick?pickup_date=2026-04-27&amp;return_date=2026-05-04&amp;currency=EUR&amp;startStation=59&amp;endStation=2",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Bremen</t>
        </is>
      </c>
      <c r="E575" t="inlineStr">
        <is>
          <t>2026-05-06</t>
        </is>
      </c>
      <c r="F575" t="inlineStr">
        <is>
          <t>2026-05-13</t>
        </is>
      </c>
      <c r="G575" t="inlineStr">
        <is>
          <t xml:space="preserve"> - Family Finca</t>
        </is>
      </c>
      <c r="H575">
        <f>HYPERLINK("https://booking.roadsurfer.com/es/rally/pick?pickup_date=2026-05-06&amp;return_date=2026-05-13&amp;currency=EUR&amp;startStation=59&amp;endStation=55",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Bremen</t>
        </is>
      </c>
      <c r="E576" t="inlineStr">
        <is>
          <t>2026-05-20</t>
        </is>
      </c>
      <c r="F576" t="inlineStr">
        <is>
          <t>2026-05-27</t>
        </is>
      </c>
      <c r="G576" t="inlineStr">
        <is>
          <t xml:space="preserve"> - Sunrise Suite</t>
        </is>
      </c>
      <c r="H576">
        <f>HYPERLINK("https://booking.roadsurfer.com/es/rally/pick?pickup_date=2026-05-20&amp;return_date=2026-05-27&amp;currency=EUR&amp;startStation=59&amp;endStation=55",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Bremen</t>
        </is>
      </c>
      <c r="E577" t="inlineStr">
        <is>
          <t>2026-04-29</t>
        </is>
      </c>
      <c r="F577" t="inlineStr">
        <is>
          <t>2026-05-06</t>
        </is>
      </c>
      <c r="G577" t="inlineStr">
        <is>
          <t xml:space="preserve"> - Beach Hostel</t>
        </is>
      </c>
      <c r="H577">
        <f>HYPERLINK("https://booking.roadsurfer.com/es/rally/pick?pickup_date=2026-04-29&amp;return_date=2026-05-06&amp;currency=EUR&amp;startStation=59&amp;endStation=55",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Kiel</t>
        </is>
      </c>
      <c r="E578" t="inlineStr">
        <is>
          <t>2026-05-15</t>
        </is>
      </c>
      <c r="F578" t="inlineStr">
        <is>
          <t>2026-05-22</t>
        </is>
      </c>
      <c r="G578" t="inlineStr">
        <is>
          <t xml:space="preserve"> - Road House</t>
        </is>
      </c>
      <c r="H578">
        <f>HYPERLINK("https://booking.roadsurfer.com/es/rally/pick?pickup_date=2026-05-15&amp;return_date=2026-05-22&amp;currency=EUR&amp;startStation=59&amp;endStation=111",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Karlsruhe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Camper Castle</t>
        </is>
      </c>
      <c r="H579">
        <f>HYPERLINK("https://booking.roadsurfer.com/es/rally/pick?pickup_date=2026-05-04&amp;return_date=2026-05-11&amp;currency=EUR&amp;startStation=59&amp;endStation=110",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Karlsruhe</t>
        </is>
      </c>
      <c r="E580" t="inlineStr">
        <is>
          <t>2026-04-29</t>
        </is>
      </c>
      <c r="F580" t="inlineStr">
        <is>
          <t>2026-05-06</t>
        </is>
      </c>
      <c r="G580" t="inlineStr">
        <is>
          <t xml:space="preserve"> - Camper Castle</t>
        </is>
      </c>
      <c r="H580">
        <f>HYPERLINK("https://booking.roadsurfer.com/es/rally/pick?pickup_date=2026-04-29&amp;return_date=2026-05-06&amp;currency=EUR&amp;startStation=59&amp;endStation=110",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Lübeck</t>
        </is>
      </c>
      <c r="E581" t="inlineStr">
        <is>
          <t>2026-05-06</t>
        </is>
      </c>
      <c r="F581" t="inlineStr">
        <is>
          <t>2026-05-13</t>
        </is>
      </c>
      <c r="G581" t="inlineStr"/>
      <c r="H581">
        <f>HYPERLINK("https://booking.roadsurfer.com/es/rally/pick?pickup_date=2026-05-06&amp;return_date=2026-05-13&amp;currency=EUR&amp;startStation=59&amp;endStation=109",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Lübeck</t>
        </is>
      </c>
      <c r="E582" t="inlineStr">
        <is>
          <t>2026-05-14</t>
        </is>
      </c>
      <c r="F582" t="inlineStr">
        <is>
          <t>2026-05-21</t>
        </is>
      </c>
      <c r="G582" t="inlineStr">
        <is>
          <t xml:space="preserve"> - No hay coche</t>
        </is>
      </c>
      <c r="H582">
        <f>HYPERLINK("https://booking.roadsurfer.com/es/rally/pick?pickup_date=2026-05-14&amp;return_date=2026-05-21&amp;currency=EUR&amp;startStation=59&amp;endStation=109",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Lübeck</t>
        </is>
      </c>
      <c r="E583" t="inlineStr">
        <is>
          <t>2026-05-12</t>
        </is>
      </c>
      <c r="F583" t="inlineStr">
        <is>
          <t>2026-05-19</t>
        </is>
      </c>
      <c r="G583" t="inlineStr">
        <is>
          <t xml:space="preserve"> - Camper Castle</t>
        </is>
      </c>
      <c r="H583">
        <f>HYPERLINK("https://booking.roadsurfer.com/es/rally/pick?pickup_date=2026-05-12&amp;return_date=2026-05-19&amp;currency=EUR&amp;startStation=59&amp;endStation=109", "Clic para verlo en la web de RoadSurfer")</f>
        <v/>
      </c>
    </row>
    <row r="584">
      <c r="A584" t="inlineStr">
        <is>
          <t>Suecia</t>
        </is>
      </c>
      <c r="B584" t="inlineStr">
        <is>
          <t>Estocolmo</t>
        </is>
      </c>
      <c r="C584" t="inlineStr">
        <is>
          <t>Alemania</t>
        </is>
      </c>
      <c r="D584" t="inlineStr">
        <is>
          <t>Lindau-Wangen</t>
        </is>
      </c>
      <c r="E584" t="inlineStr">
        <is>
          <t>2026-05-06</t>
        </is>
      </c>
      <c r="F584" t="inlineStr">
        <is>
          <t>2026-05-13</t>
        </is>
      </c>
      <c r="G584" t="inlineStr"/>
      <c r="H584">
        <f>HYPERLINK("https://booking.roadsurfer.com/es/rally/pick?pickup_date=2026-05-06&amp;return_date=2026-05-13&amp;currency=EUR&amp;startStation=59&amp;endStation=117", "Clic para verlo en la web de RoadSurfer")</f>
        <v/>
      </c>
    </row>
    <row r="585">
      <c r="A585" t="inlineStr">
        <is>
          <t>Suecia</t>
        </is>
      </c>
      <c r="B585" t="inlineStr">
        <is>
          <t>Estocolmo</t>
        </is>
      </c>
      <c r="C585" t="inlineStr">
        <is>
          <t>Alemania</t>
        </is>
      </c>
      <c r="D585" t="inlineStr">
        <is>
          <t>Hamburgo</t>
        </is>
      </c>
      <c r="E585" t="inlineStr">
        <is>
          <t>2026-05-06</t>
        </is>
      </c>
      <c r="F585" t="inlineStr">
        <is>
          <t>2026-05-13</t>
        </is>
      </c>
      <c r="G585" t="inlineStr">
        <is>
          <t xml:space="preserve"> - No hay coche</t>
        </is>
      </c>
      <c r="H585">
        <f>HYPERLINK("https://booking.roadsurfer.com/es/rally/pick?pickup_date=2026-05-06&amp;return_date=2026-05-13&amp;currency=EUR&amp;startStation=59&amp;endStation=3", "Clic para verlo en la web de RoadSurfer")</f>
        <v/>
      </c>
    </row>
    <row r="586">
      <c r="A586" t="inlineStr">
        <is>
          <t>Suecia</t>
        </is>
      </c>
      <c r="B586" t="inlineStr">
        <is>
          <t>Estocolmo</t>
        </is>
      </c>
      <c r="C586" t="inlineStr">
        <is>
          <t>Alemania</t>
        </is>
      </c>
      <c r="D586" t="inlineStr">
        <is>
          <t>Hamburgo</t>
        </is>
      </c>
      <c r="E586" t="inlineStr">
        <is>
          <t>2026-05-18</t>
        </is>
      </c>
      <c r="F586" t="inlineStr">
        <is>
          <t>2026-05-25</t>
        </is>
      </c>
      <c r="G586" t="inlineStr">
        <is>
          <t xml:space="preserve"> - No hay coche</t>
        </is>
      </c>
      <c r="H586">
        <f>HYPERLINK("https://booking.roadsurfer.com/es/rally/pick?pickup_date=2026-05-18&amp;return_date=2026-05-25&amp;currency=EUR&amp;startStation=59&amp;endStation=3", "Clic para verlo en la web de RoadSurfer")</f>
        <v/>
      </c>
    </row>
    <row r="587">
      <c r="A587" t="inlineStr">
        <is>
          <t>Suecia</t>
        </is>
      </c>
      <c r="B587" t="inlineStr">
        <is>
          <t>Estocolmo</t>
        </is>
      </c>
      <c r="C587" t="inlineStr">
        <is>
          <t>Alemania</t>
        </is>
      </c>
      <c r="D587" t="inlineStr">
        <is>
          <t>Hamburgo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Family Finca</t>
        </is>
      </c>
      <c r="H587">
        <f>HYPERLINK("https://booking.roadsurfer.com/es/rally/pick?pickup_date=2026-05-04&amp;return_date=2026-05-11&amp;currency=EUR&amp;startStation=59&amp;endStation=3", "Clic para verlo en la web de RoadSurfer")</f>
        <v/>
      </c>
    </row>
    <row r="588">
      <c r="A588" t="inlineStr">
        <is>
          <t>Suecia</t>
        </is>
      </c>
      <c r="B588" t="inlineStr">
        <is>
          <t>Estocolmo</t>
        </is>
      </c>
      <c r="C588" t="inlineStr">
        <is>
          <t>Alemania</t>
        </is>
      </c>
      <c r="D588" t="inlineStr">
        <is>
          <t>Hannover</t>
        </is>
      </c>
      <c r="E588" t="inlineStr">
        <is>
          <t>2026-05-01</t>
        </is>
      </c>
      <c r="F588" t="inlineStr">
        <is>
          <t>2026-05-08</t>
        </is>
      </c>
      <c r="G588" t="inlineStr"/>
      <c r="H588">
        <f>HYPERLINK("https://booking.roadsurfer.com/es/rally/pick?pickup_date=2026-05-01&amp;return_date=2026-05-08&amp;currency=EUR&amp;startStation=59&amp;endStation=7", "Clic para verlo en la web de RoadSurfer")</f>
        <v/>
      </c>
    </row>
    <row r="589">
      <c r="A589" t="inlineStr">
        <is>
          <t>Alemania</t>
        </is>
      </c>
      <c r="B589" t="inlineStr">
        <is>
          <t>Stuttgart</t>
        </is>
      </c>
      <c r="C589" t="inlineStr">
        <is>
          <t>España</t>
        </is>
      </c>
      <c r="D589" t="inlineStr">
        <is>
          <t>Bilbao</t>
        </is>
      </c>
      <c r="E589" t="inlineStr">
        <is>
          <t>2026-05-02</t>
        </is>
      </c>
      <c r="F589" t="inlineStr">
        <is>
          <t>2026-05-09</t>
        </is>
      </c>
      <c r="G589" t="inlineStr">
        <is>
          <t xml:space="preserve"> - Road House</t>
        </is>
      </c>
      <c r="H589">
        <f>HYPERLINK("https://booking.roadsurfer.com/es/rally/pick?pickup_date=2026-05-02&amp;return_date=2026-05-09&amp;currency=EUR&amp;startStation=5&amp;endStation=40", "Clic para verlo en la web de RoadSurfer")</f>
        <v/>
      </c>
    </row>
    <row r="590">
      <c r="A590" t="inlineStr">
        <is>
          <t>Alemania</t>
        </is>
      </c>
      <c r="B590" t="inlineStr">
        <is>
          <t>Stuttgart</t>
        </is>
      </c>
      <c r="C590" t="inlineStr">
        <is>
          <t>Italia</t>
        </is>
      </c>
      <c r="D590" t="inlineStr">
        <is>
          <t>Florencia</t>
        </is>
      </c>
      <c r="E590" t="inlineStr">
        <is>
          <t>2026-06-01</t>
        </is>
      </c>
      <c r="F590" t="inlineStr">
        <is>
          <t>2026-06-08</t>
        </is>
      </c>
      <c r="G590" t="inlineStr"/>
      <c r="H590">
        <f>HYPERLINK("https://booking.roadsurfer.com/es/rally/pick?pickup_date=2026-06-01&amp;return_date=2026-06-08&amp;currency=EUR&amp;startStation=5&amp;endStation=80", "Clic para verlo en la web de RoadSurfer")</f>
        <v/>
      </c>
    </row>
    <row r="591">
      <c r="A591" t="inlineStr">
        <is>
          <t>Alemania</t>
        </is>
      </c>
      <c r="B591" t="inlineStr">
        <is>
          <t>Stuttgart</t>
        </is>
      </c>
      <c r="C591" t="inlineStr">
        <is>
          <t>Francia</t>
        </is>
      </c>
      <c r="D591" t="inlineStr">
        <is>
          <t>París Sur (Orly)</t>
        </is>
      </c>
      <c r="E591" t="inlineStr">
        <is>
          <t>2026-05-02</t>
        </is>
      </c>
      <c r="F591" t="inlineStr">
        <is>
          <t>2026-05-09</t>
        </is>
      </c>
      <c r="G591" t="inlineStr">
        <is>
          <t xml:space="preserve"> - Couple Cottage</t>
        </is>
      </c>
      <c r="H591">
        <f>HYPERLINK("https://booking.roadsurfer.com/es/rally/pick?pickup_date=2026-05-02&amp;return_date=2026-05-09&amp;currency=EUR&amp;startStation=5&amp;endStation=12", "Clic para verlo en la web de RoadSurfer")</f>
        <v/>
      </c>
    </row>
    <row r="592">
      <c r="A592" t="inlineStr">
        <is>
          <t>Alemania</t>
        </is>
      </c>
      <c r="B592" t="inlineStr">
        <is>
          <t>Stuttgart</t>
        </is>
      </c>
      <c r="C592" t="inlineStr">
        <is>
          <t>Italia</t>
        </is>
      </c>
      <c r="D592" t="inlineStr">
        <is>
          <t>Roma Aeropuerto Fiumicino</t>
        </is>
      </c>
      <c r="E592" t="inlineStr">
        <is>
          <t>2026-05-04</t>
        </is>
      </c>
      <c r="F592" t="inlineStr">
        <is>
          <t>2026-05-11</t>
        </is>
      </c>
      <c r="G592" t="inlineStr">
        <is>
          <t xml:space="preserve"> - Couple Cottage</t>
        </is>
      </c>
      <c r="H592">
        <f>HYPERLINK("https://booking.roadsurfer.com/es/rally/pick?pickup_date=2026-05-04&amp;return_date=2026-05-11&amp;currency=EUR&amp;startStation=5&amp;endStation=35", "Clic para verlo en la web de RoadSurfer")</f>
        <v/>
      </c>
    </row>
    <row r="593">
      <c r="A593" t="inlineStr">
        <is>
          <t>EE.UU.</t>
        </is>
      </c>
      <c r="B593" t="inlineStr">
        <is>
          <t>Thor Industries, Elkhart</t>
        </is>
      </c>
      <c r="C593" t="inlineStr">
        <is>
          <t>EE.UU.</t>
        </is>
      </c>
      <c r="D593" t="inlineStr">
        <is>
          <t>Denver</t>
        </is>
      </c>
      <c r="E593" t="inlineStr">
        <is>
          <t>2026-05-04</t>
        </is>
      </c>
      <c r="F593" t="inlineStr">
        <is>
          <t>2026-05-25</t>
        </is>
      </c>
      <c r="G593" t="inlineStr">
        <is>
          <t xml:space="preserve"> - Family Freedom</t>
        </is>
      </c>
      <c r="H593">
        <f>HYPERLINK("https://booking.roadsurfer.com/es/rally/pick?pickup_date=2026-05-04&amp;return_date=2026-05-25&amp;currency=EUR&amp;startStation=74&amp;endStation=104", "Clic para verlo en la web de RoadSurfer")</f>
        <v/>
      </c>
    </row>
    <row r="594">
      <c r="A594" t="inlineStr">
        <is>
          <t>Francia</t>
        </is>
      </c>
      <c r="B594" t="inlineStr">
        <is>
          <t>Toulouse</t>
        </is>
      </c>
      <c r="C594" t="inlineStr">
        <is>
          <t>Francia</t>
        </is>
      </c>
      <c r="D594" t="inlineStr">
        <is>
          <t>Nantes</t>
        </is>
      </c>
      <c r="E594" t="inlineStr">
        <is>
          <t>2026-06-01</t>
        </is>
      </c>
      <c r="F594" t="inlineStr">
        <is>
          <t>2026-06-08</t>
        </is>
      </c>
      <c r="G594" t="inlineStr">
        <is>
          <t xml:space="preserve"> - Surfer Suite</t>
        </is>
      </c>
      <c r="H594">
        <f>HYPERLINK("https://booking.roadsurfer.com/es/rally/pick?pickup_date=2026-06-01&amp;return_date=2026-06-08&amp;currency=EUR&amp;startStation=30&amp;endStation=31", "Clic para verlo en la web de RoadSurfer")</f>
        <v/>
      </c>
    </row>
    <row r="595">
      <c r="A595" t="inlineStr">
        <is>
          <t>Francia</t>
        </is>
      </c>
      <c r="B595" t="inlineStr">
        <is>
          <t>Toulouse</t>
        </is>
      </c>
      <c r="C595" t="inlineStr">
        <is>
          <t>Francia</t>
        </is>
      </c>
      <c r="D595" t="inlineStr">
        <is>
          <t>Lille</t>
        </is>
      </c>
      <c r="E595" t="inlineStr">
        <is>
          <t>2026-05-04</t>
        </is>
      </c>
      <c r="F595" t="inlineStr">
        <is>
          <t>2026-05-11</t>
        </is>
      </c>
      <c r="G595" t="inlineStr"/>
      <c r="H595">
        <f>HYPERLINK("https://booking.roadsurfer.com/es/rally/pick?pickup_date=2026-05-04&amp;return_date=2026-05-11&amp;currency=EUR&amp;startStation=30&amp;endStation=87", "Clic para verlo en la web de RoadSurfer")</f>
        <v/>
      </c>
    </row>
    <row r="596">
      <c r="A596" t="inlineStr">
        <is>
          <t>Francia</t>
        </is>
      </c>
      <c r="B596" t="inlineStr">
        <is>
          <t>Toulouse</t>
        </is>
      </c>
      <c r="C596" t="inlineStr">
        <is>
          <t>Francia</t>
        </is>
      </c>
      <c r="D596" t="inlineStr">
        <is>
          <t>París Sur (Orly)</t>
        </is>
      </c>
      <c r="E596" t="inlineStr">
        <is>
          <t>2026-05-28</t>
        </is>
      </c>
      <c r="F596" t="inlineStr">
        <is>
          <t>2026-06-04</t>
        </is>
      </c>
      <c r="G596" t="inlineStr"/>
      <c r="H596">
        <f>HYPERLINK("https://booking.roadsurfer.com/es/rally/pick?pickup_date=2026-05-28&amp;return_date=2026-06-04&amp;currency=EUR&amp;startStation=30&amp;endStation=12", "Clic para verlo en la web de RoadSurfer")</f>
        <v/>
      </c>
    </row>
    <row r="597">
      <c r="A597" t="inlineStr">
        <is>
          <t>Francia</t>
        </is>
      </c>
      <c r="B597" t="inlineStr">
        <is>
          <t>Toulouse</t>
        </is>
      </c>
      <c r="C597" t="inlineStr">
        <is>
          <t>Alemania</t>
        </is>
      </c>
      <c r="D597" t="inlineStr">
        <is>
          <t>Dresde</t>
        </is>
      </c>
      <c r="E597" t="inlineStr">
        <is>
          <t>2026-06-11</t>
        </is>
      </c>
      <c r="F597" t="inlineStr">
        <is>
          <t>2026-06-18</t>
        </is>
      </c>
      <c r="G597" t="inlineStr"/>
      <c r="H597">
        <f>HYPERLINK("https://booking.roadsurfer.com/es/rally/pick?pickup_date=2026-06-11&amp;return_date=2026-06-18&amp;currency=EUR&amp;startStation=30&amp;endStation=56", "Clic para verlo en la web de RoadSurfer")</f>
        <v/>
      </c>
    </row>
    <row r="598">
      <c r="A598" t="inlineStr">
        <is>
          <t>Francia</t>
        </is>
      </c>
      <c r="B598" t="inlineStr">
        <is>
          <t>Toulouse</t>
        </is>
      </c>
      <c r="C598" t="inlineStr">
        <is>
          <t>Alemania</t>
        </is>
      </c>
      <c r="D598" t="inlineStr">
        <is>
          <t>Múnich</t>
        </is>
      </c>
      <c r="E598" t="inlineStr">
        <is>
          <t>2026-05-18</t>
        </is>
      </c>
      <c r="F598" t="inlineStr">
        <is>
          <t>2026-05-25</t>
        </is>
      </c>
      <c r="G598" t="inlineStr">
        <is>
          <t xml:space="preserve"> - No hay coche</t>
        </is>
      </c>
      <c r="H598">
        <f>HYPERLINK("https://booking.roadsurfer.com/es/rally/pick?pickup_date=2026-05-18&amp;return_date=2026-05-25&amp;currency=EUR&amp;startStation=30&amp;endStation=1", "Clic para verlo en la web de RoadSurfer")</f>
        <v/>
      </c>
    </row>
    <row r="599">
      <c r="A599" t="inlineStr">
        <is>
          <t>Alemania</t>
        </is>
      </c>
      <c r="B599" t="inlineStr">
        <is>
          <t>Tréveris</t>
        </is>
      </c>
      <c r="C599" t="inlineStr">
        <is>
          <t>España</t>
        </is>
      </c>
      <c r="D599" t="inlineStr">
        <is>
          <t>Málaga</t>
        </is>
      </c>
      <c r="E599" t="inlineStr">
        <is>
          <t>2026-05-21</t>
        </is>
      </c>
      <c r="F599" t="inlineStr">
        <is>
          <t>2026-05-28</t>
        </is>
      </c>
      <c r="G599" t="inlineStr"/>
      <c r="H599">
        <f>HYPERLINK("https://booking.roadsurfer.com/es/rally/pick?pickup_date=2026-05-21&amp;return_date=2026-05-28&amp;currency=EUR&amp;startStation=28&amp;endStation=21", "Clic para verlo en la web de RoadSurfer")</f>
        <v/>
      </c>
    </row>
    <row r="600">
      <c r="A600" t="inlineStr">
        <is>
          <t>Italia</t>
        </is>
      </c>
      <c r="B600" t="inlineStr">
        <is>
          <t>Turín</t>
        </is>
      </c>
      <c r="C600" t="inlineStr">
        <is>
          <t>Alemania</t>
        </is>
      </c>
      <c r="D600" t="inlineStr">
        <is>
          <t>Wurzburgo</t>
        </is>
      </c>
      <c r="E600" t="inlineStr">
        <is>
          <t>2026-05-11</t>
        </is>
      </c>
      <c r="F600" t="inlineStr">
        <is>
          <t>2026-05-18</t>
        </is>
      </c>
      <c r="G600" t="inlineStr">
        <is>
          <t xml:space="preserve"> - Surfer Suite</t>
        </is>
      </c>
      <c r="H600">
        <f>HYPERLINK("https://booking.roadsurfer.com/es/rally/pick?pickup_date=2026-05-11&amp;return_date=2026-05-18&amp;currency=EUR&amp;startStation=58&amp;endStation=115", "Clic para verlo en la web de RoadSurfer")</f>
        <v/>
      </c>
    </row>
    <row r="601">
      <c r="A601" t="inlineStr">
        <is>
          <t>Italia</t>
        </is>
      </c>
      <c r="B601" t="inlineStr">
        <is>
          <t>Turín</t>
        </is>
      </c>
      <c r="C601" t="inlineStr">
        <is>
          <t>Alemania</t>
        </is>
      </c>
      <c r="D601" t="inlineStr">
        <is>
          <t>Wurzburgo</t>
        </is>
      </c>
      <c r="E601" t="inlineStr">
        <is>
          <t>2026-05-04</t>
        </is>
      </c>
      <c r="F601" t="inlineStr">
        <is>
          <t>2026-05-11</t>
        </is>
      </c>
      <c r="G601" t="inlineStr"/>
      <c r="H601">
        <f>HYPERLINK("https://booking.roadsurfer.com/es/rally/pick?pickup_date=2026-05-04&amp;return_date=2026-05-11&amp;currency=EUR&amp;startStation=58&amp;endStation=115", "Clic para verlo en la web de RoadSurfer")</f>
        <v/>
      </c>
    </row>
    <row r="602">
      <c r="A602" t="inlineStr">
        <is>
          <t>Italia</t>
        </is>
      </c>
      <c r="B602" t="inlineStr">
        <is>
          <t>Turín</t>
        </is>
      </c>
      <c r="C602" t="inlineStr">
        <is>
          <t>Alemania</t>
        </is>
      </c>
      <c r="D602" t="inlineStr">
        <is>
          <t>Wurzburgo</t>
        </is>
      </c>
      <c r="E602" t="inlineStr">
        <is>
          <t>2026-04-30</t>
        </is>
      </c>
      <c r="F602" t="inlineStr">
        <is>
          <t>2026-05-07</t>
        </is>
      </c>
      <c r="G602" t="inlineStr"/>
      <c r="H602">
        <f>HYPERLINK("https://booking.roadsurfer.com/es/rally/pick?pickup_date=2026-04-30&amp;return_date=2026-05-07&amp;currency=EUR&amp;startStation=58&amp;endStation=115", "Clic para verlo en la web de RoadSurfer")</f>
        <v/>
      </c>
    </row>
    <row r="603">
      <c r="A603" t="inlineStr">
        <is>
          <t>Alemania</t>
        </is>
      </c>
      <c r="B603" t="inlineStr">
        <is>
          <t>Ulm</t>
        </is>
      </c>
      <c r="C603" t="inlineStr">
        <is>
          <t>Francia</t>
        </is>
      </c>
      <c r="D603" t="inlineStr">
        <is>
          <t>París Sur (Orly)</t>
        </is>
      </c>
      <c r="E603" t="inlineStr">
        <is>
          <t>2026-05-04</t>
        </is>
      </c>
      <c r="F603" t="inlineStr">
        <is>
          <t>2026-05-11</t>
        </is>
      </c>
      <c r="G603" t="inlineStr"/>
      <c r="H603">
        <f>HYPERLINK("https://booking.roadsurfer.com/es/rally/pick?pickup_date=2026-05-04&amp;return_date=2026-05-11&amp;currency=EUR&amp;startStation=112&amp;endStation=12", "Clic para verlo en la web de RoadSurfer")</f>
        <v/>
      </c>
    </row>
    <row r="604">
      <c r="A604" t="inlineStr">
        <is>
          <t>Alemania</t>
        </is>
      </c>
      <c r="B604" t="inlineStr">
        <is>
          <t>Ulm</t>
        </is>
      </c>
      <c r="C604" t="inlineStr">
        <is>
          <t>Suecia</t>
        </is>
      </c>
      <c r="D604" t="inlineStr">
        <is>
          <t>Gotemburgo</t>
        </is>
      </c>
      <c r="E604" t="inlineStr">
        <is>
          <t>2026-05-02</t>
        </is>
      </c>
      <c r="F604" t="inlineStr">
        <is>
          <t>2026-05-09</t>
        </is>
      </c>
      <c r="G604" t="inlineStr">
        <is>
          <t xml:space="preserve"> - Family Finca</t>
        </is>
      </c>
      <c r="H604">
        <f>HYPERLINK("https://booking.roadsurfer.com/es/rally/pick?pickup_date=2026-05-02&amp;return_date=2026-05-09&amp;currency=EUR&amp;startStation=112&amp;endStation=77", "Clic para verlo en la web de RoadSurfer")</f>
        <v/>
      </c>
    </row>
    <row r="605">
      <c r="A605" t="inlineStr">
        <is>
          <t>España</t>
        </is>
      </c>
      <c r="B605" t="inlineStr">
        <is>
          <t>Valencia</t>
        </is>
      </c>
      <c r="C605" t="inlineStr">
        <is>
          <t>Alemania</t>
        </is>
      </c>
      <c r="D605" t="inlineStr">
        <is>
          <t>Wurzburgo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Road House</t>
        </is>
      </c>
      <c r="H605">
        <f>HYPERLINK("https://booking.roadsurfer.com/es/rally/pick?pickup_date=2026-05-04&amp;return_date=2026-05-11&amp;currency=EUR&amp;startStation=38&amp;endStation=115", "Clic para verlo en la web de RoadSurfer")</f>
        <v/>
      </c>
    </row>
    <row r="606">
      <c r="A606" t="inlineStr">
        <is>
          <t>España</t>
        </is>
      </c>
      <c r="B606" t="inlineStr">
        <is>
          <t>Valencia</t>
        </is>
      </c>
      <c r="C606" t="inlineStr">
        <is>
          <t>Alemania</t>
        </is>
      </c>
      <c r="D606" t="inlineStr">
        <is>
          <t>Núremberg</t>
        </is>
      </c>
      <c r="E606" t="inlineStr">
        <is>
          <t>2026-04-28</t>
        </is>
      </c>
      <c r="F606" t="inlineStr">
        <is>
          <t>2026-05-05</t>
        </is>
      </c>
      <c r="G606" t="inlineStr"/>
      <c r="H606">
        <f>HYPERLINK("https://booking.roadsurfer.com/es/rally/pick?pickup_date=2026-04-28&amp;return_date=2026-05-05&amp;currency=EUR&amp;startStation=38&amp;endStation=11", "Clic para verlo en la web de RoadSurfer")</f>
        <v/>
      </c>
    </row>
    <row r="607">
      <c r="A607" t="inlineStr">
        <is>
          <t>España</t>
        </is>
      </c>
      <c r="B607" t="inlineStr">
        <is>
          <t>Valencia</t>
        </is>
      </c>
      <c r="C607" t="inlineStr">
        <is>
          <t>Alemania</t>
        </is>
      </c>
      <c r="D607" t="inlineStr">
        <is>
          <t>Maguncia</t>
        </is>
      </c>
      <c r="E607" t="inlineStr">
        <is>
          <t>2026-05-14</t>
        </is>
      </c>
      <c r="F607" t="inlineStr">
        <is>
          <t>2026-05-21</t>
        </is>
      </c>
      <c r="G607" t="inlineStr">
        <is>
          <t xml:space="preserve"> - Couple Cottage</t>
        </is>
      </c>
      <c r="H607">
        <f>HYPERLINK("https://booking.roadsurfer.com/es/rally/pick?pickup_date=2026-05-14&amp;return_date=2026-05-21&amp;currency=EUR&amp;startStation=38&amp;endStation=54", "Clic para verlo en la web de RoadSurfer")</f>
        <v/>
      </c>
    </row>
    <row r="608">
      <c r="A608" t="inlineStr">
        <is>
          <t>Italia</t>
        </is>
      </c>
      <c r="B608" t="inlineStr">
        <is>
          <t>Venecia</t>
        </is>
      </c>
      <c r="C608" t="inlineStr">
        <is>
          <t>Alemania</t>
        </is>
      </c>
      <c r="D608" t="inlineStr">
        <is>
          <t>Tréveris</t>
        </is>
      </c>
      <c r="E608" t="inlineStr">
        <is>
          <t>2026-05-14</t>
        </is>
      </c>
      <c r="F608" t="inlineStr">
        <is>
          <t>2026-05-21</t>
        </is>
      </c>
      <c r="G608" t="inlineStr"/>
      <c r="H608">
        <f>HYPERLINK("https://booking.roadsurfer.com/es/rally/pick?pickup_date=2026-05-14&amp;return_date=2026-05-21&amp;currency=EUR&amp;startStation=78&amp;endStation=28", "Clic para verlo en la web de RoadSurfer")</f>
        <v/>
      </c>
    </row>
    <row r="609">
      <c r="A609" t="inlineStr">
        <is>
          <t>Italia</t>
        </is>
      </c>
      <c r="B609" t="inlineStr">
        <is>
          <t>Venecia</t>
        </is>
      </c>
      <c r="C609" t="inlineStr">
        <is>
          <t>Alemania</t>
        </is>
      </c>
      <c r="D609" t="inlineStr">
        <is>
          <t>Tréveris</t>
        </is>
      </c>
      <c r="E609" t="inlineStr">
        <is>
          <t>2026-05-13</t>
        </is>
      </c>
      <c r="F609" t="inlineStr">
        <is>
          <t>2026-05-20</t>
        </is>
      </c>
      <c r="G609" t="inlineStr">
        <is>
          <t xml:space="preserve"> - Road House</t>
        </is>
      </c>
      <c r="H609">
        <f>HYPERLINK("https://booking.roadsurfer.com/es/rally/pick?pickup_date=2026-05-13&amp;return_date=2026-05-20&amp;currency=EUR&amp;startStation=78&amp;endStation=28", "Clic para verlo en la web de RoadSurfer")</f>
        <v/>
      </c>
    </row>
    <row r="610">
      <c r="A610" t="inlineStr">
        <is>
          <t>Italia</t>
        </is>
      </c>
      <c r="B610" t="inlineStr">
        <is>
          <t>Venecia</t>
        </is>
      </c>
      <c r="C610" t="inlineStr">
        <is>
          <t>Alemania</t>
        </is>
      </c>
      <c r="D610" t="inlineStr">
        <is>
          <t>Leipzig</t>
        </is>
      </c>
      <c r="E610" t="inlineStr">
        <is>
          <t>2026-05-06</t>
        </is>
      </c>
      <c r="F610" t="inlineStr">
        <is>
          <t>2026-05-13</t>
        </is>
      </c>
      <c r="G610" t="inlineStr"/>
      <c r="H610">
        <f>HYPERLINK("https://booking.roadsurfer.com/es/rally/pick?pickup_date=2026-05-06&amp;return_date=2026-05-13&amp;currency=EUR&amp;startStation=78&amp;endStation=8", "Clic para verlo en la web de RoadSurfer")</f>
        <v/>
      </c>
    </row>
    <row r="611">
      <c r="A611" t="inlineStr">
        <is>
          <t>Italia</t>
        </is>
      </c>
      <c r="B611" t="inlineStr">
        <is>
          <t>Venecia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Sunrise Suite</t>
        </is>
      </c>
      <c r="H611">
        <f>HYPERLINK("https://booking.roadsurfer.com/es/rally/pick?pickup_date=2026-05-04&amp;return_date=2026-05-11&amp;currency=EUR&amp;startStation=78&amp;endStation=22", "Clic para verlo en la web de RoadSurfer")</f>
        <v/>
      </c>
    </row>
    <row r="612">
      <c r="A612" t="inlineStr">
        <is>
          <t>Italia</t>
        </is>
      </c>
      <c r="B612" t="inlineStr">
        <is>
          <t>Venecia</t>
        </is>
      </c>
      <c r="C612" t="inlineStr">
        <is>
          <t>Alemania</t>
        </is>
      </c>
      <c r="D612" t="inlineStr">
        <is>
          <t>Erfurt</t>
        </is>
      </c>
      <c r="E612" t="inlineStr">
        <is>
          <t>2026-04-28</t>
        </is>
      </c>
      <c r="F612" t="inlineStr">
        <is>
          <t>2026-05-05</t>
        </is>
      </c>
      <c r="G612" t="inlineStr"/>
      <c r="H612">
        <f>HYPERLINK("https://booking.roadsurfer.com/es/rally/pick?pickup_date=2026-04-28&amp;return_date=2026-05-05&amp;currency=EUR&amp;startStation=78&amp;endStation=90", "Clic para verlo en la web de RoadSurfer")</f>
        <v/>
      </c>
    </row>
    <row r="613">
      <c r="A613" t="inlineStr">
        <is>
          <t>Austria</t>
        </is>
      </c>
      <c r="B613" t="inlineStr">
        <is>
          <t>Viena</t>
        </is>
      </c>
      <c r="C613" t="inlineStr">
        <is>
          <t>Alemania</t>
        </is>
      </c>
      <c r="D613" t="inlineStr">
        <is>
          <t>Erfurt</t>
        </is>
      </c>
      <c r="E613" t="inlineStr">
        <is>
          <t>2026-05-16</t>
        </is>
      </c>
      <c r="F613" t="inlineStr">
        <is>
          <t>2026-05-23</t>
        </is>
      </c>
      <c r="G613" t="inlineStr">
        <is>
          <t xml:space="preserve"> - Couple Cottage</t>
        </is>
      </c>
      <c r="H613">
        <f>HYPERLINK("https://booking.roadsurfer.com/es/rally/pick?pickup_date=2026-05-16&amp;return_date=2026-05-23&amp;currency=EUR&amp;startStation=36&amp;endStation=90",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2026-04-24T20:53:10Z</dcterms:created>
  <dcterms:modified xsi:type="dcterms:W3CDTF">2026-04-24T20:53:10Z</dcterms:modified>
</cp:coreProperties>
</file>