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Road House</t>
        </is>
      </c>
      <c r="H3">
        <f>HYPERLINK("https://booking.roadsurfer.com/es/rally/pick?pickup_date=2026-06-01&amp;return_date=2026-06-08&amp;currency=EUR&amp;startStation=114&amp;endStation=48",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Lille</t>
        </is>
      </c>
      <c r="E4" t="inlineStr">
        <is>
          <t>2026-06-26</t>
        </is>
      </c>
      <c r="F4" t="inlineStr">
        <is>
          <t>2026-07-03</t>
        </is>
      </c>
      <c r="G4" t="inlineStr">
        <is>
          <t xml:space="preserve"> - Surfer Suite</t>
        </is>
      </c>
      <c r="H4">
        <f>HYPERLINK("https://booking.roadsurfer.com/es/rally/pick?pickup_date=2026-06-26&amp;return_date=2026-07-03&amp;currency=EUR&amp;startStation=114&amp;endStation=87",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Francia</t>
        </is>
      </c>
      <c r="D5" t="inlineStr">
        <is>
          <t>Niza</t>
        </is>
      </c>
      <c r="E5" t="inlineStr">
        <is>
          <t>2026-06-01</t>
        </is>
      </c>
      <c r="F5" t="inlineStr">
        <is>
          <t>2026-06-08</t>
        </is>
      </c>
      <c r="G5" t="inlineStr"/>
      <c r="H5">
        <f>HYPERLINK("https://booking.roadsurfer.com/es/rally/pick?pickup_date=2026-06-01&amp;return_date=2026-06-08&amp;currency=EUR&amp;startStation=16&amp;endStation=88",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Francia</t>
        </is>
      </c>
      <c r="D6" t="inlineStr">
        <is>
          <t>Aix-Marsella</t>
        </is>
      </c>
      <c r="E6" t="inlineStr">
        <is>
          <t>2026-07-20</t>
        </is>
      </c>
      <c r="F6" t="inlineStr">
        <is>
          <t>2026-07-27</t>
        </is>
      </c>
      <c r="G6" t="inlineStr">
        <is>
          <t xml:space="preserve"> - Camper Castle</t>
        </is>
      </c>
      <c r="H6">
        <f>HYPERLINK("https://booking.roadsurfer.com/es/rally/pick?pickup_date=2026-07-20&amp;return_date=2026-07-27&amp;currency=EUR&amp;startStation=47&amp;endStation=16",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Bielefeld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Family Finca</t>
        </is>
      </c>
      <c r="H7">
        <f>HYPERLINK("https://booking.roadsurfer.com/es/rally/pick?pickup_date=2026-06-01&amp;return_date=2026-06-08&amp;currency=EUR&amp;startStation=47&amp;endStation=91",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Alemania</t>
        </is>
      </c>
      <c r="D10" t="inlineStr">
        <is>
          <t>Leipzig</t>
        </is>
      </c>
      <c r="E10" t="inlineStr">
        <is>
          <t>2026-05-20</t>
        </is>
      </c>
      <c r="F10" t="inlineStr">
        <is>
          <t>2026-05-27</t>
        </is>
      </c>
      <c r="G10" t="inlineStr">
        <is>
          <t xml:space="preserve"> - Cozy Cottage</t>
        </is>
      </c>
      <c r="H10">
        <f>HYPERLINK("https://booking.roadsurfer.com/es/rally/pick?pickup_date=2026-05-20&amp;return_date=2026-05-27&amp;currency=EUR&amp;startStation=108&amp;endStation=8",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Francia</t>
        </is>
      </c>
      <c r="D11" t="inlineStr">
        <is>
          <t>Burdeos</t>
        </is>
      </c>
      <c r="E11" t="inlineStr">
        <is>
          <t>2026-07-10</t>
        </is>
      </c>
      <c r="F11" t="inlineStr">
        <is>
          <t>2026-07-17</t>
        </is>
      </c>
      <c r="G11" t="inlineStr">
        <is>
          <t xml:space="preserve"> - Road House</t>
        </is>
      </c>
      <c r="H11">
        <f>HYPERLINK("https://booking.roadsurfer.com/es/rally/pick?pickup_date=2026-07-10&amp;return_date=2026-07-17&amp;currency=EUR&amp;startStation=108&amp;endStation=13",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Milán</t>
        </is>
      </c>
      <c r="E12" t="inlineStr">
        <is>
          <t>2026-06-27</t>
        </is>
      </c>
      <c r="F12" t="inlineStr">
        <is>
          <t>2026-07-04</t>
        </is>
      </c>
      <c r="G12" t="inlineStr">
        <is>
          <t xml:space="preserve"> - No hay coche</t>
        </is>
      </c>
      <c r="H12">
        <f>HYPERLINK("https://booking.roadsurfer.com/es/rally/pick?pickup_date=2026-06-27&amp;return_date=2026-07-04&amp;currency=EUR&amp;startStation=108&amp;endStation=34",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2026-07-31</t>
        </is>
      </c>
      <c r="F13" t="inlineStr">
        <is>
          <t>2026-08-01</t>
        </is>
      </c>
      <c r="G13" t="inlineStr">
        <is>
          <t xml:space="preserve"> - No hay coche</t>
        </is>
      </c>
      <c r="H13">
        <f>HYPERLINK("https://booking.roadsurfer.com/es/rally/pick?pickup_date=2026-07-31&amp;return_date=2026-08-01&amp;currency=EUR&amp;startStation=17&amp;endStation=15",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España</t>
        </is>
      </c>
      <c r="D14" t="inlineStr">
        <is>
          <t>Madrid</t>
        </is>
      </c>
      <c r="E14" t="inlineStr">
        <is>
          <t>2026-06-01</t>
        </is>
      </c>
      <c r="F14" t="inlineStr">
        <is>
          <t>2026-06-08</t>
        </is>
      </c>
      <c r="G14" t="inlineStr">
        <is>
          <t xml:space="preserve"> - Cozy Cottage</t>
        </is>
      </c>
      <c r="H14">
        <f>HYPERLINK("https://booking.roadsurfer.com/es/rally/pick?pickup_date=2026-06-01&amp;return_date=2026-06-08&amp;currency=EUR&amp;startStation=94&amp;endStation=20", "Clic para verlo en la web de RoadSurfer")</f>
        <v/>
      </c>
    </row>
    <row r="15">
      <c r="A15" t="inlineStr">
        <is>
          <t>Italia</t>
        </is>
      </c>
      <c r="B15" t="inlineStr">
        <is>
          <t>Bérgamo</t>
        </is>
      </c>
      <c r="C15" t="inlineStr">
        <is>
          <t>Alemania</t>
        </is>
      </c>
      <c r="D15" t="inlineStr">
        <is>
          <t>Colonia-Düsseldorf</t>
        </is>
      </c>
      <c r="E15" t="inlineStr">
        <is>
          <t>2026-06-01</t>
        </is>
      </c>
      <c r="F15" t="inlineStr">
        <is>
          <t>2026-06-08</t>
        </is>
      </c>
      <c r="G15" t="inlineStr">
        <is>
          <t xml:space="preserve"> - Cozy Cottage</t>
        </is>
      </c>
      <c r="H15">
        <f>HYPERLINK("https://booking.roadsurfer.com/es/rally/pick?pickup_date=2026-06-01&amp;return_date=2026-06-08&amp;currency=EUR&amp;startStation=94&amp;endStation=4",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Francia</t>
        </is>
      </c>
      <c r="D16" t="inlineStr">
        <is>
          <t>París Aeropuerto CDG</t>
        </is>
      </c>
      <c r="E16" t="inlineStr">
        <is>
          <t>2026-06-12</t>
        </is>
      </c>
      <c r="F16" t="inlineStr">
        <is>
          <t>2026-06-19</t>
        </is>
      </c>
      <c r="G16" t="inlineStr">
        <is>
          <t xml:space="preserve"> - Surfer Suite</t>
        </is>
      </c>
      <c r="H16">
        <f>HYPERLINK("https://booking.roadsurfer.com/es/rally/pick?pickup_date=2026-06-12&amp;return_date=2026-06-19&amp;currency=EUR&amp;startStation=6&amp;endStation=48",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2026-06-01</t>
        </is>
      </c>
      <c r="F17" t="inlineStr">
        <is>
          <t>2026-06-08</t>
        </is>
      </c>
      <c r="G17" t="inlineStr">
        <is>
          <t xml:space="preserve"> - Surfer Suite</t>
        </is>
      </c>
      <c r="H17">
        <f>HYPERLINK("https://booking.roadsurfer.com/es/rally/pick?pickup_date=2026-06-01&amp;return_date=2026-06-08&amp;currency=EUR&amp;startStation=6&amp;endStation=42",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2026-06-08</t>
        </is>
      </c>
      <c r="F18" t="inlineStr">
        <is>
          <t>2026-06-15</t>
        </is>
      </c>
      <c r="G18" t="inlineStr"/>
      <c r="H18">
        <f>HYPERLINK("https://booking.roadsurfer.com/es/rally/pick?pickup_date=2026-06-08&amp;return_date=2026-06-15&amp;currency=EUR&amp;startStation=6&amp;endStation=42",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No hay coche</t>
        </is>
      </c>
      <c r="H19">
        <f>HYPERLINK("https://booking.roadsurfer.com/es/rally/pick?pickup_date=2026-06-08&amp;return_date=2026-06-15&amp;currency=EUR&amp;startStation=6&amp;endStation=30",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2026-06-06</t>
        </is>
      </c>
      <c r="F23" t="inlineStr">
        <is>
          <t>2026-06-13</t>
        </is>
      </c>
      <c r="G23" t="inlineStr">
        <is>
          <t xml:space="preserve"> - Surfer Suite</t>
        </is>
      </c>
      <c r="H23">
        <f>HYPERLINK("https://booking.roadsurfer.com/es/rally/pick?pickup_date=2026-06-06&amp;return_date=2026-06-13&amp;currency=EUR&amp;startStation=51&amp;endStation=56",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2026-05-26</t>
        </is>
      </c>
      <c r="F24" t="inlineStr">
        <is>
          <t>2026-06-01</t>
        </is>
      </c>
      <c r="G24" t="inlineStr">
        <is>
          <t xml:space="preserve"> - No hay coche</t>
        </is>
      </c>
      <c r="H24">
        <f>HYPERLINK("https://booking.roadsurfer.com/es/rally/pick?pickup_date=2026-05-26&amp;return_date=2026-06-01&amp;currency=EUR&amp;startStation=51&amp;endStation=24",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2026-06-01</t>
        </is>
      </c>
      <c r="F25" t="inlineStr">
        <is>
          <t>2026-06-08</t>
        </is>
      </c>
      <c r="G25" t="inlineStr">
        <is>
          <t xml:space="preserve"> - Cozy Cottage</t>
        </is>
      </c>
      <c r="H25">
        <f>HYPERLINK("https://booking.roadsurfer.com/es/rally/pick?pickup_date=2026-06-01&amp;return_date=2026-06-08&amp;currency=EUR&amp;startStation=51&amp;endStation=52",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España</t>
        </is>
      </c>
      <c r="D26" t="inlineStr">
        <is>
          <t>Bilbao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Surfer Suite</t>
        </is>
      </c>
      <c r="H26">
        <f>HYPERLINK("https://booking.roadsurfer.com/es/rally/pick?pickup_date=2026-06-15&amp;return_date=2026-06-22&amp;currency=EUR&amp;startStation=91&amp;endStation=40",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España</t>
        </is>
      </c>
      <c r="D27" t="inlineStr">
        <is>
          <t>Bilbao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Camper Cabin</t>
        </is>
      </c>
      <c r="H27">
        <f>HYPERLINK("https://booking.roadsurfer.com/es/rally/pick?pickup_date=2026-06-06&amp;return_date=2026-06-13&amp;currency=EUR&amp;startStation=91&amp;endStation=40",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2026-05-30</t>
        </is>
      </c>
      <c r="F28" t="inlineStr">
        <is>
          <t>2026-06-06</t>
        </is>
      </c>
      <c r="G28" t="inlineStr">
        <is>
          <t xml:space="preserve"> - Road House</t>
        </is>
      </c>
      <c r="H28">
        <f>HYPERLINK("https://booking.roadsurfer.com/es/rally/pick?pickup_date=2026-05-30&amp;return_date=2026-06-06&amp;currency=EUR&amp;startStation=91&amp;endStation=40",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Nantes</t>
        </is>
      </c>
      <c r="E29" t="inlineStr">
        <is>
          <t>2026-05-27</t>
        </is>
      </c>
      <c r="F29" t="inlineStr">
        <is>
          <t>2026-06-03</t>
        </is>
      </c>
      <c r="G29" t="inlineStr">
        <is>
          <t xml:space="preserve"> - Beach Hostel</t>
        </is>
      </c>
      <c r="H29">
        <f>HYPERLINK("https://booking.roadsurfer.com/es/rally/pick?pickup_date=2026-05-27&amp;return_date=2026-06-03&amp;currency=EUR&amp;startStation=91&amp;endStation=31",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2026-06-12</t>
        </is>
      </c>
      <c r="F30" t="inlineStr">
        <is>
          <t>2026-06-19</t>
        </is>
      </c>
      <c r="G30" t="inlineStr"/>
      <c r="H30">
        <f>HYPERLINK("https://booking.roadsurfer.com/es/rally/pick?pickup_date=2026-06-12&amp;return_date=2026-06-19&amp;currency=EUR&amp;startStation=91&amp;endStation=12",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Road House</t>
        </is>
      </c>
      <c r="H31">
        <f>HYPERLINK("https://booking.roadsurfer.com/es/rally/pick?pickup_date=2026-06-17&amp;return_date=2026-06-24&amp;currency=EUR&amp;startStation=91&amp;endStation=12",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Sunrise Suite</t>
        </is>
      </c>
      <c r="H32">
        <f>HYPERLINK("https://booking.roadsurfer.com/es/rally/pick?pickup_date=2026-06-16&amp;return_date=2026-06-23&amp;currency=EUR&amp;startStation=91&amp;endStation=12",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Bélgica</t>
        </is>
      </c>
      <c r="D34" t="inlineStr">
        <is>
          <t>Bruselas</t>
        </is>
      </c>
      <c r="E34" t="inlineStr">
        <is>
          <t>2026-06-22</t>
        </is>
      </c>
      <c r="F34" t="inlineStr">
        <is>
          <t>2026-06-29</t>
        </is>
      </c>
      <c r="G34" t="inlineStr">
        <is>
          <t xml:space="preserve"> - No hay coche</t>
        </is>
      </c>
      <c r="H34">
        <f>HYPERLINK("https://booking.roadsurfer.com/es/rally/pick?pickup_date=2026-06-22&amp;return_date=2026-06-29&amp;currency=EUR&amp;startStation=91&amp;endStation=42",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Road House</t>
        </is>
      </c>
      <c r="H35">
        <f>HYPERLINK("https://booking.roadsurfer.com/es/rally/pick?pickup_date=2026-06-23&amp;return_date=2026-06-30&amp;currency=EUR&amp;startStation=91&amp;endStation=42",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2026-06-10</t>
        </is>
      </c>
      <c r="F37" t="inlineStr">
        <is>
          <t>2026-06-17</t>
        </is>
      </c>
      <c r="G37" t="inlineStr">
        <is>
          <t xml:space="preserve"> - Couple Cottage</t>
        </is>
      </c>
      <c r="H37">
        <f>HYPERLINK("https://booking.roadsurfer.com/es/rally/pick?pickup_date=2026-06-10&amp;return_date=2026-06-17&amp;currency=EUR&amp;startStation=91&amp;endStation=77",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Sunrise Suite</t>
        </is>
      </c>
      <c r="H38">
        <f>HYPERLINK("https://booking.roadsurfer.com/es/rally/pick?pickup_date=2026-06-03&amp;return_date=2026-06-10&amp;currency=EUR&amp;startStation=91&amp;endStation=77",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2026-06-24</t>
        </is>
      </c>
      <c r="F39" t="inlineStr">
        <is>
          <t>2026-07-01</t>
        </is>
      </c>
      <c r="G39" t="inlineStr">
        <is>
          <t xml:space="preserve"> - Sunrise Suite</t>
        </is>
      </c>
      <c r="H39">
        <f>HYPERLINK("https://booking.roadsurfer.com/es/rally/pick?pickup_date=2026-06-24&amp;return_date=2026-07-01&amp;currency=EUR&amp;startStation=91&amp;endStation=77",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2026-06-29</t>
        </is>
      </c>
      <c r="F40" t="inlineStr">
        <is>
          <t>2026-07-06</t>
        </is>
      </c>
      <c r="G40" t="inlineStr">
        <is>
          <t xml:space="preserve"> - Road House</t>
        </is>
      </c>
      <c r="H40">
        <f>HYPERLINK("https://booking.roadsurfer.com/es/rally/pick?pickup_date=2026-06-29&amp;return_date=2026-07-06&amp;currency=EUR&amp;startStation=91&amp;endStation=59",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2026-06-11</t>
        </is>
      </c>
      <c r="F41" t="inlineStr">
        <is>
          <t>2026-06-18</t>
        </is>
      </c>
      <c r="G41" t="inlineStr">
        <is>
          <t xml:space="preserve"> - Road House</t>
        </is>
      </c>
      <c r="H41">
        <f>HYPERLINK("https://booking.roadsurfer.com/es/rally/pick?pickup_date=2026-06-11&amp;return_date=2026-06-18&amp;currency=EUR&amp;startStation=91&amp;endStation=59",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2026-06-26</t>
        </is>
      </c>
      <c r="F42" t="inlineStr">
        <is>
          <t>2026-07-03</t>
        </is>
      </c>
      <c r="G42" t="inlineStr">
        <is>
          <t xml:space="preserve"> - Couple Cottage</t>
        </is>
      </c>
      <c r="H42">
        <f>HYPERLINK("https://booking.roadsurfer.com/es/rally/pick?pickup_date=2026-06-26&amp;return_date=2026-07-03&amp;currency=EUR&amp;startStation=91&amp;endStation=59",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Bélgica</t>
        </is>
      </c>
      <c r="D43" t="inlineStr">
        <is>
          <t>Amberes</t>
        </is>
      </c>
      <c r="E43" t="inlineStr">
        <is>
          <t>2026-06-20</t>
        </is>
      </c>
      <c r="F43" t="inlineStr">
        <is>
          <t>2026-06-27</t>
        </is>
      </c>
      <c r="G43" t="inlineStr">
        <is>
          <t xml:space="preserve"> - Camper Castle</t>
        </is>
      </c>
      <c r="H43">
        <f>HYPERLINK("https://booking.roadsurfer.com/es/rally/pick?pickup_date=2026-06-20&amp;return_date=2026-06-27&amp;currency=EUR&amp;startStation=91&amp;endStation=47",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2026-06-03</t>
        </is>
      </c>
      <c r="F44" t="inlineStr">
        <is>
          <t>2026-06-10</t>
        </is>
      </c>
      <c r="G44" t="inlineStr">
        <is>
          <t xml:space="preserve"> - Surfer Suite</t>
        </is>
      </c>
      <c r="H44">
        <f>HYPERLINK("https://booking.roadsurfer.com/es/rally/pick?pickup_date=2026-06-03&amp;return_date=2026-06-10&amp;currency=EUR&amp;startStation=40&amp;endStation=2",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2026-06-01</t>
        </is>
      </c>
      <c r="F45" t="inlineStr">
        <is>
          <t>2026-06-08</t>
        </is>
      </c>
      <c r="G45" t="inlineStr">
        <is>
          <t xml:space="preserve"> - Camper Cabin</t>
        </is>
      </c>
      <c r="H45">
        <f>HYPERLINK("https://booking.roadsurfer.com/es/rally/pick?pickup_date=2026-06-01&amp;return_date=2026-06-08&amp;currency=EUR&amp;startStation=40&amp;endStation=22",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2026-05-27</t>
        </is>
      </c>
      <c r="F46" t="inlineStr">
        <is>
          <t>2026-06-03</t>
        </is>
      </c>
      <c r="G46" t="inlineStr">
        <is>
          <t xml:space="preserve"> - Sunrise Suite</t>
        </is>
      </c>
      <c r="H46">
        <f>HYPERLINK("https://booking.roadsurfer.com/es/rally/pick?pickup_date=2026-05-27&amp;return_date=2026-06-03&amp;currency=EUR&amp;startStation=40&amp;endStation=22",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2026-05-29</t>
        </is>
      </c>
      <c r="F47" t="inlineStr">
        <is>
          <t>2026-06-05</t>
        </is>
      </c>
      <c r="G47" t="inlineStr">
        <is>
          <t xml:space="preserve"> - Beach Hostel - Sunrise Suite</t>
        </is>
      </c>
      <c r="H47">
        <f>HYPERLINK("https://booking.roadsurfer.com/es/rally/pick?pickup_date=2026-05-29&amp;return_date=2026-06-05&amp;currency=EUR&amp;startStation=40&amp;endStation=22",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Tréveris</t>
        </is>
      </c>
      <c r="E48" t="inlineStr">
        <is>
          <t>2026-05-30</t>
        </is>
      </c>
      <c r="F48" t="inlineStr">
        <is>
          <t>2026-06-06</t>
        </is>
      </c>
      <c r="G48" t="inlineStr">
        <is>
          <t xml:space="preserve"> - Camper Cabin</t>
        </is>
      </c>
      <c r="H48">
        <f>HYPERLINK("https://booking.roadsurfer.com/es/rally/pick?pickup_date=2026-05-30&amp;return_date=2026-06-06&amp;currency=EUR&amp;startStation=40&amp;endStation=28",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Tréveris</t>
        </is>
      </c>
      <c r="E49" t="inlineStr">
        <is>
          <t>2026-05-28</t>
        </is>
      </c>
      <c r="F49" t="inlineStr">
        <is>
          <t>2026-06-04</t>
        </is>
      </c>
      <c r="G49" t="inlineStr">
        <is>
          <t xml:space="preserve"> - No hay coche</t>
        </is>
      </c>
      <c r="H49">
        <f>HYPERLINK("https://booking.roadsurfer.com/es/rally/pick?pickup_date=2026-05-28&amp;return_date=2026-06-04&amp;currency=EUR&amp;startStation=40&amp;endStation=28",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Tréveris</t>
        </is>
      </c>
      <c r="E50" t="inlineStr">
        <is>
          <t>2026-06-06</t>
        </is>
      </c>
      <c r="F50" t="inlineStr">
        <is>
          <t>2026-06-08</t>
        </is>
      </c>
      <c r="G50" t="inlineStr">
        <is>
          <t xml:space="preserve"> - Camper Castle</t>
        </is>
      </c>
      <c r="H50">
        <f>HYPERLINK("https://booking.roadsurfer.com/es/rally/pick?pickup_date=2026-06-06&amp;return_date=2026-06-08&amp;currency=EUR&amp;startStation=40&amp;endStation=28",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Road House</t>
        </is>
      </c>
      <c r="H51">
        <f>HYPERLINK("https://booking.roadsurfer.com/es/rally/pick?pickup_date=2026-06-01&amp;return_date=2026-06-08&amp;currency=EUR&amp;startStation=40&amp;endStation=90", "Clic para verlo en la web de RoadSurfer")</f>
        <v/>
      </c>
    </row>
    <row r="52">
      <c r="A52" t="inlineStr">
        <is>
          <t>Alemania</t>
        </is>
      </c>
      <c r="B52" t="inlineStr">
        <is>
          <t>Bochum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Surfer Suite</t>
        </is>
      </c>
      <c r="H52">
        <f>HYPERLINK("https://booking.roadsurfer.com/es/rally/pick?pickup_date=2026-06-08&amp;return_date=2026-06-15&amp;currency=EUR&amp;startStation=24&amp;endStation=42",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2026-06-12</t>
        </is>
      </c>
      <c r="F53" t="inlineStr">
        <is>
          <t>2026-06-19</t>
        </is>
      </c>
      <c r="G53" t="inlineStr">
        <is>
          <t xml:space="preserve"> - Travel Home</t>
        </is>
      </c>
      <c r="H53">
        <f>HYPERLINK("https://booking.roadsurfer.com/es/rally/pick?pickup_date=2026-06-12&amp;return_date=2026-06-19&amp;currency=EUR&amp;startStation=24&amp;endStation=29", "Clic para verlo en la web de RoadSurfer")</f>
        <v/>
      </c>
    </row>
    <row r="54">
      <c r="A54" t="inlineStr">
        <is>
          <t>Alemania</t>
        </is>
      </c>
      <c r="B54" t="inlineStr">
        <is>
          <t>Bochum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Couple Cottage</t>
        </is>
      </c>
      <c r="H54">
        <f>HYPERLINK("https://booking.roadsurfer.com/es/rally/pick?pickup_date=2026-06-15&amp;return_date=2026-06-22&amp;currency=EUR&amp;startStation=24&amp;endStation=29", "Clic para verlo en la web de RoadSurfer")</f>
        <v/>
      </c>
    </row>
    <row r="55">
      <c r="A55" t="inlineStr">
        <is>
          <t>Alemania</t>
        </is>
      </c>
      <c r="B55" t="inlineStr">
        <is>
          <t>Bochum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2026-06-04</t>
        </is>
      </c>
      <c r="F55" t="inlineStr">
        <is>
          <t>2026-06-11</t>
        </is>
      </c>
      <c r="G55" t="inlineStr">
        <is>
          <t xml:space="preserve"> - No hay coche</t>
        </is>
      </c>
      <c r="H55">
        <f>HYPERLINK("https://booking.roadsurfer.com/es/rally/pick?pickup_date=2026-06-04&amp;return_date=2026-06-11&amp;currency=EUR&amp;startStation=24&amp;endStation=48",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2026-05-29</t>
        </is>
      </c>
      <c r="F56" t="inlineStr">
        <is>
          <t>2026-06-05</t>
        </is>
      </c>
      <c r="G56" t="inlineStr">
        <is>
          <t xml:space="preserve"> - Surfer Suite</t>
        </is>
      </c>
      <c r="H56">
        <f>HYPERLINK("https://booking.roadsurfer.com/es/rally/pick?pickup_date=2026-05-29&amp;return_date=2026-06-05&amp;currency=EUR&amp;startStation=13&amp;endStation=22",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Camper Cabin - Couple Cottage</t>
        </is>
      </c>
      <c r="H57">
        <f>HYPERLINK("https://booking.roadsurfer.com/es/rally/pick?pickup_date=2026-06-01&amp;return_date=2026-06-08&amp;currency=EUR&amp;startStation=13&amp;endStation=22",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2026-05-29</t>
        </is>
      </c>
      <c r="F58" t="inlineStr">
        <is>
          <t>2026-06-05</t>
        </is>
      </c>
      <c r="G58" t="inlineStr">
        <is>
          <t xml:space="preserve"> - Surfer Suite</t>
        </is>
      </c>
      <c r="H58">
        <f>HYPERLINK("https://booking.roadsurfer.com/es/rally/pick?pickup_date=2026-05-29&amp;return_date=2026-06-05&amp;currency=EUR&amp;startStation=13&amp;endStation=56",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2026-05-30</t>
        </is>
      </c>
      <c r="F59" t="inlineStr">
        <is>
          <t>2026-06-06</t>
        </is>
      </c>
      <c r="G59" t="inlineStr">
        <is>
          <t xml:space="preserve"> - Surfer Suite - Road House</t>
        </is>
      </c>
      <c r="H59">
        <f>HYPERLINK("https://booking.roadsurfer.com/es/rally/pick?pickup_date=2026-05-30&amp;return_date=2026-06-06&amp;currency=EUR&amp;startStation=13&amp;endStation=56",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Dresde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Camper Castle - Sunrise Suite</t>
        </is>
      </c>
      <c r="H60">
        <f>HYPERLINK("https://booking.roadsurfer.com/es/rally/pick?pickup_date=2026-05-28&amp;return_date=2026-06-04&amp;currency=EUR&amp;startStation=13&amp;endStation=56",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Dresde</t>
        </is>
      </c>
      <c r="E61" t="inlineStr">
        <is>
          <t>2026-05-27</t>
        </is>
      </c>
      <c r="F61" t="inlineStr">
        <is>
          <t>2026-06-03</t>
        </is>
      </c>
      <c r="G61" t="inlineStr">
        <is>
          <t xml:space="preserve"> - Surfer Suite</t>
        </is>
      </c>
      <c r="H61">
        <f>HYPERLINK("https://booking.roadsurfer.com/es/rally/pick?pickup_date=2026-05-27&amp;return_date=2026-06-03&amp;currency=EUR&amp;startStation=13&amp;endStation=56",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2026-05-30</t>
        </is>
      </c>
      <c r="F62" t="inlineStr">
        <is>
          <t>2026-06-06</t>
        </is>
      </c>
      <c r="G62" t="inlineStr">
        <is>
          <t xml:space="preserve"> - Sunrise Suite</t>
        </is>
      </c>
      <c r="H62">
        <f>HYPERLINK("https://booking.roadsurfer.com/es/rally/pick?pickup_date=2026-05-30&amp;return_date=2026-06-06&amp;currency=EUR&amp;startStation=13&amp;endStation=90",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2026-05-28</t>
        </is>
      </c>
      <c r="F63" t="inlineStr">
        <is>
          <t>2026-06-04</t>
        </is>
      </c>
      <c r="G63" t="inlineStr">
        <is>
          <t xml:space="preserve"> - Beach Hostel</t>
        </is>
      </c>
      <c r="H63">
        <f>HYPERLINK("https://booking.roadsurfer.com/es/rally/pick?pickup_date=2026-05-28&amp;return_date=2026-06-04&amp;currency=EUR&amp;startStation=13&amp;endStation=90",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Surfer Suite</t>
        </is>
      </c>
      <c r="H64">
        <f>HYPERLINK("https://booking.roadsurfer.com/es/rally/pick?pickup_date=2026-05-30&amp;return_date=2026-06-06&amp;currency=EUR&amp;startStation=13&amp;endStation=130",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Colonia-Düsseldorf</t>
        </is>
      </c>
      <c r="E65" t="inlineStr">
        <is>
          <t>2026-05-27</t>
        </is>
      </c>
      <c r="F65" t="inlineStr">
        <is>
          <t>2026-06-05</t>
        </is>
      </c>
      <c r="G65" t="inlineStr">
        <is>
          <t xml:space="preserve"> - Road House</t>
        </is>
      </c>
      <c r="H65">
        <f>HYPERLINK("https://booking.roadsurfer.com/es/rally/pick?pickup_date=2026-05-27&amp;return_date=2026-06-05&amp;currency=EUR&amp;startStation=13&amp;endStation=4",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Constanza (Aach)</t>
        </is>
      </c>
      <c r="E66" t="inlineStr">
        <is>
          <t>2026-05-29</t>
        </is>
      </c>
      <c r="F66" t="inlineStr">
        <is>
          <t>2026-06-05</t>
        </is>
      </c>
      <c r="G66" t="inlineStr">
        <is>
          <t xml:space="preserve"> - Sunrise Suite</t>
        </is>
      </c>
      <c r="H66">
        <f>HYPERLINK("https://booking.roadsurfer.com/es/rally/pick?pickup_date=2026-05-29&amp;return_date=2026-06-05&amp;currency=EUR&amp;startStation=13&amp;endStation=10",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Bélgica</t>
        </is>
      </c>
      <c r="D67" t="inlineStr">
        <is>
          <t>Bruselas</t>
        </is>
      </c>
      <c r="E67" t="inlineStr">
        <is>
          <t>2026-06-05</t>
        </is>
      </c>
      <c r="F67" t="inlineStr">
        <is>
          <t>2026-06-12</t>
        </is>
      </c>
      <c r="G67" t="inlineStr">
        <is>
          <t xml:space="preserve"> - No hay coche</t>
        </is>
      </c>
      <c r="H67">
        <f>HYPERLINK("https://booking.roadsurfer.com/es/rally/pick?pickup_date=2026-06-05&amp;return_date=2026-06-12&amp;currency=EUR&amp;startStation=55&amp;endStation=42",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2026-06-10</t>
        </is>
      </c>
      <c r="F68" t="inlineStr">
        <is>
          <t>2026-06-17</t>
        </is>
      </c>
      <c r="G68" t="inlineStr">
        <is>
          <t xml:space="preserve"> - Camper Cabin</t>
        </is>
      </c>
      <c r="H68">
        <f>HYPERLINK("https://booking.roadsurfer.com/es/rally/pick?pickup_date=2026-06-10&amp;return_date=2026-06-17&amp;currency=EUR&amp;startStation=55&amp;endStation=42",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2026-06-23</t>
        </is>
      </c>
      <c r="F69" t="inlineStr">
        <is>
          <t>2026-06-30</t>
        </is>
      </c>
      <c r="G69" t="inlineStr">
        <is>
          <t xml:space="preserve"> - Sunrise Suite</t>
        </is>
      </c>
      <c r="H69">
        <f>HYPERLINK("https://booking.roadsurfer.com/es/rally/pick?pickup_date=2026-06-23&amp;return_date=2026-06-30&amp;currency=EUR&amp;startStation=55&amp;endStation=42",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Suecia</t>
        </is>
      </c>
      <c r="D70" t="inlineStr">
        <is>
          <t>Gotemburgo</t>
        </is>
      </c>
      <c r="E70" t="inlineStr">
        <is>
          <t>2026-10-05</t>
        </is>
      </c>
      <c r="F70" t="inlineStr">
        <is>
          <t>2026-10-12</t>
        </is>
      </c>
      <c r="G70" t="inlineStr">
        <is>
          <t xml:space="preserve"> - Camper Castle</t>
        </is>
      </c>
      <c r="H70">
        <f>HYPERLINK("https://booking.roadsurfer.com/es/rally/pick?pickup_date=2026-10-05&amp;return_date=2026-10-12&amp;currency=EUR&amp;startStation=55&amp;endStation=77",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2026-06-30</t>
        </is>
      </c>
      <c r="F71" t="inlineStr">
        <is>
          <t>2026-07-07</t>
        </is>
      </c>
      <c r="G71" t="inlineStr">
        <is>
          <t xml:space="preserve"> - Sunrise Suite</t>
        </is>
      </c>
      <c r="H71">
        <f>HYPERLINK("https://booking.roadsurfer.com/es/rally/pick?pickup_date=2026-06-30&amp;return_date=2026-07-07&amp;currency=EUR&amp;startStation=55&amp;endStation=77",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Sunrise Suite</t>
        </is>
      </c>
      <c r="H72">
        <f>HYPERLINK("https://booking.roadsurfer.com/es/rally/pick?pickup_date=2026-06-05&amp;return_date=2026-06-12&amp;currency=EUR&amp;startStation=55&amp;endStation=77",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Italia</t>
        </is>
      </c>
      <c r="D73" t="inlineStr">
        <is>
          <t>Milán</t>
        </is>
      </c>
      <c r="E73" t="inlineStr">
        <is>
          <t>2026-05-25</t>
        </is>
      </c>
      <c r="F73" t="inlineStr">
        <is>
          <t>2026-06-01</t>
        </is>
      </c>
      <c r="G73" t="inlineStr">
        <is>
          <t xml:space="preserve"> - No hay coche</t>
        </is>
      </c>
      <c r="H73">
        <f>HYPERLINK("https://booking.roadsurfer.com/es/rally/pick?pickup_date=2026-05-25&amp;return_date=2026-06-01&amp;currency=EUR&amp;startStation=55&amp;endStation=34",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Malmö</t>
        </is>
      </c>
      <c r="E74" t="inlineStr">
        <is>
          <t>2026-06-15</t>
        </is>
      </c>
      <c r="F74" t="inlineStr">
        <is>
          <t>2026-06-22</t>
        </is>
      </c>
      <c r="G74" t="inlineStr">
        <is>
          <t xml:space="preserve"> - Camper Castle</t>
        </is>
      </c>
      <c r="H74">
        <f>HYPERLINK("https://booking.roadsurfer.com/es/rally/pick?pickup_date=2026-06-15&amp;return_date=2026-06-22&amp;currency=EUR&amp;startStation=55&amp;endStation=60",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2026-06-16</t>
        </is>
      </c>
      <c r="F75" t="inlineStr">
        <is>
          <t>2026-06-23</t>
        </is>
      </c>
      <c r="G75" t="inlineStr">
        <is>
          <t xml:space="preserve"> - No hay coche</t>
        </is>
      </c>
      <c r="H75">
        <f>HYPERLINK("https://booking.roadsurfer.com/es/rally/pick?pickup_date=2026-06-16&amp;return_date=2026-06-23&amp;currency=EUR&amp;startStation=55&amp;endStation=60",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Suecia</t>
        </is>
      </c>
      <c r="D76" t="inlineStr">
        <is>
          <t>Malmö</t>
        </is>
      </c>
      <c r="E76" t="inlineStr">
        <is>
          <t>2026-06-08</t>
        </is>
      </c>
      <c r="F76" t="inlineStr">
        <is>
          <t>2026-06-15</t>
        </is>
      </c>
      <c r="G76" t="inlineStr">
        <is>
          <t xml:space="preserve"> - Couple Cottage</t>
        </is>
      </c>
      <c r="H76">
        <f>HYPERLINK("https://booking.roadsurfer.com/es/rally/pick?pickup_date=2026-06-08&amp;return_date=2026-06-15&amp;currency=EUR&amp;startStation=55&amp;endStation=60",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Austria</t>
        </is>
      </c>
      <c r="D77" t="inlineStr">
        <is>
          <t>Viena</t>
        </is>
      </c>
      <c r="E77" t="inlineStr">
        <is>
          <t>2026-06-24</t>
        </is>
      </c>
      <c r="F77" t="inlineStr">
        <is>
          <t>2026-07-01</t>
        </is>
      </c>
      <c r="G77" t="inlineStr">
        <is>
          <t xml:space="preserve"> - Sunrise Suite</t>
        </is>
      </c>
      <c r="H77">
        <f>HYPERLINK("https://booking.roadsurfer.com/es/rally/pick?pickup_date=2026-06-24&amp;return_date=2026-07-01&amp;currency=EUR&amp;startStation=55&amp;endStation=36",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Bochum</t>
        </is>
      </c>
      <c r="E78" t="inlineStr">
        <is>
          <t>2026-05-28</t>
        </is>
      </c>
      <c r="F78" t="inlineStr">
        <is>
          <t>2026-06-04</t>
        </is>
      </c>
      <c r="G78" t="inlineStr">
        <is>
          <t xml:space="preserve"> - No hay coche</t>
        </is>
      </c>
      <c r="H78">
        <f>HYPERLINK("https://booking.roadsurfer.com/es/rally/pick?pickup_date=2026-05-28&amp;return_date=2026-06-04&amp;currency=EUR&amp;startStation=42&amp;endStation=24",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Bielefeld</t>
        </is>
      </c>
      <c r="E79" t="inlineStr">
        <is>
          <t>2026-07-20</t>
        </is>
      </c>
      <c r="F79" t="inlineStr">
        <is>
          <t>2026-07-27</t>
        </is>
      </c>
      <c r="G79" t="inlineStr">
        <is>
          <t xml:space="preserve"> - Couple Cottage</t>
        </is>
      </c>
      <c r="H79">
        <f>HYPERLINK("https://booking.roadsurfer.com/es/rally/pick?pickup_date=2026-07-20&amp;return_date=2026-07-27&amp;currency=EUR&amp;startStation=42&amp;endStation=91",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2026-06-08</t>
        </is>
      </c>
      <c r="F80" t="inlineStr">
        <is>
          <t>2026-06-15</t>
        </is>
      </c>
      <c r="G80" t="inlineStr">
        <is>
          <t xml:space="preserve"> - Beach Hostel</t>
        </is>
      </c>
      <c r="H80">
        <f>HYPERLINK("https://booking.roadsurfer.com/es/rally/pick?pickup_date=2026-06-08&amp;return_date=2026-06-15&amp;currency=EUR&amp;startStation=4&amp;endStation=8",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Camper Cabin</t>
        </is>
      </c>
      <c r="H81">
        <f>HYPERLINK("https://booking.roadsurfer.com/es/rally/pick?pickup_date=2026-06-08&amp;return_date=2026-06-15&amp;currency=EUR&amp;startStation=4&amp;endStation=13",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2026-06-23</t>
        </is>
      </c>
      <c r="F82" t="inlineStr">
        <is>
          <t>2026-06-30</t>
        </is>
      </c>
      <c r="G82" t="inlineStr">
        <is>
          <t xml:space="preserve"> - Sunrise Suite</t>
        </is>
      </c>
      <c r="H82">
        <f>HYPERLINK("https://booking.roadsurfer.com/es/rally/pick?pickup_date=2026-06-23&amp;return_date=2026-06-30&amp;currency=EUR&amp;startStation=4&amp;endStation=13",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España</t>
        </is>
      </c>
      <c r="D83" t="inlineStr">
        <is>
          <t>Bilbao</t>
        </is>
      </c>
      <c r="E83" t="inlineStr">
        <is>
          <t>2026-06-06</t>
        </is>
      </c>
      <c r="F83" t="inlineStr">
        <is>
          <t>2026-06-13</t>
        </is>
      </c>
      <c r="G83" t="inlineStr">
        <is>
          <t xml:space="preserve"> - Camper Cabin</t>
        </is>
      </c>
      <c r="H83">
        <f>HYPERLINK("https://booking.roadsurfer.com/es/rally/pick?pickup_date=2026-06-06&amp;return_date=2026-06-13&amp;currency=EUR&amp;startStation=4&amp;endStation=40",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2026-06-10</t>
        </is>
      </c>
      <c r="F84" t="inlineStr">
        <is>
          <t>2026-06-17</t>
        </is>
      </c>
      <c r="G84" t="inlineStr">
        <is>
          <t xml:space="preserve"> - Road House</t>
        </is>
      </c>
      <c r="H84">
        <f>HYPERLINK("https://booking.roadsurfer.com/es/rally/pick?pickup_date=2026-06-10&amp;return_date=2026-06-17&amp;currency=EUR&amp;startStation=4&amp;endStation=15",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Camper Cabin</t>
        </is>
      </c>
      <c r="H85">
        <f>HYPERLINK("https://booking.roadsurfer.com/es/rally/pick?pickup_date=2026-06-08&amp;return_date=2026-06-15&amp;currency=EUR&amp;startStation=4&amp;endStation=15",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2026-07-01</t>
        </is>
      </c>
      <c r="F86" t="inlineStr">
        <is>
          <t>2026-07-08</t>
        </is>
      </c>
      <c r="G86" t="inlineStr">
        <is>
          <t xml:space="preserve"> - Road House</t>
        </is>
      </c>
      <c r="H86">
        <f>HYPERLINK("https://booking.roadsurfer.com/es/rally/pick?pickup_date=2026-07-01&amp;return_date=2026-07-08&amp;currency=EUR&amp;startStation=4&amp;endStation=87",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2026-06-05</t>
        </is>
      </c>
      <c r="F87" t="inlineStr">
        <is>
          <t>2026-06-12</t>
        </is>
      </c>
      <c r="G87" t="inlineStr">
        <is>
          <t xml:space="preserve"> - Road House</t>
        </is>
      </c>
      <c r="H87">
        <f>HYPERLINK("https://booking.roadsurfer.com/es/rally/pick?pickup_date=2026-06-05&amp;return_date=2026-06-12&amp;currency=EUR&amp;startStation=4&amp;endStation=48",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Francia</t>
        </is>
      </c>
      <c r="D88" t="inlineStr">
        <is>
          <t>París Aeropuerto CDG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Road House</t>
        </is>
      </c>
      <c r="H88">
        <f>HYPERLINK("https://booking.roadsurfer.com/es/rally/pick?pickup_date=2026-06-06&amp;return_date=2026-06-13&amp;currency=EUR&amp;startStation=4&amp;endStation=48",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Nantes</t>
        </is>
      </c>
      <c r="E89" t="inlineStr">
        <is>
          <t>2026-06-06</t>
        </is>
      </c>
      <c r="F89" t="inlineStr">
        <is>
          <t>2026-06-13</t>
        </is>
      </c>
      <c r="G89" t="inlineStr">
        <is>
          <t xml:space="preserve"> - Camper Castle</t>
        </is>
      </c>
      <c r="H89">
        <f>HYPERLINK("https://booking.roadsurfer.com/es/rally/pick?pickup_date=2026-06-06&amp;return_date=2026-06-13&amp;currency=EUR&amp;startStation=4&amp;endStation=31",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Nantes</t>
        </is>
      </c>
      <c r="E90" t="inlineStr">
        <is>
          <t>2026-07-15</t>
        </is>
      </c>
      <c r="F90" t="inlineStr">
        <is>
          <t>2026-07-22</t>
        </is>
      </c>
      <c r="G90" t="inlineStr">
        <is>
          <t xml:space="preserve"> - Family Finca</t>
        </is>
      </c>
      <c r="H90">
        <f>HYPERLINK("https://booking.roadsurfer.com/es/rally/pick?pickup_date=2026-07-15&amp;return_date=2026-07-22&amp;currency=EUR&amp;startStation=4&amp;endStation=31",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2026-05-30</t>
        </is>
      </c>
      <c r="F91" t="inlineStr">
        <is>
          <t>2026-06-06</t>
        </is>
      </c>
      <c r="G91" t="inlineStr">
        <is>
          <t xml:space="preserve"> - Surfer Suite</t>
        </is>
      </c>
      <c r="H91">
        <f>HYPERLINK("https://booking.roadsurfer.com/es/rally/pick?pickup_date=2026-05-30&amp;return_date=2026-06-06&amp;currency=EUR&amp;startStation=10&amp;endStation=56", "Clic para verlo en la web de RoadSurfer")</f>
        <v/>
      </c>
    </row>
    <row r="92">
      <c r="A92" t="inlineStr">
        <is>
          <t>Alemania</t>
        </is>
      </c>
      <c r="B92" t="inlineStr">
        <is>
          <t>Constanza (Aach)</t>
        </is>
      </c>
      <c r="C92" t="inlineStr">
        <is>
          <t>Alemania</t>
        </is>
      </c>
      <c r="D92" t="inlineStr">
        <is>
          <t>Bochum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Camper Cabin</t>
        </is>
      </c>
      <c r="H92">
        <f>HYPERLINK("https://booking.roadsurfer.com/es/rally/pick?pickup_date=2026-06-22&amp;return_date=2026-06-29&amp;currency=EUR&amp;startStation=10&amp;endStation=24", "Clic para verlo en la web de RoadSurfer")</f>
        <v/>
      </c>
    </row>
    <row r="93">
      <c r="A93" t="inlineStr">
        <is>
          <t>Alemania</t>
        </is>
      </c>
      <c r="B93" t="inlineStr">
        <is>
          <t>Constanza (Aach)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Camper Cabin</t>
        </is>
      </c>
      <c r="H93">
        <f>HYPERLINK("https://booking.roadsurfer.com/es/rally/pick?pickup_date=2026-06-05&amp;return_date=2026-06-12&amp;currency=EUR&amp;startStation=10&amp;endStation=31", "Clic para verlo en la web de RoadSurfer")</f>
        <v/>
      </c>
    </row>
    <row r="94">
      <c r="A94" t="inlineStr">
        <is>
          <t>Alemania</t>
        </is>
      </c>
      <c r="B94" t="inlineStr">
        <is>
          <t>Constanza (Aach)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Camper Cabin</t>
        </is>
      </c>
      <c r="H94">
        <f>HYPERLINK("https://booking.roadsurfer.com/es/rally/pick?pickup_date=2026-06-08&amp;return_date=2026-06-15&amp;currency=EUR&amp;startStation=10&amp;endStation=31", "Clic para verlo en la web de RoadSurfer")</f>
        <v/>
      </c>
    </row>
    <row r="95">
      <c r="A95" t="inlineStr">
        <is>
          <t>Alemania</t>
        </is>
      </c>
      <c r="B95" t="inlineStr">
        <is>
          <t>Constanza (Aach)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2026-07-07</t>
        </is>
      </c>
      <c r="F95" t="inlineStr">
        <is>
          <t>2026-07-14</t>
        </is>
      </c>
      <c r="G95" t="inlineStr">
        <is>
          <t xml:space="preserve"> - No hay coche</t>
        </is>
      </c>
      <c r="H95">
        <f>HYPERLINK("https://booking.roadsurfer.com/es/rally/pick?pickup_date=2026-07-07&amp;return_date=2026-07-14&amp;currency=EUR&amp;startStation=10&amp;endStation=31",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Road House</t>
        </is>
      </c>
      <c r="H96">
        <f>HYPERLINK("https://booking.roadsurfer.com/es/rally/pick?pickup_date=2026-06-10&amp;return_date=2026-06-17&amp;currency=EUR&amp;startStation=10&amp;endStation=30",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Lyon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Family Finca</t>
        </is>
      </c>
      <c r="H97">
        <f>HYPERLINK("https://booking.roadsurfer.com/es/rally/pick?pickup_date=2026-06-13&amp;return_date=2026-06-20&amp;currency=EUR&amp;startStation=10&amp;endStation=15",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2026-06-12</t>
        </is>
      </c>
      <c r="F98" t="inlineStr">
        <is>
          <t>2026-06-19</t>
        </is>
      </c>
      <c r="G98" t="inlineStr">
        <is>
          <t xml:space="preserve"> - Family Finca</t>
        </is>
      </c>
      <c r="H98">
        <f>HYPERLINK("https://booking.roadsurfer.com/es/rally/pick?pickup_date=2026-06-12&amp;return_date=2026-06-19&amp;currency=EUR&amp;startStation=10&amp;endStation=40",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Ginebra-Pays de Gex (Francia)</t>
        </is>
      </c>
      <c r="E99" t="inlineStr">
        <is>
          <t>2026-06-27</t>
        </is>
      </c>
      <c r="F99" t="inlineStr">
        <is>
          <t>2026-07-04</t>
        </is>
      </c>
      <c r="G99" t="inlineStr">
        <is>
          <t xml:space="preserve"> - No hay coche</t>
        </is>
      </c>
      <c r="H99">
        <f>HYPERLINK("https://booking.roadsurfer.com/es/rally/pick?pickup_date=2026-06-27&amp;return_date=2026-07-04&amp;currency=EUR&amp;startStation=10&amp;endStation=29",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Aix-Marsella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Couple Cottage</t>
        </is>
      </c>
      <c r="H100">
        <f>HYPERLINK("https://booking.roadsurfer.com/es/rally/pick?pickup_date=2026-06-08&amp;return_date=2026-06-15&amp;currency=EUR&amp;startStation=10&amp;endStation=16",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Burdeos</t>
        </is>
      </c>
      <c r="E101" t="inlineStr">
        <is>
          <t>2026-06-26</t>
        </is>
      </c>
      <c r="F101" t="inlineStr">
        <is>
          <t>2026-07-03</t>
        </is>
      </c>
      <c r="G101" t="inlineStr">
        <is>
          <t xml:space="preserve"> - Sunrise Suite</t>
        </is>
      </c>
      <c r="H101">
        <f>HYPERLINK("https://booking.roadsurfer.com/es/rally/pick?pickup_date=2026-06-26&amp;return_date=2026-07-03&amp;currency=EUR&amp;startStation=10&amp;endStation=13",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Países Bajos</t>
        </is>
      </c>
      <c r="D102" t="inlineStr">
        <is>
          <t>Róterdam</t>
        </is>
      </c>
      <c r="E102" t="inlineStr">
        <is>
          <t>2026-05-30</t>
        </is>
      </c>
      <c r="F102" t="inlineStr">
        <is>
          <t>2026-06-06</t>
        </is>
      </c>
      <c r="G102" t="inlineStr">
        <is>
          <t xml:space="preserve"> - Surfer Suite</t>
        </is>
      </c>
      <c r="H102">
        <f>HYPERLINK("https://booking.roadsurfer.com/es/rally/pick?pickup_date=2026-05-30&amp;return_date=2026-06-06&amp;currency=EUR&amp;startStation=56&amp;endStation=33",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2026-06-27</t>
        </is>
      </c>
      <c r="F103" t="inlineStr">
        <is>
          <t>2026-07-04</t>
        </is>
      </c>
      <c r="G103" t="inlineStr">
        <is>
          <t xml:space="preserve"> - Surfer Suite - Road House</t>
        </is>
      </c>
      <c r="H103">
        <f>HYPERLINK("https://booking.roadsurfer.com/es/rally/pick?pickup_date=2026-06-27&amp;return_date=2026-07-04&amp;currency=EUR&amp;startStation=56&amp;endStation=13",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2026-06-26</t>
        </is>
      </c>
      <c r="F104" t="inlineStr">
        <is>
          <t>2026-07-03</t>
        </is>
      </c>
      <c r="G104" t="inlineStr">
        <is>
          <t xml:space="preserve"> - Surfer Suite</t>
        </is>
      </c>
      <c r="H104">
        <f>HYPERLINK("https://booking.roadsurfer.com/es/rally/pick?pickup_date=2026-06-26&amp;return_date=2026-07-03&amp;currency=EUR&amp;startStation=56&amp;endStation=13",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2026-06-25</t>
        </is>
      </c>
      <c r="F105" t="inlineStr">
        <is>
          <t>2026-07-02</t>
        </is>
      </c>
      <c r="G105" t="inlineStr">
        <is>
          <t xml:space="preserve"> - Camper Castle - Sunrise Suite</t>
        </is>
      </c>
      <c r="H105">
        <f>HYPERLINK("https://booking.roadsurfer.com/es/rally/pick?pickup_date=2026-06-25&amp;return_date=2026-07-02&amp;currency=EUR&amp;startStation=56&amp;endStation=13",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2026-06-24</t>
        </is>
      </c>
      <c r="F106" t="inlineStr">
        <is>
          <t>2026-07-01</t>
        </is>
      </c>
      <c r="G106" t="inlineStr">
        <is>
          <t xml:space="preserve"> - Surfer Suite</t>
        </is>
      </c>
      <c r="H106">
        <f>HYPERLINK("https://booking.roadsurfer.com/es/rally/pick?pickup_date=2026-06-24&amp;return_date=2026-07-01&amp;currency=EUR&amp;startStation=56&amp;endStation=13",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Bélgica</t>
        </is>
      </c>
      <c r="D107" t="inlineStr">
        <is>
          <t>Amberes</t>
        </is>
      </c>
      <c r="E107" t="inlineStr">
        <is>
          <t>2026-05-27</t>
        </is>
      </c>
      <c r="F107" t="inlineStr">
        <is>
          <t>2026-06-03</t>
        </is>
      </c>
      <c r="G107" t="inlineStr">
        <is>
          <t xml:space="preserve"> - Surfer Suite</t>
        </is>
      </c>
      <c r="H107">
        <f>HYPERLINK("https://booking.roadsurfer.com/es/rally/pick?pickup_date=2026-05-27&amp;return_date=2026-06-03&amp;currency=EUR&amp;startStation=56&amp;endStation=47",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Sunrise Suite</t>
        </is>
      </c>
      <c r="H108">
        <f>HYPERLINK("https://booking.roadsurfer.com/es/rally/pick?pickup_date=2026-05-30&amp;return_date=2026-06-06&amp;currency=EUR&amp;startStation=56&amp;endStation=47",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Lyon</t>
        </is>
      </c>
      <c r="E109" t="inlineStr">
        <is>
          <t>2026-06-26</t>
        </is>
      </c>
      <c r="F109" t="inlineStr">
        <is>
          <t>2026-07-03</t>
        </is>
      </c>
      <c r="G109" t="inlineStr"/>
      <c r="H109">
        <f>HYPERLINK("https://booking.roadsurfer.com/es/rally/pick?pickup_date=2026-06-26&amp;return_date=2026-07-03&amp;currency=EUR&amp;startStation=56&amp;endStation=15",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Camper Castle</t>
        </is>
      </c>
      <c r="H110">
        <f>HYPERLINK("https://booking.roadsurfer.com/es/rally/pick?pickup_date=2026-06-16&amp;return_date=2026-06-23&amp;currency=EUR&amp;startStation=56&amp;endStation=59",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2026-06-22</t>
        </is>
      </c>
      <c r="F111" t="inlineStr">
        <is>
          <t>2026-06-29</t>
        </is>
      </c>
      <c r="G111" t="inlineStr">
        <is>
          <t xml:space="preserve"> - Camper Castle</t>
        </is>
      </c>
      <c r="H111">
        <f>HYPERLINK("https://booking.roadsurfer.com/es/rally/pick?pickup_date=2026-06-22&amp;return_date=2026-06-29&amp;currency=EUR&amp;startStation=56&amp;endStation=59",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2026-06-13</t>
        </is>
      </c>
      <c r="F112" t="inlineStr">
        <is>
          <t>2026-06-20</t>
        </is>
      </c>
      <c r="G112" t="inlineStr">
        <is>
          <t xml:space="preserve"> - No hay coche</t>
        </is>
      </c>
      <c r="H112">
        <f>HYPERLINK("https://booking.roadsurfer.com/es/rally/pick?pickup_date=2026-06-13&amp;return_date=2026-06-20&amp;currency=EUR&amp;startStation=56&amp;endStation=59",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Suecia</t>
        </is>
      </c>
      <c r="D113" t="inlineStr">
        <is>
          <t>Estocolmo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HYPERLINK("https://booking.roadsurfer.com/es/rally/pick?pickup_date=2026-05-26&amp;return_date=2026-06-02&amp;currency=EUR&amp;startStation=56&amp;endStation=59",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Austria</t>
        </is>
      </c>
      <c r="D114" t="inlineStr">
        <is>
          <t>Viena</t>
        </is>
      </c>
      <c r="E114" t="inlineStr">
        <is>
          <t>2026-06-05</t>
        </is>
      </c>
      <c r="F114" t="inlineStr">
        <is>
          <t>2026-06-12</t>
        </is>
      </c>
      <c r="G114" t="inlineStr">
        <is>
          <t xml:space="preserve"> - No hay coche</t>
        </is>
      </c>
      <c r="H114">
        <f>HYPERLINK("https://booking.roadsurfer.com/es/rally/pick?pickup_date=2026-06-05&amp;return_date=2026-06-12&amp;currency=EUR&amp;startStation=56&amp;endStation=36",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Camper Cabin Deluxe</t>
        </is>
      </c>
      <c r="H115">
        <f>HYPERLINK("https://booking.roadsurfer.com/es/rally/pick?pickup_date=2026-06-08&amp;return_date=2026-06-15&amp;currency=EUR&amp;startStation=56&amp;endStation=36",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2026-06-13</t>
        </is>
      </c>
      <c r="F116" t="inlineStr">
        <is>
          <t>2026-06-20</t>
        </is>
      </c>
      <c r="G116" t="inlineStr">
        <is>
          <t xml:space="preserve"> - Family Finca</t>
        </is>
      </c>
      <c r="H116">
        <f>HYPERLINK("https://booking.roadsurfer.com/es/rally/pick?pickup_date=2026-06-13&amp;return_date=2026-06-20&amp;currency=EUR&amp;startStation=56&amp;endStation=37",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Graz</t>
        </is>
      </c>
      <c r="E117" t="inlineStr">
        <is>
          <t>2026-06-08</t>
        </is>
      </c>
      <c r="F117" t="inlineStr">
        <is>
          <t>2026-06-15</t>
        </is>
      </c>
      <c r="G117" t="inlineStr"/>
      <c r="H117">
        <f>HYPERLINK("https://booking.roadsurfer.com/es/rally/pick?pickup_date=2026-06-08&amp;return_date=2026-06-15&amp;currency=EUR&amp;startStation=56&amp;endStation=37",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2026-06-30</t>
        </is>
      </c>
      <c r="F118" t="inlineStr">
        <is>
          <t>2026-07-07</t>
        </is>
      </c>
      <c r="G118" t="inlineStr">
        <is>
          <t xml:space="preserve"> - Road House</t>
        </is>
      </c>
      <c r="H118">
        <f>HYPERLINK("https://booking.roadsurfer.com/es/rally/pick?pickup_date=2026-06-30&amp;return_date=2026-07-07&amp;currency=EUR&amp;startStation=56&amp;endStation=37",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Francia</t>
        </is>
      </c>
      <c r="D119" t="inlineStr">
        <is>
          <t>París Aeropuerto CDG</t>
        </is>
      </c>
      <c r="E119" t="inlineStr">
        <is>
          <t>2026-06-20</t>
        </is>
      </c>
      <c r="F119" t="inlineStr">
        <is>
          <t>2026-06-27</t>
        </is>
      </c>
      <c r="G119" t="inlineStr">
        <is>
          <t xml:space="preserve"> - Road House</t>
        </is>
      </c>
      <c r="H119">
        <f>HYPERLINK("https://booking.roadsurfer.com/es/rally/pick?pickup_date=2026-06-20&amp;return_date=2026-06-27&amp;currency=EUR&amp;startStation=56&amp;endStation=48",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Nantes</t>
        </is>
      </c>
      <c r="E120" t="inlineStr">
        <is>
          <t>2026-06-01</t>
        </is>
      </c>
      <c r="F120" t="inlineStr">
        <is>
          <t>2026-06-08</t>
        </is>
      </c>
      <c r="G120" t="inlineStr">
        <is>
          <t xml:space="preserve"> - Camper Castle</t>
        </is>
      </c>
      <c r="H120">
        <f>HYPERLINK("https://booking.roadsurfer.com/es/rally/pick?pickup_date=2026-06-01&amp;return_date=2026-06-08&amp;currency=EUR&amp;startStation=56&amp;endStation=31",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Italia</t>
        </is>
      </c>
      <c r="D121" t="inlineStr">
        <is>
          <t>Milán</t>
        </is>
      </c>
      <c r="E121" t="inlineStr">
        <is>
          <t>2026-06-24</t>
        </is>
      </c>
      <c r="F121" t="inlineStr">
        <is>
          <t>2026-07-01</t>
        </is>
      </c>
      <c r="G121" t="inlineStr"/>
      <c r="H121">
        <f>HYPERLINK("https://booking.roadsurfer.com/es/rally/pick?pickup_date=2026-06-24&amp;return_date=2026-07-01&amp;currency=EUR&amp;startStation=56&amp;endStation=34",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Cozy Cottage</t>
        </is>
      </c>
      <c r="H122">
        <f>HYPERLINK("https://booking.roadsurfer.com/es/rally/pick?pickup_date=2026-06-15&amp;return_date=2026-06-22&amp;currency=EUR&amp;startStation=56&amp;endStation=7",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2026-06-22</t>
        </is>
      </c>
      <c r="F123" t="inlineStr">
        <is>
          <t>2026-06-29</t>
        </is>
      </c>
      <c r="G123" t="inlineStr">
        <is>
          <t xml:space="preserve"> - Sunrise Suite</t>
        </is>
      </c>
      <c r="H123">
        <f>HYPERLINK("https://booking.roadsurfer.com/es/rally/pick?pickup_date=2026-06-22&amp;return_date=2026-06-29&amp;currency=EUR&amp;startStation=56&amp;endStation=29",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2026-06-17</t>
        </is>
      </c>
      <c r="F124" t="inlineStr">
        <is>
          <t>2026-06-24</t>
        </is>
      </c>
      <c r="G124" t="inlineStr">
        <is>
          <t xml:space="preserve"> - Sunrise Suite</t>
        </is>
      </c>
      <c r="H124">
        <f>HYPERLINK("https://booking.roadsurfer.com/es/rally/pick?pickup_date=2026-06-17&amp;return_date=2026-06-24&amp;currency=EUR&amp;startStation=56&amp;endStation=78",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2026-05-29</t>
        </is>
      </c>
      <c r="F125" t="inlineStr">
        <is>
          <t>2026-06-05</t>
        </is>
      </c>
      <c r="G125" t="inlineStr">
        <is>
          <t xml:space="preserve"> - Surfer Suite</t>
        </is>
      </c>
      <c r="H125">
        <f>HYPERLINK("https://booking.roadsurfer.com/es/rally/pick?pickup_date=2026-05-29&amp;return_date=2026-06-05&amp;currency=EUR&amp;startStation=90&amp;endStation=47",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Bélgica</t>
        </is>
      </c>
      <c r="D126" t="inlineStr">
        <is>
          <t>Bruselas</t>
        </is>
      </c>
      <c r="E126" t="inlineStr">
        <is>
          <t>2026-05-30</t>
        </is>
      </c>
      <c r="F126" t="inlineStr">
        <is>
          <t>2026-06-06</t>
        </is>
      </c>
      <c r="G126" t="inlineStr">
        <is>
          <t xml:space="preserve"> - Surfer Suite</t>
        </is>
      </c>
      <c r="H126">
        <f>HYPERLINK("https://booking.roadsurfer.com/es/rally/pick?pickup_date=2026-05-30&amp;return_date=2026-06-06&amp;currency=EUR&amp;startStation=90&amp;endStation=42",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Bruselas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Couple Cottage</t>
        </is>
      </c>
      <c r="H127">
        <f>HYPERLINK("https://booking.roadsurfer.com/es/rally/pick?pickup_date=2026-06-08&amp;return_date=2026-06-15&amp;currency=EUR&amp;startStation=90&amp;endStation=42",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2026-06-04</t>
        </is>
      </c>
      <c r="F128" t="inlineStr">
        <is>
          <t>2026-06-11</t>
        </is>
      </c>
      <c r="G128" t="inlineStr">
        <is>
          <t xml:space="preserve"> - Beach Hostel</t>
        </is>
      </c>
      <c r="H128">
        <f>HYPERLINK("https://booking.roadsurfer.com/es/rally/pick?pickup_date=2026-06-04&amp;return_date=2026-06-11&amp;currency=EUR&amp;startStation=90&amp;endStation=42",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Austria</t>
        </is>
      </c>
      <c r="D129" t="inlineStr">
        <is>
          <t>Linz</t>
        </is>
      </c>
      <c r="E129" t="inlineStr">
        <is>
          <t>2026-05-27</t>
        </is>
      </c>
      <c r="F129" t="inlineStr">
        <is>
          <t>2026-06-03</t>
        </is>
      </c>
      <c r="G129" t="inlineStr">
        <is>
          <t xml:space="preserve"> - Surfer Suite</t>
        </is>
      </c>
      <c r="H129">
        <f>HYPERLINK("https://booking.roadsurfer.com/es/rally/pick?pickup_date=2026-05-27&amp;return_date=2026-06-03&amp;currency=EUR&amp;startStation=90&amp;endStation=116",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2026-05-30</t>
        </is>
      </c>
      <c r="F130" t="inlineStr">
        <is>
          <t>2026-06-06</t>
        </is>
      </c>
      <c r="G130" t="inlineStr">
        <is>
          <t xml:space="preserve"> - Surfer Suite</t>
        </is>
      </c>
      <c r="H130">
        <f>HYPERLINK("https://booking.roadsurfer.com/es/rally/pick?pickup_date=2026-05-30&amp;return_date=2026-06-06&amp;currency=EUR&amp;startStation=90&amp;endStation=37",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2026-06-08</t>
        </is>
      </c>
      <c r="F131" t="inlineStr">
        <is>
          <t>2026-06-15</t>
        </is>
      </c>
      <c r="G131" t="inlineStr">
        <is>
          <t xml:space="preserve"> - Surfer Suite</t>
        </is>
      </c>
      <c r="H131">
        <f>HYPERLINK("https://booking.roadsurfer.com/es/rally/pick?pickup_date=2026-06-08&amp;return_date=2026-06-15&amp;currency=EUR&amp;startStation=90&amp;endStation=29",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2026-06-24</t>
        </is>
      </c>
      <c r="F132" t="inlineStr">
        <is>
          <t>2026-07-01</t>
        </is>
      </c>
      <c r="G132" t="inlineStr">
        <is>
          <t xml:space="preserve"> - Camper Cabin</t>
        </is>
      </c>
      <c r="H132">
        <f>HYPERLINK("https://booking.roadsurfer.com/es/rally/pick?pickup_date=2026-06-24&amp;return_date=2026-07-01&amp;currency=EUR&amp;startStation=90&amp;endStation=29",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Toulouse</t>
        </is>
      </c>
      <c r="E133" t="inlineStr">
        <is>
          <t>2026-06-30</t>
        </is>
      </c>
      <c r="F133" t="inlineStr">
        <is>
          <t>2026-07-07</t>
        </is>
      </c>
      <c r="G133" t="inlineStr">
        <is>
          <t xml:space="preserve"> - Surfer Suite</t>
        </is>
      </c>
      <c r="H133">
        <f>HYPERLINK("https://booking.roadsurfer.com/es/rally/pick?pickup_date=2026-06-30&amp;return_date=2026-07-07&amp;currency=EUR&amp;startStation=90&amp;endStation=30",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2026-06-27</t>
        </is>
      </c>
      <c r="F134" t="inlineStr">
        <is>
          <t>2026-07-04</t>
        </is>
      </c>
      <c r="G134" t="inlineStr">
        <is>
          <t xml:space="preserve"> - Surfer Suite - Sunrise Suite</t>
        </is>
      </c>
      <c r="H134">
        <f>HYPERLINK("https://booking.roadsurfer.com/es/rally/pick?pickup_date=2026-06-27&amp;return_date=2026-07-04&amp;currency=EUR&amp;startStation=90&amp;endStation=13",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2026-06-25</t>
        </is>
      </c>
      <c r="F135" t="inlineStr">
        <is>
          <t>2026-07-02</t>
        </is>
      </c>
      <c r="G135" t="inlineStr">
        <is>
          <t xml:space="preserve"> - Beach Hostel</t>
        </is>
      </c>
      <c r="H135">
        <f>HYPERLINK("https://booking.roadsurfer.com/es/rally/pick?pickup_date=2026-06-25&amp;return_date=2026-07-02&amp;currency=EUR&amp;startStation=90&amp;endStation=13",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2026-06-29</t>
        </is>
      </c>
      <c r="F136" t="inlineStr">
        <is>
          <t>2026-07-06</t>
        </is>
      </c>
      <c r="G136" t="inlineStr">
        <is>
          <t xml:space="preserve"> - Sunrise Suite</t>
        </is>
      </c>
      <c r="H136">
        <f>HYPERLINK("https://booking.roadsurfer.com/es/rally/pick?pickup_date=2026-06-29&amp;return_date=2026-07-06&amp;currency=EUR&amp;startStation=90&amp;endStation=13",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Camper Cabin - Couple Cottage</t>
        </is>
      </c>
      <c r="H137">
        <f>HYPERLINK("https://booking.roadsurfer.com/es/rally/pick?pickup_date=2026-06-08&amp;return_date=2026-06-15&amp;currency=EUR&amp;startStation=90&amp;endStation=15",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Camper Cabin - Road House</t>
        </is>
      </c>
      <c r="H138">
        <f>HYPERLINK("https://booking.roadsurfer.com/es/rally/pick?pickup_date=2026-06-29&amp;return_date=2026-07-06&amp;currency=EUR&amp;startStation=90&amp;endStation=15",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Lyon</t>
        </is>
      </c>
      <c r="E139" t="inlineStr">
        <is>
          <t>2026-06-22</t>
        </is>
      </c>
      <c r="F139" t="inlineStr">
        <is>
          <t>2026-06-29</t>
        </is>
      </c>
      <c r="G139" t="inlineStr">
        <is>
          <t xml:space="preserve"> - Road House</t>
        </is>
      </c>
      <c r="H139">
        <f>HYPERLINK("https://booking.roadsurfer.com/es/rally/pick?pickup_date=2026-06-22&amp;return_date=2026-06-29&amp;currency=EUR&amp;startStation=90&amp;endStation=15",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Lyon</t>
        </is>
      </c>
      <c r="E140" t="inlineStr">
        <is>
          <t>2026-06-26</t>
        </is>
      </c>
      <c r="F140" t="inlineStr">
        <is>
          <t>2026-07-03</t>
        </is>
      </c>
      <c r="G140" t="inlineStr">
        <is>
          <t xml:space="preserve"> - Surfer Suite - Beach Hostel</t>
        </is>
      </c>
      <c r="H140">
        <f>HYPERLINK("https://booking.roadsurfer.com/es/rally/pick?pickup_date=2026-06-26&amp;return_date=2026-07-03&amp;currency=EUR&amp;startStation=90&amp;endStation=15",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2026-06-30</t>
        </is>
      </c>
      <c r="F141" t="inlineStr">
        <is>
          <t>2026-07-07</t>
        </is>
      </c>
      <c r="G141" t="inlineStr">
        <is>
          <t xml:space="preserve"> - Sunrise Suite</t>
        </is>
      </c>
      <c r="H141">
        <f>HYPERLINK("https://booking.roadsurfer.com/es/rally/pick?pickup_date=2026-06-30&amp;return_date=2026-07-07&amp;currency=EUR&amp;startStation=90&amp;endStation=77",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Beach Hostel</t>
        </is>
      </c>
      <c r="H142">
        <f>HYPERLINK("https://booking.roadsurfer.com/es/rally/pick?pickup_date=2026-06-15&amp;return_date=2026-06-22&amp;currency=EUR&amp;startStation=90&amp;endStation=77",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2026-06-01</t>
        </is>
      </c>
      <c r="F143" t="inlineStr">
        <is>
          <t>2026-06-08</t>
        </is>
      </c>
      <c r="G143" t="inlineStr">
        <is>
          <t xml:space="preserve"> - Road House</t>
        </is>
      </c>
      <c r="H143">
        <f>HYPERLINK("https://booking.roadsurfer.com/es/rally/pick?pickup_date=2026-06-01&amp;return_date=2026-06-08&amp;currency=EUR&amp;startStation=90&amp;endStation=40",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Camper Cabin - Road House</t>
        </is>
      </c>
      <c r="H144">
        <f>HYPERLINK("https://booking.roadsurfer.com/es/rally/pick?pickup_date=2026-06-22&amp;return_date=2026-06-29&amp;currency=EUR&amp;startStation=90&amp;endStation=40",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Italia</t>
        </is>
      </c>
      <c r="D145" t="inlineStr">
        <is>
          <t>Milán</t>
        </is>
      </c>
      <c r="E145" t="inlineStr">
        <is>
          <t>2026-06-05</t>
        </is>
      </c>
      <c r="F145" t="inlineStr">
        <is>
          <t>2026-06-12</t>
        </is>
      </c>
      <c r="G145" t="inlineStr">
        <is>
          <t xml:space="preserve"> - Road House</t>
        </is>
      </c>
      <c r="H145">
        <f>HYPERLINK("https://booking.roadsurfer.com/es/rally/pick?pickup_date=2026-06-05&amp;return_date=2026-06-12&amp;currency=EUR&amp;startStation=90&amp;endStation=34",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2026-06-29</t>
        </is>
      </c>
      <c r="F146" t="inlineStr">
        <is>
          <t>2026-07-06</t>
        </is>
      </c>
      <c r="G146" t="inlineStr">
        <is>
          <t xml:space="preserve"> - Family Finca - Sunrise Suite</t>
        </is>
      </c>
      <c r="H146">
        <f>HYPERLINK("https://booking.roadsurfer.com/es/rally/pick?pickup_date=2026-06-29&amp;return_date=2026-07-06&amp;currency=EUR&amp;startStation=90&amp;endStation=59",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Sunrise Suite</t>
        </is>
      </c>
      <c r="H147">
        <f>HYPERLINK("https://booking.roadsurfer.com/es/rally/pick?pickup_date=2026-06-30&amp;return_date=2026-07-07&amp;currency=EUR&amp;startStation=90&amp;endStation=59",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2026-06-22</t>
        </is>
      </c>
      <c r="F148" t="inlineStr">
        <is>
          <t>2026-06-29</t>
        </is>
      </c>
      <c r="G148" t="inlineStr">
        <is>
          <t xml:space="preserve"> - Couple Cottage</t>
        </is>
      </c>
      <c r="H148">
        <f>HYPERLINK("https://booking.roadsurfer.com/es/rally/pick?pickup_date=2026-06-22&amp;return_date=2026-06-29&amp;currency=EUR&amp;startStation=90&amp;endStation=59",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2026-06-12</t>
        </is>
      </c>
      <c r="F149" t="inlineStr">
        <is>
          <t>2026-06-19</t>
        </is>
      </c>
      <c r="G149" t="inlineStr">
        <is>
          <t xml:space="preserve"> - No hay coche</t>
        </is>
      </c>
      <c r="H149">
        <f>HYPERLINK("https://booking.roadsurfer.com/es/rally/pick?pickup_date=2026-06-12&amp;return_date=2026-06-19&amp;currency=EUR&amp;startStation=90&amp;endStation=59",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2026-05-30</t>
        </is>
      </c>
      <c r="F150" t="inlineStr">
        <is>
          <t>2026-06-06</t>
        </is>
      </c>
      <c r="G150" t="inlineStr">
        <is>
          <t xml:space="preserve"> - No hay coche</t>
        </is>
      </c>
      <c r="H150">
        <f>HYPERLINK("https://booking.roadsurfer.com/es/rally/pick?pickup_date=2026-05-30&amp;return_date=2026-06-06&amp;currency=EUR&amp;startStation=90&amp;endStation=60",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2026-06-20</t>
        </is>
      </c>
      <c r="F151" t="inlineStr">
        <is>
          <t>2026-06-27</t>
        </is>
      </c>
      <c r="G151" t="inlineStr">
        <is>
          <t xml:space="preserve"> - Road House</t>
        </is>
      </c>
      <c r="H151">
        <f>HYPERLINK("https://booking.roadsurfer.com/es/rally/pick?pickup_date=2026-06-20&amp;return_date=2026-06-27&amp;currency=EUR&amp;startStation=130&amp;endStation=13",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2026-05-30</t>
        </is>
      </c>
      <c r="F152" t="inlineStr">
        <is>
          <t>2026-06-06</t>
        </is>
      </c>
      <c r="G152" t="inlineStr">
        <is>
          <t xml:space="preserve"> - No hay coche</t>
        </is>
      </c>
      <c r="H152">
        <f>HYPERLINK("https://booking.roadsurfer.com/es/rally/pick?pickup_date=2026-05-30&amp;return_date=2026-06-06&amp;currency=EUR&amp;startStation=130&amp;endStation=59",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Road House</t>
        </is>
      </c>
      <c r="H153">
        <f>HYPERLINK("https://booking.roadsurfer.com/es/rally/pick?pickup_date=2026-05-27&amp;return_date=2026-06-03&amp;currency=EUR&amp;startStation=130&amp;endStation=60",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Alemania</t>
        </is>
      </c>
      <c r="D154" t="inlineStr">
        <is>
          <t>Augsburgo</t>
        </is>
      </c>
      <c r="E154" t="inlineStr">
        <is>
          <t>2026-07-25</t>
        </is>
      </c>
      <c r="F154" t="inlineStr">
        <is>
          <t>2026-08-01</t>
        </is>
      </c>
      <c r="G154" t="inlineStr">
        <is>
          <t xml:space="preserve"> - Beach Hostel</t>
        </is>
      </c>
      <c r="H154">
        <f>HYPERLINK("https://booking.roadsurfer.com/es/rally/pick?pickup_date=2026-07-25&amp;return_date=2026-08-01&amp;currency=EUR&amp;startStation=130&amp;endStation=108",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Aix-Marsella</t>
        </is>
      </c>
      <c r="E155" t="inlineStr">
        <is>
          <t>2026-06-30</t>
        </is>
      </c>
      <c r="F155" t="inlineStr">
        <is>
          <t>2026-07-07</t>
        </is>
      </c>
      <c r="G155" t="inlineStr">
        <is>
          <t xml:space="preserve"> - Surfer Suite</t>
        </is>
      </c>
      <c r="H155">
        <f>HYPERLINK("https://booking.roadsurfer.com/es/rally/pick?pickup_date=2026-06-30&amp;return_date=2026-07-07&amp;currency=EUR&amp;startStation=2&amp;endStation=16",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2026-06-24</t>
        </is>
      </c>
      <c r="F156" t="inlineStr">
        <is>
          <t>2026-07-01</t>
        </is>
      </c>
      <c r="G156" t="inlineStr">
        <is>
          <t xml:space="preserve"> - Surfer Suite</t>
        </is>
      </c>
      <c r="H156">
        <f>HYPERLINK("https://booking.roadsurfer.com/es/rally/pick?pickup_date=2026-06-24&amp;return_date=2026-07-01&amp;currency=EUR&amp;startStation=2&amp;endStation=40",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Camper Cabin</t>
        </is>
      </c>
      <c r="H157">
        <f>HYPERLINK("https://booking.roadsurfer.com/es/rally/pick?pickup_date=2026-06-24&amp;return_date=2026-07-01&amp;currency=EUR&amp;startStation=2&amp;endStation=17",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2026-06-24</t>
        </is>
      </c>
      <c r="F158" t="inlineStr">
        <is>
          <t>2026-07-01</t>
        </is>
      </c>
      <c r="G158" t="inlineStr">
        <is>
          <t xml:space="preserve"> - Road House</t>
        </is>
      </c>
      <c r="H158">
        <f>HYPERLINK("https://booking.roadsurfer.com/es/rally/pick?pickup_date=2026-06-24&amp;return_date=2026-07-01&amp;currency=EUR&amp;startStation=2&amp;endStation=60",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Málaga</t>
        </is>
      </c>
      <c r="E159" t="inlineStr">
        <is>
          <t>2026-06-05</t>
        </is>
      </c>
      <c r="F159" t="inlineStr">
        <is>
          <t>2026-06-12</t>
        </is>
      </c>
      <c r="G159" t="inlineStr">
        <is>
          <t xml:space="preserve"> - Family Finca</t>
        </is>
      </c>
      <c r="H159">
        <f>HYPERLINK("https://booking.roadsurfer.com/es/rally/pick?pickup_date=2026-06-05&amp;return_date=2026-06-12&amp;currency=EUR&amp;startStation=2&amp;endStation=21",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España</t>
        </is>
      </c>
      <c r="D160" t="inlineStr">
        <is>
          <t>Málaga</t>
        </is>
      </c>
      <c r="E160" t="inlineStr">
        <is>
          <t>2026-07-06</t>
        </is>
      </c>
      <c r="F160" t="inlineStr">
        <is>
          <t>2026-07-13</t>
        </is>
      </c>
      <c r="G160" t="inlineStr">
        <is>
          <t xml:space="preserve"> - Couple Cottage</t>
        </is>
      </c>
      <c r="H160">
        <f>HYPERLINK("https://booking.roadsurfer.com/es/rally/pick?pickup_date=2026-07-06&amp;return_date=2026-07-13&amp;currency=EUR&amp;startStation=2&amp;endStation=21",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2026-06-06</t>
        </is>
      </c>
      <c r="F161" t="inlineStr">
        <is>
          <t>2026-06-13</t>
        </is>
      </c>
      <c r="G161" t="inlineStr">
        <is>
          <t xml:space="preserve"> - No hay coche</t>
        </is>
      </c>
      <c r="H161">
        <f>HYPERLINK("https://booking.roadsurfer.com/es/rally/pick?pickup_date=2026-06-06&amp;return_date=2026-06-13&amp;currency=EUR&amp;startStation=2&amp;endStation=15",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Suecia</t>
        </is>
      </c>
      <c r="D162" t="inlineStr">
        <is>
          <t>Gotemburgo</t>
        </is>
      </c>
      <c r="E162" t="inlineStr">
        <is>
          <t>2026-06-12</t>
        </is>
      </c>
      <c r="F162" t="inlineStr">
        <is>
          <t>2026-06-19</t>
        </is>
      </c>
      <c r="G162" t="inlineStr">
        <is>
          <t xml:space="preserve"> - No hay coche</t>
        </is>
      </c>
      <c r="H162">
        <f>HYPERLINK("https://booking.roadsurfer.com/es/rally/pick?pickup_date=2026-06-12&amp;return_date=2026-06-19&amp;currency=EUR&amp;startStation=2&amp;endStation=77",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Sevilla</t>
        </is>
      </c>
      <c r="E163" t="inlineStr">
        <is>
          <t>2026-06-23</t>
        </is>
      </c>
      <c r="F163" t="inlineStr">
        <is>
          <t>2026-06-30</t>
        </is>
      </c>
      <c r="G163" t="inlineStr"/>
      <c r="H163">
        <f>HYPERLINK("https://booking.roadsurfer.com/es/rally/pick?pickup_date=2026-06-23&amp;return_date=2026-06-30&amp;currency=EUR&amp;startStation=2&amp;endStation=39",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2026-07-03</t>
        </is>
      </c>
      <c r="F164" t="inlineStr">
        <is>
          <t>2026-07-10</t>
        </is>
      </c>
      <c r="G164" t="inlineStr">
        <is>
          <t xml:space="preserve"> - Road House</t>
        </is>
      </c>
      <c r="H164">
        <f>HYPERLINK("https://booking.roadsurfer.com/es/rally/pick?pickup_date=2026-07-03&amp;return_date=2026-07-10&amp;currency=EUR&amp;startStation=9&amp;endStation=40",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2026-06-26</t>
        </is>
      </c>
      <c r="F165" t="inlineStr">
        <is>
          <t>2026-07-03</t>
        </is>
      </c>
      <c r="G165" t="inlineStr">
        <is>
          <t xml:space="preserve"> - Family Finca</t>
        </is>
      </c>
      <c r="H165">
        <f>HYPERLINK("https://booking.roadsurfer.com/es/rally/pick?pickup_date=2026-06-26&amp;return_date=2026-07-03&amp;currency=EUR&amp;startStation=9&amp;endStation=40",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Surfer Suite</t>
        </is>
      </c>
      <c r="H166">
        <f>HYPERLINK("https://booking.roadsurfer.com/es/rally/pick?pickup_date=2026-05-22&amp;return_date=2026-05-29&amp;currency=EUR&amp;startStation=9&amp;endStation=40",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España</t>
        </is>
      </c>
      <c r="D167" t="inlineStr">
        <is>
          <t>Barcelona</t>
        </is>
      </c>
      <c r="E167" t="inlineStr">
        <is>
          <t>2026-07-01</t>
        </is>
      </c>
      <c r="F167" t="inlineStr">
        <is>
          <t>2026-07-08</t>
        </is>
      </c>
      <c r="G167" t="inlineStr">
        <is>
          <t xml:space="preserve"> - Road House</t>
        </is>
      </c>
      <c r="H167">
        <f>HYPERLINK("https://booking.roadsurfer.com/es/rally/pick?pickup_date=2026-07-01&amp;return_date=2026-07-08&amp;currency=EUR&amp;startStation=9&amp;endStation=17",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Barcelona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Cozy Cottage</t>
        </is>
      </c>
      <c r="H168">
        <f>HYPERLINK("https://booking.roadsurfer.com/es/rally/pick?pickup_date=2026-06-12&amp;return_date=2026-06-19&amp;currency=EUR&amp;startStation=9&amp;endStation=17",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2026-06-19</t>
        </is>
      </c>
      <c r="F169" t="inlineStr">
        <is>
          <t>2026-06-26</t>
        </is>
      </c>
      <c r="G169" t="inlineStr">
        <is>
          <t xml:space="preserve"> - Beach Hostel</t>
        </is>
      </c>
      <c r="H169">
        <f>HYPERLINK("https://booking.roadsurfer.com/es/rally/pick?pickup_date=2026-06-19&amp;return_date=2026-06-26&amp;currency=EUR&amp;startStation=9&amp;endStation=17",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2026-07-04</t>
        </is>
      </c>
      <c r="F170" t="inlineStr">
        <is>
          <t>2026-07-11</t>
        </is>
      </c>
      <c r="G170" t="inlineStr">
        <is>
          <t xml:space="preserve"> - Travel Home</t>
        </is>
      </c>
      <c r="H170">
        <f>HYPERLINK("https://booking.roadsurfer.com/es/rally/pick?pickup_date=2026-07-04&amp;return_date=2026-07-11&amp;currency=EUR&amp;startStation=9&amp;endStation=15",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Francia</t>
        </is>
      </c>
      <c r="D171" t="inlineStr">
        <is>
          <t>Lyon</t>
        </is>
      </c>
      <c r="E171" t="inlineStr">
        <is>
          <t>2026-06-26</t>
        </is>
      </c>
      <c r="F171" t="inlineStr">
        <is>
          <t>2026-07-03</t>
        </is>
      </c>
      <c r="G171" t="inlineStr">
        <is>
          <t xml:space="preserve"> - Beach Hostel</t>
        </is>
      </c>
      <c r="H171">
        <f>HYPERLINK("https://booking.roadsurfer.com/es/rally/pick?pickup_date=2026-06-26&amp;return_date=2026-07-03&amp;currency=EUR&amp;startStation=9&amp;endStation=15",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Valencia</t>
        </is>
      </c>
      <c r="E172" t="inlineStr">
        <is>
          <t>2026-06-09</t>
        </is>
      </c>
      <c r="F172" t="inlineStr">
        <is>
          <t>2026-06-16</t>
        </is>
      </c>
      <c r="G172" t="inlineStr">
        <is>
          <t xml:space="preserve"> - Road House</t>
        </is>
      </c>
      <c r="H172">
        <f>HYPERLINK("https://booking.roadsurfer.com/es/rally/pick?pickup_date=2026-06-09&amp;return_date=2026-06-16&amp;currency=EUR&amp;startStation=9&amp;endStation=38",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Francia</t>
        </is>
      </c>
      <c r="D173" t="inlineStr">
        <is>
          <t>París Aeropuerto CDG</t>
        </is>
      </c>
      <c r="E173" t="inlineStr">
        <is>
          <t>2026-07-01</t>
        </is>
      </c>
      <c r="F173" t="inlineStr">
        <is>
          <t>2026-07-08</t>
        </is>
      </c>
      <c r="G173" t="inlineStr">
        <is>
          <t xml:space="preserve"> - No hay coche</t>
        </is>
      </c>
      <c r="H173">
        <f>HYPERLINK("https://booking.roadsurfer.com/es/rally/pick?pickup_date=2026-07-01&amp;return_date=2026-07-08&amp;currency=EUR&amp;startStation=9&amp;endStation=48",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Francia</t>
        </is>
      </c>
      <c r="D174" t="inlineStr">
        <is>
          <t>Nantes</t>
        </is>
      </c>
      <c r="E174" t="inlineStr">
        <is>
          <t>2026-06-19</t>
        </is>
      </c>
      <c r="F174" t="inlineStr">
        <is>
          <t>2026-06-26</t>
        </is>
      </c>
      <c r="G174" t="inlineStr">
        <is>
          <t xml:space="preserve"> - Road House</t>
        </is>
      </c>
      <c r="H174">
        <f>HYPERLINK("https://booking.roadsurfer.com/es/rally/pick?pickup_date=2026-06-19&amp;return_date=2026-06-26&amp;currency=EUR&amp;startStation=9&amp;endStation=31",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2026-06-03</t>
        </is>
      </c>
      <c r="F175" t="inlineStr">
        <is>
          <t>2026-06-10</t>
        </is>
      </c>
      <c r="G175" t="inlineStr">
        <is>
          <t xml:space="preserve"> - Camper Cabin Deluxe</t>
        </is>
      </c>
      <c r="H175">
        <f>HYPERLINK("https://booking.roadsurfer.com/es/rally/pick?pickup_date=2026-06-03&amp;return_date=2026-06-10&amp;currency=EUR&amp;startStation=9&amp;endStation=52",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Italia</t>
        </is>
      </c>
      <c r="D176" t="inlineStr">
        <is>
          <t>Bolonia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Camper Castle</t>
        </is>
      </c>
      <c r="H176">
        <f>HYPERLINK("https://booking.roadsurfer.com/es/rally/pick?pickup_date=2026-06-29&amp;return_date=2026-07-06&amp;currency=EUR&amp;startStation=9&amp;endStation=57",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Sevilla</t>
        </is>
      </c>
      <c r="E177" t="inlineStr">
        <is>
          <t>2026-07-02</t>
        </is>
      </c>
      <c r="F177" t="inlineStr">
        <is>
          <t>2026-07-09</t>
        </is>
      </c>
      <c r="G177" t="inlineStr">
        <is>
          <t xml:space="preserve"> - Couple Cottage</t>
        </is>
      </c>
      <c r="H177">
        <f>HYPERLINK("https://booking.roadsurfer.com/es/rally/pick?pickup_date=2026-07-02&amp;return_date=2026-07-09&amp;currency=EUR&amp;startStation=9&amp;endStation=39",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Constanza (Aach)</t>
        </is>
      </c>
      <c r="E178" t="inlineStr">
        <is>
          <t>2026-05-23</t>
        </is>
      </c>
      <c r="F178" t="inlineStr">
        <is>
          <t>2026-05-30</t>
        </is>
      </c>
      <c r="G178" t="inlineStr">
        <is>
          <t xml:space="preserve"> - Surfer Suite</t>
        </is>
      </c>
      <c r="H178">
        <f>HYPERLINK("https://booking.roadsurfer.com/es/rally/pick?pickup_date=2026-05-23&amp;return_date=2026-05-30&amp;currency=EUR&amp;startStation=29&amp;endStation=10",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2026-05-27</t>
        </is>
      </c>
      <c r="F179" t="inlineStr">
        <is>
          <t>2026-06-03</t>
        </is>
      </c>
      <c r="G179" t="inlineStr">
        <is>
          <t xml:space="preserve"> - Camper Cabin</t>
        </is>
      </c>
      <c r="H179">
        <f>HYPERLINK("https://booking.roadsurfer.com/es/rally/pick?pickup_date=2026-05-27&amp;return_date=2026-06-03&amp;currency=EUR&amp;startStation=29&amp;endStation=90",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Surfer Suite</t>
        </is>
      </c>
      <c r="H180">
        <f>HYPERLINK("https://booking.roadsurfer.com/es/rally/pick?pickup_date=2026-06-01&amp;return_date=2026-06-08&amp;currency=EUR&amp;startStation=77&amp;endStation=111",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2026-05-27</t>
        </is>
      </c>
      <c r="F181" t="inlineStr">
        <is>
          <t>2026-06-03</t>
        </is>
      </c>
      <c r="G181" t="inlineStr">
        <is>
          <t xml:space="preserve"> - Beach Hostel</t>
        </is>
      </c>
      <c r="H181">
        <f>HYPERLINK("https://booking.roadsurfer.com/es/rally/pick?pickup_date=2026-05-27&amp;return_date=2026-06-03&amp;currency=EUR&amp;startStation=77&amp;endStation=22",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2026-05-28</t>
        </is>
      </c>
      <c r="F182" t="inlineStr">
        <is>
          <t>2026-06-04</t>
        </is>
      </c>
      <c r="G182" t="inlineStr">
        <is>
          <t xml:space="preserve"> - No hay coche</t>
        </is>
      </c>
      <c r="H182">
        <f>HYPERLINK("https://booking.roadsurfer.com/es/rally/pick?pickup_date=2026-05-28&amp;return_date=2026-06-04&amp;currency=EUR&amp;startStation=77&amp;endStation=91",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Francia</t>
        </is>
      </c>
      <c r="D183" t="inlineStr">
        <is>
          <t>París Aeropuerto CDG</t>
        </is>
      </c>
      <c r="E183" t="inlineStr">
        <is>
          <t>2026-06-08</t>
        </is>
      </c>
      <c r="F183" t="inlineStr">
        <is>
          <t>2026-06-15</t>
        </is>
      </c>
      <c r="G183" t="inlineStr">
        <is>
          <t xml:space="preserve"> - Beach Hostel</t>
        </is>
      </c>
      <c r="H183">
        <f>HYPERLINK("https://booking.roadsurfer.com/es/rally/pick?pickup_date=2026-06-08&amp;return_date=2026-06-15&amp;currency=EUR&amp;startStation=37&amp;endStation=48", "Clic para verlo en la web de RoadSurfer")</f>
        <v/>
      </c>
    </row>
    <row r="184">
      <c r="A184" t="inlineStr">
        <is>
          <t>Austria</t>
        </is>
      </c>
      <c r="B184" t="inlineStr">
        <is>
          <t>Graz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2026-06-08</t>
        </is>
      </c>
      <c r="F184" t="inlineStr">
        <is>
          <t>2026-06-15</t>
        </is>
      </c>
      <c r="G184" t="inlineStr"/>
      <c r="H184">
        <f>HYPERLINK("https://booking.roadsurfer.com/es/rally/pick?pickup_date=2026-06-08&amp;return_date=2026-06-15&amp;currency=EUR&amp;startStation=37&amp;endStation=5",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2026-06-15</t>
        </is>
      </c>
      <c r="F185" t="inlineStr">
        <is>
          <t>2026-06-22</t>
        </is>
      </c>
      <c r="G185" t="inlineStr">
        <is>
          <t xml:space="preserve"> - No hay coche</t>
        </is>
      </c>
      <c r="H185">
        <f>HYPERLINK("https://booking.roadsurfer.com/es/rally/pick?pickup_date=2026-06-15&amp;return_date=2026-06-22&amp;currency=EUR&amp;startStation=3&amp;endStation=59",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Malmö</t>
        </is>
      </c>
      <c r="E186" t="inlineStr">
        <is>
          <t>2026-06-22</t>
        </is>
      </c>
      <c r="F186" t="inlineStr">
        <is>
          <t>2026-06-29</t>
        </is>
      </c>
      <c r="G186" t="inlineStr">
        <is>
          <t xml:space="preserve"> - Camper Castle</t>
        </is>
      </c>
      <c r="H186">
        <f>HYPERLINK("https://booking.roadsurfer.com/es/rally/pick?pickup_date=2026-06-22&amp;return_date=2026-06-29&amp;currency=EUR&amp;startStation=3&amp;endStation=60",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Suecia</t>
        </is>
      </c>
      <c r="D187" t="inlineStr">
        <is>
          <t>Gotemburgo</t>
        </is>
      </c>
      <c r="E187" t="inlineStr">
        <is>
          <t>2026-05-27</t>
        </is>
      </c>
      <c r="F187" t="inlineStr">
        <is>
          <t>2026-06-03</t>
        </is>
      </c>
      <c r="G187" t="inlineStr">
        <is>
          <t xml:space="preserve"> - Sunrise Suite</t>
        </is>
      </c>
      <c r="H187">
        <f>HYPERLINK("https://booking.roadsurfer.com/es/rally/pick?pickup_date=2026-05-27&amp;return_date=2026-06-03&amp;currency=EUR&amp;startStation=3&amp;endStation=77",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Francia</t>
        </is>
      </c>
      <c r="D188" t="inlineStr">
        <is>
          <t>Toulouse</t>
        </is>
      </c>
      <c r="E188" t="inlineStr">
        <is>
          <t>2026-05-30</t>
        </is>
      </c>
      <c r="F188" t="inlineStr">
        <is>
          <t>2026-06-06</t>
        </is>
      </c>
      <c r="G188" t="inlineStr">
        <is>
          <t xml:space="preserve"> - No hay coche</t>
        </is>
      </c>
      <c r="H188">
        <f>HYPERLINK("https://booking.roadsurfer.com/es/rally/pick?pickup_date=2026-05-30&amp;return_date=2026-06-06&amp;currency=EUR&amp;startStation=7&amp;endStation=30",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Portugal</t>
        </is>
      </c>
      <c r="D189" t="inlineStr">
        <is>
          <t>Lisboa</t>
        </is>
      </c>
      <c r="E189" t="inlineStr">
        <is>
          <t>2026-05-30</t>
        </is>
      </c>
      <c r="F189" t="inlineStr">
        <is>
          <t>2026-06-06</t>
        </is>
      </c>
      <c r="G189" t="inlineStr"/>
      <c r="H189">
        <f>HYPERLINK("https://booking.roadsurfer.com/es/rally/pick?pickup_date=2026-05-30&amp;return_date=2026-06-06&amp;currency=EUR&amp;startStation=7&amp;endStation=18",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Francia</t>
        </is>
      </c>
      <c r="D190" t="inlineStr">
        <is>
          <t>París Sur (Orly)</t>
        </is>
      </c>
      <c r="E190" t="inlineStr">
        <is>
          <t>2026-06-08</t>
        </is>
      </c>
      <c r="F190" t="inlineStr">
        <is>
          <t>2026-06-15</t>
        </is>
      </c>
      <c r="G190" t="inlineStr">
        <is>
          <t xml:space="preserve"> - Travel Home</t>
        </is>
      </c>
      <c r="H190">
        <f>HYPERLINK("https://booking.roadsurfer.com/es/rally/pick?pickup_date=2026-06-08&amp;return_date=2026-06-15&amp;currency=EUR&amp;startStation=7&amp;endStation=12",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Países Bajos</t>
        </is>
      </c>
      <c r="D191" t="inlineStr">
        <is>
          <t>Ámsterdam</t>
        </is>
      </c>
      <c r="E191" t="inlineStr">
        <is>
          <t>2026-06-22</t>
        </is>
      </c>
      <c r="F191" t="inlineStr">
        <is>
          <t>2026-06-29</t>
        </is>
      </c>
      <c r="G191" t="inlineStr">
        <is>
          <t xml:space="preserve"> - No hay coche</t>
        </is>
      </c>
      <c r="H191">
        <f>HYPERLINK("https://booking.roadsurfer.com/es/rally/pick?pickup_date=2026-06-22&amp;return_date=2026-06-29&amp;currency=EUR&amp;startStation=7&amp;endStation=32",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2026-06-22</t>
        </is>
      </c>
      <c r="F192" t="inlineStr">
        <is>
          <t>2026-06-29</t>
        </is>
      </c>
      <c r="G192" t="inlineStr">
        <is>
          <t xml:space="preserve"> - No hay coche</t>
        </is>
      </c>
      <c r="H192">
        <f>HYPERLINK("https://booking.roadsurfer.com/es/rally/pick?pickup_date=2026-06-22&amp;return_date=2026-06-29&amp;currency=EUR&amp;startStation=7&amp;endStation=52",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Surfer Suite</t>
        </is>
      </c>
      <c r="H193">
        <f>HYPERLINK("https://booking.roadsurfer.com/es/rally/pick?pickup_date=2026-06-01&amp;return_date=2026-06-08&amp;currency=EUR&amp;startStation=79&amp;endStation=77", "Clic para verlo en la web de RoadSurfer")</f>
        <v/>
      </c>
    </row>
    <row r="194">
      <c r="A194" t="inlineStr">
        <is>
          <t>Austria</t>
        </is>
      </c>
      <c r="B194" t="inlineStr">
        <is>
          <t>Innsbruck-Wiesing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2026-05-30</t>
        </is>
      </c>
      <c r="F194" t="inlineStr">
        <is>
          <t>2026-06-06</t>
        </is>
      </c>
      <c r="G194" t="inlineStr">
        <is>
          <t xml:space="preserve"> - Surfer Suite</t>
        </is>
      </c>
      <c r="H194">
        <f>HYPERLINK("https://booking.roadsurfer.com/es/rally/pick?pickup_date=2026-05-30&amp;return_date=2026-06-06&amp;currency=EUR&amp;startStation=46&amp;endStation=42",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2026-06-19</t>
        </is>
      </c>
      <c r="F195" t="inlineStr">
        <is>
          <t>2026-06-26</t>
        </is>
      </c>
      <c r="G195" t="inlineStr">
        <is>
          <t xml:space="preserve"> - Sunrise Suite</t>
        </is>
      </c>
      <c r="H195">
        <f>HYPERLINK("https://booking.roadsurfer.com/es/rally/pick?pickup_date=2026-06-19&amp;return_date=2026-06-26&amp;currency=EUR&amp;startStation=110&amp;endStation=20",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París Sur (Orly)</t>
        </is>
      </c>
      <c r="E196" t="inlineStr">
        <is>
          <t>2026-06-12</t>
        </is>
      </c>
      <c r="F196" t="inlineStr">
        <is>
          <t>2026-06-19</t>
        </is>
      </c>
      <c r="G196" t="inlineStr">
        <is>
          <t xml:space="preserve"> - Camper Cabin</t>
        </is>
      </c>
      <c r="H196">
        <f>HYPERLINK("https://booking.roadsurfer.com/es/rally/pick?pickup_date=2026-06-12&amp;return_date=2026-06-19&amp;currency=EUR&amp;startStation=110&amp;endStation=12",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Francia</t>
        </is>
      </c>
      <c r="D197" t="inlineStr">
        <is>
          <t>París Sur (Orly)</t>
        </is>
      </c>
      <c r="E197" t="inlineStr">
        <is>
          <t>2026-06-18</t>
        </is>
      </c>
      <c r="F197" t="inlineStr">
        <is>
          <t>2026-06-25</t>
        </is>
      </c>
      <c r="G197" t="inlineStr">
        <is>
          <t xml:space="preserve"> - Road House</t>
        </is>
      </c>
      <c r="H197">
        <f>HYPERLINK("https://booking.roadsurfer.com/es/rally/pick?pickup_date=2026-06-18&amp;return_date=2026-06-25&amp;currency=EUR&amp;startStation=110&amp;endStation=12",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2026-06-26</t>
        </is>
      </c>
      <c r="F198" t="inlineStr">
        <is>
          <t>2026-07-03</t>
        </is>
      </c>
      <c r="G198" t="inlineStr">
        <is>
          <t xml:space="preserve"> - Surfer Suite</t>
        </is>
      </c>
      <c r="H198">
        <f>HYPERLINK("https://booking.roadsurfer.com/es/rally/pick?pickup_date=2026-06-26&amp;return_date=2026-07-03&amp;currency=EUR&amp;startStation=110&amp;endStation=12",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Lille</t>
        </is>
      </c>
      <c r="E199" t="inlineStr">
        <is>
          <t>2026-05-28</t>
        </is>
      </c>
      <c r="F199" t="inlineStr">
        <is>
          <t>2026-06-04</t>
        </is>
      </c>
      <c r="G199" t="inlineStr">
        <is>
          <t xml:space="preserve"> - Cozy Cottage</t>
        </is>
      </c>
      <c r="H199">
        <f>HYPERLINK("https://booking.roadsurfer.com/es/rally/pick?pickup_date=2026-05-28&amp;return_date=2026-06-04&amp;currency=EUR&amp;startStation=110&amp;endStation=87", "Clic para verlo en la web de RoadSurfer")</f>
        <v/>
      </c>
    </row>
    <row r="200">
      <c r="A200" t="inlineStr">
        <is>
          <t>Alemania</t>
        </is>
      </c>
      <c r="B200" t="inlineStr">
        <is>
          <t>Kassel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2026-05-27</t>
        </is>
      </c>
      <c r="F200" t="inlineStr">
        <is>
          <t>2026-06-03</t>
        </is>
      </c>
      <c r="G200" t="inlineStr">
        <is>
          <t xml:space="preserve"> - Beach Hostel</t>
        </is>
      </c>
      <c r="H200">
        <f>HYPERLINK("https://booking.roadsurfer.com/es/rally/pick?pickup_date=2026-05-27&amp;return_date=2026-06-03&amp;currency=EUR&amp;startStation=92&amp;endStation=13", "Clic para verlo en la web de RoadSurfer")</f>
        <v/>
      </c>
    </row>
    <row r="201">
      <c r="A201" t="inlineStr">
        <is>
          <t>Alemania</t>
        </is>
      </c>
      <c r="B201" t="inlineStr">
        <is>
          <t>Kassel</t>
        </is>
      </c>
      <c r="C201" t="inlineStr">
        <is>
          <t>Francia</t>
        </is>
      </c>
      <c r="D201" t="inlineStr">
        <is>
          <t>Toulouse</t>
        </is>
      </c>
      <c r="E201" t="inlineStr">
        <is>
          <t>2026-06-03</t>
        </is>
      </c>
      <c r="F201" t="inlineStr">
        <is>
          <t>2026-06-10</t>
        </is>
      </c>
      <c r="G201" t="inlineStr">
        <is>
          <t xml:space="preserve"> - Surfer Suite</t>
        </is>
      </c>
      <c r="H201">
        <f>HYPERLINK("https://booking.roadsurfer.com/es/rally/pick?pickup_date=2026-06-03&amp;return_date=2026-06-10&amp;currency=EUR&amp;startStation=92&amp;endStation=30", "Clic para verlo en la web de RoadSurfer")</f>
        <v/>
      </c>
    </row>
    <row r="202">
      <c r="A202" t="inlineStr">
        <is>
          <t>Alemania</t>
        </is>
      </c>
      <c r="B202" t="inlineStr">
        <is>
          <t>Kassel</t>
        </is>
      </c>
      <c r="C202" t="inlineStr">
        <is>
          <t>Alemania</t>
        </is>
      </c>
      <c r="D202" t="inlineStr">
        <is>
          <t>Ratisbona</t>
        </is>
      </c>
      <c r="E202" t="inlineStr">
        <is>
          <t>2026-05-27</t>
        </is>
      </c>
      <c r="F202" t="inlineStr">
        <is>
          <t>2026-06-03</t>
        </is>
      </c>
      <c r="G202" t="inlineStr">
        <is>
          <t xml:space="preserve"> - Camper Cabin</t>
        </is>
      </c>
      <c r="H202">
        <f>HYPERLINK("https://booking.roadsurfer.com/es/rally/pick?pickup_date=2026-05-27&amp;return_date=2026-06-03&amp;currency=EUR&amp;startStation=92&amp;endStation=89", "Clic para verlo en la web de RoadSurfer")</f>
        <v/>
      </c>
    </row>
    <row r="203">
      <c r="A203" t="inlineStr">
        <is>
          <t>Alemania</t>
        </is>
      </c>
      <c r="B203" t="inlineStr">
        <is>
          <t>Kiel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2026-07-06</t>
        </is>
      </c>
      <c r="F203" t="inlineStr">
        <is>
          <t>2026-07-13</t>
        </is>
      </c>
      <c r="G203" t="inlineStr">
        <is>
          <t xml:space="preserve"> - Road House</t>
        </is>
      </c>
      <c r="H203">
        <f>HYPERLINK("https://booking.roadsurfer.com/es/rally/pick?pickup_date=2026-07-06&amp;return_date=2026-07-13&amp;currency=EUR&amp;startStation=111&amp;endStation=60", "Clic para verlo en la web de RoadSurfer")</f>
        <v/>
      </c>
    </row>
    <row r="204">
      <c r="A204" t="inlineStr">
        <is>
          <t>Alemania</t>
        </is>
      </c>
      <c r="B204" t="inlineStr">
        <is>
          <t>Kiel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Cozy Cottage</t>
        </is>
      </c>
      <c r="H204">
        <f>HYPERLINK("https://booking.roadsurfer.com/es/rally/pick?pickup_date=2026-06-08&amp;return_date=2026-06-15&amp;currency=EUR&amp;startStation=111&amp;endStation=60", "Clic para verlo en la web de RoadSurfer")</f>
        <v/>
      </c>
    </row>
    <row r="205">
      <c r="A205" t="inlineStr">
        <is>
          <t>Alemania</t>
        </is>
      </c>
      <c r="B205" t="inlineStr">
        <is>
          <t>Kiel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2026-06-04</t>
        </is>
      </c>
      <c r="F205" t="inlineStr">
        <is>
          <t>2026-06-11</t>
        </is>
      </c>
      <c r="G205" t="inlineStr"/>
      <c r="H205">
        <f>HYPERLINK("https://booking.roadsurfer.com/es/rally/pick?pickup_date=2026-06-04&amp;return_date=2026-06-11&amp;currency=EUR&amp;startStation=111&amp;endStation=59", "Clic para verlo en la web de RoadSurfer")</f>
        <v/>
      </c>
    </row>
    <row r="206">
      <c r="A206" t="inlineStr">
        <is>
          <t>Alemania</t>
        </is>
      </c>
      <c r="B206" t="inlineStr">
        <is>
          <t>Kiel</t>
        </is>
      </c>
      <c r="C206" t="inlineStr">
        <is>
          <t>Suecia</t>
        </is>
      </c>
      <c r="D206" t="inlineStr">
        <is>
          <t>Estocolmo</t>
        </is>
      </c>
      <c r="E206" t="inlineStr">
        <is>
          <t>2026-06-10</t>
        </is>
      </c>
      <c r="F206" t="inlineStr">
        <is>
          <t>2026-06-17</t>
        </is>
      </c>
      <c r="G206" t="inlineStr">
        <is>
          <t xml:space="preserve"> - Couple Cottage</t>
        </is>
      </c>
      <c r="H206">
        <f>HYPERLINK("https://booking.roadsurfer.com/es/rally/pick?pickup_date=2026-06-10&amp;return_date=2026-06-17&amp;currency=EUR&amp;startStation=111&amp;endStation=59", "Clic para verlo en la web de RoadSurfer")</f>
        <v/>
      </c>
    </row>
    <row r="207">
      <c r="A207" t="inlineStr">
        <is>
          <t>Alemania</t>
        </is>
      </c>
      <c r="B207" t="inlineStr">
        <is>
          <t>Kiel</t>
        </is>
      </c>
      <c r="C207" t="inlineStr">
        <is>
          <t>Suecia</t>
        </is>
      </c>
      <c r="D207" t="inlineStr">
        <is>
          <t>Estocolmo</t>
        </is>
      </c>
      <c r="E207" t="inlineStr">
        <is>
          <t>2026-06-30</t>
        </is>
      </c>
      <c r="F207" t="inlineStr">
        <is>
          <t>2026-07-07</t>
        </is>
      </c>
      <c r="G207" t="inlineStr">
        <is>
          <t xml:space="preserve"> - No hay coche</t>
        </is>
      </c>
      <c r="H207">
        <f>HYPERLINK("https://booking.roadsurfer.com/es/rally/pick?pickup_date=2026-06-30&amp;return_date=2026-07-07&amp;currency=EUR&amp;startStation=111&amp;endStation=59",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Estocolmo</t>
        </is>
      </c>
      <c r="E208" t="inlineStr">
        <is>
          <t>2026-06-25</t>
        </is>
      </c>
      <c r="F208" t="inlineStr">
        <is>
          <t>2026-07-02</t>
        </is>
      </c>
      <c r="G208" t="inlineStr"/>
      <c r="H208">
        <f>HYPERLINK("https://booking.roadsurfer.com/es/rally/pick?pickup_date=2026-06-25&amp;return_date=2026-07-02&amp;currency=EUR&amp;startStation=111&amp;endStation=59",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2026-06-26</t>
        </is>
      </c>
      <c r="F209" t="inlineStr">
        <is>
          <t>2026-07-03</t>
        </is>
      </c>
      <c r="G209" t="inlineStr"/>
      <c r="H209">
        <f>HYPERLINK("https://booking.roadsurfer.com/es/rally/pick?pickup_date=2026-06-26&amp;return_date=2026-07-03&amp;currency=EUR&amp;startStation=111&amp;endStation=59",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Gotemburgo</t>
        </is>
      </c>
      <c r="E210" t="inlineStr">
        <is>
          <t>2026-06-12</t>
        </is>
      </c>
      <c r="F210" t="inlineStr">
        <is>
          <t>2026-06-19</t>
        </is>
      </c>
      <c r="G210" t="inlineStr">
        <is>
          <t xml:space="preserve"> - No hay coche</t>
        </is>
      </c>
      <c r="H210">
        <f>HYPERLINK("https://booking.roadsurfer.com/es/rally/pick?pickup_date=2026-06-12&amp;return_date=2026-06-19&amp;currency=EUR&amp;startStation=111&amp;endStation=77",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Dallas</t>
        </is>
      </c>
      <c r="E211" t="inlineStr">
        <is>
          <t>2026-06-20</t>
        </is>
      </c>
      <c r="F211" t="inlineStr">
        <is>
          <t>2026-06-27</t>
        </is>
      </c>
      <c r="G211" t="inlineStr">
        <is>
          <t xml:space="preserve"> - Liberty Lodge</t>
        </is>
      </c>
      <c r="H211">
        <f>HYPERLINK("https://booking.roadsurfer.com/es/rally/pick?pickup_date=2026-06-20&amp;return_date=2026-06-27&amp;currency=EUR&amp;startStation=76&amp;endStation=125",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2026-06-08</t>
        </is>
      </c>
      <c r="F212" t="inlineStr">
        <is>
          <t>2026-06-15</t>
        </is>
      </c>
      <c r="G212" t="inlineStr"/>
      <c r="H212">
        <f>HYPERLINK("https://booking.roadsurfer.com/es/rally/pick?pickup_date=2026-06-08&amp;return_date=2026-06-15&amp;currency=EUR&amp;startStation=8&amp;endStation=37",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2026-06-17</t>
        </is>
      </c>
      <c r="F213" t="inlineStr">
        <is>
          <t>2026-06-24</t>
        </is>
      </c>
      <c r="G213" t="inlineStr">
        <is>
          <t xml:space="preserve"> - Surfer Suite</t>
        </is>
      </c>
      <c r="H213">
        <f>HYPERLINK("https://booking.roadsurfer.com/es/rally/pick?pickup_date=2026-06-17&amp;return_date=2026-06-24&amp;currency=EUR&amp;startStation=8&amp;endStation=37",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2026-06-20</t>
        </is>
      </c>
      <c r="F214" t="inlineStr">
        <is>
          <t>2026-06-27</t>
        </is>
      </c>
      <c r="G214" t="inlineStr">
        <is>
          <t xml:space="preserve"> - Camper Cabin</t>
        </is>
      </c>
      <c r="H214">
        <f>HYPERLINK("https://booking.roadsurfer.com/es/rally/pick?pickup_date=2026-06-20&amp;return_date=2026-06-27&amp;currency=EUR&amp;startStation=8&amp;endStation=37",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Países Bajos</t>
        </is>
      </c>
      <c r="D215" t="inlineStr">
        <is>
          <t>Róterdam</t>
        </is>
      </c>
      <c r="E215" t="inlineStr">
        <is>
          <t>2026-05-29</t>
        </is>
      </c>
      <c r="F215" t="inlineStr">
        <is>
          <t>2026-06-05</t>
        </is>
      </c>
      <c r="G215" t="inlineStr">
        <is>
          <t xml:space="preserve"> - Surfer Suite</t>
        </is>
      </c>
      <c r="H215">
        <f>HYPERLINK("https://booking.roadsurfer.com/es/rally/pick?pickup_date=2026-05-29&amp;return_date=2026-06-05&amp;currency=EUR&amp;startStation=8&amp;endStation=33",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2026-05-30</t>
        </is>
      </c>
      <c r="F216" t="inlineStr">
        <is>
          <t>2026-06-06</t>
        </is>
      </c>
      <c r="G216" t="inlineStr">
        <is>
          <t xml:space="preserve"> - Couple Cottage</t>
        </is>
      </c>
      <c r="H216">
        <f>HYPERLINK("https://booking.roadsurfer.com/es/rally/pick?pickup_date=2026-05-30&amp;return_date=2026-06-06&amp;currency=EUR&amp;startStation=8&amp;endStation=33",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2026-06-17</t>
        </is>
      </c>
      <c r="F217" t="inlineStr">
        <is>
          <t>2026-06-24</t>
        </is>
      </c>
      <c r="G217" t="inlineStr">
        <is>
          <t xml:space="preserve"> - Surfer Suite</t>
        </is>
      </c>
      <c r="H217">
        <f>HYPERLINK("https://booking.roadsurfer.com/es/rally/pick?pickup_date=2026-06-17&amp;return_date=2026-06-24&amp;currency=EUR&amp;startStation=8&amp;endStation=15",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2026-06-11</t>
        </is>
      </c>
      <c r="F218" t="inlineStr">
        <is>
          <t>2026-06-18</t>
        </is>
      </c>
      <c r="G218" t="inlineStr">
        <is>
          <t xml:space="preserve"> - Surfer Suite</t>
        </is>
      </c>
      <c r="H218">
        <f>HYPERLINK("https://booking.roadsurfer.com/es/rally/pick?pickup_date=2026-06-11&amp;return_date=2026-06-18&amp;currency=EUR&amp;startStation=8&amp;endStation=13",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2026-06-17</t>
        </is>
      </c>
      <c r="F219" t="inlineStr">
        <is>
          <t>2026-06-24</t>
        </is>
      </c>
      <c r="G219" t="inlineStr">
        <is>
          <t xml:space="preserve"> - Road House</t>
        </is>
      </c>
      <c r="H219">
        <f>HYPERLINK("https://booking.roadsurfer.com/es/rally/pick?pickup_date=2026-06-17&amp;return_date=2026-06-24&amp;currency=EUR&amp;startStation=8&amp;endStation=13",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Viena</t>
        </is>
      </c>
      <c r="E220" t="inlineStr">
        <is>
          <t>2026-06-10</t>
        </is>
      </c>
      <c r="F220" t="inlineStr">
        <is>
          <t>2026-06-17</t>
        </is>
      </c>
      <c r="G220" t="inlineStr">
        <is>
          <t xml:space="preserve"> - No hay coche</t>
        </is>
      </c>
      <c r="H220">
        <f>HYPERLINK("https://booking.roadsurfer.com/es/rally/pick?pickup_date=2026-06-10&amp;return_date=2026-06-17&amp;currency=EUR&amp;startStation=8&amp;endStation=36",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Italia</t>
        </is>
      </c>
      <c r="D221" t="inlineStr">
        <is>
          <t>Bérgamo</t>
        </is>
      </c>
      <c r="E221" t="inlineStr">
        <is>
          <t>2026-06-01</t>
        </is>
      </c>
      <c r="F221" t="inlineStr">
        <is>
          <t>2026-06-08</t>
        </is>
      </c>
      <c r="G221" t="inlineStr">
        <is>
          <t xml:space="preserve"> - No hay coche</t>
        </is>
      </c>
      <c r="H221">
        <f>HYPERLINK("https://booking.roadsurfer.com/es/rally/pick?pickup_date=2026-06-01&amp;return_date=2026-06-08&amp;currency=EUR&amp;startStation=8&amp;endStation=94",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Bolonia</t>
        </is>
      </c>
      <c r="E222" t="inlineStr">
        <is>
          <t>2026-06-15</t>
        </is>
      </c>
      <c r="F222" t="inlineStr">
        <is>
          <t>2026-06-22</t>
        </is>
      </c>
      <c r="G222" t="inlineStr">
        <is>
          <t xml:space="preserve"> - Family Finca</t>
        </is>
      </c>
      <c r="H222">
        <f>HYPERLINK("https://booking.roadsurfer.com/es/rally/pick?pickup_date=2026-06-15&amp;return_date=2026-06-22&amp;currency=EUR&amp;startStation=8&amp;endStation=57",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Italia</t>
        </is>
      </c>
      <c r="D223" t="inlineStr">
        <is>
          <t>Milán</t>
        </is>
      </c>
      <c r="E223" t="inlineStr">
        <is>
          <t>2026-06-08</t>
        </is>
      </c>
      <c r="F223" t="inlineStr">
        <is>
          <t>2026-06-15</t>
        </is>
      </c>
      <c r="G223" t="inlineStr">
        <is>
          <t xml:space="preserve"> - Couple Cottage</t>
        </is>
      </c>
      <c r="H223">
        <f>HYPERLINK("https://booking.roadsurfer.com/es/rally/pick?pickup_date=2026-06-08&amp;return_date=2026-06-15&amp;currency=EUR&amp;startStation=8&amp;endStation=34",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2026-06-30</t>
        </is>
      </c>
      <c r="F224" t="inlineStr">
        <is>
          <t>2026-07-07</t>
        </is>
      </c>
      <c r="G224" t="inlineStr">
        <is>
          <t xml:space="preserve"> - Family Finca</t>
        </is>
      </c>
      <c r="H224">
        <f>HYPERLINK("https://booking.roadsurfer.com/es/rally/pick?pickup_date=2026-06-30&amp;return_date=2026-07-07&amp;currency=EUR&amp;startStation=8&amp;endStation=34",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España</t>
        </is>
      </c>
      <c r="D225" t="inlineStr">
        <is>
          <t>Valencia</t>
        </is>
      </c>
      <c r="E225" t="inlineStr">
        <is>
          <t>2026-06-02</t>
        </is>
      </c>
      <c r="F225" t="inlineStr">
        <is>
          <t>2026-06-09</t>
        </is>
      </c>
      <c r="G225" t="inlineStr">
        <is>
          <t xml:space="preserve"> - Family Finca</t>
        </is>
      </c>
      <c r="H225">
        <f>HYPERLINK("https://booking.roadsurfer.com/es/rally/pick?pickup_date=2026-06-02&amp;return_date=2026-06-09&amp;currency=EUR&amp;startStation=8&amp;endStation=38",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2026-07-01</t>
        </is>
      </c>
      <c r="F226" t="inlineStr">
        <is>
          <t>2026-07-08</t>
        </is>
      </c>
      <c r="G226" t="inlineStr">
        <is>
          <t xml:space="preserve"> - Family Finca</t>
        </is>
      </c>
      <c r="H226">
        <f>HYPERLINK("https://booking.roadsurfer.com/es/rally/pick?pickup_date=2026-07-01&amp;return_date=2026-07-08&amp;currency=EUR&amp;startStation=8&amp;endStation=45",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Austria</t>
        </is>
      </c>
      <c r="D227" t="inlineStr">
        <is>
          <t>Viena Sur</t>
        </is>
      </c>
      <c r="E227" t="inlineStr">
        <is>
          <t>2026-05-30</t>
        </is>
      </c>
      <c r="F227" t="inlineStr">
        <is>
          <t>2026-06-06</t>
        </is>
      </c>
      <c r="G227" t="inlineStr">
        <is>
          <t xml:space="preserve"> - Family Finca</t>
        </is>
      </c>
      <c r="H227">
        <f>HYPERLINK("https://booking.roadsurfer.com/es/rally/pick?pickup_date=2026-05-30&amp;return_date=2026-06-06&amp;currency=EUR&amp;startStation=8&amp;endStation=45",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Suecia</t>
        </is>
      </c>
      <c r="D228" t="inlineStr">
        <is>
          <t>Estocolmo</t>
        </is>
      </c>
      <c r="E228" t="inlineStr">
        <is>
          <t>2026-06-24</t>
        </is>
      </c>
      <c r="F228" t="inlineStr">
        <is>
          <t>2026-07-01</t>
        </is>
      </c>
      <c r="G228" t="inlineStr">
        <is>
          <t xml:space="preserve"> - No hay coche</t>
        </is>
      </c>
      <c r="H228">
        <f>HYPERLINK("https://booking.roadsurfer.com/es/rally/pick?pickup_date=2026-06-24&amp;return_date=2026-07-01&amp;currency=EUR&amp;startStation=8&amp;endStation=59",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Suecia</t>
        </is>
      </c>
      <c r="D229" t="inlineStr">
        <is>
          <t>Estocolmo</t>
        </is>
      </c>
      <c r="E229" t="inlineStr">
        <is>
          <t>2026-06-29</t>
        </is>
      </c>
      <c r="F229" t="inlineStr">
        <is>
          <t>2026-07-06</t>
        </is>
      </c>
      <c r="G229" t="inlineStr">
        <is>
          <t xml:space="preserve"> - Couple Cottage</t>
        </is>
      </c>
      <c r="H229">
        <f>HYPERLINK("https://booking.roadsurfer.com/es/rally/pick?pickup_date=2026-06-29&amp;return_date=2026-07-06&amp;currency=EUR&amp;startStation=8&amp;endStation=59",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Suecia</t>
        </is>
      </c>
      <c r="D230" t="inlineStr">
        <is>
          <t>Estocolmo</t>
        </is>
      </c>
      <c r="E230" t="inlineStr">
        <is>
          <t>2026-06-30</t>
        </is>
      </c>
      <c r="F230" t="inlineStr">
        <is>
          <t>2026-07-07</t>
        </is>
      </c>
      <c r="G230" t="inlineStr">
        <is>
          <t xml:space="preserve"> - Couple Cottage</t>
        </is>
      </c>
      <c r="H230">
        <f>HYPERLINK("https://booking.roadsurfer.com/es/rally/pick?pickup_date=2026-06-30&amp;return_date=2026-07-07&amp;currency=EUR&amp;startStation=8&amp;endStation=59",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Turín</t>
        </is>
      </c>
      <c r="E231" t="inlineStr">
        <is>
          <t>2026-06-22</t>
        </is>
      </c>
      <c r="F231" t="inlineStr">
        <is>
          <t>2026-06-29</t>
        </is>
      </c>
      <c r="G231" t="inlineStr">
        <is>
          <t xml:space="preserve"> - No hay coche</t>
        </is>
      </c>
      <c r="H231">
        <f>HYPERLINK("https://booking.roadsurfer.com/es/rally/pick?pickup_date=2026-06-22&amp;return_date=2026-06-29&amp;currency=EUR&amp;startStation=8&amp;endStation=58",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Italia</t>
        </is>
      </c>
      <c r="D232" t="inlineStr">
        <is>
          <t>Venecia</t>
        </is>
      </c>
      <c r="E232" t="inlineStr">
        <is>
          <t>2026-06-20</t>
        </is>
      </c>
      <c r="F232" t="inlineStr">
        <is>
          <t>2026-06-27</t>
        </is>
      </c>
      <c r="G232" t="inlineStr">
        <is>
          <t xml:space="preserve"> - Sunrise Suite</t>
        </is>
      </c>
      <c r="H232">
        <f>HYPERLINK("https://booking.roadsurfer.com/es/rally/pick?pickup_date=2026-06-20&amp;return_date=2026-06-27&amp;currency=EUR&amp;startStation=8&amp;endStation=78",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Aquisgrán</t>
        </is>
      </c>
      <c r="E233" t="inlineStr">
        <is>
          <t>2026-05-29</t>
        </is>
      </c>
      <c r="F233" t="inlineStr">
        <is>
          <t>2026-06-05</t>
        </is>
      </c>
      <c r="G233" t="inlineStr">
        <is>
          <t xml:space="preserve"> - Surfer Suite</t>
        </is>
      </c>
      <c r="H233">
        <f>HYPERLINK("https://booking.roadsurfer.com/es/rally/pick?pickup_date=2026-05-29&amp;return_date=2026-06-05&amp;currency=EUR&amp;startStation=87&amp;endStation=114",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Alemania</t>
        </is>
      </c>
      <c r="D234" t="inlineStr">
        <is>
          <t>Maguncia</t>
        </is>
      </c>
      <c r="E234" t="inlineStr">
        <is>
          <t>2026-06-23</t>
        </is>
      </c>
      <c r="F234" t="inlineStr">
        <is>
          <t>2026-06-30</t>
        </is>
      </c>
      <c r="G234" t="inlineStr">
        <is>
          <t xml:space="preserve"> - Cozy Cottage</t>
        </is>
      </c>
      <c r="H234">
        <f>HYPERLINK("https://booking.roadsurfer.com/es/rally/pick?pickup_date=2026-06-23&amp;return_date=2026-06-30&amp;currency=EUR&amp;startStation=117&amp;endStation=54",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2026-06-06</t>
        </is>
      </c>
      <c r="F235" t="inlineStr">
        <is>
          <t>2026-06-13</t>
        </is>
      </c>
      <c r="G235" t="inlineStr">
        <is>
          <t xml:space="preserve"> - Couple Cottage</t>
        </is>
      </c>
      <c r="H235">
        <f>HYPERLINK("https://booking.roadsurfer.com/es/rally/pick?pickup_date=2026-06-06&amp;return_date=2026-06-13&amp;currency=EUR&amp;startStation=117&amp;endStation=20",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España</t>
        </is>
      </c>
      <c r="D236" t="inlineStr">
        <is>
          <t>Madrid</t>
        </is>
      </c>
      <c r="E236" t="inlineStr">
        <is>
          <t>2026-06-22</t>
        </is>
      </c>
      <c r="F236" t="inlineStr">
        <is>
          <t>2026-06-29</t>
        </is>
      </c>
      <c r="G236" t="inlineStr">
        <is>
          <t xml:space="preserve"> - No hay coche</t>
        </is>
      </c>
      <c r="H236">
        <f>HYPERLINK("https://booking.roadsurfer.com/es/rally/pick?pickup_date=2026-06-22&amp;return_date=2026-06-29&amp;currency=EUR&amp;startStation=117&amp;endStation=20",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2026-06-08</t>
        </is>
      </c>
      <c r="F237" t="inlineStr">
        <is>
          <t>2026-06-15</t>
        </is>
      </c>
      <c r="G237" t="inlineStr">
        <is>
          <t xml:space="preserve"> - Surfer Suite</t>
        </is>
      </c>
      <c r="H237">
        <f>HYPERLINK("https://booking.roadsurfer.com/es/rally/pick?pickup_date=2026-06-08&amp;return_date=2026-06-15&amp;currency=EUR&amp;startStation=117&amp;endStation=31", "Clic para verlo en la web de RoadSurfer")</f>
        <v/>
      </c>
    </row>
    <row r="238">
      <c r="A238" t="inlineStr">
        <is>
          <t>Alemania</t>
        </is>
      </c>
      <c r="B238" t="inlineStr">
        <is>
          <t>Lindau-Wangen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2026-06-22</t>
        </is>
      </c>
      <c r="F238" t="inlineStr">
        <is>
          <t>2026-06-29</t>
        </is>
      </c>
      <c r="G238" t="inlineStr">
        <is>
          <t xml:space="preserve"> - Surfer Suite</t>
        </is>
      </c>
      <c r="H238">
        <f>HYPERLINK("https://booking.roadsurfer.com/es/rally/pick?pickup_date=2026-06-22&amp;return_date=2026-06-29&amp;currency=EUR&amp;startStation=117&amp;endStation=31",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Austria</t>
        </is>
      </c>
      <c r="D239" t="inlineStr">
        <is>
          <t>Viena</t>
        </is>
      </c>
      <c r="E239" t="inlineStr">
        <is>
          <t>2026-06-22</t>
        </is>
      </c>
      <c r="F239" t="inlineStr">
        <is>
          <t>2026-06-24</t>
        </is>
      </c>
      <c r="G239" t="inlineStr">
        <is>
          <t xml:space="preserve"> - Cozy Cottage</t>
        </is>
      </c>
      <c r="H239">
        <f>HYPERLINK("https://booking.roadsurfer.com/es/rally/pick?pickup_date=2026-06-22&amp;return_date=2026-06-24&amp;currency=EUR&amp;startStation=117&amp;endStation=36",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Toulouse</t>
        </is>
      </c>
      <c r="E240" t="inlineStr">
        <is>
          <t>2026-06-11</t>
        </is>
      </c>
      <c r="F240" t="inlineStr">
        <is>
          <t>2026-06-18</t>
        </is>
      </c>
      <c r="G240" t="inlineStr"/>
      <c r="H240">
        <f>HYPERLINK("https://booking.roadsurfer.com/es/rally/pick?pickup_date=2026-06-11&amp;return_date=2026-06-18&amp;currency=EUR&amp;startStation=117&amp;endStation=30",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Bélgica</t>
        </is>
      </c>
      <c r="D241" t="inlineStr">
        <is>
          <t>Bruselas</t>
        </is>
      </c>
      <c r="E241" t="inlineStr">
        <is>
          <t>2026-07-01</t>
        </is>
      </c>
      <c r="F241" t="inlineStr">
        <is>
          <t>2026-07-08</t>
        </is>
      </c>
      <c r="G241" t="inlineStr">
        <is>
          <t xml:space="preserve"> - Beach Hostel</t>
        </is>
      </c>
      <c r="H241">
        <f>HYPERLINK("https://booking.roadsurfer.com/es/rally/pick?pickup_date=2026-07-01&amp;return_date=2026-07-08&amp;currency=EUR&amp;startStation=117&amp;endStation=42",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Italia</t>
        </is>
      </c>
      <c r="D242" t="inlineStr">
        <is>
          <t>Florencia</t>
        </is>
      </c>
      <c r="E242" t="inlineStr">
        <is>
          <t>2026-06-01</t>
        </is>
      </c>
      <c r="F242" t="inlineStr">
        <is>
          <t>2026-06-08</t>
        </is>
      </c>
      <c r="G242" t="inlineStr">
        <is>
          <t xml:space="preserve"> - Road House</t>
        </is>
      </c>
      <c r="H242">
        <f>HYPERLINK("https://booking.roadsurfer.com/es/rally/pick?pickup_date=2026-06-01&amp;return_date=2026-06-08&amp;currency=EUR&amp;startStation=117&amp;endStation=80", "Clic para verlo en la web de RoadSurfer")</f>
        <v/>
      </c>
    </row>
    <row r="243">
      <c r="A243" t="inlineStr">
        <is>
          <t>Austria</t>
        </is>
      </c>
      <c r="B243" t="inlineStr">
        <is>
          <t>Linz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2026-06-09</t>
        </is>
      </c>
      <c r="F243" t="inlineStr">
        <is>
          <t>2026-06-16</t>
        </is>
      </c>
      <c r="G243" t="inlineStr"/>
      <c r="H243">
        <f>HYPERLINK("https://booking.roadsurfer.com/es/rally/pick?pickup_date=2026-06-09&amp;return_date=2026-06-16&amp;currency=EUR&amp;startStation=116&amp;endStation=45", "Clic para verlo en la web de RoadSurfer")</f>
        <v/>
      </c>
    </row>
    <row r="244">
      <c r="A244" t="inlineStr">
        <is>
          <t>Alemania</t>
        </is>
      </c>
      <c r="B244" t="inlineStr">
        <is>
          <t>Lübeck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2026-06-11</t>
        </is>
      </c>
      <c r="F244" t="inlineStr">
        <is>
          <t>2026-06-18</t>
        </is>
      </c>
      <c r="G244" t="inlineStr"/>
      <c r="H244">
        <f>HYPERLINK("https://booking.roadsurfer.com/es/rally/pick?pickup_date=2026-06-11&amp;return_date=2026-06-18&amp;currency=EUR&amp;startStation=109&amp;endStation=60", "Clic para verlo en la web de RoadSurfer")</f>
        <v/>
      </c>
    </row>
    <row r="245">
      <c r="A245" t="inlineStr">
        <is>
          <t>Alemania</t>
        </is>
      </c>
      <c r="B245" t="inlineStr">
        <is>
          <t>Lübeck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2026-06-26</t>
        </is>
      </c>
      <c r="F245" t="inlineStr">
        <is>
          <t>2026-07-03</t>
        </is>
      </c>
      <c r="G245" t="inlineStr">
        <is>
          <t xml:space="preserve"> - Couple Cottage</t>
        </is>
      </c>
      <c r="H245">
        <f>HYPERLINK("https://booking.roadsurfer.com/es/rally/pick?pickup_date=2026-06-26&amp;return_date=2026-07-03&amp;currency=EUR&amp;startStation=109&amp;endStation=60", "Clic para verlo en la web de RoadSurfer")</f>
        <v/>
      </c>
    </row>
    <row r="246">
      <c r="A246" t="inlineStr">
        <is>
          <t>Francia</t>
        </is>
      </c>
      <c r="B246" t="inlineStr">
        <is>
          <t>Lyon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2026-05-30</t>
        </is>
      </c>
      <c r="F246" t="inlineStr">
        <is>
          <t>2026-06-06</t>
        </is>
      </c>
      <c r="G246" t="inlineStr">
        <is>
          <t xml:space="preserve"> - Beach Hostel</t>
        </is>
      </c>
      <c r="H246">
        <f>HYPERLINK("https://booking.roadsurfer.com/es/rally/pick?pickup_date=2026-05-30&amp;return_date=2026-06-06&amp;currency=EUR&amp;startStation=15&amp;endStation=90", "Clic para verlo en la web de RoadSurfer")</f>
        <v/>
      </c>
    </row>
    <row r="247">
      <c r="A247" t="inlineStr">
        <is>
          <t>Francia</t>
        </is>
      </c>
      <c r="B247" t="inlineStr">
        <is>
          <t>Lyon</t>
        </is>
      </c>
      <c r="C247" t="inlineStr">
        <is>
          <t>Alemania</t>
        </is>
      </c>
      <c r="D247" t="inlineStr">
        <is>
          <t>Hamburgo Aeropuerto</t>
        </is>
      </c>
      <c r="E247" t="inlineStr">
        <is>
          <t>2026-05-30</t>
        </is>
      </c>
      <c r="F247" t="inlineStr">
        <is>
          <t>2026-06-06</t>
        </is>
      </c>
      <c r="G247" t="inlineStr">
        <is>
          <t xml:space="preserve"> - Road House</t>
        </is>
      </c>
      <c r="H247">
        <f>HYPERLINK("https://booking.roadsurfer.com/es/rally/pick?pickup_date=2026-05-30&amp;return_date=2026-06-06&amp;currency=EUR&amp;startStation=15&amp;endStation=65", "Clic para verlo en la web de RoadSurfer")</f>
        <v/>
      </c>
    </row>
    <row r="248">
      <c r="A248" t="inlineStr">
        <is>
          <t>Francia</t>
        </is>
      </c>
      <c r="B248" t="inlineStr">
        <is>
          <t>Lyon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2026-07-25</t>
        </is>
      </c>
      <c r="F248" t="inlineStr">
        <is>
          <t>2026-08-01</t>
        </is>
      </c>
      <c r="G248" t="inlineStr">
        <is>
          <t xml:space="preserve"> - Cozy Cottage</t>
        </is>
      </c>
      <c r="H248">
        <f>HYPERLINK("https://booking.roadsurfer.com/es/rally/pick?pickup_date=2026-07-25&amp;return_date=2026-08-01&amp;currency=EUR&amp;startStation=15&amp;endStation=20",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Heidelberg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Travel Home</t>
        </is>
      </c>
      <c r="H249">
        <f>HYPERLINK("https://booking.roadsurfer.com/es/rally/pick?pickup_date=2026-06-08&amp;return_date=2026-06-15&amp;currency=EUR&amp;startStation=20&amp;endStation=79",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2026-05-27</t>
        </is>
      </c>
      <c r="F250" t="inlineStr">
        <is>
          <t>2026-06-03</t>
        </is>
      </c>
      <c r="G250" t="inlineStr">
        <is>
          <t xml:space="preserve"> - Camper Cabin</t>
        </is>
      </c>
      <c r="H250">
        <f>HYPERLINK("https://booking.roadsurfer.com/es/rally/pick?pickup_date=2026-05-27&amp;return_date=2026-06-03&amp;currency=EUR&amp;startStation=20&amp;endStation=5", "Clic para verlo en la web de RoadSurfer")</f>
        <v/>
      </c>
    </row>
    <row r="251">
      <c r="A251" t="inlineStr">
        <is>
          <t>España</t>
        </is>
      </c>
      <c r="B251" t="inlineStr">
        <is>
          <t>Madrid</t>
        </is>
      </c>
      <c r="C251" t="inlineStr">
        <is>
          <t>Alemania</t>
        </is>
      </c>
      <c r="D251" t="inlineStr">
        <is>
          <t>Stuttgart</t>
        </is>
      </c>
      <c r="E251" t="inlineStr">
        <is>
          <t>2026-06-12</t>
        </is>
      </c>
      <c r="F251" t="inlineStr">
        <is>
          <t>2026-06-19</t>
        </is>
      </c>
      <c r="G251" t="inlineStr">
        <is>
          <t xml:space="preserve"> - Road House</t>
        </is>
      </c>
      <c r="H251">
        <f>HYPERLINK("https://booking.roadsurfer.com/es/rally/pick?pickup_date=2026-06-12&amp;return_date=2026-06-19&amp;currency=EUR&amp;startStation=20&amp;endStation=5", "Clic para verlo en la web de RoadSurfer")</f>
        <v/>
      </c>
    </row>
    <row r="252">
      <c r="A252" t="inlineStr">
        <is>
          <t>España</t>
        </is>
      </c>
      <c r="B252" t="inlineStr">
        <is>
          <t>Madrid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2026-05-27</t>
        </is>
      </c>
      <c r="F252" t="inlineStr">
        <is>
          <t>2026-06-03</t>
        </is>
      </c>
      <c r="G252" t="inlineStr">
        <is>
          <t xml:space="preserve"> - Couple Cottage</t>
        </is>
      </c>
      <c r="H252">
        <f>HYPERLINK("https://booking.roadsurfer.com/es/rally/pick?pickup_date=2026-05-27&amp;return_date=2026-06-03&amp;currency=EUR&amp;startStation=20&amp;endStation=10", "Clic para verlo en la web de RoadSurfer")</f>
        <v/>
      </c>
    </row>
    <row r="253">
      <c r="A253" t="inlineStr">
        <is>
          <t>España</t>
        </is>
      </c>
      <c r="B253" t="inlineStr">
        <is>
          <t>Madrid</t>
        </is>
      </c>
      <c r="C253" t="inlineStr">
        <is>
          <t>Alemania</t>
        </is>
      </c>
      <c r="D253" t="inlineStr">
        <is>
          <t>Maguncia</t>
        </is>
      </c>
      <c r="E253" t="inlineStr">
        <is>
          <t>2026-05-29</t>
        </is>
      </c>
      <c r="F253" t="inlineStr">
        <is>
          <t>2026-06-05</t>
        </is>
      </c>
      <c r="G253" t="inlineStr"/>
      <c r="H253">
        <f>HYPERLINK("https://booking.roadsurfer.com/es/rally/pick?pickup_date=2026-05-29&amp;return_date=2026-06-05&amp;currency=EUR&amp;startStation=20&amp;endStation=54", "Clic para verlo en la web de RoadSurfer")</f>
        <v/>
      </c>
    </row>
    <row r="254">
      <c r="A254" t="inlineStr">
        <is>
          <t>España</t>
        </is>
      </c>
      <c r="B254" t="inlineStr">
        <is>
          <t>Madrid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2026-05-27</t>
        </is>
      </c>
      <c r="F254" t="inlineStr">
        <is>
          <t>2026-06-03</t>
        </is>
      </c>
      <c r="G254" t="inlineStr">
        <is>
          <t xml:space="preserve"> - Sunrise Suite</t>
        </is>
      </c>
      <c r="H254">
        <f>HYPERLINK("https://booking.roadsurfer.com/es/rally/pick?pickup_date=2026-05-27&amp;return_date=2026-06-03&amp;currency=EUR&amp;startStation=20&amp;endStation=1",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España</t>
        </is>
      </c>
      <c r="D255" t="inlineStr">
        <is>
          <t>Valencia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Road House</t>
        </is>
      </c>
      <c r="H255">
        <f>HYPERLINK("https://booking.roadsurfer.com/es/rally/pick?pickup_date=2026-06-01&amp;return_date=2026-06-08&amp;currency=EUR&amp;startStation=54&amp;endStation=38",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España</t>
        </is>
      </c>
      <c r="D256" t="inlineStr">
        <is>
          <t>Valencia</t>
        </is>
      </c>
      <c r="E256" t="inlineStr">
        <is>
          <t>2026-06-18</t>
        </is>
      </c>
      <c r="F256" t="inlineStr">
        <is>
          <t>2026-06-25</t>
        </is>
      </c>
      <c r="G256" t="inlineStr">
        <is>
          <t xml:space="preserve"> - Couple Cottage</t>
        </is>
      </c>
      <c r="H256">
        <f>HYPERLINK("https://booking.roadsurfer.com/es/rally/pick?pickup_date=2026-06-18&amp;return_date=2026-06-25&amp;currency=EUR&amp;startStation=54&amp;endStation=38", "Clic para verlo en la web de RoadSurfer")</f>
        <v/>
      </c>
    </row>
    <row r="257">
      <c r="A257" t="inlineStr">
        <is>
          <t>Alemania</t>
        </is>
      </c>
      <c r="B257" t="inlineStr">
        <is>
          <t>Maguncia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Camper Castle</t>
        </is>
      </c>
      <c r="H257">
        <f>HYPERLINK("https://booking.roadsurfer.com/es/rally/pick?pickup_date=2026-06-08&amp;return_date=2026-06-15&amp;currency=EUR&amp;startStation=54&amp;endStation=20", "Clic para verlo en la web de RoadSurfer")</f>
        <v/>
      </c>
    </row>
    <row r="258">
      <c r="A258" t="inlineStr">
        <is>
          <t>Alemania</t>
        </is>
      </c>
      <c r="B258" t="inlineStr">
        <is>
          <t>Maguncia</t>
        </is>
      </c>
      <c r="C258" t="inlineStr">
        <is>
          <t>España</t>
        </is>
      </c>
      <c r="D258" t="inlineStr">
        <is>
          <t>Madrid</t>
        </is>
      </c>
      <c r="E258" t="inlineStr">
        <is>
          <t>2026-06-30</t>
        </is>
      </c>
      <c r="F258" t="inlineStr">
        <is>
          <t>2026-07-07</t>
        </is>
      </c>
      <c r="G258" t="inlineStr">
        <is>
          <t xml:space="preserve"> - Family Finca</t>
        </is>
      </c>
      <c r="H258">
        <f>HYPERLINK("https://booking.roadsurfer.com/es/rally/pick?pickup_date=2026-06-30&amp;return_date=2026-07-07&amp;currency=EUR&amp;startStation=54&amp;endStation=20", "Clic para verlo en la web de RoadSurfer")</f>
        <v/>
      </c>
    </row>
    <row r="259">
      <c r="A259" t="inlineStr">
        <is>
          <t>Alemania</t>
        </is>
      </c>
      <c r="B259" t="inlineStr">
        <is>
          <t>Maguncia</t>
        </is>
      </c>
      <c r="C259" t="inlineStr">
        <is>
          <t>España</t>
        </is>
      </c>
      <c r="D259" t="inlineStr">
        <is>
          <t>Bilbao</t>
        </is>
      </c>
      <c r="E259" t="inlineStr">
        <is>
          <t>2026-06-26</t>
        </is>
      </c>
      <c r="F259" t="inlineStr">
        <is>
          <t>2026-07-03</t>
        </is>
      </c>
      <c r="G259" t="inlineStr">
        <is>
          <t xml:space="preserve"> - Sunrise Suite</t>
        </is>
      </c>
      <c r="H259">
        <f>HYPERLINK("https://booking.roadsurfer.com/es/rally/pick?pickup_date=2026-06-26&amp;return_date=2026-07-03&amp;currency=EUR&amp;startStation=54&amp;endStation=40",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Núremberg</t>
        </is>
      </c>
      <c r="E260" t="inlineStr">
        <is>
          <t>2026-05-29</t>
        </is>
      </c>
      <c r="F260" t="inlineStr">
        <is>
          <t>2026-06-05</t>
        </is>
      </c>
      <c r="G260" t="inlineStr">
        <is>
          <t xml:space="preserve"> - Surfer Suite</t>
        </is>
      </c>
      <c r="H260">
        <f>HYPERLINK("https://booking.roadsurfer.com/es/rally/pick?pickup_date=2026-05-29&amp;return_date=2026-06-05&amp;currency=EUR&amp;startStation=60&amp;endStation=11",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Kiel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Road House</t>
        </is>
      </c>
      <c r="H261">
        <f>HYPERLINK("https://booking.roadsurfer.com/es/rally/pick?pickup_date=2026-06-08&amp;return_date=2026-06-15&amp;currency=EUR&amp;startStation=60&amp;endStation=111",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Flensburgo</t>
        </is>
      </c>
      <c r="E262" t="inlineStr">
        <is>
          <t>2026-06-22</t>
        </is>
      </c>
      <c r="F262" t="inlineStr">
        <is>
          <t>2026-06-29</t>
        </is>
      </c>
      <c r="G262" t="inlineStr">
        <is>
          <t xml:space="preserve"> - No hay coche</t>
        </is>
      </c>
      <c r="H262">
        <f>HYPERLINK("https://booking.roadsurfer.com/es/rally/pick?pickup_date=2026-06-22&amp;return_date=2026-06-29&amp;currency=EUR&amp;startStation=60&amp;endStation=130",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2026-06-01</t>
        </is>
      </c>
      <c r="F263" t="inlineStr">
        <is>
          <t>2026-06-08</t>
        </is>
      </c>
      <c r="G263" t="inlineStr">
        <is>
          <t xml:space="preserve"> - Beach Hostel</t>
        </is>
      </c>
      <c r="H263">
        <f>HYPERLINK("https://booking.roadsurfer.com/es/rally/pick?pickup_date=2026-06-01&amp;return_date=2026-06-08&amp;currency=EUR&amp;startStation=22&amp;endStation=59",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2026-05-29</t>
        </is>
      </c>
      <c r="F264" t="inlineStr">
        <is>
          <t>2026-06-05</t>
        </is>
      </c>
      <c r="G264" t="inlineStr">
        <is>
          <t xml:space="preserve"> - Surfer Suite - Road House</t>
        </is>
      </c>
      <c r="H264">
        <f>HYPERLINK("https://booking.roadsurfer.com/es/rally/pick?pickup_date=2026-05-29&amp;return_date=2026-06-05&amp;currency=EUR&amp;startStation=22&amp;endStation=59",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Estocolmo</t>
        </is>
      </c>
      <c r="E265" t="inlineStr">
        <is>
          <t>2026-06-05</t>
        </is>
      </c>
      <c r="F265" t="inlineStr">
        <is>
          <t>2026-06-12</t>
        </is>
      </c>
      <c r="G265" t="inlineStr">
        <is>
          <t xml:space="preserve"> - Road House</t>
        </is>
      </c>
      <c r="H265">
        <f>HYPERLINK("https://booking.roadsurfer.com/es/rally/pick?pickup_date=2026-06-05&amp;return_date=2026-06-12&amp;currency=EUR&amp;startStation=22&amp;endStation=59",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2026-06-02</t>
        </is>
      </c>
      <c r="F266" t="inlineStr">
        <is>
          <t>2026-06-09</t>
        </is>
      </c>
      <c r="G266" t="inlineStr"/>
      <c r="H266">
        <f>HYPERLINK("https://booking.roadsurfer.com/es/rally/pick?pickup_date=2026-06-02&amp;return_date=2026-06-09&amp;currency=EUR&amp;startStation=22&amp;endStation=59",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2026-06-26</t>
        </is>
      </c>
      <c r="F267" t="inlineStr">
        <is>
          <t>2026-07-03</t>
        </is>
      </c>
      <c r="G267" t="inlineStr">
        <is>
          <t xml:space="preserve"> - Couple Cottage</t>
        </is>
      </c>
      <c r="H267">
        <f>HYPERLINK("https://booking.roadsurfer.com/es/rally/pick?pickup_date=2026-06-26&amp;return_date=2026-07-03&amp;currency=EUR&amp;startStation=22&amp;endStation=59",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2026-05-27</t>
        </is>
      </c>
      <c r="F268" t="inlineStr">
        <is>
          <t>2026-06-03</t>
        </is>
      </c>
      <c r="G268" t="inlineStr">
        <is>
          <t xml:space="preserve"> - Surfer Suite</t>
        </is>
      </c>
      <c r="H268">
        <f>HYPERLINK("https://booking.roadsurfer.com/es/rally/pick?pickup_date=2026-05-27&amp;return_date=2026-06-03&amp;currency=EUR&amp;startStation=22&amp;endStation=59",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2026-05-25</t>
        </is>
      </c>
      <c r="F269" t="inlineStr">
        <is>
          <t>2026-06-01</t>
        </is>
      </c>
      <c r="G269" t="inlineStr"/>
      <c r="H269">
        <f>HYPERLINK("https://booking.roadsurfer.com/es/rally/pick?pickup_date=2026-05-25&amp;return_date=2026-06-01&amp;currency=EUR&amp;startStation=22&amp;endStation=59",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2026-05-22</t>
        </is>
      </c>
      <c r="F270" t="inlineStr">
        <is>
          <t>2026-05-29</t>
        </is>
      </c>
      <c r="G270" t="inlineStr"/>
      <c r="H270">
        <f>HYPERLINK("https://booking.roadsurfer.com/es/rally/pick?pickup_date=2026-05-22&amp;return_date=2026-05-29&amp;currency=EUR&amp;startStation=22&amp;endStation=59",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2026-06-08</t>
        </is>
      </c>
      <c r="F271" t="inlineStr">
        <is>
          <t>2026-06-15</t>
        </is>
      </c>
      <c r="G271" t="inlineStr"/>
      <c r="H271">
        <f>HYPERLINK("https://booking.roadsurfer.com/es/rally/pick?pickup_date=2026-06-08&amp;return_date=2026-06-15&amp;currency=EUR&amp;startStation=22&amp;endStation=31",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2026-05-28</t>
        </is>
      </c>
      <c r="F272" t="inlineStr">
        <is>
          <t>2026-06-04</t>
        </is>
      </c>
      <c r="G272" t="inlineStr">
        <is>
          <t xml:space="preserve"> - Surfer Suite</t>
        </is>
      </c>
      <c r="H272">
        <f>HYPERLINK("https://booking.roadsurfer.com/es/rally/pick?pickup_date=2026-05-28&amp;return_date=2026-06-04&amp;currency=EUR&amp;startStation=22&amp;endStation=31",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2026-06-11</t>
        </is>
      </c>
      <c r="F273" t="inlineStr">
        <is>
          <t>2026-06-18</t>
        </is>
      </c>
      <c r="G273" t="inlineStr"/>
      <c r="H273">
        <f>HYPERLINK("https://booking.roadsurfer.com/es/rally/pick?pickup_date=2026-06-11&amp;return_date=2026-06-18&amp;currency=EUR&amp;startStation=22&amp;endStation=31",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Nantes</t>
        </is>
      </c>
      <c r="E274" t="inlineStr">
        <is>
          <t>2026-05-27</t>
        </is>
      </c>
      <c r="F274" t="inlineStr">
        <is>
          <t>2026-06-03</t>
        </is>
      </c>
      <c r="G274" t="inlineStr">
        <is>
          <t xml:space="preserve"> - Surfer Suite</t>
        </is>
      </c>
      <c r="H274">
        <f>HYPERLINK("https://booking.roadsurfer.com/es/rally/pick?pickup_date=2026-05-27&amp;return_date=2026-06-03&amp;currency=EUR&amp;startStation=22&amp;endStation=31",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2026-06-03</t>
        </is>
      </c>
      <c r="F275" t="inlineStr">
        <is>
          <t>2026-06-10</t>
        </is>
      </c>
      <c r="G275" t="inlineStr"/>
      <c r="H275">
        <f>HYPERLINK("https://booking.roadsurfer.com/es/rally/pick?pickup_date=2026-06-03&amp;return_date=2026-06-10&amp;currency=EUR&amp;startStation=22&amp;endStation=31",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2026-06-05</t>
        </is>
      </c>
      <c r="F276" t="inlineStr">
        <is>
          <t>2026-06-12</t>
        </is>
      </c>
      <c r="G276" t="inlineStr">
        <is>
          <t xml:space="preserve"> - Camper Cabin</t>
        </is>
      </c>
      <c r="H276">
        <f>HYPERLINK("https://booking.roadsurfer.com/es/rally/pick?pickup_date=2026-06-05&amp;return_date=2026-06-12&amp;currency=EUR&amp;startStation=22&amp;endStation=31",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2026-06-10</t>
        </is>
      </c>
      <c r="F277" t="inlineStr">
        <is>
          <t>2026-06-17</t>
        </is>
      </c>
      <c r="G277" t="inlineStr"/>
      <c r="H277">
        <f>HYPERLINK("https://booking.roadsurfer.com/es/rally/pick?pickup_date=2026-06-10&amp;return_date=2026-06-17&amp;currency=EUR&amp;startStation=22&amp;endStation=31",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2026-06-12</t>
        </is>
      </c>
      <c r="F278" t="inlineStr">
        <is>
          <t>2026-06-19</t>
        </is>
      </c>
      <c r="G278" t="inlineStr">
        <is>
          <t xml:space="preserve"> - Camper Cabin</t>
        </is>
      </c>
      <c r="H278">
        <f>HYPERLINK("https://booking.roadsurfer.com/es/rally/pick?pickup_date=2026-06-12&amp;return_date=2026-06-19&amp;currency=EUR&amp;startStation=22&amp;endStation=13",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Burdeos</t>
        </is>
      </c>
      <c r="E279" t="inlineStr">
        <is>
          <t>2026-06-26</t>
        </is>
      </c>
      <c r="F279" t="inlineStr">
        <is>
          <t>2026-07-03</t>
        </is>
      </c>
      <c r="G279" t="inlineStr">
        <is>
          <t xml:space="preserve"> - No hay coche</t>
        </is>
      </c>
      <c r="H279">
        <f>HYPERLINK("https://booking.roadsurfer.com/es/rally/pick?pickup_date=2026-06-26&amp;return_date=2026-07-03&amp;currency=EUR&amp;startStation=22&amp;endStation=13",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Burdeos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Surfer Suite</t>
        </is>
      </c>
      <c r="H280">
        <f>HYPERLINK("https://booking.roadsurfer.com/es/rally/pick?pickup_date=2026-06-01&amp;return_date=2026-06-08&amp;currency=EUR&amp;startStation=22&amp;endStation=13",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Burdeos</t>
        </is>
      </c>
      <c r="E281" t="inlineStr">
        <is>
          <t>2026-06-29</t>
        </is>
      </c>
      <c r="F281" t="inlineStr">
        <is>
          <t>2026-07-06</t>
        </is>
      </c>
      <c r="G281" t="inlineStr">
        <is>
          <t xml:space="preserve"> - No hay coche</t>
        </is>
      </c>
      <c r="H281">
        <f>HYPERLINK("https://booking.roadsurfer.com/es/rally/pick?pickup_date=2026-06-29&amp;return_date=2026-07-06&amp;currency=EUR&amp;startStation=22&amp;endStation=13",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2026-05-28</t>
        </is>
      </c>
      <c r="F282" t="inlineStr">
        <is>
          <t>2026-06-04</t>
        </is>
      </c>
      <c r="G282" t="inlineStr">
        <is>
          <t xml:space="preserve"> - Couple Cottage</t>
        </is>
      </c>
      <c r="H282">
        <f>HYPERLINK("https://booking.roadsurfer.com/es/rally/pick?pickup_date=2026-05-28&amp;return_date=2026-06-04&amp;currency=EUR&amp;startStation=22&amp;endStation=13",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Couple Cottage</t>
        </is>
      </c>
      <c r="H283">
        <f>HYPERLINK("https://booking.roadsurfer.com/es/rally/pick?pickup_date=2026-06-08&amp;return_date=2026-06-15&amp;currency=EUR&amp;startStation=22&amp;endStation=13",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2026-05-29</t>
        </is>
      </c>
      <c r="F284" t="inlineStr">
        <is>
          <t>2026-06-05</t>
        </is>
      </c>
      <c r="G284" t="inlineStr">
        <is>
          <t xml:space="preserve"> - Camper Cabin</t>
        </is>
      </c>
      <c r="H284">
        <f>HYPERLINK("https://booking.roadsurfer.com/es/rally/pick?pickup_date=2026-05-29&amp;return_date=2026-06-05&amp;currency=EUR&amp;startStation=22&amp;endStation=13",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2026-06-23</t>
        </is>
      </c>
      <c r="F285" t="inlineStr">
        <is>
          <t>2026-06-30</t>
        </is>
      </c>
      <c r="G285" t="inlineStr">
        <is>
          <t xml:space="preserve"> - Surfer Suite</t>
        </is>
      </c>
      <c r="H285">
        <f>HYPERLINK("https://booking.roadsurfer.com/es/rally/pick?pickup_date=2026-06-23&amp;return_date=2026-06-30&amp;currency=EUR&amp;startStation=22&amp;endStation=16",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Aix-Marsella</t>
        </is>
      </c>
      <c r="E286" t="inlineStr">
        <is>
          <t>2026-07-13</t>
        </is>
      </c>
      <c r="F286" t="inlineStr">
        <is>
          <t>2026-07-20</t>
        </is>
      </c>
      <c r="G286" t="inlineStr">
        <is>
          <t xml:space="preserve"> - Couple Cottage</t>
        </is>
      </c>
      <c r="H286">
        <f>HYPERLINK("https://booking.roadsurfer.com/es/rally/pick?pickup_date=2026-07-13&amp;return_date=2026-07-20&amp;currency=EUR&amp;startStation=22&amp;endStation=16",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2026-05-28</t>
        </is>
      </c>
      <c r="F287" t="inlineStr">
        <is>
          <t>2026-06-04</t>
        </is>
      </c>
      <c r="G287" t="inlineStr">
        <is>
          <t xml:space="preserve"> - Surfer Suite</t>
        </is>
      </c>
      <c r="H287">
        <f>HYPERLINK("https://booking.roadsurfer.com/es/rally/pick?pickup_date=2026-05-28&amp;return_date=2026-06-04&amp;currency=EUR&amp;startStation=22&amp;endStation=29",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Francia</t>
        </is>
      </c>
      <c r="D288" t="inlineStr">
        <is>
          <t>Ginebra-Pays de Gex (Francia)</t>
        </is>
      </c>
      <c r="E288" t="inlineStr">
        <is>
          <t>2026-06-20</t>
        </is>
      </c>
      <c r="F288" t="inlineStr">
        <is>
          <t>2026-06-27</t>
        </is>
      </c>
      <c r="G288" t="inlineStr">
        <is>
          <t xml:space="preserve"> - No hay coche</t>
        </is>
      </c>
      <c r="H288">
        <f>HYPERLINK("https://booking.roadsurfer.com/es/rally/pick?pickup_date=2026-06-20&amp;return_date=2026-06-27&amp;currency=EUR&amp;startStation=22&amp;endStation=29",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2026-06-12</t>
        </is>
      </c>
      <c r="F289" t="inlineStr">
        <is>
          <t>2026-06-19</t>
        </is>
      </c>
      <c r="G289" t="inlineStr">
        <is>
          <t xml:space="preserve"> - Sunrise Suite</t>
        </is>
      </c>
      <c r="H289">
        <f>HYPERLINK("https://booking.roadsurfer.com/es/rally/pick?pickup_date=2026-06-12&amp;return_date=2026-06-19&amp;currency=EUR&amp;startStation=22&amp;endStation=29",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Gotemburgo</t>
        </is>
      </c>
      <c r="E290" t="inlineStr">
        <is>
          <t>2026-06-01</t>
        </is>
      </c>
      <c r="F290" t="inlineStr">
        <is>
          <t>2026-06-08</t>
        </is>
      </c>
      <c r="G290" t="inlineStr">
        <is>
          <t xml:space="preserve"> - No hay coche</t>
        </is>
      </c>
      <c r="H290">
        <f>HYPERLINK("https://booking.roadsurfer.com/es/rally/pick?pickup_date=2026-06-01&amp;return_date=2026-06-08&amp;currency=EUR&amp;startStation=22&amp;endStation=77",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2026-05-28</t>
        </is>
      </c>
      <c r="F291" t="inlineStr">
        <is>
          <t>2026-06-04</t>
        </is>
      </c>
      <c r="G291" t="inlineStr">
        <is>
          <t xml:space="preserve"> - Surfer Suite</t>
        </is>
      </c>
      <c r="H291">
        <f>HYPERLINK("https://booking.roadsurfer.com/es/rally/pick?pickup_date=2026-05-28&amp;return_date=2026-06-04&amp;currency=EUR&amp;startStation=22&amp;endStation=77",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2026-06-18</t>
        </is>
      </c>
      <c r="F292" t="inlineStr">
        <is>
          <t>2026-06-25</t>
        </is>
      </c>
      <c r="G292" t="inlineStr">
        <is>
          <t xml:space="preserve"> - Beach Hostel - Camper Castle - Couple Cottage</t>
        </is>
      </c>
      <c r="H292">
        <f>HYPERLINK("https://booking.roadsurfer.com/es/rally/pick?pickup_date=2026-06-18&amp;return_date=2026-06-25&amp;currency=EUR&amp;startStation=22&amp;endStation=77",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Gotemburgo</t>
        </is>
      </c>
      <c r="E293" t="inlineStr">
        <is>
          <t>2026-06-24</t>
        </is>
      </c>
      <c r="F293" t="inlineStr">
        <is>
          <t>2026-07-01</t>
        </is>
      </c>
      <c r="G293" t="inlineStr">
        <is>
          <t xml:space="preserve"> - Beach Hostel</t>
        </is>
      </c>
      <c r="H293">
        <f>HYPERLINK("https://booking.roadsurfer.com/es/rally/pick?pickup_date=2026-06-24&amp;return_date=2026-07-01&amp;currency=EUR&amp;startStation=22&amp;endStation=77",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Gotemburgo</t>
        </is>
      </c>
      <c r="E294" t="inlineStr">
        <is>
          <t>2026-06-02</t>
        </is>
      </c>
      <c r="F294" t="inlineStr">
        <is>
          <t>2026-06-09</t>
        </is>
      </c>
      <c r="G294" t="inlineStr"/>
      <c r="H294">
        <f>HYPERLINK("https://booking.roadsurfer.com/es/rally/pick?pickup_date=2026-06-02&amp;return_date=2026-06-09&amp;currency=EUR&amp;startStation=22&amp;endStation=77",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Suecia</t>
        </is>
      </c>
      <c r="D295" t="inlineStr">
        <is>
          <t>Gotemburgo</t>
        </is>
      </c>
      <c r="E295" t="inlineStr">
        <is>
          <t>2026-06-25</t>
        </is>
      </c>
      <c r="F295" t="inlineStr">
        <is>
          <t>2026-07-02</t>
        </is>
      </c>
      <c r="G295" t="inlineStr">
        <is>
          <t xml:space="preserve"> - Sunrise Suite</t>
        </is>
      </c>
      <c r="H295">
        <f>HYPERLINK("https://booking.roadsurfer.com/es/rally/pick?pickup_date=2026-06-25&amp;return_date=2026-07-02&amp;currency=EUR&amp;startStation=22&amp;endStation=77",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Suecia</t>
        </is>
      </c>
      <c r="D296" t="inlineStr">
        <is>
          <t>Malmö</t>
        </is>
      </c>
      <c r="E296" t="inlineStr">
        <is>
          <t>2026-06-17</t>
        </is>
      </c>
      <c r="F296" t="inlineStr">
        <is>
          <t>2026-06-24</t>
        </is>
      </c>
      <c r="G296" t="inlineStr">
        <is>
          <t xml:space="preserve"> - Road House</t>
        </is>
      </c>
      <c r="H296">
        <f>HYPERLINK("https://booking.roadsurfer.com/es/rally/pick?pickup_date=2026-06-17&amp;return_date=2026-06-24&amp;currency=EUR&amp;startStation=22&amp;endStation=60",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Suecia</t>
        </is>
      </c>
      <c r="D297" t="inlineStr">
        <is>
          <t>Malmö</t>
        </is>
      </c>
      <c r="E297" t="inlineStr">
        <is>
          <t>2026-06-11</t>
        </is>
      </c>
      <c r="F297" t="inlineStr">
        <is>
          <t>2026-06-18</t>
        </is>
      </c>
      <c r="G297" t="inlineStr">
        <is>
          <t xml:space="preserve"> - Family Finca</t>
        </is>
      </c>
      <c r="H297">
        <f>HYPERLINK("https://booking.roadsurfer.com/es/rally/pick?pickup_date=2026-06-11&amp;return_date=2026-06-18&amp;currency=EUR&amp;startStation=22&amp;endStation=60",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2026-05-28</t>
        </is>
      </c>
      <c r="F298" t="inlineStr">
        <is>
          <t>2026-06-04</t>
        </is>
      </c>
      <c r="G298" t="inlineStr">
        <is>
          <t xml:space="preserve"> - Beach Hostel</t>
        </is>
      </c>
      <c r="H298">
        <f>HYPERLINK("https://booking.roadsurfer.com/es/rally/pick?pickup_date=2026-05-28&amp;return_date=2026-06-04&amp;currency=EUR&amp;startStation=22&amp;endStation=60",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2026-06-01</t>
        </is>
      </c>
      <c r="F299" t="inlineStr">
        <is>
          <t>2026-06-08</t>
        </is>
      </c>
      <c r="G299" t="inlineStr">
        <is>
          <t xml:space="preserve"> - Surfer Suite</t>
        </is>
      </c>
      <c r="H299">
        <f>HYPERLINK("https://booking.roadsurfer.com/es/rally/pick?pickup_date=2026-06-01&amp;return_date=2026-06-08&amp;currency=EUR&amp;startStation=22&amp;endStation=60",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Suecia</t>
        </is>
      </c>
      <c r="D300" t="inlineStr">
        <is>
          <t>Malmö</t>
        </is>
      </c>
      <c r="E300" t="inlineStr">
        <is>
          <t>2026-06-27</t>
        </is>
      </c>
      <c r="F300" t="inlineStr">
        <is>
          <t>2026-07-04</t>
        </is>
      </c>
      <c r="G300" t="inlineStr">
        <is>
          <t xml:space="preserve"> - No hay coche</t>
        </is>
      </c>
      <c r="H300">
        <f>HYPERLINK("https://booking.roadsurfer.com/es/rally/pick?pickup_date=2026-06-27&amp;return_date=2026-07-04&amp;currency=EUR&amp;startStation=22&amp;endStation=60",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Malmö</t>
        </is>
      </c>
      <c r="E301" t="inlineStr">
        <is>
          <t>2026-05-26</t>
        </is>
      </c>
      <c r="F301" t="inlineStr">
        <is>
          <t>2026-06-02</t>
        </is>
      </c>
      <c r="G301" t="inlineStr">
        <is>
          <t xml:space="preserve"> - Camper Castle</t>
        </is>
      </c>
      <c r="H301">
        <f>HYPERLINK("https://booking.roadsurfer.com/es/rally/pick?pickup_date=2026-05-26&amp;return_date=2026-06-02&amp;currency=EUR&amp;startStation=22&amp;endStation=60",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Austria</t>
        </is>
      </c>
      <c r="D302" t="inlineStr">
        <is>
          <t>Salzburgo</t>
        </is>
      </c>
      <c r="E302" t="inlineStr">
        <is>
          <t>2026-06-02</t>
        </is>
      </c>
      <c r="F302" t="inlineStr">
        <is>
          <t>2026-06-09</t>
        </is>
      </c>
      <c r="G302" t="inlineStr">
        <is>
          <t xml:space="preserve"> - Surfer Suite</t>
        </is>
      </c>
      <c r="H302">
        <f>HYPERLINK("https://booking.roadsurfer.com/es/rally/pick?pickup_date=2026-06-02&amp;return_date=2026-06-09&amp;currency=EUR&amp;startStation=22&amp;endStation=85",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2026-06-12</t>
        </is>
      </c>
      <c r="F303" t="inlineStr">
        <is>
          <t>2026-06-19</t>
        </is>
      </c>
      <c r="G303" t="inlineStr"/>
      <c r="H303">
        <f>HYPERLINK("https://booking.roadsurfer.com/es/rally/pick?pickup_date=2026-06-12&amp;return_date=2026-06-19&amp;currency=EUR&amp;startStation=22&amp;endStation=45",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2026-06-16</t>
        </is>
      </c>
      <c r="F304" t="inlineStr">
        <is>
          <t>2026-06-23</t>
        </is>
      </c>
      <c r="G304" t="inlineStr">
        <is>
          <t xml:space="preserve"> - Cozy Cottage</t>
        </is>
      </c>
      <c r="H304">
        <f>HYPERLINK("https://booking.roadsurfer.com/es/rally/pick?pickup_date=2026-06-16&amp;return_date=2026-06-23&amp;currency=EUR&amp;startStation=22&amp;endStation=45",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2026-06-02</t>
        </is>
      </c>
      <c r="F305" t="inlineStr">
        <is>
          <t>2026-06-09</t>
        </is>
      </c>
      <c r="G305" t="inlineStr">
        <is>
          <t xml:space="preserve"> - Cozy Cottage</t>
        </is>
      </c>
      <c r="H305">
        <f>HYPERLINK("https://booking.roadsurfer.com/es/rally/pick?pickup_date=2026-06-02&amp;return_date=2026-06-09&amp;currency=EUR&amp;startStation=22&amp;endStation=45",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2026-06-03</t>
        </is>
      </c>
      <c r="F306" t="inlineStr">
        <is>
          <t>2026-06-10</t>
        </is>
      </c>
      <c r="G306" t="inlineStr">
        <is>
          <t xml:space="preserve"> - Beach Hostel</t>
        </is>
      </c>
      <c r="H306">
        <f>HYPERLINK("https://booking.roadsurfer.com/es/rally/pick?pickup_date=2026-06-03&amp;return_date=2026-06-10&amp;currency=EUR&amp;startStation=22&amp;endStation=78",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Sevilla</t>
        </is>
      </c>
      <c r="E307" t="inlineStr">
        <is>
          <t>2026-07-09</t>
        </is>
      </c>
      <c r="F307" t="inlineStr">
        <is>
          <t>2026-07-16</t>
        </is>
      </c>
      <c r="G307" t="inlineStr">
        <is>
          <t xml:space="preserve"> - Beach Hostel</t>
        </is>
      </c>
      <c r="H307">
        <f>HYPERLINK("https://booking.roadsurfer.com/es/rally/pick?pickup_date=2026-07-09&amp;return_date=2026-07-16&amp;currency=EUR&amp;startStation=22&amp;endStation=39",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Alemania</t>
        </is>
      </c>
      <c r="D308" t="inlineStr">
        <is>
          <t>Friburgo-Basilea (Alemania)</t>
        </is>
      </c>
      <c r="E308" t="inlineStr">
        <is>
          <t>2026-06-18</t>
        </is>
      </c>
      <c r="F308" t="inlineStr">
        <is>
          <t>2026-06-25</t>
        </is>
      </c>
      <c r="G308" t="inlineStr">
        <is>
          <t xml:space="preserve"> - Camper Cabin</t>
        </is>
      </c>
      <c r="H308">
        <f>HYPERLINK("https://booking.roadsurfer.com/es/rally/pick?pickup_date=2026-06-18&amp;return_date=2026-06-25&amp;currency=EUR&amp;startStation=22&amp;endStation=9",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Países Bajos</t>
        </is>
      </c>
      <c r="D309" t="inlineStr">
        <is>
          <t>Róterdam</t>
        </is>
      </c>
      <c r="E309" t="inlineStr">
        <is>
          <t>2026-05-30</t>
        </is>
      </c>
      <c r="F309" t="inlineStr">
        <is>
          <t>2026-06-06</t>
        </is>
      </c>
      <c r="G309" t="inlineStr"/>
      <c r="H309">
        <f>HYPERLINK("https://booking.roadsurfer.com/es/rally/pick?pickup_date=2026-05-30&amp;return_date=2026-06-06&amp;currency=EUR&amp;startStation=22&amp;endStation=33",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2026-06-09</t>
        </is>
      </c>
      <c r="F310" t="inlineStr">
        <is>
          <t>2026-06-16</t>
        </is>
      </c>
      <c r="G310" t="inlineStr"/>
      <c r="H310">
        <f>HYPERLINK("https://booking.roadsurfer.com/es/rally/pick?pickup_date=2026-06-09&amp;return_date=2026-06-16&amp;currency=EUR&amp;startStation=22&amp;endStation=94",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Italia</t>
        </is>
      </c>
      <c r="D311" t="inlineStr">
        <is>
          <t>Bérgamo</t>
        </is>
      </c>
      <c r="E311" t="inlineStr">
        <is>
          <t>2026-06-16</t>
        </is>
      </c>
      <c r="F311" t="inlineStr">
        <is>
          <t>2026-06-23</t>
        </is>
      </c>
      <c r="G311" t="inlineStr"/>
      <c r="H311">
        <f>HYPERLINK("https://booking.roadsurfer.com/es/rally/pick?pickup_date=2026-06-16&amp;return_date=2026-06-23&amp;currency=EUR&amp;startStation=22&amp;endStation=94",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Austria</t>
        </is>
      </c>
      <c r="D312" t="inlineStr">
        <is>
          <t>Graz</t>
        </is>
      </c>
      <c r="E312" t="inlineStr">
        <is>
          <t>2026-05-22</t>
        </is>
      </c>
      <c r="F312" t="inlineStr">
        <is>
          <t>2026-05-29</t>
        </is>
      </c>
      <c r="G312" t="inlineStr"/>
      <c r="H312">
        <f>HYPERLINK("https://booking.roadsurfer.com/es/rally/pick?pickup_date=2026-05-22&amp;return_date=2026-05-29&amp;currency=EUR&amp;startStation=22&amp;endStation=37",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Austria</t>
        </is>
      </c>
      <c r="D313" t="inlineStr">
        <is>
          <t>Graz</t>
        </is>
      </c>
      <c r="E313" t="inlineStr">
        <is>
          <t>2026-05-25</t>
        </is>
      </c>
      <c r="F313" t="inlineStr">
        <is>
          <t>2026-06-01</t>
        </is>
      </c>
      <c r="G313" t="inlineStr">
        <is>
          <t xml:space="preserve"> - Camper Cabin Deluxe</t>
        </is>
      </c>
      <c r="H313">
        <f>HYPERLINK("https://booking.roadsurfer.com/es/rally/pick?pickup_date=2026-05-25&amp;return_date=2026-06-01&amp;currency=EUR&amp;startStation=22&amp;endStation=37",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Austria</t>
        </is>
      </c>
      <c r="D314" t="inlineStr">
        <is>
          <t>Graz</t>
        </is>
      </c>
      <c r="E314" t="inlineStr">
        <is>
          <t>2026-05-18</t>
        </is>
      </c>
      <c r="F314" t="inlineStr">
        <is>
          <t>2026-05-25</t>
        </is>
      </c>
      <c r="G314" t="inlineStr">
        <is>
          <t xml:space="preserve"> - No hay coche</t>
        </is>
      </c>
      <c r="H314">
        <f>HYPERLINK("https://booking.roadsurfer.com/es/rally/pick?pickup_date=2026-05-18&amp;return_date=2026-05-25&amp;currency=EUR&amp;startStation=22&amp;endStation=37",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Francia</t>
        </is>
      </c>
      <c r="D315" t="inlineStr">
        <is>
          <t>París Sur (Orly)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No hay coche</t>
        </is>
      </c>
      <c r="H315">
        <f>HYPERLINK("https://booking.roadsurfer.com/es/rally/pick?pickup_date=2026-05-18&amp;return_date=2026-05-25&amp;currency=EUR&amp;startStation=22&amp;endStation=12",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España</t>
        </is>
      </c>
      <c r="D316" t="inlineStr">
        <is>
          <t>Barcelona</t>
        </is>
      </c>
      <c r="E316" t="inlineStr">
        <is>
          <t>2026-06-19</t>
        </is>
      </c>
      <c r="F316" t="inlineStr">
        <is>
          <t>2026-06-26</t>
        </is>
      </c>
      <c r="G316" t="inlineStr">
        <is>
          <t xml:space="preserve"> - Couple Cottage</t>
        </is>
      </c>
      <c r="H316">
        <f>HYPERLINK("https://booking.roadsurfer.com/es/rally/pick?pickup_date=2026-06-19&amp;return_date=2026-06-26&amp;currency=EUR&amp;startStation=22&amp;endStation=17",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España</t>
        </is>
      </c>
      <c r="D317" t="inlineStr">
        <is>
          <t>Barcelona</t>
        </is>
      </c>
      <c r="E317" t="inlineStr">
        <is>
          <t>2026-06-08</t>
        </is>
      </c>
      <c r="F317" t="inlineStr">
        <is>
          <t>2026-06-15</t>
        </is>
      </c>
      <c r="G317" t="inlineStr">
        <is>
          <t xml:space="preserve"> - Camper Castle</t>
        </is>
      </c>
      <c r="H317">
        <f>HYPERLINK("https://booking.roadsurfer.com/es/rally/pick?pickup_date=2026-06-08&amp;return_date=2026-06-15&amp;currency=EUR&amp;startStation=22&amp;endStation=17",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Bélgica</t>
        </is>
      </c>
      <c r="D318" t="inlineStr">
        <is>
          <t>Amberes</t>
        </is>
      </c>
      <c r="E318" t="inlineStr">
        <is>
          <t>2026-06-12</t>
        </is>
      </c>
      <c r="F318" t="inlineStr">
        <is>
          <t>2026-06-19</t>
        </is>
      </c>
      <c r="G318" t="inlineStr">
        <is>
          <t xml:space="preserve"> - Couple Cottage</t>
        </is>
      </c>
      <c r="H318">
        <f>HYPERLINK("https://booking.roadsurfer.com/es/rally/pick?pickup_date=2026-06-12&amp;return_date=2026-06-19&amp;currency=EUR&amp;startStation=22&amp;endStation=47",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Bélgica</t>
        </is>
      </c>
      <c r="D319" t="inlineStr">
        <is>
          <t>Amberes</t>
        </is>
      </c>
      <c r="E319" t="inlineStr">
        <is>
          <t>2026-06-05</t>
        </is>
      </c>
      <c r="F319" t="inlineStr">
        <is>
          <t>2026-06-12</t>
        </is>
      </c>
      <c r="G319" t="inlineStr">
        <is>
          <t xml:space="preserve"> - Camper Castle</t>
        </is>
      </c>
      <c r="H319">
        <f>HYPERLINK("https://booking.roadsurfer.com/es/rally/pick?pickup_date=2026-06-05&amp;return_date=2026-06-12&amp;currency=EUR&amp;startStation=22&amp;endStation=47",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Bélgica</t>
        </is>
      </c>
      <c r="D320" t="inlineStr">
        <is>
          <t>Amberes</t>
        </is>
      </c>
      <c r="E320" t="inlineStr">
        <is>
          <t>2026-06-23</t>
        </is>
      </c>
      <c r="F320" t="inlineStr">
        <is>
          <t>2026-06-30</t>
        </is>
      </c>
      <c r="G320" t="inlineStr">
        <is>
          <t xml:space="preserve"> - Camper Castle</t>
        </is>
      </c>
      <c r="H320">
        <f>HYPERLINK("https://booking.roadsurfer.com/es/rally/pick?pickup_date=2026-06-23&amp;return_date=2026-06-30&amp;currency=EUR&amp;startStation=22&amp;endStation=47",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Alemania</t>
        </is>
      </c>
      <c r="D321" t="inlineStr">
        <is>
          <t>Constanza (Aach)</t>
        </is>
      </c>
      <c r="E321" t="inlineStr">
        <is>
          <t>2026-06-10</t>
        </is>
      </c>
      <c r="F321" t="inlineStr">
        <is>
          <t>2026-06-17</t>
        </is>
      </c>
      <c r="G321" t="inlineStr">
        <is>
          <t xml:space="preserve"> - Camper Castle</t>
        </is>
      </c>
      <c r="H321">
        <f>HYPERLINK("https://booking.roadsurfer.com/es/rally/pick?pickup_date=2026-06-10&amp;return_date=2026-06-17&amp;currency=EUR&amp;startStation=22&amp;endStation=10",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Italia</t>
        </is>
      </c>
      <c r="D322" t="inlineStr">
        <is>
          <t>Turín</t>
        </is>
      </c>
      <c r="E322" t="inlineStr">
        <is>
          <t>2026-06-05</t>
        </is>
      </c>
      <c r="F322" t="inlineStr">
        <is>
          <t>2026-06-12</t>
        </is>
      </c>
      <c r="G322" t="inlineStr"/>
      <c r="H322">
        <f>HYPERLINK("https://booking.roadsurfer.com/es/rally/pick?pickup_date=2026-06-05&amp;return_date=2026-06-12&amp;currency=EUR&amp;startStation=22&amp;endStation=58",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Austria</t>
        </is>
      </c>
      <c r="D323" t="inlineStr">
        <is>
          <t>Viena</t>
        </is>
      </c>
      <c r="E323" t="inlineStr">
        <is>
          <t>2026-05-30</t>
        </is>
      </c>
      <c r="F323" t="inlineStr">
        <is>
          <t>2026-06-06</t>
        </is>
      </c>
      <c r="G323" t="inlineStr"/>
      <c r="H323">
        <f>HYPERLINK("https://booking.roadsurfer.com/es/rally/pick?pickup_date=2026-05-30&amp;return_date=2026-06-06&amp;currency=EUR&amp;startStation=22&amp;endStation=36", "Clic para verlo en la web de RoadSurfer")</f>
        <v/>
      </c>
    </row>
    <row r="324">
      <c r="A324" t="inlineStr">
        <is>
          <t>Italia</t>
        </is>
      </c>
      <c r="B324" t="inlineStr">
        <is>
          <t>Milán</t>
        </is>
      </c>
      <c r="C324" t="inlineStr">
        <is>
          <t>Alemania</t>
        </is>
      </c>
      <c r="D324" t="inlineStr">
        <is>
          <t>Wurzburgo</t>
        </is>
      </c>
      <c r="E324" t="inlineStr">
        <is>
          <t>2026-05-28</t>
        </is>
      </c>
      <c r="F324" t="inlineStr">
        <is>
          <t>2026-06-04</t>
        </is>
      </c>
      <c r="G324" t="inlineStr">
        <is>
          <t xml:space="preserve"> - No hay coche</t>
        </is>
      </c>
      <c r="H324">
        <f>HYPERLINK("https://booking.roadsurfer.com/es/rally/pick?pickup_date=2026-05-28&amp;return_date=2026-06-04&amp;currency=EUR&amp;startStation=34&amp;endStation=115", "Clic para verlo en la web de RoadSurfer")</f>
        <v/>
      </c>
    </row>
    <row r="325">
      <c r="A325" t="inlineStr">
        <is>
          <t>Italia</t>
        </is>
      </c>
      <c r="B325" t="inlineStr">
        <is>
          <t>Milán</t>
        </is>
      </c>
      <c r="C325" t="inlineStr">
        <is>
          <t>Alemania</t>
        </is>
      </c>
      <c r="D325" t="inlineStr">
        <is>
          <t>Wurzburgo</t>
        </is>
      </c>
      <c r="E325" t="inlineStr">
        <is>
          <t>2026-06-01</t>
        </is>
      </c>
      <c r="F325" t="inlineStr">
        <is>
          <t>2026-06-08</t>
        </is>
      </c>
      <c r="G325" t="inlineStr">
        <is>
          <t xml:space="preserve"> - No hay coche</t>
        </is>
      </c>
      <c r="H325">
        <f>HYPERLINK("https://booking.roadsurfer.com/es/rally/pick?pickup_date=2026-06-01&amp;return_date=2026-06-08&amp;currency=EUR&amp;startStation=34&amp;endStation=115", "Clic para verlo en la web de RoadSurfer")</f>
        <v/>
      </c>
    </row>
    <row r="326">
      <c r="A326" t="inlineStr">
        <is>
          <t>Italia</t>
        </is>
      </c>
      <c r="B326" t="inlineStr">
        <is>
          <t>Milán</t>
        </is>
      </c>
      <c r="C326" t="inlineStr">
        <is>
          <t>Alemania</t>
        </is>
      </c>
      <c r="D326" t="inlineStr">
        <is>
          <t>Augsburgo</t>
        </is>
      </c>
      <c r="E326" t="inlineStr">
        <is>
          <t>2026-05-30</t>
        </is>
      </c>
      <c r="F326" t="inlineStr">
        <is>
          <t>2026-06-06</t>
        </is>
      </c>
      <c r="G326" t="inlineStr">
        <is>
          <t xml:space="preserve"> - No hay coche</t>
        </is>
      </c>
      <c r="H326">
        <f>HYPERLINK("https://booking.roadsurfer.com/es/rally/pick?pickup_date=2026-05-30&amp;return_date=2026-06-06&amp;currency=EUR&amp;startStation=34&amp;endStation=108",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2026-06-27</t>
        </is>
      </c>
      <c r="F327" t="inlineStr">
        <is>
          <t>2026-07-04</t>
        </is>
      </c>
      <c r="G327" t="inlineStr"/>
      <c r="H327">
        <f>HYPERLINK("https://booking.roadsurfer.com/es/rally/pick?pickup_date=2026-06-27&amp;return_date=2026-07-04&amp;currency=EUR&amp;startStation=1&amp;endStation=78",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Francia</t>
        </is>
      </c>
      <c r="D328" t="inlineStr">
        <is>
          <t>Lyon</t>
        </is>
      </c>
      <c r="E328" t="inlineStr">
        <is>
          <t>2026-06-08</t>
        </is>
      </c>
      <c r="F328" t="inlineStr">
        <is>
          <t>2026-06-15</t>
        </is>
      </c>
      <c r="G328" t="inlineStr">
        <is>
          <t xml:space="preserve"> - No hay coche</t>
        </is>
      </c>
      <c r="H328">
        <f>HYPERLINK("https://booking.roadsurfer.com/es/rally/pick?pickup_date=2026-06-08&amp;return_date=2026-06-15&amp;currency=EUR&amp;startStation=1&amp;endStation=15",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Francia</t>
        </is>
      </c>
      <c r="D329" t="inlineStr">
        <is>
          <t>Toulouse</t>
        </is>
      </c>
      <c r="E329" t="inlineStr">
        <is>
          <t>2026-06-26</t>
        </is>
      </c>
      <c r="F329" t="inlineStr">
        <is>
          <t>2026-07-03</t>
        </is>
      </c>
      <c r="G329" t="inlineStr">
        <is>
          <t xml:space="preserve"> - Camper Castle</t>
        </is>
      </c>
      <c r="H329">
        <f>HYPERLINK("https://booking.roadsurfer.com/es/rally/pick?pickup_date=2026-06-26&amp;return_date=2026-07-03&amp;currency=EUR&amp;startStation=1&amp;endStation=30",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Austria</t>
        </is>
      </c>
      <c r="D330" t="inlineStr">
        <is>
          <t>Viena</t>
        </is>
      </c>
      <c r="E330" t="inlineStr">
        <is>
          <t>2026-06-29</t>
        </is>
      </c>
      <c r="F330" t="inlineStr">
        <is>
          <t>2026-07-06</t>
        </is>
      </c>
      <c r="G330" t="inlineStr">
        <is>
          <t xml:space="preserve"> - Family Finca</t>
        </is>
      </c>
      <c r="H330">
        <f>HYPERLINK("https://booking.roadsurfer.com/es/rally/pick?pickup_date=2026-06-29&amp;return_date=2026-07-06&amp;currency=EUR&amp;startStation=1&amp;endStation=36",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Francia</t>
        </is>
      </c>
      <c r="D331" t="inlineStr">
        <is>
          <t>Burdeos</t>
        </is>
      </c>
      <c r="E331" t="inlineStr">
        <is>
          <t>2026-06-20</t>
        </is>
      </c>
      <c r="F331" t="inlineStr">
        <is>
          <t>2026-06-27</t>
        </is>
      </c>
      <c r="G331" t="inlineStr">
        <is>
          <t xml:space="preserve"> - Sunrise Suite</t>
        </is>
      </c>
      <c r="H331">
        <f>HYPERLINK("https://booking.roadsurfer.com/es/rally/pick?pickup_date=2026-06-20&amp;return_date=2026-06-27&amp;currency=EUR&amp;startStation=1&amp;endStation=13",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España</t>
        </is>
      </c>
      <c r="D332" t="inlineStr">
        <is>
          <t>Madrid</t>
        </is>
      </c>
      <c r="E332" t="inlineStr">
        <is>
          <t>2026-06-24</t>
        </is>
      </c>
      <c r="F332" t="inlineStr">
        <is>
          <t>2026-07-01</t>
        </is>
      </c>
      <c r="G332" t="inlineStr">
        <is>
          <t xml:space="preserve"> - Sunrise Suite</t>
        </is>
      </c>
      <c r="H332">
        <f>HYPERLINK("https://booking.roadsurfer.com/es/rally/pick?pickup_date=2026-06-24&amp;return_date=2026-07-01&amp;currency=EUR&amp;startStation=1&amp;endStation=20",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Ulm</t>
        </is>
      </c>
      <c r="E333" t="inlineStr">
        <is>
          <t>2026-05-27</t>
        </is>
      </c>
      <c r="F333" t="inlineStr">
        <is>
          <t>2026-06-03</t>
        </is>
      </c>
      <c r="G333" t="inlineStr">
        <is>
          <t xml:space="preserve"> - Beach Hostel</t>
        </is>
      </c>
      <c r="H333">
        <f>HYPERLINK("https://booking.roadsurfer.com/es/rally/pick?pickup_date=2026-05-27&amp;return_date=2026-06-03&amp;currency=EUR&amp;startStation=31&amp;endStation=112",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Fráncfort</t>
        </is>
      </c>
      <c r="E334" t="inlineStr">
        <is>
          <t>2026-05-30</t>
        </is>
      </c>
      <c r="F334" t="inlineStr">
        <is>
          <t>2026-06-06</t>
        </is>
      </c>
      <c r="G334" t="inlineStr">
        <is>
          <t xml:space="preserve"> - Camper Castle</t>
        </is>
      </c>
      <c r="H334">
        <f>HYPERLINK("https://booking.roadsurfer.com/es/rally/pick?pickup_date=2026-05-30&amp;return_date=2026-06-06&amp;currency=EUR&amp;startStation=31&amp;endStation=2", "Clic para verlo en la web de RoadSurfer")</f>
        <v/>
      </c>
    </row>
    <row r="335">
      <c r="A335" t="inlineStr">
        <is>
          <t>Francia</t>
        </is>
      </c>
      <c r="B335" t="inlineStr">
        <is>
          <t>Niza</t>
        </is>
      </c>
      <c r="C335" t="inlineStr">
        <is>
          <t>Francia</t>
        </is>
      </c>
      <c r="D335" t="inlineStr">
        <is>
          <t>París Sur (Orly)</t>
        </is>
      </c>
      <c r="E335" t="inlineStr">
        <is>
          <t>2026-06-11</t>
        </is>
      </c>
      <c r="F335" t="inlineStr">
        <is>
          <t>2026-06-18</t>
        </is>
      </c>
      <c r="G335" t="inlineStr">
        <is>
          <t xml:space="preserve"> - Camper Cabin</t>
        </is>
      </c>
      <c r="H335">
        <f>HYPERLINK("https://booking.roadsurfer.com/es/rally/pick?pickup_date=2026-06-11&amp;return_date=2026-06-18&amp;currency=EUR&amp;startStation=88&amp;endStation=12", "Clic para verlo en la web de RoadSurfer")</f>
        <v/>
      </c>
    </row>
    <row r="336">
      <c r="A336" t="inlineStr">
        <is>
          <t>Francia</t>
        </is>
      </c>
      <c r="B336" t="inlineStr">
        <is>
          <t>Niza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2026-06-01</t>
        </is>
      </c>
      <c r="F336" t="inlineStr">
        <is>
          <t>2026-06-08</t>
        </is>
      </c>
      <c r="G336" t="inlineStr">
        <is>
          <t xml:space="preserve"> - Camper Castle</t>
        </is>
      </c>
      <c r="H336">
        <f>HYPERLINK("https://booking.roadsurfer.com/es/rally/pick?pickup_date=2026-06-01&amp;return_date=2026-06-08&amp;currency=EUR&amp;startStation=88&amp;endStation=48", "Clic para verlo en la web de RoadSurfer")</f>
        <v/>
      </c>
    </row>
    <row r="337">
      <c r="A337" t="inlineStr">
        <is>
          <t>Alemania</t>
        </is>
      </c>
      <c r="B337" t="inlineStr">
        <is>
          <t>Núremberg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2026-06-08</t>
        </is>
      </c>
      <c r="F337" t="inlineStr">
        <is>
          <t>2026-06-15</t>
        </is>
      </c>
      <c r="G337" t="inlineStr">
        <is>
          <t xml:space="preserve"> - Camper Cabin</t>
        </is>
      </c>
      <c r="H337">
        <f>HYPERLINK("https://booking.roadsurfer.com/es/rally/pick?pickup_date=2026-06-08&amp;return_date=2026-06-15&amp;currency=EUR&amp;startStation=11&amp;endStation=20", "Clic para verlo en la web de RoadSurfer")</f>
        <v/>
      </c>
    </row>
    <row r="338">
      <c r="A338" t="inlineStr">
        <is>
          <t>Alemania</t>
        </is>
      </c>
      <c r="B338" t="inlineStr">
        <is>
          <t>Núremberg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2026-06-25</t>
        </is>
      </c>
      <c r="F338" t="inlineStr">
        <is>
          <t>2026-07-02</t>
        </is>
      </c>
      <c r="G338" t="inlineStr">
        <is>
          <t xml:space="preserve"> - Surfer Suite</t>
        </is>
      </c>
      <c r="H338">
        <f>HYPERLINK("https://booking.roadsurfer.com/es/rally/pick?pickup_date=2026-06-25&amp;return_date=2026-07-02&amp;currency=EUR&amp;startStation=11&amp;endStation=20",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2026-07-06</t>
        </is>
      </c>
      <c r="F339" t="inlineStr">
        <is>
          <t>2026-07-13</t>
        </is>
      </c>
      <c r="G339" t="inlineStr">
        <is>
          <t xml:space="preserve"> - Couple Cottage</t>
        </is>
      </c>
      <c r="H339">
        <f>HYPERLINK("https://booking.roadsurfer.com/es/rally/pick?pickup_date=2026-07-06&amp;return_date=2026-07-13&amp;currency=EUR&amp;startStation=11&amp;endStation=20", "Clic para verlo en la web de RoadSurfer")</f>
        <v/>
      </c>
    </row>
    <row r="340">
      <c r="A340" t="inlineStr">
        <is>
          <t>Alemania</t>
        </is>
      </c>
      <c r="B340" t="inlineStr">
        <is>
          <t>Núremberg</t>
        </is>
      </c>
      <c r="C340" t="inlineStr">
        <is>
          <t>Italia</t>
        </is>
      </c>
      <c r="D340" t="inlineStr">
        <is>
          <t>Milán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No hay coche</t>
        </is>
      </c>
      <c r="H340">
        <f>HYPERLINK("https://booking.roadsurfer.com/es/rally/pick?pickup_date=2026-06-08&amp;return_date=2026-06-15&amp;currency=EUR&amp;startStation=11&amp;endStation=34",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Fráncfort</t>
        </is>
      </c>
      <c r="E341" t="inlineStr">
        <is>
          <t>2026-05-23</t>
        </is>
      </c>
      <c r="F341" t="inlineStr">
        <is>
          <t>2026-05-30</t>
        </is>
      </c>
      <c r="G341" t="inlineStr">
        <is>
          <t xml:space="preserve"> - Couple Cottage</t>
        </is>
      </c>
      <c r="H341">
        <f>HYPERLINK("https://booking.roadsurfer.com/es/rally/pick?pickup_date=2026-05-23&amp;return_date=2026-05-30&amp;currency=EUR&amp;startStation=12&amp;endStation=2", "Clic para verlo en la web de RoadSurfer")</f>
        <v/>
      </c>
    </row>
    <row r="342">
      <c r="A342" t="inlineStr">
        <is>
          <t>Austria</t>
        </is>
      </c>
      <c r="B342" t="inlineStr">
        <is>
          <t>Salzburgo</t>
        </is>
      </c>
      <c r="C342" t="inlineStr">
        <is>
          <t>Austria</t>
        </is>
      </c>
      <c r="D342" t="inlineStr">
        <is>
          <t>Viena Sur</t>
        </is>
      </c>
      <c r="E342" t="inlineStr">
        <is>
          <t>2026-06-03</t>
        </is>
      </c>
      <c r="F342" t="inlineStr">
        <is>
          <t>2026-06-10</t>
        </is>
      </c>
      <c r="G342" t="inlineStr">
        <is>
          <t xml:space="preserve"> - Couple Cottage</t>
        </is>
      </c>
      <c r="H342">
        <f>HYPERLINK("https://booking.roadsurfer.com/es/rally/pick?pickup_date=2026-06-03&amp;return_date=2026-06-10&amp;currency=EUR&amp;startStation=85&amp;endStation=45",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Friburgo-Basilea (Alemania)</t>
        </is>
      </c>
      <c r="E343" t="inlineStr">
        <is>
          <t>2026-05-27</t>
        </is>
      </c>
      <c r="F343" t="inlineStr">
        <is>
          <t>2026-06-03</t>
        </is>
      </c>
      <c r="G343" t="inlineStr">
        <is>
          <t xml:space="preserve"> - Surfer Suite</t>
        </is>
      </c>
      <c r="H343">
        <f>HYPERLINK("https://booking.roadsurfer.com/es/rally/pick?pickup_date=2026-05-27&amp;return_date=2026-06-03&amp;currency=EUR&amp;startStation=39&amp;endStation=9", "Clic para verlo en la web de RoadSurfer")</f>
        <v/>
      </c>
    </row>
    <row r="344">
      <c r="A344" t="inlineStr">
        <is>
          <t>España</t>
        </is>
      </c>
      <c r="B344" t="inlineStr">
        <is>
          <t>Sevilla</t>
        </is>
      </c>
      <c r="C344" t="inlineStr">
        <is>
          <t>Francia</t>
        </is>
      </c>
      <c r="D344" t="inlineStr">
        <is>
          <t>Toulouse</t>
        </is>
      </c>
      <c r="E344" t="inlineStr">
        <is>
          <t>2026-05-28</t>
        </is>
      </c>
      <c r="F344" t="inlineStr">
        <is>
          <t>2026-06-04</t>
        </is>
      </c>
      <c r="G344" t="inlineStr">
        <is>
          <t xml:space="preserve"> - No hay coche</t>
        </is>
      </c>
      <c r="H344">
        <f>HYPERLINK("https://booking.roadsurfer.com/es/rally/pick?pickup_date=2026-05-28&amp;return_date=2026-06-04&amp;currency=EUR&amp;startStation=39&amp;endStation=30", "Clic para verlo en la web de RoadSurfer")</f>
        <v/>
      </c>
    </row>
    <row r="345">
      <c r="A345" t="inlineStr">
        <is>
          <t>España</t>
        </is>
      </c>
      <c r="B345" t="inlineStr">
        <is>
          <t>Sevilla</t>
        </is>
      </c>
      <c r="C345" t="inlineStr">
        <is>
          <t>Alemania</t>
        </is>
      </c>
      <c r="D345" t="inlineStr">
        <is>
          <t>Fráncfort</t>
        </is>
      </c>
      <c r="E345" t="inlineStr">
        <is>
          <t>2026-06-02</t>
        </is>
      </c>
      <c r="F345" t="inlineStr">
        <is>
          <t>2026-06-09</t>
        </is>
      </c>
      <c r="G345" t="inlineStr"/>
      <c r="H345">
        <f>HYPERLINK("https://booking.roadsurfer.com/es/rally/pick?pickup_date=2026-06-02&amp;return_date=2026-06-09&amp;currency=EUR&amp;startStation=39&amp;endStation=2",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Flensburgo</t>
        </is>
      </c>
      <c r="E346" t="inlineStr">
        <is>
          <t>2026-05-30</t>
        </is>
      </c>
      <c r="F346" t="inlineStr">
        <is>
          <t>2026-06-06</t>
        </is>
      </c>
      <c r="G346" t="inlineStr">
        <is>
          <t xml:space="preserve"> - Surfer Suite</t>
        </is>
      </c>
      <c r="H346">
        <f>HYPERLINK("https://booking.roadsurfer.com/es/rally/pick?pickup_date=2026-05-30&amp;return_date=2026-06-06&amp;currency=EUR&amp;startStation=59&amp;endStation=130",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Erfurt</t>
        </is>
      </c>
      <c r="E347" t="inlineStr">
        <is>
          <t>2026-06-02</t>
        </is>
      </c>
      <c r="F347" t="inlineStr">
        <is>
          <t>2026-06-09</t>
        </is>
      </c>
      <c r="G347" t="inlineStr"/>
      <c r="H347">
        <f>HYPERLINK("https://booking.roadsurfer.com/es/rally/pick?pickup_date=2026-06-02&amp;return_date=2026-06-09&amp;currency=EUR&amp;startStation=59&amp;endStation=90",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Erfurt</t>
        </is>
      </c>
      <c r="E348" t="inlineStr">
        <is>
          <t>2026-06-01</t>
        </is>
      </c>
      <c r="F348" t="inlineStr">
        <is>
          <t>2026-06-08</t>
        </is>
      </c>
      <c r="G348" t="inlineStr">
        <is>
          <t xml:space="preserve"> - Family Finca - Sunrise Suite</t>
        </is>
      </c>
      <c r="H348">
        <f>HYPERLINK("https://booking.roadsurfer.com/es/rally/pick?pickup_date=2026-06-01&amp;return_date=2026-06-08&amp;currency=EUR&amp;startStation=59&amp;endStation=90",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Erfurt</t>
        </is>
      </c>
      <c r="E349" t="inlineStr">
        <is>
          <t>2026-05-30</t>
        </is>
      </c>
      <c r="F349" t="inlineStr">
        <is>
          <t>2026-06-06</t>
        </is>
      </c>
      <c r="G349" t="inlineStr">
        <is>
          <t xml:space="preserve"> - Surfer Suite</t>
        </is>
      </c>
      <c r="H349">
        <f>HYPERLINK("https://booking.roadsurfer.com/es/rally/pick?pickup_date=2026-05-30&amp;return_date=2026-06-06&amp;currency=EUR&amp;startStation=59&amp;endStation=90",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Núremberg</t>
        </is>
      </c>
      <c r="E350" t="inlineStr">
        <is>
          <t>2026-05-30</t>
        </is>
      </c>
      <c r="F350" t="inlineStr">
        <is>
          <t>2026-06-06</t>
        </is>
      </c>
      <c r="G350" t="inlineStr">
        <is>
          <t xml:space="preserve"> - Surfer Suite</t>
        </is>
      </c>
      <c r="H350">
        <f>HYPERLINK("https://booking.roadsurfer.com/es/rally/pick?pickup_date=2026-05-30&amp;return_date=2026-06-06&amp;currency=EUR&amp;startStation=59&amp;endStation=11",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2026-05-29</t>
        </is>
      </c>
      <c r="F351" t="inlineStr">
        <is>
          <t>2026-06-05</t>
        </is>
      </c>
      <c r="G351" t="inlineStr">
        <is>
          <t xml:space="preserve"> - Beach Hostel</t>
        </is>
      </c>
      <c r="H351">
        <f>HYPERLINK("https://booking.roadsurfer.com/es/rally/pick?pickup_date=2026-05-29&amp;return_date=2026-06-05&amp;currency=EUR&amp;startStation=59&amp;endStation=11",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2026-05-27</t>
        </is>
      </c>
      <c r="F352" t="inlineStr">
        <is>
          <t>2026-06-03</t>
        </is>
      </c>
      <c r="G352" t="inlineStr">
        <is>
          <t xml:space="preserve"> - Beach Hostel - Sunrise Suite</t>
        </is>
      </c>
      <c r="H352">
        <f>HYPERLINK("https://booking.roadsurfer.com/es/rally/pick?pickup_date=2026-05-27&amp;return_date=2026-06-03&amp;currency=EUR&amp;startStation=59&amp;endStation=55",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2026-05-29</t>
        </is>
      </c>
      <c r="F353" t="inlineStr">
        <is>
          <t>2026-06-05</t>
        </is>
      </c>
      <c r="G353" t="inlineStr">
        <is>
          <t xml:space="preserve"> - Beach Hostel - Couple Cottage</t>
        </is>
      </c>
      <c r="H353">
        <f>HYPERLINK("https://booking.roadsurfer.com/es/rally/pick?pickup_date=2026-05-29&amp;return_date=2026-06-05&amp;currency=EUR&amp;startStation=59&amp;endStation=22",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2026-05-28</t>
        </is>
      </c>
      <c r="F354" t="inlineStr">
        <is>
          <t>2026-06-04</t>
        </is>
      </c>
      <c r="G354" t="inlineStr">
        <is>
          <t xml:space="preserve"> - Sunrise Suite</t>
        </is>
      </c>
      <c r="H354">
        <f>HYPERLINK("https://booking.roadsurfer.com/es/rally/pick?pickup_date=2026-05-28&amp;return_date=2026-06-04&amp;currency=EUR&amp;startStation=59&amp;endStation=22",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Lindau-Wangen</t>
        </is>
      </c>
      <c r="E355" t="inlineStr">
        <is>
          <t>2026-05-27</t>
        </is>
      </c>
      <c r="F355" t="inlineStr">
        <is>
          <t>2026-06-03</t>
        </is>
      </c>
      <c r="G355" t="inlineStr">
        <is>
          <t xml:space="preserve"> - Camper Castle</t>
        </is>
      </c>
      <c r="H355">
        <f>HYPERLINK("https://booking.roadsurfer.com/es/rally/pick?pickup_date=2026-05-27&amp;return_date=2026-06-03&amp;currency=EUR&amp;startStation=59&amp;endStation=117",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Leipzig</t>
        </is>
      </c>
      <c r="E356" t="inlineStr">
        <is>
          <t>2026-05-27</t>
        </is>
      </c>
      <c r="F356" t="inlineStr">
        <is>
          <t>2026-06-03</t>
        </is>
      </c>
      <c r="G356" t="inlineStr">
        <is>
          <t xml:space="preserve"> - Couple Cottage</t>
        </is>
      </c>
      <c r="H356">
        <f>HYPERLINK("https://booking.roadsurfer.com/es/rally/pick?pickup_date=2026-05-27&amp;return_date=2026-06-03&amp;currency=EUR&amp;startStation=59&amp;endStation=8",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Leipzig</t>
        </is>
      </c>
      <c r="E357" t="inlineStr">
        <is>
          <t>2026-06-02</t>
        </is>
      </c>
      <c r="F357" t="inlineStr">
        <is>
          <t>2026-06-09</t>
        </is>
      </c>
      <c r="G357" t="inlineStr">
        <is>
          <t xml:space="preserve"> - Couple Cottage</t>
        </is>
      </c>
      <c r="H357">
        <f>HYPERLINK("https://booking.roadsurfer.com/es/rally/pick?pickup_date=2026-06-02&amp;return_date=2026-06-09&amp;currency=EUR&amp;startStation=59&amp;endStation=8",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Fráncfort</t>
        </is>
      </c>
      <c r="E358" t="inlineStr">
        <is>
          <t>2026-07-20</t>
        </is>
      </c>
      <c r="F358" t="inlineStr">
        <is>
          <t>2026-07-27</t>
        </is>
      </c>
      <c r="G358" t="inlineStr"/>
      <c r="H358">
        <f>HYPERLINK("https://booking.roadsurfer.com/es/rally/pick?pickup_date=2026-07-20&amp;return_date=2026-07-27&amp;currency=EUR&amp;startStation=59&amp;endStation=2", "Clic para verlo en la web de RoadSurfer")</f>
        <v/>
      </c>
    </row>
    <row r="359">
      <c r="A359" t="inlineStr">
        <is>
          <t>Alemania</t>
        </is>
      </c>
      <c r="B359" t="inlineStr">
        <is>
          <t>Stuttgart</t>
        </is>
      </c>
      <c r="C359" t="inlineStr">
        <is>
          <t>Italia</t>
        </is>
      </c>
      <c r="D359" t="inlineStr">
        <is>
          <t>Venecia</t>
        </is>
      </c>
      <c r="E359" t="inlineStr">
        <is>
          <t>2026-06-22</t>
        </is>
      </c>
      <c r="F359" t="inlineStr">
        <is>
          <t>2026-06-29</t>
        </is>
      </c>
      <c r="G359" t="inlineStr"/>
      <c r="H359">
        <f>HYPERLINK("https://booking.roadsurfer.com/es/rally/pick?pickup_date=2026-06-22&amp;return_date=2026-06-29&amp;currency=EUR&amp;startStation=5&amp;endStation=78", "Clic para verlo en la web de RoadSurfer")</f>
        <v/>
      </c>
    </row>
    <row r="360">
      <c r="A360" t="inlineStr">
        <is>
          <t>Alemania</t>
        </is>
      </c>
      <c r="B360" t="inlineStr">
        <is>
          <t>Stuttgart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2026-06-24</t>
        </is>
      </c>
      <c r="F360" t="inlineStr">
        <is>
          <t>2026-07-01</t>
        </is>
      </c>
      <c r="G360" t="inlineStr">
        <is>
          <t xml:space="preserve"> - Camper Cabin</t>
        </is>
      </c>
      <c r="H360">
        <f>HYPERLINK("https://booking.roadsurfer.com/es/rally/pick?pickup_date=2026-06-24&amp;return_date=2026-07-01&amp;currency=EUR&amp;startStation=5&amp;endStation=20",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2026-06-05</t>
        </is>
      </c>
      <c r="F361" t="inlineStr">
        <is>
          <t>2026-06-12</t>
        </is>
      </c>
      <c r="G361" t="inlineStr">
        <is>
          <t xml:space="preserve"> - No hay coche</t>
        </is>
      </c>
      <c r="H361">
        <f>HYPERLINK("https://booking.roadsurfer.com/es/rally/pick?pickup_date=2026-06-05&amp;return_date=2026-06-12&amp;currency=EUR&amp;startStation=5&amp;endStation=20",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España</t>
        </is>
      </c>
      <c r="D362" t="inlineStr">
        <is>
          <t>Bilbao</t>
        </is>
      </c>
      <c r="E362" t="inlineStr">
        <is>
          <t>2026-06-22</t>
        </is>
      </c>
      <c r="F362" t="inlineStr">
        <is>
          <t>2026-06-29</t>
        </is>
      </c>
      <c r="G362" t="inlineStr"/>
      <c r="H362">
        <f>HYPERLINK("https://booking.roadsurfer.com/es/rally/pick?pickup_date=2026-06-22&amp;return_date=2026-06-29&amp;currency=EUR&amp;startStation=5&amp;endStation=40",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2026-06-15</t>
        </is>
      </c>
      <c r="F363" t="inlineStr">
        <is>
          <t>2026-06-22</t>
        </is>
      </c>
      <c r="G363" t="inlineStr">
        <is>
          <t xml:space="preserve"> - Camper Castle</t>
        </is>
      </c>
      <c r="H363">
        <f>HYPERLINK("https://booking.roadsurfer.com/es/rally/pick?pickup_date=2026-06-15&amp;return_date=2026-06-22&amp;currency=EUR&amp;startStation=5&amp;endStation=40",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Italia</t>
        </is>
      </c>
      <c r="D364" t="inlineStr">
        <is>
          <t>Florencia</t>
        </is>
      </c>
      <c r="E364" t="inlineStr">
        <is>
          <t>2026-06-23</t>
        </is>
      </c>
      <c r="F364" t="inlineStr">
        <is>
          <t>2026-06-30</t>
        </is>
      </c>
      <c r="G364" t="inlineStr">
        <is>
          <t xml:space="preserve"> - No hay coche</t>
        </is>
      </c>
      <c r="H364">
        <f>HYPERLINK("https://booking.roadsurfer.com/es/rally/pick?pickup_date=2026-06-23&amp;return_date=2026-06-30&amp;currency=EUR&amp;startStation=5&amp;endStation=80",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Austria</t>
        </is>
      </c>
      <c r="D365" t="inlineStr">
        <is>
          <t>Salzburgo</t>
        </is>
      </c>
      <c r="E365" t="inlineStr">
        <is>
          <t>2026-06-08</t>
        </is>
      </c>
      <c r="F365" t="inlineStr">
        <is>
          <t>2026-06-15</t>
        </is>
      </c>
      <c r="G365" t="inlineStr">
        <is>
          <t xml:space="preserve"> - Camper Castle</t>
        </is>
      </c>
      <c r="H365">
        <f>HYPERLINK("https://booking.roadsurfer.com/es/rally/pick?pickup_date=2026-06-08&amp;return_date=2026-06-15&amp;currency=EUR&amp;startStation=5&amp;endStation=85", "Clic para verlo en la web de RoadSurfer")</f>
        <v/>
      </c>
    </row>
    <row r="366">
      <c r="A366" t="inlineStr">
        <is>
          <t>Alemania</t>
        </is>
      </c>
      <c r="B366" t="inlineStr">
        <is>
          <t>Stuttgart</t>
        </is>
      </c>
      <c r="C366" t="inlineStr">
        <is>
          <t>España</t>
        </is>
      </c>
      <c r="D366" t="inlineStr">
        <is>
          <t>Sevilla</t>
        </is>
      </c>
      <c r="E366" t="inlineStr">
        <is>
          <t>2026-06-12</t>
        </is>
      </c>
      <c r="F366" t="inlineStr">
        <is>
          <t>2026-06-19</t>
        </is>
      </c>
      <c r="G366" t="inlineStr">
        <is>
          <t xml:space="preserve"> - Couple Cottage</t>
        </is>
      </c>
      <c r="H366">
        <f>HYPERLINK("https://booking.roadsurfer.com/es/rally/pick?pickup_date=2026-06-12&amp;return_date=2026-06-19&amp;currency=EUR&amp;startStation=5&amp;endStation=39",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España</t>
        </is>
      </c>
      <c r="D367" t="inlineStr">
        <is>
          <t>Sevilla</t>
        </is>
      </c>
      <c r="E367" t="inlineStr">
        <is>
          <t>2026-06-13</t>
        </is>
      </c>
      <c r="F367" t="inlineStr">
        <is>
          <t>2026-06-20</t>
        </is>
      </c>
      <c r="G367" t="inlineStr">
        <is>
          <t xml:space="preserve"> - Camper Castle</t>
        </is>
      </c>
      <c r="H367">
        <f>HYPERLINK("https://booking.roadsurfer.com/es/rally/pick?pickup_date=2026-06-13&amp;return_date=2026-06-20&amp;currency=EUR&amp;startStation=5&amp;endStation=39", "Clic para verlo en la web de RoadSurfer")</f>
        <v/>
      </c>
    </row>
    <row r="368">
      <c r="A368" t="inlineStr">
        <is>
          <t>Francia</t>
        </is>
      </c>
      <c r="B368" t="inlineStr">
        <is>
          <t>Toulouse</t>
        </is>
      </c>
      <c r="C368" t="inlineStr">
        <is>
          <t>Alemania</t>
        </is>
      </c>
      <c r="D368" t="inlineStr">
        <is>
          <t>Wurzburgo</t>
        </is>
      </c>
      <c r="E368" t="inlineStr">
        <is>
          <t>2026-06-01</t>
        </is>
      </c>
      <c r="F368" t="inlineStr">
        <is>
          <t>2026-06-08</t>
        </is>
      </c>
      <c r="G368" t="inlineStr">
        <is>
          <t xml:space="preserve"> - Surfer Suite - Road House</t>
        </is>
      </c>
      <c r="H368">
        <f>HYPERLINK("https://booking.roadsurfer.com/es/rally/pick?pickup_date=2026-06-01&amp;return_date=2026-06-08&amp;currency=EUR&amp;startStation=30&amp;endStation=115",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Erfurt</t>
        </is>
      </c>
      <c r="E369" t="inlineStr">
        <is>
          <t>2026-06-02</t>
        </is>
      </c>
      <c r="F369" t="inlineStr">
        <is>
          <t>2026-06-09</t>
        </is>
      </c>
      <c r="G369" t="inlineStr">
        <is>
          <t xml:space="preserve"> - Surfer Suite</t>
        </is>
      </c>
      <c r="H369">
        <f>HYPERLINK("https://booking.roadsurfer.com/es/rally/pick?pickup_date=2026-06-02&amp;return_date=2026-06-09&amp;currency=EUR&amp;startStation=30&amp;endStation=90",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Francia</t>
        </is>
      </c>
      <c r="D370" t="inlineStr">
        <is>
          <t>Nantes</t>
        </is>
      </c>
      <c r="E370" t="inlineStr">
        <is>
          <t>2026-06-04</t>
        </is>
      </c>
      <c r="F370" t="inlineStr">
        <is>
          <t>2026-06-11</t>
        </is>
      </c>
      <c r="G370" t="inlineStr">
        <is>
          <t xml:space="preserve"> - Surfer Suite</t>
        </is>
      </c>
      <c r="H370">
        <f>HYPERLINK("https://booking.roadsurfer.com/es/rally/pick?pickup_date=2026-06-04&amp;return_date=2026-06-11&amp;currency=EUR&amp;startStation=30&amp;endStation=31", "Clic para verlo en la web de RoadSurfer")</f>
        <v/>
      </c>
    </row>
    <row r="371">
      <c r="A371" t="inlineStr">
        <is>
          <t>Francia</t>
        </is>
      </c>
      <c r="B371" t="inlineStr">
        <is>
          <t>Toulouse</t>
        </is>
      </c>
      <c r="C371" t="inlineStr">
        <is>
          <t>Alemania</t>
        </is>
      </c>
      <c r="D371" t="inlineStr">
        <is>
          <t>Kassel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Family Finca</t>
        </is>
      </c>
      <c r="H371">
        <f>HYPERLINK("https://booking.roadsurfer.com/es/rally/pick?pickup_date=2026-06-01&amp;return_date=2026-06-08&amp;currency=EUR&amp;startStation=30&amp;endStation=92", "Clic para verlo en la web de RoadSurfer")</f>
        <v/>
      </c>
    </row>
    <row r="372">
      <c r="A372" t="inlineStr">
        <is>
          <t>Francia</t>
        </is>
      </c>
      <c r="B372" t="inlineStr">
        <is>
          <t>Toulouse</t>
        </is>
      </c>
      <c r="C372" t="inlineStr">
        <is>
          <t>Alemania</t>
        </is>
      </c>
      <c r="D372" t="inlineStr">
        <is>
          <t>Kassel</t>
        </is>
      </c>
      <c r="E372" t="inlineStr">
        <is>
          <t>2026-05-26</t>
        </is>
      </c>
      <c r="F372" t="inlineStr">
        <is>
          <t>2026-06-02</t>
        </is>
      </c>
      <c r="G372" t="inlineStr">
        <is>
          <t xml:space="preserve"> - Family Finca</t>
        </is>
      </c>
      <c r="H372">
        <f>HYPERLINK("https://booking.roadsurfer.com/es/rally/pick?pickup_date=2026-05-26&amp;return_date=2026-06-02&amp;currency=EUR&amp;startStation=30&amp;endStation=92", "Clic para verlo en la web de RoadSurfer")</f>
        <v/>
      </c>
    </row>
    <row r="373">
      <c r="A373" t="inlineStr">
        <is>
          <t>Alemania</t>
        </is>
      </c>
      <c r="B373" t="inlineStr">
        <is>
          <t>Tréveris</t>
        </is>
      </c>
      <c r="C373" t="inlineStr">
        <is>
          <t>España</t>
        </is>
      </c>
      <c r="D373" t="inlineStr">
        <is>
          <t>Bilbao</t>
        </is>
      </c>
      <c r="E373" t="inlineStr">
        <is>
          <t>2026-06-19</t>
        </is>
      </c>
      <c r="F373" t="inlineStr">
        <is>
          <t>2026-06-26</t>
        </is>
      </c>
      <c r="G373" t="inlineStr">
        <is>
          <t xml:space="preserve"> - Camper Castle</t>
        </is>
      </c>
      <c r="H373">
        <f>HYPERLINK("https://booking.roadsurfer.com/es/rally/pick?pickup_date=2026-06-19&amp;return_date=2026-06-26&amp;currency=EUR&amp;startStation=28&amp;endStation=40", "Clic para verlo en la web de RoadSurfer")</f>
        <v/>
      </c>
    </row>
    <row r="374">
      <c r="A374" t="inlineStr">
        <is>
          <t>Alemania</t>
        </is>
      </c>
      <c r="B374" t="inlineStr">
        <is>
          <t>Tréveris</t>
        </is>
      </c>
      <c r="C374" t="inlineStr">
        <is>
          <t>España</t>
        </is>
      </c>
      <c r="D374" t="inlineStr">
        <is>
          <t>Bilbao</t>
        </is>
      </c>
      <c r="E374" t="inlineStr">
        <is>
          <t>2026-06-27</t>
        </is>
      </c>
      <c r="F374" t="inlineStr">
        <is>
          <t>2026-07-04</t>
        </is>
      </c>
      <c r="G374" t="inlineStr">
        <is>
          <t xml:space="preserve"> - Camper Cabin</t>
        </is>
      </c>
      <c r="H374">
        <f>HYPERLINK("https://booking.roadsurfer.com/es/rally/pick?pickup_date=2026-06-27&amp;return_date=2026-07-04&amp;currency=EUR&amp;startStation=28&amp;endStation=40", "Clic para verlo en la web de RoadSurfer")</f>
        <v/>
      </c>
    </row>
    <row r="375">
      <c r="A375" t="inlineStr">
        <is>
          <t>Alemania</t>
        </is>
      </c>
      <c r="B375" t="inlineStr">
        <is>
          <t>Tréveris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2026-06-25</t>
        </is>
      </c>
      <c r="F375" t="inlineStr">
        <is>
          <t>2026-07-02</t>
        </is>
      </c>
      <c r="G375" t="inlineStr">
        <is>
          <t xml:space="preserve"> - Sunrise Suite</t>
        </is>
      </c>
      <c r="H375">
        <f>HYPERLINK("https://booking.roadsurfer.com/es/rally/pick?pickup_date=2026-06-25&amp;return_date=2026-07-02&amp;currency=EUR&amp;startStation=28&amp;endStation=40", "Clic para verlo en la web de RoadSurfer")</f>
        <v/>
      </c>
    </row>
    <row r="376">
      <c r="A376" t="inlineStr">
        <is>
          <t>Alemania</t>
        </is>
      </c>
      <c r="B376" t="inlineStr">
        <is>
          <t>Tréveris</t>
        </is>
      </c>
      <c r="C376" t="inlineStr">
        <is>
          <t>Alemania</t>
        </is>
      </c>
      <c r="D376" t="inlineStr">
        <is>
          <t>Hamburgo</t>
        </is>
      </c>
      <c r="E376" t="inlineStr">
        <is>
          <t>2026-06-22</t>
        </is>
      </c>
      <c r="F376" t="inlineStr">
        <is>
          <t>2026-06-29</t>
        </is>
      </c>
      <c r="G376" t="inlineStr">
        <is>
          <t xml:space="preserve"> - Camper Cabin</t>
        </is>
      </c>
      <c r="H376">
        <f>HYPERLINK("https://booking.roadsurfer.com/es/rally/pick?pickup_date=2026-06-22&amp;return_date=2026-06-29&amp;currency=EUR&amp;startStation=28&amp;endStation=3", "Clic para verlo en la web de RoadSurfer")</f>
        <v/>
      </c>
    </row>
    <row r="377">
      <c r="A377" t="inlineStr">
        <is>
          <t>Alemania</t>
        </is>
      </c>
      <c r="B377" t="inlineStr">
        <is>
          <t>Ulm</t>
        </is>
      </c>
      <c r="C377" t="inlineStr">
        <is>
          <t>Francia</t>
        </is>
      </c>
      <c r="D377" t="inlineStr">
        <is>
          <t>París Aeropuerto CDG</t>
        </is>
      </c>
      <c r="E377" t="inlineStr">
        <is>
          <t>2026-06-22</t>
        </is>
      </c>
      <c r="F377" t="inlineStr">
        <is>
          <t>2026-06-29</t>
        </is>
      </c>
      <c r="G377" t="inlineStr"/>
      <c r="H377">
        <f>HYPERLINK("https://booking.roadsurfer.com/es/rally/pick?pickup_date=2026-06-22&amp;return_date=2026-06-29&amp;currency=EUR&amp;startStation=112&amp;endStation=48", "Clic para verlo en la web de RoadSurfer")</f>
        <v/>
      </c>
    </row>
    <row r="378">
      <c r="A378" t="inlineStr">
        <is>
          <t>Alemania</t>
        </is>
      </c>
      <c r="B378" t="inlineStr">
        <is>
          <t>Ulm</t>
        </is>
      </c>
      <c r="C378" t="inlineStr">
        <is>
          <t>Alemania</t>
        </is>
      </c>
      <c r="D378" t="inlineStr">
        <is>
          <t>Tréveris</t>
        </is>
      </c>
      <c r="E378" t="inlineStr">
        <is>
          <t>2026-06-08</t>
        </is>
      </c>
      <c r="F378" t="inlineStr">
        <is>
          <t>2026-06-15</t>
        </is>
      </c>
      <c r="G378" t="inlineStr">
        <is>
          <t xml:space="preserve"> - Camper Cabin</t>
        </is>
      </c>
      <c r="H378">
        <f>HYPERLINK("https://booking.roadsurfer.com/es/rally/pick?pickup_date=2026-06-08&amp;return_date=2026-06-15&amp;currency=EUR&amp;startStation=112&amp;endStation=28", "Clic para verlo en la web de RoadSurfer")</f>
        <v/>
      </c>
    </row>
    <row r="379">
      <c r="A379" t="inlineStr">
        <is>
          <t>Alemania</t>
        </is>
      </c>
      <c r="B379" t="inlineStr">
        <is>
          <t>Ulm</t>
        </is>
      </c>
      <c r="C379" t="inlineStr">
        <is>
          <t>Italia</t>
        </is>
      </c>
      <c r="D379" t="inlineStr">
        <is>
          <t>Venecia</t>
        </is>
      </c>
      <c r="E379" t="inlineStr">
        <is>
          <t>2026-06-29</t>
        </is>
      </c>
      <c r="F379" t="inlineStr">
        <is>
          <t>2026-07-06</t>
        </is>
      </c>
      <c r="G379" t="inlineStr">
        <is>
          <t xml:space="preserve"> - Surfer Suite</t>
        </is>
      </c>
      <c r="H379">
        <f>HYPERLINK("https://booking.roadsurfer.com/es/rally/pick?pickup_date=2026-06-29&amp;return_date=2026-07-06&amp;currency=EUR&amp;startStation=112&amp;endStation=78", "Clic para verlo en la web de RoadSurfer")</f>
        <v/>
      </c>
    </row>
    <row r="380">
      <c r="A380" t="inlineStr">
        <is>
          <t>España</t>
        </is>
      </c>
      <c r="B380" t="inlineStr">
        <is>
          <t>Valencia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2026-06-12</t>
        </is>
      </c>
      <c r="F380" t="inlineStr">
        <is>
          <t>2026-06-19</t>
        </is>
      </c>
      <c r="G380" t="inlineStr">
        <is>
          <t xml:space="preserve"> - Beach Hostel</t>
        </is>
      </c>
      <c r="H380">
        <f>HYPERLINK("https://booking.roadsurfer.com/es/rally/pick?pickup_date=2026-06-12&amp;return_date=2026-06-19&amp;currency=EUR&amp;startStation=38&amp;endStation=22", "Clic para verlo en la web de RoadSurfer")</f>
        <v/>
      </c>
    </row>
    <row r="381">
      <c r="A381" t="inlineStr">
        <is>
          <t>España</t>
        </is>
      </c>
      <c r="B381" t="inlineStr">
        <is>
          <t>Valencia</t>
        </is>
      </c>
      <c r="C381" t="inlineStr">
        <is>
          <t>Alemania</t>
        </is>
      </c>
      <c r="D381" t="inlineStr">
        <is>
          <t>Maguncia</t>
        </is>
      </c>
      <c r="E381" t="inlineStr">
        <is>
          <t>2026-05-25</t>
        </is>
      </c>
      <c r="F381" t="inlineStr">
        <is>
          <t>2026-06-01</t>
        </is>
      </c>
      <c r="G381" t="inlineStr">
        <is>
          <t xml:space="preserve"> - Couple Cottage</t>
        </is>
      </c>
      <c r="H381">
        <f>HYPERLINK("https://booking.roadsurfer.com/es/rally/pick?pickup_date=2026-05-25&amp;return_date=2026-06-01&amp;currency=EUR&amp;startStation=38&amp;endStation=54", "Clic para verlo en la web de RoadSurfer")</f>
        <v/>
      </c>
    </row>
    <row r="382">
      <c r="A382" t="inlineStr">
        <is>
          <t>Alemania</t>
        </is>
      </c>
      <c r="B382" t="inlineStr">
        <is>
          <t>Wurzburgo</t>
        </is>
      </c>
      <c r="C382" t="inlineStr">
        <is>
          <t>Italia</t>
        </is>
      </c>
      <c r="D382" t="inlineStr">
        <is>
          <t>Bérgamo</t>
        </is>
      </c>
      <c r="E382" t="inlineStr">
        <is>
          <t>2026-06-08</t>
        </is>
      </c>
      <c r="F382" t="inlineStr">
        <is>
          <t>2026-06-15</t>
        </is>
      </c>
      <c r="G382" t="inlineStr">
        <is>
          <t xml:space="preserve"> - Road House</t>
        </is>
      </c>
      <c r="H382">
        <f>HYPERLINK("https://booking.roadsurfer.com/es/rally/pick?pickup_date=2026-06-08&amp;return_date=2026-06-15&amp;currency=EUR&amp;startStation=115&amp;endStation=94", "Clic para verlo en la web de RoadSurfer")</f>
        <v/>
      </c>
    </row>
    <row r="383">
      <c r="A383" t="inlineStr">
        <is>
          <t>Alemania</t>
        </is>
      </c>
      <c r="B383" t="inlineStr">
        <is>
          <t>Wurzburgo</t>
        </is>
      </c>
      <c r="C383" t="inlineStr">
        <is>
          <t>Italia</t>
        </is>
      </c>
      <c r="D383" t="inlineStr">
        <is>
          <t>Bérgamo</t>
        </is>
      </c>
      <c r="E383" t="inlineStr">
        <is>
          <t>2026-06-17</t>
        </is>
      </c>
      <c r="F383" t="inlineStr">
        <is>
          <t>2026-06-24</t>
        </is>
      </c>
      <c r="G383" t="inlineStr">
        <is>
          <t xml:space="preserve"> - Surfer Suite</t>
        </is>
      </c>
      <c r="H383">
        <f>HYPERLINK("https://booking.roadsurfer.com/es/rally/pick?pickup_date=2026-06-17&amp;return_date=2026-06-24&amp;currency=EUR&amp;startStation=115&amp;endStation=94", "Clic para verlo en la web de RoadSurfer")</f>
        <v/>
      </c>
    </row>
    <row r="384">
      <c r="A384" t="inlineStr">
        <is>
          <t>Alemania</t>
        </is>
      </c>
      <c r="B384" t="inlineStr">
        <is>
          <t>Wurzburgo</t>
        </is>
      </c>
      <c r="C384" t="inlineStr">
        <is>
          <t>Francia</t>
        </is>
      </c>
      <c r="D384" t="inlineStr">
        <is>
          <t>Toulouse</t>
        </is>
      </c>
      <c r="E384" t="inlineStr">
        <is>
          <t>2026-06-22</t>
        </is>
      </c>
      <c r="F384" t="inlineStr">
        <is>
          <t>2026-06-29</t>
        </is>
      </c>
      <c r="G384" t="inlineStr">
        <is>
          <t xml:space="preserve"> - Surfer Suite</t>
        </is>
      </c>
      <c r="H384">
        <f>HYPERLINK("https://booking.roadsurfer.com/es/rally/pick?pickup_date=2026-06-22&amp;return_date=2026-06-29&amp;currency=EUR&amp;startStation=115&amp;endStation=30", "Clic para verlo en la web de RoadSurfer")</f>
        <v/>
      </c>
    </row>
    <row r="385">
      <c r="A385" t="inlineStr">
        <is>
          <t>Alemania</t>
        </is>
      </c>
      <c r="B385" t="inlineStr">
        <is>
          <t>Wurzburgo</t>
        </is>
      </c>
      <c r="C385" t="inlineStr">
        <is>
          <t>Alemania</t>
        </is>
      </c>
      <c r="D385" t="inlineStr">
        <is>
          <t>Leipzig</t>
        </is>
      </c>
      <c r="E385" t="inlineStr">
        <is>
          <t>2026-07-02</t>
        </is>
      </c>
      <c r="F385" t="inlineStr">
        <is>
          <t>2026-07-09</t>
        </is>
      </c>
      <c r="G385" t="inlineStr">
        <is>
          <t xml:space="preserve"> - Beach Hostel</t>
        </is>
      </c>
      <c r="H385">
        <f>HYPERLINK("https://booking.roadsurfer.com/es/rally/pick?pickup_date=2026-07-02&amp;return_date=2026-07-09&amp;currency=EUR&amp;startStation=115&amp;endStation=8", "Clic para verlo en la web de RoadSurfer")</f>
        <v/>
      </c>
    </row>
    <row r="386">
      <c r="A386" t="inlineStr">
        <is>
          <t>Alemania</t>
        </is>
      </c>
      <c r="B386" t="inlineStr">
        <is>
          <t>Wurzburgo</t>
        </is>
      </c>
      <c r="C386" t="inlineStr">
        <is>
          <t>Italia</t>
        </is>
      </c>
      <c r="D386" t="inlineStr">
        <is>
          <t>Turín</t>
        </is>
      </c>
      <c r="E386" t="inlineStr">
        <is>
          <t>2026-06-11</t>
        </is>
      </c>
      <c r="F386" t="inlineStr">
        <is>
          <t>2026-06-18</t>
        </is>
      </c>
      <c r="G386" t="inlineStr">
        <is>
          <t xml:space="preserve"> - Beach Hostel</t>
        </is>
      </c>
      <c r="H386">
        <f>HYPERLINK("https://booking.roadsurfer.com/es/rally/pick?pickup_date=2026-06-11&amp;return_date=2026-06-18&amp;currency=EUR&amp;startStation=115&amp;endStation=58", "Clic para verlo en la web de RoadSurfer")</f>
        <v/>
      </c>
    </row>
    <row r="387">
      <c r="A387" t="inlineStr">
        <is>
          <t>Alemania</t>
        </is>
      </c>
      <c r="B387" t="inlineStr">
        <is>
          <t>Wurzburgo</t>
        </is>
      </c>
      <c r="C387" t="inlineStr">
        <is>
          <t>España</t>
        </is>
      </c>
      <c r="D387" t="inlineStr">
        <is>
          <t>Bilbao</t>
        </is>
      </c>
      <c r="E387" t="inlineStr">
        <is>
          <t>2026-06-01</t>
        </is>
      </c>
      <c r="F387" t="inlineStr">
        <is>
          <t>2026-06-08</t>
        </is>
      </c>
      <c r="G387" t="inlineStr">
        <is>
          <t xml:space="preserve"> - No hay coche</t>
        </is>
      </c>
      <c r="H387">
        <f>HYPERLINK("https://booking.roadsurfer.com/es/rally/pick?pickup_date=2026-06-01&amp;return_date=2026-06-08&amp;currency=EUR&amp;startStation=115&amp;endStation=40", "Clic para verlo en la web de RoadSurfer")</f>
        <v/>
      </c>
    </row>
    <row r="388">
      <c r="A388" t="inlineStr">
        <is>
          <t>Alemania</t>
        </is>
      </c>
      <c r="B388" t="inlineStr">
        <is>
          <t>Wurzburgo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2026-06-19</t>
        </is>
      </c>
      <c r="F388" t="inlineStr">
        <is>
          <t>2026-06-26</t>
        </is>
      </c>
      <c r="G388" t="inlineStr">
        <is>
          <t xml:space="preserve"> - Couple Cottage</t>
        </is>
      </c>
      <c r="H38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2026-05-24T15:05:53Z</dcterms:created>
  <dcterms:modified xsi:type="dcterms:W3CDTF">2026-05-24T15:05:53Z</dcterms:modified>
</cp:coreProperties>
</file>