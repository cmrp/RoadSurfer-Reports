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2026-10-01</t>
        </is>
      </c>
      <c r="F14" t="inlineStr">
        <is>
          <t>2026-10-08</t>
        </is>
      </c>
      <c r="G14" t="inlineStr">
        <is>
          <t xml:space="preserve"> - Surfer Suite</t>
        </is>
      </c>
      <c r="H14">
        <f>HYPERLINK("https://booking.roadsurfer.com/es/rally/pick?pickup_date=2026-10-01&amp;return_date=2026-10-08&amp;currency=EUR&amp;startStation=13&amp;endStation=2",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HYPERLINK("https://booking.roadsurfer.com/es/rally/pick?pickup_date=2026-09-15&amp;return_date=2026-09-22&amp;currency=EUR&amp;startStation=13&amp;endStation=109",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Constanza (Aach)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Beach Hostel</t>
        </is>
      </c>
      <c r="H16">
        <f>HYPERLINK("https://booking.roadsurfer.com/es/rally/pick?pickup_date=2026-10-02&amp;return_date=2026-10-09&amp;currency=EUR&amp;startStation=13&amp;endStation=10", "Clic para verlo en la web de RoadSurfer")</f>
        <v/>
      </c>
    </row>
    <row r="17">
      <c r="A17" t="inlineStr">
        <is>
          <t>Bélgica</t>
        </is>
      </c>
      <c r="B17" t="inlineStr">
        <is>
          <t>Bruselas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2026-09-14</t>
        </is>
      </c>
      <c r="F17" t="inlineStr">
        <is>
          <t>2026-09-21</t>
        </is>
      </c>
      <c r="G17" t="inlineStr">
        <is>
          <t xml:space="preserve"> - BEACH HOSTEL</t>
        </is>
      </c>
      <c r="H17">
        <f>HYPERLINK("https://booking.roadsurfer.com/es/rally/pick?pickup_date=2026-09-14&amp;return_date=2026-09-21&amp;currency=EUR&amp;startStation=42&amp;endStation=113", "Clic para verlo en la web de RoadSurfer")</f>
        <v/>
      </c>
    </row>
    <row r="18">
      <c r="A18" t="inlineStr">
        <is>
          <t>Bélgica</t>
        </is>
      </c>
      <c r="B18" t="inlineStr">
        <is>
          <t>Bruselas</t>
        </is>
      </c>
      <c r="C18" t="inlineStr">
        <is>
          <t>Alemania</t>
        </is>
      </c>
      <c r="D18" t="inlineStr">
        <is>
          <t>Wurzburgo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No hay coche</t>
        </is>
      </c>
      <c r="H18">
        <f>HYPERLINK("https://booking.roadsurfer.com/es/rally/pick?pickup_date=2026-09-25&amp;return_date=2026-10-02&amp;currency=EUR&amp;startStation=42&amp;endStation=115", "Clic para verlo en la web de RoadSurfer")</f>
        <v/>
      </c>
    </row>
    <row r="19">
      <c r="A19" t="inlineStr">
        <is>
          <t>Portugal</t>
        </is>
      </c>
      <c r="B19" t="inlineStr">
        <is>
          <t>Faro</t>
        </is>
      </c>
      <c r="C19" t="inlineStr">
        <is>
          <t>Portugal</t>
        </is>
      </c>
      <c r="D19" t="inlineStr">
        <is>
          <t>Lisboa</t>
        </is>
      </c>
      <c r="E19" t="inlineStr">
        <is>
          <t>2026-08-19</t>
        </is>
      </c>
      <c r="F19" t="inlineStr">
        <is>
          <t>2026-08-26</t>
        </is>
      </c>
      <c r="G19" t="inlineStr">
        <is>
          <t xml:space="preserve"> - Sunrise Suite</t>
        </is>
      </c>
      <c r="H19">
        <f>HYPERLINK("https://booking.roadsurfer.com/es/rally/pick?pickup_date=2026-08-19&amp;return_date=2026-08-26&amp;currency=EUR&amp;startStation=19&amp;endStation=18", "Clic para verlo en la web de RoadSurfer")</f>
        <v/>
      </c>
    </row>
    <row r="20">
      <c r="A20" t="inlineStr">
        <is>
          <t>Francia</t>
        </is>
      </c>
      <c r="B20" t="inlineStr">
        <is>
          <t>Lille</t>
        </is>
      </c>
      <c r="C20" t="inlineStr">
        <is>
          <t>Alemania</t>
        </is>
      </c>
      <c r="D20" t="inlineStr">
        <is>
          <t>Hannover</t>
        </is>
      </c>
      <c r="E20" t="inlineStr">
        <is>
          <t>2026-09-24</t>
        </is>
      </c>
      <c r="F20" t="inlineStr">
        <is>
          <t>2026-10-01</t>
        </is>
      </c>
      <c r="G20" t="inlineStr">
        <is>
          <t xml:space="preserve"> - Surfer Suite</t>
        </is>
      </c>
      <c r="H20">
        <f>HYPERLINK("https://booking.roadsurfer.com/es/rally/pick?pickup_date=2026-09-24&amp;return_date=2026-10-01&amp;currency=EUR&amp;startStation=87&amp;endStation=7",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2026-10-10</t>
        </is>
      </c>
      <c r="F21" t="inlineStr">
        <is>
          <t>2026-10-17</t>
        </is>
      </c>
      <c r="G21" t="inlineStr">
        <is>
          <t xml:space="preserve"> - No hay coche</t>
        </is>
      </c>
      <c r="H21">
        <f>HYPERLINK("https://booking.roadsurfer.com/es/rally/pick?pickup_date=2026-10-10&amp;return_date=2026-10-17&amp;currency=EUR&amp;startStation=87&amp;endStation=22", "Clic para verlo en la web de RoadSurfer")</f>
        <v/>
      </c>
    </row>
    <row r="22">
      <c r="A22" t="inlineStr">
        <is>
          <t>Francia</t>
        </is>
      </c>
      <c r="B22" t="inlineStr">
        <is>
          <t>Lyon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2026-10-05</t>
        </is>
      </c>
      <c r="F22" t="inlineStr">
        <is>
          <t>2026-10-12</t>
        </is>
      </c>
      <c r="G22" t="inlineStr">
        <is>
          <t xml:space="preserve"> - Travel Home</t>
        </is>
      </c>
      <c r="H22">
        <f>HYPERLINK("https://booking.roadsurfer.com/es/rally/pick?pickup_date=2026-10-05&amp;return_date=2026-10-12&amp;currency=EUR&amp;startStation=15&amp;endStation=55", "Clic para verlo en la web de RoadSurfer")</f>
        <v/>
      </c>
    </row>
    <row r="23">
      <c r="A23" t="inlineStr">
        <is>
          <t>Francia</t>
        </is>
      </c>
      <c r="B23" t="inlineStr">
        <is>
          <t>Lyon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2026-10-12</t>
        </is>
      </c>
      <c r="F23" t="inlineStr">
        <is>
          <t>2026-10-19</t>
        </is>
      </c>
      <c r="G23" t="inlineStr">
        <is>
          <t xml:space="preserve"> - Couple Cottage</t>
        </is>
      </c>
      <c r="H23">
        <f>HYPERLINK("https://booking.roadsurfer.com/es/rally/pick?pickup_date=2026-10-12&amp;return_date=2026-10-19&amp;currency=EUR&amp;startStation=15&amp;endStation=22", "Clic para verlo en la web de RoadSurfer")</f>
        <v/>
      </c>
    </row>
    <row r="24">
      <c r="A24" t="inlineStr">
        <is>
          <t>Francia</t>
        </is>
      </c>
      <c r="B24" t="inlineStr">
        <is>
          <t>Lyon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2026-09-14</t>
        </is>
      </c>
      <c r="F24" t="inlineStr">
        <is>
          <t>2026-09-21</t>
        </is>
      </c>
      <c r="G24" t="inlineStr">
        <is>
          <t xml:space="preserve"> - Surfer Suite</t>
        </is>
      </c>
      <c r="H24">
        <f>HYPERLINK("https://booking.roadsurfer.com/es/rally/pick?pickup_date=2026-09-14&amp;return_date=2026-09-21&amp;currency=EUR&amp;startStation=15&amp;endStation=22",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2026-10-08</t>
        </is>
      </c>
      <c r="F25" t="inlineStr">
        <is>
          <t>2026-10-15</t>
        </is>
      </c>
      <c r="G25" t="inlineStr">
        <is>
          <t xml:space="preserve"> - Surfer Suite</t>
        </is>
      </c>
      <c r="H25">
        <f>HYPERLINK("https://booking.roadsurfer.com/es/rally/pick?pickup_date=2026-10-08&amp;return_date=2026-10-15&amp;currency=EUR&amp;startStation=15&amp;endStation=90", "Clic para verlo en la web de RoadSurfer")</f>
        <v/>
      </c>
    </row>
    <row r="26">
      <c r="A26" t="inlineStr">
        <is>
          <t>España</t>
        </is>
      </c>
      <c r="B26" t="inlineStr">
        <is>
          <t>Madrid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2026-10-05</t>
        </is>
      </c>
      <c r="F26" t="inlineStr">
        <is>
          <t>2026-10-12</t>
        </is>
      </c>
      <c r="G26" t="inlineStr">
        <is>
          <t xml:space="preserve"> - No hay coche</t>
        </is>
      </c>
      <c r="H26">
        <f>HYPERLINK("https://booking.roadsurfer.com/es/rally/pick?pickup_date=2026-10-05&amp;return_date=2026-10-12&amp;currency=EUR&amp;startStation=20&amp;endStation=22", "Clic para verlo en la web de RoadSurfer")</f>
        <v/>
      </c>
    </row>
    <row r="27">
      <c r="A27" t="inlineStr">
        <is>
          <t>España</t>
        </is>
      </c>
      <c r="B27" t="inlineStr">
        <is>
          <t>Madrid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2026-10-03</t>
        </is>
      </c>
      <c r="F27" t="inlineStr">
        <is>
          <t>2026-10-10</t>
        </is>
      </c>
      <c r="G27" t="inlineStr">
        <is>
          <t xml:space="preserve"> - No hay coche</t>
        </is>
      </c>
      <c r="H27">
        <f>HYPERLINK("https://booking.roadsurfer.com/es/rally/pick?pickup_date=2026-10-03&amp;return_date=2026-10-10&amp;currency=EUR&amp;startStation=20&amp;endStation=22",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Surfer Suite - Couple Cottage - COUPLE COTTAGE</t>
        </is>
      </c>
      <c r="H28">
        <f>HYPERLINK("https://booking.roadsurfer.com/es/rally/pick?pickup_date=2026-09-25&amp;return_date=2026-10-02&amp;currency=EUR&amp;startStation=20&amp;endStation=22",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Beach Hostel</t>
        </is>
      </c>
      <c r="H29">
        <f>HYPERLINK("https://booking.roadsurfer.com/es/rally/pick?pickup_date=2026-09-28&amp;return_date=2026-10-05&amp;currency=EUR&amp;startStation=20&amp;endStation=55",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2026-10-20</t>
        </is>
      </c>
      <c r="F30" t="inlineStr">
        <is>
          <t>2026-10-27</t>
        </is>
      </c>
      <c r="G30" t="inlineStr">
        <is>
          <t xml:space="preserve"> - Surfer Suite</t>
        </is>
      </c>
      <c r="H30">
        <f>HYPERLINK("https://booking.roadsurfer.com/es/rally/pick?pickup_date=2026-10-20&amp;return_date=2026-10-27&amp;currency=EUR&amp;startStation=20&amp;endStation=8",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2026-10-03</t>
        </is>
      </c>
      <c r="F31" t="inlineStr">
        <is>
          <t>2026-10-10</t>
        </is>
      </c>
      <c r="G31" t="inlineStr">
        <is>
          <t xml:space="preserve"> - Road House</t>
        </is>
      </c>
      <c r="H31">
        <f>HYPERLINK("https://booking.roadsurfer.com/es/rally/pick?pickup_date=2026-10-03&amp;return_date=2026-10-10&amp;currency=EUR&amp;startStation=20&amp;endStation=8", "Clic para verlo en la web de RoadSurfer")</f>
        <v/>
      </c>
    </row>
    <row r="32">
      <c r="A32" t="inlineStr">
        <is>
          <t>Suecia</t>
        </is>
      </c>
      <c r="B32" t="inlineStr">
        <is>
          <t>Malmö</t>
        </is>
      </c>
      <c r="C32" t="inlineStr">
        <is>
          <t>Alemania</t>
        </is>
      </c>
      <c r="D32" t="inlineStr">
        <is>
          <t>Fráncfort</t>
        </is>
      </c>
      <c r="E32" t="inlineStr">
        <is>
          <t>2026-08-26</t>
        </is>
      </c>
      <c r="F32" t="inlineStr">
        <is>
          <t>2026-09-02</t>
        </is>
      </c>
      <c r="G32" t="inlineStr">
        <is>
          <t xml:space="preserve"> - Camper Castle</t>
        </is>
      </c>
      <c r="H32">
        <f>HYPERLINK("https://booking.roadsurfer.com/es/rally/pick?pickup_date=2026-08-26&amp;return_date=2026-09-02&amp;currency=EUR&amp;startStation=60&amp;endStation=2", "Clic para verlo en la web de RoadSurfer")</f>
        <v/>
      </c>
    </row>
    <row r="33">
      <c r="A33" t="inlineStr">
        <is>
          <t>Suecia</t>
        </is>
      </c>
      <c r="B33" t="inlineStr">
        <is>
          <t>Malmö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2026-08-31</t>
        </is>
      </c>
      <c r="F33" t="inlineStr">
        <is>
          <t>2026-09-07</t>
        </is>
      </c>
      <c r="G33" t="inlineStr">
        <is>
          <t xml:space="preserve"> - Camper Castle</t>
        </is>
      </c>
      <c r="H33">
        <f>HYPERLINK("https://booking.roadsurfer.com/es/rally/pick?pickup_date=2026-08-31&amp;return_date=2026-09-07&amp;currency=EUR&amp;startStation=60&amp;endStation=5", "Clic para verlo en la web de RoadSurfer")</f>
        <v/>
      </c>
    </row>
    <row r="34">
      <c r="A34" t="inlineStr">
        <is>
          <t>Francia</t>
        </is>
      </c>
      <c r="B34" t="inlineStr">
        <is>
          <t>Nantes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Surfer Suite</t>
        </is>
      </c>
      <c r="H34">
        <f>HYPERLINK("https://booking.roadsurfer.com/es/rally/pick?pickup_date=2026-09-30&amp;return_date=2026-10-07&amp;currency=EUR&amp;startStation=31&amp;endStation=3", "Clic para verlo en la web de RoadSurfer")</f>
        <v/>
      </c>
    </row>
    <row r="35">
      <c r="A35" t="inlineStr">
        <is>
          <t>Francia</t>
        </is>
      </c>
      <c r="B35" t="inlineStr">
        <is>
          <t>Nantes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Beach Hostel</t>
        </is>
      </c>
      <c r="H35">
        <f>HYPERLINK("https://booking.roadsurfer.com/es/rally/pick?pickup_date=2026-09-25&amp;return_date=2026-10-02&amp;currency=EUR&amp;startStation=31&amp;endStation=109",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2026-08-25</t>
        </is>
      </c>
      <c r="F36" t="inlineStr">
        <is>
          <t>2026-08-28</t>
        </is>
      </c>
      <c r="G36" t="inlineStr">
        <is>
          <t xml:space="preserve"> - Travel Home</t>
        </is>
      </c>
      <c r="H36">
        <f>HYPERLINK("https://booking.roadsurfer.com/es/rally/pick?pickup_date=2026-08-25&amp;return_date=2026-08-28&amp;currency=EUR&amp;startStation=12&amp;endStation=2",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2026-09-16</t>
        </is>
      </c>
      <c r="F37" t="inlineStr">
        <is>
          <t>2026-09-23</t>
        </is>
      </c>
      <c r="G37" t="inlineStr">
        <is>
          <t xml:space="preserve"> - Camper Cabin</t>
        </is>
      </c>
      <c r="H37">
        <f>HYPERLINK("https://booking.roadsurfer.com/es/rally/pick?pickup_date=2026-09-16&amp;return_date=2026-09-23&amp;currency=EUR&amp;startStation=12&amp;endStation=22",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2026-09-15</t>
        </is>
      </c>
      <c r="F38" t="inlineStr">
        <is>
          <t>2026-09-22</t>
        </is>
      </c>
      <c r="G38" t="inlineStr">
        <is>
          <t xml:space="preserve"> - Camper Cabin</t>
        </is>
      </c>
      <c r="H38">
        <f>HYPERLINK("https://booking.roadsurfer.com/es/rally/pick?pickup_date=2026-09-15&amp;return_date=2026-09-22&amp;currency=EUR&amp;startStation=12&amp;endStation=22",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2026-09-28</t>
        </is>
      </c>
      <c r="F39" t="inlineStr">
        <is>
          <t>2026-10-05</t>
        </is>
      </c>
      <c r="G39" t="inlineStr">
        <is>
          <t xml:space="preserve"> - Travel Home</t>
        </is>
      </c>
      <c r="H39">
        <f>HYPERLINK("https://booking.roadsurfer.com/es/rally/pick?pickup_date=2026-09-28&amp;return_date=2026-10-05&amp;currency=EUR&amp;startStation=12&amp;endStation=22",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Surfer Suite</t>
        </is>
      </c>
      <c r="H40">
        <f>HYPERLINK("https://booking.roadsurfer.com/es/rally/pick?pickup_date=2026-09-11&amp;return_date=2026-09-18&amp;currency=EUR&amp;startStation=12&amp;endStation=22",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HYPERLINK("https://booking.roadsurfer.com/es/rally/pick?pickup_date=2026-09-26&amp;return_date=2026-10-03&amp;currency=EUR&amp;startStation=12&amp;endStation=22",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Hannover</t>
        </is>
      </c>
      <c r="E42" t="inlineStr">
        <is>
          <t>2026-09-12</t>
        </is>
      </c>
      <c r="F42" t="inlineStr">
        <is>
          <t>2026-09-19</t>
        </is>
      </c>
      <c r="G42" t="inlineStr">
        <is>
          <t xml:space="preserve"> - Camper Cabin</t>
        </is>
      </c>
      <c r="H42">
        <f>HYPERLINK("https://booking.roadsurfer.com/es/rally/pick?pickup_date=2026-09-12&amp;return_date=2026-09-19&amp;currency=EUR&amp;startStation=12&amp;endStation=7", "Clic para verlo en la web de RoadSurfer")</f>
        <v/>
      </c>
    </row>
    <row r="43">
      <c r="A43" t="inlineStr">
        <is>
          <t>Francia</t>
        </is>
      </c>
      <c r="B43" t="inlineStr">
        <is>
          <t>París Sur (Orly)</t>
        </is>
      </c>
      <c r="C43" t="inlineStr">
        <is>
          <t>Alemania</t>
        </is>
      </c>
      <c r="D43" t="inlineStr">
        <is>
          <t>Duisburgo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HYPERLINK("https://booking.roadsurfer.com/es/rally/pick?pickup_date=2026-09-26&amp;return_date=2026-10-03&amp;currency=EUR&amp;startStation=12&amp;endStation=113", "Clic para verlo en la web de RoadSurfer")</f>
        <v/>
      </c>
    </row>
    <row r="44">
      <c r="A44" t="inlineStr">
        <is>
          <t>Francia</t>
        </is>
      </c>
      <c r="B44" t="inlineStr">
        <is>
          <t>París Aeropuerto CDG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2026-09-08</t>
        </is>
      </c>
      <c r="F44" t="inlineStr">
        <is>
          <t>2026-09-15</t>
        </is>
      </c>
      <c r="G44" t="inlineStr">
        <is>
          <t xml:space="preserve"> - Surfer Suite</t>
        </is>
      </c>
      <c r="H44">
        <f>HYPERLINK("https://booking.roadsurfer.com/es/rally/pick?pickup_date=2026-09-08&amp;return_date=2026-09-15&amp;currency=EUR&amp;startStation=48&amp;endStation=22", "Clic para verlo en la web de RoadSurfer")</f>
        <v/>
      </c>
    </row>
    <row r="45">
      <c r="A45" t="inlineStr">
        <is>
          <t>Francia</t>
        </is>
      </c>
      <c r="B45" t="inlineStr">
        <is>
          <t>París Aeropuerto CDG</t>
        </is>
      </c>
      <c r="C45" t="inlineStr">
        <is>
          <t>Alemania</t>
        </is>
      </c>
      <c r="D45" t="inlineStr">
        <is>
          <t>Hannover</t>
        </is>
      </c>
      <c r="E45" t="inlineStr">
        <is>
          <t>2026-10-10</t>
        </is>
      </c>
      <c r="F45" t="inlineStr">
        <is>
          <t>2026-10-17</t>
        </is>
      </c>
      <c r="G45" t="inlineStr">
        <is>
          <t xml:space="preserve"> - Family Finca</t>
        </is>
      </c>
      <c r="H45">
        <f>HYPERLINK("https://booking.roadsurfer.com/es/rally/pick?pickup_date=2026-10-10&amp;return_date=2026-10-17&amp;currency=EUR&amp;startStation=48&amp;endStation=7", "Clic para verlo en la web de RoadSurfer")</f>
        <v/>
      </c>
    </row>
    <row r="46">
      <c r="A46" t="inlineStr">
        <is>
          <t>EE.UU.</t>
        </is>
      </c>
      <c r="B46" t="inlineStr">
        <is>
          <t>Seattle</t>
        </is>
      </c>
      <c r="C46" t="inlineStr">
        <is>
          <t>EE.UU.</t>
        </is>
      </c>
      <c r="D46" t="inlineStr">
        <is>
          <t>Los Ángeles</t>
        </is>
      </c>
      <c r="E46" t="inlineStr">
        <is>
          <t>2026-09-28</t>
        </is>
      </c>
      <c r="F46" t="inlineStr">
        <is>
          <t>2026-10-05</t>
        </is>
      </c>
      <c r="G46" t="inlineStr">
        <is>
          <t xml:space="preserve"> - Liberty Lodge</t>
        </is>
      </c>
      <c r="H46">
        <f>HYPERLINK("https://booking.roadsurfer.com/es/rally/pick?pickup_date=2026-09-28&amp;return_date=2026-10-05&amp;currency=EUR&amp;startStation=107&amp;endStation=72", "Clic para verlo en la web de RoadSurfer")</f>
        <v/>
      </c>
    </row>
    <row r="47">
      <c r="A47" t="inlineStr">
        <is>
          <t>EE.UU.</t>
        </is>
      </c>
      <c r="B47" t="inlineStr">
        <is>
          <t>Seattle</t>
        </is>
      </c>
      <c r="C47" t="inlineStr">
        <is>
          <t>EE.UU.</t>
        </is>
      </c>
      <c r="D47" t="inlineStr">
        <is>
          <t>Los Ángeles</t>
        </is>
      </c>
      <c r="E47" t="inlineStr">
        <is>
          <t>2026-09-15</t>
        </is>
      </c>
      <c r="F47" t="inlineStr">
        <is>
          <t>2026-09-22</t>
        </is>
      </c>
      <c r="G47" t="inlineStr">
        <is>
          <t xml:space="preserve"> - Liberty Lodge</t>
        </is>
      </c>
      <c r="H47">
        <f>HYPERLINK("https://booking.roadsurfer.com/es/rally/pick?pickup_date=2026-09-15&amp;return_date=2026-09-22&amp;currency=EUR&amp;startStation=107&amp;endStation=72", "Clic para verlo en la web de RoadSurfer")</f>
        <v/>
      </c>
    </row>
    <row r="48">
      <c r="A48" t="inlineStr">
        <is>
          <t>EE.UU.</t>
        </is>
      </c>
      <c r="B48" t="inlineStr">
        <is>
          <t>Seattle</t>
        </is>
      </c>
      <c r="C48" t="inlineStr">
        <is>
          <t>EE.UU.</t>
        </is>
      </c>
      <c r="D48" t="inlineStr">
        <is>
          <t>San Francisco</t>
        </is>
      </c>
      <c r="E48" t="inlineStr">
        <is>
          <t>2026-09-28</t>
        </is>
      </c>
      <c r="F48" t="inlineStr">
        <is>
          <t>2026-10-05</t>
        </is>
      </c>
      <c r="G48" t="inlineStr">
        <is>
          <t xml:space="preserve"> - Liberty Lodge</t>
        </is>
      </c>
      <c r="H48">
        <f>HYPERLINK("https://booking.roadsurfer.com/es/rally/pick?pickup_date=2026-09-28&amp;return_date=2026-10-05&amp;currency=EUR&amp;startStation=107&amp;endStation=75", "Clic para verlo en la web de RoadSurfer")</f>
        <v/>
      </c>
    </row>
    <row r="49">
      <c r="A49" t="inlineStr">
        <is>
          <t>EE.UU.</t>
        </is>
      </c>
      <c r="B49" t="inlineStr">
        <is>
          <t>Seattle</t>
        </is>
      </c>
      <c r="C49" t="inlineStr">
        <is>
          <t>EE.UU.</t>
        </is>
      </c>
      <c r="D49" t="inlineStr">
        <is>
          <t>Phoenix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Liberty Lodge</t>
        </is>
      </c>
      <c r="H49">
        <f>HYPERLINK("https://booking.roadsurfer.com/es/rally/pick?pickup_date=2026-09-28&amp;return_date=2026-10-05&amp;currency=EUR&amp;startStation=107&amp;endStation=105", "Clic para verlo en la web de RoadSurfer")</f>
        <v/>
      </c>
    </row>
    <row r="50">
      <c r="A50" t="inlineStr">
        <is>
          <t>Francia</t>
        </is>
      </c>
      <c r="B50" t="inlineStr">
        <is>
          <t>Toulouse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2026-09-24</t>
        </is>
      </c>
      <c r="F50" t="inlineStr">
        <is>
          <t>2026-10-01</t>
        </is>
      </c>
      <c r="G50" t="inlineStr">
        <is>
          <t xml:space="preserve"> - ROAD HOUSE</t>
        </is>
      </c>
      <c r="H50">
        <f>HYPERLINK("https://booking.roadsurfer.com/es/rally/pick?pickup_date=2026-09-24&amp;return_date=2026-10-01&amp;currency=EUR&amp;startStation=30&amp;endStation=109", "Clic para verlo en la web de RoadSurfer")</f>
        <v/>
      </c>
    </row>
    <row r="51">
      <c r="A51" t="inlineStr">
        <is>
          <t>Francia</t>
        </is>
      </c>
      <c r="B51" t="inlineStr">
        <is>
          <t>Toulouse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2026-09-30</t>
        </is>
      </c>
      <c r="F51" t="inlineStr">
        <is>
          <t>2026-10-07</t>
        </is>
      </c>
      <c r="G51" t="inlineStr">
        <is>
          <t xml:space="preserve"> - Surfer Suite</t>
        </is>
      </c>
      <c r="H51">
        <f>HYPERLINK("https://booking.roadsurfer.com/es/rally/pick?pickup_date=2026-09-30&amp;return_date=2026-10-07&amp;currency=EUR&amp;startStation=30&amp;endStation=3", "Clic para verlo en la web de RoadSurfer")</f>
        <v/>
      </c>
    </row>
    <row r="52">
      <c r="A52" t="inlineStr">
        <is>
          <t>Francia</t>
        </is>
      </c>
      <c r="B52" t="inlineStr">
        <is>
          <t>Toulouse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2026-09-16</t>
        </is>
      </c>
      <c r="F52" t="inlineStr">
        <is>
          <t>2026-09-23</t>
        </is>
      </c>
      <c r="G52" t="inlineStr">
        <is>
          <t xml:space="preserve"> - Surfer Suite</t>
        </is>
      </c>
      <c r="H52">
        <f>HYPERLINK("https://booking.roadsurfer.com/es/rally/pick?pickup_date=2026-09-16&amp;return_date=2026-09-23&amp;currency=EUR&amp;startStation=30&amp;endStation=8", "Clic para verlo en la web de RoadSurfer")</f>
        <v/>
      </c>
    </row>
    <row r="53">
      <c r="A53" t="inlineStr">
        <is>
          <t>Italia</t>
        </is>
      </c>
      <c r="B53" t="inlineStr">
        <is>
          <t>Turín</t>
        </is>
      </c>
      <c r="C53" t="inlineStr">
        <is>
          <t>Italia</t>
        </is>
      </c>
      <c r="D53" t="inlineStr">
        <is>
          <t>Roma Aeropuerto Fiumicino</t>
        </is>
      </c>
      <c r="E53" t="inlineStr">
        <is>
          <t>2026-08-31</t>
        </is>
      </c>
      <c r="F53" t="inlineStr">
        <is>
          <t>2026-09-07</t>
        </is>
      </c>
      <c r="G53" t="inlineStr">
        <is>
          <t xml:space="preserve"> - Camper Castle</t>
        </is>
      </c>
      <c r="H53">
        <f>HYPERLINK("https://booking.roadsurfer.com/es/rally/pick?pickup_date=2026-08-31&amp;return_date=2026-09-07&amp;currency=EUR&amp;startStation=58&amp;endStation=35", "Clic para verlo en la web de RoadSurfer")</f>
        <v/>
      </c>
    </row>
    <row r="54">
      <c r="A54" t="inlineStr">
        <is>
          <t>España</t>
        </is>
      </c>
      <c r="B54" t="inlineStr">
        <is>
          <t>Valencia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2026-10-21</t>
        </is>
      </c>
      <c r="F54" t="inlineStr">
        <is>
          <t>2026-10-28</t>
        </is>
      </c>
      <c r="G54" t="inlineStr">
        <is>
          <t xml:space="preserve"> - Surfer Suite</t>
        </is>
      </c>
      <c r="H54">
        <f>HYPERLINK("https://booking.roadsurfer.com/es/rally/pick?pickup_date=2026-10-21&amp;return_date=2026-10-28&amp;currency=EUR&amp;startStation=38&amp;endStation=55",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2026-10-07</t>
        </is>
      </c>
      <c r="F55" t="inlineStr">
        <is>
          <t>2026-10-14</t>
        </is>
      </c>
      <c r="G55" t="inlineStr">
        <is>
          <t xml:space="preserve"> - No hay coche</t>
        </is>
      </c>
      <c r="H55">
        <f>HYPERLINK("https://booking.roadsurfer.com/es/rally/pick?pickup_date=2026-10-07&amp;return_date=2026-10-14&amp;currency=EUR&amp;startStation=38&amp;endStation=22", "Clic para verlo en la web de RoadSurfer")</f>
        <v/>
      </c>
    </row>
    <row r="56">
      <c r="A56" t="inlineStr">
        <is>
          <t>Austria</t>
        </is>
      </c>
      <c r="B56" t="inlineStr">
        <is>
          <t>Viena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2026-08-26</t>
        </is>
      </c>
      <c r="F56" t="inlineStr">
        <is>
          <t>2026-09-02</t>
        </is>
      </c>
      <c r="G56" t="inlineStr">
        <is>
          <t xml:space="preserve"> - Beach Hostel</t>
        </is>
      </c>
      <c r="H56">
        <f>HYPERLINK("https://booking.roadsurfer.com/es/rally/pick?pickup_date=2026-08-26&amp;return_date=2026-09-02&amp;currency=EUR&amp;startStation=36&amp;endStation=1",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2026-08-18T08:30:11Z</dcterms:created>
  <dcterms:modified xsi:type="dcterms:W3CDTF">2026-08-18T08:30:11Z</dcterms:modified>
</cp:coreProperties>
</file>