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Surfer Suite</t>
        </is>
      </c>
      <c r="H5">
        <f>HYPERLINK("https://booking.roadsurfer.com/es/rally/pick?pickup_date=2026-06-26&amp;return_date=2026-07-03&amp;currency=EUR&amp;startStation=114&amp;endStation=87",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Road House</t>
        </is>
      </c>
      <c r="H6">
        <f>HYPERLINK("https://booking.roadsurfer.com/es/rally/pick?pickup_date=2026-06-15&amp;return_date=2026-06-22&amp;currency=EUR&amp;startStation=16&amp;endStation=5",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Couple Cottage</t>
        </is>
      </c>
      <c r="H7">
        <f>HYPERLINK("https://booking.roadsurfer.com/es/rally/pick?pickup_date=2026-06-15&amp;return_date=2026-06-22&amp;currency=EUR&amp;startStation=16&amp;endStation=22",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Niza</t>
        </is>
      </c>
      <c r="E8" t="inlineStr">
        <is>
          <t>2026-06-01</t>
        </is>
      </c>
      <c r="F8" t="inlineStr">
        <is>
          <t>2026-06-08</t>
        </is>
      </c>
      <c r="G8" t="inlineStr"/>
      <c r="H8">
        <f>HYPERLINK("https://booking.roadsurfer.com/es/rally/pick?pickup_date=2026-06-01&amp;return_date=2026-06-08&amp;currency=EUR&amp;startStation=16&amp;endStation=88",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Camper Cabin</t>
        </is>
      </c>
      <c r="H9">
        <f>HYPERLINK("https://booking.roadsurfer.com/es/rally/pick?pickup_date=2026-06-11&amp;return_date=2026-06-18&amp;currency=EUR&amp;startStation=47&amp;endStation=91",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2026-06-01</t>
        </is>
      </c>
      <c r="F10" t="inlineStr">
        <is>
          <t>2026-06-08</t>
        </is>
      </c>
      <c r="G10" t="inlineStr">
        <is>
          <t xml:space="preserve"> - Family Finca</t>
        </is>
      </c>
      <c r="H10">
        <f>HYPERLINK("https://booking.roadsurfer.com/es/rally/pick?pickup_date=2026-06-01&amp;return_date=2026-06-08&amp;currency=EUR&amp;startStation=47&amp;endStation=91",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Aix-Marsella</t>
        </is>
      </c>
      <c r="E11" t="inlineStr">
        <is>
          <t>2026-07-20</t>
        </is>
      </c>
      <c r="F11" t="inlineStr">
        <is>
          <t>2026-07-27</t>
        </is>
      </c>
      <c r="G11" t="inlineStr">
        <is>
          <t xml:space="preserve"> - Camper Castle</t>
        </is>
      </c>
      <c r="H11">
        <f>HYPERLINK("https://booking.roadsurfer.com/es/rally/pick?pickup_date=2026-07-20&amp;return_date=2026-07-27&amp;currency=EUR&amp;startStation=47&amp;endStation=16",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2026-05-20</t>
        </is>
      </c>
      <c r="F14" t="inlineStr">
        <is>
          <t>2026-05-27</t>
        </is>
      </c>
      <c r="G14" t="inlineStr">
        <is>
          <t xml:space="preserve"> - Cozy Cottage</t>
        </is>
      </c>
      <c r="H14">
        <f>HYPERLINK("https://booking.roadsurfer.com/es/rally/pick?pickup_date=2026-05-20&amp;return_date=2026-05-27&amp;currency=EUR&amp;startStation=108&amp;endStation=8",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2026-05-29</t>
        </is>
      </c>
      <c r="F15" t="inlineStr">
        <is>
          <t>2026-06-05</t>
        </is>
      </c>
      <c r="G15" t="inlineStr">
        <is>
          <t xml:space="preserve"> - Camper Cabin</t>
        </is>
      </c>
      <c r="H15">
        <f>HYPERLINK("https://booking.roadsurfer.com/es/rally/pick?pickup_date=2026-05-29&amp;return_date=2026-06-05&amp;currency=EUR&amp;startStation=108&amp;endStation=130",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2026-07-10</t>
        </is>
      </c>
      <c r="F16" t="inlineStr">
        <is>
          <t>2026-07-17</t>
        </is>
      </c>
      <c r="G16" t="inlineStr">
        <is>
          <t xml:space="preserve"> - Road House</t>
        </is>
      </c>
      <c r="H16">
        <f>HYPERLINK("https://booking.roadsurfer.com/es/rally/pick?pickup_date=2026-07-10&amp;return_date=2026-07-17&amp;currency=EUR&amp;startStation=108&amp;endStation=13",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Milán</t>
        </is>
      </c>
      <c r="E17" t="inlineStr">
        <is>
          <t>2026-06-27</t>
        </is>
      </c>
      <c r="F17" t="inlineStr">
        <is>
          <t>2026-07-04</t>
        </is>
      </c>
      <c r="G17" t="inlineStr">
        <is>
          <t xml:space="preserve"> - No hay coche</t>
        </is>
      </c>
      <c r="H17">
        <f>HYPERLINK("https://booking.roadsurfer.com/es/rally/pick?pickup_date=2026-06-27&amp;return_date=2026-07-04&amp;currency=EUR&amp;startStation=108&amp;endStation=34",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2026-07-31</t>
        </is>
      </c>
      <c r="F18" t="inlineStr">
        <is>
          <t>2026-08-01</t>
        </is>
      </c>
      <c r="G18" t="inlineStr">
        <is>
          <t xml:space="preserve"> - No hay coche</t>
        </is>
      </c>
      <c r="H18">
        <f>HYPERLINK("https://booking.roadsurfer.com/es/rally/pick?pickup_date=2026-07-31&amp;return_date=2026-08-01&amp;currency=EUR&amp;startStation=17&amp;endStation=15",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Fráncfort</t>
        </is>
      </c>
      <c r="E19" t="inlineStr">
        <is>
          <t>2026-06-03</t>
        </is>
      </c>
      <c r="F19" t="inlineStr">
        <is>
          <t>2026-06-10</t>
        </is>
      </c>
      <c r="G19" t="inlineStr">
        <is>
          <t xml:space="preserve"> - Camper Cabin</t>
        </is>
      </c>
      <c r="H19">
        <f>HYPERLINK("https://booking.roadsurfer.com/es/rally/pick?pickup_date=2026-06-03&amp;return_date=2026-06-10&amp;currency=EUR&amp;startStation=17&amp;endStation=2",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2026-06-08</t>
        </is>
      </c>
      <c r="F20" t="inlineStr">
        <is>
          <t>2026-06-15</t>
        </is>
      </c>
      <c r="G20" t="inlineStr"/>
      <c r="H20">
        <f>HYPERLINK("https://booking.roadsurfer.com/es/rally/pick?pickup_date=2026-06-08&amp;return_date=2026-06-15&amp;currency=EUR&amp;startStation=17&amp;endStation=9",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España</t>
        </is>
      </c>
      <c r="D21" t="inlineStr">
        <is>
          <t>Madrid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Cozy Cottage</t>
        </is>
      </c>
      <c r="H21">
        <f>HYPERLINK("https://booking.roadsurfer.com/es/rally/pick?pickup_date=2026-06-01&amp;return_date=2026-06-08&amp;currency=EUR&amp;startStation=94&amp;endStation=20",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Cozy Cottage</t>
        </is>
      </c>
      <c r="H22">
        <f>HYPERLINK("https://booking.roadsurfer.com/es/rally/pick?pickup_date=2026-06-01&amp;return_date=2026-06-08&amp;currency=EUR&amp;startStation=94&amp;endStation=4",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París Aeropuerto CDG</t>
        </is>
      </c>
      <c r="E23" t="inlineStr">
        <is>
          <t>2026-06-12</t>
        </is>
      </c>
      <c r="F23" t="inlineStr">
        <is>
          <t>2026-06-19</t>
        </is>
      </c>
      <c r="G23" t="inlineStr">
        <is>
          <t xml:space="preserve"> - Surfer Suite</t>
        </is>
      </c>
      <c r="H23">
        <f>HYPERLINK("https://booking.roadsurfer.com/es/rally/pick?pickup_date=2026-06-12&amp;return_date=2026-06-19&amp;currency=EUR&amp;startStation=6&amp;endStation=48",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Surfer Suite</t>
        </is>
      </c>
      <c r="H24">
        <f>HYPERLINK("https://booking.roadsurfer.com/es/rally/pick?pickup_date=2026-06-01&amp;return_date=2026-06-08&amp;currency=EUR&amp;startStation=6&amp;endStation=42",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2026-06-08</t>
        </is>
      </c>
      <c r="F25" t="inlineStr">
        <is>
          <t>2026-06-15</t>
        </is>
      </c>
      <c r="G25" t="inlineStr"/>
      <c r="H25">
        <f>HYPERLINK("https://booking.roadsurfer.com/es/rally/pick?pickup_date=2026-06-08&amp;return_date=2026-06-15&amp;currency=EUR&amp;startStation=6&amp;endStation=42",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No hay coche</t>
        </is>
      </c>
      <c r="H26">
        <f>HYPERLINK("https://booking.roadsurfer.com/es/rally/pick?pickup_date=2026-06-08&amp;return_date=2026-06-15&amp;currency=EUR&amp;startStation=6&amp;endStation=30",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Cozy Cottage</t>
        </is>
      </c>
      <c r="H27">
        <f>HYPERLINK("https://booking.roadsurfer.com/es/rally/pick?pickup_date=2026-06-19&amp;return_date=2026-06-26&amp;currency=EUR&amp;startStation=6&amp;endStation=59",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2026-06-09</t>
        </is>
      </c>
      <c r="F28" t="inlineStr">
        <is>
          <t>2026-06-16</t>
        </is>
      </c>
      <c r="G28" t="inlineStr"/>
      <c r="H28">
        <f>HYPERLINK("https://booking.roadsurfer.com/es/rally/pick?pickup_date=2026-06-09&amp;return_date=2026-06-16&amp;currency=EUR&amp;startStation=6&amp;endStation=59",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No hay coche</t>
        </is>
      </c>
      <c r="H29">
        <f>HYPERLINK("https://booking.roadsurfer.com/es/rally/pick?pickup_date=2026-06-08&amp;return_date=2026-06-15&amp;currency=EUR&amp;startStation=6&amp;endStation=77",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2026-06-06</t>
        </is>
      </c>
      <c r="F30" t="inlineStr">
        <is>
          <t>2026-06-13</t>
        </is>
      </c>
      <c r="G30" t="inlineStr">
        <is>
          <t xml:space="preserve"> - Surfer Suite</t>
        </is>
      </c>
      <c r="H30">
        <f>HYPERLINK("https://booking.roadsurfer.com/es/rally/pick?pickup_date=2026-06-06&amp;return_date=2026-06-13&amp;currency=EUR&amp;startStation=51&amp;endStation=56",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2026-05-28</t>
        </is>
      </c>
      <c r="F31" t="inlineStr">
        <is>
          <t>2026-06-04</t>
        </is>
      </c>
      <c r="G31" t="inlineStr">
        <is>
          <t xml:space="preserve"> - Travel Home</t>
        </is>
      </c>
      <c r="H31">
        <f>HYPERLINK("https://booking.roadsurfer.com/es/rally/pick?pickup_date=2026-05-28&amp;return_date=2026-06-04&amp;currency=EUR&amp;startStation=51&amp;endStation=47",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Travel Home</t>
        </is>
      </c>
      <c r="H32">
        <f>HYPERLINK("https://booking.roadsurfer.com/es/rally/pick?pickup_date=2026-06-01&amp;return_date=2026-06-08&amp;currency=EUR&amp;startStation=51&amp;endStation=47",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2026-05-27</t>
        </is>
      </c>
      <c r="F33" t="inlineStr">
        <is>
          <t>2026-06-03</t>
        </is>
      </c>
      <c r="G33" t="inlineStr">
        <is>
          <t xml:space="preserve"> - Road House</t>
        </is>
      </c>
      <c r="H33">
        <f>HYPERLINK("https://booking.roadsurfer.com/es/rally/pick?pickup_date=2026-05-27&amp;return_date=2026-06-03&amp;currency=EUR&amp;startStation=51&amp;endStation=77",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Bochum</t>
        </is>
      </c>
      <c r="E34" t="inlineStr">
        <is>
          <t>2026-05-26</t>
        </is>
      </c>
      <c r="F34" t="inlineStr">
        <is>
          <t>2026-06-01</t>
        </is>
      </c>
      <c r="G34" t="inlineStr">
        <is>
          <t xml:space="preserve"> - No hay coche</t>
        </is>
      </c>
      <c r="H34">
        <f>HYPERLINK("https://booking.roadsurfer.com/es/rally/pick?pickup_date=2026-05-26&amp;return_date=2026-06-01&amp;currency=EUR&amp;startStation=51&amp;endStation=24",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2026-06-01</t>
        </is>
      </c>
      <c r="F35" t="inlineStr">
        <is>
          <t>2026-06-08</t>
        </is>
      </c>
      <c r="G35" t="inlineStr">
        <is>
          <t xml:space="preserve"> - Cozy Cottage</t>
        </is>
      </c>
      <c r="H35">
        <f>HYPERLINK("https://booking.roadsurfer.com/es/rally/pick?pickup_date=2026-06-01&amp;return_date=2026-06-08&amp;currency=EUR&amp;startStation=51&amp;endStation=52",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Surfer Suite</t>
        </is>
      </c>
      <c r="H36">
        <f>HYPERLINK("https://booking.roadsurfer.com/es/rally/pick?pickup_date=2026-06-15&amp;return_date=2026-06-22&amp;currency=EUR&amp;startStation=91&amp;endStation=40",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2026-06-06</t>
        </is>
      </c>
      <c r="F37" t="inlineStr">
        <is>
          <t>2026-06-13</t>
        </is>
      </c>
      <c r="G37" t="inlineStr">
        <is>
          <t xml:space="preserve"> - Camper Cabin</t>
        </is>
      </c>
      <c r="H37">
        <f>HYPERLINK("https://booking.roadsurfer.com/es/rally/pick?pickup_date=2026-06-06&amp;return_date=2026-06-13&amp;currency=EUR&amp;startStation=91&amp;endStation=40",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2026-05-30</t>
        </is>
      </c>
      <c r="F38" t="inlineStr">
        <is>
          <t>2026-06-06</t>
        </is>
      </c>
      <c r="G38" t="inlineStr">
        <is>
          <t xml:space="preserve"> - Road House</t>
        </is>
      </c>
      <c r="H38">
        <f>HYPERLINK("https://booking.roadsurfer.com/es/rally/pick?pickup_date=2026-05-30&amp;return_date=2026-06-06&amp;currency=EUR&amp;startStation=91&amp;endStation=40",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2026-05-27</t>
        </is>
      </c>
      <c r="F39" t="inlineStr">
        <is>
          <t>2026-06-03</t>
        </is>
      </c>
      <c r="G39" t="inlineStr">
        <is>
          <t xml:space="preserve"> - Beach Hostel</t>
        </is>
      </c>
      <c r="H39">
        <f>HYPERLINK("https://booking.roadsurfer.com/es/rally/pick?pickup_date=2026-05-27&amp;return_date=2026-06-03&amp;currency=EUR&amp;startStation=91&amp;endStation=31",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2026-06-12</t>
        </is>
      </c>
      <c r="F40" t="inlineStr">
        <is>
          <t>2026-06-19</t>
        </is>
      </c>
      <c r="G40" t="inlineStr"/>
      <c r="H40">
        <f>HYPERLINK("https://booking.roadsurfer.com/es/rally/pick?pickup_date=2026-06-12&amp;return_date=2026-06-19&amp;currency=EUR&amp;startStation=91&amp;endStation=12",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2026-06-17</t>
        </is>
      </c>
      <c r="F41" t="inlineStr">
        <is>
          <t>2026-06-24</t>
        </is>
      </c>
      <c r="G41" t="inlineStr">
        <is>
          <t xml:space="preserve"> - Road House</t>
        </is>
      </c>
      <c r="H41">
        <f>HYPERLINK("https://booking.roadsurfer.com/es/rally/pick?pickup_date=2026-06-17&amp;return_date=2026-06-24&amp;currency=EUR&amp;startStation=91&amp;endStation=12",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Sunrise Suite</t>
        </is>
      </c>
      <c r="H42">
        <f>HYPERLINK("https://booking.roadsurfer.com/es/rally/pick?pickup_date=2026-06-16&amp;return_date=2026-06-23&amp;currency=EUR&amp;startStation=91&amp;endStation=12",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2026-06-09</t>
        </is>
      </c>
      <c r="F43" t="inlineStr">
        <is>
          <t>2026-06-16</t>
        </is>
      </c>
      <c r="G43" t="inlineStr">
        <is>
          <t xml:space="preserve"> - Camper Cabin</t>
        </is>
      </c>
      <c r="H43">
        <f>HYPERLINK("https://booking.roadsurfer.com/es/rally/pick?pickup_date=2026-06-09&amp;return_date=2026-06-16&amp;currency=EUR&amp;startStation=91&amp;endStation=12",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HYPERLINK("https://booking.roadsurfer.com/es/rally/pick?pickup_date=2026-06-22&amp;return_date=2026-06-29&amp;currency=EUR&amp;startStation=91&amp;endStation=42",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Road House</t>
        </is>
      </c>
      <c r="H45">
        <f>HYPERLINK("https://booking.roadsurfer.com/es/rally/pick?pickup_date=2026-06-23&amp;return_date=2026-06-30&amp;currency=EUR&amp;startStation=91&amp;endStation=42",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No hay coche</t>
        </is>
      </c>
      <c r="H46">
        <f>HYPERLINK("https://booking.roadsurfer.com/es/rally/pick?pickup_date=2026-06-15&amp;return_date=2026-06-22&amp;currency=EUR&amp;startStation=91&amp;endStation=77",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Couple Cottage</t>
        </is>
      </c>
      <c r="H47">
        <f>HYPERLINK("https://booking.roadsurfer.com/es/rally/pick?pickup_date=2026-06-10&amp;return_date=2026-06-17&amp;currency=EUR&amp;startStation=91&amp;endStation=77",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 xml:space="preserve"> - Sunrise Suite</t>
        </is>
      </c>
      <c r="H48">
        <f>HYPERLINK("https://booking.roadsurfer.com/es/rally/pick?pickup_date=2026-06-03&amp;return_date=2026-06-10&amp;currency=EUR&amp;startStation=91&amp;endStation=77",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2026-06-24</t>
        </is>
      </c>
      <c r="F49" t="inlineStr">
        <is>
          <t>2026-07-01</t>
        </is>
      </c>
      <c r="G49" t="inlineStr">
        <is>
          <t xml:space="preserve"> - Sunrise Suite</t>
        </is>
      </c>
      <c r="H49">
        <f>HYPERLINK("https://booking.roadsurfer.com/es/rally/pick?pickup_date=2026-06-24&amp;return_date=2026-07-01&amp;currency=EUR&amp;startStation=91&amp;endStation=77",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2026-06-29</t>
        </is>
      </c>
      <c r="F50" t="inlineStr">
        <is>
          <t>2026-07-06</t>
        </is>
      </c>
      <c r="G50" t="inlineStr">
        <is>
          <t xml:space="preserve"> - Road House</t>
        </is>
      </c>
      <c r="H50">
        <f>HYPERLINK("https://booking.roadsurfer.com/es/rally/pick?pickup_date=2026-06-29&amp;return_date=2026-07-06&amp;currency=EUR&amp;startStation=91&amp;endStation=59",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2026-06-11</t>
        </is>
      </c>
      <c r="F51" t="inlineStr">
        <is>
          <t>2026-06-18</t>
        </is>
      </c>
      <c r="G51" t="inlineStr">
        <is>
          <t xml:space="preserve"> - No hay coche</t>
        </is>
      </c>
      <c r="H51">
        <f>HYPERLINK("https://booking.roadsurfer.com/es/rally/pick?pickup_date=2026-06-11&amp;return_date=2026-06-18&amp;currency=EUR&amp;startStation=91&amp;endStation=59",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2026-06-26</t>
        </is>
      </c>
      <c r="F52" t="inlineStr">
        <is>
          <t>2026-07-03</t>
        </is>
      </c>
      <c r="G52" t="inlineStr">
        <is>
          <t xml:space="preserve"> - Couple Cottage</t>
        </is>
      </c>
      <c r="H52">
        <f>HYPERLINK("https://booking.roadsurfer.com/es/rally/pick?pickup_date=2026-06-26&amp;return_date=2026-07-03&amp;currency=EUR&amp;startStation=91&amp;endStation=59",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2026-06-20</t>
        </is>
      </c>
      <c r="F53" t="inlineStr">
        <is>
          <t>2026-06-27</t>
        </is>
      </c>
      <c r="G53" t="inlineStr">
        <is>
          <t xml:space="preserve"> - Camper Castle</t>
        </is>
      </c>
      <c r="H53">
        <f>HYPERLINK("https://booking.roadsurfer.com/es/rally/pick?pickup_date=2026-06-20&amp;return_date=2026-06-27&amp;currency=EUR&amp;startStation=91&amp;endStation=47",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Surfer Suite</t>
        </is>
      </c>
      <c r="H54">
        <f>HYPERLINK("https://booking.roadsurfer.com/es/rally/pick?pickup_date=2026-06-03&amp;return_date=2026-06-10&amp;currency=EUR&amp;startStation=40&amp;endStation=2",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2026-06-01</t>
        </is>
      </c>
      <c r="F55" t="inlineStr">
        <is>
          <t>2026-06-08</t>
        </is>
      </c>
      <c r="G55" t="inlineStr">
        <is>
          <t xml:space="preserve"> - Camper Cabin</t>
        </is>
      </c>
      <c r="H55">
        <f>HYPERLINK("https://booking.roadsurfer.com/es/rally/pick?pickup_date=2026-06-01&amp;return_date=2026-06-08&amp;currency=EUR&amp;startStation=40&amp;endStation=22",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2026-05-27</t>
        </is>
      </c>
      <c r="F56" t="inlineStr">
        <is>
          <t>2026-06-03</t>
        </is>
      </c>
      <c r="G56" t="inlineStr">
        <is>
          <t xml:space="preserve"> - Sunrise Suite</t>
        </is>
      </c>
      <c r="H56">
        <f>HYPERLINK("https://booking.roadsurfer.com/es/rally/pick?pickup_date=2026-05-27&amp;return_date=2026-06-03&amp;currency=EUR&amp;startStation=40&amp;endStation=22",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2026-05-29</t>
        </is>
      </c>
      <c r="F57" t="inlineStr">
        <is>
          <t>2026-06-05</t>
        </is>
      </c>
      <c r="G57" t="inlineStr">
        <is>
          <t xml:space="preserve"> - Beach Hostel - Sunrise Suite</t>
        </is>
      </c>
      <c r="H57">
        <f>HYPERLINK("https://booking.roadsurfer.com/es/rally/pick?pickup_date=2026-05-29&amp;return_date=2026-06-05&amp;currency=EUR&amp;startStation=40&amp;endStation=22",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2026-05-30</t>
        </is>
      </c>
      <c r="F58" t="inlineStr">
        <is>
          <t>2026-06-06</t>
        </is>
      </c>
      <c r="G58" t="inlineStr">
        <is>
          <t xml:space="preserve"> - Camper Cabin</t>
        </is>
      </c>
      <c r="H58">
        <f>HYPERLINK("https://booking.roadsurfer.com/es/rally/pick?pickup_date=2026-05-30&amp;return_date=2026-06-06&amp;currency=EUR&amp;startStation=40&amp;endStation=28",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No hay coche</t>
        </is>
      </c>
      <c r="H59">
        <f>HYPERLINK("https://booking.roadsurfer.com/es/rally/pick?pickup_date=2026-05-28&amp;return_date=2026-06-04&amp;currency=EUR&amp;startStation=40&amp;endStation=28",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Camper Castle</t>
        </is>
      </c>
      <c r="H60">
        <f>HYPERLINK("https://booking.roadsurfer.com/es/rally/pick?pickup_date=2026-06-01&amp;return_date=2026-06-08&amp;currency=EUR&amp;startStation=40&amp;endStation=28",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2026-06-01</t>
        </is>
      </c>
      <c r="F61" t="inlineStr">
        <is>
          <t>2026-06-08</t>
        </is>
      </c>
      <c r="G61" t="inlineStr">
        <is>
          <t xml:space="preserve"> - Road House</t>
        </is>
      </c>
      <c r="H61">
        <f>HYPERLINK("https://booking.roadsurfer.com/es/rally/pick?pickup_date=2026-06-01&amp;return_date=2026-06-08&amp;currency=EUR&amp;startStation=40&amp;endStation=90",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Surfer Suite</t>
        </is>
      </c>
      <c r="H62">
        <f>HYPERLINK("https://booking.roadsurfer.com/es/rally/pick?pickup_date=2026-06-08&amp;return_date=2026-06-15&amp;currency=EUR&amp;startStation=24&amp;endStation=42",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2026-06-23</t>
        </is>
      </c>
      <c r="F63" t="inlineStr">
        <is>
          <t>2026-06-30</t>
        </is>
      </c>
      <c r="G63" t="inlineStr">
        <is>
          <t xml:space="preserve"> - Beach Hostel</t>
        </is>
      </c>
      <c r="H63">
        <f>HYPERLINK("https://booking.roadsurfer.com/es/rally/pick?pickup_date=2026-06-23&amp;return_date=2026-06-30&amp;currency=EUR&amp;startStation=24&amp;endStation=12",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Ginebra-Pays de Gex (Francia)</t>
        </is>
      </c>
      <c r="E64" t="inlineStr">
        <is>
          <t>2026-06-12</t>
        </is>
      </c>
      <c r="F64" t="inlineStr">
        <is>
          <t>2026-06-19</t>
        </is>
      </c>
      <c r="G64" t="inlineStr">
        <is>
          <t xml:space="preserve"> - Travel Home</t>
        </is>
      </c>
      <c r="H64">
        <f>HYPERLINK("https://booking.roadsurfer.com/es/rally/pick?pickup_date=2026-06-12&amp;return_date=2026-06-19&amp;currency=EUR&amp;startStation=24&amp;endStation=29",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Francia</t>
        </is>
      </c>
      <c r="D65" t="inlineStr">
        <is>
          <t>Ginebra-Pays de Gex (Francia)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Couple Cottage</t>
        </is>
      </c>
      <c r="H65">
        <f>HYPERLINK("https://booking.roadsurfer.com/es/rally/pick?pickup_date=2026-06-15&amp;return_date=2026-06-22&amp;currency=EUR&amp;startStation=24&amp;endStation=29",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2026-06-08</t>
        </is>
      </c>
      <c r="F66" t="inlineStr">
        <is>
          <t>2026-06-15</t>
        </is>
      </c>
      <c r="G66" t="inlineStr">
        <is>
          <t xml:space="preserve"> - Road House</t>
        </is>
      </c>
      <c r="H66">
        <f>HYPERLINK("https://booking.roadsurfer.com/es/rally/pick?pickup_date=2026-06-08&amp;return_date=2026-06-15&amp;currency=EUR&amp;startStation=24&amp;endStation=48",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2026-06-04</t>
        </is>
      </c>
      <c r="F67" t="inlineStr">
        <is>
          <t>2026-06-11</t>
        </is>
      </c>
      <c r="G67" t="inlineStr">
        <is>
          <t xml:space="preserve"> - No hay coche</t>
        </is>
      </c>
      <c r="H67">
        <f>HYPERLINK("https://booking.roadsurfer.com/es/rally/pick?pickup_date=2026-06-04&amp;return_date=2026-06-11&amp;currency=EUR&amp;startStation=24&amp;endStation=48",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2026-05-29</t>
        </is>
      </c>
      <c r="F68" t="inlineStr">
        <is>
          <t>2026-06-05</t>
        </is>
      </c>
      <c r="G68" t="inlineStr">
        <is>
          <t xml:space="preserve"> - Surfer Suite</t>
        </is>
      </c>
      <c r="H68">
        <f>HYPERLINK("https://booking.roadsurfer.com/es/rally/pick?pickup_date=2026-05-29&amp;return_date=2026-06-05&amp;currency=EUR&amp;startStation=13&amp;endStation=22",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Camper Cabin - Couple Cottage</t>
        </is>
      </c>
      <c r="H69">
        <f>HYPERLINK("https://booking.roadsurfer.com/es/rally/pick?pickup_date=2026-06-01&amp;return_date=2026-06-08&amp;currency=EUR&amp;startStation=13&amp;endStation=22",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2026-05-29</t>
        </is>
      </c>
      <c r="F70" t="inlineStr">
        <is>
          <t>2026-06-05</t>
        </is>
      </c>
      <c r="G70" t="inlineStr">
        <is>
          <t xml:space="preserve"> - Surfer Suite</t>
        </is>
      </c>
      <c r="H70">
        <f>HYPERLINK("https://booking.roadsurfer.com/es/rally/pick?pickup_date=2026-05-29&amp;return_date=2026-06-05&amp;currency=EUR&amp;startStation=13&amp;endStation=56",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2026-05-30</t>
        </is>
      </c>
      <c r="F71" t="inlineStr">
        <is>
          <t>2026-06-06</t>
        </is>
      </c>
      <c r="G71" t="inlineStr">
        <is>
          <t xml:space="preserve"> - Surfer Suite - Road House</t>
        </is>
      </c>
      <c r="H71">
        <f>HYPERLINK("https://booking.roadsurfer.com/es/rally/pick?pickup_date=2026-05-30&amp;return_date=2026-06-06&amp;currency=EUR&amp;startStation=13&amp;endStation=56",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Camper Castle - Sunrise Suite</t>
        </is>
      </c>
      <c r="H72">
        <f>HYPERLINK("https://booking.roadsurfer.com/es/rally/pick?pickup_date=2026-05-28&amp;return_date=2026-06-04&amp;currency=EUR&amp;startStation=13&amp;endStation=56",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2026-05-27</t>
        </is>
      </c>
      <c r="F73" t="inlineStr">
        <is>
          <t>2026-06-03</t>
        </is>
      </c>
      <c r="G73" t="inlineStr">
        <is>
          <t xml:space="preserve"> - Surfer Suite</t>
        </is>
      </c>
      <c r="H73">
        <f>HYPERLINK("https://booking.roadsurfer.com/es/rally/pick?pickup_date=2026-05-27&amp;return_date=2026-06-03&amp;currency=EUR&amp;startStation=13&amp;endStation=56",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2026-05-30</t>
        </is>
      </c>
      <c r="F74" t="inlineStr">
        <is>
          <t>2026-06-06</t>
        </is>
      </c>
      <c r="G74" t="inlineStr">
        <is>
          <t xml:space="preserve"> - Surfer Suite - Sunrise Suite</t>
        </is>
      </c>
      <c r="H74">
        <f>HYPERLINK("https://booking.roadsurfer.com/es/rally/pick?pickup_date=2026-05-30&amp;return_date=2026-06-06&amp;currency=EUR&amp;startStation=13&amp;endStation=90",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2026-05-28</t>
        </is>
      </c>
      <c r="F75" t="inlineStr">
        <is>
          <t>2026-06-04</t>
        </is>
      </c>
      <c r="G75" t="inlineStr">
        <is>
          <t xml:space="preserve"> - Beach Hostel</t>
        </is>
      </c>
      <c r="H75">
        <f>HYPERLINK("https://booking.roadsurfer.com/es/rally/pick?pickup_date=2026-05-28&amp;return_date=2026-06-04&amp;currency=EUR&amp;startStation=13&amp;endStation=90",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2026-05-30</t>
        </is>
      </c>
      <c r="F76" t="inlineStr">
        <is>
          <t>2026-06-06</t>
        </is>
      </c>
      <c r="G76" t="inlineStr">
        <is>
          <t xml:space="preserve"> - Surfer Suite</t>
        </is>
      </c>
      <c r="H76">
        <f>HYPERLINK("https://booking.roadsurfer.com/es/rally/pick?pickup_date=2026-05-30&amp;return_date=2026-06-06&amp;currency=EUR&amp;startStation=13&amp;endStation=130",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2026-05-27</t>
        </is>
      </c>
      <c r="F77" t="inlineStr">
        <is>
          <t>2026-06-05</t>
        </is>
      </c>
      <c r="G77" t="inlineStr">
        <is>
          <t xml:space="preserve"> - Road House</t>
        </is>
      </c>
      <c r="H77">
        <f>HYPERLINK("https://booking.roadsurfer.com/es/rally/pick?pickup_date=2026-05-27&amp;return_date=2026-06-05&amp;currency=EUR&amp;startStation=13&amp;endStation=4",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2026-05-29</t>
        </is>
      </c>
      <c r="F78" t="inlineStr">
        <is>
          <t>2026-06-05</t>
        </is>
      </c>
      <c r="G78" t="inlineStr">
        <is>
          <t xml:space="preserve"> - Sunrise Suite</t>
        </is>
      </c>
      <c r="H78">
        <f>HYPERLINK("https://booking.roadsurfer.com/es/rally/pick?pickup_date=2026-05-29&amp;return_date=2026-06-05&amp;currency=EUR&amp;startStation=13&amp;endStation=10",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2026-06-05</t>
        </is>
      </c>
      <c r="F79" t="inlineStr">
        <is>
          <t>2026-06-12</t>
        </is>
      </c>
      <c r="G79" t="inlineStr">
        <is>
          <t xml:space="preserve"> - No hay coche</t>
        </is>
      </c>
      <c r="H79">
        <f>HYPERLINK("https://booking.roadsurfer.com/es/rally/pick?pickup_date=2026-06-05&amp;return_date=2026-06-12&amp;currency=EUR&amp;startStation=55&amp;endStation=42",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2026-06-10</t>
        </is>
      </c>
      <c r="F80" t="inlineStr">
        <is>
          <t>2026-06-17</t>
        </is>
      </c>
      <c r="G80" t="inlineStr">
        <is>
          <t xml:space="preserve"> - Camper Cabin</t>
        </is>
      </c>
      <c r="H80">
        <f>HYPERLINK("https://booking.roadsurfer.com/es/rally/pick?pickup_date=2026-06-10&amp;return_date=2026-06-17&amp;currency=EUR&amp;startStation=55&amp;endStation=42",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Sunrise Suite</t>
        </is>
      </c>
      <c r="H81">
        <f>HYPERLINK("https://booking.roadsurfer.com/es/rally/pick?pickup_date=2026-06-23&amp;return_date=2026-06-30&amp;currency=EUR&amp;startStation=55&amp;endStation=42",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2026-05-29</t>
        </is>
      </c>
      <c r="F82" t="inlineStr">
        <is>
          <t>2026-06-05</t>
        </is>
      </c>
      <c r="G82" t="inlineStr">
        <is>
          <t xml:space="preserve"> - Road House</t>
        </is>
      </c>
      <c r="H82">
        <f>HYPERLINK("https://booking.roadsurfer.com/es/rally/pick?pickup_date=2026-05-29&amp;return_date=2026-06-05&amp;currency=EUR&amp;startStation=55&amp;endStation=29",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Camper Castle</t>
        </is>
      </c>
      <c r="H83">
        <f>HYPERLINK("https://booking.roadsurfer.com/es/rally/pick?pickup_date=2026-10-05&amp;return_date=2026-10-12&amp;currency=EUR&amp;startStation=55&amp;endStation=77",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2026-06-30</t>
        </is>
      </c>
      <c r="F84" t="inlineStr">
        <is>
          <t>2026-07-07</t>
        </is>
      </c>
      <c r="G84" t="inlineStr">
        <is>
          <t xml:space="preserve"> - Sunrise Suite</t>
        </is>
      </c>
      <c r="H84">
        <f>HYPERLINK("https://booking.roadsurfer.com/es/rally/pick?pickup_date=2026-06-30&amp;return_date=2026-07-07&amp;currency=EUR&amp;startStation=55&amp;endStation=77",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2026-06-05</t>
        </is>
      </c>
      <c r="F85" t="inlineStr">
        <is>
          <t>2026-06-12</t>
        </is>
      </c>
      <c r="G85" t="inlineStr">
        <is>
          <t xml:space="preserve"> - Sunrise Suite</t>
        </is>
      </c>
      <c r="H85">
        <f>HYPERLINK("https://booking.roadsurfer.com/es/rally/pick?pickup_date=2026-06-05&amp;return_date=2026-06-12&amp;currency=EUR&amp;startStation=55&amp;endStation=77",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Camper Castle</t>
        </is>
      </c>
      <c r="H86">
        <f>HYPERLINK("https://booking.roadsurfer.com/es/rally/pick?pickup_date=2026-06-15&amp;return_date=2026-06-22&amp;currency=EUR&amp;startStation=55&amp;endStation=60",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2026-06-16</t>
        </is>
      </c>
      <c r="F87" t="inlineStr">
        <is>
          <t>2026-06-23</t>
        </is>
      </c>
      <c r="G87" t="inlineStr">
        <is>
          <t xml:space="preserve"> - Couple Cottage</t>
        </is>
      </c>
      <c r="H87">
        <f>HYPERLINK("https://booking.roadsurfer.com/es/rally/pick?pickup_date=2026-06-16&amp;return_date=2026-06-23&amp;currency=EUR&amp;startStation=55&amp;endStation=60",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Couple Cottage</t>
        </is>
      </c>
      <c r="H88">
        <f>HYPERLINK("https://booking.roadsurfer.com/es/rally/pick?pickup_date=2026-06-08&amp;return_date=2026-06-15&amp;currency=EUR&amp;startStation=55&amp;endStation=60",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2026-05-25</t>
        </is>
      </c>
      <c r="F89" t="inlineStr">
        <is>
          <t>2026-06-01</t>
        </is>
      </c>
      <c r="G89" t="inlineStr">
        <is>
          <t xml:space="preserve"> - No hay coche</t>
        </is>
      </c>
      <c r="H89">
        <f>HYPERLINK("https://booking.roadsurfer.com/es/rally/pick?pickup_date=2026-05-25&amp;return_date=2026-06-01&amp;currency=EUR&amp;startStation=55&amp;endStation=34",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2026-06-24</t>
        </is>
      </c>
      <c r="F90" t="inlineStr">
        <is>
          <t>2026-07-01</t>
        </is>
      </c>
      <c r="G90" t="inlineStr">
        <is>
          <t xml:space="preserve"> - Sunrise Suite</t>
        </is>
      </c>
      <c r="H90">
        <f>HYPERLINK("https://booking.roadsurfer.com/es/rally/pick?pickup_date=2026-06-24&amp;return_date=2026-07-01&amp;currency=EUR&amp;startStation=55&amp;endStation=36",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Bochum</t>
        </is>
      </c>
      <c r="E91" t="inlineStr">
        <is>
          <t>2026-05-28</t>
        </is>
      </c>
      <c r="F91" t="inlineStr">
        <is>
          <t>2026-06-04</t>
        </is>
      </c>
      <c r="G91" t="inlineStr">
        <is>
          <t xml:space="preserve"> - No hay coche</t>
        </is>
      </c>
      <c r="H91">
        <f>HYPERLINK("https://booking.roadsurfer.com/es/rally/pick?pickup_date=2026-05-28&amp;return_date=2026-06-04&amp;currency=EUR&amp;startStation=42&amp;endStation=24", "Clic para verlo en la web de RoadSurfer")</f>
        <v/>
      </c>
    </row>
    <row r="92">
      <c r="A92" t="inlineStr">
        <is>
          <t>Bélgica</t>
        </is>
      </c>
      <c r="B92" t="inlineStr">
        <is>
          <t>Bruselas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2026-07-20</t>
        </is>
      </c>
      <c r="F92" t="inlineStr">
        <is>
          <t>2026-07-27</t>
        </is>
      </c>
      <c r="G92" t="inlineStr">
        <is>
          <t xml:space="preserve"> - Couple Cottage</t>
        </is>
      </c>
      <c r="H92">
        <f>HYPERLINK("https://booking.roadsurfer.com/es/rally/pick?pickup_date=2026-07-20&amp;return_date=2026-07-27&amp;currency=EUR&amp;startStation=42&amp;endStation=91",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Beach Hostel</t>
        </is>
      </c>
      <c r="H93">
        <f>HYPERLINK("https://booking.roadsurfer.com/es/rally/pick?pickup_date=2026-06-08&amp;return_date=2026-06-15&amp;currency=EUR&amp;startStation=4&amp;endStation=8",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</t>
        </is>
      </c>
      <c r="H94">
        <f>HYPERLINK("https://booking.roadsurfer.com/es/rally/pick?pickup_date=2026-06-08&amp;return_date=2026-06-15&amp;currency=EUR&amp;startStation=4&amp;endStation=13",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Sunrise Suite</t>
        </is>
      </c>
      <c r="H95">
        <f>HYPERLINK("https://booking.roadsurfer.com/es/rally/pick?pickup_date=2026-06-23&amp;return_date=2026-06-30&amp;currency=EUR&amp;startStation=4&amp;endStation=13",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2026-06-06</t>
        </is>
      </c>
      <c r="F96" t="inlineStr">
        <is>
          <t>2026-06-13</t>
        </is>
      </c>
      <c r="G96" t="inlineStr">
        <is>
          <t xml:space="preserve"> - Camper Cabin</t>
        </is>
      </c>
      <c r="H96">
        <f>HYPERLINK("https://booking.roadsurfer.com/es/rally/pick?pickup_date=2026-06-06&amp;return_date=2026-06-13&amp;currency=EUR&amp;startStation=4&amp;endStation=40",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Road House</t>
        </is>
      </c>
      <c r="H97">
        <f>HYPERLINK("https://booking.roadsurfer.com/es/rally/pick?pickup_date=2026-06-10&amp;return_date=2026-06-17&amp;currency=EUR&amp;startStation=4&amp;endStation=15",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Camper Cabin</t>
        </is>
      </c>
      <c r="H98">
        <f>HYPERLINK("https://booking.roadsurfer.com/es/rally/pick?pickup_date=2026-06-08&amp;return_date=2026-06-15&amp;currency=EUR&amp;startStation=4&amp;endStation=15",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2026-07-01</t>
        </is>
      </c>
      <c r="F99" t="inlineStr">
        <is>
          <t>2026-07-08</t>
        </is>
      </c>
      <c r="G99" t="inlineStr">
        <is>
          <t xml:space="preserve"> - Road House</t>
        </is>
      </c>
      <c r="H99">
        <f>HYPERLINK("https://booking.roadsurfer.com/es/rally/pick?pickup_date=2026-07-01&amp;return_date=2026-07-08&amp;currency=EUR&amp;startStation=4&amp;endStation=87",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Road House</t>
        </is>
      </c>
      <c r="H100">
        <f>HYPERLINK("https://booking.roadsurfer.com/es/rally/pick?pickup_date=2026-06-05&amp;return_date=2026-06-12&amp;currency=EUR&amp;startStation=4&amp;endStation=48",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2026-06-06</t>
        </is>
      </c>
      <c r="F101" t="inlineStr">
        <is>
          <t>2026-06-13</t>
        </is>
      </c>
      <c r="G101" t="inlineStr">
        <is>
          <t xml:space="preserve"> - Road House</t>
        </is>
      </c>
      <c r="H101">
        <f>HYPERLINK("https://booking.roadsurfer.com/es/rally/pick?pickup_date=2026-06-06&amp;return_date=2026-06-13&amp;currency=EUR&amp;startStation=4&amp;endStation=48",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2026-06-06</t>
        </is>
      </c>
      <c r="F102" t="inlineStr">
        <is>
          <t>2026-06-13</t>
        </is>
      </c>
      <c r="G102" t="inlineStr">
        <is>
          <t xml:space="preserve"> - Camper Castle</t>
        </is>
      </c>
      <c r="H102">
        <f>HYPERLINK("https://booking.roadsurfer.com/es/rally/pick?pickup_date=2026-06-06&amp;return_date=2026-06-13&amp;currency=EUR&amp;startStation=4&amp;endStation=31",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2026-07-15</t>
        </is>
      </c>
      <c r="F103" t="inlineStr">
        <is>
          <t>2026-07-22</t>
        </is>
      </c>
      <c r="G103" t="inlineStr">
        <is>
          <t xml:space="preserve"> - Family Finca</t>
        </is>
      </c>
      <c r="H103">
        <f>HYPERLINK("https://booking.roadsurfer.com/es/rally/pick?pickup_date=2026-07-15&amp;return_date=2026-07-22&amp;currency=EUR&amp;startStation=4&amp;endStation=31",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2026-05-30</t>
        </is>
      </c>
      <c r="F104" t="inlineStr">
        <is>
          <t>2026-06-06</t>
        </is>
      </c>
      <c r="G104" t="inlineStr">
        <is>
          <t xml:space="preserve"> - Surfer Suite</t>
        </is>
      </c>
      <c r="H104">
        <f>HYPERLINK("https://booking.roadsurfer.com/es/rally/pick?pickup_date=2026-05-30&amp;return_date=2026-06-06&amp;currency=EUR&amp;startStation=10&amp;endStation=56",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Alemania</t>
        </is>
      </c>
      <c r="D105" t="inlineStr">
        <is>
          <t>Bochum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No hay coche</t>
        </is>
      </c>
      <c r="H105">
        <f>HYPERLINK("https://booking.roadsurfer.com/es/rally/pick?pickup_date=2026-06-22&amp;return_date=2026-06-29&amp;currency=EUR&amp;startStation=10&amp;endStation=24",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No hay coche</t>
        </is>
      </c>
      <c r="H106">
        <f>HYPERLINK("https://booking.roadsurfer.com/es/rally/pick?pickup_date=2026-06-01&amp;return_date=2026-06-08&amp;currency=EUR&amp;startStation=10&amp;endStation=31",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Camper Cabin</t>
        </is>
      </c>
      <c r="H107">
        <f>HYPERLINK("https://booking.roadsurfer.com/es/rally/pick?pickup_date=2026-06-05&amp;return_date=2026-06-12&amp;currency=EUR&amp;startStation=10&amp;endStation=31",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Camper Cabin</t>
        </is>
      </c>
      <c r="H108">
        <f>HYPERLINK("https://booking.roadsurfer.com/es/rally/pick?pickup_date=2026-06-08&amp;return_date=2026-06-15&amp;currency=EUR&amp;startStation=10&amp;endStation=31",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2026-07-07</t>
        </is>
      </c>
      <c r="F109" t="inlineStr">
        <is>
          <t>2026-07-14</t>
        </is>
      </c>
      <c r="G109" t="inlineStr">
        <is>
          <t xml:space="preserve"> - No hay coche</t>
        </is>
      </c>
      <c r="H109">
        <f>HYPERLINK("https://booking.roadsurfer.com/es/rally/pick?pickup_date=2026-07-07&amp;return_date=2026-07-14&amp;currency=EUR&amp;startStation=10&amp;endStation=31",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Toulouse</t>
        </is>
      </c>
      <c r="E110" t="inlineStr">
        <is>
          <t>2026-06-10</t>
        </is>
      </c>
      <c r="F110" t="inlineStr">
        <is>
          <t>2026-06-17</t>
        </is>
      </c>
      <c r="G110" t="inlineStr">
        <is>
          <t xml:space="preserve"> - Road House</t>
        </is>
      </c>
      <c r="H110">
        <f>HYPERLINK("https://booking.roadsurfer.com/es/rally/pick?pickup_date=2026-06-10&amp;return_date=2026-06-17&amp;currency=EUR&amp;startStation=10&amp;endStation=30",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Lyon</t>
        </is>
      </c>
      <c r="E111" t="inlineStr">
        <is>
          <t>2026-06-13</t>
        </is>
      </c>
      <c r="F111" t="inlineStr">
        <is>
          <t>2026-06-20</t>
        </is>
      </c>
      <c r="G111" t="inlineStr">
        <is>
          <t xml:space="preserve"> - Family Finca</t>
        </is>
      </c>
      <c r="H111">
        <f>HYPERLINK("https://booking.roadsurfer.com/es/rally/pick?pickup_date=2026-06-13&amp;return_date=2026-06-20&amp;currency=EUR&amp;startStation=10&amp;endStation=15",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2026-06-12</t>
        </is>
      </c>
      <c r="F112" t="inlineStr">
        <is>
          <t>2026-06-19</t>
        </is>
      </c>
      <c r="G112" t="inlineStr">
        <is>
          <t xml:space="preserve"> - Family Finca</t>
        </is>
      </c>
      <c r="H112">
        <f>HYPERLINK("https://booking.roadsurfer.com/es/rally/pick?pickup_date=2026-06-12&amp;return_date=2026-06-19&amp;currency=EUR&amp;startStation=10&amp;endStation=40",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2026-06-27</t>
        </is>
      </c>
      <c r="F113" t="inlineStr">
        <is>
          <t>2026-07-04</t>
        </is>
      </c>
      <c r="G113" t="inlineStr">
        <is>
          <t xml:space="preserve"> - Couple Cottage</t>
        </is>
      </c>
      <c r="H113">
        <f>HYPERLINK("https://booking.roadsurfer.com/es/rally/pick?pickup_date=2026-06-27&amp;return_date=2026-07-04&amp;currency=EUR&amp;startStation=10&amp;endStation=29",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Aix-Marsella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Couple Cottage</t>
        </is>
      </c>
      <c r="H114">
        <f>HYPERLINK("https://booking.roadsurfer.com/es/rally/pick?pickup_date=2026-06-08&amp;return_date=2026-06-15&amp;currency=EUR&amp;startStation=10&amp;endStation=16",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Alemania</t>
        </is>
      </c>
      <c r="D115" t="inlineStr">
        <is>
          <t>Berlín-Schönefeld</t>
        </is>
      </c>
      <c r="E115" t="inlineStr">
        <is>
          <t>2026-06-18</t>
        </is>
      </c>
      <c r="F115" t="inlineStr">
        <is>
          <t>2026-06-25</t>
        </is>
      </c>
      <c r="G115" t="inlineStr">
        <is>
          <t xml:space="preserve"> - Cozy Cottage</t>
        </is>
      </c>
      <c r="H115">
        <f>HYPERLINK("https://booking.roadsurfer.com/es/rally/pick?pickup_date=2026-06-18&amp;return_date=2026-06-25&amp;currency=EUR&amp;startStation=10&amp;endStation=51",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Sunrise Suite</t>
        </is>
      </c>
      <c r="H116">
        <f>HYPERLINK("https://booking.roadsurfer.com/es/rally/pick?pickup_date=2026-06-26&amp;return_date=2026-07-03&amp;currency=EUR&amp;startStation=10&amp;endStation=13",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2026-05-30</t>
        </is>
      </c>
      <c r="F117" t="inlineStr">
        <is>
          <t>2026-06-06</t>
        </is>
      </c>
      <c r="G117" t="inlineStr">
        <is>
          <t xml:space="preserve"> - Surfer Suite</t>
        </is>
      </c>
      <c r="H117">
        <f>HYPERLINK("https://booking.roadsurfer.com/es/rally/pick?pickup_date=2026-05-30&amp;return_date=2026-06-06&amp;currency=EUR&amp;startStation=56&amp;endStation=33",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2026-06-27</t>
        </is>
      </c>
      <c r="F118" t="inlineStr">
        <is>
          <t>2026-07-04</t>
        </is>
      </c>
      <c r="G118" t="inlineStr">
        <is>
          <t xml:space="preserve"> - Surfer Suite - Road House</t>
        </is>
      </c>
      <c r="H118">
        <f>HYPERLINK("https://booking.roadsurfer.com/es/rally/pick?pickup_date=2026-06-27&amp;return_date=2026-07-04&amp;currency=EUR&amp;startStation=56&amp;endStation=13",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2026-06-26</t>
        </is>
      </c>
      <c r="F119" t="inlineStr">
        <is>
          <t>2026-07-03</t>
        </is>
      </c>
      <c r="G119" t="inlineStr">
        <is>
          <t xml:space="preserve"> - Surfer Suite</t>
        </is>
      </c>
      <c r="H119">
        <f>HYPERLINK("https://booking.roadsurfer.com/es/rally/pick?pickup_date=2026-06-26&amp;return_date=2026-07-03&amp;currency=EUR&amp;startStation=56&amp;endStation=13",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2026-06-25</t>
        </is>
      </c>
      <c r="F120" t="inlineStr">
        <is>
          <t>2026-07-02</t>
        </is>
      </c>
      <c r="G120" t="inlineStr">
        <is>
          <t xml:space="preserve"> - Camper Castle - Sunrise Suite</t>
        </is>
      </c>
      <c r="H120">
        <f>HYPERLINK("https://booking.roadsurfer.com/es/rally/pick?pickup_date=2026-06-25&amp;return_date=2026-07-02&amp;currency=EUR&amp;startStation=56&amp;endStation=13",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2026-06-24</t>
        </is>
      </c>
      <c r="F121" t="inlineStr">
        <is>
          <t>2026-07-01</t>
        </is>
      </c>
      <c r="G121" t="inlineStr">
        <is>
          <t xml:space="preserve"> - Surfer Suite</t>
        </is>
      </c>
      <c r="H121">
        <f>HYPERLINK("https://booking.roadsurfer.com/es/rally/pick?pickup_date=2026-06-24&amp;return_date=2026-07-01&amp;currency=EUR&amp;startStation=56&amp;endStation=13",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2026-05-27</t>
        </is>
      </c>
      <c r="F122" t="inlineStr">
        <is>
          <t>2026-06-03</t>
        </is>
      </c>
      <c r="G122" t="inlineStr">
        <is>
          <t xml:space="preserve"> - Surfer Suite</t>
        </is>
      </c>
      <c r="H122">
        <f>HYPERLINK("https://booking.roadsurfer.com/es/rally/pick?pickup_date=2026-05-27&amp;return_date=2026-06-03&amp;currency=EUR&amp;startStation=56&amp;endStation=47",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2026-05-30</t>
        </is>
      </c>
      <c r="F123" t="inlineStr">
        <is>
          <t>2026-06-06</t>
        </is>
      </c>
      <c r="G123" t="inlineStr">
        <is>
          <t xml:space="preserve"> - Sunrise Suite</t>
        </is>
      </c>
      <c r="H123">
        <f>HYPERLINK("https://booking.roadsurfer.com/es/rally/pick?pickup_date=2026-05-30&amp;return_date=2026-06-06&amp;currency=EUR&amp;startStation=56&amp;endStation=47",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2026-06-26</t>
        </is>
      </c>
      <c r="F124" t="inlineStr">
        <is>
          <t>2026-07-03</t>
        </is>
      </c>
      <c r="G124" t="inlineStr"/>
      <c r="H124">
        <f>HYPERLINK("https://booking.roadsurfer.com/es/rally/pick?pickup_date=2026-06-26&amp;return_date=2026-07-03&amp;currency=EUR&amp;startStation=56&amp;endStation=15",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2026-06-16</t>
        </is>
      </c>
      <c r="F125" t="inlineStr">
        <is>
          <t>2026-06-23</t>
        </is>
      </c>
      <c r="G125" t="inlineStr">
        <is>
          <t xml:space="preserve"> - Camper Castle</t>
        </is>
      </c>
      <c r="H125">
        <f>HYPERLINK("https://booking.roadsurfer.com/es/rally/pick?pickup_date=2026-06-16&amp;return_date=2026-06-23&amp;currency=EUR&amp;startStation=56&amp;endStation=59",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Camper Castle</t>
        </is>
      </c>
      <c r="H126">
        <f>HYPERLINK("https://booking.roadsurfer.com/es/rally/pick?pickup_date=2026-06-22&amp;return_date=2026-06-29&amp;currency=EUR&amp;startStation=56&amp;endStation=59",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2026-06-13</t>
        </is>
      </c>
      <c r="F127" t="inlineStr">
        <is>
          <t>2026-06-20</t>
        </is>
      </c>
      <c r="G127" t="inlineStr">
        <is>
          <t xml:space="preserve"> - No hay coche</t>
        </is>
      </c>
      <c r="H127">
        <f>HYPERLINK("https://booking.roadsurfer.com/es/rally/pick?pickup_date=2026-06-13&amp;return_date=2026-06-20&amp;currency=EUR&amp;startStation=56&amp;endStation=59",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Road House</t>
        </is>
      </c>
      <c r="H128">
        <f>HYPERLINK("https://booking.roadsurfer.com/es/rally/pick?pickup_date=2026-05-26&amp;return_date=2026-06-02&amp;currency=EUR&amp;startStation=56&amp;endStation=59",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Camper Cabin</t>
        </is>
      </c>
      <c r="H129">
        <f>HYPERLINK("https://booking.roadsurfer.com/es/rally/pick?pickup_date=2026-06-05&amp;return_date=2026-06-12&amp;currency=EUR&amp;startStation=56&amp;endStation=12",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Austria</t>
        </is>
      </c>
      <c r="D130" t="inlineStr">
        <is>
          <t>Viena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Road House</t>
        </is>
      </c>
      <c r="H130">
        <f>HYPERLINK("https://booking.roadsurfer.com/es/rally/pick?pickup_date=2026-06-05&amp;return_date=2026-06-12&amp;currency=EUR&amp;startStation=56&amp;endStation=36",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Austria</t>
        </is>
      </c>
      <c r="D131" t="inlineStr">
        <is>
          <t>Viena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Camper Cabin Deluxe</t>
        </is>
      </c>
      <c r="H131">
        <f>HYPERLINK("https://booking.roadsurfer.com/es/rally/pick?pickup_date=2026-06-08&amp;return_date=2026-06-15&amp;currency=EUR&amp;startStation=56&amp;endStation=36",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Austria</t>
        </is>
      </c>
      <c r="D132" t="inlineStr">
        <is>
          <t>Viena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Camper Castle</t>
        </is>
      </c>
      <c r="H132">
        <f>HYPERLINK("https://booking.roadsurfer.com/es/rally/pick?pickup_date=2026-06-11&amp;return_date=2026-06-18&amp;currency=EUR&amp;startStation=56&amp;endStation=36",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2026-06-13</t>
        </is>
      </c>
      <c r="F133" t="inlineStr">
        <is>
          <t>2026-06-20</t>
        </is>
      </c>
      <c r="G133" t="inlineStr">
        <is>
          <t xml:space="preserve"> - Family Finca</t>
        </is>
      </c>
      <c r="H133">
        <f>HYPERLINK("https://booking.roadsurfer.com/es/rally/pick?pickup_date=2026-06-13&amp;return_date=2026-06-20&amp;currency=EUR&amp;startStation=56&amp;endStation=37",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2026-06-08</t>
        </is>
      </c>
      <c r="F134" t="inlineStr">
        <is>
          <t>2026-06-15</t>
        </is>
      </c>
      <c r="G134" t="inlineStr"/>
      <c r="H134">
        <f>HYPERLINK("https://booking.roadsurfer.com/es/rally/pick?pickup_date=2026-06-08&amp;return_date=2026-06-15&amp;currency=EUR&amp;startStation=56&amp;endStation=37",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2026-06-30</t>
        </is>
      </c>
      <c r="F135" t="inlineStr">
        <is>
          <t>2026-07-07</t>
        </is>
      </c>
      <c r="G135" t="inlineStr">
        <is>
          <t xml:space="preserve"> - Road House</t>
        </is>
      </c>
      <c r="H135">
        <f>HYPERLINK("https://booking.roadsurfer.com/es/rally/pick?pickup_date=2026-06-30&amp;return_date=2026-07-07&amp;currency=EUR&amp;startStation=56&amp;endStation=37",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2026-06-20</t>
        </is>
      </c>
      <c r="F136" t="inlineStr">
        <is>
          <t>2026-06-27</t>
        </is>
      </c>
      <c r="G136" t="inlineStr">
        <is>
          <t xml:space="preserve"> - Road House</t>
        </is>
      </c>
      <c r="H136">
        <f>HYPERLINK("https://booking.roadsurfer.com/es/rally/pick?pickup_date=2026-06-20&amp;return_date=2026-06-27&amp;currency=EUR&amp;startStation=56&amp;endStation=48",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2026-06-01</t>
        </is>
      </c>
      <c r="F137" t="inlineStr">
        <is>
          <t>2026-06-08</t>
        </is>
      </c>
      <c r="G137" t="inlineStr">
        <is>
          <t xml:space="preserve"> - Camper Castle</t>
        </is>
      </c>
      <c r="H137">
        <f>HYPERLINK("https://booking.roadsurfer.com/es/rally/pick?pickup_date=2026-06-01&amp;return_date=2026-06-08&amp;currency=EUR&amp;startStation=56&amp;endStation=31",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2026-06-24</t>
        </is>
      </c>
      <c r="F138" t="inlineStr">
        <is>
          <t>2026-07-01</t>
        </is>
      </c>
      <c r="G138" t="inlineStr"/>
      <c r="H138">
        <f>HYPERLINK("https://booking.roadsurfer.com/es/rally/pick?pickup_date=2026-06-24&amp;return_date=2026-07-01&amp;currency=EUR&amp;startStation=56&amp;endStation=34",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Camper Castle</t>
        </is>
      </c>
      <c r="H139">
        <f>HYPERLINK("https://booking.roadsurfer.com/es/rally/pick?pickup_date=2026-06-01&amp;return_date=2026-06-08&amp;currency=EUR&amp;startStation=56&amp;endStation=34",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Alemania</t>
        </is>
      </c>
      <c r="D140" t="inlineStr">
        <is>
          <t>Hannover</t>
        </is>
      </c>
      <c r="E140" t="inlineStr">
        <is>
          <t>2026-06-15</t>
        </is>
      </c>
      <c r="F140" t="inlineStr">
        <is>
          <t>2026-06-22</t>
        </is>
      </c>
      <c r="G140" t="inlineStr">
        <is>
          <t xml:space="preserve"> - Cozy Cottage</t>
        </is>
      </c>
      <c r="H140">
        <f>HYPERLINK("https://booking.roadsurfer.com/es/rally/pick?pickup_date=2026-06-15&amp;return_date=2026-06-22&amp;currency=EUR&amp;startStation=56&amp;endStation=7",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Sunrise Suite</t>
        </is>
      </c>
      <c r="H141">
        <f>HYPERLINK("https://booking.roadsurfer.com/es/rally/pick?pickup_date=2026-06-22&amp;return_date=2026-06-29&amp;currency=EUR&amp;startStation=56&amp;endStation=29",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Sunrise Suite</t>
        </is>
      </c>
      <c r="H142">
        <f>HYPERLINK("https://booking.roadsurfer.com/es/rally/pick?pickup_date=2026-06-17&amp;return_date=2026-06-24&amp;currency=EUR&amp;startStation=56&amp;endStation=78",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2026-05-29</t>
        </is>
      </c>
      <c r="F143" t="inlineStr">
        <is>
          <t>2026-06-05</t>
        </is>
      </c>
      <c r="G143" t="inlineStr">
        <is>
          <t xml:space="preserve"> - Surfer Suite</t>
        </is>
      </c>
      <c r="H143">
        <f>HYPERLINK("https://booking.roadsurfer.com/es/rally/pick?pickup_date=2026-05-29&amp;return_date=2026-06-05&amp;currency=EUR&amp;startStation=90&amp;endStation=47",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2026-05-30</t>
        </is>
      </c>
      <c r="F144" t="inlineStr">
        <is>
          <t>2026-06-06</t>
        </is>
      </c>
      <c r="G144" t="inlineStr">
        <is>
          <t xml:space="preserve"> - Surfer Suite</t>
        </is>
      </c>
      <c r="H144">
        <f>HYPERLINK("https://booking.roadsurfer.com/es/rally/pick?pickup_date=2026-05-30&amp;return_date=2026-06-06&amp;currency=EUR&amp;startStation=90&amp;endStation=42",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Bélgica</t>
        </is>
      </c>
      <c r="D145" t="inlineStr">
        <is>
          <t>Bruselas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Couple Cottage</t>
        </is>
      </c>
      <c r="H145">
        <f>HYPERLINK("https://booking.roadsurfer.com/es/rally/pick?pickup_date=2026-06-08&amp;return_date=2026-06-15&amp;currency=EUR&amp;startStation=90&amp;endStation=42",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Bélgica</t>
        </is>
      </c>
      <c r="D146" t="inlineStr">
        <is>
          <t>Bruselas</t>
        </is>
      </c>
      <c r="E146" t="inlineStr">
        <is>
          <t>2026-06-04</t>
        </is>
      </c>
      <c r="F146" t="inlineStr">
        <is>
          <t>2026-06-11</t>
        </is>
      </c>
      <c r="G146" t="inlineStr">
        <is>
          <t xml:space="preserve"> - Beach Hostel</t>
        </is>
      </c>
      <c r="H146">
        <f>HYPERLINK("https://booking.roadsurfer.com/es/rally/pick?pickup_date=2026-06-04&amp;return_date=2026-06-11&amp;currency=EUR&amp;startStation=90&amp;endStation=42",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Alemania</t>
        </is>
      </c>
      <c r="D147" t="inlineStr">
        <is>
          <t>Flensburgo</t>
        </is>
      </c>
      <c r="E147" t="inlineStr">
        <is>
          <t>2026-05-30</t>
        </is>
      </c>
      <c r="F147" t="inlineStr">
        <is>
          <t>2026-06-06</t>
        </is>
      </c>
      <c r="G147" t="inlineStr">
        <is>
          <t xml:space="preserve"> - Surfer Suite</t>
        </is>
      </c>
      <c r="H147">
        <f>HYPERLINK("https://booking.roadsurfer.com/es/rally/pick?pickup_date=2026-05-30&amp;return_date=2026-06-06&amp;currency=EUR&amp;startStation=90&amp;endStation=130",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Austria</t>
        </is>
      </c>
      <c r="D148" t="inlineStr">
        <is>
          <t>Linz</t>
        </is>
      </c>
      <c r="E148" t="inlineStr">
        <is>
          <t>2026-05-27</t>
        </is>
      </c>
      <c r="F148" t="inlineStr">
        <is>
          <t>2026-06-03</t>
        </is>
      </c>
      <c r="G148" t="inlineStr">
        <is>
          <t xml:space="preserve"> - Surfer Suite</t>
        </is>
      </c>
      <c r="H148">
        <f>HYPERLINK("https://booking.roadsurfer.com/es/rally/pick?pickup_date=2026-05-27&amp;return_date=2026-06-03&amp;currency=EUR&amp;startStation=90&amp;endStation=116",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2026-05-30</t>
        </is>
      </c>
      <c r="F149" t="inlineStr">
        <is>
          <t>2026-06-06</t>
        </is>
      </c>
      <c r="G149" t="inlineStr">
        <is>
          <t xml:space="preserve"> - Surfer Suite</t>
        </is>
      </c>
      <c r="H149">
        <f>HYPERLINK("https://booking.roadsurfer.com/es/rally/pick?pickup_date=2026-05-30&amp;return_date=2026-06-06&amp;currency=EUR&amp;startStation=90&amp;endStation=37",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Surfer Suite</t>
        </is>
      </c>
      <c r="H150">
        <f>HYPERLINK("https://booking.roadsurfer.com/es/rally/pick?pickup_date=2026-06-08&amp;return_date=2026-06-15&amp;currency=EUR&amp;startStation=90&amp;endStation=29",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2026-06-24</t>
        </is>
      </c>
      <c r="F151" t="inlineStr">
        <is>
          <t>2026-07-01</t>
        </is>
      </c>
      <c r="G151" t="inlineStr">
        <is>
          <t xml:space="preserve"> - Camper Cabin</t>
        </is>
      </c>
      <c r="H151">
        <f>HYPERLINK("https://booking.roadsurfer.com/es/rally/pick?pickup_date=2026-06-24&amp;return_date=2026-07-01&amp;currency=EUR&amp;startStation=90&amp;endStation=29",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2026-06-30</t>
        </is>
      </c>
      <c r="F152" t="inlineStr">
        <is>
          <t>2026-07-07</t>
        </is>
      </c>
      <c r="G152" t="inlineStr">
        <is>
          <t xml:space="preserve"> - Surfer Suite</t>
        </is>
      </c>
      <c r="H152">
        <f>HYPERLINK("https://booking.roadsurfer.com/es/rally/pick?pickup_date=2026-06-30&amp;return_date=2026-07-07&amp;currency=EUR&amp;startStation=90&amp;endStation=30",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2026-06-27</t>
        </is>
      </c>
      <c r="F153" t="inlineStr">
        <is>
          <t>2026-07-04</t>
        </is>
      </c>
      <c r="G153" t="inlineStr">
        <is>
          <t xml:space="preserve"> - Surfer Suite - Sunrise Suite</t>
        </is>
      </c>
      <c r="H153">
        <f>HYPERLINK("https://booking.roadsurfer.com/es/rally/pick?pickup_date=2026-06-27&amp;return_date=2026-07-04&amp;currency=EUR&amp;startStation=90&amp;endStation=13",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2026-06-25</t>
        </is>
      </c>
      <c r="F154" t="inlineStr">
        <is>
          <t>2026-07-02</t>
        </is>
      </c>
      <c r="G154" t="inlineStr">
        <is>
          <t xml:space="preserve"> - Beach Hostel</t>
        </is>
      </c>
      <c r="H154">
        <f>HYPERLINK("https://booking.roadsurfer.com/es/rally/pick?pickup_date=2026-06-25&amp;return_date=2026-07-02&amp;currency=EUR&amp;startStation=90&amp;endStation=13",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Sunrise Suite</t>
        </is>
      </c>
      <c r="H155">
        <f>HYPERLINK("https://booking.roadsurfer.com/es/rally/pick?pickup_date=2026-06-29&amp;return_date=2026-07-06&amp;currency=EUR&amp;startStation=90&amp;endStation=13",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Camper Cabin - Couple Cottage</t>
        </is>
      </c>
      <c r="H156">
        <f>HYPERLINK("https://booking.roadsurfer.com/es/rally/pick?pickup_date=2026-06-08&amp;return_date=2026-06-15&amp;currency=EUR&amp;startStation=90&amp;endStation=15",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2026-06-29</t>
        </is>
      </c>
      <c r="F157" t="inlineStr">
        <is>
          <t>2026-07-06</t>
        </is>
      </c>
      <c r="G157" t="inlineStr">
        <is>
          <t xml:space="preserve"> - Camper Cabin - Road House</t>
        </is>
      </c>
      <c r="H157">
        <f>HYPERLINK("https://booking.roadsurfer.com/es/rally/pick?pickup_date=2026-06-29&amp;return_date=2026-07-06&amp;currency=EUR&amp;startStation=90&amp;endStation=15",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2026-06-22</t>
        </is>
      </c>
      <c r="F158" t="inlineStr">
        <is>
          <t>2026-06-29</t>
        </is>
      </c>
      <c r="G158" t="inlineStr">
        <is>
          <t xml:space="preserve"> - Road House</t>
        </is>
      </c>
      <c r="H158">
        <f>HYPERLINK("https://booking.roadsurfer.com/es/rally/pick?pickup_date=2026-06-22&amp;return_date=2026-06-29&amp;currency=EUR&amp;startStation=90&amp;endStation=15",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2026-06-26</t>
        </is>
      </c>
      <c r="F159" t="inlineStr">
        <is>
          <t>2026-07-03</t>
        </is>
      </c>
      <c r="G159" t="inlineStr">
        <is>
          <t xml:space="preserve"> - Surfer Suite - Beach Hostel</t>
        </is>
      </c>
      <c r="H159">
        <f>HYPERLINK("https://booking.roadsurfer.com/es/rally/pick?pickup_date=2026-06-26&amp;return_date=2026-07-03&amp;currency=EUR&amp;startStation=90&amp;endStation=15",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2026-06-30</t>
        </is>
      </c>
      <c r="F160" t="inlineStr">
        <is>
          <t>2026-07-07</t>
        </is>
      </c>
      <c r="G160" t="inlineStr">
        <is>
          <t xml:space="preserve"> - Sunrise Suite</t>
        </is>
      </c>
      <c r="H160">
        <f>HYPERLINK("https://booking.roadsurfer.com/es/rally/pick?pickup_date=2026-06-30&amp;return_date=2026-07-07&amp;currency=EUR&amp;startStation=90&amp;endStation=77",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2026-06-15</t>
        </is>
      </c>
      <c r="F161" t="inlineStr">
        <is>
          <t>2026-06-22</t>
        </is>
      </c>
      <c r="G161" t="inlineStr">
        <is>
          <t xml:space="preserve"> - Beach Hostel</t>
        </is>
      </c>
      <c r="H161">
        <f>HYPERLINK("https://booking.roadsurfer.com/es/rally/pick?pickup_date=2026-06-15&amp;return_date=2026-06-22&amp;currency=EUR&amp;startStation=90&amp;endStation=77",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Road House</t>
        </is>
      </c>
      <c r="H162">
        <f>HYPERLINK("https://booking.roadsurfer.com/es/rally/pick?pickup_date=2026-06-01&amp;return_date=2026-06-08&amp;currency=EUR&amp;startStation=90&amp;endStation=40",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2026-06-22</t>
        </is>
      </c>
      <c r="F163" t="inlineStr">
        <is>
          <t>2026-06-29</t>
        </is>
      </c>
      <c r="G163" t="inlineStr">
        <is>
          <t xml:space="preserve"> - Camper Cabin - Road House</t>
        </is>
      </c>
      <c r="H163">
        <f>HYPERLINK("https://booking.roadsurfer.com/es/rally/pick?pickup_date=2026-06-22&amp;return_date=2026-06-29&amp;currency=EUR&amp;startStation=90&amp;endStation=40",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Italia</t>
        </is>
      </c>
      <c r="D164" t="inlineStr">
        <is>
          <t>Milán</t>
        </is>
      </c>
      <c r="E164" t="inlineStr">
        <is>
          <t>2026-06-05</t>
        </is>
      </c>
      <c r="F164" t="inlineStr">
        <is>
          <t>2026-06-12</t>
        </is>
      </c>
      <c r="G164" t="inlineStr">
        <is>
          <t xml:space="preserve"> - Road House</t>
        </is>
      </c>
      <c r="H164">
        <f>HYPERLINK("https://booking.roadsurfer.com/es/rally/pick?pickup_date=2026-06-05&amp;return_date=2026-06-12&amp;currency=EUR&amp;startStation=90&amp;endStation=34",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2026-06-29</t>
        </is>
      </c>
      <c r="F165" t="inlineStr">
        <is>
          <t>2026-07-06</t>
        </is>
      </c>
      <c r="G165" t="inlineStr">
        <is>
          <t xml:space="preserve"> - Sunrise Suite</t>
        </is>
      </c>
      <c r="H165">
        <f>HYPERLINK("https://booking.roadsurfer.com/es/rally/pick?pickup_date=2026-06-29&amp;return_date=2026-07-06&amp;currency=EUR&amp;startStation=90&amp;endStation=59",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2026-06-30</t>
        </is>
      </c>
      <c r="F166" t="inlineStr">
        <is>
          <t>2026-07-07</t>
        </is>
      </c>
      <c r="G166" t="inlineStr">
        <is>
          <t xml:space="preserve"> - Sunrise Suite</t>
        </is>
      </c>
      <c r="H166">
        <f>HYPERLINK("https://booking.roadsurfer.com/es/rally/pick?pickup_date=2026-06-30&amp;return_date=2026-07-07&amp;currency=EUR&amp;startStation=90&amp;endStation=59",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2026-06-22</t>
        </is>
      </c>
      <c r="F167" t="inlineStr">
        <is>
          <t>2026-06-29</t>
        </is>
      </c>
      <c r="G167" t="inlineStr">
        <is>
          <t xml:space="preserve"> - Couple Cottage</t>
        </is>
      </c>
      <c r="H167">
        <f>HYPERLINK("https://booking.roadsurfer.com/es/rally/pick?pickup_date=2026-06-22&amp;return_date=2026-06-29&amp;currency=EUR&amp;startStation=90&amp;endStation=59",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No hay coche</t>
        </is>
      </c>
      <c r="H168">
        <f>HYPERLINK("https://booking.roadsurfer.com/es/rally/pick?pickup_date=2026-06-12&amp;return_date=2026-06-19&amp;currency=EUR&amp;startStation=90&amp;endStation=59",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2026-05-30</t>
        </is>
      </c>
      <c r="F169" t="inlineStr">
        <is>
          <t>2026-06-06</t>
        </is>
      </c>
      <c r="G169" t="inlineStr">
        <is>
          <t xml:space="preserve"> - No hay coche</t>
        </is>
      </c>
      <c r="H169">
        <f>HYPERLINK("https://booking.roadsurfer.com/es/rally/pick?pickup_date=2026-05-30&amp;return_date=2026-06-06&amp;currency=EUR&amp;startStation=90&amp;endStation=60", "Clic para verlo en la web de RoadSurfer")</f>
        <v/>
      </c>
    </row>
    <row r="170">
      <c r="A170" t="inlineStr">
        <is>
          <t>Portugal</t>
        </is>
      </c>
      <c r="B170" t="inlineStr">
        <is>
          <t>Faro</t>
        </is>
      </c>
      <c r="C170" t="inlineStr">
        <is>
          <t>Portugal</t>
        </is>
      </c>
      <c r="D170" t="inlineStr">
        <is>
          <t>Lisboa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Surfer Suite</t>
        </is>
      </c>
      <c r="H170">
        <f>HYPERLINK("https://booking.roadsurfer.com/es/rally/pick?pickup_date=2026-06-01&amp;return_date=2026-06-08&amp;currency=EUR&amp;startStation=19&amp;endStation=18", "Clic para verlo en la web de RoadSurfer")</f>
        <v/>
      </c>
    </row>
    <row r="171">
      <c r="A171" t="inlineStr">
        <is>
          <t>Alemania</t>
        </is>
      </c>
      <c r="B171" t="inlineStr">
        <is>
          <t>Flensburgo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2026-06-20</t>
        </is>
      </c>
      <c r="F171" t="inlineStr">
        <is>
          <t>2026-06-27</t>
        </is>
      </c>
      <c r="G171" t="inlineStr">
        <is>
          <t xml:space="preserve"> - Road House</t>
        </is>
      </c>
      <c r="H171">
        <f>HYPERLINK("https://booking.roadsurfer.com/es/rally/pick?pickup_date=2026-06-20&amp;return_date=2026-06-27&amp;currency=EUR&amp;startStation=130&amp;endStation=13", "Clic para verlo en la web de RoadSurfer")</f>
        <v/>
      </c>
    </row>
    <row r="172">
      <c r="A172" t="inlineStr">
        <is>
          <t>Alemania</t>
        </is>
      </c>
      <c r="B172" t="inlineStr">
        <is>
          <t>Flensburgo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2026-05-30</t>
        </is>
      </c>
      <c r="F172" t="inlineStr">
        <is>
          <t>2026-06-06</t>
        </is>
      </c>
      <c r="G172" t="inlineStr">
        <is>
          <t xml:space="preserve"> - No hay coche</t>
        </is>
      </c>
      <c r="H172">
        <f>HYPERLINK("https://booking.roadsurfer.com/es/rally/pick?pickup_date=2026-05-30&amp;return_date=2026-06-06&amp;currency=EUR&amp;startStation=130&amp;endStation=59", "Clic para verlo en la web de RoadSurfer")</f>
        <v/>
      </c>
    </row>
    <row r="173">
      <c r="A173" t="inlineStr">
        <is>
          <t>Alemania</t>
        </is>
      </c>
      <c r="B173" t="inlineStr">
        <is>
          <t>Flensburgo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2026-05-27</t>
        </is>
      </c>
      <c r="F173" t="inlineStr">
        <is>
          <t>2026-06-03</t>
        </is>
      </c>
      <c r="G173" t="inlineStr">
        <is>
          <t xml:space="preserve"> - Road House</t>
        </is>
      </c>
      <c r="H173">
        <f>HYPERLINK("https://booking.roadsurfer.com/es/rally/pick?pickup_date=2026-05-27&amp;return_date=2026-06-03&amp;currency=EUR&amp;startStation=130&amp;endStation=60", "Clic para verlo en la web de RoadSurfer")</f>
        <v/>
      </c>
    </row>
    <row r="174">
      <c r="A174" t="inlineStr">
        <is>
          <t>Alemania</t>
        </is>
      </c>
      <c r="B174" t="inlineStr">
        <is>
          <t>Flensburgo</t>
        </is>
      </c>
      <c r="C174" t="inlineStr">
        <is>
          <t>Alemania</t>
        </is>
      </c>
      <c r="D174" t="inlineStr">
        <is>
          <t>Augsburgo</t>
        </is>
      </c>
      <c r="E174" t="inlineStr">
        <is>
          <t>2026-07-25</t>
        </is>
      </c>
      <c r="F174" t="inlineStr">
        <is>
          <t>2026-08-01</t>
        </is>
      </c>
      <c r="G174" t="inlineStr">
        <is>
          <t xml:space="preserve"> - Beach Hostel</t>
        </is>
      </c>
      <c r="H174">
        <f>HYPERLINK("https://booking.roadsurfer.com/es/rally/pick?pickup_date=2026-07-25&amp;return_date=2026-08-01&amp;currency=EUR&amp;startStation=130&amp;endStation=108",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Francia</t>
        </is>
      </c>
      <c r="D175" t="inlineStr">
        <is>
          <t>Aix-Marsella</t>
        </is>
      </c>
      <c r="E175" t="inlineStr">
        <is>
          <t>2026-06-30</t>
        </is>
      </c>
      <c r="F175" t="inlineStr">
        <is>
          <t>2026-07-07</t>
        </is>
      </c>
      <c r="G175" t="inlineStr">
        <is>
          <t xml:space="preserve"> - Surfer Suite</t>
        </is>
      </c>
      <c r="H175">
        <f>HYPERLINK("https://booking.roadsurfer.com/es/rally/pick?pickup_date=2026-06-30&amp;return_date=2026-07-07&amp;currency=EUR&amp;startStation=2&amp;endStation=16",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2026-06-24</t>
        </is>
      </c>
      <c r="F176" t="inlineStr">
        <is>
          <t>2026-07-01</t>
        </is>
      </c>
      <c r="G176" t="inlineStr">
        <is>
          <t xml:space="preserve"> - Surfer Suite</t>
        </is>
      </c>
      <c r="H176">
        <f>HYPERLINK("https://booking.roadsurfer.com/es/rally/pick?pickup_date=2026-06-24&amp;return_date=2026-07-01&amp;currency=EUR&amp;startStation=2&amp;endStation=40",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Toulouse</t>
        </is>
      </c>
      <c r="E177" t="inlineStr">
        <is>
          <t>2026-05-28</t>
        </is>
      </c>
      <c r="F177" t="inlineStr">
        <is>
          <t>2026-06-04</t>
        </is>
      </c>
      <c r="G177" t="inlineStr"/>
      <c r="H177">
        <f>HYPERLINK("https://booking.roadsurfer.com/es/rally/pick?pickup_date=2026-05-28&amp;return_date=2026-06-04&amp;currency=EUR&amp;startStation=2&amp;endStation=30",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2026-06-24</t>
        </is>
      </c>
      <c r="F178" t="inlineStr">
        <is>
          <t>2026-07-01</t>
        </is>
      </c>
      <c r="G178" t="inlineStr">
        <is>
          <t xml:space="preserve"> - Camper Cabin</t>
        </is>
      </c>
      <c r="H178">
        <f>HYPERLINK("https://booking.roadsurfer.com/es/rally/pick?pickup_date=2026-06-24&amp;return_date=2026-07-01&amp;currency=EUR&amp;startStation=2&amp;endStation=17",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2026-06-30</t>
        </is>
      </c>
      <c r="F179" t="inlineStr">
        <is>
          <t>2026-07-07</t>
        </is>
      </c>
      <c r="G179" t="inlineStr">
        <is>
          <t xml:space="preserve"> - Camper Cabin</t>
        </is>
      </c>
      <c r="H179">
        <f>HYPERLINK("https://booking.roadsurfer.com/es/rally/pick?pickup_date=2026-06-30&amp;return_date=2026-07-07&amp;currency=EUR&amp;startStation=2&amp;endStation=12",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2026-06-24</t>
        </is>
      </c>
      <c r="F180" t="inlineStr">
        <is>
          <t>2026-07-01</t>
        </is>
      </c>
      <c r="G180" t="inlineStr">
        <is>
          <t xml:space="preserve"> - Road House</t>
        </is>
      </c>
      <c r="H180">
        <f>HYPERLINK("https://booking.roadsurfer.com/es/rally/pick?pickup_date=2026-06-24&amp;return_date=2026-07-01&amp;currency=EUR&amp;startStation=2&amp;endStation=60",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2026-06-13</t>
        </is>
      </c>
      <c r="F181" t="inlineStr">
        <is>
          <t>2026-06-20</t>
        </is>
      </c>
      <c r="G181" t="inlineStr">
        <is>
          <t xml:space="preserve"> - Camper Castle</t>
        </is>
      </c>
      <c r="H181">
        <f>HYPERLINK("https://booking.roadsurfer.com/es/rally/pick?pickup_date=2026-06-13&amp;return_date=2026-06-20&amp;currency=EUR&amp;startStation=2&amp;endStation=31",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España</t>
        </is>
      </c>
      <c r="D182" t="inlineStr">
        <is>
          <t>Málaga</t>
        </is>
      </c>
      <c r="E182" t="inlineStr">
        <is>
          <t>2026-06-05</t>
        </is>
      </c>
      <c r="F182" t="inlineStr">
        <is>
          <t>2026-06-12</t>
        </is>
      </c>
      <c r="G182" t="inlineStr">
        <is>
          <t xml:space="preserve"> - Family Finca</t>
        </is>
      </c>
      <c r="H182">
        <f>HYPERLINK("https://booking.roadsurfer.com/es/rally/pick?pickup_date=2026-06-05&amp;return_date=2026-06-12&amp;currency=EUR&amp;startStation=2&amp;endStation=21",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España</t>
        </is>
      </c>
      <c r="D183" t="inlineStr">
        <is>
          <t>Málaga</t>
        </is>
      </c>
      <c r="E183" t="inlineStr">
        <is>
          <t>2026-07-06</t>
        </is>
      </c>
      <c r="F183" t="inlineStr">
        <is>
          <t>2026-07-13</t>
        </is>
      </c>
      <c r="G183" t="inlineStr">
        <is>
          <t xml:space="preserve"> - Couple Cottage</t>
        </is>
      </c>
      <c r="H183">
        <f>HYPERLINK("https://booking.roadsurfer.com/es/rally/pick?pickup_date=2026-07-06&amp;return_date=2026-07-13&amp;currency=EUR&amp;startStation=2&amp;endStation=21",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2026-06-06</t>
        </is>
      </c>
      <c r="F184" t="inlineStr">
        <is>
          <t>2026-06-13</t>
        </is>
      </c>
      <c r="G184" t="inlineStr">
        <is>
          <t xml:space="preserve"> - No hay coche</t>
        </is>
      </c>
      <c r="H184">
        <f>HYPERLINK("https://booking.roadsurfer.com/es/rally/pick?pickup_date=2026-06-06&amp;return_date=2026-06-13&amp;currency=EUR&amp;startStation=2&amp;endStation=15",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No hay coche</t>
        </is>
      </c>
      <c r="H185">
        <f>HYPERLINK("https://booking.roadsurfer.com/es/rally/pick?pickup_date=2026-06-12&amp;return_date=2026-06-19&amp;currency=EUR&amp;startStation=2&amp;endStation=77",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Sevilla</t>
        </is>
      </c>
      <c r="E186" t="inlineStr">
        <is>
          <t>2026-06-23</t>
        </is>
      </c>
      <c r="F186" t="inlineStr">
        <is>
          <t>2026-06-30</t>
        </is>
      </c>
      <c r="G186" t="inlineStr"/>
      <c r="H186">
        <f>HYPERLINK("https://booking.roadsurfer.com/es/rally/pick?pickup_date=2026-06-23&amp;return_date=2026-06-30&amp;currency=EUR&amp;startStation=2&amp;endStation=39",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2026-07-03</t>
        </is>
      </c>
      <c r="F187" t="inlineStr">
        <is>
          <t>2026-07-10</t>
        </is>
      </c>
      <c r="G187" t="inlineStr">
        <is>
          <t xml:space="preserve"> - Road House</t>
        </is>
      </c>
      <c r="H187">
        <f>HYPERLINK("https://booking.roadsurfer.com/es/rally/pick?pickup_date=2026-07-03&amp;return_date=2026-07-10&amp;currency=EUR&amp;startStation=9&amp;endStation=40",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2026-06-26</t>
        </is>
      </c>
      <c r="F188" t="inlineStr">
        <is>
          <t>2026-07-03</t>
        </is>
      </c>
      <c r="G188" t="inlineStr">
        <is>
          <t xml:space="preserve"> - Family Finca</t>
        </is>
      </c>
      <c r="H188">
        <f>HYPERLINK("https://booking.roadsurfer.com/es/rally/pick?pickup_date=2026-06-26&amp;return_date=2026-07-03&amp;currency=EUR&amp;startStation=9&amp;endStation=40",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2026-05-22</t>
        </is>
      </c>
      <c r="F189" t="inlineStr">
        <is>
          <t>2026-05-29</t>
        </is>
      </c>
      <c r="G189" t="inlineStr">
        <is>
          <t xml:space="preserve"> - Surfer Suite</t>
        </is>
      </c>
      <c r="H189">
        <f>HYPERLINK("https://booking.roadsurfer.com/es/rally/pick?pickup_date=2026-05-22&amp;return_date=2026-05-29&amp;currency=EUR&amp;startStation=9&amp;endStation=40",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España</t>
        </is>
      </c>
      <c r="D190" t="inlineStr">
        <is>
          <t>Barcelona</t>
        </is>
      </c>
      <c r="E190" t="inlineStr">
        <is>
          <t>2026-07-01</t>
        </is>
      </c>
      <c r="F190" t="inlineStr">
        <is>
          <t>2026-07-08</t>
        </is>
      </c>
      <c r="G190" t="inlineStr">
        <is>
          <t xml:space="preserve"> - Road House</t>
        </is>
      </c>
      <c r="H190">
        <f>HYPERLINK("https://booking.roadsurfer.com/es/rally/pick?pickup_date=2026-07-01&amp;return_date=2026-07-08&amp;currency=EUR&amp;startStation=9&amp;endStation=17",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2026-06-12</t>
        </is>
      </c>
      <c r="F191" t="inlineStr">
        <is>
          <t>2026-06-19</t>
        </is>
      </c>
      <c r="G191" t="inlineStr">
        <is>
          <t xml:space="preserve"> - Cozy Cottage</t>
        </is>
      </c>
      <c r="H191">
        <f>HYPERLINK("https://booking.roadsurfer.com/es/rally/pick?pickup_date=2026-06-12&amp;return_date=2026-06-19&amp;currency=EUR&amp;startStation=9&amp;endStation=17",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Barcelona</t>
        </is>
      </c>
      <c r="E192" t="inlineStr">
        <is>
          <t>2026-07-06</t>
        </is>
      </c>
      <c r="F192" t="inlineStr">
        <is>
          <t>2026-07-13</t>
        </is>
      </c>
      <c r="G192" t="inlineStr"/>
      <c r="H192">
        <f>HYPERLINK("https://booking.roadsurfer.com/es/rally/pick?pickup_date=2026-07-06&amp;return_date=2026-07-13&amp;currency=EUR&amp;startStation=9&amp;endStation=17",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España</t>
        </is>
      </c>
      <c r="D193" t="inlineStr">
        <is>
          <t>Barcelona</t>
        </is>
      </c>
      <c r="E193" t="inlineStr">
        <is>
          <t>2026-07-13</t>
        </is>
      </c>
      <c r="F193" t="inlineStr">
        <is>
          <t>2026-07-20</t>
        </is>
      </c>
      <c r="G193" t="inlineStr">
        <is>
          <t xml:space="preserve"> - No hay coche</t>
        </is>
      </c>
      <c r="H193">
        <f>HYPERLINK("https://booking.roadsurfer.com/es/rally/pick?pickup_date=2026-07-13&amp;return_date=2026-07-20&amp;currency=EUR&amp;startStation=9&amp;endStation=17",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España</t>
        </is>
      </c>
      <c r="D194" t="inlineStr">
        <is>
          <t>Barcelona</t>
        </is>
      </c>
      <c r="E194" t="inlineStr">
        <is>
          <t>2026-06-19</t>
        </is>
      </c>
      <c r="F194" t="inlineStr">
        <is>
          <t>2026-06-26</t>
        </is>
      </c>
      <c r="G194" t="inlineStr">
        <is>
          <t xml:space="preserve"> - Beach Hostel</t>
        </is>
      </c>
      <c r="H194">
        <f>HYPERLINK("https://booking.roadsurfer.com/es/rally/pick?pickup_date=2026-06-19&amp;return_date=2026-06-26&amp;currency=EUR&amp;startStation=9&amp;endStation=17",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2026-07-04</t>
        </is>
      </c>
      <c r="F195" t="inlineStr">
        <is>
          <t>2026-07-11</t>
        </is>
      </c>
      <c r="G195" t="inlineStr">
        <is>
          <t xml:space="preserve"> - Travel Home</t>
        </is>
      </c>
      <c r="H195">
        <f>HYPERLINK("https://booking.roadsurfer.com/es/rally/pick?pickup_date=2026-07-04&amp;return_date=2026-07-11&amp;currency=EUR&amp;startStation=9&amp;endStation=15",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2026-06-26</t>
        </is>
      </c>
      <c r="F196" t="inlineStr">
        <is>
          <t>2026-07-03</t>
        </is>
      </c>
      <c r="G196" t="inlineStr">
        <is>
          <t xml:space="preserve"> - Beach Hostel</t>
        </is>
      </c>
      <c r="H196">
        <f>HYPERLINK("https://booking.roadsurfer.com/es/rally/pick?pickup_date=2026-06-26&amp;return_date=2026-07-03&amp;currency=EUR&amp;startStation=9&amp;endStation=15",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España</t>
        </is>
      </c>
      <c r="D197" t="inlineStr">
        <is>
          <t>Valencia</t>
        </is>
      </c>
      <c r="E197" t="inlineStr">
        <is>
          <t>2026-06-09</t>
        </is>
      </c>
      <c r="F197" t="inlineStr">
        <is>
          <t>2026-06-16</t>
        </is>
      </c>
      <c r="G197" t="inlineStr">
        <is>
          <t xml:space="preserve"> - Road House</t>
        </is>
      </c>
      <c r="H197">
        <f>HYPERLINK("https://booking.roadsurfer.com/es/rally/pick?pickup_date=2026-06-09&amp;return_date=2026-06-16&amp;currency=EUR&amp;startStation=9&amp;endStation=38",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2026-07-01</t>
        </is>
      </c>
      <c r="F198" t="inlineStr">
        <is>
          <t>2026-07-08</t>
        </is>
      </c>
      <c r="G198" t="inlineStr">
        <is>
          <t xml:space="preserve"> - Road House</t>
        </is>
      </c>
      <c r="H198">
        <f>HYPERLINK("https://booking.roadsurfer.com/es/rally/pick?pickup_date=2026-07-01&amp;return_date=2026-07-08&amp;currency=EUR&amp;startStation=9&amp;endStation=48",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2026-06-19</t>
        </is>
      </c>
      <c r="F199" t="inlineStr">
        <is>
          <t>2026-06-26</t>
        </is>
      </c>
      <c r="G199" t="inlineStr">
        <is>
          <t xml:space="preserve"> - Road House</t>
        </is>
      </c>
      <c r="H199">
        <f>HYPERLINK("https://booking.roadsurfer.com/es/rally/pick?pickup_date=2026-06-19&amp;return_date=2026-06-26&amp;currency=EUR&amp;startStation=9&amp;endStation=31",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2026-06-03</t>
        </is>
      </c>
      <c r="F200" t="inlineStr">
        <is>
          <t>2026-06-10</t>
        </is>
      </c>
      <c r="G200" t="inlineStr">
        <is>
          <t xml:space="preserve"> - Camper Cabin Deluxe</t>
        </is>
      </c>
      <c r="H200">
        <f>HYPERLINK("https://booking.roadsurfer.com/es/rally/pick?pickup_date=2026-06-03&amp;return_date=2026-06-10&amp;currency=EUR&amp;startStation=9&amp;endStation=52",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Italia</t>
        </is>
      </c>
      <c r="D201" t="inlineStr">
        <is>
          <t>Bolonia</t>
        </is>
      </c>
      <c r="E201" t="inlineStr">
        <is>
          <t>2026-06-29</t>
        </is>
      </c>
      <c r="F201" t="inlineStr">
        <is>
          <t>2026-07-06</t>
        </is>
      </c>
      <c r="G201" t="inlineStr">
        <is>
          <t xml:space="preserve"> - No hay coche</t>
        </is>
      </c>
      <c r="H201">
        <f>HYPERLINK("https://booking.roadsurfer.com/es/rally/pick?pickup_date=2026-06-29&amp;return_date=2026-07-06&amp;currency=EUR&amp;startStation=9&amp;endStation=57",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Alemania</t>
        </is>
      </c>
      <c r="D202" t="inlineStr">
        <is>
          <t>Wurzburgo</t>
        </is>
      </c>
      <c r="E202" t="inlineStr">
        <is>
          <t>2026-07-20</t>
        </is>
      </c>
      <c r="F202" t="inlineStr">
        <is>
          <t>2026-07-27</t>
        </is>
      </c>
      <c r="G202" t="inlineStr">
        <is>
          <t xml:space="preserve"> - Couple Cottage</t>
        </is>
      </c>
      <c r="H202">
        <f>HYPERLINK("https://booking.roadsurfer.com/es/rally/pick?pickup_date=2026-07-20&amp;return_date=2026-07-27&amp;currency=EUR&amp;startStation=9&amp;endStation=115",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España</t>
        </is>
      </c>
      <c r="D203" t="inlineStr">
        <is>
          <t>Sevilla</t>
        </is>
      </c>
      <c r="E203" t="inlineStr">
        <is>
          <t>2026-07-02</t>
        </is>
      </c>
      <c r="F203" t="inlineStr">
        <is>
          <t>2026-07-09</t>
        </is>
      </c>
      <c r="G203" t="inlineStr">
        <is>
          <t xml:space="preserve"> - Couple Cottage</t>
        </is>
      </c>
      <c r="H203">
        <f>HYPERLINK("https://booking.roadsurfer.com/es/rally/pick?pickup_date=2026-07-02&amp;return_date=2026-07-09&amp;currency=EUR&amp;startStation=9&amp;endStation=39",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2026-05-23</t>
        </is>
      </c>
      <c r="F204" t="inlineStr">
        <is>
          <t>2026-05-30</t>
        </is>
      </c>
      <c r="G204" t="inlineStr">
        <is>
          <t xml:space="preserve"> - Surfer Suite</t>
        </is>
      </c>
      <c r="H204">
        <f>HYPERLINK("https://booking.roadsurfer.com/es/rally/pick?pickup_date=2026-05-23&amp;return_date=2026-05-30&amp;currency=EUR&amp;startStation=29&amp;endStation=10",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Erfurt</t>
        </is>
      </c>
      <c r="E205" t="inlineStr">
        <is>
          <t>2026-05-27</t>
        </is>
      </c>
      <c r="F205" t="inlineStr">
        <is>
          <t>2026-06-03</t>
        </is>
      </c>
      <c r="G205" t="inlineStr">
        <is>
          <t xml:space="preserve"> - Camper Cabin</t>
        </is>
      </c>
      <c r="H205">
        <f>HYPERLINK("https://booking.roadsurfer.com/es/rally/pick?pickup_date=2026-05-27&amp;return_date=2026-06-03&amp;currency=EUR&amp;startStation=29&amp;endStation=90",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Kiel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Surfer Suite</t>
        </is>
      </c>
      <c r="H206">
        <f>HYPERLINK("https://booking.roadsurfer.com/es/rally/pick?pickup_date=2026-06-01&amp;return_date=2026-06-08&amp;currency=EUR&amp;startStation=77&amp;endStation=111",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2026-05-27</t>
        </is>
      </c>
      <c r="F207" t="inlineStr">
        <is>
          <t>2026-06-03</t>
        </is>
      </c>
      <c r="G207" t="inlineStr">
        <is>
          <t xml:space="preserve"> - Beach Hostel</t>
        </is>
      </c>
      <c r="H207">
        <f>HYPERLINK("https://booking.roadsurfer.com/es/rally/pick?pickup_date=2026-05-27&amp;return_date=2026-06-03&amp;currency=EUR&amp;startStation=77&amp;endStation=22",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2026-06-09</t>
        </is>
      </c>
      <c r="F208" t="inlineStr">
        <is>
          <t>2026-06-16</t>
        </is>
      </c>
      <c r="G208" t="inlineStr"/>
      <c r="H208">
        <f>HYPERLINK("https://booking.roadsurfer.com/es/rally/pick?pickup_date=2026-06-09&amp;return_date=2026-06-16&amp;currency=EUR&amp;startStation=77&amp;endStation=130",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2026-06-02</t>
        </is>
      </c>
      <c r="F209" t="inlineStr">
        <is>
          <t>2026-06-09</t>
        </is>
      </c>
      <c r="G209" t="inlineStr">
        <is>
          <t xml:space="preserve"> - Sunrise Suite</t>
        </is>
      </c>
      <c r="H209">
        <f>HYPERLINK("https://booking.roadsurfer.com/es/rally/pick?pickup_date=2026-06-02&amp;return_date=2026-06-09&amp;currency=EUR&amp;startStation=77&amp;endStation=55",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2026-05-28</t>
        </is>
      </c>
      <c r="F210" t="inlineStr">
        <is>
          <t>2026-06-04</t>
        </is>
      </c>
      <c r="G210" t="inlineStr">
        <is>
          <t xml:space="preserve"> - No hay coche</t>
        </is>
      </c>
      <c r="H210">
        <f>HYPERLINK("https://booking.roadsurfer.com/es/rally/pick?pickup_date=2026-05-28&amp;return_date=2026-06-04&amp;currency=EUR&amp;startStation=77&amp;endStation=91", "Clic para verlo en la web de RoadSurfer")</f>
        <v/>
      </c>
    </row>
    <row r="211">
      <c r="A211" t="inlineStr">
        <is>
          <t>Austria</t>
        </is>
      </c>
      <c r="B211" t="inlineStr">
        <is>
          <t>Graz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Beach Hostel</t>
        </is>
      </c>
      <c r="H211">
        <f>HYPERLINK("https://booking.roadsurfer.com/es/rally/pick?pickup_date=2026-06-08&amp;return_date=2026-06-15&amp;currency=EUR&amp;startStation=37&amp;endStation=48", "Clic para verlo en la web de RoadSurfer")</f>
        <v/>
      </c>
    </row>
    <row r="212">
      <c r="A212" t="inlineStr">
        <is>
          <t>Austria</t>
        </is>
      </c>
      <c r="B212" t="inlineStr">
        <is>
          <t>Graz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2026-06-08</t>
        </is>
      </c>
      <c r="F212" t="inlineStr">
        <is>
          <t>2026-06-15</t>
        </is>
      </c>
      <c r="G212" t="inlineStr"/>
      <c r="H212">
        <f>HYPERLINK("https://booking.roadsurfer.com/es/rally/pick?pickup_date=2026-06-08&amp;return_date=2026-06-15&amp;currency=EUR&amp;startStation=37&amp;endStation=5", "Clic para verlo en la web de RoadSurfer")</f>
        <v/>
      </c>
    </row>
    <row r="213">
      <c r="A213" t="inlineStr">
        <is>
          <t>Alemania</t>
        </is>
      </c>
      <c r="B213" t="inlineStr">
        <is>
          <t>Hamburgo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Road House</t>
        </is>
      </c>
      <c r="H213">
        <f>HYPERLINK("https://booking.roadsurfer.com/es/rally/pick?pickup_date=2026-06-15&amp;return_date=2026-06-22&amp;currency=EUR&amp;startStation=3&amp;endStation=59", "Clic para verlo en la web de RoadSurfer")</f>
        <v/>
      </c>
    </row>
    <row r="214">
      <c r="A214" t="inlineStr">
        <is>
          <t>Alemania</t>
        </is>
      </c>
      <c r="B214" t="inlineStr">
        <is>
          <t>Hamburgo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2026-06-22</t>
        </is>
      </c>
      <c r="F214" t="inlineStr">
        <is>
          <t>2026-06-29</t>
        </is>
      </c>
      <c r="G214" t="inlineStr">
        <is>
          <t xml:space="preserve"> - No hay coche</t>
        </is>
      </c>
      <c r="H214">
        <f>HYPERLINK("https://booking.roadsurfer.com/es/rally/pick?pickup_date=2026-06-22&amp;return_date=2026-06-29&amp;currency=EUR&amp;startStation=3&amp;endStation=60", "Clic para verlo en la web de RoadSurfer")</f>
        <v/>
      </c>
    </row>
    <row r="215">
      <c r="A215" t="inlineStr">
        <is>
          <t>Alemania</t>
        </is>
      </c>
      <c r="B215" t="inlineStr">
        <is>
          <t>Hamburgo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2026-05-30</t>
        </is>
      </c>
      <c r="F215" t="inlineStr">
        <is>
          <t>2026-06-06</t>
        </is>
      </c>
      <c r="G215" t="inlineStr">
        <is>
          <t xml:space="preserve"> - No hay coche</t>
        </is>
      </c>
      <c r="H215">
        <f>HYPERLINK("https://booking.roadsurfer.com/es/rally/pick?pickup_date=2026-05-30&amp;return_date=2026-06-06&amp;currency=EUR&amp;startStation=3&amp;endStation=60", "Clic para verlo en la web de RoadSurfer")</f>
        <v/>
      </c>
    </row>
    <row r="216">
      <c r="A216" t="inlineStr">
        <is>
          <t>Alemania</t>
        </is>
      </c>
      <c r="B216" t="inlineStr">
        <is>
          <t>Hamburgo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2026-05-27</t>
        </is>
      </c>
      <c r="F216" t="inlineStr">
        <is>
          <t>2026-06-03</t>
        </is>
      </c>
      <c r="G216" t="inlineStr">
        <is>
          <t xml:space="preserve"> - Sunrise Suite</t>
        </is>
      </c>
      <c r="H216">
        <f>HYPERLINK("https://booking.roadsurfer.com/es/rally/pick?pickup_date=2026-05-27&amp;return_date=2026-06-03&amp;currency=EUR&amp;startStation=3&amp;endStation=77", "Clic para verlo en la web de RoadSurfer")</f>
        <v/>
      </c>
    </row>
    <row r="217">
      <c r="A217" t="inlineStr">
        <is>
          <t>Alemania</t>
        </is>
      </c>
      <c r="B217" t="inlineStr">
        <is>
          <t>Hannover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2026-05-30</t>
        </is>
      </c>
      <c r="F217" t="inlineStr">
        <is>
          <t>2026-06-06</t>
        </is>
      </c>
      <c r="G217" t="inlineStr">
        <is>
          <t xml:space="preserve"> - No hay coche</t>
        </is>
      </c>
      <c r="H217">
        <f>HYPERLINK("https://booking.roadsurfer.com/es/rally/pick?pickup_date=2026-05-30&amp;return_date=2026-06-06&amp;currency=EUR&amp;startStation=7&amp;endStation=30", "Clic para verlo en la web de RoadSurfer")</f>
        <v/>
      </c>
    </row>
    <row r="218">
      <c r="A218" t="inlineStr">
        <is>
          <t>Alemania</t>
        </is>
      </c>
      <c r="B218" t="inlineStr">
        <is>
          <t>Hannover</t>
        </is>
      </c>
      <c r="C218" t="inlineStr">
        <is>
          <t>Portugal</t>
        </is>
      </c>
      <c r="D218" t="inlineStr">
        <is>
          <t>Lisboa</t>
        </is>
      </c>
      <c r="E218" t="inlineStr">
        <is>
          <t>2026-05-30</t>
        </is>
      </c>
      <c r="F218" t="inlineStr">
        <is>
          <t>2026-06-06</t>
        </is>
      </c>
      <c r="G218" t="inlineStr"/>
      <c r="H218">
        <f>HYPERLINK("https://booking.roadsurfer.com/es/rally/pick?pickup_date=2026-05-30&amp;return_date=2026-06-06&amp;currency=EUR&amp;startStation=7&amp;endStation=18", "Clic para verlo en la web de RoadSurfer")</f>
        <v/>
      </c>
    </row>
    <row r="219">
      <c r="A219" t="inlineStr">
        <is>
          <t>Alemania</t>
        </is>
      </c>
      <c r="B219" t="inlineStr">
        <is>
          <t>Hannover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Travel Home</t>
        </is>
      </c>
      <c r="H219">
        <f>HYPERLINK("https://booking.roadsurfer.com/es/rally/pick?pickup_date=2026-06-08&amp;return_date=2026-06-15&amp;currency=EUR&amp;startStation=7&amp;endStation=12", "Clic para verlo en la web de RoadSurfer")</f>
        <v/>
      </c>
    </row>
    <row r="220">
      <c r="A220" t="inlineStr">
        <is>
          <t>Alemania</t>
        </is>
      </c>
      <c r="B220" t="inlineStr">
        <is>
          <t>Hannover</t>
        </is>
      </c>
      <c r="C220" t="inlineStr">
        <is>
          <t>Países Bajos</t>
        </is>
      </c>
      <c r="D220" t="inlineStr">
        <is>
          <t>Ámsterdam</t>
        </is>
      </c>
      <c r="E220" t="inlineStr">
        <is>
          <t>2026-06-22</t>
        </is>
      </c>
      <c r="F220" t="inlineStr">
        <is>
          <t>2026-06-29</t>
        </is>
      </c>
      <c r="G220" t="inlineStr">
        <is>
          <t xml:space="preserve"> - No hay coche</t>
        </is>
      </c>
      <c r="H220">
        <f>HYPERLINK("https://booking.roadsurfer.com/es/rally/pick?pickup_date=2026-06-22&amp;return_date=2026-06-29&amp;currency=EUR&amp;startStation=7&amp;endStation=32", "Clic para verlo en la web de RoadSurfer")</f>
        <v/>
      </c>
    </row>
    <row r="221">
      <c r="A221" t="inlineStr">
        <is>
          <t>Alemania</t>
        </is>
      </c>
      <c r="B221" t="inlineStr">
        <is>
          <t>Hannover</t>
        </is>
      </c>
      <c r="C221" t="inlineStr">
        <is>
          <t>Alemania</t>
        </is>
      </c>
      <c r="D221" t="inlineStr">
        <is>
          <t>Colonia-Bonn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No hay coche</t>
        </is>
      </c>
      <c r="H221">
        <f>HYPERLINK("https://booking.roadsurfer.com/es/rally/pick?pickup_date=2026-06-22&amp;return_date=2026-06-29&amp;currency=EUR&amp;startStation=7&amp;endStation=52", "Clic para verlo en la web de RoadSurfer")</f>
        <v/>
      </c>
    </row>
    <row r="222">
      <c r="A222" t="inlineStr">
        <is>
          <t>Alemania</t>
        </is>
      </c>
      <c r="B222" t="inlineStr">
        <is>
          <t>Heidelberg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Surfer Suite</t>
        </is>
      </c>
      <c r="H222">
        <f>HYPERLINK("https://booking.roadsurfer.com/es/rally/pick?pickup_date=2026-06-01&amp;return_date=2026-06-08&amp;currency=EUR&amp;startStation=79&amp;endStation=77", "Clic para verlo en la web de RoadSurfer")</f>
        <v/>
      </c>
    </row>
    <row r="223">
      <c r="A223" t="inlineStr">
        <is>
          <t>Austria</t>
        </is>
      </c>
      <c r="B223" t="inlineStr">
        <is>
          <t>Innsbruck-Wiesing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2026-05-30</t>
        </is>
      </c>
      <c r="F223" t="inlineStr">
        <is>
          <t>2026-06-06</t>
        </is>
      </c>
      <c r="G223" t="inlineStr">
        <is>
          <t xml:space="preserve"> - Surfer Suite</t>
        </is>
      </c>
      <c r="H223">
        <f>HYPERLINK("https://booking.roadsurfer.com/es/rally/pick?pickup_date=2026-05-30&amp;return_date=2026-06-06&amp;currency=EUR&amp;startStation=46&amp;endStation=42", "Clic para verlo en la web de RoadSurfer")</f>
        <v/>
      </c>
    </row>
    <row r="224">
      <c r="A224" t="inlineStr">
        <is>
          <t>Alemania</t>
        </is>
      </c>
      <c r="B224" t="inlineStr">
        <is>
          <t>Karlsruhe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2026-06-19</t>
        </is>
      </c>
      <c r="F224" t="inlineStr">
        <is>
          <t>2026-06-26</t>
        </is>
      </c>
      <c r="G224" t="inlineStr">
        <is>
          <t xml:space="preserve"> - Sunrise Suite</t>
        </is>
      </c>
      <c r="H224">
        <f>HYPERLINK("https://booking.roadsurfer.com/es/rally/pick?pickup_date=2026-06-19&amp;return_date=2026-06-26&amp;currency=EUR&amp;startStation=110&amp;endStation=20", "Clic para verlo en la web de RoadSurfer")</f>
        <v/>
      </c>
    </row>
    <row r="225">
      <c r="A225" t="inlineStr">
        <is>
          <t>Alemania</t>
        </is>
      </c>
      <c r="B225" t="inlineStr">
        <is>
          <t>Karlsruhe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2026-06-12</t>
        </is>
      </c>
      <c r="F225" t="inlineStr">
        <is>
          <t>2026-06-19</t>
        </is>
      </c>
      <c r="G225" t="inlineStr">
        <is>
          <t xml:space="preserve"> - Camper Cabin</t>
        </is>
      </c>
      <c r="H225">
        <f>HYPERLINK("https://booking.roadsurfer.com/es/rally/pick?pickup_date=2026-06-12&amp;return_date=2026-06-19&amp;currency=EUR&amp;startStation=110&amp;endStation=12", "Clic para verlo en la web de RoadSurfer")</f>
        <v/>
      </c>
    </row>
    <row r="226">
      <c r="A226" t="inlineStr">
        <is>
          <t>Alemania</t>
        </is>
      </c>
      <c r="B226" t="inlineStr">
        <is>
          <t>Karlsruhe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2026-06-18</t>
        </is>
      </c>
      <c r="F226" t="inlineStr">
        <is>
          <t>2026-06-25</t>
        </is>
      </c>
      <c r="G226" t="inlineStr">
        <is>
          <t xml:space="preserve"> - Road House</t>
        </is>
      </c>
      <c r="H226">
        <f>HYPERLINK("https://booking.roadsurfer.com/es/rally/pick?pickup_date=2026-06-18&amp;return_date=2026-06-25&amp;currency=EUR&amp;startStation=110&amp;endStation=12", "Clic para verlo en la web de RoadSurfer")</f>
        <v/>
      </c>
    </row>
    <row r="227">
      <c r="A227" t="inlineStr">
        <is>
          <t>Alemania</t>
        </is>
      </c>
      <c r="B227" t="inlineStr">
        <is>
          <t>Karlsruhe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2026-06-26</t>
        </is>
      </c>
      <c r="F227" t="inlineStr">
        <is>
          <t>2026-07-03</t>
        </is>
      </c>
      <c r="G227" t="inlineStr">
        <is>
          <t xml:space="preserve"> - Surfer Suite</t>
        </is>
      </c>
      <c r="H227">
        <f>HYPERLINK("https://booking.roadsurfer.com/es/rally/pick?pickup_date=2026-06-26&amp;return_date=2026-07-03&amp;currency=EUR&amp;startStation=110&amp;endStation=12", "Clic para verlo en la web de RoadSurfer")</f>
        <v/>
      </c>
    </row>
    <row r="228">
      <c r="A228" t="inlineStr">
        <is>
          <t>Alemania</t>
        </is>
      </c>
      <c r="B228" t="inlineStr">
        <is>
          <t>Karlsruhe</t>
        </is>
      </c>
      <c r="C228" t="inlineStr">
        <is>
          <t>España</t>
        </is>
      </c>
      <c r="D228" t="inlineStr">
        <is>
          <t>Barcelona</t>
        </is>
      </c>
      <c r="E228" t="inlineStr">
        <is>
          <t>2026-07-01</t>
        </is>
      </c>
      <c r="F228" t="inlineStr">
        <is>
          <t>2026-07-08</t>
        </is>
      </c>
      <c r="G228" t="inlineStr">
        <is>
          <t xml:space="preserve"> - Couple Cottage</t>
        </is>
      </c>
      <c r="H228">
        <f>HYPERLINK("https://booking.roadsurfer.com/es/rally/pick?pickup_date=2026-07-01&amp;return_date=2026-07-08&amp;currency=EUR&amp;startStation=110&amp;endStation=17", "Clic para verlo en la web de RoadSurfer")</f>
        <v/>
      </c>
    </row>
    <row r="229">
      <c r="A229" t="inlineStr">
        <is>
          <t>Alemania</t>
        </is>
      </c>
      <c r="B229" t="inlineStr">
        <is>
          <t>Karlsruhe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Couple Cottage</t>
        </is>
      </c>
      <c r="H229">
        <f>HYPERLINK("https://booking.roadsurfer.com/es/rally/pick?pickup_date=2026-06-01&amp;return_date=2026-06-08&amp;currency=EUR&amp;startStation=110&amp;endStation=31", "Clic para verlo en la web de RoadSurfer")</f>
        <v/>
      </c>
    </row>
    <row r="230">
      <c r="A230" t="inlineStr">
        <is>
          <t>Alemania</t>
        </is>
      </c>
      <c r="B230" t="inlineStr">
        <is>
          <t>Karlsruhe</t>
        </is>
      </c>
      <c r="C230" t="inlineStr">
        <is>
          <t>Francia</t>
        </is>
      </c>
      <c r="D230" t="inlineStr">
        <is>
          <t>Lille</t>
        </is>
      </c>
      <c r="E230" t="inlineStr">
        <is>
          <t>2026-05-28</t>
        </is>
      </c>
      <c r="F230" t="inlineStr">
        <is>
          <t>2026-06-04</t>
        </is>
      </c>
      <c r="G230" t="inlineStr">
        <is>
          <t xml:space="preserve"> - Cozy Cottage</t>
        </is>
      </c>
      <c r="H230">
        <f>HYPERLINK("https://booking.roadsurfer.com/es/rally/pick?pickup_date=2026-05-28&amp;return_date=2026-06-04&amp;currency=EUR&amp;startStation=110&amp;endStation=87", "Clic para verlo en la web de RoadSurfer")</f>
        <v/>
      </c>
    </row>
    <row r="231">
      <c r="A231" t="inlineStr">
        <is>
          <t>Alemania</t>
        </is>
      </c>
      <c r="B231" t="inlineStr">
        <is>
          <t>Kassel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2026-05-27</t>
        </is>
      </c>
      <c r="F231" t="inlineStr">
        <is>
          <t>2026-06-03</t>
        </is>
      </c>
      <c r="G231" t="inlineStr">
        <is>
          <t xml:space="preserve"> - Beach Hostel</t>
        </is>
      </c>
      <c r="H231">
        <f>HYPERLINK("https://booking.roadsurfer.com/es/rally/pick?pickup_date=2026-05-27&amp;return_date=2026-06-03&amp;currency=EUR&amp;startStation=92&amp;endStation=13", "Clic para verlo en la web de RoadSurfer")</f>
        <v/>
      </c>
    </row>
    <row r="232">
      <c r="A232" t="inlineStr">
        <is>
          <t>Alemania</t>
        </is>
      </c>
      <c r="B232" t="inlineStr">
        <is>
          <t>Kassel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Camper Cabin</t>
        </is>
      </c>
      <c r="H232">
        <f>HYPERLINK("https://booking.roadsurfer.com/es/rally/pick?pickup_date=2026-05-29&amp;return_date=2026-06-05&amp;currency=EUR&amp;startStation=92&amp;endStation=29", "Clic para verlo en la web de RoadSurfer")</f>
        <v/>
      </c>
    </row>
    <row r="233">
      <c r="A233" t="inlineStr">
        <is>
          <t>Alemania</t>
        </is>
      </c>
      <c r="B233" t="inlineStr">
        <is>
          <t>Kassel</t>
        </is>
      </c>
      <c r="C233" t="inlineStr">
        <is>
          <t>Francia</t>
        </is>
      </c>
      <c r="D233" t="inlineStr">
        <is>
          <t>Toulouse</t>
        </is>
      </c>
      <c r="E233" t="inlineStr">
        <is>
          <t>2026-06-03</t>
        </is>
      </c>
      <c r="F233" t="inlineStr">
        <is>
          <t>2026-06-10</t>
        </is>
      </c>
      <c r="G233" t="inlineStr">
        <is>
          <t xml:space="preserve"> - Surfer Suite</t>
        </is>
      </c>
      <c r="H233">
        <f>HYPERLINK("https://booking.roadsurfer.com/es/rally/pick?pickup_date=2026-06-03&amp;return_date=2026-06-10&amp;currency=EUR&amp;startStation=92&amp;endStation=30", "Clic para verlo en la web de RoadSurfer")</f>
        <v/>
      </c>
    </row>
    <row r="234">
      <c r="A234" t="inlineStr">
        <is>
          <t>Alemania</t>
        </is>
      </c>
      <c r="B234" t="inlineStr">
        <is>
          <t>Kassel</t>
        </is>
      </c>
      <c r="C234" t="inlineStr">
        <is>
          <t>Alemania</t>
        </is>
      </c>
      <c r="D234" t="inlineStr">
        <is>
          <t>Ratisbona</t>
        </is>
      </c>
      <c r="E234" t="inlineStr">
        <is>
          <t>2026-05-27</t>
        </is>
      </c>
      <c r="F234" t="inlineStr">
        <is>
          <t>2026-06-03</t>
        </is>
      </c>
      <c r="G234" t="inlineStr">
        <is>
          <t xml:space="preserve"> - Camper Cabin</t>
        </is>
      </c>
      <c r="H234">
        <f>HYPERLINK("https://booking.roadsurfer.com/es/rally/pick?pickup_date=2026-05-27&amp;return_date=2026-06-03&amp;currency=EUR&amp;startStation=92&amp;endStation=89", "Clic para verlo en la web de RoadSurfer")</f>
        <v/>
      </c>
    </row>
    <row r="235">
      <c r="A235" t="inlineStr">
        <is>
          <t>Alemania</t>
        </is>
      </c>
      <c r="B235" t="inlineStr">
        <is>
          <t>Kiel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2026-07-06</t>
        </is>
      </c>
      <c r="F235" t="inlineStr">
        <is>
          <t>2026-07-13</t>
        </is>
      </c>
      <c r="G235" t="inlineStr">
        <is>
          <t xml:space="preserve"> - Road House</t>
        </is>
      </c>
      <c r="H235">
        <f>HYPERLINK("https://booking.roadsurfer.com/es/rally/pick?pickup_date=2026-07-06&amp;return_date=2026-07-13&amp;currency=EUR&amp;startStation=111&amp;endStation=60", "Clic para verlo en la web de RoadSurfer")</f>
        <v/>
      </c>
    </row>
    <row r="236">
      <c r="A236" t="inlineStr">
        <is>
          <t>Alemania</t>
        </is>
      </c>
      <c r="B236" t="inlineStr">
        <is>
          <t>Kiel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Cozy Cottage</t>
        </is>
      </c>
      <c r="H236">
        <f>HYPERLINK("https://booking.roadsurfer.com/es/rally/pick?pickup_date=2026-06-08&amp;return_date=2026-06-15&amp;currency=EUR&amp;startStation=111&amp;endStation=60", "Clic para verlo en la web de RoadSurfer")</f>
        <v/>
      </c>
    </row>
    <row r="237">
      <c r="A237" t="inlineStr">
        <is>
          <t>Alemania</t>
        </is>
      </c>
      <c r="B237" t="inlineStr">
        <is>
          <t>Kiel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2026-05-27</t>
        </is>
      </c>
      <c r="F237" t="inlineStr">
        <is>
          <t>2026-06-02</t>
        </is>
      </c>
      <c r="G237" t="inlineStr">
        <is>
          <t xml:space="preserve"> - Road House</t>
        </is>
      </c>
      <c r="H237">
        <f>HYPERLINK("https://booking.roadsurfer.com/es/rally/pick?pickup_date=2026-05-27&amp;return_date=2026-06-02&amp;currency=EUR&amp;startStation=111&amp;endStation=77", "Clic para verlo en la web de RoadSurfer")</f>
        <v/>
      </c>
    </row>
    <row r="238">
      <c r="A238" t="inlineStr">
        <is>
          <t>Alemania</t>
        </is>
      </c>
      <c r="B238" t="inlineStr">
        <is>
          <t>Kiel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2026-06-12</t>
        </is>
      </c>
      <c r="F238" t="inlineStr">
        <is>
          <t>2026-06-19</t>
        </is>
      </c>
      <c r="G238" t="inlineStr">
        <is>
          <t xml:space="preserve"> - No hay coche</t>
        </is>
      </c>
      <c r="H238">
        <f>HYPERLINK("https://booking.roadsurfer.com/es/rally/pick?pickup_date=2026-06-12&amp;return_date=2026-06-19&amp;currency=EUR&amp;startStation=111&amp;endStation=77", "Clic para verlo en la web de RoadSurfer")</f>
        <v/>
      </c>
    </row>
    <row r="239">
      <c r="A239" t="inlineStr">
        <is>
          <t>Alemania</t>
        </is>
      </c>
      <c r="B239" t="inlineStr">
        <is>
          <t>Kiel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2026-06-04</t>
        </is>
      </c>
      <c r="F239" t="inlineStr">
        <is>
          <t>2026-06-11</t>
        </is>
      </c>
      <c r="G239" t="inlineStr"/>
      <c r="H239">
        <f>HYPERLINK("https://booking.roadsurfer.com/es/rally/pick?pickup_date=2026-06-04&amp;return_date=2026-06-11&amp;currency=EUR&amp;startStation=111&amp;endStation=59", "Clic para verlo en la web de RoadSurfer")</f>
        <v/>
      </c>
    </row>
    <row r="240">
      <c r="A240" t="inlineStr">
        <is>
          <t>Alemania</t>
        </is>
      </c>
      <c r="B240" t="inlineStr">
        <is>
          <t>Kiel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2026-06-10</t>
        </is>
      </c>
      <c r="F240" t="inlineStr">
        <is>
          <t>2026-06-17</t>
        </is>
      </c>
      <c r="G240" t="inlineStr">
        <is>
          <t xml:space="preserve"> - Couple Cottage</t>
        </is>
      </c>
      <c r="H240">
        <f>HYPERLINK("https://booking.roadsurfer.com/es/rally/pick?pickup_date=2026-06-10&amp;return_date=2026-06-17&amp;currency=EUR&amp;startStation=111&amp;endStation=59", "Clic para verlo en la web de RoadSurfer")</f>
        <v/>
      </c>
    </row>
    <row r="241">
      <c r="A241" t="inlineStr">
        <is>
          <t>Alemania</t>
        </is>
      </c>
      <c r="B241" t="inlineStr">
        <is>
          <t>Kiel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2026-06-30</t>
        </is>
      </c>
      <c r="F241" t="inlineStr">
        <is>
          <t>2026-07-07</t>
        </is>
      </c>
      <c r="G241" t="inlineStr">
        <is>
          <t xml:space="preserve"> - Road House</t>
        </is>
      </c>
      <c r="H241">
        <f>HYPERLINK("https://booking.roadsurfer.com/es/rally/pick?pickup_date=2026-06-30&amp;return_date=2026-07-07&amp;currency=EUR&amp;startStation=111&amp;endStation=59", "Clic para verlo en la web de RoadSurfer")</f>
        <v/>
      </c>
    </row>
    <row r="242">
      <c r="A242" t="inlineStr">
        <is>
          <t>Alemania</t>
        </is>
      </c>
      <c r="B242" t="inlineStr">
        <is>
          <t>Kiel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2026-06-25</t>
        </is>
      </c>
      <c r="F242" t="inlineStr">
        <is>
          <t>2026-07-02</t>
        </is>
      </c>
      <c r="G242" t="inlineStr"/>
      <c r="H242">
        <f>HYPERLINK("https://booking.roadsurfer.com/es/rally/pick?pickup_date=2026-06-25&amp;return_date=2026-07-02&amp;currency=EUR&amp;startStation=111&amp;endStation=59", "Clic para verlo en la web de RoadSurfer")</f>
        <v/>
      </c>
    </row>
    <row r="243">
      <c r="A243" t="inlineStr">
        <is>
          <t>Alemania</t>
        </is>
      </c>
      <c r="B243" t="inlineStr">
        <is>
          <t>Kiel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2026-06-26</t>
        </is>
      </c>
      <c r="F243" t="inlineStr">
        <is>
          <t>2026-07-03</t>
        </is>
      </c>
      <c r="G243" t="inlineStr"/>
      <c r="H243">
        <f>HYPERLINK("https://booking.roadsurfer.com/es/rally/pick?pickup_date=2026-06-26&amp;return_date=2026-07-03&amp;currency=EUR&amp;startStation=111&amp;endStation=59", "Clic para verlo en la web de RoadSurfer")</f>
        <v/>
      </c>
    </row>
    <row r="244">
      <c r="A244" t="inlineStr">
        <is>
          <t>EE.UU.</t>
        </is>
      </c>
      <c r="B244" t="inlineStr">
        <is>
          <t>Las Vegas</t>
        </is>
      </c>
      <c r="C244" t="inlineStr">
        <is>
          <t>EE.UU.</t>
        </is>
      </c>
      <c r="D244" t="inlineStr">
        <is>
          <t>Dallas</t>
        </is>
      </c>
      <c r="E244" t="inlineStr">
        <is>
          <t>2026-06-20</t>
        </is>
      </c>
      <c r="F244" t="inlineStr">
        <is>
          <t>2026-06-27</t>
        </is>
      </c>
      <c r="G244" t="inlineStr">
        <is>
          <t xml:space="preserve"> - Liberty Lodge</t>
        </is>
      </c>
      <c r="H244">
        <f>HYPERLINK("https://booking.roadsurfer.com/es/rally/pick?pickup_date=2026-06-20&amp;return_date=2026-06-27&amp;currency=EUR&amp;startStation=76&amp;endStation=125",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Austria</t>
        </is>
      </c>
      <c r="D245" t="inlineStr">
        <is>
          <t>Graz</t>
        </is>
      </c>
      <c r="E245" t="inlineStr">
        <is>
          <t>2026-06-08</t>
        </is>
      </c>
      <c r="F245" t="inlineStr">
        <is>
          <t>2026-06-15</t>
        </is>
      </c>
      <c r="G245" t="inlineStr"/>
      <c r="H245">
        <f>HYPERLINK("https://booking.roadsurfer.com/es/rally/pick?pickup_date=2026-06-08&amp;return_date=2026-06-15&amp;currency=EUR&amp;startStation=8&amp;endStation=37",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2026-06-17</t>
        </is>
      </c>
      <c r="F246" t="inlineStr">
        <is>
          <t>2026-06-24</t>
        </is>
      </c>
      <c r="G246" t="inlineStr">
        <is>
          <t xml:space="preserve"> - Surfer Suite</t>
        </is>
      </c>
      <c r="H246">
        <f>HYPERLINK("https://booking.roadsurfer.com/es/rally/pick?pickup_date=2026-06-17&amp;return_date=2026-06-24&amp;currency=EUR&amp;startStation=8&amp;endStation=37",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Austria</t>
        </is>
      </c>
      <c r="D247" t="inlineStr">
        <is>
          <t>Graz</t>
        </is>
      </c>
      <c r="E247" t="inlineStr">
        <is>
          <t>2026-06-20</t>
        </is>
      </c>
      <c r="F247" t="inlineStr">
        <is>
          <t>2026-06-27</t>
        </is>
      </c>
      <c r="G247" t="inlineStr">
        <is>
          <t xml:space="preserve"> - Camper Cabin</t>
        </is>
      </c>
      <c r="H247">
        <f>HYPERLINK("https://booking.roadsurfer.com/es/rally/pick?pickup_date=2026-06-20&amp;return_date=2026-06-27&amp;currency=EUR&amp;startStation=8&amp;endStation=37",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2026-05-29</t>
        </is>
      </c>
      <c r="F248" t="inlineStr">
        <is>
          <t>2026-06-05</t>
        </is>
      </c>
      <c r="G248" t="inlineStr">
        <is>
          <t xml:space="preserve"> - Surfer Suite</t>
        </is>
      </c>
      <c r="H248">
        <f>HYPERLINK("https://booking.roadsurfer.com/es/rally/pick?pickup_date=2026-05-29&amp;return_date=2026-06-05&amp;currency=EUR&amp;startStation=8&amp;endStation=33",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2026-05-30</t>
        </is>
      </c>
      <c r="F249" t="inlineStr">
        <is>
          <t>2026-06-06</t>
        </is>
      </c>
      <c r="G249" t="inlineStr">
        <is>
          <t xml:space="preserve"> - Couple Cottage</t>
        </is>
      </c>
      <c r="H249">
        <f>HYPERLINK("https://booking.roadsurfer.com/es/rally/pick?pickup_date=2026-05-30&amp;return_date=2026-06-06&amp;currency=EUR&amp;startStation=8&amp;endStation=33",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2026-06-17</t>
        </is>
      </c>
      <c r="F250" t="inlineStr">
        <is>
          <t>2026-06-24</t>
        </is>
      </c>
      <c r="G250" t="inlineStr">
        <is>
          <t xml:space="preserve"> - Surfer Suite</t>
        </is>
      </c>
      <c r="H250">
        <f>HYPERLINK("https://booking.roadsurfer.com/es/rally/pick?pickup_date=2026-06-17&amp;return_date=2026-06-24&amp;currency=EUR&amp;startStation=8&amp;endStation=15",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2026-06-11</t>
        </is>
      </c>
      <c r="F251" t="inlineStr">
        <is>
          <t>2026-06-18</t>
        </is>
      </c>
      <c r="G251" t="inlineStr">
        <is>
          <t xml:space="preserve"> - Surfer Suite</t>
        </is>
      </c>
      <c r="H251">
        <f>HYPERLINK("https://booking.roadsurfer.com/es/rally/pick?pickup_date=2026-06-11&amp;return_date=2026-06-18&amp;currency=EUR&amp;startStation=8&amp;endStation=13",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2026-06-17</t>
        </is>
      </c>
      <c r="F252" t="inlineStr">
        <is>
          <t>2026-06-24</t>
        </is>
      </c>
      <c r="G252" t="inlineStr">
        <is>
          <t xml:space="preserve"> - Road House</t>
        </is>
      </c>
      <c r="H252">
        <f>HYPERLINK("https://booking.roadsurfer.com/es/rally/pick?pickup_date=2026-06-17&amp;return_date=2026-06-24&amp;currency=EUR&amp;startStation=8&amp;endStation=13",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Austria</t>
        </is>
      </c>
      <c r="D253" t="inlineStr">
        <is>
          <t>Viena</t>
        </is>
      </c>
      <c r="E253" t="inlineStr">
        <is>
          <t>2026-06-10</t>
        </is>
      </c>
      <c r="F253" t="inlineStr">
        <is>
          <t>2026-06-17</t>
        </is>
      </c>
      <c r="G253" t="inlineStr">
        <is>
          <t xml:space="preserve"> - No hay coche</t>
        </is>
      </c>
      <c r="H253">
        <f>HYPERLINK("https://booking.roadsurfer.com/es/rally/pick?pickup_date=2026-06-10&amp;return_date=2026-06-17&amp;currency=EUR&amp;startStation=8&amp;endStation=36",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Italia</t>
        </is>
      </c>
      <c r="D254" t="inlineStr">
        <is>
          <t>Bérgamo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No hay coche</t>
        </is>
      </c>
      <c r="H254">
        <f>HYPERLINK("https://booking.roadsurfer.com/es/rally/pick?pickup_date=2026-06-01&amp;return_date=2026-06-08&amp;currency=EUR&amp;startStation=8&amp;endStation=94",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Couple Cottage</t>
        </is>
      </c>
      <c r="H255">
        <f>HYPERLINK("https://booking.roadsurfer.com/es/rally/pick?pickup_date=2026-06-08&amp;return_date=2026-06-15&amp;currency=EUR&amp;startStation=8&amp;endStation=34",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2026-06-30</t>
        </is>
      </c>
      <c r="F256" t="inlineStr">
        <is>
          <t>2026-07-07</t>
        </is>
      </c>
      <c r="G256" t="inlineStr"/>
      <c r="H256">
        <f>HYPERLINK("https://booking.roadsurfer.com/es/rally/pick?pickup_date=2026-06-30&amp;return_date=2026-07-07&amp;currency=EUR&amp;startStation=8&amp;endStation=34",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España</t>
        </is>
      </c>
      <c r="D257" t="inlineStr">
        <is>
          <t>Valencia</t>
        </is>
      </c>
      <c r="E257" t="inlineStr">
        <is>
          <t>2026-06-02</t>
        </is>
      </c>
      <c r="F257" t="inlineStr">
        <is>
          <t>2026-06-09</t>
        </is>
      </c>
      <c r="G257" t="inlineStr"/>
      <c r="H257">
        <f>HYPERLINK("https://booking.roadsurfer.com/es/rally/pick?pickup_date=2026-06-02&amp;return_date=2026-06-09&amp;currency=EUR&amp;startStation=8&amp;endStation=38",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Austria</t>
        </is>
      </c>
      <c r="D258" t="inlineStr">
        <is>
          <t>Viena Sur</t>
        </is>
      </c>
      <c r="E258" t="inlineStr">
        <is>
          <t>2026-07-01</t>
        </is>
      </c>
      <c r="F258" t="inlineStr">
        <is>
          <t>2026-07-08</t>
        </is>
      </c>
      <c r="G258" t="inlineStr">
        <is>
          <t xml:space="preserve"> - Family Finca</t>
        </is>
      </c>
      <c r="H258">
        <f>HYPERLINK("https://booking.roadsurfer.com/es/rally/pick?pickup_date=2026-07-01&amp;return_date=2026-07-08&amp;currency=EUR&amp;startStation=8&amp;endStation=45",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2026-05-30</t>
        </is>
      </c>
      <c r="F259" t="inlineStr">
        <is>
          <t>2026-06-06</t>
        </is>
      </c>
      <c r="G259" t="inlineStr">
        <is>
          <t xml:space="preserve"> - Family Finca</t>
        </is>
      </c>
      <c r="H259">
        <f>HYPERLINK("https://booking.roadsurfer.com/es/rally/pick?pickup_date=2026-05-30&amp;return_date=2026-06-06&amp;currency=EUR&amp;startStation=8&amp;endStation=45",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2026-06-24</t>
        </is>
      </c>
      <c r="F260" t="inlineStr">
        <is>
          <t>2026-07-01</t>
        </is>
      </c>
      <c r="G260" t="inlineStr">
        <is>
          <t xml:space="preserve"> - Couple Cottage</t>
        </is>
      </c>
      <c r="H260">
        <f>HYPERLINK("https://booking.roadsurfer.com/es/rally/pick?pickup_date=2026-06-24&amp;return_date=2026-07-01&amp;currency=EUR&amp;startStation=8&amp;endStation=59",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2026-06-29</t>
        </is>
      </c>
      <c r="F261" t="inlineStr">
        <is>
          <t>2026-07-06</t>
        </is>
      </c>
      <c r="G261" t="inlineStr">
        <is>
          <t xml:space="preserve"> - Couple Cottage</t>
        </is>
      </c>
      <c r="H261">
        <f>HYPERLINK("https://booking.roadsurfer.com/es/rally/pick?pickup_date=2026-06-29&amp;return_date=2026-07-06&amp;currency=EUR&amp;startStation=8&amp;endStation=59",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2026-06-30</t>
        </is>
      </c>
      <c r="F262" t="inlineStr">
        <is>
          <t>2026-07-07</t>
        </is>
      </c>
      <c r="G262" t="inlineStr">
        <is>
          <t xml:space="preserve"> - Couple Cottage</t>
        </is>
      </c>
      <c r="H262">
        <f>HYPERLINK("https://booking.roadsurfer.com/es/rally/pick?pickup_date=2026-06-30&amp;return_date=2026-07-07&amp;currency=EUR&amp;startStation=8&amp;endStation=59",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Italia</t>
        </is>
      </c>
      <c r="D263" t="inlineStr">
        <is>
          <t>Turín</t>
        </is>
      </c>
      <c r="E263" t="inlineStr">
        <is>
          <t>2026-06-22</t>
        </is>
      </c>
      <c r="F263" t="inlineStr">
        <is>
          <t>2026-06-29</t>
        </is>
      </c>
      <c r="G263" t="inlineStr">
        <is>
          <t xml:space="preserve"> - No hay coche</t>
        </is>
      </c>
      <c r="H263">
        <f>HYPERLINK("https://booking.roadsurfer.com/es/rally/pick?pickup_date=2026-06-22&amp;return_date=2026-06-29&amp;currency=EUR&amp;startStation=8&amp;endStation=58",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Italia</t>
        </is>
      </c>
      <c r="D264" t="inlineStr">
        <is>
          <t>Venecia</t>
        </is>
      </c>
      <c r="E264" t="inlineStr">
        <is>
          <t>2026-06-20</t>
        </is>
      </c>
      <c r="F264" t="inlineStr">
        <is>
          <t>2026-06-27</t>
        </is>
      </c>
      <c r="G264" t="inlineStr">
        <is>
          <t xml:space="preserve"> - Sunrise Suite</t>
        </is>
      </c>
      <c r="H264">
        <f>HYPERLINK("https://booking.roadsurfer.com/es/rally/pick?pickup_date=2026-06-20&amp;return_date=2026-06-27&amp;currency=EUR&amp;startStation=8&amp;endStation=78", "Clic para verlo en la web de RoadSurfer")</f>
        <v/>
      </c>
    </row>
    <row r="265">
      <c r="A265" t="inlineStr">
        <is>
          <t>Francia</t>
        </is>
      </c>
      <c r="B265" t="inlineStr">
        <is>
          <t>Lille</t>
        </is>
      </c>
      <c r="C265" t="inlineStr">
        <is>
          <t>Alemania</t>
        </is>
      </c>
      <c r="D265" t="inlineStr">
        <is>
          <t>Aquisgrán</t>
        </is>
      </c>
      <c r="E265" t="inlineStr">
        <is>
          <t>2026-05-29</t>
        </is>
      </c>
      <c r="F265" t="inlineStr">
        <is>
          <t>2026-06-05</t>
        </is>
      </c>
      <c r="G265" t="inlineStr">
        <is>
          <t xml:space="preserve"> - Surfer Suite</t>
        </is>
      </c>
      <c r="H265">
        <f>HYPERLINK("https://booking.roadsurfer.com/es/rally/pick?pickup_date=2026-05-29&amp;return_date=2026-06-05&amp;currency=EUR&amp;startStation=87&amp;endStation=114",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Alemania</t>
        </is>
      </c>
      <c r="D266" t="inlineStr">
        <is>
          <t>Maguncia</t>
        </is>
      </c>
      <c r="E266" t="inlineStr">
        <is>
          <t>2026-06-23</t>
        </is>
      </c>
      <c r="F266" t="inlineStr">
        <is>
          <t>2026-06-30</t>
        </is>
      </c>
      <c r="G266" t="inlineStr">
        <is>
          <t xml:space="preserve"> - Cozy Cottage</t>
        </is>
      </c>
      <c r="H266">
        <f>HYPERLINK("https://booking.roadsurfer.com/es/rally/pick?pickup_date=2026-06-23&amp;return_date=2026-06-30&amp;currency=EUR&amp;startStation=117&amp;endStation=54",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2026-06-06</t>
        </is>
      </c>
      <c r="F267" t="inlineStr">
        <is>
          <t>2026-06-13</t>
        </is>
      </c>
      <c r="G267" t="inlineStr">
        <is>
          <t xml:space="preserve"> - No hay coche</t>
        </is>
      </c>
      <c r="H267">
        <f>HYPERLINK("https://booking.roadsurfer.com/es/rally/pick?pickup_date=2026-06-06&amp;return_date=2026-06-13&amp;currency=EUR&amp;startStation=117&amp;endStation=20", "Clic para verlo en la web de RoadSurfer")</f>
        <v/>
      </c>
    </row>
    <row r="268">
      <c r="A268" t="inlineStr">
        <is>
          <t>Alemania</t>
        </is>
      </c>
      <c r="B268" t="inlineStr">
        <is>
          <t>Lindau-Wangen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2026-06-22</t>
        </is>
      </c>
      <c r="F268" t="inlineStr">
        <is>
          <t>2026-06-29</t>
        </is>
      </c>
      <c r="G268" t="inlineStr">
        <is>
          <t xml:space="preserve"> - No hay coche</t>
        </is>
      </c>
      <c r="H268">
        <f>HYPERLINK("https://booking.roadsurfer.com/es/rally/pick?pickup_date=2026-06-22&amp;return_date=2026-06-29&amp;currency=EUR&amp;startStation=117&amp;endStation=20", "Clic para verlo en la web de RoadSurfer")</f>
        <v/>
      </c>
    </row>
    <row r="269">
      <c r="A269" t="inlineStr">
        <is>
          <t>Alemania</t>
        </is>
      </c>
      <c r="B269" t="inlineStr">
        <is>
          <t>Lindau-Wangen</t>
        </is>
      </c>
      <c r="C269" t="inlineStr">
        <is>
          <t>España</t>
        </is>
      </c>
      <c r="D269" t="inlineStr">
        <is>
          <t>Barcelona</t>
        </is>
      </c>
      <c r="E269" t="inlineStr">
        <is>
          <t>2026-06-06</t>
        </is>
      </c>
      <c r="F269" t="inlineStr">
        <is>
          <t>2026-06-13</t>
        </is>
      </c>
      <c r="G269" t="inlineStr">
        <is>
          <t xml:space="preserve"> - Family Finca</t>
        </is>
      </c>
      <c r="H269">
        <f>HYPERLINK("https://booking.roadsurfer.com/es/rally/pick?pickup_date=2026-06-06&amp;return_date=2026-06-13&amp;currency=EUR&amp;startStation=117&amp;endStation=17", "Clic para verlo en la web de RoadSurfer")</f>
        <v/>
      </c>
    </row>
    <row r="270">
      <c r="A270" t="inlineStr">
        <is>
          <t>Alemania</t>
        </is>
      </c>
      <c r="B270" t="inlineStr">
        <is>
          <t>Lindau-Wangen</t>
        </is>
      </c>
      <c r="C270" t="inlineStr">
        <is>
          <t>Bélgica</t>
        </is>
      </c>
      <c r="D270" t="inlineStr">
        <is>
          <t>Bruselas</t>
        </is>
      </c>
      <c r="E270" t="inlineStr">
        <is>
          <t>2026-07-01</t>
        </is>
      </c>
      <c r="F270" t="inlineStr">
        <is>
          <t>2026-07-08</t>
        </is>
      </c>
      <c r="G270" t="inlineStr">
        <is>
          <t xml:space="preserve"> - Beach Hostel</t>
        </is>
      </c>
      <c r="H270">
        <f>HYPERLINK("https://booking.roadsurfer.com/es/rally/pick?pickup_date=2026-07-01&amp;return_date=2026-07-08&amp;currency=EUR&amp;startStation=117&amp;endStation=42", "Clic para verlo en la web de RoadSurfer")</f>
        <v/>
      </c>
    </row>
    <row r="271">
      <c r="A271" t="inlineStr">
        <is>
          <t>Austria</t>
        </is>
      </c>
      <c r="B271" t="inlineStr">
        <is>
          <t>Linz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2026-06-09</t>
        </is>
      </c>
      <c r="F271" t="inlineStr">
        <is>
          <t>2026-06-16</t>
        </is>
      </c>
      <c r="G271" t="inlineStr"/>
      <c r="H271">
        <f>HYPERLINK("https://booking.roadsurfer.com/es/rally/pick?pickup_date=2026-06-09&amp;return_date=2026-06-16&amp;currency=EUR&amp;startStation=116&amp;endStation=45", "Clic para verlo en la web de RoadSurfer")</f>
        <v/>
      </c>
    </row>
    <row r="272">
      <c r="A272" t="inlineStr">
        <is>
          <t>Austria</t>
        </is>
      </c>
      <c r="B272" t="inlineStr">
        <is>
          <t>Linz</t>
        </is>
      </c>
      <c r="C272" t="inlineStr">
        <is>
          <t>Alemania</t>
        </is>
      </c>
      <c r="D272" t="inlineStr">
        <is>
          <t>Augsburgo</t>
        </is>
      </c>
      <c r="E272" t="inlineStr">
        <is>
          <t>2026-06-15</t>
        </is>
      </c>
      <c r="F272" t="inlineStr">
        <is>
          <t>2026-06-22</t>
        </is>
      </c>
      <c r="G272" t="inlineStr">
        <is>
          <t xml:space="preserve"> - No hay coche</t>
        </is>
      </c>
      <c r="H272">
        <f>HYPERLINK("https://booking.roadsurfer.com/es/rally/pick?pickup_date=2026-06-15&amp;return_date=2026-06-22&amp;currency=EUR&amp;startStation=116&amp;endStation=108", "Clic para verlo en la web de RoadSurfer")</f>
        <v/>
      </c>
    </row>
    <row r="273">
      <c r="A273" t="inlineStr">
        <is>
          <t>Alemania</t>
        </is>
      </c>
      <c r="B273" t="inlineStr">
        <is>
          <t>Lübeck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2026-06-11</t>
        </is>
      </c>
      <c r="F273" t="inlineStr">
        <is>
          <t>2026-06-18</t>
        </is>
      </c>
      <c r="G273" t="inlineStr">
        <is>
          <t xml:space="preserve"> - No hay coche</t>
        </is>
      </c>
      <c r="H273">
        <f>HYPERLINK("https://booking.roadsurfer.com/es/rally/pick?pickup_date=2026-06-11&amp;return_date=2026-06-18&amp;currency=EUR&amp;startStation=109&amp;endStation=60", "Clic para verlo en la web de RoadSurfer")</f>
        <v/>
      </c>
    </row>
    <row r="274">
      <c r="A274" t="inlineStr">
        <is>
          <t>Alemania</t>
        </is>
      </c>
      <c r="B274" t="inlineStr">
        <is>
          <t>Lübeck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2026-06-26</t>
        </is>
      </c>
      <c r="F274" t="inlineStr">
        <is>
          <t>2026-07-03</t>
        </is>
      </c>
      <c r="G274" t="inlineStr">
        <is>
          <t xml:space="preserve"> - Couple Cottage</t>
        </is>
      </c>
      <c r="H274">
        <f>HYPERLINK("https://booking.roadsurfer.com/es/rally/pick?pickup_date=2026-06-26&amp;return_date=2026-07-03&amp;currency=EUR&amp;startStation=109&amp;endStation=60", "Clic para verlo en la web de RoadSurfer")</f>
        <v/>
      </c>
    </row>
    <row r="275">
      <c r="A275" t="inlineStr">
        <is>
          <t>Alemania</t>
        </is>
      </c>
      <c r="B275" t="inlineStr">
        <is>
          <t>Lübeck</t>
        </is>
      </c>
      <c r="C275" t="inlineStr">
        <is>
          <t>Austria</t>
        </is>
      </c>
      <c r="D275" t="inlineStr">
        <is>
          <t>Viena</t>
        </is>
      </c>
      <c r="E275" t="inlineStr">
        <is>
          <t>2026-06-24</t>
        </is>
      </c>
      <c r="F275" t="inlineStr">
        <is>
          <t>2026-07-01</t>
        </is>
      </c>
      <c r="G275" t="inlineStr">
        <is>
          <t xml:space="preserve"> - Sunrise Suite</t>
        </is>
      </c>
      <c r="H275">
        <f>HYPERLINK("https://booking.roadsurfer.com/es/rally/pick?pickup_date=2026-06-24&amp;return_date=2026-07-01&amp;currency=EUR&amp;startStation=109&amp;endStation=36", "Clic para verlo en la web de RoadSurfer")</f>
        <v/>
      </c>
    </row>
    <row r="276">
      <c r="A276" t="inlineStr">
        <is>
          <t>Alemania</t>
        </is>
      </c>
      <c r="B276" t="inlineStr">
        <is>
          <t>Lübeck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2026-06-06</t>
        </is>
      </c>
      <c r="F276" t="inlineStr">
        <is>
          <t>2026-06-13</t>
        </is>
      </c>
      <c r="G276" t="inlineStr">
        <is>
          <t xml:space="preserve"> - No hay coche</t>
        </is>
      </c>
      <c r="H276">
        <f>HYPERLINK("https://booking.roadsurfer.com/es/rally/pick?pickup_date=2026-06-06&amp;return_date=2026-06-13&amp;currency=EUR&amp;startStation=109&amp;endStation=113", "Clic para verlo en la web de RoadSurfer")</f>
        <v/>
      </c>
    </row>
    <row r="277">
      <c r="A277" t="inlineStr">
        <is>
          <t>Francia</t>
        </is>
      </c>
      <c r="B277" t="inlineStr">
        <is>
          <t>Lyon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2026-05-29</t>
        </is>
      </c>
      <c r="F277" t="inlineStr">
        <is>
          <t>2026-06-05</t>
        </is>
      </c>
      <c r="G277" t="inlineStr"/>
      <c r="H277">
        <f>HYPERLINK("https://booking.roadsurfer.com/es/rally/pick?pickup_date=2026-05-29&amp;return_date=2026-06-05&amp;currency=EUR&amp;startStation=15&amp;endStation=56", "Clic para verlo en la web de RoadSurfer")</f>
        <v/>
      </c>
    </row>
    <row r="278">
      <c r="A278" t="inlineStr">
        <is>
          <t>Francia</t>
        </is>
      </c>
      <c r="B278" t="inlineStr">
        <is>
          <t>Lyon</t>
        </is>
      </c>
      <c r="C278" t="inlineStr">
        <is>
          <t>Alemania</t>
        </is>
      </c>
      <c r="D278" t="inlineStr">
        <is>
          <t>Erfurt</t>
        </is>
      </c>
      <c r="E278" t="inlineStr">
        <is>
          <t>2026-05-30</t>
        </is>
      </c>
      <c r="F278" t="inlineStr">
        <is>
          <t>2026-06-06</t>
        </is>
      </c>
      <c r="G278" t="inlineStr">
        <is>
          <t xml:space="preserve"> - Beach Hostel</t>
        </is>
      </c>
      <c r="H278">
        <f>HYPERLINK("https://booking.roadsurfer.com/es/rally/pick?pickup_date=2026-05-30&amp;return_date=2026-06-06&amp;currency=EUR&amp;startStation=15&amp;endStation=90", "Clic para verlo en la web de RoadSurfer")</f>
        <v/>
      </c>
    </row>
    <row r="279">
      <c r="A279" t="inlineStr">
        <is>
          <t>Francia</t>
        </is>
      </c>
      <c r="B279" t="inlineStr">
        <is>
          <t>Lyon</t>
        </is>
      </c>
      <c r="C279" t="inlineStr">
        <is>
          <t>Alemania</t>
        </is>
      </c>
      <c r="D279" t="inlineStr">
        <is>
          <t>Friburgo-Basilea (Alemania)</t>
        </is>
      </c>
      <c r="E279" t="inlineStr">
        <is>
          <t>2026-05-29</t>
        </is>
      </c>
      <c r="F279" t="inlineStr">
        <is>
          <t>2026-06-05</t>
        </is>
      </c>
      <c r="G279" t="inlineStr"/>
      <c r="H279">
        <f>HYPERLINK("https://booking.roadsurfer.com/es/rally/pick?pickup_date=2026-05-29&amp;return_date=2026-06-05&amp;currency=EUR&amp;startStation=15&amp;endStation=9", "Clic para verlo en la web de RoadSurfer")</f>
        <v/>
      </c>
    </row>
    <row r="280">
      <c r="A280" t="inlineStr">
        <is>
          <t>Francia</t>
        </is>
      </c>
      <c r="B280" t="inlineStr">
        <is>
          <t>Lyon</t>
        </is>
      </c>
      <c r="C280" t="inlineStr">
        <is>
          <t>Alemania</t>
        </is>
      </c>
      <c r="D280" t="inlineStr">
        <is>
          <t>Hamburgo Aeropuerto</t>
        </is>
      </c>
      <c r="E280" t="inlineStr">
        <is>
          <t>2026-05-30</t>
        </is>
      </c>
      <c r="F280" t="inlineStr">
        <is>
          <t>2026-06-06</t>
        </is>
      </c>
      <c r="G280" t="inlineStr"/>
      <c r="H280">
        <f>HYPERLINK("https://booking.roadsurfer.com/es/rally/pick?pickup_date=2026-05-30&amp;return_date=2026-06-06&amp;currency=EUR&amp;startStation=15&amp;endStation=65", "Clic para verlo en la web de RoadSurfer")</f>
        <v/>
      </c>
    </row>
    <row r="281">
      <c r="A281" t="inlineStr">
        <is>
          <t>Francia</t>
        </is>
      </c>
      <c r="B281" t="inlineStr">
        <is>
          <t>Lyon</t>
        </is>
      </c>
      <c r="C281" t="inlineStr">
        <is>
          <t>Alemania</t>
        </is>
      </c>
      <c r="D281" t="inlineStr">
        <is>
          <t>Fráncfort</t>
        </is>
      </c>
      <c r="E281" t="inlineStr">
        <is>
          <t>2026-06-19</t>
        </is>
      </c>
      <c r="F281" t="inlineStr">
        <is>
          <t>2026-06-26</t>
        </is>
      </c>
      <c r="G281" t="inlineStr">
        <is>
          <t xml:space="preserve"> - Road House</t>
        </is>
      </c>
      <c r="H281">
        <f>HYPERLINK("https://booking.roadsurfer.com/es/rally/pick?pickup_date=2026-06-19&amp;return_date=2026-06-26&amp;currency=EUR&amp;startStation=15&amp;endStation=2", "Clic para verlo en la web de RoadSurfer")</f>
        <v/>
      </c>
    </row>
    <row r="282">
      <c r="A282" t="inlineStr">
        <is>
          <t>España</t>
        </is>
      </c>
      <c r="B282" t="inlineStr">
        <is>
          <t>Madrid</t>
        </is>
      </c>
      <c r="C282" t="inlineStr">
        <is>
          <t>Alemania</t>
        </is>
      </c>
      <c r="D282" t="inlineStr">
        <is>
          <t>Heidelberg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Travel Home</t>
        </is>
      </c>
      <c r="H282">
        <f>HYPERLINK("https://booking.roadsurfer.com/es/rally/pick?pickup_date=2026-06-08&amp;return_date=2026-06-15&amp;currency=EUR&amp;startStation=20&amp;endStation=79", "Clic para verlo en la web de RoadSurfer")</f>
        <v/>
      </c>
    </row>
    <row r="283">
      <c r="A283" t="inlineStr">
        <is>
          <t>España</t>
        </is>
      </c>
      <c r="B283" t="inlineStr">
        <is>
          <t>Madrid</t>
        </is>
      </c>
      <c r="C283" t="inlineStr">
        <is>
          <t>Alemania</t>
        </is>
      </c>
      <c r="D283" t="inlineStr">
        <is>
          <t>Stuttgart</t>
        </is>
      </c>
      <c r="E283" t="inlineStr">
        <is>
          <t>2026-05-27</t>
        </is>
      </c>
      <c r="F283" t="inlineStr">
        <is>
          <t>2026-06-03</t>
        </is>
      </c>
      <c r="G283" t="inlineStr">
        <is>
          <t xml:space="preserve"> - Camper Cabin</t>
        </is>
      </c>
      <c r="H283">
        <f>HYPERLINK("https://booking.roadsurfer.com/es/rally/pick?pickup_date=2026-05-27&amp;return_date=2026-06-03&amp;currency=EUR&amp;startStation=20&amp;endStation=5", "Clic para verlo en la web de RoadSurfer")</f>
        <v/>
      </c>
    </row>
    <row r="284">
      <c r="A284" t="inlineStr">
        <is>
          <t>España</t>
        </is>
      </c>
      <c r="B284" t="inlineStr">
        <is>
          <t>Madrid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2026-06-12</t>
        </is>
      </c>
      <c r="F284" t="inlineStr">
        <is>
          <t>2026-06-19</t>
        </is>
      </c>
      <c r="G284" t="inlineStr">
        <is>
          <t xml:space="preserve"> - Road House</t>
        </is>
      </c>
      <c r="H284">
        <f>HYPERLINK("https://booking.roadsurfer.com/es/rally/pick?pickup_date=2026-06-12&amp;return_date=2026-06-19&amp;currency=EUR&amp;startStation=20&amp;endStation=5", "Clic para verlo en la web de RoadSurfer")</f>
        <v/>
      </c>
    </row>
    <row r="285">
      <c r="A285" t="inlineStr">
        <is>
          <t>España</t>
        </is>
      </c>
      <c r="B285" t="inlineStr">
        <is>
          <t>Madrid</t>
        </is>
      </c>
      <c r="C285" t="inlineStr">
        <is>
          <t>Alemania</t>
        </is>
      </c>
      <c r="D285" t="inlineStr">
        <is>
          <t>Constanza (Aach)</t>
        </is>
      </c>
      <c r="E285" t="inlineStr">
        <is>
          <t>2026-05-27</t>
        </is>
      </c>
      <c r="F285" t="inlineStr">
        <is>
          <t>2026-06-03</t>
        </is>
      </c>
      <c r="G285" t="inlineStr">
        <is>
          <t xml:space="preserve"> - Couple Cottage</t>
        </is>
      </c>
      <c r="H285">
        <f>HYPERLINK("https://booking.roadsurfer.com/es/rally/pick?pickup_date=2026-05-27&amp;return_date=2026-06-03&amp;currency=EUR&amp;startStation=20&amp;endStation=10", "Clic para verlo en la web de RoadSurfer")</f>
        <v/>
      </c>
    </row>
    <row r="286">
      <c r="A286" t="inlineStr">
        <is>
          <t>España</t>
        </is>
      </c>
      <c r="B286" t="inlineStr">
        <is>
          <t>Madrid</t>
        </is>
      </c>
      <c r="C286" t="inlineStr">
        <is>
          <t>Alemania</t>
        </is>
      </c>
      <c r="D286" t="inlineStr">
        <is>
          <t>Maguncia</t>
        </is>
      </c>
      <c r="E286" t="inlineStr">
        <is>
          <t>2026-05-29</t>
        </is>
      </c>
      <c r="F286" t="inlineStr">
        <is>
          <t>2026-06-05</t>
        </is>
      </c>
      <c r="G286" t="inlineStr">
        <is>
          <t xml:space="preserve"> - Sunrise Suite</t>
        </is>
      </c>
      <c r="H286">
        <f>HYPERLINK("https://booking.roadsurfer.com/es/rally/pick?pickup_date=2026-05-29&amp;return_date=2026-06-05&amp;currency=EUR&amp;startStation=20&amp;endStation=54", "Clic para verlo en la web de RoadSurfer")</f>
        <v/>
      </c>
    </row>
    <row r="287">
      <c r="A287" t="inlineStr">
        <is>
          <t>España</t>
        </is>
      </c>
      <c r="B287" t="inlineStr">
        <is>
          <t>Madrid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2026-05-27</t>
        </is>
      </c>
      <c r="F287" t="inlineStr">
        <is>
          <t>2026-06-03</t>
        </is>
      </c>
      <c r="G287" t="inlineStr">
        <is>
          <t xml:space="preserve"> - Sunrise Suite</t>
        </is>
      </c>
      <c r="H287">
        <f>HYPERLINK("https://booking.roadsurfer.com/es/rally/pick?pickup_date=2026-05-27&amp;return_date=2026-06-03&amp;currency=EUR&amp;startStation=20&amp;endStation=1", "Clic para verlo en la web de RoadSurfer")</f>
        <v/>
      </c>
    </row>
    <row r="288">
      <c r="A288" t="inlineStr">
        <is>
          <t>Alemania</t>
        </is>
      </c>
      <c r="B288" t="inlineStr">
        <is>
          <t>Maguncia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2026-05-30</t>
        </is>
      </c>
      <c r="F288" t="inlineStr">
        <is>
          <t>2026-06-06</t>
        </is>
      </c>
      <c r="G288" t="inlineStr">
        <is>
          <t xml:space="preserve"> - No hay coche</t>
        </is>
      </c>
      <c r="H288">
        <f>HYPERLINK("https://booking.roadsurfer.com/es/rally/pick?pickup_date=2026-05-30&amp;return_date=2026-06-06&amp;currency=EUR&amp;startStation=54&amp;endStation=59", "Clic para verlo en la web de RoadSurfer")</f>
        <v/>
      </c>
    </row>
    <row r="289">
      <c r="A289" t="inlineStr">
        <is>
          <t>Alemania</t>
        </is>
      </c>
      <c r="B289" t="inlineStr">
        <is>
          <t>Maguncia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2026-05-28</t>
        </is>
      </c>
      <c r="F289" t="inlineStr">
        <is>
          <t>2026-06-04</t>
        </is>
      </c>
      <c r="G289" t="inlineStr">
        <is>
          <t xml:space="preserve"> - Couple Cottage</t>
        </is>
      </c>
      <c r="H289">
        <f>HYPERLINK("https://booking.roadsurfer.com/es/rally/pick?pickup_date=2026-05-28&amp;return_date=2026-06-04&amp;currency=EUR&amp;startStation=54&amp;endStation=59", "Clic para verlo en la web de RoadSurfer")</f>
        <v/>
      </c>
    </row>
    <row r="290">
      <c r="A290" t="inlineStr">
        <is>
          <t>Alemania</t>
        </is>
      </c>
      <c r="B290" t="inlineStr">
        <is>
          <t>Maguncia</t>
        </is>
      </c>
      <c r="C290" t="inlineStr">
        <is>
          <t>España</t>
        </is>
      </c>
      <c r="D290" t="inlineStr">
        <is>
          <t>Valencia</t>
        </is>
      </c>
      <c r="E290" t="inlineStr">
        <is>
          <t>2026-06-01</t>
        </is>
      </c>
      <c r="F290" t="inlineStr">
        <is>
          <t>2026-06-08</t>
        </is>
      </c>
      <c r="G290" t="inlineStr">
        <is>
          <t xml:space="preserve"> - Road House</t>
        </is>
      </c>
      <c r="H290">
        <f>HYPERLINK("https://booking.roadsurfer.com/es/rally/pick?pickup_date=2026-06-01&amp;return_date=2026-06-08&amp;currency=EUR&amp;startStation=54&amp;endStation=38", "Clic para verlo en la web de RoadSurfer")</f>
        <v/>
      </c>
    </row>
    <row r="291">
      <c r="A291" t="inlineStr">
        <is>
          <t>Alemania</t>
        </is>
      </c>
      <c r="B291" t="inlineStr">
        <is>
          <t>Maguncia</t>
        </is>
      </c>
      <c r="C291" t="inlineStr">
        <is>
          <t>España</t>
        </is>
      </c>
      <c r="D291" t="inlineStr">
        <is>
          <t>Valencia</t>
        </is>
      </c>
      <c r="E291" t="inlineStr">
        <is>
          <t>2026-06-18</t>
        </is>
      </c>
      <c r="F291" t="inlineStr">
        <is>
          <t>2026-06-25</t>
        </is>
      </c>
      <c r="G291" t="inlineStr">
        <is>
          <t xml:space="preserve"> - Couple Cottage</t>
        </is>
      </c>
      <c r="H291">
        <f>HYPERLINK("https://booking.roadsurfer.com/es/rally/pick?pickup_date=2026-06-18&amp;return_date=2026-06-25&amp;currency=EUR&amp;startStation=54&amp;endStation=38", "Clic para verlo en la web de RoadSurfer")</f>
        <v/>
      </c>
    </row>
    <row r="292">
      <c r="A292" t="inlineStr">
        <is>
          <t>Alemania</t>
        </is>
      </c>
      <c r="B292" t="inlineStr">
        <is>
          <t>Maguncia</t>
        </is>
      </c>
      <c r="C292" t="inlineStr">
        <is>
          <t>Austria</t>
        </is>
      </c>
      <c r="D292" t="inlineStr">
        <is>
          <t>Innsbruck-Wiesing</t>
        </is>
      </c>
      <c r="E292" t="inlineStr">
        <is>
          <t>2026-05-30</t>
        </is>
      </c>
      <c r="F292" t="inlineStr">
        <is>
          <t>2026-06-06</t>
        </is>
      </c>
      <c r="G292" t="inlineStr">
        <is>
          <t xml:space="preserve"> - No hay coche</t>
        </is>
      </c>
      <c r="H292">
        <f>HYPERLINK("https://booking.roadsurfer.com/es/rally/pick?pickup_date=2026-05-30&amp;return_date=2026-06-06&amp;currency=EUR&amp;startStation=54&amp;endStation=46", "Clic para verlo en la web de RoadSurfer")</f>
        <v/>
      </c>
    </row>
    <row r="293">
      <c r="A293" t="inlineStr">
        <is>
          <t>Alemania</t>
        </is>
      </c>
      <c r="B293" t="inlineStr">
        <is>
          <t>Maguncia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2026-06-08</t>
        </is>
      </c>
      <c r="F293" t="inlineStr">
        <is>
          <t>2026-06-15</t>
        </is>
      </c>
      <c r="G293" t="inlineStr">
        <is>
          <t xml:space="preserve"> - Camper Castle</t>
        </is>
      </c>
      <c r="H293">
        <f>HYPERLINK("https://booking.roadsurfer.com/es/rally/pick?pickup_date=2026-06-08&amp;return_date=2026-06-15&amp;currency=EUR&amp;startStation=54&amp;endStation=20", "Clic para verlo en la web de RoadSurfer")</f>
        <v/>
      </c>
    </row>
    <row r="294">
      <c r="A294" t="inlineStr">
        <is>
          <t>Alemania</t>
        </is>
      </c>
      <c r="B294" t="inlineStr">
        <is>
          <t>Maguncia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2026-06-30</t>
        </is>
      </c>
      <c r="F294" t="inlineStr">
        <is>
          <t>2026-07-07</t>
        </is>
      </c>
      <c r="G294" t="inlineStr">
        <is>
          <t xml:space="preserve"> - Family Finca</t>
        </is>
      </c>
      <c r="H294">
        <f>HYPERLINK("https://booking.roadsurfer.com/es/rally/pick?pickup_date=2026-06-30&amp;return_date=2026-07-07&amp;currency=EUR&amp;startStation=54&amp;endStation=20", "Clic para verlo en la web de RoadSurfer")</f>
        <v/>
      </c>
    </row>
    <row r="295">
      <c r="A295" t="inlineStr">
        <is>
          <t>Alemania</t>
        </is>
      </c>
      <c r="B295" t="inlineStr">
        <is>
          <t>Maguncia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2026-06-26</t>
        </is>
      </c>
      <c r="F295" t="inlineStr">
        <is>
          <t>2026-07-03</t>
        </is>
      </c>
      <c r="G295" t="inlineStr">
        <is>
          <t xml:space="preserve"> - Sunrise Suite</t>
        </is>
      </c>
      <c r="H295">
        <f>HYPERLINK("https://booking.roadsurfer.com/es/rally/pick?pickup_date=2026-06-26&amp;return_date=2026-07-03&amp;currency=EUR&amp;startStation=54&amp;endStation=40", "Clic para verlo en la web de RoadSurfer")</f>
        <v/>
      </c>
    </row>
    <row r="296">
      <c r="A296" t="inlineStr">
        <is>
          <t>España</t>
        </is>
      </c>
      <c r="B296" t="inlineStr">
        <is>
          <t>Málaga</t>
        </is>
      </c>
      <c r="C296" t="inlineStr">
        <is>
          <t>Alemania</t>
        </is>
      </c>
      <c r="D296" t="inlineStr">
        <is>
          <t>Friburgo-Basilea (Alemania)</t>
        </is>
      </c>
      <c r="E296" t="inlineStr">
        <is>
          <t>2026-05-30</t>
        </is>
      </c>
      <c r="F296" t="inlineStr">
        <is>
          <t>2026-06-06</t>
        </is>
      </c>
      <c r="G296" t="inlineStr">
        <is>
          <t xml:space="preserve"> - Surfer Suite</t>
        </is>
      </c>
      <c r="H296">
        <f>HYPERLINK("https://booking.roadsurfer.com/es/rally/pick?pickup_date=2026-05-30&amp;return_date=2026-06-06&amp;currency=EUR&amp;startStation=21&amp;endStation=9", "Clic para verlo en la web de RoadSurfer")</f>
        <v/>
      </c>
    </row>
    <row r="297">
      <c r="A297" t="inlineStr">
        <is>
          <t>España</t>
        </is>
      </c>
      <c r="B297" t="inlineStr">
        <is>
          <t>Málaga</t>
        </is>
      </c>
      <c r="C297" t="inlineStr">
        <is>
          <t>Alemania</t>
        </is>
      </c>
      <c r="D297" t="inlineStr">
        <is>
          <t>Fráncfort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Couple Cottage</t>
        </is>
      </c>
      <c r="H297">
        <f>HYPERLINK("https://booking.roadsurfer.com/es/rally/pick?pickup_date=2026-06-08&amp;return_date=2026-06-15&amp;currency=EUR&amp;startStation=21&amp;endStation=2", "Clic para verlo en la web de RoadSurfer")</f>
        <v/>
      </c>
    </row>
    <row r="298">
      <c r="A298" t="inlineStr">
        <is>
          <t>Suecia</t>
        </is>
      </c>
      <c r="B298" t="inlineStr">
        <is>
          <t>Malmö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2026-05-29</t>
        </is>
      </c>
      <c r="F298" t="inlineStr">
        <is>
          <t>2026-06-05</t>
        </is>
      </c>
      <c r="G298" t="inlineStr">
        <is>
          <t xml:space="preserve"> - Surfer Suite</t>
        </is>
      </c>
      <c r="H298">
        <f>HYPERLINK("https://booking.roadsurfer.com/es/rally/pick?pickup_date=2026-05-29&amp;return_date=2026-06-05&amp;currency=EUR&amp;startStation=60&amp;endStation=11",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Colonia-Bonn</t>
        </is>
      </c>
      <c r="E299" t="inlineStr">
        <is>
          <t>2026-05-29</t>
        </is>
      </c>
      <c r="F299" t="inlineStr">
        <is>
          <t>2026-06-05</t>
        </is>
      </c>
      <c r="G299" t="inlineStr">
        <is>
          <t xml:space="preserve"> - Surfer Suite</t>
        </is>
      </c>
      <c r="H299">
        <f>HYPERLINK("https://booking.roadsurfer.com/es/rally/pick?pickup_date=2026-05-29&amp;return_date=2026-06-05&amp;currency=EUR&amp;startStation=60&amp;endStation=52", "Clic para verlo en la web de RoadSurfer")</f>
        <v/>
      </c>
    </row>
    <row r="300">
      <c r="A300" t="inlineStr">
        <is>
          <t>Suecia</t>
        </is>
      </c>
      <c r="B300" t="inlineStr">
        <is>
          <t>Malmö</t>
        </is>
      </c>
      <c r="C300" t="inlineStr">
        <is>
          <t>Alemania</t>
        </is>
      </c>
      <c r="D300" t="inlineStr">
        <is>
          <t>Kiel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Road House</t>
        </is>
      </c>
      <c r="H300">
        <f>HYPERLINK("https://booking.roadsurfer.com/es/rally/pick?pickup_date=2026-06-08&amp;return_date=2026-06-15&amp;currency=EUR&amp;startStation=60&amp;endStation=111", "Clic para verlo en la web de RoadSurfer")</f>
        <v/>
      </c>
    </row>
    <row r="301">
      <c r="A301" t="inlineStr">
        <is>
          <t>Suecia</t>
        </is>
      </c>
      <c r="B301" t="inlineStr">
        <is>
          <t>Malmö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2026-06-22</t>
        </is>
      </c>
      <c r="F301" t="inlineStr">
        <is>
          <t>2026-06-29</t>
        </is>
      </c>
      <c r="G301" t="inlineStr">
        <is>
          <t xml:space="preserve"> - No hay coche</t>
        </is>
      </c>
      <c r="H301">
        <f>HYPERLINK("https://booking.roadsurfer.com/es/rally/pick?pickup_date=2026-06-22&amp;return_date=2026-06-29&amp;currency=EUR&amp;startStation=60&amp;endStation=130", "Clic para verlo en la web de RoadSurfer")</f>
        <v/>
      </c>
    </row>
    <row r="302">
      <c r="A302" t="inlineStr">
        <is>
          <t>Suecia</t>
        </is>
      </c>
      <c r="B302" t="inlineStr">
        <is>
          <t>Malmö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2026-06-24</t>
        </is>
      </c>
      <c r="F302" t="inlineStr">
        <is>
          <t>2026-07-01</t>
        </is>
      </c>
      <c r="G302" t="inlineStr">
        <is>
          <t xml:space="preserve"> - Camper Castle</t>
        </is>
      </c>
      <c r="H302">
        <f>HYPERLINK("https://booking.roadsurfer.com/es/rally/pick?pickup_date=2026-06-24&amp;return_date=2026-07-01&amp;currency=EUR&amp;startStation=60&amp;endStation=3", "Clic para verlo en la web de RoadSurfer")</f>
        <v/>
      </c>
    </row>
    <row r="303">
      <c r="A303" t="inlineStr">
        <is>
          <t>Suecia</t>
        </is>
      </c>
      <c r="B303" t="inlineStr">
        <is>
          <t>Malmö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2026-07-27</t>
        </is>
      </c>
      <c r="F303" t="inlineStr">
        <is>
          <t>2026-08-03</t>
        </is>
      </c>
      <c r="G303" t="inlineStr">
        <is>
          <t xml:space="preserve"> - No hay coche</t>
        </is>
      </c>
      <c r="H303">
        <f>HYPERLINK("https://booking.roadsurfer.com/es/rally/pick?pickup_date=2026-07-27&amp;return_date=2026-08-03&amp;currency=EUR&amp;startStation=60&amp;endStation=77",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2026-06-17</t>
        </is>
      </c>
      <c r="F304" t="inlineStr">
        <is>
          <t>2026-06-24</t>
        </is>
      </c>
      <c r="G304" t="inlineStr">
        <is>
          <t xml:space="preserve"> - Surfer Suite</t>
        </is>
      </c>
      <c r="H304">
        <f>HYPERLINK("https://booking.roadsurfer.com/es/rally/pick?pickup_date=2026-06-17&amp;return_date=2026-06-24&amp;currency=EUR&amp;startStation=22&amp;endStation=15",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2026-06-02</t>
        </is>
      </c>
      <c r="F305" t="inlineStr">
        <is>
          <t>2026-06-09</t>
        </is>
      </c>
      <c r="G305" t="inlineStr">
        <is>
          <t xml:space="preserve"> - No hay coche</t>
        </is>
      </c>
      <c r="H305">
        <f>HYPERLINK("https://booking.roadsurfer.com/es/rally/pick?pickup_date=2026-06-02&amp;return_date=2026-06-09&amp;currency=EUR&amp;startStation=22&amp;endStation=15",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2026-06-19</t>
        </is>
      </c>
      <c r="F306" t="inlineStr">
        <is>
          <t>2026-06-26</t>
        </is>
      </c>
      <c r="G306" t="inlineStr">
        <is>
          <t xml:space="preserve"> - Road House</t>
        </is>
      </c>
      <c r="H306">
        <f>HYPERLINK("https://booking.roadsurfer.com/es/rally/pick?pickup_date=2026-06-19&amp;return_date=2026-06-26&amp;currency=EUR&amp;startStation=22&amp;endStation=15",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2026-06-16</t>
        </is>
      </c>
      <c r="F307" t="inlineStr">
        <is>
          <t>2026-06-23</t>
        </is>
      </c>
      <c r="G307" t="inlineStr">
        <is>
          <t xml:space="preserve"> - Road House</t>
        </is>
      </c>
      <c r="H307">
        <f>HYPERLINK("https://booking.roadsurfer.com/es/rally/pick?pickup_date=2026-06-16&amp;return_date=2026-06-23&amp;currency=EUR&amp;startStation=22&amp;endStation=15",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No hay coche</t>
        </is>
      </c>
      <c r="H308">
        <f>HYPERLINK("https://booking.roadsurfer.com/es/rally/pick?pickup_date=2026-06-01&amp;return_date=2026-06-08&amp;currency=EUR&amp;startStation=22&amp;endStation=59",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2026-05-29</t>
        </is>
      </c>
      <c r="F309" t="inlineStr">
        <is>
          <t>2026-06-05</t>
        </is>
      </c>
      <c r="G309" t="inlineStr">
        <is>
          <t xml:space="preserve"> - Surfer Suite - Road House</t>
        </is>
      </c>
      <c r="H309">
        <f>HYPERLINK("https://booking.roadsurfer.com/es/rally/pick?pickup_date=2026-05-29&amp;return_date=2026-06-05&amp;currency=EUR&amp;startStation=22&amp;endStation=59",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2026-06-05</t>
        </is>
      </c>
      <c r="F310" t="inlineStr">
        <is>
          <t>2026-06-12</t>
        </is>
      </c>
      <c r="G310" t="inlineStr">
        <is>
          <t xml:space="preserve"> - Road House</t>
        </is>
      </c>
      <c r="H310">
        <f>HYPERLINK("https://booking.roadsurfer.com/es/rally/pick?pickup_date=2026-06-05&amp;return_date=2026-06-12&amp;currency=EUR&amp;startStation=22&amp;endStation=59",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2026-06-02</t>
        </is>
      </c>
      <c r="F311" t="inlineStr">
        <is>
          <t>2026-06-09</t>
        </is>
      </c>
      <c r="G311" t="inlineStr">
        <is>
          <t xml:space="preserve"> - Surfer Suite</t>
        </is>
      </c>
      <c r="H311">
        <f>HYPERLINK("https://booking.roadsurfer.com/es/rally/pick?pickup_date=2026-06-02&amp;return_date=2026-06-09&amp;currency=EUR&amp;startStation=22&amp;endStation=59",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2026-06-26</t>
        </is>
      </c>
      <c r="F312" t="inlineStr">
        <is>
          <t>2026-07-03</t>
        </is>
      </c>
      <c r="G312" t="inlineStr">
        <is>
          <t xml:space="preserve"> - Couple Cottage</t>
        </is>
      </c>
      <c r="H312">
        <f>HYPERLINK("https://booking.roadsurfer.com/es/rally/pick?pickup_date=2026-06-26&amp;return_date=2026-07-03&amp;currency=EUR&amp;startStation=22&amp;endStation=59",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2026-05-27</t>
        </is>
      </c>
      <c r="F313" t="inlineStr">
        <is>
          <t>2026-06-03</t>
        </is>
      </c>
      <c r="G313" t="inlineStr">
        <is>
          <t xml:space="preserve"> - Surfer Suite</t>
        </is>
      </c>
      <c r="H313">
        <f>HYPERLINK("https://booking.roadsurfer.com/es/rally/pick?pickup_date=2026-05-27&amp;return_date=2026-06-03&amp;currency=EUR&amp;startStation=22&amp;endStation=59",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2026-05-25</t>
        </is>
      </c>
      <c r="F314" t="inlineStr">
        <is>
          <t>2026-06-01</t>
        </is>
      </c>
      <c r="G314" t="inlineStr">
        <is>
          <t xml:space="preserve"> - Camper Cabin Deluxe</t>
        </is>
      </c>
      <c r="H314">
        <f>HYPERLINK("https://booking.roadsurfer.com/es/rally/pick?pickup_date=2026-05-25&amp;return_date=2026-06-01&amp;currency=EUR&amp;startStation=22&amp;endStation=59",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Camper Cabin Deluxe</t>
        </is>
      </c>
      <c r="H315">
        <f>HYPERLINK("https://booking.roadsurfer.com/es/rally/pick?pickup_date=2026-05-22&amp;return_date=2026-05-29&amp;currency=EUR&amp;startStation=22&amp;endStation=59",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Couple Cottage</t>
        </is>
      </c>
      <c r="H316">
        <f>HYPERLINK("https://booking.roadsurfer.com/es/rally/pick?pickup_date=2026-06-08&amp;return_date=2026-06-15&amp;currency=EUR&amp;startStation=22&amp;endStation=31",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2026-05-28</t>
        </is>
      </c>
      <c r="F317" t="inlineStr">
        <is>
          <t>2026-06-04</t>
        </is>
      </c>
      <c r="G317" t="inlineStr">
        <is>
          <t xml:space="preserve"> - Surfer Suite</t>
        </is>
      </c>
      <c r="H317">
        <f>HYPERLINK("https://booking.roadsurfer.com/es/rally/pick?pickup_date=2026-05-28&amp;return_date=2026-06-04&amp;currency=EUR&amp;startStation=22&amp;endStation=31",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2026-06-11</t>
        </is>
      </c>
      <c r="F318" t="inlineStr">
        <is>
          <t>2026-06-18</t>
        </is>
      </c>
      <c r="G318" t="inlineStr">
        <is>
          <t xml:space="preserve"> - Road House</t>
        </is>
      </c>
      <c r="H318">
        <f>HYPERLINK("https://booking.roadsurfer.com/es/rally/pick?pickup_date=2026-06-11&amp;return_date=2026-06-18&amp;currency=EUR&amp;startStation=22&amp;endStation=31",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2026-05-27</t>
        </is>
      </c>
      <c r="F319" t="inlineStr">
        <is>
          <t>2026-06-03</t>
        </is>
      </c>
      <c r="G319" t="inlineStr">
        <is>
          <t xml:space="preserve"> - Surfer Suite</t>
        </is>
      </c>
      <c r="H319">
        <f>HYPERLINK("https://booking.roadsurfer.com/es/rally/pick?pickup_date=2026-05-27&amp;return_date=2026-06-03&amp;currency=EUR&amp;startStation=22&amp;endStation=31",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2026-06-03</t>
        </is>
      </c>
      <c r="F320" t="inlineStr">
        <is>
          <t>2026-06-10</t>
        </is>
      </c>
      <c r="G320" t="inlineStr">
        <is>
          <t xml:space="preserve"> - Couple Cottage</t>
        </is>
      </c>
      <c r="H320">
        <f>HYPERLINK("https://booking.roadsurfer.com/es/rally/pick?pickup_date=2026-06-03&amp;return_date=2026-06-10&amp;currency=EUR&amp;startStation=22&amp;endStation=31",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2026-06-05</t>
        </is>
      </c>
      <c r="F321" t="inlineStr">
        <is>
          <t>2026-06-12</t>
        </is>
      </c>
      <c r="G321" t="inlineStr">
        <is>
          <t xml:space="preserve"> - Camper Cabin</t>
        </is>
      </c>
      <c r="H321">
        <f>HYPERLINK("https://booking.roadsurfer.com/es/rally/pick?pickup_date=2026-06-05&amp;return_date=2026-06-12&amp;currency=EUR&amp;startStation=22&amp;endStation=31",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Nantes</t>
        </is>
      </c>
      <c r="E322" t="inlineStr">
        <is>
          <t>2026-06-10</t>
        </is>
      </c>
      <c r="F322" t="inlineStr">
        <is>
          <t>2026-06-17</t>
        </is>
      </c>
      <c r="G322" t="inlineStr">
        <is>
          <t xml:space="preserve"> - Camper Cabin</t>
        </is>
      </c>
      <c r="H322">
        <f>HYPERLINK("https://booking.roadsurfer.com/es/rally/pick?pickup_date=2026-06-10&amp;return_date=2026-06-17&amp;currency=EUR&amp;startStation=22&amp;endStation=31",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Bilbao</t>
        </is>
      </c>
      <c r="E323" t="inlineStr">
        <is>
          <t>2026-06-26</t>
        </is>
      </c>
      <c r="F323" t="inlineStr">
        <is>
          <t>2026-07-03</t>
        </is>
      </c>
      <c r="G323" t="inlineStr">
        <is>
          <t xml:space="preserve"> - Beach Hostel - Sunrise Suite</t>
        </is>
      </c>
      <c r="H323">
        <f>HYPERLINK("https://booking.roadsurfer.com/es/rally/pick?pickup_date=2026-06-26&amp;return_date=2026-07-03&amp;currency=EUR&amp;startStation=22&amp;endStation=40",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2026-06-03</t>
        </is>
      </c>
      <c r="F324" t="inlineStr">
        <is>
          <t>2026-06-10</t>
        </is>
      </c>
      <c r="G324" t="inlineStr">
        <is>
          <t xml:space="preserve"> - Surfer Suite</t>
        </is>
      </c>
      <c r="H324">
        <f>HYPERLINK("https://booking.roadsurfer.com/es/rally/pick?pickup_date=2026-06-03&amp;return_date=2026-06-10&amp;currency=EUR&amp;startStation=22&amp;endStation=40",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Bilbao</t>
        </is>
      </c>
      <c r="E325" t="inlineStr">
        <is>
          <t>2026-06-08</t>
        </is>
      </c>
      <c r="F325" t="inlineStr">
        <is>
          <t>2026-06-15</t>
        </is>
      </c>
      <c r="G325" t="inlineStr">
        <is>
          <t xml:space="preserve"> - Road House</t>
        </is>
      </c>
      <c r="H325">
        <f>HYPERLINK("https://booking.roadsurfer.com/es/rally/pick?pickup_date=2026-06-08&amp;return_date=2026-06-15&amp;currency=EUR&amp;startStation=22&amp;endStation=40",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Bilbao</t>
        </is>
      </c>
      <c r="E326" t="inlineStr">
        <is>
          <t>2026-06-15</t>
        </is>
      </c>
      <c r="F326" t="inlineStr">
        <is>
          <t>2026-06-22</t>
        </is>
      </c>
      <c r="G326" t="inlineStr">
        <is>
          <t xml:space="preserve"> - Couple Cottage</t>
        </is>
      </c>
      <c r="H326">
        <f>HYPERLINK("https://booking.roadsurfer.com/es/rally/pick?pickup_date=2026-06-15&amp;return_date=2026-06-22&amp;currency=EUR&amp;startStation=22&amp;endStation=40",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Bilbao</t>
        </is>
      </c>
      <c r="E327" t="inlineStr">
        <is>
          <t>2026-06-01</t>
        </is>
      </c>
      <c r="F327" t="inlineStr">
        <is>
          <t>2026-06-08</t>
        </is>
      </c>
      <c r="G327" t="inlineStr">
        <is>
          <t xml:space="preserve"> - Surfer Suite</t>
        </is>
      </c>
      <c r="H327">
        <f>HYPERLINK("https://booking.roadsurfer.com/es/rally/pick?pickup_date=2026-06-01&amp;return_date=2026-06-08&amp;currency=EUR&amp;startStation=22&amp;endStation=40",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2026-06-29</t>
        </is>
      </c>
      <c r="F328" t="inlineStr">
        <is>
          <t>2026-07-06</t>
        </is>
      </c>
      <c r="G328" t="inlineStr">
        <is>
          <t xml:space="preserve"> - Camper Cabin</t>
        </is>
      </c>
      <c r="H328">
        <f>HYPERLINK("https://booking.roadsurfer.com/es/rally/pick?pickup_date=2026-06-29&amp;return_date=2026-07-06&amp;currency=EUR&amp;startStation=22&amp;endStation=40",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2026-06-24</t>
        </is>
      </c>
      <c r="F329" t="inlineStr">
        <is>
          <t>2026-07-01</t>
        </is>
      </c>
      <c r="G329" t="inlineStr">
        <is>
          <t xml:space="preserve"> - Sunrise Suite</t>
        </is>
      </c>
      <c r="H329">
        <f>HYPERLINK("https://booking.roadsurfer.com/es/rally/pick?pickup_date=2026-06-24&amp;return_date=2026-07-01&amp;currency=EUR&amp;startStation=22&amp;endStation=40",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2026-06-12</t>
        </is>
      </c>
      <c r="F330" t="inlineStr">
        <is>
          <t>2026-06-19</t>
        </is>
      </c>
      <c r="G330" t="inlineStr">
        <is>
          <t xml:space="preserve"> - Camper Cabin</t>
        </is>
      </c>
      <c r="H330">
        <f>HYPERLINK("https://booking.roadsurfer.com/es/rally/pick?pickup_date=2026-06-12&amp;return_date=2026-06-19&amp;currency=EUR&amp;startStation=22&amp;endStation=13",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2026-06-26</t>
        </is>
      </c>
      <c r="F331" t="inlineStr">
        <is>
          <t>2026-07-03</t>
        </is>
      </c>
      <c r="G331" t="inlineStr">
        <is>
          <t xml:space="preserve"> - No hay coche</t>
        </is>
      </c>
      <c r="H331">
        <f>HYPERLINK("https://booking.roadsurfer.com/es/rally/pick?pickup_date=2026-06-26&amp;return_date=2026-07-03&amp;currency=EUR&amp;startStation=22&amp;endStation=13",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Burdeos</t>
        </is>
      </c>
      <c r="E332" t="inlineStr">
        <is>
          <t>2026-06-01</t>
        </is>
      </c>
      <c r="F332" t="inlineStr">
        <is>
          <t>2026-06-08</t>
        </is>
      </c>
      <c r="G332" t="inlineStr">
        <is>
          <t xml:space="preserve"> - Surfer Suite</t>
        </is>
      </c>
      <c r="H332">
        <f>HYPERLINK("https://booking.roadsurfer.com/es/rally/pick?pickup_date=2026-06-01&amp;return_date=2026-06-08&amp;currency=EUR&amp;startStation=22&amp;endStation=13",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Burdeos</t>
        </is>
      </c>
      <c r="E333" t="inlineStr">
        <is>
          <t>2026-06-29</t>
        </is>
      </c>
      <c r="F333" t="inlineStr">
        <is>
          <t>2026-07-06</t>
        </is>
      </c>
      <c r="G333" t="inlineStr">
        <is>
          <t xml:space="preserve"> - No hay coche</t>
        </is>
      </c>
      <c r="H333">
        <f>HYPERLINK("https://booking.roadsurfer.com/es/rally/pick?pickup_date=2026-06-29&amp;return_date=2026-07-06&amp;currency=EUR&amp;startStation=22&amp;endStation=13",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2026-05-28</t>
        </is>
      </c>
      <c r="F334" t="inlineStr">
        <is>
          <t>2026-06-04</t>
        </is>
      </c>
      <c r="G334" t="inlineStr">
        <is>
          <t xml:space="preserve"> - Couple Cottage</t>
        </is>
      </c>
      <c r="H334">
        <f>HYPERLINK("https://booking.roadsurfer.com/es/rally/pick?pickup_date=2026-05-28&amp;return_date=2026-06-04&amp;currency=EUR&amp;startStation=22&amp;endStation=13",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2026-06-08</t>
        </is>
      </c>
      <c r="F335" t="inlineStr">
        <is>
          <t>2026-06-15</t>
        </is>
      </c>
      <c r="G335" t="inlineStr">
        <is>
          <t xml:space="preserve"> - Couple Cottage</t>
        </is>
      </c>
      <c r="H335">
        <f>HYPERLINK("https://booking.roadsurfer.com/es/rally/pick?pickup_date=2026-06-08&amp;return_date=2026-06-15&amp;currency=EUR&amp;startStation=22&amp;endStation=13",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Burdeos</t>
        </is>
      </c>
      <c r="E336" t="inlineStr">
        <is>
          <t>2026-05-29</t>
        </is>
      </c>
      <c r="F336" t="inlineStr">
        <is>
          <t>2026-06-05</t>
        </is>
      </c>
      <c r="G336" t="inlineStr">
        <is>
          <t xml:space="preserve"> - Camper Cabin</t>
        </is>
      </c>
      <c r="H336">
        <f>HYPERLINK("https://booking.roadsurfer.com/es/rally/pick?pickup_date=2026-05-29&amp;return_date=2026-06-05&amp;currency=EUR&amp;startStation=22&amp;endStation=13",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2026-06-23</t>
        </is>
      </c>
      <c r="F337" t="inlineStr">
        <is>
          <t>2026-06-30</t>
        </is>
      </c>
      <c r="G337" t="inlineStr">
        <is>
          <t xml:space="preserve"> - Surfer Suite</t>
        </is>
      </c>
      <c r="H337">
        <f>HYPERLINK("https://booking.roadsurfer.com/es/rally/pick?pickup_date=2026-06-23&amp;return_date=2026-06-30&amp;currency=EUR&amp;startStation=22&amp;endStation=16",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Aix-Marsella</t>
        </is>
      </c>
      <c r="E338" t="inlineStr">
        <is>
          <t>2026-06-15</t>
        </is>
      </c>
      <c r="F338" t="inlineStr">
        <is>
          <t>2026-06-22</t>
        </is>
      </c>
      <c r="G338" t="inlineStr">
        <is>
          <t xml:space="preserve"> - Couple Cottage</t>
        </is>
      </c>
      <c r="H338">
        <f>HYPERLINK("https://booking.roadsurfer.com/es/rally/pick?pickup_date=2026-06-15&amp;return_date=2026-06-22&amp;currency=EUR&amp;startStation=22&amp;endStation=16",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2026-07-13</t>
        </is>
      </c>
      <c r="F339" t="inlineStr">
        <is>
          <t>2026-07-20</t>
        </is>
      </c>
      <c r="G339" t="inlineStr">
        <is>
          <t xml:space="preserve"> - Couple Cottage</t>
        </is>
      </c>
      <c r="H339">
        <f>HYPERLINK("https://booking.roadsurfer.com/es/rally/pick?pickup_date=2026-07-13&amp;return_date=2026-07-20&amp;currency=EUR&amp;startStation=22&amp;endStation=16",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2026-05-28</t>
        </is>
      </c>
      <c r="F340" t="inlineStr">
        <is>
          <t>2026-06-04</t>
        </is>
      </c>
      <c r="G340" t="inlineStr">
        <is>
          <t xml:space="preserve"> - Surfer Suite</t>
        </is>
      </c>
      <c r="H340">
        <f>HYPERLINK("https://booking.roadsurfer.com/es/rally/pick?pickup_date=2026-05-28&amp;return_date=2026-06-04&amp;currency=EUR&amp;startStation=22&amp;endStation=29",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2026-06-20</t>
        </is>
      </c>
      <c r="F341" t="inlineStr">
        <is>
          <t>2026-06-27</t>
        </is>
      </c>
      <c r="G341" t="inlineStr">
        <is>
          <t xml:space="preserve"> - No hay coche</t>
        </is>
      </c>
      <c r="H341">
        <f>HYPERLINK("https://booking.roadsurfer.com/es/rally/pick?pickup_date=2026-06-20&amp;return_date=2026-06-27&amp;currency=EUR&amp;startStation=22&amp;endStation=29",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2026-06-12</t>
        </is>
      </c>
      <c r="F342" t="inlineStr">
        <is>
          <t>2026-06-19</t>
        </is>
      </c>
      <c r="G342" t="inlineStr">
        <is>
          <t xml:space="preserve"> - Sunrise Suite</t>
        </is>
      </c>
      <c r="H342">
        <f>HYPERLINK("https://booking.roadsurfer.com/es/rally/pick?pickup_date=2026-06-12&amp;return_date=2026-06-19&amp;currency=EUR&amp;startStation=22&amp;endStation=29",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Austria</t>
        </is>
      </c>
      <c r="D343" t="inlineStr">
        <is>
          <t>Linz</t>
        </is>
      </c>
      <c r="E343" t="inlineStr">
        <is>
          <t>2026-05-29</t>
        </is>
      </c>
      <c r="F343" t="inlineStr">
        <is>
          <t>2026-06-05</t>
        </is>
      </c>
      <c r="G343" t="inlineStr">
        <is>
          <t xml:space="preserve"> - Surfer Suite</t>
        </is>
      </c>
      <c r="H343">
        <f>HYPERLINK("https://booking.roadsurfer.com/es/rally/pick?pickup_date=2026-05-29&amp;return_date=2026-06-05&amp;currency=EUR&amp;startStation=22&amp;endStation=116",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2026-06-01</t>
        </is>
      </c>
      <c r="F344" t="inlineStr">
        <is>
          <t>2026-06-08</t>
        </is>
      </c>
      <c r="G344" t="inlineStr">
        <is>
          <t xml:space="preserve"> - No hay coche</t>
        </is>
      </c>
      <c r="H344">
        <f>HYPERLINK("https://booking.roadsurfer.com/es/rally/pick?pickup_date=2026-06-01&amp;return_date=2026-06-08&amp;currency=EUR&amp;startStation=22&amp;endStation=77",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2026-05-28</t>
        </is>
      </c>
      <c r="F345" t="inlineStr">
        <is>
          <t>2026-06-04</t>
        </is>
      </c>
      <c r="G345" t="inlineStr">
        <is>
          <t xml:space="preserve"> - Surfer Suite</t>
        </is>
      </c>
      <c r="H345">
        <f>HYPERLINK("https://booking.roadsurfer.com/es/rally/pick?pickup_date=2026-05-28&amp;return_date=2026-06-04&amp;currency=EUR&amp;startStation=22&amp;endStation=77",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2026-06-18</t>
        </is>
      </c>
      <c r="F346" t="inlineStr">
        <is>
          <t>2026-06-25</t>
        </is>
      </c>
      <c r="G346" t="inlineStr">
        <is>
          <t xml:space="preserve"> - Beach Hostel - Camper Castle - Couple Cottage</t>
        </is>
      </c>
      <c r="H346">
        <f>HYPERLINK("https://booking.roadsurfer.com/es/rally/pick?pickup_date=2026-06-18&amp;return_date=2026-06-25&amp;currency=EUR&amp;startStation=22&amp;endStation=77",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2026-06-24</t>
        </is>
      </c>
      <c r="F347" t="inlineStr">
        <is>
          <t>2026-07-01</t>
        </is>
      </c>
      <c r="G347" t="inlineStr">
        <is>
          <t xml:space="preserve"> - Beach Hostel</t>
        </is>
      </c>
      <c r="H347">
        <f>HYPERLINK("https://booking.roadsurfer.com/es/rally/pick?pickup_date=2026-06-24&amp;return_date=2026-07-01&amp;currency=EUR&amp;startStation=22&amp;endStation=77",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Gotemburgo</t>
        </is>
      </c>
      <c r="E348" t="inlineStr">
        <is>
          <t>2026-06-02</t>
        </is>
      </c>
      <c r="F348" t="inlineStr">
        <is>
          <t>2026-06-09</t>
        </is>
      </c>
      <c r="G348" t="inlineStr"/>
      <c r="H348">
        <f>HYPERLINK("https://booking.roadsurfer.com/es/rally/pick?pickup_date=2026-06-02&amp;return_date=2026-06-09&amp;currency=EUR&amp;startStation=22&amp;endStation=77",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2026-06-25</t>
        </is>
      </c>
      <c r="F349" t="inlineStr">
        <is>
          <t>2026-07-02</t>
        </is>
      </c>
      <c r="G349" t="inlineStr">
        <is>
          <t xml:space="preserve"> - Sunrise Suite</t>
        </is>
      </c>
      <c r="H349">
        <f>HYPERLINK("https://booking.roadsurfer.com/es/rally/pick?pickup_date=2026-06-25&amp;return_date=2026-07-02&amp;currency=EUR&amp;startStation=22&amp;endStation=77",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Malmö</t>
        </is>
      </c>
      <c r="E350" t="inlineStr">
        <is>
          <t>2026-06-17</t>
        </is>
      </c>
      <c r="F350" t="inlineStr">
        <is>
          <t>2026-06-24</t>
        </is>
      </c>
      <c r="G350" t="inlineStr">
        <is>
          <t xml:space="preserve"> - Road House</t>
        </is>
      </c>
      <c r="H350">
        <f>HYPERLINK("https://booking.roadsurfer.com/es/rally/pick?pickup_date=2026-06-17&amp;return_date=2026-06-24&amp;currency=EUR&amp;startStation=22&amp;endStation=60",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Malmö</t>
        </is>
      </c>
      <c r="E351" t="inlineStr">
        <is>
          <t>2026-06-11</t>
        </is>
      </c>
      <c r="F351" t="inlineStr">
        <is>
          <t>2026-06-18</t>
        </is>
      </c>
      <c r="G351" t="inlineStr">
        <is>
          <t xml:space="preserve"> - Family Finca</t>
        </is>
      </c>
      <c r="H351">
        <f>HYPERLINK("https://booking.roadsurfer.com/es/rally/pick?pickup_date=2026-06-11&amp;return_date=2026-06-18&amp;currency=EUR&amp;startStation=22&amp;endStation=60",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Malmö</t>
        </is>
      </c>
      <c r="E352" t="inlineStr">
        <is>
          <t>2026-05-28</t>
        </is>
      </c>
      <c r="F352" t="inlineStr">
        <is>
          <t>2026-06-04</t>
        </is>
      </c>
      <c r="G352" t="inlineStr">
        <is>
          <t xml:space="preserve"> - Beach Hostel</t>
        </is>
      </c>
      <c r="H352">
        <f>HYPERLINK("https://booking.roadsurfer.com/es/rally/pick?pickup_date=2026-05-28&amp;return_date=2026-06-04&amp;currency=EUR&amp;startStation=22&amp;endStation=60",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Malmö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Surfer Suite</t>
        </is>
      </c>
      <c r="H353">
        <f>HYPERLINK("https://booking.roadsurfer.com/es/rally/pick?pickup_date=2026-06-01&amp;return_date=2026-06-08&amp;currency=EUR&amp;startStation=22&amp;endStation=60",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Malmö</t>
        </is>
      </c>
      <c r="E354" t="inlineStr">
        <is>
          <t>2026-06-27</t>
        </is>
      </c>
      <c r="F354" t="inlineStr">
        <is>
          <t>2026-07-04</t>
        </is>
      </c>
      <c r="G354" t="inlineStr">
        <is>
          <t xml:space="preserve"> - No hay coche</t>
        </is>
      </c>
      <c r="H354">
        <f>HYPERLINK("https://booking.roadsurfer.com/es/rally/pick?pickup_date=2026-06-27&amp;return_date=2026-07-04&amp;currency=EUR&amp;startStation=22&amp;endStation=60",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Malmö</t>
        </is>
      </c>
      <c r="E355" t="inlineStr">
        <is>
          <t>2026-05-26</t>
        </is>
      </c>
      <c r="F355" t="inlineStr">
        <is>
          <t>2026-06-02</t>
        </is>
      </c>
      <c r="G355" t="inlineStr">
        <is>
          <t xml:space="preserve"> - Camper Castle</t>
        </is>
      </c>
      <c r="H355">
        <f>HYPERLINK("https://booking.roadsurfer.com/es/rally/pick?pickup_date=2026-05-26&amp;return_date=2026-06-02&amp;currency=EUR&amp;startStation=22&amp;endStation=60",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Austria</t>
        </is>
      </c>
      <c r="D356" t="inlineStr">
        <is>
          <t>Salzburgo</t>
        </is>
      </c>
      <c r="E356" t="inlineStr">
        <is>
          <t>2026-06-02</t>
        </is>
      </c>
      <c r="F356" t="inlineStr">
        <is>
          <t>2026-06-09</t>
        </is>
      </c>
      <c r="G356" t="inlineStr">
        <is>
          <t xml:space="preserve"> - Surfer Suite</t>
        </is>
      </c>
      <c r="H356">
        <f>HYPERLINK("https://booking.roadsurfer.com/es/rally/pick?pickup_date=2026-06-02&amp;return_date=2026-06-09&amp;currency=EUR&amp;startStation=22&amp;endStation=85",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Austria</t>
        </is>
      </c>
      <c r="D357" t="inlineStr">
        <is>
          <t>Viena Sur</t>
        </is>
      </c>
      <c r="E357" t="inlineStr">
        <is>
          <t>2026-06-12</t>
        </is>
      </c>
      <c r="F357" t="inlineStr">
        <is>
          <t>2026-06-19</t>
        </is>
      </c>
      <c r="G357" t="inlineStr"/>
      <c r="H357">
        <f>HYPERLINK("https://booking.roadsurfer.com/es/rally/pick?pickup_date=2026-06-12&amp;return_date=2026-06-19&amp;currency=EUR&amp;startStation=22&amp;endStation=45",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2026-06-16</t>
        </is>
      </c>
      <c r="F358" t="inlineStr">
        <is>
          <t>2026-06-23</t>
        </is>
      </c>
      <c r="G358" t="inlineStr">
        <is>
          <t xml:space="preserve"> - Cozy Cottage</t>
        </is>
      </c>
      <c r="H358">
        <f>HYPERLINK("https://booking.roadsurfer.com/es/rally/pick?pickup_date=2026-06-16&amp;return_date=2026-06-23&amp;currency=EUR&amp;startStation=22&amp;endStation=45",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2026-06-02</t>
        </is>
      </c>
      <c r="F359" t="inlineStr">
        <is>
          <t>2026-06-09</t>
        </is>
      </c>
      <c r="G359" t="inlineStr">
        <is>
          <t xml:space="preserve"> - Cozy Cottage</t>
        </is>
      </c>
      <c r="H359">
        <f>HYPERLINK("https://booking.roadsurfer.com/es/rally/pick?pickup_date=2026-06-02&amp;return_date=2026-06-09&amp;currency=EUR&amp;startStation=22&amp;endStation=45",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2026-05-28</t>
        </is>
      </c>
      <c r="F360" t="inlineStr">
        <is>
          <t>2026-06-04</t>
        </is>
      </c>
      <c r="G360" t="inlineStr">
        <is>
          <t xml:space="preserve"> - Beach Hostel</t>
        </is>
      </c>
      <c r="H360">
        <f>HYPERLINK("https://booking.roadsurfer.com/es/rally/pick?pickup_date=2026-05-28&amp;return_date=2026-06-04&amp;currency=EUR&amp;startStation=22&amp;endStation=34",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2026-06-03</t>
        </is>
      </c>
      <c r="F361" t="inlineStr">
        <is>
          <t>2026-06-10</t>
        </is>
      </c>
      <c r="G361" t="inlineStr">
        <is>
          <t xml:space="preserve"> - Beach Hostel</t>
        </is>
      </c>
      <c r="H361">
        <f>HYPERLINK("https://booking.roadsurfer.com/es/rally/pick?pickup_date=2026-06-03&amp;return_date=2026-06-10&amp;currency=EUR&amp;startStation=22&amp;endStation=78",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España</t>
        </is>
      </c>
      <c r="D362" t="inlineStr">
        <is>
          <t>Sevilla</t>
        </is>
      </c>
      <c r="E362" t="inlineStr">
        <is>
          <t>2026-07-09</t>
        </is>
      </c>
      <c r="F362" t="inlineStr">
        <is>
          <t>2026-07-16</t>
        </is>
      </c>
      <c r="G362" t="inlineStr">
        <is>
          <t xml:space="preserve"> - Beach Hostel</t>
        </is>
      </c>
      <c r="H362">
        <f>HYPERLINK("https://booking.roadsurfer.com/es/rally/pick?pickup_date=2026-07-09&amp;return_date=2026-07-16&amp;currency=EUR&amp;startStation=22&amp;endStation=39",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2026-05-30</t>
        </is>
      </c>
      <c r="F363" t="inlineStr">
        <is>
          <t>2026-06-06</t>
        </is>
      </c>
      <c r="G363" t="inlineStr">
        <is>
          <t xml:space="preserve"> - No hay coche</t>
        </is>
      </c>
      <c r="H363">
        <f>HYPERLINK("https://booking.roadsurfer.com/es/rally/pick?pickup_date=2026-05-30&amp;return_date=2026-06-06&amp;currency=EUR&amp;startStation=22&amp;endStation=32",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Alemania</t>
        </is>
      </c>
      <c r="D364" t="inlineStr">
        <is>
          <t>Friburgo-Basilea (Alemania)</t>
        </is>
      </c>
      <c r="E364" t="inlineStr">
        <is>
          <t>2026-06-18</t>
        </is>
      </c>
      <c r="F364" t="inlineStr">
        <is>
          <t>2026-06-25</t>
        </is>
      </c>
      <c r="G364" t="inlineStr">
        <is>
          <t xml:space="preserve"> - Camper Cabin</t>
        </is>
      </c>
      <c r="H364">
        <f>HYPERLINK("https://booking.roadsurfer.com/es/rally/pick?pickup_date=2026-06-18&amp;return_date=2026-06-25&amp;currency=EUR&amp;startStation=22&amp;endStation=9",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Países Bajos</t>
        </is>
      </c>
      <c r="D365" t="inlineStr">
        <is>
          <t>Róterdam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No hay coche</t>
        </is>
      </c>
      <c r="H365">
        <f>HYPERLINK("https://booking.roadsurfer.com/es/rally/pick?pickup_date=2026-05-30&amp;return_date=2026-06-06&amp;currency=EUR&amp;startStation=22&amp;endStation=33",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España</t>
        </is>
      </c>
      <c r="D366" t="inlineStr">
        <is>
          <t>Málaga</t>
        </is>
      </c>
      <c r="E366" t="inlineStr">
        <is>
          <t>2026-05-28</t>
        </is>
      </c>
      <c r="F366" t="inlineStr">
        <is>
          <t>2026-06-04</t>
        </is>
      </c>
      <c r="G366" t="inlineStr">
        <is>
          <t xml:space="preserve"> - Road House</t>
        </is>
      </c>
      <c r="H366">
        <f>HYPERLINK("https://booking.roadsurfer.com/es/rally/pick?pickup_date=2026-05-28&amp;return_date=2026-06-04&amp;currency=EUR&amp;startStation=22&amp;endStation=21",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España</t>
        </is>
      </c>
      <c r="D367" t="inlineStr">
        <is>
          <t>Málaga</t>
        </is>
      </c>
      <c r="E367" t="inlineStr">
        <is>
          <t>2026-06-15</t>
        </is>
      </c>
      <c r="F367" t="inlineStr">
        <is>
          <t>2026-06-22</t>
        </is>
      </c>
      <c r="G367" t="inlineStr">
        <is>
          <t xml:space="preserve"> - Family Finca</t>
        </is>
      </c>
      <c r="H367">
        <f>HYPERLINK("https://booking.roadsurfer.com/es/rally/pick?pickup_date=2026-06-15&amp;return_date=2026-06-22&amp;currency=EUR&amp;startStation=22&amp;endStation=21",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2026-06-09</t>
        </is>
      </c>
      <c r="F368" t="inlineStr">
        <is>
          <t>2026-06-16</t>
        </is>
      </c>
      <c r="G368" t="inlineStr">
        <is>
          <t xml:space="preserve"> - Road House</t>
        </is>
      </c>
      <c r="H368">
        <f>HYPERLINK("https://booking.roadsurfer.com/es/rally/pick?pickup_date=2026-06-09&amp;return_date=2026-06-16&amp;currency=EUR&amp;startStation=22&amp;endStation=94",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2026-06-16</t>
        </is>
      </c>
      <c r="F369" t="inlineStr">
        <is>
          <t>2026-06-23</t>
        </is>
      </c>
      <c r="G369" t="inlineStr">
        <is>
          <t xml:space="preserve"> - No hay coche</t>
        </is>
      </c>
      <c r="H369">
        <f>HYPERLINK("https://booking.roadsurfer.com/es/rally/pick?pickup_date=2026-06-16&amp;return_date=2026-06-23&amp;currency=EUR&amp;startStation=22&amp;endStation=94",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París Aeropuerto CDG</t>
        </is>
      </c>
      <c r="E370" t="inlineStr">
        <is>
          <t>2026-06-12</t>
        </is>
      </c>
      <c r="F370" t="inlineStr">
        <is>
          <t>2026-06-19</t>
        </is>
      </c>
      <c r="G370" t="inlineStr"/>
      <c r="H370">
        <f>HYPERLINK("https://booking.roadsurfer.com/es/rally/pick?pickup_date=2026-06-12&amp;return_date=2026-06-19&amp;currency=EUR&amp;startStation=22&amp;endStation=48",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Austria</t>
        </is>
      </c>
      <c r="D371" t="inlineStr">
        <is>
          <t>Graz</t>
        </is>
      </c>
      <c r="E371" t="inlineStr">
        <is>
          <t>2026-05-22</t>
        </is>
      </c>
      <c r="F371" t="inlineStr">
        <is>
          <t>2026-05-29</t>
        </is>
      </c>
      <c r="G371" t="inlineStr">
        <is>
          <t xml:space="preserve"> - Camper Cabin Deluxe</t>
        </is>
      </c>
      <c r="H371">
        <f>HYPERLINK("https://booking.roadsurfer.com/es/rally/pick?pickup_date=2026-05-22&amp;return_date=2026-05-29&amp;currency=EUR&amp;startStation=22&amp;endStation=37",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Graz</t>
        </is>
      </c>
      <c r="E372" t="inlineStr">
        <is>
          <t>2026-05-25</t>
        </is>
      </c>
      <c r="F372" t="inlineStr">
        <is>
          <t>2026-06-01</t>
        </is>
      </c>
      <c r="G372" t="inlineStr">
        <is>
          <t xml:space="preserve"> - Camper Cabin Deluxe</t>
        </is>
      </c>
      <c r="H372">
        <f>HYPERLINK("https://booking.roadsurfer.com/es/rally/pick?pickup_date=2026-05-25&amp;return_date=2026-06-01&amp;currency=EUR&amp;startStation=22&amp;endStation=37",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Graz</t>
        </is>
      </c>
      <c r="E373" t="inlineStr">
        <is>
          <t>2026-05-18</t>
        </is>
      </c>
      <c r="F373" t="inlineStr">
        <is>
          <t>2026-05-25</t>
        </is>
      </c>
      <c r="G373" t="inlineStr">
        <is>
          <t xml:space="preserve"> - No hay coche</t>
        </is>
      </c>
      <c r="H373">
        <f>HYPERLINK("https://booking.roadsurfer.com/es/rally/pick?pickup_date=2026-05-18&amp;return_date=2026-05-25&amp;currency=EUR&amp;startStation=22&amp;endStation=37",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París Sur (Orly)</t>
        </is>
      </c>
      <c r="E374" t="inlineStr">
        <is>
          <t>2026-05-18</t>
        </is>
      </c>
      <c r="F374" t="inlineStr">
        <is>
          <t>2026-05-25</t>
        </is>
      </c>
      <c r="G374" t="inlineStr">
        <is>
          <t xml:space="preserve"> - No hay coche</t>
        </is>
      </c>
      <c r="H374">
        <f>HYPERLINK("https://booking.roadsurfer.com/es/rally/pick?pickup_date=2026-05-18&amp;return_date=2026-05-25&amp;currency=EUR&amp;startStation=22&amp;endStation=12",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España</t>
        </is>
      </c>
      <c r="D375" t="inlineStr">
        <is>
          <t>Valencia</t>
        </is>
      </c>
      <c r="E375" t="inlineStr">
        <is>
          <t>2026-06-26</t>
        </is>
      </c>
      <c r="F375" t="inlineStr">
        <is>
          <t>2026-07-03</t>
        </is>
      </c>
      <c r="G375" t="inlineStr">
        <is>
          <t xml:space="preserve"> - Family Finca</t>
        </is>
      </c>
      <c r="H375">
        <f>HYPERLINK("https://booking.roadsurfer.com/es/rally/pick?pickup_date=2026-06-26&amp;return_date=2026-07-03&amp;currency=EUR&amp;startStation=22&amp;endStation=38",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2026-06-19</t>
        </is>
      </c>
      <c r="F376" t="inlineStr">
        <is>
          <t>2026-06-26</t>
        </is>
      </c>
      <c r="G376" t="inlineStr">
        <is>
          <t xml:space="preserve"> - Camper Castle</t>
        </is>
      </c>
      <c r="H376">
        <f>HYPERLINK("https://booking.roadsurfer.com/es/rally/pick?pickup_date=2026-06-19&amp;return_date=2026-06-26&amp;currency=EUR&amp;startStation=22&amp;endStation=38",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España</t>
        </is>
      </c>
      <c r="D377" t="inlineStr">
        <is>
          <t>Barcelona</t>
        </is>
      </c>
      <c r="E377" t="inlineStr">
        <is>
          <t>2026-06-19</t>
        </is>
      </c>
      <c r="F377" t="inlineStr">
        <is>
          <t>2026-06-26</t>
        </is>
      </c>
      <c r="G377" t="inlineStr">
        <is>
          <t xml:space="preserve"> - Couple Cottage</t>
        </is>
      </c>
      <c r="H377">
        <f>HYPERLINK("https://booking.roadsurfer.com/es/rally/pick?pickup_date=2026-06-19&amp;return_date=2026-06-26&amp;currency=EUR&amp;startStation=22&amp;endStation=17",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España</t>
        </is>
      </c>
      <c r="D378" t="inlineStr">
        <is>
          <t>Barcelona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Camper Castle</t>
        </is>
      </c>
      <c r="H378">
        <f>HYPERLINK("https://booking.roadsurfer.com/es/rally/pick?pickup_date=2026-06-08&amp;return_date=2026-06-15&amp;currency=EUR&amp;startStation=22&amp;endStation=17",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Alemania</t>
        </is>
      </c>
      <c r="D379" t="inlineStr">
        <is>
          <t>Constanza (Aach)</t>
        </is>
      </c>
      <c r="E379" t="inlineStr">
        <is>
          <t>2026-06-10</t>
        </is>
      </c>
      <c r="F379" t="inlineStr">
        <is>
          <t>2026-06-17</t>
        </is>
      </c>
      <c r="G379" t="inlineStr">
        <is>
          <t xml:space="preserve"> - Camper Castle</t>
        </is>
      </c>
      <c r="H379">
        <f>HYPERLINK("https://booking.roadsurfer.com/es/rally/pick?pickup_date=2026-06-10&amp;return_date=2026-06-17&amp;currency=EUR&amp;startStation=22&amp;endStation=10",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Turín</t>
        </is>
      </c>
      <c r="E380" t="inlineStr">
        <is>
          <t>2026-06-05</t>
        </is>
      </c>
      <c r="F380" t="inlineStr">
        <is>
          <t>2026-06-12</t>
        </is>
      </c>
      <c r="G380" t="inlineStr"/>
      <c r="H380">
        <f>HYPERLINK("https://booking.roadsurfer.com/es/rally/pick?pickup_date=2026-06-05&amp;return_date=2026-06-12&amp;currency=EUR&amp;startStation=22&amp;endStation=58",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2026-05-30</t>
        </is>
      </c>
      <c r="F381" t="inlineStr">
        <is>
          <t>2026-06-06</t>
        </is>
      </c>
      <c r="G381" t="inlineStr">
        <is>
          <t xml:space="preserve"> - No hay coche</t>
        </is>
      </c>
      <c r="H381">
        <f>HYPERLINK("https://booking.roadsurfer.com/es/rally/pick?pickup_date=2026-05-30&amp;return_date=2026-06-06&amp;currency=EUR&amp;startStation=22&amp;endStation=36", "Clic para verlo en la web de RoadSurfer")</f>
        <v/>
      </c>
    </row>
    <row r="382">
      <c r="A382" t="inlineStr">
        <is>
          <t>Italia</t>
        </is>
      </c>
      <c r="B382" t="inlineStr">
        <is>
          <t>Milán</t>
        </is>
      </c>
      <c r="C382" t="inlineStr">
        <is>
          <t>Alemania</t>
        </is>
      </c>
      <c r="D382" t="inlineStr">
        <is>
          <t>Stuttgart</t>
        </is>
      </c>
      <c r="E382" t="inlineStr">
        <is>
          <t>2026-05-26</t>
        </is>
      </c>
      <c r="F382" t="inlineStr">
        <is>
          <t>2026-06-02</t>
        </is>
      </c>
      <c r="G382" t="inlineStr">
        <is>
          <t xml:space="preserve"> - Surfer Suite</t>
        </is>
      </c>
      <c r="H382">
        <f>HYPERLINK("https://booking.roadsurfer.com/es/rally/pick?pickup_date=2026-05-26&amp;return_date=2026-06-02&amp;currency=EUR&amp;startStation=34&amp;endStation=5", "Clic para verlo en la web de RoadSurfer")</f>
        <v/>
      </c>
    </row>
    <row r="383">
      <c r="A383" t="inlineStr">
        <is>
          <t>Italia</t>
        </is>
      </c>
      <c r="B383" t="inlineStr">
        <is>
          <t>Milán</t>
        </is>
      </c>
      <c r="C383" t="inlineStr">
        <is>
          <t>Alemania</t>
        </is>
      </c>
      <c r="D383" t="inlineStr">
        <is>
          <t>Wurzburgo</t>
        </is>
      </c>
      <c r="E383" t="inlineStr">
        <is>
          <t>2026-05-28</t>
        </is>
      </c>
      <c r="F383" t="inlineStr">
        <is>
          <t>2026-06-04</t>
        </is>
      </c>
      <c r="G383" t="inlineStr">
        <is>
          <t xml:space="preserve"> - No hay coche</t>
        </is>
      </c>
      <c r="H383">
        <f>HYPERLINK("https://booking.roadsurfer.com/es/rally/pick?pickup_date=2026-05-28&amp;return_date=2026-06-04&amp;currency=EUR&amp;startStation=34&amp;endStation=115", "Clic para verlo en la web de RoadSurfer")</f>
        <v/>
      </c>
    </row>
    <row r="384">
      <c r="A384" t="inlineStr">
        <is>
          <t>Italia</t>
        </is>
      </c>
      <c r="B384" t="inlineStr">
        <is>
          <t>Milán</t>
        </is>
      </c>
      <c r="C384" t="inlineStr">
        <is>
          <t>Alemania</t>
        </is>
      </c>
      <c r="D384" t="inlineStr">
        <is>
          <t>Wurzburgo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No hay coche</t>
        </is>
      </c>
      <c r="H384">
        <f>HYPERLINK("https://booking.roadsurfer.com/es/rally/pick?pickup_date=2026-06-01&amp;return_date=2026-06-08&amp;currency=EUR&amp;startStation=34&amp;endStation=115", "Clic para verlo en la web de RoadSurfer")</f>
        <v/>
      </c>
    </row>
    <row r="385">
      <c r="A385" t="inlineStr">
        <is>
          <t>Italia</t>
        </is>
      </c>
      <c r="B385" t="inlineStr">
        <is>
          <t>Milán</t>
        </is>
      </c>
      <c r="C385" t="inlineStr">
        <is>
          <t>Alemania</t>
        </is>
      </c>
      <c r="D385" t="inlineStr">
        <is>
          <t>Augsburgo</t>
        </is>
      </c>
      <c r="E385" t="inlineStr">
        <is>
          <t>2026-05-30</t>
        </is>
      </c>
      <c r="F385" t="inlineStr">
        <is>
          <t>2026-06-06</t>
        </is>
      </c>
      <c r="G385" t="inlineStr"/>
      <c r="H385">
        <f>HYPERLINK("https://booking.roadsurfer.com/es/rally/pick?pickup_date=2026-05-30&amp;return_date=2026-06-06&amp;currency=EUR&amp;startStation=34&amp;endStation=108",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2026-06-08</t>
        </is>
      </c>
      <c r="F386" t="inlineStr">
        <is>
          <t>2026-06-15</t>
        </is>
      </c>
      <c r="G386" t="inlineStr"/>
      <c r="H386">
        <f>HYPERLINK("https://booking.roadsurfer.com/es/rally/pick?pickup_date=2026-06-08&amp;return_date=2026-06-15&amp;currency=EUR&amp;startStation=1&amp;endStation=15",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Austria</t>
        </is>
      </c>
      <c r="D387" t="inlineStr">
        <is>
          <t>Viena</t>
        </is>
      </c>
      <c r="E387" t="inlineStr">
        <is>
          <t>2026-06-29</t>
        </is>
      </c>
      <c r="F387" t="inlineStr">
        <is>
          <t>2026-07-06</t>
        </is>
      </c>
      <c r="G387" t="inlineStr"/>
      <c r="H387">
        <f>HYPERLINK("https://booking.roadsurfer.com/es/rally/pick?pickup_date=2026-06-29&amp;return_date=2026-07-06&amp;currency=EUR&amp;startStation=1&amp;endStation=36", "Clic para verlo en la web de RoadSurfer")</f>
        <v/>
      </c>
    </row>
    <row r="388">
      <c r="A388" t="inlineStr">
        <is>
          <t>Alemania</t>
        </is>
      </c>
      <c r="B388" t="inlineStr">
        <is>
          <t>Múnich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2026-06-24</t>
        </is>
      </c>
      <c r="F388" t="inlineStr">
        <is>
          <t>2026-07-01</t>
        </is>
      </c>
      <c r="G388" t="inlineStr"/>
      <c r="H388">
        <f>HYPERLINK("https://booking.roadsurfer.com/es/rally/pick?pickup_date=2026-06-24&amp;return_date=2026-07-01&amp;currency=EUR&amp;startStation=1&amp;endStation=20", "Clic para verlo en la web de RoadSurfer")</f>
        <v/>
      </c>
    </row>
    <row r="389">
      <c r="A389" t="inlineStr">
        <is>
          <t>Francia</t>
        </is>
      </c>
      <c r="B389" t="inlineStr">
        <is>
          <t>Nantes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2026-05-30</t>
        </is>
      </c>
      <c r="F389" t="inlineStr">
        <is>
          <t>2026-06-06</t>
        </is>
      </c>
      <c r="G389" t="inlineStr"/>
      <c r="H389">
        <f>HYPERLINK("https://booking.roadsurfer.com/es/rally/pick?pickup_date=2026-05-30&amp;return_date=2026-06-06&amp;currency=EUR&amp;startStation=31&amp;endStation=2", "Clic para verlo en la web de RoadSurfer")</f>
        <v/>
      </c>
    </row>
    <row r="390">
      <c r="A390" t="inlineStr">
        <is>
          <t>Francia</t>
        </is>
      </c>
      <c r="B390" t="inlineStr">
        <is>
          <t>Nantes</t>
        </is>
      </c>
      <c r="C390" t="inlineStr">
        <is>
          <t>Alemania</t>
        </is>
      </c>
      <c r="D390" t="inlineStr">
        <is>
          <t>Constanza (Aach)</t>
        </is>
      </c>
      <c r="E390" t="inlineStr">
        <is>
          <t>2026-06-09</t>
        </is>
      </c>
      <c r="F390" t="inlineStr">
        <is>
          <t>2026-06-16</t>
        </is>
      </c>
      <c r="G390" t="inlineStr">
        <is>
          <t xml:space="preserve"> - Couple Cottage</t>
        </is>
      </c>
      <c r="H390">
        <f>HYPERLINK("https://booking.roadsurfer.com/es/rally/pick?pickup_date=2026-06-09&amp;return_date=2026-06-16&amp;currency=EUR&amp;startStation=31&amp;endStation=10", "Clic para verlo en la web de RoadSurfer")</f>
        <v/>
      </c>
    </row>
    <row r="391">
      <c r="A391" t="inlineStr">
        <is>
          <t>Alemania</t>
        </is>
      </c>
      <c r="B391" t="inlineStr">
        <is>
          <t>Núremberg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Family Finca</t>
        </is>
      </c>
      <c r="H391">
        <f>HYPERLINK("https://booking.roadsurfer.com/es/rally/pick?pickup_date=2026-06-08&amp;return_date=2026-06-15&amp;currency=EUR&amp;startStation=11&amp;endStation=34", "Clic para verlo en la web de RoadSurfer")</f>
        <v/>
      </c>
    </row>
    <row r="392">
      <c r="A392" t="inlineStr">
        <is>
          <t>Francia</t>
        </is>
      </c>
      <c r="B392" t="inlineStr">
        <is>
          <t>París Sur (Orly)</t>
        </is>
      </c>
      <c r="C392" t="inlineStr">
        <is>
          <t>Alemania</t>
        </is>
      </c>
      <c r="D392" t="inlineStr">
        <is>
          <t>Fráncfort</t>
        </is>
      </c>
      <c r="E392" t="inlineStr">
        <is>
          <t>2026-06-09</t>
        </is>
      </c>
      <c r="F392" t="inlineStr">
        <is>
          <t>2026-06-16</t>
        </is>
      </c>
      <c r="G392" t="inlineStr">
        <is>
          <t xml:space="preserve"> - Camper Cabin</t>
        </is>
      </c>
      <c r="H392">
        <f>HYPERLINK("https://booking.roadsurfer.com/es/rally/pick?pickup_date=2026-06-09&amp;return_date=2026-06-16&amp;currency=EUR&amp;startStation=12&amp;endStation=2", "Clic para verlo en la web de RoadSurfer")</f>
        <v/>
      </c>
    </row>
    <row r="393">
      <c r="A393" t="inlineStr">
        <is>
          <t>Francia</t>
        </is>
      </c>
      <c r="B393" t="inlineStr">
        <is>
          <t>París Sur (Orly)</t>
        </is>
      </c>
      <c r="C393" t="inlineStr">
        <is>
          <t>Alemania</t>
        </is>
      </c>
      <c r="D393" t="inlineStr">
        <is>
          <t>Fráncfort</t>
        </is>
      </c>
      <c r="E393" t="inlineStr">
        <is>
          <t>2026-05-23</t>
        </is>
      </c>
      <c r="F393" t="inlineStr">
        <is>
          <t>2026-05-30</t>
        </is>
      </c>
      <c r="G393" t="inlineStr"/>
      <c r="H393">
        <f>HYPERLINK("https://booking.roadsurfer.com/es/rally/pick?pickup_date=2026-05-23&amp;return_date=2026-05-30&amp;currency=EUR&amp;startStation=12&amp;endStation=2", "Clic para verlo en la web de RoadSurfer")</f>
        <v/>
      </c>
    </row>
    <row r="394">
      <c r="A394" t="inlineStr">
        <is>
          <t>Francia</t>
        </is>
      </c>
      <c r="B394" t="inlineStr">
        <is>
          <t>París Aeropuerto CDG</t>
        </is>
      </c>
      <c r="C394" t="inlineStr">
        <is>
          <t>Francia</t>
        </is>
      </c>
      <c r="D394" t="inlineStr">
        <is>
          <t>Niza</t>
        </is>
      </c>
      <c r="E394" t="inlineStr">
        <is>
          <t>2026-07-24</t>
        </is>
      </c>
      <c r="F394" t="inlineStr">
        <is>
          <t>2026-07-31</t>
        </is>
      </c>
      <c r="G394" t="inlineStr"/>
      <c r="H394">
        <f>HYPERLINK("https://booking.roadsurfer.com/es/rally/pick?pickup_date=2026-07-24&amp;return_date=2026-07-31&amp;currency=EUR&amp;startStation=48&amp;endStation=88", "Clic para verlo en la web de RoadSurfer")</f>
        <v/>
      </c>
    </row>
    <row r="395">
      <c r="A395" t="inlineStr">
        <is>
          <t>Francia</t>
        </is>
      </c>
      <c r="B395" t="inlineStr">
        <is>
          <t>París Aeropuerto CDG</t>
        </is>
      </c>
      <c r="C395" t="inlineStr">
        <is>
          <t>Alemania</t>
        </is>
      </c>
      <c r="D395" t="inlineStr">
        <is>
          <t>Dresde</t>
        </is>
      </c>
      <c r="E395" t="inlineStr">
        <is>
          <t>2026-05-27</t>
        </is>
      </c>
      <c r="F395" t="inlineStr">
        <is>
          <t>2026-06-03</t>
        </is>
      </c>
      <c r="G395" t="inlineStr"/>
      <c r="H395">
        <f>HYPERLINK("https://booking.roadsurfer.com/es/rally/pick?pickup_date=2026-05-27&amp;return_date=2026-06-03&amp;currency=EUR&amp;startStation=48&amp;endStation=56", "Clic para verlo en la web de RoadSurfer")</f>
        <v/>
      </c>
    </row>
    <row r="396">
      <c r="A396" t="inlineStr">
        <is>
          <t>Italia</t>
        </is>
      </c>
      <c r="B396" t="inlineStr">
        <is>
          <t>Roma Aeropuerto Fiumicino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2026-06-01</t>
        </is>
      </c>
      <c r="F396" t="inlineStr">
        <is>
          <t>2026-06-08</t>
        </is>
      </c>
      <c r="G396" t="inlineStr">
        <is>
          <t xml:space="preserve"> - Beach Hostel</t>
        </is>
      </c>
      <c r="H396">
        <f>HYPERLINK("https://booking.roadsurfer.com/es/rally/pick?pickup_date=2026-06-01&amp;return_date=2026-06-08&amp;currency=EUR&amp;startStation=35&amp;endStation=58", "Clic para verlo en la web de RoadSurfer")</f>
        <v/>
      </c>
    </row>
    <row r="397">
      <c r="A397" t="inlineStr">
        <is>
          <t>Austria</t>
        </is>
      </c>
      <c r="B397" t="inlineStr">
        <is>
          <t>Salzburgo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2026-06-03</t>
        </is>
      </c>
      <c r="F397" t="inlineStr">
        <is>
          <t>2026-06-10</t>
        </is>
      </c>
      <c r="G397" t="inlineStr"/>
      <c r="H397">
        <f>HYPERLINK("https://booking.roadsurfer.com/es/rally/pick?pickup_date=2026-06-03&amp;return_date=2026-06-10&amp;currency=EUR&amp;startStation=85&amp;endStation=45", "Clic para verlo en la web de RoadSurfer")</f>
        <v/>
      </c>
    </row>
    <row r="398">
      <c r="A398" t="inlineStr">
        <is>
          <t>España</t>
        </is>
      </c>
      <c r="B398" t="inlineStr">
        <is>
          <t>Sevilla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2026-05-27</t>
        </is>
      </c>
      <c r="F398" t="inlineStr">
        <is>
          <t>2026-06-03</t>
        </is>
      </c>
      <c r="G398" t="inlineStr">
        <is>
          <t xml:space="preserve"> - Surfer Suite</t>
        </is>
      </c>
      <c r="H398">
        <f>HYPERLINK("https://booking.roadsurfer.com/es/rally/pick?pickup_date=2026-05-27&amp;return_date=2026-06-03&amp;currency=EUR&amp;startStation=39&amp;endStation=9", "Clic para verlo en la web de RoadSurfer")</f>
        <v/>
      </c>
    </row>
    <row r="399">
      <c r="A399" t="inlineStr">
        <is>
          <t>España</t>
        </is>
      </c>
      <c r="B399" t="inlineStr">
        <is>
          <t>Sevilla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2026-06-03</t>
        </is>
      </c>
      <c r="F399" t="inlineStr">
        <is>
          <t>2026-06-10</t>
        </is>
      </c>
      <c r="G399" t="inlineStr">
        <is>
          <t xml:space="preserve"> - Road House</t>
        </is>
      </c>
      <c r="H399">
        <f>HYPERLINK("https://booking.roadsurfer.com/es/rally/pick?pickup_date=2026-06-03&amp;return_date=2026-06-10&amp;currency=EUR&amp;startStation=39&amp;endStation=9", "Clic para verlo en la web de RoadSurfer")</f>
        <v/>
      </c>
    </row>
    <row r="400">
      <c r="A400" t="inlineStr">
        <is>
          <t>España</t>
        </is>
      </c>
      <c r="B400" t="inlineStr">
        <is>
          <t>Sevilla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2026-05-28</t>
        </is>
      </c>
      <c r="F400" t="inlineStr">
        <is>
          <t>2026-06-04</t>
        </is>
      </c>
      <c r="G400" t="inlineStr"/>
      <c r="H400">
        <f>HYPERLINK("https://booking.roadsurfer.com/es/rally/pick?pickup_date=2026-05-28&amp;return_date=2026-06-04&amp;currency=EUR&amp;startStation=39&amp;endStation=30", "Clic para verlo en la web de RoadSurfer")</f>
        <v/>
      </c>
    </row>
    <row r="401">
      <c r="A401" t="inlineStr">
        <is>
          <t>España</t>
        </is>
      </c>
      <c r="B401" t="inlineStr">
        <is>
          <t>Sevilla</t>
        </is>
      </c>
      <c r="C401" t="inlineStr">
        <is>
          <t>Alemania</t>
        </is>
      </c>
      <c r="D401" t="inlineStr">
        <is>
          <t>Colonia-Düsseldorf</t>
        </is>
      </c>
      <c r="E401" t="inlineStr">
        <is>
          <t>2026-05-30</t>
        </is>
      </c>
      <c r="F401" t="inlineStr">
        <is>
          <t>2026-06-06</t>
        </is>
      </c>
      <c r="G401" t="inlineStr">
        <is>
          <t xml:space="preserve"> - Road House</t>
        </is>
      </c>
      <c r="H401">
        <f>HYPERLINK("https://booking.roadsurfer.com/es/rally/pick?pickup_date=2026-05-30&amp;return_date=2026-06-06&amp;currency=EUR&amp;startStation=39&amp;endStation=4",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2026-05-30</t>
        </is>
      </c>
      <c r="F402" t="inlineStr">
        <is>
          <t>2026-06-06</t>
        </is>
      </c>
      <c r="G402" t="inlineStr"/>
      <c r="H402">
        <f>HYPERLINK("https://booking.roadsurfer.com/es/rally/pick?pickup_date=2026-05-30&amp;return_date=2026-06-06&amp;currency=EUR&amp;startStation=59&amp;endStation=130",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Ratisbona</t>
        </is>
      </c>
      <c r="E403" t="inlineStr">
        <is>
          <t>2026-05-30</t>
        </is>
      </c>
      <c r="F403" t="inlineStr">
        <is>
          <t>2026-06-06</t>
        </is>
      </c>
      <c r="G403" t="inlineStr">
        <is>
          <t xml:space="preserve"> - Surfer Suite</t>
        </is>
      </c>
      <c r="H403">
        <f>HYPERLINK("https://booking.roadsurfer.com/es/rally/pick?pickup_date=2026-05-30&amp;return_date=2026-06-06&amp;currency=EUR&amp;startStation=59&amp;endStation=89",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2026-06-02</t>
        </is>
      </c>
      <c r="F404" t="inlineStr">
        <is>
          <t>2026-06-09</t>
        </is>
      </c>
      <c r="G404" t="inlineStr"/>
      <c r="H404">
        <f>HYPERLINK("https://booking.roadsurfer.com/es/rally/pick?pickup_date=2026-06-02&amp;return_date=2026-06-09&amp;currency=EUR&amp;startStation=59&amp;endStation=90",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2026-06-01</t>
        </is>
      </c>
      <c r="F405" t="inlineStr">
        <is>
          <t>2026-06-08</t>
        </is>
      </c>
      <c r="G405" t="inlineStr"/>
      <c r="H405">
        <f>HYPERLINK("https://booking.roadsurfer.com/es/rally/pick?pickup_date=2026-06-01&amp;return_date=2026-06-08&amp;currency=EUR&amp;startStation=59&amp;endStation=90",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2026-05-30</t>
        </is>
      </c>
      <c r="F406" t="inlineStr">
        <is>
          <t>2026-06-06</t>
        </is>
      </c>
      <c r="G406" t="inlineStr">
        <is>
          <t xml:space="preserve"> - Surfer Suite</t>
        </is>
      </c>
      <c r="H406">
        <f>HYPERLINK("https://booking.roadsurfer.com/es/rally/pick?pickup_date=2026-05-30&amp;return_date=2026-06-06&amp;currency=EUR&amp;startStation=59&amp;endStation=90",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2026-05-30</t>
        </is>
      </c>
      <c r="F407" t="inlineStr">
        <is>
          <t>2026-06-06</t>
        </is>
      </c>
      <c r="G407" t="inlineStr">
        <is>
          <t xml:space="preserve"> - Surfer Suite</t>
        </is>
      </c>
      <c r="H407">
        <f>HYPERLINK("https://booking.roadsurfer.com/es/rally/pick?pickup_date=2026-05-30&amp;return_date=2026-06-06&amp;currency=EUR&amp;startStation=59&amp;endStation=11",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2026-05-29</t>
        </is>
      </c>
      <c r="F408" t="inlineStr">
        <is>
          <t>2026-06-05</t>
        </is>
      </c>
      <c r="G408" t="inlineStr">
        <is>
          <t xml:space="preserve"> - Beach Hostel</t>
        </is>
      </c>
      <c r="H408">
        <f>HYPERLINK("https://booking.roadsurfer.com/es/rally/pick?pickup_date=2026-05-29&amp;return_date=2026-06-05&amp;currency=EUR&amp;startStation=59&amp;endStation=11",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Bremen</t>
        </is>
      </c>
      <c r="E409" t="inlineStr">
        <is>
          <t>2026-05-27</t>
        </is>
      </c>
      <c r="F409" t="inlineStr">
        <is>
          <t>2026-06-03</t>
        </is>
      </c>
      <c r="G409" t="inlineStr">
        <is>
          <t xml:space="preserve"> - Beach Hostel - Sunrise Suite</t>
        </is>
      </c>
      <c r="H409">
        <f>HYPERLINK("https://booking.roadsurfer.com/es/rally/pick?pickup_date=2026-05-27&amp;return_date=2026-06-03&amp;currency=EUR&amp;startStation=59&amp;endStation=55",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2026-05-29</t>
        </is>
      </c>
      <c r="F410" t="inlineStr">
        <is>
          <t>2026-06-05</t>
        </is>
      </c>
      <c r="G410" t="inlineStr"/>
      <c r="H410">
        <f>HYPERLINK("https://booking.roadsurfer.com/es/rally/pick?pickup_date=2026-05-29&amp;return_date=2026-06-05&amp;currency=EUR&amp;startStation=59&amp;endStation=22",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2026-05-28</t>
        </is>
      </c>
      <c r="F411" t="inlineStr">
        <is>
          <t>2026-06-04</t>
        </is>
      </c>
      <c r="G411" t="inlineStr">
        <is>
          <t xml:space="preserve"> - Sunrise Suite</t>
        </is>
      </c>
      <c r="H411">
        <f>HYPERLINK("https://booking.roadsurfer.com/es/rally/pick?pickup_date=2026-05-28&amp;return_date=2026-06-04&amp;currency=EUR&amp;startStation=59&amp;endStation=22",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2026-06-01</t>
        </is>
      </c>
      <c r="F412" t="inlineStr">
        <is>
          <t>2026-06-08</t>
        </is>
      </c>
      <c r="G412" t="inlineStr">
        <is>
          <t xml:space="preserve"> - Road House</t>
        </is>
      </c>
      <c r="H412">
        <f>HYPERLINK("https://booking.roadsurfer.com/es/rally/pick?pickup_date=2026-06-01&amp;return_date=2026-06-08&amp;currency=EUR&amp;startStation=59&amp;endStation=91",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2026-05-27</t>
        </is>
      </c>
      <c r="F413" t="inlineStr">
        <is>
          <t>2026-06-03</t>
        </is>
      </c>
      <c r="G413" t="inlineStr">
        <is>
          <t xml:space="preserve"> - Sunrise Suite</t>
        </is>
      </c>
      <c r="H413">
        <f>HYPERLINK("https://booking.roadsurfer.com/es/rally/pick?pickup_date=2026-05-27&amp;return_date=2026-06-03&amp;currency=EUR&amp;startStation=59&amp;endStation=91",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Lindau-Wangen</t>
        </is>
      </c>
      <c r="E414" t="inlineStr">
        <is>
          <t>2026-05-27</t>
        </is>
      </c>
      <c r="F414" t="inlineStr">
        <is>
          <t>2026-06-03</t>
        </is>
      </c>
      <c r="G414" t="inlineStr">
        <is>
          <t xml:space="preserve"> - Camper Castle</t>
        </is>
      </c>
      <c r="H414">
        <f>HYPERLINK("https://booking.roadsurfer.com/es/rally/pick?pickup_date=2026-05-27&amp;return_date=2026-06-03&amp;currency=EUR&amp;startStation=59&amp;endStation=117",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2026-05-27</t>
        </is>
      </c>
      <c r="F415" t="inlineStr">
        <is>
          <t>2026-06-03</t>
        </is>
      </c>
      <c r="G415" t="inlineStr">
        <is>
          <t xml:space="preserve"> - Couple Cottage</t>
        </is>
      </c>
      <c r="H415">
        <f>HYPERLINK("https://booking.roadsurfer.com/es/rally/pick?pickup_date=2026-05-27&amp;return_date=2026-06-03&amp;currency=EUR&amp;startStation=59&amp;endStation=8",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2026-06-02</t>
        </is>
      </c>
      <c r="F416" t="inlineStr">
        <is>
          <t>2026-06-09</t>
        </is>
      </c>
      <c r="G416" t="inlineStr">
        <is>
          <t xml:space="preserve"> - Couple Cottage</t>
        </is>
      </c>
      <c r="H416">
        <f>HYPERLINK("https://booking.roadsurfer.com/es/rally/pick?pickup_date=2026-06-02&amp;return_date=2026-06-09&amp;currency=EUR&amp;startStation=59&amp;endStation=8",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2026-07-20</t>
        </is>
      </c>
      <c r="F417" t="inlineStr">
        <is>
          <t>2026-07-27</t>
        </is>
      </c>
      <c r="G417" t="inlineStr">
        <is>
          <t xml:space="preserve"> - Van Villa</t>
        </is>
      </c>
      <c r="H417">
        <f>HYPERLINK("https://booking.roadsurfer.com/es/rally/pick?pickup_date=2026-07-20&amp;return_date=2026-07-27&amp;currency=EUR&amp;startStation=59&amp;endStation=2",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Hamburgo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Van Villa</t>
        </is>
      </c>
      <c r="H418">
        <f>HYPERLINK("https://booking.roadsurfer.com/es/rally/pick?pickup_date=2026-06-01&amp;return_date=2026-06-08&amp;currency=EUR&amp;startStation=59&amp;endStation=3",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Lübeck</t>
        </is>
      </c>
      <c r="E419" t="inlineStr">
        <is>
          <t>2026-05-27</t>
        </is>
      </c>
      <c r="F419" t="inlineStr">
        <is>
          <t>2026-06-03</t>
        </is>
      </c>
      <c r="G419" t="inlineStr">
        <is>
          <t xml:space="preserve"> - Sunrise Suite</t>
        </is>
      </c>
      <c r="H419">
        <f>HYPERLINK("https://booking.roadsurfer.com/es/rally/pick?pickup_date=2026-05-27&amp;return_date=2026-06-03&amp;currency=EUR&amp;startStation=59&amp;endStation=109", "Clic para verlo en la web de RoadSurfer")</f>
        <v/>
      </c>
    </row>
    <row r="420">
      <c r="A420" t="inlineStr">
        <is>
          <t>Alemania</t>
        </is>
      </c>
      <c r="B420" t="inlineStr">
        <is>
          <t>Stuttgart</t>
        </is>
      </c>
      <c r="C420" t="inlineStr">
        <is>
          <t>Italia</t>
        </is>
      </c>
      <c r="D420" t="inlineStr">
        <is>
          <t>Venecia</t>
        </is>
      </c>
      <c r="E420" t="inlineStr">
        <is>
          <t>2026-06-22</t>
        </is>
      </c>
      <c r="F420" t="inlineStr">
        <is>
          <t>2026-06-29</t>
        </is>
      </c>
      <c r="G420" t="inlineStr">
        <is>
          <t xml:space="preserve"> - Surfer Suite</t>
        </is>
      </c>
      <c r="H420">
        <f>HYPERLINK("https://booking.roadsurfer.com/es/rally/pick?pickup_date=2026-06-22&amp;return_date=2026-06-29&amp;currency=EUR&amp;startStation=5&amp;endStation=78", "Clic para verlo en la web de RoadSurfer")</f>
        <v/>
      </c>
    </row>
    <row r="421">
      <c r="A421" t="inlineStr">
        <is>
          <t>Alemania</t>
        </is>
      </c>
      <c r="B421" t="inlineStr">
        <is>
          <t>Stuttgart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2026-06-24</t>
        </is>
      </c>
      <c r="F421" t="inlineStr">
        <is>
          <t>2026-07-01</t>
        </is>
      </c>
      <c r="G421" t="inlineStr">
        <is>
          <t xml:space="preserve"> - Camper Cabin</t>
        </is>
      </c>
      <c r="H421">
        <f>HYPERLINK("https://booking.roadsurfer.com/es/rally/pick?pickup_date=2026-06-24&amp;return_date=2026-07-01&amp;currency=EUR&amp;startStation=5&amp;endStation=20", "Clic para verlo en la web de RoadSurfer")</f>
        <v/>
      </c>
    </row>
    <row r="422">
      <c r="A422" t="inlineStr">
        <is>
          <t>Alemania</t>
        </is>
      </c>
      <c r="B422" t="inlineStr">
        <is>
          <t>Stuttgart</t>
        </is>
      </c>
      <c r="C422" t="inlineStr">
        <is>
          <t>España</t>
        </is>
      </c>
      <c r="D422" t="inlineStr">
        <is>
          <t>Madrid</t>
        </is>
      </c>
      <c r="E422" t="inlineStr">
        <is>
          <t>2026-06-05</t>
        </is>
      </c>
      <c r="F422" t="inlineStr">
        <is>
          <t>2026-06-12</t>
        </is>
      </c>
      <c r="G422" t="inlineStr">
        <is>
          <t xml:space="preserve"> - No hay coche</t>
        </is>
      </c>
      <c r="H422">
        <f>HYPERLINK("https://booking.roadsurfer.com/es/rally/pick?pickup_date=2026-06-05&amp;return_date=2026-06-12&amp;currency=EUR&amp;startStation=5&amp;endStation=20", "Clic para verlo en la web de RoadSurfer")</f>
        <v/>
      </c>
    </row>
    <row r="423">
      <c r="A423" t="inlineStr">
        <is>
          <t>Alemania</t>
        </is>
      </c>
      <c r="B423" t="inlineStr">
        <is>
          <t>Stuttgart</t>
        </is>
      </c>
      <c r="C423" t="inlineStr">
        <is>
          <t>España</t>
        </is>
      </c>
      <c r="D423" t="inlineStr">
        <is>
          <t>Bilbao</t>
        </is>
      </c>
      <c r="E423" t="inlineStr">
        <is>
          <t>2026-06-22</t>
        </is>
      </c>
      <c r="F423" t="inlineStr">
        <is>
          <t>2026-06-29</t>
        </is>
      </c>
      <c r="G423" t="inlineStr">
        <is>
          <t xml:space="preserve"> - Road House</t>
        </is>
      </c>
      <c r="H423">
        <f>HYPERLINK("https://booking.roadsurfer.com/es/rally/pick?pickup_date=2026-06-22&amp;return_date=2026-06-29&amp;currency=EUR&amp;startStation=5&amp;endStation=40", "Clic para verlo en la web de RoadSurfer")</f>
        <v/>
      </c>
    </row>
    <row r="424">
      <c r="A424" t="inlineStr">
        <is>
          <t>Alemania</t>
        </is>
      </c>
      <c r="B424" t="inlineStr">
        <is>
          <t>Stuttgart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2026-06-15</t>
        </is>
      </c>
      <c r="F424" t="inlineStr">
        <is>
          <t>2026-06-22</t>
        </is>
      </c>
      <c r="G424" t="inlineStr">
        <is>
          <t xml:space="preserve"> - Camper Castle</t>
        </is>
      </c>
      <c r="H424">
        <f>HYPERLINK("https://booking.roadsurfer.com/es/rally/pick?pickup_date=2026-06-15&amp;return_date=2026-06-22&amp;currency=EUR&amp;startStation=5&amp;endStation=40", "Clic para verlo en la web de RoadSurfer")</f>
        <v/>
      </c>
    </row>
    <row r="425">
      <c r="A425" t="inlineStr">
        <is>
          <t>Alemania</t>
        </is>
      </c>
      <c r="B425" t="inlineStr">
        <is>
          <t>Stuttgart</t>
        </is>
      </c>
      <c r="C425" t="inlineStr">
        <is>
          <t>Italia</t>
        </is>
      </c>
      <c r="D425" t="inlineStr">
        <is>
          <t>Florencia</t>
        </is>
      </c>
      <c r="E425" t="inlineStr">
        <is>
          <t>2026-06-23</t>
        </is>
      </c>
      <c r="F425" t="inlineStr">
        <is>
          <t>2026-06-30</t>
        </is>
      </c>
      <c r="G425" t="inlineStr">
        <is>
          <t xml:space="preserve"> - No hay coche</t>
        </is>
      </c>
      <c r="H425">
        <f>HYPERLINK("https://booking.roadsurfer.com/es/rally/pick?pickup_date=2026-06-23&amp;return_date=2026-06-30&amp;currency=EUR&amp;startStation=5&amp;endStation=80", "Clic para verlo en la web de RoadSurfer")</f>
        <v/>
      </c>
    </row>
    <row r="426">
      <c r="A426" t="inlineStr">
        <is>
          <t>Alemania</t>
        </is>
      </c>
      <c r="B426" t="inlineStr">
        <is>
          <t>Stuttgart</t>
        </is>
      </c>
      <c r="C426" t="inlineStr">
        <is>
          <t>Austria</t>
        </is>
      </c>
      <c r="D426" t="inlineStr">
        <is>
          <t>Salzburgo</t>
        </is>
      </c>
      <c r="E426" t="inlineStr">
        <is>
          <t>2026-06-08</t>
        </is>
      </c>
      <c r="F426" t="inlineStr">
        <is>
          <t>2026-06-15</t>
        </is>
      </c>
      <c r="G426" t="inlineStr">
        <is>
          <t xml:space="preserve"> - Camper Castle</t>
        </is>
      </c>
      <c r="H426">
        <f>HYPERLINK("https://booking.roadsurfer.com/es/rally/pick?pickup_date=2026-06-08&amp;return_date=2026-06-15&amp;currency=EUR&amp;startStation=5&amp;endStation=85", "Clic para verlo en la web de RoadSurfer")</f>
        <v/>
      </c>
    </row>
    <row r="427">
      <c r="A427" t="inlineStr">
        <is>
          <t>Alemania</t>
        </is>
      </c>
      <c r="B427" t="inlineStr">
        <is>
          <t>Stuttgart</t>
        </is>
      </c>
      <c r="C427" t="inlineStr">
        <is>
          <t>España</t>
        </is>
      </c>
      <c r="D427" t="inlineStr">
        <is>
          <t>Sevilla</t>
        </is>
      </c>
      <c r="E427" t="inlineStr">
        <is>
          <t>2026-06-12</t>
        </is>
      </c>
      <c r="F427" t="inlineStr">
        <is>
          <t>2026-06-19</t>
        </is>
      </c>
      <c r="G427" t="inlineStr">
        <is>
          <t xml:space="preserve"> - Couple Cottage</t>
        </is>
      </c>
      <c r="H427">
        <f>HYPERLINK("https://booking.roadsurfer.com/es/rally/pick?pickup_date=2026-06-12&amp;return_date=2026-06-19&amp;currency=EUR&amp;startStation=5&amp;endStation=39", "Clic para verlo en la web de RoadSurfer")</f>
        <v/>
      </c>
    </row>
    <row r="428">
      <c r="A428" t="inlineStr">
        <is>
          <t>Alemania</t>
        </is>
      </c>
      <c r="B428" t="inlineStr">
        <is>
          <t>Stuttgart</t>
        </is>
      </c>
      <c r="C428" t="inlineStr">
        <is>
          <t>España</t>
        </is>
      </c>
      <c r="D428" t="inlineStr">
        <is>
          <t>Sevilla</t>
        </is>
      </c>
      <c r="E428" t="inlineStr">
        <is>
          <t>2026-06-13</t>
        </is>
      </c>
      <c r="F428" t="inlineStr">
        <is>
          <t>2026-06-20</t>
        </is>
      </c>
      <c r="G428" t="inlineStr">
        <is>
          <t xml:space="preserve"> - Camper Castle</t>
        </is>
      </c>
      <c r="H428">
        <f>HYPERLINK("https://booking.roadsurfer.com/es/rally/pick?pickup_date=2026-06-13&amp;return_date=2026-06-20&amp;currency=EUR&amp;startStation=5&amp;endStation=39", "Clic para verlo en la web de RoadSurfer")</f>
        <v/>
      </c>
    </row>
    <row r="429">
      <c r="A429" t="inlineStr">
        <is>
          <t>Alemania</t>
        </is>
      </c>
      <c r="B429" t="inlineStr">
        <is>
          <t>Stuttgart</t>
        </is>
      </c>
      <c r="C429" t="inlineStr">
        <is>
          <t>Italia</t>
        </is>
      </c>
      <c r="D429" t="inlineStr">
        <is>
          <t>Milán</t>
        </is>
      </c>
      <c r="E429" t="inlineStr">
        <is>
          <t>2026-06-08</t>
        </is>
      </c>
      <c r="F429" t="inlineStr">
        <is>
          <t>2026-06-15</t>
        </is>
      </c>
      <c r="G429" t="inlineStr">
        <is>
          <t xml:space="preserve"> - Sunrise Suite</t>
        </is>
      </c>
      <c r="H429">
        <f>HYPERLINK("https://booking.roadsurfer.com/es/rally/pick?pickup_date=2026-06-08&amp;return_date=2026-06-15&amp;currency=EUR&amp;startStation=5&amp;endStation=34", "Clic para verlo en la web de RoadSurfer")</f>
        <v/>
      </c>
    </row>
    <row r="430">
      <c r="A430" t="inlineStr">
        <is>
          <t>Francia</t>
        </is>
      </c>
      <c r="B430" t="inlineStr">
        <is>
          <t>Toulouse</t>
        </is>
      </c>
      <c r="C430" t="inlineStr">
        <is>
          <t>Alemania</t>
        </is>
      </c>
      <c r="D430" t="inlineStr">
        <is>
          <t>Wurzburgo</t>
        </is>
      </c>
      <c r="E430" t="inlineStr">
        <is>
          <t>2026-06-01</t>
        </is>
      </c>
      <c r="F430" t="inlineStr">
        <is>
          <t>2026-06-08</t>
        </is>
      </c>
      <c r="G430" t="inlineStr">
        <is>
          <t xml:space="preserve"> - Surfer Suite - Road House</t>
        </is>
      </c>
      <c r="H430">
        <f>HYPERLINK("https://booking.roadsurfer.com/es/rally/pick?pickup_date=2026-06-01&amp;return_date=2026-06-08&amp;currency=EUR&amp;startStation=30&amp;endStation=115", "Clic para verlo en la web de RoadSurfer")</f>
        <v/>
      </c>
    </row>
    <row r="431">
      <c r="A431" t="inlineStr">
        <is>
          <t>Francia</t>
        </is>
      </c>
      <c r="B431" t="inlineStr">
        <is>
          <t>Toulouse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2026-06-02</t>
        </is>
      </c>
      <c r="F431" t="inlineStr">
        <is>
          <t>2026-06-09</t>
        </is>
      </c>
      <c r="G431" t="inlineStr">
        <is>
          <t xml:space="preserve"> - Surfer Suite</t>
        </is>
      </c>
      <c r="H431">
        <f>HYPERLINK("https://booking.roadsurfer.com/es/rally/pick?pickup_date=2026-06-02&amp;return_date=2026-06-09&amp;currency=EUR&amp;startStation=30&amp;endStation=90", "Clic para verlo en la web de RoadSurfer")</f>
        <v/>
      </c>
    </row>
    <row r="432">
      <c r="A432" t="inlineStr">
        <is>
          <t>Francia</t>
        </is>
      </c>
      <c r="B432" t="inlineStr">
        <is>
          <t>Toulouse</t>
        </is>
      </c>
      <c r="C432" t="inlineStr">
        <is>
          <t>Francia</t>
        </is>
      </c>
      <c r="D432" t="inlineStr">
        <is>
          <t>Nantes</t>
        </is>
      </c>
      <c r="E432" t="inlineStr">
        <is>
          <t>2026-06-04</t>
        </is>
      </c>
      <c r="F432" t="inlineStr">
        <is>
          <t>2026-06-11</t>
        </is>
      </c>
      <c r="G432" t="inlineStr">
        <is>
          <t xml:space="preserve"> - Surfer Suite</t>
        </is>
      </c>
      <c r="H432">
        <f>HYPERLINK("https://booking.roadsurfer.com/es/rally/pick?pickup_date=2026-06-04&amp;return_date=2026-06-11&amp;currency=EUR&amp;startStation=30&amp;endStation=31", "Clic para verlo en la web de RoadSurfer")</f>
        <v/>
      </c>
    </row>
    <row r="433">
      <c r="A433" t="inlineStr">
        <is>
          <t>Francia</t>
        </is>
      </c>
      <c r="B433" t="inlineStr">
        <is>
          <t>Toulouse</t>
        </is>
      </c>
      <c r="C433" t="inlineStr">
        <is>
          <t>Alemania</t>
        </is>
      </c>
      <c r="D433" t="inlineStr">
        <is>
          <t>Kassel</t>
        </is>
      </c>
      <c r="E433" t="inlineStr">
        <is>
          <t>2026-06-01</t>
        </is>
      </c>
      <c r="F433" t="inlineStr">
        <is>
          <t>2026-06-08</t>
        </is>
      </c>
      <c r="G433" t="inlineStr">
        <is>
          <t xml:space="preserve"> - Family Finca</t>
        </is>
      </c>
      <c r="H433">
        <f>HYPERLINK("https://booking.roadsurfer.com/es/rally/pick?pickup_date=2026-06-01&amp;return_date=2026-06-08&amp;currency=EUR&amp;startStation=30&amp;endStation=92", "Clic para verlo en la web de RoadSurfer")</f>
        <v/>
      </c>
    </row>
    <row r="434">
      <c r="A434" t="inlineStr">
        <is>
          <t>Francia</t>
        </is>
      </c>
      <c r="B434" t="inlineStr">
        <is>
          <t>Toulouse</t>
        </is>
      </c>
      <c r="C434" t="inlineStr">
        <is>
          <t>Alemania</t>
        </is>
      </c>
      <c r="D434" t="inlineStr">
        <is>
          <t>Kassel</t>
        </is>
      </c>
      <c r="E434" t="inlineStr">
        <is>
          <t>2026-05-26</t>
        </is>
      </c>
      <c r="F434" t="inlineStr">
        <is>
          <t>2026-06-02</t>
        </is>
      </c>
      <c r="G434" t="inlineStr">
        <is>
          <t xml:space="preserve"> - Family Finca</t>
        </is>
      </c>
      <c r="H434">
        <f>HYPERLINK("https://booking.roadsurfer.com/es/rally/pick?pickup_date=2026-05-26&amp;return_date=2026-06-02&amp;currency=EUR&amp;startStation=30&amp;endStation=92", "Clic para verlo en la web de RoadSurfer")</f>
        <v/>
      </c>
    </row>
    <row r="435">
      <c r="A435" t="inlineStr">
        <is>
          <t>Alemania</t>
        </is>
      </c>
      <c r="B435" t="inlineStr">
        <is>
          <t>Tréveris</t>
        </is>
      </c>
      <c r="C435" t="inlineStr">
        <is>
          <t>Italia</t>
        </is>
      </c>
      <c r="D435" t="inlineStr">
        <is>
          <t>Venecia</t>
        </is>
      </c>
      <c r="E435" t="inlineStr">
        <is>
          <t>2026-06-20</t>
        </is>
      </c>
      <c r="F435" t="inlineStr">
        <is>
          <t>2026-06-27</t>
        </is>
      </c>
      <c r="G435" t="inlineStr">
        <is>
          <t xml:space="preserve"> - Camper Cabin</t>
        </is>
      </c>
      <c r="H435">
        <f>HYPERLINK("https://booking.roadsurfer.com/es/rally/pick?pickup_date=2026-06-20&amp;return_date=2026-06-27&amp;currency=EUR&amp;startStation=28&amp;endStation=78", "Clic para verlo en la web de RoadSurfer")</f>
        <v/>
      </c>
    </row>
    <row r="436">
      <c r="A436" t="inlineStr">
        <is>
          <t>Alemania</t>
        </is>
      </c>
      <c r="B436" t="inlineStr">
        <is>
          <t>Tréveris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2026-06-22</t>
        </is>
      </c>
      <c r="F436" t="inlineStr">
        <is>
          <t>2026-06-29</t>
        </is>
      </c>
      <c r="G436" t="inlineStr">
        <is>
          <t xml:space="preserve"> - Camper Cabin</t>
        </is>
      </c>
      <c r="H436">
        <f>HYPERLINK("https://booking.roadsurfer.com/es/rally/pick?pickup_date=2026-06-22&amp;return_date=2026-06-29&amp;currency=EUR&amp;startStation=28&amp;endStation=3", "Clic para verlo en la web de RoadSurfer")</f>
        <v/>
      </c>
    </row>
    <row r="437">
      <c r="A437" t="inlineStr">
        <is>
          <t>Alemania</t>
        </is>
      </c>
      <c r="B437" t="inlineStr">
        <is>
          <t>Tréveris</t>
        </is>
      </c>
      <c r="C437" t="inlineStr">
        <is>
          <t>España</t>
        </is>
      </c>
      <c r="D437" t="inlineStr">
        <is>
          <t>Sevilla</t>
        </is>
      </c>
      <c r="E437" t="inlineStr">
        <is>
          <t>2026-06-13</t>
        </is>
      </c>
      <c r="F437" t="inlineStr">
        <is>
          <t>2026-06-20</t>
        </is>
      </c>
      <c r="G437" t="inlineStr"/>
      <c r="H437">
        <f>HYPERLINK("https://booking.roadsurfer.com/es/rally/pick?pickup_date=2026-06-13&amp;return_date=2026-06-20&amp;currency=EUR&amp;startStation=28&amp;endStation=39", "Clic para verlo en la web de RoadSurfer")</f>
        <v/>
      </c>
    </row>
    <row r="438">
      <c r="A438" t="inlineStr">
        <is>
          <t>Alemania</t>
        </is>
      </c>
      <c r="B438" t="inlineStr">
        <is>
          <t>Tréveris</t>
        </is>
      </c>
      <c r="C438" t="inlineStr">
        <is>
          <t>Bélgica</t>
        </is>
      </c>
      <c r="D438" t="inlineStr">
        <is>
          <t>Amberes</t>
        </is>
      </c>
      <c r="E438" t="inlineStr">
        <is>
          <t>2026-07-03</t>
        </is>
      </c>
      <c r="F438" t="inlineStr">
        <is>
          <t>2026-07-10</t>
        </is>
      </c>
      <c r="G438" t="inlineStr"/>
      <c r="H438">
        <f>HYPERLINK("https://booking.roadsurfer.com/es/rally/pick?pickup_date=2026-07-03&amp;return_date=2026-07-10&amp;currency=EUR&amp;startStation=28&amp;endStation=47", "Clic para verlo en la web de RoadSurfer")</f>
        <v/>
      </c>
    </row>
    <row r="439">
      <c r="A439" t="inlineStr">
        <is>
          <t>Alemania</t>
        </is>
      </c>
      <c r="B439" t="inlineStr">
        <is>
          <t>Ulm</t>
        </is>
      </c>
      <c r="C439" t="inlineStr">
        <is>
          <t>Alemania</t>
        </is>
      </c>
      <c r="D439" t="inlineStr">
        <is>
          <t>Heidelberg</t>
        </is>
      </c>
      <c r="E439" t="inlineStr">
        <is>
          <t>2026-06-12</t>
        </is>
      </c>
      <c r="F439" t="inlineStr">
        <is>
          <t>2026-06-19</t>
        </is>
      </c>
      <c r="G439" t="inlineStr">
        <is>
          <t xml:space="preserve"> - Cozy Cottage</t>
        </is>
      </c>
      <c r="H439">
        <f>HYPERLINK("https://booking.roadsurfer.com/es/rally/pick?pickup_date=2026-06-12&amp;return_date=2026-06-19&amp;currency=EUR&amp;startStation=112&amp;endStation=79", "Clic para verlo en la web de RoadSurfer")</f>
        <v/>
      </c>
    </row>
    <row r="440">
      <c r="A440" t="inlineStr">
        <is>
          <t>Alemania</t>
        </is>
      </c>
      <c r="B440" t="inlineStr">
        <is>
          <t>Ulm</t>
        </is>
      </c>
      <c r="C440" t="inlineStr">
        <is>
          <t>Francia</t>
        </is>
      </c>
      <c r="D440" t="inlineStr">
        <is>
          <t>París Aeropuerto CDG</t>
        </is>
      </c>
      <c r="E440" t="inlineStr">
        <is>
          <t>2026-06-22</t>
        </is>
      </c>
      <c r="F440" t="inlineStr">
        <is>
          <t>2026-06-29</t>
        </is>
      </c>
      <c r="G440" t="inlineStr">
        <is>
          <t xml:space="preserve"> - No hay coche</t>
        </is>
      </c>
      <c r="H440">
        <f>HYPERLINK("https://booking.roadsurfer.com/es/rally/pick?pickup_date=2026-06-22&amp;return_date=2026-06-29&amp;currency=EUR&amp;startStation=112&amp;endStation=48", "Clic para verlo en la web de RoadSurfer")</f>
        <v/>
      </c>
    </row>
    <row r="441">
      <c r="A441" t="inlineStr">
        <is>
          <t>Alemania</t>
        </is>
      </c>
      <c r="B441" t="inlineStr">
        <is>
          <t>Ulm</t>
        </is>
      </c>
      <c r="C441" t="inlineStr">
        <is>
          <t>Alemania</t>
        </is>
      </c>
      <c r="D441" t="inlineStr">
        <is>
          <t>Tréveris</t>
        </is>
      </c>
      <c r="E441" t="inlineStr">
        <is>
          <t>2026-06-08</t>
        </is>
      </c>
      <c r="F441" t="inlineStr">
        <is>
          <t>2026-06-15</t>
        </is>
      </c>
      <c r="G441" t="inlineStr">
        <is>
          <t xml:space="preserve"> - Camper Cabin</t>
        </is>
      </c>
      <c r="H441">
        <f>HYPERLINK("https://booking.roadsurfer.com/es/rally/pick?pickup_date=2026-06-08&amp;return_date=2026-06-15&amp;currency=EUR&amp;startStation=112&amp;endStation=28", "Clic para verlo en la web de RoadSurfer")</f>
        <v/>
      </c>
    </row>
    <row r="442">
      <c r="A442" t="inlineStr">
        <is>
          <t>Alemania</t>
        </is>
      </c>
      <c r="B442" t="inlineStr">
        <is>
          <t>Ulm</t>
        </is>
      </c>
      <c r="C442" t="inlineStr">
        <is>
          <t>Italia</t>
        </is>
      </c>
      <c r="D442" t="inlineStr">
        <is>
          <t>Venecia</t>
        </is>
      </c>
      <c r="E442" t="inlineStr">
        <is>
          <t>2026-06-29</t>
        </is>
      </c>
      <c r="F442" t="inlineStr">
        <is>
          <t>2026-07-06</t>
        </is>
      </c>
      <c r="G442" t="inlineStr">
        <is>
          <t xml:space="preserve"> - Surfer Suite</t>
        </is>
      </c>
      <c r="H442">
        <f>HYPERLINK("https://booking.roadsurfer.com/es/rally/pick?pickup_date=2026-06-29&amp;return_date=2026-07-06&amp;currency=EUR&amp;startStation=112&amp;endStation=78", "Clic para verlo en la web de RoadSurfer")</f>
        <v/>
      </c>
    </row>
    <row r="443">
      <c r="A443" t="inlineStr">
        <is>
          <t>España</t>
        </is>
      </c>
      <c r="B443" t="inlineStr">
        <is>
          <t>Valencia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2026-06-12</t>
        </is>
      </c>
      <c r="F443" t="inlineStr">
        <is>
          <t>2026-06-19</t>
        </is>
      </c>
      <c r="G443" t="inlineStr">
        <is>
          <t xml:space="preserve"> - Beach Hostel</t>
        </is>
      </c>
      <c r="H443">
        <f>HYPERLINK("https://booking.roadsurfer.com/es/rally/pick?pickup_date=2026-06-12&amp;return_date=2026-06-19&amp;currency=EUR&amp;startStation=38&amp;endStation=22", "Clic para verlo en la web de RoadSurfer")</f>
        <v/>
      </c>
    </row>
    <row r="444">
      <c r="A444" t="inlineStr">
        <is>
          <t>España</t>
        </is>
      </c>
      <c r="B444" t="inlineStr">
        <is>
          <t>Valencia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2026-05-25</t>
        </is>
      </c>
      <c r="F444" t="inlineStr">
        <is>
          <t>2026-06-01</t>
        </is>
      </c>
      <c r="G444" t="inlineStr">
        <is>
          <t xml:space="preserve"> - Couple Cottage</t>
        </is>
      </c>
      <c r="H444">
        <f>HYPERLINK("https://booking.roadsurfer.com/es/rally/pick?pickup_date=2026-05-25&amp;return_date=2026-06-01&amp;currency=EUR&amp;startStation=38&amp;endStation=54", "Clic para verlo en la web de RoadSurfer")</f>
        <v/>
      </c>
    </row>
    <row r="445">
      <c r="A445" t="inlineStr">
        <is>
          <t>Italia</t>
        </is>
      </c>
      <c r="B445" t="inlineStr">
        <is>
          <t>Venecia</t>
        </is>
      </c>
      <c r="C445" t="inlineStr">
        <is>
          <t>Italia</t>
        </is>
      </c>
      <c r="D445" t="inlineStr">
        <is>
          <t>Milán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Cozy Cottage</t>
        </is>
      </c>
      <c r="H445">
        <f>HYPERLINK("https://booking.roadsurfer.com/es/rally/pick?pickup_date=2026-05-23&amp;return_date=2026-05-30&amp;currency=EUR&amp;startStation=78&amp;endStation=34", "Clic para verlo en la web de RoadSurfer")</f>
        <v/>
      </c>
    </row>
    <row r="446">
      <c r="A446" t="inlineStr">
        <is>
          <t>Austria</t>
        </is>
      </c>
      <c r="B446" t="inlineStr">
        <is>
          <t>Viena Sur</t>
        </is>
      </c>
      <c r="C446" t="inlineStr">
        <is>
          <t>Alemania</t>
        </is>
      </c>
      <c r="D446" t="inlineStr">
        <is>
          <t>Núremberg</t>
        </is>
      </c>
      <c r="E446" t="inlineStr">
        <is>
          <t>2026-06-01</t>
        </is>
      </c>
      <c r="F446" t="inlineStr">
        <is>
          <t>2026-06-08</t>
        </is>
      </c>
      <c r="G446" t="inlineStr"/>
      <c r="H446">
        <f>HYPERLINK("https://booking.roadsurfer.com/es/rally/pick?pickup_date=2026-06-01&amp;return_date=2026-06-08&amp;currency=EUR&amp;startStation=45&amp;endStation=11",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Italia</t>
        </is>
      </c>
      <c r="D447" t="inlineStr">
        <is>
          <t>Bérgamo</t>
        </is>
      </c>
      <c r="E447" t="inlineStr">
        <is>
          <t>2026-06-08</t>
        </is>
      </c>
      <c r="F447" t="inlineStr">
        <is>
          <t>2026-06-15</t>
        </is>
      </c>
      <c r="G447" t="inlineStr">
        <is>
          <t xml:space="preserve"> - Road House</t>
        </is>
      </c>
      <c r="H447">
        <f>HYPERLINK("https://booking.roadsurfer.com/es/rally/pick?pickup_date=2026-06-08&amp;return_date=2026-06-15&amp;currency=EUR&amp;startStation=115&amp;endStation=94", "Clic para verlo en la web de RoadSurfer")</f>
        <v/>
      </c>
    </row>
    <row r="448">
      <c r="A448" t="inlineStr">
        <is>
          <t>Alemania</t>
        </is>
      </c>
      <c r="B448" t="inlineStr">
        <is>
          <t>Wurzburgo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2026-06-17</t>
        </is>
      </c>
      <c r="F448" t="inlineStr">
        <is>
          <t>2026-06-24</t>
        </is>
      </c>
      <c r="G448" t="inlineStr">
        <is>
          <t xml:space="preserve"> - No hay coche</t>
        </is>
      </c>
      <c r="H448">
        <f>HYPERLINK("https://booking.roadsurfer.com/es/rally/pick?pickup_date=2026-06-17&amp;return_date=2026-06-24&amp;currency=EUR&amp;startStation=115&amp;endStation=94", "Clic para verlo en la web de RoadSurfer")</f>
        <v/>
      </c>
    </row>
    <row r="449">
      <c r="A449" t="inlineStr">
        <is>
          <t>Alemania</t>
        </is>
      </c>
      <c r="B449" t="inlineStr">
        <is>
          <t>Wurzburgo</t>
        </is>
      </c>
      <c r="C449" t="inlineStr">
        <is>
          <t>Italia</t>
        </is>
      </c>
      <c r="D449" t="inlineStr">
        <is>
          <t>Bérgamo</t>
        </is>
      </c>
      <c r="E449" t="inlineStr">
        <is>
          <t>2026-06-27</t>
        </is>
      </c>
      <c r="F449" t="inlineStr">
        <is>
          <t>2026-07-04</t>
        </is>
      </c>
      <c r="G449" t="inlineStr">
        <is>
          <t xml:space="preserve"> - Camper Castle</t>
        </is>
      </c>
      <c r="H449">
        <f>HYPERLINK("https://booking.roadsurfer.com/es/rally/pick?pickup_date=2026-06-27&amp;return_date=2026-07-04&amp;currency=EUR&amp;startStation=115&amp;endStation=94", "Clic para verlo en la web de RoadSurfer")</f>
        <v/>
      </c>
    </row>
    <row r="450">
      <c r="A450" t="inlineStr">
        <is>
          <t>Alemania</t>
        </is>
      </c>
      <c r="B450" t="inlineStr">
        <is>
          <t>Wurzburgo</t>
        </is>
      </c>
      <c r="C450" t="inlineStr">
        <is>
          <t>Francia</t>
        </is>
      </c>
      <c r="D450" t="inlineStr">
        <is>
          <t>Toulouse</t>
        </is>
      </c>
      <c r="E450" t="inlineStr">
        <is>
          <t>2026-06-22</t>
        </is>
      </c>
      <c r="F450" t="inlineStr">
        <is>
          <t>2026-06-29</t>
        </is>
      </c>
      <c r="G450" t="inlineStr">
        <is>
          <t xml:space="preserve"> - Surfer Suite</t>
        </is>
      </c>
      <c r="H450">
        <f>HYPERLINK("https://booking.roadsurfer.com/es/rally/pick?pickup_date=2026-06-22&amp;return_date=2026-06-29&amp;currency=EUR&amp;startStation=115&amp;endStation=30", "Clic para verlo en la web de RoadSurfer")</f>
        <v/>
      </c>
    </row>
    <row r="451">
      <c r="A451" t="inlineStr">
        <is>
          <t>Alemania</t>
        </is>
      </c>
      <c r="B451" t="inlineStr">
        <is>
          <t>Wurzburgo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2026-07-02</t>
        </is>
      </c>
      <c r="F451" t="inlineStr">
        <is>
          <t>2026-07-09</t>
        </is>
      </c>
      <c r="G451" t="inlineStr">
        <is>
          <t xml:space="preserve"> - Beach Hostel</t>
        </is>
      </c>
      <c r="H451">
        <f>HYPERLINK("https://booking.roadsurfer.com/es/rally/pick?pickup_date=2026-07-02&amp;return_date=2026-07-09&amp;currency=EUR&amp;startStation=115&amp;endStation=8",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Italia</t>
        </is>
      </c>
      <c r="D452" t="inlineStr">
        <is>
          <t>Turín</t>
        </is>
      </c>
      <c r="E452" t="inlineStr">
        <is>
          <t>2026-06-11</t>
        </is>
      </c>
      <c r="F452" t="inlineStr">
        <is>
          <t>2026-06-18</t>
        </is>
      </c>
      <c r="G452" t="inlineStr">
        <is>
          <t xml:space="preserve"> - Beach Hostel</t>
        </is>
      </c>
      <c r="H452">
        <f>HYPERLINK("https://booking.roadsurfer.com/es/rally/pick?pickup_date=2026-06-11&amp;return_date=2026-06-18&amp;currency=EUR&amp;startStation=115&amp;endStation=58",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España</t>
        </is>
      </c>
      <c r="D453" t="inlineStr">
        <is>
          <t>Madrid</t>
        </is>
      </c>
      <c r="E453" t="inlineStr">
        <is>
          <t>2026-06-29</t>
        </is>
      </c>
      <c r="F453" t="inlineStr">
        <is>
          <t>2026-07-06</t>
        </is>
      </c>
      <c r="G453" t="inlineStr">
        <is>
          <t xml:space="preserve"> - No hay coche</t>
        </is>
      </c>
      <c r="H453">
        <f>HYPERLINK("https://booking.roadsurfer.com/es/rally/pick?pickup_date=2026-06-29&amp;return_date=2026-07-06&amp;currency=EUR&amp;startStation=115&amp;endStation=20", "Clic para verlo en la web de RoadSurfer")</f>
        <v/>
      </c>
    </row>
    <row r="454">
      <c r="A454" t="inlineStr">
        <is>
          <t>Alemania</t>
        </is>
      </c>
      <c r="B454" t="inlineStr">
        <is>
          <t>Wurzburgo</t>
        </is>
      </c>
      <c r="C454" t="inlineStr">
        <is>
          <t>España</t>
        </is>
      </c>
      <c r="D454" t="inlineStr">
        <is>
          <t>Madrid</t>
        </is>
      </c>
      <c r="E454" t="inlineStr">
        <is>
          <t>2026-06-19</t>
        </is>
      </c>
      <c r="F454" t="inlineStr">
        <is>
          <t>2026-06-26</t>
        </is>
      </c>
      <c r="G454" t="inlineStr">
        <is>
          <t xml:space="preserve"> - Couple Cottage</t>
        </is>
      </c>
      <c r="H454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2026-05-22T21:13:30Z</dcterms:created>
  <dcterms:modified xsi:type="dcterms:W3CDTF">2026-05-22T21:13:30Z</dcterms:modified>
</cp:coreProperties>
</file>