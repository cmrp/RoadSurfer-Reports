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Alemania</t>
        </is>
      </c>
      <c r="D2" t="inlineStr">
        <is>
          <t>Múnich</t>
        </is>
      </c>
      <c r="E2" t="inlineStr">
        <is>
          <t>2026-07-02</t>
        </is>
      </c>
      <c r="F2" t="inlineStr">
        <is>
          <t>2026-07-06</t>
        </is>
      </c>
      <c r="G2" t="inlineStr">
        <is>
          <t xml:space="preserve"> - Surfer Suite</t>
        </is>
      </c>
      <c r="H2">
        <f>HYPERLINK("https://booking.roadsurfer.com/es/rally/pick?pickup_date=2026-07-02&amp;return_date=2026-07-06&amp;currency=EUR&amp;startStation=108&amp;endStation=1",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2026-06-26</t>
        </is>
      </c>
      <c r="F3" t="inlineStr">
        <is>
          <t>2026-07-03</t>
        </is>
      </c>
      <c r="G3" t="inlineStr">
        <is>
          <t xml:space="preserve"> - Family Finca</t>
        </is>
      </c>
      <c r="H3">
        <f>HYPERLINK("https://booking.roadsurfer.com/es/rally/pick?pickup_date=2026-06-26&amp;return_date=2026-07-03&amp;currency=EUR&amp;startStation=17&amp;endStation=11",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2026-06-30</t>
        </is>
      </c>
      <c r="F4" t="inlineStr">
        <is>
          <t>2026-07-07</t>
        </is>
      </c>
      <c r="G4" t="inlineStr">
        <is>
          <t xml:space="preserve"> - Couple Cottage</t>
        </is>
      </c>
      <c r="H4">
        <f>HYPERLINK("https://booking.roadsurfer.com/es/rally/pick?pickup_date=2026-06-30&amp;return_date=2026-07-07&amp;currency=EUR&amp;startStation=24&amp;endStation=29",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Italia</t>
        </is>
      </c>
      <c r="D5" t="inlineStr">
        <is>
          <t>Milán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Beach Hostel</t>
        </is>
      </c>
      <c r="H5">
        <f>HYPERLINK("https://booking.roadsurfer.com/es/rally/pick?pickup_date=2026-06-29&amp;return_date=2026-07-06&amp;currency=EUR&amp;startStation=24&amp;endStation=34",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Suecia</t>
        </is>
      </c>
      <c r="D6" t="inlineStr">
        <is>
          <t>Gotemburgo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Surfer Suite</t>
        </is>
      </c>
      <c r="H6">
        <f>HYPERLINK("https://booking.roadsurfer.com/es/rally/pick?pickup_date=2026-06-29&amp;return_date=2026-07-06&amp;currency=EUR&amp;startStation=52&amp;endStation=77",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2026-07-06</t>
        </is>
      </c>
      <c r="F7" t="inlineStr">
        <is>
          <t>2026-07-13</t>
        </is>
      </c>
      <c r="G7" t="inlineStr">
        <is>
          <t xml:space="preserve"> - Sunrise Suite</t>
        </is>
      </c>
      <c r="H7">
        <f>HYPERLINK("https://booking.roadsurfer.com/es/rally/pick?pickup_date=2026-07-06&amp;return_date=2026-07-13&amp;currency=EUR&amp;startStation=52&amp;endStation=40",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Family Finca</t>
        </is>
      </c>
      <c r="H8">
        <f>HYPERLINK("https://booking.roadsurfer.com/es/rally/pick?pickup_date=2026-07-06&amp;return_date=2026-07-13&amp;currency=EUR&amp;startStation=4&amp;endStation=31", "Clic para verlo en la web de RoadSurfer")</f>
        <v/>
      </c>
    </row>
    <row r="9">
      <c r="A9" t="inlineStr">
        <is>
          <t>Reino Unido</t>
        </is>
      </c>
      <c r="B9" t="inlineStr">
        <is>
          <t>Edimburgo</t>
        </is>
      </c>
      <c r="C9" t="inlineStr">
        <is>
          <t>Reino Unido</t>
        </is>
      </c>
      <c r="D9" t="inlineStr">
        <is>
          <t>Mánchester</t>
        </is>
      </c>
      <c r="E9" t="inlineStr">
        <is>
          <t>2026-07-02</t>
        </is>
      </c>
      <c r="F9" t="inlineStr">
        <is>
          <t>2026-07-09</t>
        </is>
      </c>
      <c r="G9" t="inlineStr">
        <is>
          <t xml:space="preserve"> - Cozy Cottage</t>
        </is>
      </c>
      <c r="H9">
        <f>HYPERLINK("https://booking.roadsurfer.com/es/rally/pick?pickup_date=2026-07-02&amp;return_date=2026-07-09&amp;currency=EUR&amp;startStation=64&amp;endStation=99", "Clic para verlo en la web de RoadSurfer")</f>
        <v/>
      </c>
    </row>
    <row r="10">
      <c r="A10" t="inlineStr">
        <is>
          <t>Alemania</t>
        </is>
      </c>
      <c r="B10" t="inlineStr">
        <is>
          <t>Erfurt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2026-07-01</t>
        </is>
      </c>
      <c r="F10" t="inlineStr">
        <is>
          <t>2026-07-08</t>
        </is>
      </c>
      <c r="G10" t="inlineStr">
        <is>
          <t xml:space="preserve"> - Family Finca</t>
        </is>
      </c>
      <c r="H10">
        <f>HYPERLINK("https://booking.roadsurfer.com/es/rally/pick?pickup_date=2026-07-01&amp;return_date=2026-07-08&amp;currency=EUR&amp;startStation=90&amp;endStation=59", "Clic para verlo en la web de RoadSurfer")</f>
        <v/>
      </c>
    </row>
    <row r="11">
      <c r="A11" t="inlineStr">
        <is>
          <t>Alemania</t>
        </is>
      </c>
      <c r="B11" t="inlineStr">
        <is>
          <t>Fráncfort</t>
        </is>
      </c>
      <c r="C11" t="inlineStr">
        <is>
          <t>España</t>
        </is>
      </c>
      <c r="D11" t="inlineStr">
        <is>
          <t>Málaga</t>
        </is>
      </c>
      <c r="E11" t="inlineStr">
        <is>
          <t>2026-07-24</t>
        </is>
      </c>
      <c r="F11" t="inlineStr">
        <is>
          <t>2026-07-31</t>
        </is>
      </c>
      <c r="G11" t="inlineStr">
        <is>
          <t xml:space="preserve"> - Couple Cottage</t>
        </is>
      </c>
      <c r="H11">
        <f>HYPERLINK("https://booking.roadsurfer.com/es/rally/pick?pickup_date=2026-07-24&amp;return_date=2026-07-31&amp;currency=EUR&amp;startStation=2&amp;endStation=21", "Clic para verlo en la web de RoadSurfer")</f>
        <v/>
      </c>
    </row>
    <row r="12">
      <c r="A12" t="inlineStr">
        <is>
          <t>Alemania</t>
        </is>
      </c>
      <c r="B12" t="inlineStr">
        <is>
          <t>Hannover</t>
        </is>
      </c>
      <c r="C12" t="inlineStr">
        <is>
          <t>Países Bajos</t>
        </is>
      </c>
      <c r="D12" t="inlineStr">
        <is>
          <t>Ámsterdam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No hay coche</t>
        </is>
      </c>
      <c r="H12">
        <f>HYPERLINK("https://booking.roadsurfer.com/es/rally/pick?pickup_date=2026-07-01&amp;return_date=2026-07-08&amp;currency=EUR&amp;startStation=7&amp;endStation=32", "Clic para verlo en la web de RoadSurfer")</f>
        <v/>
      </c>
    </row>
    <row r="13">
      <c r="A13" t="inlineStr">
        <is>
          <t>Alemania</t>
        </is>
      </c>
      <c r="B13" t="inlineStr">
        <is>
          <t>Kassel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2026-07-01</t>
        </is>
      </c>
      <c r="F13" t="inlineStr">
        <is>
          <t>2026-07-08</t>
        </is>
      </c>
      <c r="G13" t="inlineStr">
        <is>
          <t xml:space="preserve"> - Surfer Suite</t>
        </is>
      </c>
      <c r="H13">
        <f>HYPERLINK("https://booking.roadsurfer.com/es/rally/pick?pickup_date=2026-07-01&amp;return_date=2026-07-08&amp;currency=EUR&amp;startStation=92&amp;endStation=30", "Clic para verlo en la web de RoadSurfer")</f>
        <v/>
      </c>
    </row>
    <row r="14">
      <c r="A14" t="inlineStr">
        <is>
          <t>Alemania</t>
        </is>
      </c>
      <c r="B14" t="inlineStr">
        <is>
          <t>Lindau-Wangen</t>
        </is>
      </c>
      <c r="C14" t="inlineStr">
        <is>
          <t>Francia</t>
        </is>
      </c>
      <c r="D14" t="inlineStr">
        <is>
          <t>Toulouse</t>
        </is>
      </c>
      <c r="E14" t="inlineStr">
        <is>
          <t>2026-06-27</t>
        </is>
      </c>
      <c r="F14" t="inlineStr">
        <is>
          <t>2026-07-04</t>
        </is>
      </c>
      <c r="G14" t="inlineStr">
        <is>
          <t xml:space="preserve"> - Travel Home</t>
        </is>
      </c>
      <c r="H14">
        <f>HYPERLINK("https://booking.roadsurfer.com/es/rally/pick?pickup_date=2026-06-27&amp;return_date=2026-07-04&amp;currency=EUR&amp;startStation=117&amp;endStation=30", "Clic para verlo en la web de RoadSurfer")</f>
        <v/>
      </c>
    </row>
    <row r="15">
      <c r="A15" t="inlineStr">
        <is>
          <t>Alemania</t>
        </is>
      </c>
      <c r="B15" t="inlineStr">
        <is>
          <t>Lindau-Wangen</t>
        </is>
      </c>
      <c r="C15" t="inlineStr">
        <is>
          <t>Francia</t>
        </is>
      </c>
      <c r="D15" t="inlineStr">
        <is>
          <t>Toulouse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Family Finca</t>
        </is>
      </c>
      <c r="H15">
        <f>HYPERLINK("https://booking.roadsurfer.com/es/rally/pick?pickup_date=2026-06-29&amp;return_date=2026-07-06&amp;currency=EUR&amp;startStation=117&amp;endStation=30", "Clic para verlo en la web de RoadSurfer")</f>
        <v/>
      </c>
    </row>
    <row r="16">
      <c r="A16" t="inlineStr">
        <is>
          <t>Alemania</t>
        </is>
      </c>
      <c r="B16" t="inlineStr">
        <is>
          <t>Lindau-Wangen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2026-07-06</t>
        </is>
      </c>
      <c r="F16" t="inlineStr">
        <is>
          <t>2026-07-13</t>
        </is>
      </c>
      <c r="G16" t="inlineStr">
        <is>
          <t xml:space="preserve"> - Surfer Suite</t>
        </is>
      </c>
      <c r="H16">
        <f>HYPERLINK("https://booking.roadsurfer.com/es/rally/pick?pickup_date=2026-07-06&amp;return_date=2026-07-13&amp;currency=EUR&amp;startStation=117&amp;endStation=31", "Clic para verlo en la web de RoadSurfer")</f>
        <v/>
      </c>
    </row>
    <row r="17">
      <c r="A17" t="inlineStr">
        <is>
          <t>Reino Unido</t>
        </is>
      </c>
      <c r="B17" t="inlineStr">
        <is>
          <t>Londres</t>
        </is>
      </c>
      <c r="C17" t="inlineStr">
        <is>
          <t>Reino Unido</t>
        </is>
      </c>
      <c r="D17" t="inlineStr">
        <is>
          <t>Bristol</t>
        </is>
      </c>
      <c r="E17" t="inlineStr">
        <is>
          <t>2026-07-01</t>
        </is>
      </c>
      <c r="F17" t="inlineStr">
        <is>
          <t>2026-07-08</t>
        </is>
      </c>
      <c r="G17" t="inlineStr"/>
      <c r="H17">
        <f>HYPERLINK("https://booking.roadsurfer.com/es/rally/pick?pickup_date=2026-07-01&amp;return_date=2026-07-08&amp;currency=EUR&amp;startStation=63&amp;endStation=98", "Clic para verlo en la web de RoadSurfer")</f>
        <v/>
      </c>
    </row>
    <row r="18">
      <c r="A18" t="inlineStr">
        <is>
          <t>Alemania</t>
        </is>
      </c>
      <c r="B18" t="inlineStr">
        <is>
          <t>Maguncia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2026-07-01</t>
        </is>
      </c>
      <c r="F18" t="inlineStr">
        <is>
          <t>2026-07-08</t>
        </is>
      </c>
      <c r="G18" t="inlineStr">
        <is>
          <t xml:space="preserve"> - Surfer Suite</t>
        </is>
      </c>
      <c r="H18">
        <f>HYPERLINK("https://booking.roadsurfer.com/es/rally/pick?pickup_date=2026-07-01&amp;return_date=2026-07-08&amp;currency=EUR&amp;startStation=54&amp;endStation=59",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2026-07-02</t>
        </is>
      </c>
      <c r="F19" t="inlineStr">
        <is>
          <t>2026-07-09</t>
        </is>
      </c>
      <c r="G19" t="inlineStr">
        <is>
          <t xml:space="preserve"> - Surfer Suite</t>
        </is>
      </c>
      <c r="H19">
        <f>HYPERLINK("https://booking.roadsurfer.com/es/rally/pick?pickup_date=2026-07-02&amp;return_date=2026-07-09&amp;currency=EUR&amp;startStation=22&amp;endStation=29",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2026-07-03</t>
        </is>
      </c>
      <c r="F20" t="inlineStr">
        <is>
          <t>2026-07-10</t>
        </is>
      </c>
      <c r="G20" t="inlineStr">
        <is>
          <t xml:space="preserve"> - Sunrise Suite</t>
        </is>
      </c>
      <c r="H20">
        <f>HYPERLINK("https://booking.roadsurfer.com/es/rally/pick?pickup_date=2026-07-03&amp;return_date=2026-07-10&amp;currency=EUR&amp;startStation=22&amp;endStation=29", "Clic para verlo en la web de RoadSurfer")</f>
        <v/>
      </c>
    </row>
    <row r="21">
      <c r="A21" t="inlineStr">
        <is>
          <t>Francia</t>
        </is>
      </c>
      <c r="B21" t="inlineStr">
        <is>
          <t>Nantes</t>
        </is>
      </c>
      <c r="C21" t="inlineStr">
        <is>
          <t>Francia</t>
        </is>
      </c>
      <c r="D21" t="inlineStr">
        <is>
          <t>Estrasburgo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Road House</t>
        </is>
      </c>
      <c r="H21">
        <f>HYPERLINK("https://booking.roadsurfer.com/es/rally/pick?pickup_date=2026-06-29&amp;return_date=2026-07-06&amp;currency=EUR&amp;startStation=31&amp;endStation=49", "Clic para verlo en la web de RoadSurfer")</f>
        <v/>
      </c>
    </row>
    <row r="22">
      <c r="A22" t="inlineStr">
        <is>
          <t>Alemania</t>
        </is>
      </c>
      <c r="B22" t="inlineStr">
        <is>
          <t>Wurzburgo</t>
        </is>
      </c>
      <c r="C22" t="inlineStr">
        <is>
          <t>Italia</t>
        </is>
      </c>
      <c r="D22" t="inlineStr">
        <is>
          <t>Bérgamo</t>
        </is>
      </c>
      <c r="E22" t="inlineStr">
        <is>
          <t>2026-07-01</t>
        </is>
      </c>
      <c r="F22" t="inlineStr">
        <is>
          <t>2026-07-08</t>
        </is>
      </c>
      <c r="G22" t="inlineStr">
        <is>
          <t xml:space="preserve"> - Couple Cottage</t>
        </is>
      </c>
      <c r="H22">
        <f>HYPERLINK("https://booking.roadsurfer.com/es/rally/pick?pickup_date=2026-07-01&amp;return_date=2026-07-08&amp;currency=EUR&amp;startStation=115&amp;endStation=94", "Clic para verlo en la web de RoadSurfer")</f>
        <v/>
      </c>
    </row>
    <row r="23">
      <c r="A23" t="inlineStr">
        <is>
          <t>Alemania</t>
        </is>
      </c>
      <c r="B23" t="inlineStr">
        <is>
          <t>Wurzburgo</t>
        </is>
      </c>
      <c r="C23" t="inlineStr">
        <is>
          <t>Italia</t>
        </is>
      </c>
      <c r="D23" t="inlineStr">
        <is>
          <t>Bérgamo</t>
        </is>
      </c>
      <c r="E23" t="inlineStr">
        <is>
          <t>2026-06-30</t>
        </is>
      </c>
      <c r="F23" t="inlineStr">
        <is>
          <t>2026-07-07</t>
        </is>
      </c>
      <c r="G23" t="inlineStr">
        <is>
          <t xml:space="preserve"> - No hay coche</t>
        </is>
      </c>
      <c r="H23">
        <f>HYPERLINK("https://booking.roadsurfer.com/es/rally/pick?pickup_date=2026-06-30&amp;return_date=2026-07-07&amp;currency=EUR&amp;startStation=115&amp;endStation=94", "Clic para verlo en la web de RoadSurfer")</f>
        <v/>
      </c>
    </row>
    <row r="24">
      <c r="A24" t="inlineStr">
        <is>
          <t>Alemania</t>
        </is>
      </c>
      <c r="B24" t="inlineStr">
        <is>
          <t>Wurzburgo</t>
        </is>
      </c>
      <c r="C24" t="inlineStr">
        <is>
          <t>Italia</t>
        </is>
      </c>
      <c r="D24" t="inlineStr">
        <is>
          <t>Turín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Camper Castle</t>
        </is>
      </c>
      <c r="H24">
        <f>HYPERLINK("https://booking.roadsurfer.com/es/rally/pick?pickup_date=2026-06-29&amp;return_date=2026-07-06&amp;currency=EUR&amp;startStation=115&amp;endStation=58", "Clic para verlo en la web de RoadSurfer")</f>
        <v/>
      </c>
    </row>
    <row r="25">
      <c r="A25" t="inlineStr">
        <is>
          <t>Alemania</t>
        </is>
      </c>
      <c r="B25" t="inlineStr">
        <is>
          <t>Wurzburgo</t>
        </is>
      </c>
      <c r="C25" t="inlineStr">
        <is>
          <t>Francia</t>
        </is>
      </c>
      <c r="D25" t="inlineStr">
        <is>
          <t>Toulouse</t>
        </is>
      </c>
      <c r="E25" t="inlineStr">
        <is>
          <t>2026-07-06</t>
        </is>
      </c>
      <c r="F25" t="inlineStr">
        <is>
          <t>2026-07-13</t>
        </is>
      </c>
      <c r="G25" t="inlineStr">
        <is>
          <t xml:space="preserve"> - Road House</t>
        </is>
      </c>
      <c r="H25">
        <f>HYPERLINK("https://booking.roadsurfer.com/es/rally/pick?pickup_date=2026-07-06&amp;return_date=2026-07-13&amp;currency=EUR&amp;startStation=115&amp;endStation=30",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2026-06-25T16:19:36Z</dcterms:created>
  <dcterms:modified xsi:type="dcterms:W3CDTF">2026-06-25T16:19:36Z</dcterms:modified>
</cp:coreProperties>
</file>