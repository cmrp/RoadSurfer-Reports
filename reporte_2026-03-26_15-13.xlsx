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2026-04-09</t>
        </is>
      </c>
      <c r="F2" t="inlineStr">
        <is>
          <t>2026-04-16</t>
        </is>
      </c>
      <c r="G2" t="inlineStr">
        <is>
          <t xml:space="preserve"> - Camper Cabin</t>
        </is>
      </c>
      <c r="H2">
        <f>HYPERLINK("https://booking.roadsurfer.com/es/rally/pick?pickup_date=2026-04-09&amp;return_date=2026-04-16&amp;currency=EUR&amp;startStation=114&amp;endStation=33",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2026-04-14</t>
        </is>
      </c>
      <c r="F4" t="inlineStr">
        <is>
          <t>2026-04-21</t>
        </is>
      </c>
      <c r="G4" t="inlineStr">
        <is>
          <t xml:space="preserve"> - Road House</t>
        </is>
      </c>
      <c r="H4">
        <f>HYPERLINK("https://booking.roadsurfer.com/es/rally/pick?pickup_date=2026-04-14&amp;return_date=2026-04-21&amp;currency=EUR&amp;startStation=16&amp;endStation=56",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2026-04-08</t>
        </is>
      </c>
      <c r="F5" t="inlineStr">
        <is>
          <t>2026-04-15</t>
        </is>
      </c>
      <c r="G5" t="inlineStr">
        <is>
          <t xml:space="preserve"> - Travel Home</t>
        </is>
      </c>
      <c r="H5">
        <f>HYPERLINK("https://booking.roadsurfer.com/es/rally/pick?pickup_date=2026-04-08&amp;return_date=2026-04-15&amp;currency=EUR&amp;startStation=47&amp;endStation=29", "Clic para verlo en la web de RoadSurfer")</f>
        <v/>
      </c>
    </row>
    <row r="6">
      <c r="A6" t="inlineStr">
        <is>
          <t>Bélgica</t>
        </is>
      </c>
      <c r="B6" t="inlineStr">
        <is>
          <t>Amberes</t>
        </is>
      </c>
      <c r="C6" t="inlineStr">
        <is>
          <t>Alemania</t>
        </is>
      </c>
      <c r="D6" t="inlineStr">
        <is>
          <t>Aquisgrán</t>
        </is>
      </c>
      <c r="E6" t="inlineStr">
        <is>
          <t>2026-05-04</t>
        </is>
      </c>
      <c r="F6" t="inlineStr">
        <is>
          <t>2026-05-11</t>
        </is>
      </c>
      <c r="G6" t="inlineStr">
        <is>
          <t xml:space="preserve"> - Camper Cabin</t>
        </is>
      </c>
      <c r="H6">
        <f>HYPERLINK("https://booking.roadsurfer.com/es/rally/pick?pickup_date=2026-05-04&amp;return_date=2026-05-11&amp;currency=EUR&amp;startStation=47&amp;endStation=114", "Clic para verlo en la web de RoadSurfer")</f>
        <v/>
      </c>
    </row>
    <row r="7">
      <c r="A7" t="inlineStr">
        <is>
          <t>Bélgica</t>
        </is>
      </c>
      <c r="B7" t="inlineStr">
        <is>
          <t>Amberes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2026-04-03</t>
        </is>
      </c>
      <c r="F7" t="inlineStr">
        <is>
          <t>2026-04-10</t>
        </is>
      </c>
      <c r="G7" t="inlineStr">
        <is>
          <t xml:space="preserve"> - Road House</t>
        </is>
      </c>
      <c r="H7">
        <f>HYPERLINK("https://booking.roadsurfer.com/es/rally/pick?pickup_date=2026-04-03&amp;return_date=2026-04-10&amp;currency=EUR&amp;startStation=47&amp;endStation=56", "Clic para verlo en la web de RoadSurfer")</f>
        <v/>
      </c>
    </row>
    <row r="8">
      <c r="A8" t="inlineStr">
        <is>
          <t>Alemania</t>
        </is>
      </c>
      <c r="B8" t="inlineStr">
        <is>
          <t>Augsburgo</t>
        </is>
      </c>
      <c r="C8" t="inlineStr">
        <is>
          <t>Francia</t>
        </is>
      </c>
      <c r="D8" t="inlineStr">
        <is>
          <t>París Sur (Orly)</t>
        </is>
      </c>
      <c r="E8" t="inlineStr">
        <is>
          <t>2026-04-06</t>
        </is>
      </c>
      <c r="F8" t="inlineStr">
        <is>
          <t>2026-04-13</t>
        </is>
      </c>
      <c r="G8" t="inlineStr">
        <is>
          <t xml:space="preserve"> - No hay coche</t>
        </is>
      </c>
      <c r="H8">
        <f>HYPERLINK("https://booking.roadsurfer.com/es/rally/pick?pickup_date=2026-04-06&amp;return_date=2026-04-13&amp;currency=EUR&amp;startStation=108&amp;endStation=12",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Francia</t>
        </is>
      </c>
      <c r="D9" t="inlineStr">
        <is>
          <t>Lille</t>
        </is>
      </c>
      <c r="E9" t="inlineStr">
        <is>
          <t>2026-04-10</t>
        </is>
      </c>
      <c r="F9" t="inlineStr">
        <is>
          <t>2026-04-17</t>
        </is>
      </c>
      <c r="G9" t="inlineStr">
        <is>
          <t xml:space="preserve"> - Surfer Suite</t>
        </is>
      </c>
      <c r="H9">
        <f>HYPERLINK("https://booking.roadsurfer.com/es/rally/pick?pickup_date=2026-04-10&amp;return_date=2026-04-17&amp;currency=EUR&amp;startStation=6&amp;endStation=87",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Países Bajos</t>
        </is>
      </c>
      <c r="D10" t="inlineStr">
        <is>
          <t>Ámsterdam</t>
        </is>
      </c>
      <c r="E10" t="inlineStr">
        <is>
          <t>2026-04-20</t>
        </is>
      </c>
      <c r="F10" t="inlineStr">
        <is>
          <t>2026-04-27</t>
        </is>
      </c>
      <c r="G10" t="inlineStr">
        <is>
          <t xml:space="preserve"> - No hay coche</t>
        </is>
      </c>
      <c r="H10">
        <f>HYPERLINK("https://booking.roadsurfer.com/es/rally/pick?pickup_date=2026-04-20&amp;return_date=2026-04-27&amp;currency=EUR&amp;startStation=6&amp;endStation=32",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Suecia</t>
        </is>
      </c>
      <c r="D11" t="inlineStr">
        <is>
          <t>Estocolmo</t>
        </is>
      </c>
      <c r="E11" t="inlineStr">
        <is>
          <t>2026-05-06</t>
        </is>
      </c>
      <c r="F11" t="inlineStr">
        <is>
          <t>2026-05-13</t>
        </is>
      </c>
      <c r="G11" t="inlineStr">
        <is>
          <t xml:space="preserve"> - Beach Hostel</t>
        </is>
      </c>
      <c r="H11">
        <f>HYPERLINK("https://booking.roadsurfer.com/es/rally/pick?pickup_date=2026-05-06&amp;return_date=2026-05-13&amp;currency=EUR&amp;startStation=6&amp;endStation=59",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Suecia</t>
        </is>
      </c>
      <c r="D12" t="inlineStr">
        <is>
          <t>Estocolmo</t>
        </is>
      </c>
      <c r="E12" t="inlineStr">
        <is>
          <t>2026-05-08</t>
        </is>
      </c>
      <c r="F12" t="inlineStr">
        <is>
          <t>2026-05-15</t>
        </is>
      </c>
      <c r="G12" t="inlineStr">
        <is>
          <t xml:space="preserve"> - Surfer Suite</t>
        </is>
      </c>
      <c r="H12">
        <f>HYPERLINK("https://booking.roadsurfer.com/es/rally/pick?pickup_date=2026-05-08&amp;return_date=2026-05-15&amp;currency=EUR&amp;startStation=6&amp;endStation=59",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Francia</t>
        </is>
      </c>
      <c r="D13" t="inlineStr">
        <is>
          <t>Toulouse</t>
        </is>
      </c>
      <c r="E13" t="inlineStr">
        <is>
          <t>2026-05-02</t>
        </is>
      </c>
      <c r="F13" t="inlineStr">
        <is>
          <t>2026-05-09</t>
        </is>
      </c>
      <c r="G13" t="inlineStr">
        <is>
          <t xml:space="preserve"> - Surfer Suite</t>
        </is>
      </c>
      <c r="H13">
        <f>HYPERLINK("https://booking.roadsurfer.com/es/rally/pick?pickup_date=2026-05-02&amp;return_date=2026-05-09&amp;currency=EUR&amp;startStation=6&amp;endStation=30",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Suecia</t>
        </is>
      </c>
      <c r="D14" t="inlineStr">
        <is>
          <t>Gotemburgo</t>
        </is>
      </c>
      <c r="E14" t="inlineStr">
        <is>
          <t>2026-05-02</t>
        </is>
      </c>
      <c r="F14" t="inlineStr">
        <is>
          <t>2026-05-09</t>
        </is>
      </c>
      <c r="G14" t="inlineStr">
        <is>
          <t xml:space="preserve"> - Camper Castle</t>
        </is>
      </c>
      <c r="H14">
        <f>HYPERLINK("https://booking.roadsurfer.com/es/rally/pick?pickup_date=2026-05-02&amp;return_date=2026-05-09&amp;currency=EUR&amp;startStation=6&amp;endStation=77",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Francia</t>
        </is>
      </c>
      <c r="D15" t="inlineStr">
        <is>
          <t>Nantes</t>
        </is>
      </c>
      <c r="E15" t="inlineStr">
        <is>
          <t>2026-05-08</t>
        </is>
      </c>
      <c r="F15" t="inlineStr">
        <is>
          <t>2026-05-15</t>
        </is>
      </c>
      <c r="G15" t="inlineStr">
        <is>
          <t xml:space="preserve"> - Family Finca</t>
        </is>
      </c>
      <c r="H15">
        <f>HYPERLINK("https://booking.roadsurfer.com/es/rally/pick?pickup_date=2026-05-08&amp;return_date=2026-05-15&amp;currency=EUR&amp;startStation=6&amp;endStation=31",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Francia</t>
        </is>
      </c>
      <c r="D16" t="inlineStr">
        <is>
          <t>Lyon</t>
        </is>
      </c>
      <c r="E16" t="inlineStr">
        <is>
          <t>2026-04-13</t>
        </is>
      </c>
      <c r="F16" t="inlineStr">
        <is>
          <t>2026-04-20</t>
        </is>
      </c>
      <c r="G16" t="inlineStr">
        <is>
          <t xml:space="preserve"> - Cozy Cottage</t>
        </is>
      </c>
      <c r="H16">
        <f>HYPERLINK("https://booking.roadsurfer.com/es/rally/pick?pickup_date=2026-04-13&amp;return_date=2026-04-20&amp;currency=EUR&amp;startStation=6&amp;endStation=15", "Clic para verlo en la web de RoadSurfer")</f>
        <v/>
      </c>
    </row>
    <row r="17">
      <c r="A17" t="inlineStr">
        <is>
          <t>Alemania</t>
        </is>
      </c>
      <c r="B17" t="inlineStr">
        <is>
          <t>Berlín-Schönefeld</t>
        </is>
      </c>
      <c r="C17" t="inlineStr">
        <is>
          <t>Alemania</t>
        </is>
      </c>
      <c r="D17" t="inlineStr">
        <is>
          <t>Lindau-Wangen</t>
        </is>
      </c>
      <c r="E17" t="inlineStr">
        <is>
          <t>2026-04-14</t>
        </is>
      </c>
      <c r="F17" t="inlineStr">
        <is>
          <t>2026-04-21</t>
        </is>
      </c>
      <c r="G17" t="inlineStr">
        <is>
          <t xml:space="preserve"> - Surfer Suite</t>
        </is>
      </c>
      <c r="H17">
        <f>HYPERLINK("https://booking.roadsurfer.com/es/rally/pick?pickup_date=2026-04-14&amp;return_date=2026-04-21&amp;currency=EUR&amp;startStation=51&amp;endStation=117", "Clic para verlo en la web de RoadSurfer")</f>
        <v/>
      </c>
    </row>
    <row r="18">
      <c r="A18" t="inlineStr">
        <is>
          <t>Alemania</t>
        </is>
      </c>
      <c r="B18" t="inlineStr">
        <is>
          <t>Berlín-Schönefeld</t>
        </is>
      </c>
      <c r="C18" t="inlineStr">
        <is>
          <t>Alemania</t>
        </is>
      </c>
      <c r="D18" t="inlineStr">
        <is>
          <t>Lindau-Wangen</t>
        </is>
      </c>
      <c r="E18" t="inlineStr">
        <is>
          <t>2026-04-23</t>
        </is>
      </c>
      <c r="F18" t="inlineStr">
        <is>
          <t>2026-04-30</t>
        </is>
      </c>
      <c r="G18" t="inlineStr">
        <is>
          <t xml:space="preserve"> - Road House</t>
        </is>
      </c>
      <c r="H18">
        <f>HYPERLINK("https://booking.roadsurfer.com/es/rally/pick?pickup_date=2026-04-23&amp;return_date=2026-04-30&amp;currency=EUR&amp;startStation=51&amp;endStation=117",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Alemania</t>
        </is>
      </c>
      <c r="D19" t="inlineStr">
        <is>
          <t>Lindau-Wangen</t>
        </is>
      </c>
      <c r="E19" t="inlineStr">
        <is>
          <t>2026-04-27</t>
        </is>
      </c>
      <c r="F19" t="inlineStr">
        <is>
          <t>2026-05-04</t>
        </is>
      </c>
      <c r="G19" t="inlineStr">
        <is>
          <t xml:space="preserve"> - Road House</t>
        </is>
      </c>
      <c r="H19">
        <f>HYPERLINK("https://booking.roadsurfer.com/es/rally/pick?pickup_date=2026-04-27&amp;return_date=2026-05-04&amp;currency=EUR&amp;startStation=51&amp;endStation=117",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Italia</t>
        </is>
      </c>
      <c r="D20" t="inlineStr">
        <is>
          <t>Florencia</t>
        </is>
      </c>
      <c r="E20" t="inlineStr">
        <is>
          <t>2026-05-04</t>
        </is>
      </c>
      <c r="F20" t="inlineStr">
        <is>
          <t>2026-05-11</t>
        </is>
      </c>
      <c r="G20" t="inlineStr">
        <is>
          <t xml:space="preserve"> - SURFER SUITE</t>
        </is>
      </c>
      <c r="H20">
        <f>HYPERLINK("https://booking.roadsurfer.com/es/rally/pick?pickup_date=2026-05-04&amp;return_date=2026-05-11&amp;currency=EUR&amp;startStation=51&amp;endStation=80",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2026-05-02</t>
        </is>
      </c>
      <c r="F21" t="inlineStr">
        <is>
          <t>2026-05-09</t>
        </is>
      </c>
      <c r="G21" t="inlineStr">
        <is>
          <t xml:space="preserve"> - No hay coche</t>
        </is>
      </c>
      <c r="H21">
        <f>HYPERLINK("https://booking.roadsurfer.com/es/rally/pick?pickup_date=2026-05-02&amp;return_date=2026-05-09&amp;currency=EUR&amp;startStation=51&amp;endStation=59",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2026-04-11</t>
        </is>
      </c>
      <c r="F22" t="inlineStr">
        <is>
          <t>2026-04-18</t>
        </is>
      </c>
      <c r="G22" t="inlineStr">
        <is>
          <t xml:space="preserve"> - Road House</t>
        </is>
      </c>
      <c r="H22">
        <f>HYPERLINK("https://booking.roadsurfer.com/es/rally/pick?pickup_date=2026-04-11&amp;return_date=2026-04-18&amp;currency=EUR&amp;startStation=51&amp;endStation=59",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2026-04-15</t>
        </is>
      </c>
      <c r="F23" t="inlineStr">
        <is>
          <t>2026-04-22</t>
        </is>
      </c>
      <c r="G23" t="inlineStr">
        <is>
          <t xml:space="preserve"> - Sunrise Suite</t>
        </is>
      </c>
      <c r="H23">
        <f>HYPERLINK("https://booking.roadsurfer.com/es/rally/pick?pickup_date=2026-04-15&amp;return_date=2026-04-22&amp;currency=EUR&amp;startStation=51&amp;endStation=59",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Alemania</t>
        </is>
      </c>
      <c r="D24" t="inlineStr">
        <is>
          <t>Bochum</t>
        </is>
      </c>
      <c r="E24" t="inlineStr">
        <is>
          <t>2026-04-14</t>
        </is>
      </c>
      <c r="F24" t="inlineStr">
        <is>
          <t>2026-04-21</t>
        </is>
      </c>
      <c r="G24" t="inlineStr">
        <is>
          <t xml:space="preserve"> - Couple Cottage</t>
        </is>
      </c>
      <c r="H24">
        <f>HYPERLINK("https://booking.roadsurfer.com/es/rally/pick?pickup_date=2026-04-14&amp;return_date=2026-04-21&amp;currency=EUR&amp;startStation=51&amp;endStation=24",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Suecia</t>
        </is>
      </c>
      <c r="D25" t="inlineStr">
        <is>
          <t>Gotemburgo</t>
        </is>
      </c>
      <c r="E25" t="inlineStr">
        <is>
          <t>2026-04-07</t>
        </is>
      </c>
      <c r="F25" t="inlineStr">
        <is>
          <t>2026-04-14</t>
        </is>
      </c>
      <c r="G25" t="inlineStr">
        <is>
          <t xml:space="preserve"> - Couple Cottage</t>
        </is>
      </c>
      <c r="H25">
        <f>HYPERLINK("https://booking.roadsurfer.com/es/rally/pick?pickup_date=2026-04-07&amp;return_date=2026-04-14&amp;currency=EUR&amp;startStation=51&amp;endStation=77",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Bélgica</t>
        </is>
      </c>
      <c r="D26" t="inlineStr">
        <is>
          <t>Amberes</t>
        </is>
      </c>
      <c r="E26" t="inlineStr">
        <is>
          <t>2026-04-07</t>
        </is>
      </c>
      <c r="F26" t="inlineStr">
        <is>
          <t>2026-04-14</t>
        </is>
      </c>
      <c r="G26" t="inlineStr">
        <is>
          <t xml:space="preserve"> - Surfer Suite</t>
        </is>
      </c>
      <c r="H26">
        <f>HYPERLINK("https://booking.roadsurfer.com/es/rally/pick?pickup_date=2026-04-07&amp;return_date=2026-04-14&amp;currency=EUR&amp;startStation=91&amp;endStation=47",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Bélgica</t>
        </is>
      </c>
      <c r="D27" t="inlineStr">
        <is>
          <t>Amberes</t>
        </is>
      </c>
      <c r="E27" t="inlineStr">
        <is>
          <t>2026-04-04</t>
        </is>
      </c>
      <c r="F27" t="inlineStr">
        <is>
          <t>2026-04-11</t>
        </is>
      </c>
      <c r="G27" t="inlineStr">
        <is>
          <t xml:space="preserve"> - No hay coche</t>
        </is>
      </c>
      <c r="H27">
        <f>HYPERLINK("https://booking.roadsurfer.com/es/rally/pick?pickup_date=2026-04-04&amp;return_date=2026-04-11&amp;currency=EUR&amp;startStation=91&amp;endStation=47",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Bélgica</t>
        </is>
      </c>
      <c r="D28" t="inlineStr">
        <is>
          <t>Amberes</t>
        </is>
      </c>
      <c r="E28" t="inlineStr">
        <is>
          <t>2026-04-08</t>
        </is>
      </c>
      <c r="F28" t="inlineStr">
        <is>
          <t>2026-04-15</t>
        </is>
      </c>
      <c r="G28" t="inlineStr">
        <is>
          <t xml:space="preserve"> - Surfer Suite</t>
        </is>
      </c>
      <c r="H28">
        <f>HYPERLINK("https://booking.roadsurfer.com/es/rally/pick?pickup_date=2026-04-08&amp;return_date=2026-04-15&amp;currency=EUR&amp;startStation=91&amp;endStation=47",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Bélgica</t>
        </is>
      </c>
      <c r="D29" t="inlineStr">
        <is>
          <t>Amberes</t>
        </is>
      </c>
      <c r="E29" t="inlineStr">
        <is>
          <t>2026-04-11</t>
        </is>
      </c>
      <c r="F29" t="inlineStr">
        <is>
          <t>2026-04-18</t>
        </is>
      </c>
      <c r="G29" t="inlineStr">
        <is>
          <t xml:space="preserve"> - Camper Castle</t>
        </is>
      </c>
      <c r="H29">
        <f>HYPERLINK("https://booking.roadsurfer.com/es/rally/pick?pickup_date=2026-04-11&amp;return_date=2026-04-18&amp;currency=EUR&amp;startStation=91&amp;endStation=47",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París Sur (Orly)</t>
        </is>
      </c>
      <c r="E30" t="inlineStr">
        <is>
          <t>2026-04-04</t>
        </is>
      </c>
      <c r="F30" t="inlineStr">
        <is>
          <t>2026-04-11</t>
        </is>
      </c>
      <c r="G30" t="inlineStr">
        <is>
          <t xml:space="preserve"> - No hay coche</t>
        </is>
      </c>
      <c r="H30">
        <f>HYPERLINK("https://booking.roadsurfer.com/es/rally/pick?pickup_date=2026-04-04&amp;return_date=2026-04-11&amp;currency=EUR&amp;startStation=91&amp;endStation=12",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2026-05-02</t>
        </is>
      </c>
      <c r="F31" t="inlineStr">
        <is>
          <t>2026-05-09</t>
        </is>
      </c>
      <c r="G31" t="inlineStr">
        <is>
          <t xml:space="preserve"> - Surfer Suite</t>
        </is>
      </c>
      <c r="H31">
        <f>HYPERLINK("https://booking.roadsurfer.com/es/rally/pick?pickup_date=2026-05-02&amp;return_date=2026-05-09&amp;currency=EUR&amp;startStation=91&amp;endStation=12",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2026-04-15</t>
        </is>
      </c>
      <c r="F32" t="inlineStr">
        <is>
          <t>2026-04-22</t>
        </is>
      </c>
      <c r="G32" t="inlineStr">
        <is>
          <t xml:space="preserve"> - Road House</t>
        </is>
      </c>
      <c r="H32">
        <f>HYPERLINK("https://booking.roadsurfer.com/es/rally/pick?pickup_date=2026-04-15&amp;return_date=2026-04-22&amp;currency=EUR&amp;startStation=91&amp;endStation=12",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Aeropuerto CDG</t>
        </is>
      </c>
      <c r="E33" t="inlineStr">
        <is>
          <t>2026-04-09</t>
        </is>
      </c>
      <c r="F33" t="inlineStr">
        <is>
          <t>2026-04-16</t>
        </is>
      </c>
      <c r="G33" t="inlineStr">
        <is>
          <t xml:space="preserve"> - Surfer Suite - Road House</t>
        </is>
      </c>
      <c r="H33">
        <f>HYPERLINK("https://booking.roadsurfer.com/es/rally/pick?pickup_date=2026-04-09&amp;return_date=2026-04-16&amp;currency=EUR&amp;startStation=91&amp;endStation=48",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Alemania</t>
        </is>
      </c>
      <c r="D34" t="inlineStr">
        <is>
          <t>Constanza (Aach)</t>
        </is>
      </c>
      <c r="E34" t="inlineStr">
        <is>
          <t>2026-05-06</t>
        </is>
      </c>
      <c r="F34" t="inlineStr">
        <is>
          <t>2026-05-13</t>
        </is>
      </c>
      <c r="G34" t="inlineStr">
        <is>
          <t xml:space="preserve"> - Surfer Suite</t>
        </is>
      </c>
      <c r="H34">
        <f>HYPERLINK("https://booking.roadsurfer.com/es/rally/pick?pickup_date=2026-05-06&amp;return_date=2026-05-13&amp;currency=EUR&amp;startStation=91&amp;endStation=10",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Suecia</t>
        </is>
      </c>
      <c r="D35" t="inlineStr">
        <is>
          <t>Gotemburgo</t>
        </is>
      </c>
      <c r="E35" t="inlineStr">
        <is>
          <t>2026-05-06</t>
        </is>
      </c>
      <c r="F35" t="inlineStr">
        <is>
          <t>2026-05-13</t>
        </is>
      </c>
      <c r="G35" t="inlineStr">
        <is>
          <t xml:space="preserve"> - Beach Hostel</t>
        </is>
      </c>
      <c r="H35">
        <f>HYPERLINK("https://booking.roadsurfer.com/es/rally/pick?pickup_date=2026-05-06&amp;return_date=2026-05-13&amp;currency=EUR&amp;startStation=91&amp;endStation=77",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Suecia</t>
        </is>
      </c>
      <c r="D36" t="inlineStr">
        <is>
          <t>Gotemburgo</t>
        </is>
      </c>
      <c r="E36" t="inlineStr">
        <is>
          <t>2026-05-04</t>
        </is>
      </c>
      <c r="F36" t="inlineStr">
        <is>
          <t>2026-05-11</t>
        </is>
      </c>
      <c r="G36" t="inlineStr">
        <is>
          <t xml:space="preserve"> - Sunrise Suite</t>
        </is>
      </c>
      <c r="H36">
        <f>HYPERLINK("https://booking.roadsurfer.com/es/rally/pick?pickup_date=2026-05-04&amp;return_date=2026-05-11&amp;currency=EUR&amp;startStation=91&amp;endStation=77",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2026-04-29</t>
        </is>
      </c>
      <c r="F37" t="inlineStr">
        <is>
          <t>2026-05-06</t>
        </is>
      </c>
      <c r="G37" t="inlineStr">
        <is>
          <t xml:space="preserve"> - Surfer Suite - Family Finca</t>
        </is>
      </c>
      <c r="H37">
        <f>HYPERLINK("https://booking.roadsurfer.com/es/rally/pick?pickup_date=2026-04-29&amp;return_date=2026-05-06&amp;currency=EUR&amp;startStation=91&amp;endStation=77",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2026-05-12</t>
        </is>
      </c>
      <c r="F38" t="inlineStr">
        <is>
          <t>2026-05-19</t>
        </is>
      </c>
      <c r="G38" t="inlineStr">
        <is>
          <t xml:space="preserve"> - Sunrise Suite</t>
        </is>
      </c>
      <c r="H38">
        <f>HYPERLINK("https://booking.roadsurfer.com/es/rally/pick?pickup_date=2026-05-12&amp;return_date=2026-05-19&amp;currency=EUR&amp;startStation=91&amp;endStation=77",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Malmö</t>
        </is>
      </c>
      <c r="E39" t="inlineStr">
        <is>
          <t>2026-05-12</t>
        </is>
      </c>
      <c r="F39" t="inlineStr">
        <is>
          <t>2026-05-19</t>
        </is>
      </c>
      <c r="G39" t="inlineStr">
        <is>
          <t xml:space="preserve"> - Surfer Suite</t>
        </is>
      </c>
      <c r="H39">
        <f>HYPERLINK("https://booking.roadsurfer.com/es/rally/pick?pickup_date=2026-05-12&amp;return_date=2026-05-19&amp;currency=EUR&amp;startStation=91&amp;endStation=60",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Francia</t>
        </is>
      </c>
      <c r="D40" t="inlineStr">
        <is>
          <t>Nantes</t>
        </is>
      </c>
      <c r="E40" t="inlineStr">
        <is>
          <t>2026-05-06</t>
        </is>
      </c>
      <c r="F40" t="inlineStr">
        <is>
          <t>2026-05-13</t>
        </is>
      </c>
      <c r="G40" t="inlineStr">
        <is>
          <t xml:space="preserve"> - Beach Hostel</t>
        </is>
      </c>
      <c r="H40">
        <f>HYPERLINK("https://booking.roadsurfer.com/es/rally/pick?pickup_date=2026-05-06&amp;return_date=2026-05-13&amp;currency=EUR&amp;startStation=91&amp;endStation=31",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Estocolmo</t>
        </is>
      </c>
      <c r="E41" t="inlineStr">
        <is>
          <t>2026-05-13</t>
        </is>
      </c>
      <c r="F41" t="inlineStr">
        <is>
          <t>2026-05-20</t>
        </is>
      </c>
      <c r="G41" t="inlineStr">
        <is>
          <t xml:space="preserve"> - Beach Hostel</t>
        </is>
      </c>
      <c r="H41">
        <f>HYPERLINK("https://booking.roadsurfer.com/es/rally/pick?pickup_date=2026-05-13&amp;return_date=2026-05-20&amp;currency=EUR&amp;startStation=91&amp;endStation=59",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Países Bajos</t>
        </is>
      </c>
      <c r="D42" t="inlineStr">
        <is>
          <t>Róterdam</t>
        </is>
      </c>
      <c r="E42" t="inlineStr">
        <is>
          <t>2026-04-10</t>
        </is>
      </c>
      <c r="F42" t="inlineStr">
        <is>
          <t>2026-04-17</t>
        </is>
      </c>
      <c r="G42" t="inlineStr">
        <is>
          <t xml:space="preserve"> - No hay coche</t>
        </is>
      </c>
      <c r="H42">
        <f>HYPERLINK("https://booking.roadsurfer.com/es/rally/pick?pickup_date=2026-04-10&amp;return_date=2026-04-17&amp;currency=EUR&amp;startStation=91&amp;endStation=33",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Stuttgart</t>
        </is>
      </c>
      <c r="E43" t="inlineStr">
        <is>
          <t>2026-04-13</t>
        </is>
      </c>
      <c r="F43" t="inlineStr">
        <is>
          <t>2026-04-20</t>
        </is>
      </c>
      <c r="G43" t="inlineStr">
        <is>
          <t xml:space="preserve"> - Road House</t>
        </is>
      </c>
      <c r="H43">
        <f>HYPERLINK("https://booking.roadsurfer.com/es/rally/pick?pickup_date=2026-04-13&amp;return_date=2026-04-20&amp;currency=EUR&amp;startStation=40&amp;endStation=5",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Tréveris</t>
        </is>
      </c>
      <c r="E44" t="inlineStr">
        <is>
          <t>2026-05-04</t>
        </is>
      </c>
      <c r="F44" t="inlineStr">
        <is>
          <t>2026-05-11</t>
        </is>
      </c>
      <c r="G44" t="inlineStr">
        <is>
          <t xml:space="preserve"> - Camper Castle</t>
        </is>
      </c>
      <c r="H44">
        <f>HYPERLINK("https://booking.roadsurfer.com/es/rally/pick?pickup_date=2026-05-04&amp;return_date=2026-05-11&amp;currency=EUR&amp;startStation=40&amp;endStation=28",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Constanza (Aach)</t>
        </is>
      </c>
      <c r="E45" t="inlineStr">
        <is>
          <t>2026-04-07</t>
        </is>
      </c>
      <c r="F45" t="inlineStr">
        <is>
          <t>2026-04-14</t>
        </is>
      </c>
      <c r="G45" t="inlineStr">
        <is>
          <t xml:space="preserve"> - No hay coche</t>
        </is>
      </c>
      <c r="H45">
        <f>HYPERLINK("https://booking.roadsurfer.com/es/rally/pick?pickup_date=2026-04-07&amp;return_date=2026-04-14&amp;currency=EUR&amp;startStation=40&amp;endStation=10",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Colonia-Bonn</t>
        </is>
      </c>
      <c r="E46" t="inlineStr">
        <is>
          <t>2026-04-06</t>
        </is>
      </c>
      <c r="F46" t="inlineStr">
        <is>
          <t>2026-04-13</t>
        </is>
      </c>
      <c r="G46" t="inlineStr">
        <is>
          <t xml:space="preserve"> - No hay coche</t>
        </is>
      </c>
      <c r="H46">
        <f>HYPERLINK("https://booking.roadsurfer.com/es/rally/pick?pickup_date=2026-04-06&amp;return_date=2026-04-13&amp;currency=EUR&amp;startStation=40&amp;endStation=52", "Clic para verlo en la web de RoadSurfer")</f>
        <v/>
      </c>
    </row>
    <row r="47">
      <c r="A47" t="inlineStr">
        <is>
          <t>Alemania</t>
        </is>
      </c>
      <c r="B47" t="inlineStr">
        <is>
          <t>Bochum</t>
        </is>
      </c>
      <c r="C47" t="inlineStr">
        <is>
          <t>Países Bajos</t>
        </is>
      </c>
      <c r="D47" t="inlineStr">
        <is>
          <t>Ámsterdam</t>
        </is>
      </c>
      <c r="E47" t="inlineStr">
        <is>
          <t>2026-04-20</t>
        </is>
      </c>
      <c r="F47" t="inlineStr">
        <is>
          <t>2026-04-27</t>
        </is>
      </c>
      <c r="G47" t="inlineStr">
        <is>
          <t xml:space="preserve"> - No hay coche</t>
        </is>
      </c>
      <c r="H47">
        <f>HYPERLINK("https://booking.roadsurfer.com/es/rally/pick?pickup_date=2026-04-20&amp;return_date=2026-04-27&amp;currency=EUR&amp;startStation=24&amp;endStation=32", "Clic para verlo en la web de RoadSurfer")</f>
        <v/>
      </c>
    </row>
    <row r="48">
      <c r="A48" t="inlineStr">
        <is>
          <t>Italia</t>
        </is>
      </c>
      <c r="B48" t="inlineStr">
        <is>
          <t>Bolonia</t>
        </is>
      </c>
      <c r="C48" t="inlineStr">
        <is>
          <t>Alemania</t>
        </is>
      </c>
      <c r="D48" t="inlineStr">
        <is>
          <t>Dresde</t>
        </is>
      </c>
      <c r="E48" t="inlineStr">
        <is>
          <t>2026-04-02</t>
        </is>
      </c>
      <c r="F48" t="inlineStr">
        <is>
          <t>2026-04-09</t>
        </is>
      </c>
      <c r="G48" t="inlineStr">
        <is>
          <t xml:space="preserve"> - Surfer Suite</t>
        </is>
      </c>
      <c r="H48">
        <f>HYPERLINK("https://booking.roadsurfer.com/es/rally/pick?pickup_date=2026-04-02&amp;return_date=2026-04-09&amp;currency=EUR&amp;startStation=57&amp;endStation=56", "Clic para verlo en la web de RoadSurfer")</f>
        <v/>
      </c>
    </row>
    <row r="49">
      <c r="A49" t="inlineStr">
        <is>
          <t>Italia</t>
        </is>
      </c>
      <c r="B49" t="inlineStr">
        <is>
          <t>Bolonia</t>
        </is>
      </c>
      <c r="C49" t="inlineStr">
        <is>
          <t>Alemania</t>
        </is>
      </c>
      <c r="D49" t="inlineStr">
        <is>
          <t>Múnich</t>
        </is>
      </c>
      <c r="E49" t="inlineStr">
        <is>
          <t>2026-05-04</t>
        </is>
      </c>
      <c r="F49" t="inlineStr">
        <is>
          <t>2026-05-11</t>
        </is>
      </c>
      <c r="G49" t="inlineStr">
        <is>
          <t xml:space="preserve"> - Road House</t>
        </is>
      </c>
      <c r="H49">
        <f>HYPERLINK("https://booking.roadsurfer.com/es/rally/pick?pickup_date=2026-05-04&amp;return_date=2026-05-11&amp;currency=EUR&amp;startStation=57&amp;endStation=1",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2026-04-01</t>
        </is>
      </c>
      <c r="F50" t="inlineStr">
        <is>
          <t>2026-04-08</t>
        </is>
      </c>
      <c r="G50" t="inlineStr">
        <is>
          <t xml:space="preserve"> - Surfer Suite</t>
        </is>
      </c>
      <c r="H50">
        <f>HYPERLINK("https://booking.roadsurfer.com/es/rally/pick?pickup_date=2026-04-01&amp;return_date=2026-04-08&amp;currency=EUR&amp;startStation=13&amp;endStation=22",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2026-04-02</t>
        </is>
      </c>
      <c r="F51" t="inlineStr">
        <is>
          <t>2026-04-09</t>
        </is>
      </c>
      <c r="G51" t="inlineStr">
        <is>
          <t xml:space="preserve"> - Surfer Suite</t>
        </is>
      </c>
      <c r="H51">
        <f>HYPERLINK("https://booking.roadsurfer.com/es/rally/pick?pickup_date=2026-04-02&amp;return_date=2026-04-09&amp;currency=EUR&amp;startStation=13&amp;endStation=22",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Francia</t>
        </is>
      </c>
      <c r="D52" t="inlineStr">
        <is>
          <t>Ginebra-Pays de Gex (Francia)</t>
        </is>
      </c>
      <c r="E52" t="inlineStr">
        <is>
          <t>2026-04-16</t>
        </is>
      </c>
      <c r="F52" t="inlineStr">
        <is>
          <t>2026-04-23</t>
        </is>
      </c>
      <c r="G52" t="inlineStr">
        <is>
          <t xml:space="preserve"> - Surfer Suite</t>
        </is>
      </c>
      <c r="H52">
        <f>HYPERLINK("https://booking.roadsurfer.com/es/rally/pick?pickup_date=2026-04-16&amp;return_date=2026-04-23&amp;currency=EUR&amp;startStation=13&amp;endStation=29",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Lübeck</t>
        </is>
      </c>
      <c r="E53" t="inlineStr">
        <is>
          <t>2026-04-02</t>
        </is>
      </c>
      <c r="F53" t="inlineStr">
        <is>
          <t>2026-04-09</t>
        </is>
      </c>
      <c r="G53" t="inlineStr">
        <is>
          <t xml:space="preserve"> - Beach Hostel - Camper Cabin</t>
        </is>
      </c>
      <c r="H53">
        <f>HYPERLINK("https://booking.roadsurfer.com/es/rally/pick?pickup_date=2026-04-02&amp;return_date=2026-04-09&amp;currency=EUR&amp;startStation=13&amp;endStation=109",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Núremberg</t>
        </is>
      </c>
      <c r="E54" t="inlineStr">
        <is>
          <t>2026-04-04</t>
        </is>
      </c>
      <c r="F54" t="inlineStr">
        <is>
          <t>2026-04-11</t>
        </is>
      </c>
      <c r="G54" t="inlineStr">
        <is>
          <t xml:space="preserve"> - Camper Cabin</t>
        </is>
      </c>
      <c r="H54">
        <f>HYPERLINK("https://booking.roadsurfer.com/es/rally/pick?pickup_date=2026-04-04&amp;return_date=2026-04-11&amp;currency=EUR&amp;startStation=13&amp;endStation=11",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Núremberg</t>
        </is>
      </c>
      <c r="E55" t="inlineStr">
        <is>
          <t>2026-03-31</t>
        </is>
      </c>
      <c r="F55" t="inlineStr">
        <is>
          <t>2026-04-07</t>
        </is>
      </c>
      <c r="G55" t="inlineStr">
        <is>
          <t xml:space="preserve"> - Beach Hostel</t>
        </is>
      </c>
      <c r="H55">
        <f>HYPERLINK("https://booking.roadsurfer.com/es/rally/pick?pickup_date=2026-03-31&amp;return_date=2026-04-07&amp;currency=EUR&amp;startStation=13&amp;endStation=11",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2026-03-31</t>
        </is>
      </c>
      <c r="F56" t="inlineStr">
        <is>
          <t>2026-04-07</t>
        </is>
      </c>
      <c r="G56" t="inlineStr">
        <is>
          <t xml:space="preserve"> - Travel Home</t>
        </is>
      </c>
      <c r="H56">
        <f>HYPERLINK("https://booking.roadsurfer.com/es/rally/pick?pickup_date=2026-03-31&amp;return_date=2026-04-07&amp;currency=EUR&amp;startStation=13&amp;endStation=2",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Ulm</t>
        </is>
      </c>
      <c r="E57" t="inlineStr">
        <is>
          <t>2026-04-16</t>
        </is>
      </c>
      <c r="F57" t="inlineStr">
        <is>
          <t>2026-04-23</t>
        </is>
      </c>
      <c r="G57" t="inlineStr">
        <is>
          <t xml:space="preserve"> - Road House</t>
        </is>
      </c>
      <c r="H57">
        <f>HYPERLINK("https://booking.roadsurfer.com/es/rally/pick?pickup_date=2026-04-16&amp;return_date=2026-04-23&amp;currency=EUR&amp;startStation=13&amp;endStation=112",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Dresde</t>
        </is>
      </c>
      <c r="E58" t="inlineStr">
        <is>
          <t>2026-05-04</t>
        </is>
      </c>
      <c r="F58" t="inlineStr">
        <is>
          <t>2026-05-11</t>
        </is>
      </c>
      <c r="G58" t="inlineStr">
        <is>
          <t xml:space="preserve"> - Road House</t>
        </is>
      </c>
      <c r="H58">
        <f>HYPERLINK("https://booking.roadsurfer.com/es/rally/pick?pickup_date=2026-05-04&amp;return_date=2026-05-11&amp;currency=EUR&amp;startStation=13&amp;endStation=56",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Tréveris</t>
        </is>
      </c>
      <c r="E59" t="inlineStr">
        <is>
          <t>2026-04-13</t>
        </is>
      </c>
      <c r="F59" t="inlineStr">
        <is>
          <t>2026-04-20</t>
        </is>
      </c>
      <c r="G59" t="inlineStr">
        <is>
          <t xml:space="preserve"> - Road House</t>
        </is>
      </c>
      <c r="H59">
        <f>HYPERLINK("https://booking.roadsurfer.com/es/rally/pick?pickup_date=2026-04-13&amp;return_date=2026-04-20&amp;currency=EUR&amp;startStation=13&amp;endStation=28",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Colonia-Düsseldorf</t>
        </is>
      </c>
      <c r="E60" t="inlineStr">
        <is>
          <t>2026-04-15</t>
        </is>
      </c>
      <c r="F60" t="inlineStr">
        <is>
          <t>2026-04-22</t>
        </is>
      </c>
      <c r="G60" t="inlineStr">
        <is>
          <t xml:space="preserve"> - Family Finca</t>
        </is>
      </c>
      <c r="H60">
        <f>HYPERLINK("https://booking.roadsurfer.com/es/rally/pick?pickup_date=2026-04-15&amp;return_date=2026-04-22&amp;currency=EUR&amp;startStation=13&amp;endStation=4",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Colonia-Bonn</t>
        </is>
      </c>
      <c r="E61" t="inlineStr">
        <is>
          <t>2026-04-04</t>
        </is>
      </c>
      <c r="F61" t="inlineStr">
        <is>
          <t>2026-04-11</t>
        </is>
      </c>
      <c r="G61" t="inlineStr">
        <is>
          <t xml:space="preserve"> - Sunrise Suite</t>
        </is>
      </c>
      <c r="H61">
        <f>HYPERLINK("https://booking.roadsurfer.com/es/rally/pick?pickup_date=2026-04-04&amp;return_date=2026-04-11&amp;currency=EUR&amp;startStation=13&amp;endStation=52",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2026-05-02</t>
        </is>
      </c>
      <c r="F62" t="inlineStr">
        <is>
          <t>2026-05-09</t>
        </is>
      </c>
      <c r="G62" t="inlineStr">
        <is>
          <t xml:space="preserve"> - Surfer Suite - Road House</t>
        </is>
      </c>
      <c r="H62">
        <f>HYPERLINK("https://booking.roadsurfer.com/es/rally/pick?pickup_date=2026-05-02&amp;return_date=2026-05-09&amp;currency=EUR&amp;startStation=55&amp;endStation=77",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Malmö</t>
        </is>
      </c>
      <c r="E63" t="inlineStr">
        <is>
          <t>2026-05-12</t>
        </is>
      </c>
      <c r="F63" t="inlineStr">
        <is>
          <t>2026-05-19</t>
        </is>
      </c>
      <c r="G63" t="inlineStr">
        <is>
          <t xml:space="preserve"> - Road House</t>
        </is>
      </c>
      <c r="H63">
        <f>HYPERLINK("https://booking.roadsurfer.com/es/rally/pick?pickup_date=2026-05-12&amp;return_date=2026-05-19&amp;currency=EUR&amp;startStation=55&amp;endStation=60",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Malmö</t>
        </is>
      </c>
      <c r="E64" t="inlineStr">
        <is>
          <t>2026-04-29</t>
        </is>
      </c>
      <c r="F64" t="inlineStr">
        <is>
          <t>2026-05-06</t>
        </is>
      </c>
      <c r="G64" t="inlineStr">
        <is>
          <t xml:space="preserve"> - Road House</t>
        </is>
      </c>
      <c r="H64">
        <f>HYPERLINK("https://booking.roadsurfer.com/es/rally/pick?pickup_date=2026-04-29&amp;return_date=2026-05-06&amp;currency=EUR&amp;startStation=55&amp;endStation=60",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Malmö</t>
        </is>
      </c>
      <c r="E65" t="inlineStr">
        <is>
          <t>2026-05-14</t>
        </is>
      </c>
      <c r="F65" t="inlineStr">
        <is>
          <t>2026-05-21</t>
        </is>
      </c>
      <c r="G65" t="inlineStr">
        <is>
          <t xml:space="preserve"> - No hay coche</t>
        </is>
      </c>
      <c r="H65">
        <f>HYPERLINK("https://booking.roadsurfer.com/es/rally/pick?pickup_date=2026-05-14&amp;return_date=2026-05-21&amp;currency=EUR&amp;startStation=55&amp;endStation=60",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Suecia</t>
        </is>
      </c>
      <c r="D66" t="inlineStr">
        <is>
          <t>Estocolmo</t>
        </is>
      </c>
      <c r="E66" t="inlineStr">
        <is>
          <t>2026-04-02</t>
        </is>
      </c>
      <c r="F66" t="inlineStr">
        <is>
          <t>2026-04-09</t>
        </is>
      </c>
      <c r="G66" t="inlineStr">
        <is>
          <t xml:space="preserve"> - Surfer Suite</t>
        </is>
      </c>
      <c r="H66">
        <f>HYPERLINK("https://booking.roadsurfer.com/es/rally/pick?pickup_date=2026-04-02&amp;return_date=2026-04-09&amp;currency=EUR&amp;startStation=55&amp;endStation=59",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2026-04-13</t>
        </is>
      </c>
      <c r="F67" t="inlineStr">
        <is>
          <t>2026-04-20</t>
        </is>
      </c>
      <c r="G67" t="inlineStr">
        <is>
          <t xml:space="preserve"> - Cozy Cottage</t>
        </is>
      </c>
      <c r="H67">
        <f>HYPERLINK("https://booking.roadsurfer.com/es/rally/pick?pickup_date=2026-04-13&amp;return_date=2026-04-20&amp;currency=EUR&amp;startStation=55&amp;endStation=59",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Alemania</t>
        </is>
      </c>
      <c r="D68" t="inlineStr">
        <is>
          <t>Berlín</t>
        </is>
      </c>
      <c r="E68" t="inlineStr">
        <is>
          <t>2026-05-11</t>
        </is>
      </c>
      <c r="F68" t="inlineStr">
        <is>
          <t>2026-05-18</t>
        </is>
      </c>
      <c r="G68" t="inlineStr">
        <is>
          <t xml:space="preserve"> - Surfer Suite</t>
        </is>
      </c>
      <c r="H68">
        <f>HYPERLINK("https://booking.roadsurfer.com/es/rally/pick?pickup_date=2026-05-11&amp;return_date=2026-05-18&amp;currency=EUR&amp;startStation=55&amp;endStation=6",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Alemania</t>
        </is>
      </c>
      <c r="D69" t="inlineStr">
        <is>
          <t>Aquisgrán</t>
        </is>
      </c>
      <c r="E69" t="inlineStr">
        <is>
          <t>2026-04-20</t>
        </is>
      </c>
      <c r="F69" t="inlineStr">
        <is>
          <t>2026-04-27</t>
        </is>
      </c>
      <c r="G69" t="inlineStr">
        <is>
          <t xml:space="preserve"> - Surfer Suite</t>
        </is>
      </c>
      <c r="H69">
        <f>HYPERLINK("https://booking.roadsurfer.com/es/rally/pick?pickup_date=2026-04-20&amp;return_date=2026-04-27&amp;currency=EUR&amp;startStation=55&amp;endStation=114",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Italia</t>
        </is>
      </c>
      <c r="D70" t="inlineStr">
        <is>
          <t>Milán</t>
        </is>
      </c>
      <c r="E70" t="inlineStr">
        <is>
          <t>2026-04-23</t>
        </is>
      </c>
      <c r="F70" t="inlineStr">
        <is>
          <t>2026-04-30</t>
        </is>
      </c>
      <c r="G70" t="inlineStr">
        <is>
          <t xml:space="preserve"> - Sunrise Suite</t>
        </is>
      </c>
      <c r="H70">
        <f>HYPERLINK("https://booking.roadsurfer.com/es/rally/pick?pickup_date=2026-04-23&amp;return_date=2026-04-30&amp;currency=EUR&amp;startStation=55&amp;endStation=34",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Italia</t>
        </is>
      </c>
      <c r="D71" t="inlineStr">
        <is>
          <t>Milán</t>
        </is>
      </c>
      <c r="E71" t="inlineStr">
        <is>
          <t>2026-04-20</t>
        </is>
      </c>
      <c r="F71" t="inlineStr">
        <is>
          <t>2026-04-27</t>
        </is>
      </c>
      <c r="G71" t="inlineStr">
        <is>
          <t xml:space="preserve"> - Surfer Suite</t>
        </is>
      </c>
      <c r="H71">
        <f>HYPERLINK("https://booking.roadsurfer.com/es/rally/pick?pickup_date=2026-04-20&amp;return_date=2026-04-27&amp;currency=EUR&amp;startStation=55&amp;endStation=34",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Bélgica</t>
        </is>
      </c>
      <c r="D72" t="inlineStr">
        <is>
          <t>Bruselas</t>
        </is>
      </c>
      <c r="E72" t="inlineStr">
        <is>
          <t>2026-04-16</t>
        </is>
      </c>
      <c r="F72" t="inlineStr">
        <is>
          <t>2026-04-23</t>
        </is>
      </c>
      <c r="G72" t="inlineStr">
        <is>
          <t xml:space="preserve"> - Camper Cabin Deluxe</t>
        </is>
      </c>
      <c r="H72">
        <f>HYPERLINK("https://booking.roadsurfer.com/es/rally/pick?pickup_date=2026-04-16&amp;return_date=2026-04-23&amp;currency=EUR&amp;startStation=55&amp;endStation=42", "Clic para verlo en la web de RoadSurfer")</f>
        <v/>
      </c>
    </row>
    <row r="73">
      <c r="A73" t="inlineStr">
        <is>
          <t>Reino Unido</t>
        </is>
      </c>
      <c r="B73" t="inlineStr">
        <is>
          <t>Bristol</t>
        </is>
      </c>
      <c r="C73" t="inlineStr">
        <is>
          <t>Reino Unido</t>
        </is>
      </c>
      <c r="D73" t="inlineStr">
        <is>
          <t>Edimburgo</t>
        </is>
      </c>
      <c r="E73" t="inlineStr">
        <is>
          <t>2026-04-20</t>
        </is>
      </c>
      <c r="F73" t="inlineStr">
        <is>
          <t>2026-04-27</t>
        </is>
      </c>
      <c r="G73" t="inlineStr">
        <is>
          <t xml:space="preserve"> - Surfer Suite</t>
        </is>
      </c>
      <c r="H73">
        <f>HYPERLINK("https://booking.roadsurfer.com/es/rally/pick?pickup_date=2026-04-20&amp;return_date=2026-04-27&amp;currency=EUR&amp;startStation=98&amp;endStation=64", "Clic para verlo en la web de RoadSurfer")</f>
        <v/>
      </c>
    </row>
    <row r="74">
      <c r="A74" t="inlineStr">
        <is>
          <t>Bélgica</t>
        </is>
      </c>
      <c r="B74" t="inlineStr">
        <is>
          <t>Bruselas</t>
        </is>
      </c>
      <c r="C74" t="inlineStr">
        <is>
          <t>Francia</t>
        </is>
      </c>
      <c r="D74" t="inlineStr">
        <is>
          <t>París Aeropuerto CDG</t>
        </is>
      </c>
      <c r="E74" t="inlineStr">
        <is>
          <t>2026-04-22</t>
        </is>
      </c>
      <c r="F74" t="inlineStr">
        <is>
          <t>2026-04-29</t>
        </is>
      </c>
      <c r="G74" t="inlineStr">
        <is>
          <t xml:space="preserve"> - Beach Hostel</t>
        </is>
      </c>
      <c r="H74">
        <f>HYPERLINK("https://booking.roadsurfer.com/es/rally/pick?pickup_date=2026-04-22&amp;return_date=2026-04-29&amp;currency=EUR&amp;startStation=42&amp;endStation=48", "Clic para verlo en la web de RoadSurfer")</f>
        <v/>
      </c>
    </row>
    <row r="75">
      <c r="A75" t="inlineStr">
        <is>
          <t>Bélgica</t>
        </is>
      </c>
      <c r="B75" t="inlineStr">
        <is>
          <t>Bruselas</t>
        </is>
      </c>
      <c r="C75" t="inlineStr">
        <is>
          <t>Alemania</t>
        </is>
      </c>
      <c r="D75" t="inlineStr">
        <is>
          <t>Colonia-Düsseldorf</t>
        </is>
      </c>
      <c r="E75" t="inlineStr">
        <is>
          <t>2026-04-02</t>
        </is>
      </c>
      <c r="F75" t="inlineStr">
        <is>
          <t>2026-04-09</t>
        </is>
      </c>
      <c r="G75" t="inlineStr">
        <is>
          <t xml:space="preserve"> - Camper Cabin</t>
        </is>
      </c>
      <c r="H75">
        <f>HYPERLINK("https://booking.roadsurfer.com/es/rally/pick?pickup_date=2026-04-02&amp;return_date=2026-04-09&amp;currency=EUR&amp;startStation=42&amp;endStation=4", "Clic para verlo en la web de RoadSurfer")</f>
        <v/>
      </c>
    </row>
    <row r="76">
      <c r="A76" t="inlineStr">
        <is>
          <t>Bélgica</t>
        </is>
      </c>
      <c r="B76" t="inlineStr">
        <is>
          <t>Bruselas</t>
        </is>
      </c>
      <c r="C76" t="inlineStr">
        <is>
          <t>Alemania</t>
        </is>
      </c>
      <c r="D76" t="inlineStr">
        <is>
          <t>Bremen</t>
        </is>
      </c>
      <c r="E76" t="inlineStr">
        <is>
          <t>2026-04-07</t>
        </is>
      </c>
      <c r="F76" t="inlineStr">
        <is>
          <t>2026-04-14</t>
        </is>
      </c>
      <c r="G76" t="inlineStr">
        <is>
          <t xml:space="preserve"> - Road House</t>
        </is>
      </c>
      <c r="H76">
        <f>HYPERLINK("https://booking.roadsurfer.com/es/rally/pick?pickup_date=2026-04-07&amp;return_date=2026-04-14&amp;currency=EUR&amp;startStation=42&amp;endStation=55", "Clic para verlo en la web de RoadSurfer")</f>
        <v/>
      </c>
    </row>
    <row r="77">
      <c r="A77" t="inlineStr">
        <is>
          <t>Bélgica</t>
        </is>
      </c>
      <c r="B77" t="inlineStr">
        <is>
          <t>Bruselas</t>
        </is>
      </c>
      <c r="C77" t="inlineStr">
        <is>
          <t>Alemania</t>
        </is>
      </c>
      <c r="D77" t="inlineStr">
        <is>
          <t>Berlín</t>
        </is>
      </c>
      <c r="E77" t="inlineStr">
        <is>
          <t>2026-05-04</t>
        </is>
      </c>
      <c r="F77" t="inlineStr">
        <is>
          <t>2026-05-11</t>
        </is>
      </c>
      <c r="G77" t="inlineStr">
        <is>
          <t xml:space="preserve"> - Camper Castle</t>
        </is>
      </c>
      <c r="H77">
        <f>HYPERLINK("https://booking.roadsurfer.com/es/rally/pick?pickup_date=2026-05-04&amp;return_date=2026-05-11&amp;currency=EUR&amp;startStation=42&amp;endStation=6",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Bélgica</t>
        </is>
      </c>
      <c r="D78" t="inlineStr">
        <is>
          <t>Bruselas</t>
        </is>
      </c>
      <c r="E78" t="inlineStr">
        <is>
          <t>2026-04-09</t>
        </is>
      </c>
      <c r="F78" t="inlineStr">
        <is>
          <t>2026-04-16</t>
        </is>
      </c>
      <c r="G78" t="inlineStr">
        <is>
          <t xml:space="preserve"> - Road House</t>
        </is>
      </c>
      <c r="H78">
        <f>HYPERLINK("https://booking.roadsurfer.com/es/rally/pick?pickup_date=2026-04-09&amp;return_date=2026-04-16&amp;currency=EUR&amp;startStation=52&amp;endStation=42",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Bélgica</t>
        </is>
      </c>
      <c r="D79" t="inlineStr">
        <is>
          <t>Bruselas</t>
        </is>
      </c>
      <c r="E79" t="inlineStr">
        <is>
          <t>2026-04-13</t>
        </is>
      </c>
      <c r="F79" t="inlineStr">
        <is>
          <t>2026-04-20</t>
        </is>
      </c>
      <c r="G79" t="inlineStr">
        <is>
          <t xml:space="preserve"> - Family Finca</t>
        </is>
      </c>
      <c r="H79">
        <f>HYPERLINK("https://booking.roadsurfer.com/es/rally/pick?pickup_date=2026-04-13&amp;return_date=2026-04-20&amp;currency=EUR&amp;startStation=52&amp;endStation=42",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Bélgica</t>
        </is>
      </c>
      <c r="D80" t="inlineStr">
        <is>
          <t>Bruselas</t>
        </is>
      </c>
      <c r="E80" t="inlineStr">
        <is>
          <t>2026-04-10</t>
        </is>
      </c>
      <c r="F80" t="inlineStr">
        <is>
          <t>2026-04-17</t>
        </is>
      </c>
      <c r="G80" t="inlineStr">
        <is>
          <t xml:space="preserve"> - Sunrise Suite</t>
        </is>
      </c>
      <c r="H80">
        <f>HYPERLINK("https://booking.roadsurfer.com/es/rally/pick?pickup_date=2026-04-10&amp;return_date=2026-04-17&amp;currency=EUR&amp;startStation=52&amp;endStation=42",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Bélgica</t>
        </is>
      </c>
      <c r="D81" t="inlineStr">
        <is>
          <t>Bruselas</t>
        </is>
      </c>
      <c r="E81" t="inlineStr">
        <is>
          <t>2026-04-18</t>
        </is>
      </c>
      <c r="F81" t="inlineStr">
        <is>
          <t>2026-04-25</t>
        </is>
      </c>
      <c r="G81" t="inlineStr">
        <is>
          <t xml:space="preserve"> - No hay coche</t>
        </is>
      </c>
      <c r="H81">
        <f>HYPERLINK("https://booking.roadsurfer.com/es/rally/pick?pickup_date=2026-04-18&amp;return_date=2026-04-25&amp;currency=EUR&amp;startStation=52&amp;endStation=42",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Francia</t>
        </is>
      </c>
      <c r="D82" t="inlineStr">
        <is>
          <t>Ginebra-Pays de Gex (Francia)</t>
        </is>
      </c>
      <c r="E82" t="inlineStr">
        <is>
          <t>2026-04-30</t>
        </is>
      </c>
      <c r="F82" t="inlineStr">
        <is>
          <t>2026-05-07</t>
        </is>
      </c>
      <c r="G82" t="inlineStr">
        <is>
          <t xml:space="preserve"> - Beach Hostel</t>
        </is>
      </c>
      <c r="H82">
        <f>HYPERLINK("https://booking.roadsurfer.com/es/rally/pick?pickup_date=2026-04-30&amp;return_date=2026-05-07&amp;currency=EUR&amp;startStation=52&amp;endStation=29",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Francia</t>
        </is>
      </c>
      <c r="D83" t="inlineStr">
        <is>
          <t>Ginebra-Pays de Gex (Francia)</t>
        </is>
      </c>
      <c r="E83" t="inlineStr">
        <is>
          <t>2026-05-04</t>
        </is>
      </c>
      <c r="F83" t="inlineStr">
        <is>
          <t>2026-05-11</t>
        </is>
      </c>
      <c r="G83" t="inlineStr">
        <is>
          <t xml:space="preserve"> - Surfer Suite</t>
        </is>
      </c>
      <c r="H83">
        <f>HYPERLINK("https://booking.roadsurfer.com/es/rally/pick?pickup_date=2026-05-04&amp;return_date=2026-05-11&amp;currency=EUR&amp;startStation=52&amp;endStation=29",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Austria</t>
        </is>
      </c>
      <c r="D84" t="inlineStr">
        <is>
          <t>Graz</t>
        </is>
      </c>
      <c r="E84" t="inlineStr">
        <is>
          <t>2026-04-02</t>
        </is>
      </c>
      <c r="F84" t="inlineStr">
        <is>
          <t>2026-04-09</t>
        </is>
      </c>
      <c r="G84" t="inlineStr">
        <is>
          <t xml:space="preserve"> - Surfer Suite</t>
        </is>
      </c>
      <c r="H84">
        <f>HYPERLINK("https://booking.roadsurfer.com/es/rally/pick?pickup_date=2026-04-02&amp;return_date=2026-04-09&amp;currency=EUR&amp;startStation=52&amp;endStation=37",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Bélgica</t>
        </is>
      </c>
      <c r="D85" t="inlineStr">
        <is>
          <t>Amberes</t>
        </is>
      </c>
      <c r="E85" t="inlineStr">
        <is>
          <t>2026-04-10</t>
        </is>
      </c>
      <c r="F85" t="inlineStr">
        <is>
          <t>2026-04-17</t>
        </is>
      </c>
      <c r="G85" t="inlineStr">
        <is>
          <t xml:space="preserve"> - Camper Cabin</t>
        </is>
      </c>
      <c r="H85">
        <f>HYPERLINK("https://booking.roadsurfer.com/es/rally/pick?pickup_date=2026-04-10&amp;return_date=2026-04-17&amp;currency=EUR&amp;startStation=52&amp;endStation=47",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Bélgica</t>
        </is>
      </c>
      <c r="D86" t="inlineStr">
        <is>
          <t>Amberes</t>
        </is>
      </c>
      <c r="E86" t="inlineStr">
        <is>
          <t>2026-04-16</t>
        </is>
      </c>
      <c r="F86" t="inlineStr">
        <is>
          <t>2026-04-23</t>
        </is>
      </c>
      <c r="G86" t="inlineStr">
        <is>
          <t xml:space="preserve"> - Surfer Suite</t>
        </is>
      </c>
      <c r="H86">
        <f>HYPERLINK("https://booking.roadsurfer.com/es/rally/pick?pickup_date=2026-04-16&amp;return_date=2026-04-23&amp;currency=EUR&amp;startStation=52&amp;endStation=47",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Alemania</t>
        </is>
      </c>
      <c r="D87" t="inlineStr">
        <is>
          <t>Berlín-Schönefeld</t>
        </is>
      </c>
      <c r="E87" t="inlineStr">
        <is>
          <t>2026-04-13</t>
        </is>
      </c>
      <c r="F87" t="inlineStr">
        <is>
          <t>2026-04-20</t>
        </is>
      </c>
      <c r="G87" t="inlineStr">
        <is>
          <t xml:space="preserve"> - Travel Home</t>
        </is>
      </c>
      <c r="H87">
        <f>HYPERLINK("https://booking.roadsurfer.com/es/rally/pick?pickup_date=2026-04-13&amp;return_date=2026-04-20&amp;currency=EUR&amp;startStation=52&amp;endStation=51",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Francia</t>
        </is>
      </c>
      <c r="D88" t="inlineStr">
        <is>
          <t>Burdeos</t>
        </is>
      </c>
      <c r="E88" t="inlineStr">
        <is>
          <t>2026-04-13</t>
        </is>
      </c>
      <c r="F88" t="inlineStr">
        <is>
          <t>2026-04-20</t>
        </is>
      </c>
      <c r="G88" t="inlineStr">
        <is>
          <t xml:space="preserve"> - Camper Cabin</t>
        </is>
      </c>
      <c r="H88">
        <f>HYPERLINK("https://booking.roadsurfer.com/es/rally/pick?pickup_date=2026-04-13&amp;return_date=2026-04-20&amp;currency=EUR&amp;startStation=52&amp;endStation=13",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Alemania</t>
        </is>
      </c>
      <c r="D89" t="inlineStr">
        <is>
          <t>Heidelberg</t>
        </is>
      </c>
      <c r="E89" t="inlineStr">
        <is>
          <t>2026-04-09</t>
        </is>
      </c>
      <c r="F89" t="inlineStr">
        <is>
          <t>2026-04-16</t>
        </is>
      </c>
      <c r="G89" t="inlineStr">
        <is>
          <t xml:space="preserve"> - Camper Cabin</t>
        </is>
      </c>
      <c r="H89">
        <f>HYPERLINK("https://booking.roadsurfer.com/es/rally/pick?pickup_date=2026-04-09&amp;return_date=2026-04-16&amp;currency=EUR&amp;startStation=52&amp;endStation=79",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Alemania</t>
        </is>
      </c>
      <c r="D90" t="inlineStr">
        <is>
          <t>Flensburgo</t>
        </is>
      </c>
      <c r="E90" t="inlineStr">
        <is>
          <t>2026-04-16</t>
        </is>
      </c>
      <c r="F90" t="inlineStr">
        <is>
          <t>2026-04-23</t>
        </is>
      </c>
      <c r="G90" t="inlineStr">
        <is>
          <t xml:space="preserve"> - No hay coche</t>
        </is>
      </c>
      <c r="H90">
        <f>HYPERLINK("https://booking.roadsurfer.com/es/rally/pick?pickup_date=2026-04-16&amp;return_date=2026-04-23&amp;currency=EUR&amp;startStation=52&amp;endStation=130", "Clic para verlo en la web de RoadSurfer")</f>
        <v/>
      </c>
    </row>
    <row r="91">
      <c r="A91" t="inlineStr">
        <is>
          <t>Alemania</t>
        </is>
      </c>
      <c r="B91" t="inlineStr">
        <is>
          <t>Colonia-Bonn</t>
        </is>
      </c>
      <c r="C91" t="inlineStr">
        <is>
          <t>Francia</t>
        </is>
      </c>
      <c r="D91" t="inlineStr">
        <is>
          <t>París Aeropuerto CDG</t>
        </is>
      </c>
      <c r="E91" t="inlineStr">
        <is>
          <t>2026-04-08</t>
        </is>
      </c>
      <c r="F91" t="inlineStr">
        <is>
          <t>2026-04-15</t>
        </is>
      </c>
      <c r="G91" t="inlineStr">
        <is>
          <t xml:space="preserve"> - Camper Cabin Deluxe</t>
        </is>
      </c>
      <c r="H91">
        <f>HYPERLINK("https://booking.roadsurfer.com/es/rally/pick?pickup_date=2026-04-08&amp;return_date=2026-04-15&amp;currency=EUR&amp;startStation=52&amp;endStation=48", "Clic para verlo en la web de RoadSurfer")</f>
        <v/>
      </c>
    </row>
    <row r="92">
      <c r="A92" t="inlineStr">
        <is>
          <t>Alemania</t>
        </is>
      </c>
      <c r="B92" t="inlineStr">
        <is>
          <t>Colonia-Bonn</t>
        </is>
      </c>
      <c r="C92" t="inlineStr">
        <is>
          <t>Francia</t>
        </is>
      </c>
      <c r="D92" t="inlineStr">
        <is>
          <t>París Aeropuerto CDG</t>
        </is>
      </c>
      <c r="E92" t="inlineStr">
        <is>
          <t>2026-04-17</t>
        </is>
      </c>
      <c r="F92" t="inlineStr">
        <is>
          <t>2026-04-24</t>
        </is>
      </c>
      <c r="G92" t="inlineStr">
        <is>
          <t xml:space="preserve"> - COUPLE COTTAGE</t>
        </is>
      </c>
      <c r="H92">
        <f>HYPERLINK("https://booking.roadsurfer.com/es/rally/pick?pickup_date=2026-04-17&amp;return_date=2026-04-24&amp;currency=EUR&amp;startStation=52&amp;endStation=48", "Clic para verlo en la web de RoadSurfer")</f>
        <v/>
      </c>
    </row>
    <row r="93">
      <c r="A93" t="inlineStr">
        <is>
          <t>Alemania</t>
        </is>
      </c>
      <c r="B93" t="inlineStr">
        <is>
          <t>Colonia-Bonn</t>
        </is>
      </c>
      <c r="C93" t="inlineStr">
        <is>
          <t>Alemania</t>
        </is>
      </c>
      <c r="D93" t="inlineStr">
        <is>
          <t>Núremberg</t>
        </is>
      </c>
      <c r="E93" t="inlineStr">
        <is>
          <t>2026-04-16</t>
        </is>
      </c>
      <c r="F93" t="inlineStr">
        <is>
          <t>2026-04-23</t>
        </is>
      </c>
      <c r="G93" t="inlineStr">
        <is>
          <t xml:space="preserve"> - Camper Castle</t>
        </is>
      </c>
      <c r="H93">
        <f>HYPERLINK("https://booking.roadsurfer.com/es/rally/pick?pickup_date=2026-04-16&amp;return_date=2026-04-23&amp;currency=EUR&amp;startStation=52&amp;endStation=11", "Clic para verlo en la web de RoadSurfer")</f>
        <v/>
      </c>
    </row>
    <row r="94">
      <c r="A94" t="inlineStr">
        <is>
          <t>Alemania</t>
        </is>
      </c>
      <c r="B94" t="inlineStr">
        <is>
          <t>Colonia-Bonn</t>
        </is>
      </c>
      <c r="C94" t="inlineStr">
        <is>
          <t>Alemania</t>
        </is>
      </c>
      <c r="D94" t="inlineStr">
        <is>
          <t>Núremberg</t>
        </is>
      </c>
      <c r="E94" t="inlineStr">
        <is>
          <t>2026-04-27</t>
        </is>
      </c>
      <c r="F94" t="inlineStr">
        <is>
          <t>2026-05-04</t>
        </is>
      </c>
      <c r="G94" t="inlineStr">
        <is>
          <t xml:space="preserve"> - Sunrise Suite</t>
        </is>
      </c>
      <c r="H94">
        <f>HYPERLINK("https://booking.roadsurfer.com/es/rally/pick?pickup_date=2026-04-27&amp;return_date=2026-05-04&amp;currency=EUR&amp;startStation=52&amp;endStation=11", "Clic para verlo en la web de RoadSurfer")</f>
        <v/>
      </c>
    </row>
    <row r="95">
      <c r="A95" t="inlineStr">
        <is>
          <t>Alemania</t>
        </is>
      </c>
      <c r="B95" t="inlineStr">
        <is>
          <t>Colonia-Bonn</t>
        </is>
      </c>
      <c r="C95" t="inlineStr">
        <is>
          <t>Italia</t>
        </is>
      </c>
      <c r="D95" t="inlineStr">
        <is>
          <t>Venecia</t>
        </is>
      </c>
      <c r="E95" t="inlineStr">
        <is>
          <t>2026-04-23</t>
        </is>
      </c>
      <c r="F95" t="inlineStr">
        <is>
          <t>2026-04-30</t>
        </is>
      </c>
      <c r="G95" t="inlineStr">
        <is>
          <t xml:space="preserve"> - Family Finca</t>
        </is>
      </c>
      <c r="H95">
        <f>HYPERLINK("https://booking.roadsurfer.com/es/rally/pick?pickup_date=2026-04-23&amp;return_date=2026-04-30&amp;currency=EUR&amp;startStation=52&amp;endStation=78", "Clic para verlo en la web de RoadSurfer")</f>
        <v/>
      </c>
    </row>
    <row r="96">
      <c r="A96" t="inlineStr">
        <is>
          <t>Alemania</t>
        </is>
      </c>
      <c r="B96" t="inlineStr">
        <is>
          <t>Colonia-Bonn</t>
        </is>
      </c>
      <c r="C96" t="inlineStr">
        <is>
          <t>Italia</t>
        </is>
      </c>
      <c r="D96" t="inlineStr">
        <is>
          <t>Milán</t>
        </is>
      </c>
      <c r="E96" t="inlineStr">
        <is>
          <t>2026-04-20</t>
        </is>
      </c>
      <c r="F96" t="inlineStr">
        <is>
          <t>2026-04-27</t>
        </is>
      </c>
      <c r="G96" t="inlineStr">
        <is>
          <t xml:space="preserve"> - Family Finca</t>
        </is>
      </c>
      <c r="H96">
        <f>HYPERLINK("https://booking.roadsurfer.com/es/rally/pick?pickup_date=2026-04-20&amp;return_date=2026-04-27&amp;currency=EUR&amp;startStation=52&amp;endStation=34", "Clic para verlo en la web de RoadSurfer")</f>
        <v/>
      </c>
    </row>
    <row r="97">
      <c r="A97" t="inlineStr">
        <is>
          <t>Alemania</t>
        </is>
      </c>
      <c r="B97" t="inlineStr">
        <is>
          <t>Colonia-Bonn</t>
        </is>
      </c>
      <c r="C97" t="inlineStr">
        <is>
          <t>Francia</t>
        </is>
      </c>
      <c r="D97" t="inlineStr">
        <is>
          <t>París Sur (Orly)</t>
        </is>
      </c>
      <c r="E97" t="inlineStr">
        <is>
          <t>2026-05-02</t>
        </is>
      </c>
      <c r="F97" t="inlineStr">
        <is>
          <t>2026-05-09</t>
        </is>
      </c>
      <c r="G97" t="inlineStr">
        <is>
          <t xml:space="preserve"> - Sunrise Suite</t>
        </is>
      </c>
      <c r="H97">
        <f>HYPERLINK("https://booking.roadsurfer.com/es/rally/pick?pickup_date=2026-05-02&amp;return_date=2026-05-09&amp;currency=EUR&amp;startStation=52&amp;endStation=12", "Clic para verlo en la web de RoadSurfer")</f>
        <v/>
      </c>
    </row>
    <row r="98">
      <c r="A98" t="inlineStr">
        <is>
          <t>Alemania</t>
        </is>
      </c>
      <c r="B98" t="inlineStr">
        <is>
          <t>Colonia-Bonn</t>
        </is>
      </c>
      <c r="C98" t="inlineStr">
        <is>
          <t>Alemania</t>
        </is>
      </c>
      <c r="D98" t="inlineStr">
        <is>
          <t>Stuttgart</t>
        </is>
      </c>
      <c r="E98" t="inlineStr">
        <is>
          <t>2026-04-20</t>
        </is>
      </c>
      <c r="F98" t="inlineStr">
        <is>
          <t>2026-04-27</t>
        </is>
      </c>
      <c r="G98" t="inlineStr">
        <is>
          <t xml:space="preserve"> - Sunrise Suite</t>
        </is>
      </c>
      <c r="H98">
        <f>HYPERLINK("https://booking.roadsurfer.com/es/rally/pick?pickup_date=2026-04-20&amp;return_date=2026-04-27&amp;currency=EUR&amp;startStation=52&amp;endStation=5",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Francia</t>
        </is>
      </c>
      <c r="D99" t="inlineStr">
        <is>
          <t>París Sur (Orly)</t>
        </is>
      </c>
      <c r="E99" t="inlineStr">
        <is>
          <t>2026-04-25</t>
        </is>
      </c>
      <c r="F99" t="inlineStr">
        <is>
          <t>2026-05-02</t>
        </is>
      </c>
      <c r="G99" t="inlineStr">
        <is>
          <t xml:space="preserve"> - Surfer Suite</t>
        </is>
      </c>
      <c r="H99">
        <f>HYPERLINK("https://booking.roadsurfer.com/es/rally/pick?pickup_date=2026-04-25&amp;return_date=2026-05-02&amp;currency=EUR&amp;startStation=4&amp;endStation=12",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Francia</t>
        </is>
      </c>
      <c r="D100" t="inlineStr">
        <is>
          <t>Lille</t>
        </is>
      </c>
      <c r="E100" t="inlineStr">
        <is>
          <t>2026-04-25</t>
        </is>
      </c>
      <c r="F100" t="inlineStr">
        <is>
          <t>2026-05-02</t>
        </is>
      </c>
      <c r="G100" t="inlineStr">
        <is>
          <t xml:space="preserve"> - Surfer Suite</t>
        </is>
      </c>
      <c r="H100">
        <f>HYPERLINK("https://booking.roadsurfer.com/es/rally/pick?pickup_date=2026-04-25&amp;return_date=2026-05-02&amp;currency=EUR&amp;startStation=4&amp;endStation=87", "Clic para verlo en la web de RoadSurfer")</f>
        <v/>
      </c>
    </row>
    <row r="101">
      <c r="A101" t="inlineStr">
        <is>
          <t>Alemania</t>
        </is>
      </c>
      <c r="B101" t="inlineStr">
        <is>
          <t>Colonia-Düsseldorf</t>
        </is>
      </c>
      <c r="C101" t="inlineStr">
        <is>
          <t>Francia</t>
        </is>
      </c>
      <c r="D101" t="inlineStr">
        <is>
          <t>Nantes</t>
        </is>
      </c>
      <c r="E101" t="inlineStr">
        <is>
          <t>2026-04-10</t>
        </is>
      </c>
      <c r="F101" t="inlineStr">
        <is>
          <t>2026-04-17</t>
        </is>
      </c>
      <c r="G101" t="inlineStr">
        <is>
          <t xml:space="preserve"> - Surfer Suite</t>
        </is>
      </c>
      <c r="H101">
        <f>HYPERLINK("https://booking.roadsurfer.com/es/rally/pick?pickup_date=2026-04-10&amp;return_date=2026-04-17&amp;currency=EUR&amp;startStation=4&amp;endStation=31", "Clic para verlo en la web de RoadSurfer")</f>
        <v/>
      </c>
    </row>
    <row r="102">
      <c r="A102" t="inlineStr">
        <is>
          <t>Alemania</t>
        </is>
      </c>
      <c r="B102" t="inlineStr">
        <is>
          <t>Colonia-Düsseldorf</t>
        </is>
      </c>
      <c r="C102" t="inlineStr">
        <is>
          <t>Francia</t>
        </is>
      </c>
      <c r="D102" t="inlineStr">
        <is>
          <t>Nantes</t>
        </is>
      </c>
      <c r="E102" t="inlineStr">
        <is>
          <t>2026-05-04</t>
        </is>
      </c>
      <c r="F102" t="inlineStr">
        <is>
          <t>2026-05-11</t>
        </is>
      </c>
      <c r="G102" t="inlineStr">
        <is>
          <t xml:space="preserve"> - Surfer Suite</t>
        </is>
      </c>
      <c r="H102">
        <f>HYPERLINK("https://booking.roadsurfer.com/es/rally/pick?pickup_date=2026-05-04&amp;return_date=2026-05-11&amp;currency=EUR&amp;startStation=4&amp;endStation=31", "Clic para verlo en la web de RoadSurfer")</f>
        <v/>
      </c>
    </row>
    <row r="103">
      <c r="A103" t="inlineStr">
        <is>
          <t>Alemania</t>
        </is>
      </c>
      <c r="B103" t="inlineStr">
        <is>
          <t>Colonia-Düsseldorf</t>
        </is>
      </c>
      <c r="C103" t="inlineStr">
        <is>
          <t>Francia</t>
        </is>
      </c>
      <c r="D103" t="inlineStr">
        <is>
          <t>Burdeos</t>
        </is>
      </c>
      <c r="E103" t="inlineStr">
        <is>
          <t>2026-05-04</t>
        </is>
      </c>
      <c r="F103" t="inlineStr">
        <is>
          <t>2026-05-11</t>
        </is>
      </c>
      <c r="G103" t="inlineStr">
        <is>
          <t xml:space="preserve"> - Travel Home</t>
        </is>
      </c>
      <c r="H103">
        <f>HYPERLINK("https://booking.roadsurfer.com/es/rally/pick?pickup_date=2026-05-04&amp;return_date=2026-05-11&amp;currency=EUR&amp;startStation=4&amp;endStation=13", "Clic para verlo en la web de RoadSurfer")</f>
        <v/>
      </c>
    </row>
    <row r="104">
      <c r="A104" t="inlineStr">
        <is>
          <t>Alemania</t>
        </is>
      </c>
      <c r="B104" t="inlineStr">
        <is>
          <t>Colonia-Düsseldorf</t>
        </is>
      </c>
      <c r="C104" t="inlineStr">
        <is>
          <t>Francia</t>
        </is>
      </c>
      <c r="D104" t="inlineStr">
        <is>
          <t>Burdeos</t>
        </is>
      </c>
      <c r="E104" t="inlineStr">
        <is>
          <t>2026-04-04</t>
        </is>
      </c>
      <c r="F104" t="inlineStr">
        <is>
          <t>2026-04-11</t>
        </is>
      </c>
      <c r="G104" t="inlineStr">
        <is>
          <t xml:space="preserve"> - Road House</t>
        </is>
      </c>
      <c r="H104">
        <f>HYPERLINK("https://booking.roadsurfer.com/es/rally/pick?pickup_date=2026-04-04&amp;return_date=2026-04-11&amp;currency=EUR&amp;startStation=4&amp;endStation=13", "Clic para verlo en la web de RoadSurfer")</f>
        <v/>
      </c>
    </row>
    <row r="105">
      <c r="A105" t="inlineStr">
        <is>
          <t>Alemania</t>
        </is>
      </c>
      <c r="B105" t="inlineStr">
        <is>
          <t>Colonia-Düsseldorf</t>
        </is>
      </c>
      <c r="C105" t="inlineStr">
        <is>
          <t>Bélgica</t>
        </is>
      </c>
      <c r="D105" t="inlineStr">
        <is>
          <t>Bruselas</t>
        </is>
      </c>
      <c r="E105" t="inlineStr">
        <is>
          <t>2026-04-30</t>
        </is>
      </c>
      <c r="F105" t="inlineStr">
        <is>
          <t>2026-05-07</t>
        </is>
      </c>
      <c r="G105" t="inlineStr">
        <is>
          <t xml:space="preserve"> - Camper Cabin</t>
        </is>
      </c>
      <c r="H105">
        <f>HYPERLINK("https://booking.roadsurfer.com/es/rally/pick?pickup_date=2026-04-30&amp;return_date=2026-05-07&amp;currency=EUR&amp;startStation=4&amp;endStation=42", "Clic para verlo en la web de RoadSurfer")</f>
        <v/>
      </c>
    </row>
    <row r="106">
      <c r="A106" t="inlineStr">
        <is>
          <t>Alemania</t>
        </is>
      </c>
      <c r="B106" t="inlineStr">
        <is>
          <t>Colonia-Düsseldorf</t>
        </is>
      </c>
      <c r="C106" t="inlineStr">
        <is>
          <t>Alemania</t>
        </is>
      </c>
      <c r="D106" t="inlineStr">
        <is>
          <t>Berlín</t>
        </is>
      </c>
      <c r="E106" t="inlineStr">
        <is>
          <t>2026-05-04</t>
        </is>
      </c>
      <c r="F106" t="inlineStr">
        <is>
          <t>2026-05-11</t>
        </is>
      </c>
      <c r="G106" t="inlineStr">
        <is>
          <t xml:space="preserve"> - Camper Castle</t>
        </is>
      </c>
      <c r="H106">
        <f>HYPERLINK("https://booking.roadsurfer.com/es/rally/pick?pickup_date=2026-05-04&amp;return_date=2026-05-11&amp;currency=EUR&amp;startStation=4&amp;endStation=6", "Clic para verlo en la web de RoadSurfer")</f>
        <v/>
      </c>
    </row>
    <row r="107">
      <c r="A107" t="inlineStr">
        <is>
          <t>Alemania</t>
        </is>
      </c>
      <c r="B107" t="inlineStr">
        <is>
          <t>Colonia-Düsseldorf</t>
        </is>
      </c>
      <c r="C107" t="inlineStr">
        <is>
          <t>Bélgica</t>
        </is>
      </c>
      <c r="D107" t="inlineStr">
        <is>
          <t>Amberes</t>
        </is>
      </c>
      <c r="E107" t="inlineStr">
        <is>
          <t>2026-04-14</t>
        </is>
      </c>
      <c r="F107" t="inlineStr">
        <is>
          <t>2026-04-21</t>
        </is>
      </c>
      <c r="G107" t="inlineStr">
        <is>
          <t xml:space="preserve"> - Family Finca</t>
        </is>
      </c>
      <c r="H107">
        <f>HYPERLINK("https://booking.roadsurfer.com/es/rally/pick?pickup_date=2026-04-14&amp;return_date=2026-04-21&amp;currency=EUR&amp;startStation=4&amp;endStation=47", "Clic para verlo en la web de RoadSurfer")</f>
        <v/>
      </c>
    </row>
    <row r="108">
      <c r="A108" t="inlineStr">
        <is>
          <t>Alemania</t>
        </is>
      </c>
      <c r="B108" t="inlineStr">
        <is>
          <t>Constanza (Aach)</t>
        </is>
      </c>
      <c r="C108" t="inlineStr">
        <is>
          <t>Francia</t>
        </is>
      </c>
      <c r="D108" t="inlineStr">
        <is>
          <t>Burdeos</t>
        </is>
      </c>
      <c r="E108" t="inlineStr">
        <is>
          <t>2026-04-04</t>
        </is>
      </c>
      <c r="F108" t="inlineStr">
        <is>
          <t>2026-04-11</t>
        </is>
      </c>
      <c r="G108" t="inlineStr">
        <is>
          <t xml:space="preserve"> - Surfer Suite</t>
        </is>
      </c>
      <c r="H108">
        <f>HYPERLINK("https://booking.roadsurfer.com/es/rally/pick?pickup_date=2026-04-04&amp;return_date=2026-04-11&amp;currency=EUR&amp;startStation=10&amp;endStation=13", "Clic para verlo en la web de RoadSurfer")</f>
        <v/>
      </c>
    </row>
    <row r="109">
      <c r="A109" t="inlineStr">
        <is>
          <t>Alemania</t>
        </is>
      </c>
      <c r="B109" t="inlineStr">
        <is>
          <t>Constanza (Aach)</t>
        </is>
      </c>
      <c r="C109" t="inlineStr">
        <is>
          <t>Austria</t>
        </is>
      </c>
      <c r="D109" t="inlineStr">
        <is>
          <t>Viena Sur</t>
        </is>
      </c>
      <c r="E109" t="inlineStr">
        <is>
          <t>2026-04-09</t>
        </is>
      </c>
      <c r="F109" t="inlineStr">
        <is>
          <t>2026-04-16</t>
        </is>
      </c>
      <c r="G109" t="inlineStr">
        <is>
          <t xml:space="preserve"> - Surfer Suite</t>
        </is>
      </c>
      <c r="H109">
        <f>HYPERLINK("https://booking.roadsurfer.com/es/rally/pick?pickup_date=2026-04-09&amp;return_date=2026-04-16&amp;currency=EUR&amp;startStation=10&amp;endStation=45", "Clic para verlo en la web de RoadSurfer")</f>
        <v/>
      </c>
    </row>
    <row r="110">
      <c r="A110" t="inlineStr">
        <is>
          <t>Alemania</t>
        </is>
      </c>
      <c r="B110" t="inlineStr">
        <is>
          <t>Constanza (Aach)</t>
        </is>
      </c>
      <c r="C110" t="inlineStr">
        <is>
          <t>Austria</t>
        </is>
      </c>
      <c r="D110" t="inlineStr">
        <is>
          <t>Viena Sur</t>
        </is>
      </c>
      <c r="E110" t="inlineStr">
        <is>
          <t>2026-04-11</t>
        </is>
      </c>
      <c r="F110" t="inlineStr">
        <is>
          <t>2026-04-18</t>
        </is>
      </c>
      <c r="G110" t="inlineStr">
        <is>
          <t xml:space="preserve"> - Camper Castle</t>
        </is>
      </c>
      <c r="H110">
        <f>HYPERLINK("https://booking.roadsurfer.com/es/rally/pick?pickup_date=2026-04-11&amp;return_date=2026-04-18&amp;currency=EUR&amp;startStation=10&amp;endStation=45", "Clic para verlo en la web de RoadSurfer")</f>
        <v/>
      </c>
    </row>
    <row r="111">
      <c r="A111" t="inlineStr">
        <is>
          <t>Alemania</t>
        </is>
      </c>
      <c r="B111" t="inlineStr">
        <is>
          <t>Constanza (Aach)</t>
        </is>
      </c>
      <c r="C111" t="inlineStr">
        <is>
          <t>Alemania</t>
        </is>
      </c>
      <c r="D111" t="inlineStr">
        <is>
          <t>Tréveris</t>
        </is>
      </c>
      <c r="E111" t="inlineStr">
        <is>
          <t>2026-04-13</t>
        </is>
      </c>
      <c r="F111" t="inlineStr">
        <is>
          <t>2026-04-20</t>
        </is>
      </c>
      <c r="G111" t="inlineStr">
        <is>
          <t xml:space="preserve"> - Road House</t>
        </is>
      </c>
      <c r="H111">
        <f>HYPERLINK("https://booking.roadsurfer.com/es/rally/pick?pickup_date=2026-04-13&amp;return_date=2026-04-20&amp;currency=EUR&amp;startStation=10&amp;endStation=28", "Clic para verlo en la web de RoadSurfer")</f>
        <v/>
      </c>
    </row>
    <row r="112">
      <c r="A112" t="inlineStr">
        <is>
          <t>Alemania</t>
        </is>
      </c>
      <c r="B112" t="inlineStr">
        <is>
          <t>Constanza (Aach)</t>
        </is>
      </c>
      <c r="C112" t="inlineStr">
        <is>
          <t>España</t>
        </is>
      </c>
      <c r="D112" t="inlineStr">
        <is>
          <t>Bilbao</t>
        </is>
      </c>
      <c r="E112" t="inlineStr">
        <is>
          <t>2026-05-05</t>
        </is>
      </c>
      <c r="F112" t="inlineStr">
        <is>
          <t>2026-05-12</t>
        </is>
      </c>
      <c r="G112" t="inlineStr">
        <is>
          <t xml:space="preserve"> - Family Finca</t>
        </is>
      </c>
      <c r="H112">
        <f>HYPERLINK("https://booking.roadsurfer.com/es/rally/pick?pickup_date=2026-05-05&amp;return_date=2026-05-12&amp;currency=EUR&amp;startStation=10&amp;endStation=40",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Francia</t>
        </is>
      </c>
      <c r="D113" t="inlineStr">
        <is>
          <t>Lille</t>
        </is>
      </c>
      <c r="E113" t="inlineStr">
        <is>
          <t>2026-04-30</t>
        </is>
      </c>
      <c r="F113" t="inlineStr">
        <is>
          <t>2026-05-07</t>
        </is>
      </c>
      <c r="G113" t="inlineStr">
        <is>
          <t xml:space="preserve"> - Surfer Suite</t>
        </is>
      </c>
      <c r="H113">
        <f>HYPERLINK("https://booking.roadsurfer.com/es/rally/pick?pickup_date=2026-04-30&amp;return_date=2026-05-07&amp;currency=EUR&amp;startStation=56&amp;endStation=87",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Países Bajos</t>
        </is>
      </c>
      <c r="D114" t="inlineStr">
        <is>
          <t>Róterdam</t>
        </is>
      </c>
      <c r="E114" t="inlineStr">
        <is>
          <t>2026-04-09</t>
        </is>
      </c>
      <c r="F114" t="inlineStr">
        <is>
          <t>2026-04-16</t>
        </is>
      </c>
      <c r="G114" t="inlineStr">
        <is>
          <t xml:space="preserve"> - Road House</t>
        </is>
      </c>
      <c r="H114">
        <f>HYPERLINK("https://booking.roadsurfer.com/es/rally/pick?pickup_date=2026-04-09&amp;return_date=2026-04-16&amp;currency=EUR&amp;startStation=56&amp;endStation=33",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Países Bajos</t>
        </is>
      </c>
      <c r="D115" t="inlineStr">
        <is>
          <t>Róterdam</t>
        </is>
      </c>
      <c r="E115" t="inlineStr">
        <is>
          <t>2026-04-27</t>
        </is>
      </c>
      <c r="F115" t="inlineStr">
        <is>
          <t>2026-05-04</t>
        </is>
      </c>
      <c r="G115" t="inlineStr">
        <is>
          <t xml:space="preserve"> - Surfer Suite</t>
        </is>
      </c>
      <c r="H115">
        <f>HYPERLINK("https://booking.roadsurfer.com/es/rally/pick?pickup_date=2026-04-27&amp;return_date=2026-05-04&amp;currency=EUR&amp;startStation=56&amp;endStation=33",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Italia</t>
        </is>
      </c>
      <c r="D116" t="inlineStr">
        <is>
          <t>Turín</t>
        </is>
      </c>
      <c r="E116" t="inlineStr">
        <is>
          <t>2026-04-23</t>
        </is>
      </c>
      <c r="F116" t="inlineStr">
        <is>
          <t>2026-04-30</t>
        </is>
      </c>
      <c r="G116" t="inlineStr">
        <is>
          <t xml:space="preserve"> - Surfer Suite</t>
        </is>
      </c>
      <c r="H116">
        <f>HYPERLINK("https://booking.roadsurfer.com/es/rally/pick?pickup_date=2026-04-23&amp;return_date=2026-04-30&amp;currency=EUR&amp;startStation=56&amp;endStation=58",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Francia</t>
        </is>
      </c>
      <c r="D117" t="inlineStr">
        <is>
          <t>París Aeropuerto CDG</t>
        </is>
      </c>
      <c r="E117" t="inlineStr">
        <is>
          <t>2026-05-05</t>
        </is>
      </c>
      <c r="F117" t="inlineStr">
        <is>
          <t>2026-05-12</t>
        </is>
      </c>
      <c r="G117" t="inlineStr">
        <is>
          <t xml:space="preserve"> - Surfer Suite</t>
        </is>
      </c>
      <c r="H117">
        <f>HYPERLINK("https://booking.roadsurfer.com/es/rally/pick?pickup_date=2026-05-05&amp;return_date=2026-05-12&amp;currency=EUR&amp;startStation=56&amp;endStation=48",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Bélgica</t>
        </is>
      </c>
      <c r="D118" t="inlineStr">
        <is>
          <t>Amberes</t>
        </is>
      </c>
      <c r="E118" t="inlineStr">
        <is>
          <t>2026-04-16</t>
        </is>
      </c>
      <c r="F118" t="inlineStr">
        <is>
          <t>2026-04-23</t>
        </is>
      </c>
      <c r="G118" t="inlineStr">
        <is>
          <t xml:space="preserve"> - Beach Hostel</t>
        </is>
      </c>
      <c r="H118">
        <f>HYPERLINK("https://booking.roadsurfer.com/es/rally/pick?pickup_date=2026-04-16&amp;return_date=2026-04-23&amp;currency=EUR&amp;startStation=56&amp;endStation=47",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Bélgica</t>
        </is>
      </c>
      <c r="D119" t="inlineStr">
        <is>
          <t>Amberes</t>
        </is>
      </c>
      <c r="E119" t="inlineStr">
        <is>
          <t>2026-04-30</t>
        </is>
      </c>
      <c r="F119" t="inlineStr">
        <is>
          <t>2026-05-07</t>
        </is>
      </c>
      <c r="G119" t="inlineStr">
        <is>
          <t xml:space="preserve"> - Road House</t>
        </is>
      </c>
      <c r="H119">
        <f>HYPERLINK("https://booking.roadsurfer.com/es/rally/pick?pickup_date=2026-04-30&amp;return_date=2026-05-07&amp;currency=EUR&amp;startStation=56&amp;endStation=47",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Suecia</t>
        </is>
      </c>
      <c r="D120" t="inlineStr">
        <is>
          <t>Estocolmo</t>
        </is>
      </c>
      <c r="E120" t="inlineStr">
        <is>
          <t>2026-05-06</t>
        </is>
      </c>
      <c r="F120" t="inlineStr">
        <is>
          <t>2026-05-13</t>
        </is>
      </c>
      <c r="G120" t="inlineStr">
        <is>
          <t xml:space="preserve"> - Road House</t>
        </is>
      </c>
      <c r="H120">
        <f>HYPERLINK("https://booking.roadsurfer.com/es/rally/pick?pickup_date=2026-05-06&amp;return_date=2026-05-13&amp;currency=EUR&amp;startStation=56&amp;endStation=59",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Suecia</t>
        </is>
      </c>
      <c r="D121" t="inlineStr">
        <is>
          <t>Estocolmo</t>
        </is>
      </c>
      <c r="E121" t="inlineStr">
        <is>
          <t>2026-04-30</t>
        </is>
      </c>
      <c r="F121" t="inlineStr">
        <is>
          <t>2026-05-07</t>
        </is>
      </c>
      <c r="G121" t="inlineStr">
        <is>
          <t xml:space="preserve"> - Road House</t>
        </is>
      </c>
      <c r="H121">
        <f>HYPERLINK("https://booking.roadsurfer.com/es/rally/pick?pickup_date=2026-04-30&amp;return_date=2026-05-07&amp;currency=EUR&amp;startStation=56&amp;endStation=59",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Suecia</t>
        </is>
      </c>
      <c r="D122" t="inlineStr">
        <is>
          <t>Gotemburgo</t>
        </is>
      </c>
      <c r="E122" t="inlineStr">
        <is>
          <t>2026-04-20</t>
        </is>
      </c>
      <c r="F122" t="inlineStr">
        <is>
          <t>2026-04-27</t>
        </is>
      </c>
      <c r="G122" t="inlineStr">
        <is>
          <t xml:space="preserve"> - Family Finca</t>
        </is>
      </c>
      <c r="H122">
        <f>HYPERLINK("https://booking.roadsurfer.com/es/rally/pick?pickup_date=2026-04-20&amp;return_date=2026-04-27&amp;currency=EUR&amp;startStation=56&amp;endStation=77",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Suecia</t>
        </is>
      </c>
      <c r="D123" t="inlineStr">
        <is>
          <t>Gotemburgo</t>
        </is>
      </c>
      <c r="E123" t="inlineStr">
        <is>
          <t>2026-04-04</t>
        </is>
      </c>
      <c r="F123" t="inlineStr">
        <is>
          <t>2026-04-11</t>
        </is>
      </c>
      <c r="G123" t="inlineStr">
        <is>
          <t xml:space="preserve"> - Road House</t>
        </is>
      </c>
      <c r="H123">
        <f>HYPERLINK("https://booking.roadsurfer.com/es/rally/pick?pickup_date=2026-04-04&amp;return_date=2026-04-11&amp;currency=EUR&amp;startStation=56&amp;endStation=77",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Austria</t>
        </is>
      </c>
      <c r="D124" t="inlineStr">
        <is>
          <t>Graz</t>
        </is>
      </c>
      <c r="E124" t="inlineStr">
        <is>
          <t>2026-04-25</t>
        </is>
      </c>
      <c r="F124" t="inlineStr">
        <is>
          <t>2026-05-02</t>
        </is>
      </c>
      <c r="G124" t="inlineStr">
        <is>
          <t xml:space="preserve"> - Road House</t>
        </is>
      </c>
      <c r="H124">
        <f>HYPERLINK("https://booking.roadsurfer.com/es/rally/pick?pickup_date=2026-04-25&amp;return_date=2026-05-02&amp;currency=EUR&amp;startStation=56&amp;endStation=37",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Bélgica</t>
        </is>
      </c>
      <c r="D125" t="inlineStr">
        <is>
          <t>Bruselas</t>
        </is>
      </c>
      <c r="E125" t="inlineStr">
        <is>
          <t>2026-05-02</t>
        </is>
      </c>
      <c r="F125" t="inlineStr">
        <is>
          <t>2026-05-09</t>
        </is>
      </c>
      <c r="G125" t="inlineStr">
        <is>
          <t xml:space="preserve"> - Road House</t>
        </is>
      </c>
      <c r="H125">
        <f>HYPERLINK("https://booking.roadsurfer.com/es/rally/pick?pickup_date=2026-05-02&amp;return_date=2026-05-09&amp;currency=EUR&amp;startStation=56&amp;endStation=42", "Clic para verlo en la web de RoadSurfer")</f>
        <v/>
      </c>
    </row>
    <row r="126">
      <c r="A126" t="inlineStr">
        <is>
          <t>Alemania</t>
        </is>
      </c>
      <c r="B126" t="inlineStr">
        <is>
          <t>Dresde</t>
        </is>
      </c>
      <c r="C126" t="inlineStr">
        <is>
          <t>Francia</t>
        </is>
      </c>
      <c r="D126" t="inlineStr">
        <is>
          <t>Burdeos</t>
        </is>
      </c>
      <c r="E126" t="inlineStr">
        <is>
          <t>2026-04-11</t>
        </is>
      </c>
      <c r="F126" t="inlineStr">
        <is>
          <t>2026-04-18</t>
        </is>
      </c>
      <c r="G126" t="inlineStr">
        <is>
          <t xml:space="preserve"> - Road House</t>
        </is>
      </c>
      <c r="H126">
        <f>HYPERLINK("https://booking.roadsurfer.com/es/rally/pick?pickup_date=2026-04-11&amp;return_date=2026-04-18&amp;currency=EUR&amp;startStation=56&amp;endStation=13", "Clic para verlo en la web de RoadSurfer")</f>
        <v/>
      </c>
    </row>
    <row r="127">
      <c r="A127" t="inlineStr">
        <is>
          <t>Alemania</t>
        </is>
      </c>
      <c r="B127" t="inlineStr">
        <is>
          <t>Dresde</t>
        </is>
      </c>
      <c r="C127" t="inlineStr">
        <is>
          <t>Francia</t>
        </is>
      </c>
      <c r="D127" t="inlineStr">
        <is>
          <t>Nantes</t>
        </is>
      </c>
      <c r="E127" t="inlineStr">
        <is>
          <t>2026-04-30</t>
        </is>
      </c>
      <c r="F127" t="inlineStr">
        <is>
          <t>2026-05-07</t>
        </is>
      </c>
      <c r="G127" t="inlineStr">
        <is>
          <t xml:space="preserve"> - Camper Castle</t>
        </is>
      </c>
      <c r="H127">
        <f>HYPERLINK("https://booking.roadsurfer.com/es/rally/pick?pickup_date=2026-04-30&amp;return_date=2026-05-07&amp;currency=EUR&amp;startStation=56&amp;endStation=31", "Clic para verlo en la web de RoadSurfer")</f>
        <v/>
      </c>
    </row>
    <row r="128">
      <c r="A128" t="inlineStr">
        <is>
          <t>Alemania</t>
        </is>
      </c>
      <c r="B128" t="inlineStr">
        <is>
          <t>Dresde</t>
        </is>
      </c>
      <c r="C128" t="inlineStr">
        <is>
          <t>Italia</t>
        </is>
      </c>
      <c r="D128" t="inlineStr">
        <is>
          <t>Venecia</t>
        </is>
      </c>
      <c r="E128" t="inlineStr">
        <is>
          <t>2026-04-22</t>
        </is>
      </c>
      <c r="F128" t="inlineStr">
        <is>
          <t>2026-04-29</t>
        </is>
      </c>
      <c r="G128" t="inlineStr">
        <is>
          <t xml:space="preserve"> - Sunrise Suite</t>
        </is>
      </c>
      <c r="H128">
        <f>HYPERLINK("https://booking.roadsurfer.com/es/rally/pick?pickup_date=2026-04-22&amp;return_date=2026-04-29&amp;currency=EUR&amp;startStation=56&amp;endStation=78", "Clic para verlo en la web de RoadSurfer")</f>
        <v/>
      </c>
    </row>
    <row r="129">
      <c r="A129" t="inlineStr">
        <is>
          <t>Alemania</t>
        </is>
      </c>
      <c r="B129" t="inlineStr">
        <is>
          <t>Duisburgo</t>
        </is>
      </c>
      <c r="C129" t="inlineStr">
        <is>
          <t>Países Bajos</t>
        </is>
      </c>
      <c r="D129" t="inlineStr">
        <is>
          <t>Ámsterdam</t>
        </is>
      </c>
      <c r="E129" t="inlineStr">
        <is>
          <t>2026-04-08</t>
        </is>
      </c>
      <c r="F129" t="inlineStr">
        <is>
          <t>2026-04-15</t>
        </is>
      </c>
      <c r="G129" t="inlineStr">
        <is>
          <t xml:space="preserve"> - Surfer Suite</t>
        </is>
      </c>
      <c r="H129">
        <f>HYPERLINK("https://booking.roadsurfer.com/es/rally/pick?pickup_date=2026-04-08&amp;return_date=2026-04-15&amp;currency=EUR&amp;startStation=113&amp;endStation=32", "Clic para verlo en la web de RoadSurfer")</f>
        <v/>
      </c>
    </row>
    <row r="130">
      <c r="A130" t="inlineStr">
        <is>
          <t>Alemania</t>
        </is>
      </c>
      <c r="B130" t="inlineStr">
        <is>
          <t>Duisburgo</t>
        </is>
      </c>
      <c r="C130" t="inlineStr">
        <is>
          <t>Países Bajos</t>
        </is>
      </c>
      <c r="D130" t="inlineStr">
        <is>
          <t>Ámsterdam</t>
        </is>
      </c>
      <c r="E130" t="inlineStr">
        <is>
          <t>2026-04-07</t>
        </is>
      </c>
      <c r="F130" t="inlineStr">
        <is>
          <t>2026-04-14</t>
        </is>
      </c>
      <c r="G130" t="inlineStr">
        <is>
          <t xml:space="preserve"> - Surfer Suite</t>
        </is>
      </c>
      <c r="H130">
        <f>HYPERLINK("https://booking.roadsurfer.com/es/rally/pick?pickup_date=2026-04-07&amp;return_date=2026-04-14&amp;currency=EUR&amp;startStation=113&amp;endStation=32", "Clic para verlo en la web de RoadSurfer")</f>
        <v/>
      </c>
    </row>
    <row r="131">
      <c r="A131" t="inlineStr">
        <is>
          <t>Alemania</t>
        </is>
      </c>
      <c r="B131" t="inlineStr">
        <is>
          <t>Duisburgo</t>
        </is>
      </c>
      <c r="C131" t="inlineStr">
        <is>
          <t>Países Bajos</t>
        </is>
      </c>
      <c r="D131" t="inlineStr">
        <is>
          <t>Ámsterdam</t>
        </is>
      </c>
      <c r="E131" t="inlineStr">
        <is>
          <t>2026-04-04</t>
        </is>
      </c>
      <c r="F131" t="inlineStr">
        <is>
          <t>2026-04-11</t>
        </is>
      </c>
      <c r="G131" t="inlineStr">
        <is>
          <t xml:space="preserve"> - Road House</t>
        </is>
      </c>
      <c r="H131">
        <f>HYPERLINK("https://booking.roadsurfer.com/es/rally/pick?pickup_date=2026-04-04&amp;return_date=2026-04-11&amp;currency=EUR&amp;startStation=113&amp;endStation=32", "Clic para verlo en la web de RoadSurfer")</f>
        <v/>
      </c>
    </row>
    <row r="132">
      <c r="A132" t="inlineStr">
        <is>
          <t>Alemania</t>
        </is>
      </c>
      <c r="B132" t="inlineStr">
        <is>
          <t>Duisburgo</t>
        </is>
      </c>
      <c r="C132" t="inlineStr">
        <is>
          <t>Italia</t>
        </is>
      </c>
      <c r="D132" t="inlineStr">
        <is>
          <t>Milán</t>
        </is>
      </c>
      <c r="E132" t="inlineStr">
        <is>
          <t>2026-04-20</t>
        </is>
      </c>
      <c r="F132" t="inlineStr">
        <is>
          <t>2026-04-27</t>
        </is>
      </c>
      <c r="G132" t="inlineStr">
        <is>
          <t xml:space="preserve"> - Surfer Suite - Beach Hostel</t>
        </is>
      </c>
      <c r="H132">
        <f>HYPERLINK("https://booking.roadsurfer.com/es/rally/pick?pickup_date=2026-04-20&amp;return_date=2026-04-27&amp;currency=EUR&amp;startStation=113&amp;endStation=34", "Clic para verlo en la web de RoadSurfer")</f>
        <v/>
      </c>
    </row>
    <row r="133">
      <c r="A133" t="inlineStr">
        <is>
          <t>Alemania</t>
        </is>
      </c>
      <c r="B133" t="inlineStr">
        <is>
          <t>Duisburgo</t>
        </is>
      </c>
      <c r="C133" t="inlineStr">
        <is>
          <t>Italia</t>
        </is>
      </c>
      <c r="D133" t="inlineStr">
        <is>
          <t>Milán</t>
        </is>
      </c>
      <c r="E133" t="inlineStr">
        <is>
          <t>2026-04-23</t>
        </is>
      </c>
      <c r="F133" t="inlineStr">
        <is>
          <t>2026-04-30</t>
        </is>
      </c>
      <c r="G133" t="inlineStr">
        <is>
          <t xml:space="preserve"> - No hay coche</t>
        </is>
      </c>
      <c r="H133">
        <f>HYPERLINK("https://booking.roadsurfer.com/es/rally/pick?pickup_date=2026-04-23&amp;return_date=2026-04-30&amp;currency=EUR&amp;startStation=113&amp;endStation=34", "Clic para verlo en la web de RoadSurfer")</f>
        <v/>
      </c>
    </row>
    <row r="134">
      <c r="A134" t="inlineStr">
        <is>
          <t>Alemania</t>
        </is>
      </c>
      <c r="B134" t="inlineStr">
        <is>
          <t>Duisburgo</t>
        </is>
      </c>
      <c r="C134" t="inlineStr">
        <is>
          <t>Italia</t>
        </is>
      </c>
      <c r="D134" t="inlineStr">
        <is>
          <t>Bérgamo</t>
        </is>
      </c>
      <c r="E134" t="inlineStr">
        <is>
          <t>2026-04-23</t>
        </is>
      </c>
      <c r="F134" t="inlineStr">
        <is>
          <t>2026-04-30</t>
        </is>
      </c>
      <c r="G134" t="inlineStr">
        <is>
          <t xml:space="preserve"> - No hay coche</t>
        </is>
      </c>
      <c r="H134">
        <f>HYPERLINK("https://booking.roadsurfer.com/es/rally/pick?pickup_date=2026-04-23&amp;return_date=2026-04-30&amp;currency=EUR&amp;startStation=113&amp;endStation=94", "Clic para verlo en la web de RoadSurfer")</f>
        <v/>
      </c>
    </row>
    <row r="135">
      <c r="A135" t="inlineStr">
        <is>
          <t>Alemania</t>
        </is>
      </c>
      <c r="B135" t="inlineStr">
        <is>
          <t>Duisburgo</t>
        </is>
      </c>
      <c r="C135" t="inlineStr">
        <is>
          <t>Suecia</t>
        </is>
      </c>
      <c r="D135" t="inlineStr">
        <is>
          <t>Estocolmo</t>
        </is>
      </c>
      <c r="E135" t="inlineStr">
        <is>
          <t>2026-04-27</t>
        </is>
      </c>
      <c r="F135" t="inlineStr">
        <is>
          <t>2026-05-04</t>
        </is>
      </c>
      <c r="G135" t="inlineStr">
        <is>
          <t xml:space="preserve"> - Family Finca</t>
        </is>
      </c>
      <c r="H135">
        <f>HYPERLINK("https://booking.roadsurfer.com/es/rally/pick?pickup_date=2026-04-27&amp;return_date=2026-05-04&amp;currency=EUR&amp;startStation=113&amp;endStation=59",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Bélgica</t>
        </is>
      </c>
      <c r="D136" t="inlineStr">
        <is>
          <t>Amberes</t>
        </is>
      </c>
      <c r="E136" t="inlineStr">
        <is>
          <t>2026-04-08</t>
        </is>
      </c>
      <c r="F136" t="inlineStr">
        <is>
          <t>2026-04-15</t>
        </is>
      </c>
      <c r="G136" t="inlineStr">
        <is>
          <t xml:space="preserve"> - Family Finca</t>
        </is>
      </c>
      <c r="H136">
        <f>HYPERLINK("https://booking.roadsurfer.com/es/rally/pick?pickup_date=2026-04-08&amp;return_date=2026-04-15&amp;currency=EUR&amp;startStation=90&amp;endStation=47",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Bélgica</t>
        </is>
      </c>
      <c r="D137" t="inlineStr">
        <is>
          <t>Amberes</t>
        </is>
      </c>
      <c r="E137" t="inlineStr">
        <is>
          <t>2026-04-13</t>
        </is>
      </c>
      <c r="F137" t="inlineStr">
        <is>
          <t>2026-04-20</t>
        </is>
      </c>
      <c r="G137" t="inlineStr">
        <is>
          <t xml:space="preserve"> - Surfer Suite</t>
        </is>
      </c>
      <c r="H137">
        <f>HYPERLINK("https://booking.roadsurfer.com/es/rally/pick?pickup_date=2026-04-13&amp;return_date=2026-04-20&amp;currency=EUR&amp;startStation=90&amp;endStation=47",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Austria</t>
        </is>
      </c>
      <c r="D138" t="inlineStr">
        <is>
          <t>Linz</t>
        </is>
      </c>
      <c r="E138" t="inlineStr">
        <is>
          <t>2026-04-09</t>
        </is>
      </c>
      <c r="F138" t="inlineStr">
        <is>
          <t>2026-04-16</t>
        </is>
      </c>
      <c r="G138" t="inlineStr">
        <is>
          <t xml:space="preserve"> - Surfer Suite</t>
        </is>
      </c>
      <c r="H138">
        <f>HYPERLINK("https://booking.roadsurfer.com/es/rally/pick?pickup_date=2026-04-09&amp;return_date=2026-04-16&amp;currency=EUR&amp;startStation=90&amp;endStation=116",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Austria</t>
        </is>
      </c>
      <c r="D139" t="inlineStr">
        <is>
          <t>Graz</t>
        </is>
      </c>
      <c r="E139" t="inlineStr">
        <is>
          <t>2026-04-04</t>
        </is>
      </c>
      <c r="F139" t="inlineStr">
        <is>
          <t>2026-04-11</t>
        </is>
      </c>
      <c r="G139" t="inlineStr">
        <is>
          <t xml:space="preserve"> - Surfer Suite</t>
        </is>
      </c>
      <c r="H139">
        <f>HYPERLINK("https://booking.roadsurfer.com/es/rally/pick?pickup_date=2026-04-04&amp;return_date=2026-04-11&amp;currency=EUR&amp;startStation=90&amp;endStation=37",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Austria</t>
        </is>
      </c>
      <c r="D140" t="inlineStr">
        <is>
          <t>Graz</t>
        </is>
      </c>
      <c r="E140" t="inlineStr">
        <is>
          <t>2026-04-02</t>
        </is>
      </c>
      <c r="F140" t="inlineStr">
        <is>
          <t>2026-04-09</t>
        </is>
      </c>
      <c r="G140" t="inlineStr">
        <is>
          <t xml:space="preserve"> - Surfer Suite</t>
        </is>
      </c>
      <c r="H140">
        <f>HYPERLINK("https://booking.roadsurfer.com/es/rally/pick?pickup_date=2026-04-02&amp;return_date=2026-04-09&amp;currency=EUR&amp;startStation=90&amp;endStation=37",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Austria</t>
        </is>
      </c>
      <c r="D141" t="inlineStr">
        <is>
          <t>Graz</t>
        </is>
      </c>
      <c r="E141" t="inlineStr">
        <is>
          <t>2026-05-06</t>
        </is>
      </c>
      <c r="F141" t="inlineStr">
        <is>
          <t>2026-05-13</t>
        </is>
      </c>
      <c r="G141" t="inlineStr">
        <is>
          <t xml:space="preserve"> - Surfer Suite</t>
        </is>
      </c>
      <c r="H141">
        <f>HYPERLINK("https://booking.roadsurfer.com/es/rally/pick?pickup_date=2026-05-06&amp;return_date=2026-05-13&amp;currency=EUR&amp;startStation=90&amp;endStation=37",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Francia</t>
        </is>
      </c>
      <c r="D142" t="inlineStr">
        <is>
          <t>París Aeropuerto CDG</t>
        </is>
      </c>
      <c r="E142" t="inlineStr">
        <is>
          <t>2026-04-02</t>
        </is>
      </c>
      <c r="F142" t="inlineStr">
        <is>
          <t>2026-04-09</t>
        </is>
      </c>
      <c r="G142" t="inlineStr">
        <is>
          <t xml:space="preserve"> - Surfer Suite</t>
        </is>
      </c>
      <c r="H142">
        <f>HYPERLINK("https://booking.roadsurfer.com/es/rally/pick?pickup_date=2026-04-02&amp;return_date=2026-04-09&amp;currency=EUR&amp;startStation=90&amp;endStation=48",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Francia</t>
        </is>
      </c>
      <c r="D143" t="inlineStr">
        <is>
          <t>París Aeropuerto CDG</t>
        </is>
      </c>
      <c r="E143" t="inlineStr">
        <is>
          <t>2026-04-09</t>
        </is>
      </c>
      <c r="F143" t="inlineStr">
        <is>
          <t>2026-04-16</t>
        </is>
      </c>
      <c r="G143" t="inlineStr">
        <is>
          <t xml:space="preserve"> - Beach Hostel</t>
        </is>
      </c>
      <c r="H143">
        <f>HYPERLINK("https://booking.roadsurfer.com/es/rally/pick?pickup_date=2026-04-09&amp;return_date=2026-04-16&amp;currency=EUR&amp;startStation=90&amp;endStation=48",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Suecia</t>
        </is>
      </c>
      <c r="D144" t="inlineStr">
        <is>
          <t>Estocolmo</t>
        </is>
      </c>
      <c r="E144" t="inlineStr">
        <is>
          <t>2026-04-30</t>
        </is>
      </c>
      <c r="F144" t="inlineStr">
        <is>
          <t>2026-05-07</t>
        </is>
      </c>
      <c r="G144" t="inlineStr">
        <is>
          <t xml:space="preserve"> - Sunrise Suite</t>
        </is>
      </c>
      <c r="H144">
        <f>HYPERLINK("https://booking.roadsurfer.com/es/rally/pick?pickup_date=2026-04-30&amp;return_date=2026-05-07&amp;currency=EUR&amp;startStation=90&amp;endStation=59",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Suecia</t>
        </is>
      </c>
      <c r="D145" t="inlineStr">
        <is>
          <t>Estocolmo</t>
        </is>
      </c>
      <c r="E145" t="inlineStr">
        <is>
          <t>2026-05-07</t>
        </is>
      </c>
      <c r="F145" t="inlineStr">
        <is>
          <t>2026-05-14</t>
        </is>
      </c>
      <c r="G145" t="inlineStr">
        <is>
          <t xml:space="preserve"> - No hay coche</t>
        </is>
      </c>
      <c r="H145">
        <f>HYPERLINK("https://booking.roadsurfer.com/es/rally/pick?pickup_date=2026-05-07&amp;return_date=2026-05-14&amp;currency=EUR&amp;startStation=90&amp;endStation=59",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Suecia</t>
        </is>
      </c>
      <c r="D146" t="inlineStr">
        <is>
          <t>Estocolmo</t>
        </is>
      </c>
      <c r="E146" t="inlineStr">
        <is>
          <t>2026-05-06</t>
        </is>
      </c>
      <c r="F146" t="inlineStr">
        <is>
          <t>2026-05-13</t>
        </is>
      </c>
      <c r="G146" t="inlineStr">
        <is>
          <t xml:space="preserve"> - Road House</t>
        </is>
      </c>
      <c r="H146">
        <f>HYPERLINK("https://booking.roadsurfer.com/es/rally/pick?pickup_date=2026-05-06&amp;return_date=2026-05-13&amp;currency=EUR&amp;startStation=90&amp;endStation=59",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Bélgica</t>
        </is>
      </c>
      <c r="D147" t="inlineStr">
        <is>
          <t>Bruselas</t>
        </is>
      </c>
      <c r="E147" t="inlineStr">
        <is>
          <t>2026-04-08</t>
        </is>
      </c>
      <c r="F147" t="inlineStr">
        <is>
          <t>2026-04-15</t>
        </is>
      </c>
      <c r="G147" t="inlineStr">
        <is>
          <t xml:space="preserve"> - SURFER SUITE</t>
        </is>
      </c>
      <c r="H147">
        <f>HYPERLINK("https://booking.roadsurfer.com/es/rally/pick?pickup_date=2026-04-08&amp;return_date=2026-04-15&amp;currency=EUR&amp;startStation=90&amp;endStation=42",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Bélgica</t>
        </is>
      </c>
      <c r="D148" t="inlineStr">
        <is>
          <t>Bruselas</t>
        </is>
      </c>
      <c r="E148" t="inlineStr">
        <is>
          <t>2026-04-23</t>
        </is>
      </c>
      <c r="F148" t="inlineStr">
        <is>
          <t>2026-04-30</t>
        </is>
      </c>
      <c r="G148" t="inlineStr">
        <is>
          <t xml:space="preserve"> - Beach Hostel</t>
        </is>
      </c>
      <c r="H148">
        <f>HYPERLINK("https://booking.roadsurfer.com/es/rally/pick?pickup_date=2026-04-23&amp;return_date=2026-04-30&amp;currency=EUR&amp;startStation=90&amp;endStation=42",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Francia</t>
        </is>
      </c>
      <c r="D149" t="inlineStr">
        <is>
          <t>Estrasburgo</t>
        </is>
      </c>
      <c r="E149" t="inlineStr">
        <is>
          <t>2026-05-08</t>
        </is>
      </c>
      <c r="F149" t="inlineStr">
        <is>
          <t>2026-05-15</t>
        </is>
      </c>
      <c r="G149" t="inlineStr">
        <is>
          <t xml:space="preserve"> - Beach Hostel</t>
        </is>
      </c>
      <c r="H149">
        <f>HYPERLINK("https://booking.roadsurfer.com/es/rally/pick?pickup_date=2026-05-08&amp;return_date=2026-05-15&amp;currency=EUR&amp;startStation=90&amp;endStation=49",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Francia</t>
        </is>
      </c>
      <c r="D150" t="inlineStr">
        <is>
          <t>Estrasburgo</t>
        </is>
      </c>
      <c r="E150" t="inlineStr">
        <is>
          <t>2026-04-13</t>
        </is>
      </c>
      <c r="F150" t="inlineStr">
        <is>
          <t>2026-04-20</t>
        </is>
      </c>
      <c r="G150" t="inlineStr">
        <is>
          <t xml:space="preserve"> - BEACH HOSTEL</t>
        </is>
      </c>
      <c r="H150">
        <f>HYPERLINK("https://booking.roadsurfer.com/es/rally/pick?pickup_date=2026-04-13&amp;return_date=2026-04-20&amp;currency=EUR&amp;startStation=90&amp;endStation=49", "Clic para verlo en la web de RoadSurfer")</f>
        <v/>
      </c>
    </row>
    <row r="151">
      <c r="A151" t="inlineStr">
        <is>
          <t>Alemania</t>
        </is>
      </c>
      <c r="B151" t="inlineStr">
        <is>
          <t>Erfurt</t>
        </is>
      </c>
      <c r="C151" t="inlineStr">
        <is>
          <t>Francia</t>
        </is>
      </c>
      <c r="D151" t="inlineStr">
        <is>
          <t>Lyon</t>
        </is>
      </c>
      <c r="E151" t="inlineStr">
        <is>
          <t>2026-04-13</t>
        </is>
      </c>
      <c r="F151" t="inlineStr">
        <is>
          <t>2026-04-20</t>
        </is>
      </c>
      <c r="G151" t="inlineStr">
        <is>
          <t xml:space="preserve"> - Beach Hostel</t>
        </is>
      </c>
      <c r="H151">
        <f>HYPERLINK("https://booking.roadsurfer.com/es/rally/pick?pickup_date=2026-04-13&amp;return_date=2026-04-20&amp;currency=EUR&amp;startStation=90&amp;endStation=15", "Clic para verlo en la web de RoadSurfer")</f>
        <v/>
      </c>
    </row>
    <row r="152">
      <c r="A152" t="inlineStr">
        <is>
          <t>Alemania</t>
        </is>
      </c>
      <c r="B152" t="inlineStr">
        <is>
          <t>Erfurt</t>
        </is>
      </c>
      <c r="C152" t="inlineStr">
        <is>
          <t>Francia</t>
        </is>
      </c>
      <c r="D152" t="inlineStr">
        <is>
          <t>Burdeos</t>
        </is>
      </c>
      <c r="E152" t="inlineStr">
        <is>
          <t>2026-05-05</t>
        </is>
      </c>
      <c r="F152" t="inlineStr">
        <is>
          <t>2026-05-12</t>
        </is>
      </c>
      <c r="G152" t="inlineStr">
        <is>
          <t xml:space="preserve"> - Travel Home</t>
        </is>
      </c>
      <c r="H152">
        <f>HYPERLINK("https://booking.roadsurfer.com/es/rally/pick?pickup_date=2026-05-05&amp;return_date=2026-05-12&amp;currency=EUR&amp;startStation=90&amp;endStation=13", "Clic para verlo en la web de RoadSurfer")</f>
        <v/>
      </c>
    </row>
    <row r="153">
      <c r="A153" t="inlineStr">
        <is>
          <t>Alemania</t>
        </is>
      </c>
      <c r="B153" t="inlineStr">
        <is>
          <t>Erfurt</t>
        </is>
      </c>
      <c r="C153" t="inlineStr">
        <is>
          <t>Austria</t>
        </is>
      </c>
      <c r="D153" t="inlineStr">
        <is>
          <t>Viena Sur</t>
        </is>
      </c>
      <c r="E153" t="inlineStr">
        <is>
          <t>2026-04-10</t>
        </is>
      </c>
      <c r="F153" t="inlineStr">
        <is>
          <t>2026-04-17</t>
        </is>
      </c>
      <c r="G153" t="inlineStr">
        <is>
          <t xml:space="preserve"> - Camper Cabin</t>
        </is>
      </c>
      <c r="H153">
        <f>HYPERLINK("https://booking.roadsurfer.com/es/rally/pick?pickup_date=2026-04-10&amp;return_date=2026-04-17&amp;currency=EUR&amp;startStation=90&amp;endStation=45", "Clic para verlo en la web de RoadSurfer")</f>
        <v/>
      </c>
    </row>
    <row r="154">
      <c r="A154" t="inlineStr">
        <is>
          <t>Alemania</t>
        </is>
      </c>
      <c r="B154" t="inlineStr">
        <is>
          <t>Erfurt</t>
        </is>
      </c>
      <c r="C154" t="inlineStr">
        <is>
          <t>Francia</t>
        </is>
      </c>
      <c r="D154" t="inlineStr">
        <is>
          <t>París Sur (Orly)</t>
        </is>
      </c>
      <c r="E154" t="inlineStr">
        <is>
          <t>2026-04-07</t>
        </is>
      </c>
      <c r="F154" t="inlineStr">
        <is>
          <t>2026-04-14</t>
        </is>
      </c>
      <c r="G154" t="inlineStr">
        <is>
          <t xml:space="preserve"> - Road House</t>
        </is>
      </c>
      <c r="H154">
        <f>HYPERLINK("https://booking.roadsurfer.com/es/rally/pick?pickup_date=2026-04-07&amp;return_date=2026-04-14&amp;currency=EUR&amp;startStation=90&amp;endStation=12", "Clic para verlo en la web de RoadSurfer")</f>
        <v/>
      </c>
    </row>
    <row r="155">
      <c r="A155" t="inlineStr">
        <is>
          <t>Alemania</t>
        </is>
      </c>
      <c r="B155" t="inlineStr">
        <is>
          <t>Erfurt</t>
        </is>
      </c>
      <c r="C155" t="inlineStr">
        <is>
          <t>Suecia</t>
        </is>
      </c>
      <c r="D155" t="inlineStr">
        <is>
          <t>Gotemburgo</t>
        </is>
      </c>
      <c r="E155" t="inlineStr">
        <is>
          <t>2026-04-14</t>
        </is>
      </c>
      <c r="F155" t="inlineStr">
        <is>
          <t>2026-04-21</t>
        </is>
      </c>
      <c r="G155" t="inlineStr">
        <is>
          <t xml:space="preserve"> - Road House</t>
        </is>
      </c>
      <c r="H155">
        <f>HYPERLINK("https://booking.roadsurfer.com/es/rally/pick?pickup_date=2026-04-14&amp;return_date=2026-04-21&amp;currency=EUR&amp;startStation=90&amp;endStation=77", "Clic para verlo en la web de RoadSurfer")</f>
        <v/>
      </c>
    </row>
    <row r="156">
      <c r="A156" t="inlineStr">
        <is>
          <t>Alemania</t>
        </is>
      </c>
      <c r="B156" t="inlineStr">
        <is>
          <t>Erfurt</t>
        </is>
      </c>
      <c r="C156" t="inlineStr">
        <is>
          <t>Alemania</t>
        </is>
      </c>
      <c r="D156" t="inlineStr">
        <is>
          <t>Augsburgo</t>
        </is>
      </c>
      <c r="E156" t="inlineStr">
        <is>
          <t>2026-04-04</t>
        </is>
      </c>
      <c r="F156" t="inlineStr">
        <is>
          <t>2026-04-11</t>
        </is>
      </c>
      <c r="G156" t="inlineStr">
        <is>
          <t xml:space="preserve"> - Road House</t>
        </is>
      </c>
      <c r="H156">
        <f>HYPERLINK("https://booking.roadsurfer.com/es/rally/pick?pickup_date=2026-04-04&amp;return_date=2026-04-11&amp;currency=EUR&amp;startStation=90&amp;endStation=108", "Clic para verlo en la web de RoadSurfer")</f>
        <v/>
      </c>
    </row>
    <row r="157">
      <c r="A157" t="inlineStr">
        <is>
          <t>Italia</t>
        </is>
      </c>
      <c r="B157" t="inlineStr">
        <is>
          <t>Florencia</t>
        </is>
      </c>
      <c r="C157" t="inlineStr">
        <is>
          <t>Alemania</t>
        </is>
      </c>
      <c r="D157" t="inlineStr">
        <is>
          <t>Bochum</t>
        </is>
      </c>
      <c r="E157" t="inlineStr">
        <is>
          <t>2026-03-26</t>
        </is>
      </c>
      <c r="F157" t="inlineStr">
        <is>
          <t>2026-04-02</t>
        </is>
      </c>
      <c r="G157" t="inlineStr">
        <is>
          <t xml:space="preserve"> - Surfer Suite</t>
        </is>
      </c>
      <c r="H157">
        <f>HYPERLINK("https://booking.roadsurfer.com/es/rally/pick?pickup_date=2026-03-26&amp;return_date=2026-04-02&amp;currency=EUR&amp;startStation=80&amp;endStation=24", "Clic para verlo en la web de RoadSurfer")</f>
        <v/>
      </c>
    </row>
    <row r="158">
      <c r="A158" t="inlineStr">
        <is>
          <t>Italia</t>
        </is>
      </c>
      <c r="B158" t="inlineStr">
        <is>
          <t>Florencia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2026-04-02</t>
        </is>
      </c>
      <c r="F158" t="inlineStr">
        <is>
          <t>2026-04-09</t>
        </is>
      </c>
      <c r="G158" t="inlineStr">
        <is>
          <t xml:space="preserve"> - Road House</t>
        </is>
      </c>
      <c r="H158">
        <f>HYPERLINK("https://booking.roadsurfer.com/es/rally/pick?pickup_date=2026-04-02&amp;return_date=2026-04-09&amp;currency=EUR&amp;startStation=80&amp;endStation=22", "Clic para verlo en la web de RoadSurfer")</f>
        <v/>
      </c>
    </row>
    <row r="159">
      <c r="A159" t="inlineStr">
        <is>
          <t>Italia</t>
        </is>
      </c>
      <c r="B159" t="inlineStr">
        <is>
          <t>Florencia</t>
        </is>
      </c>
      <c r="C159" t="inlineStr">
        <is>
          <t>Alemania</t>
        </is>
      </c>
      <c r="D159" t="inlineStr">
        <is>
          <t>Stuttgart</t>
        </is>
      </c>
      <c r="E159" t="inlineStr">
        <is>
          <t>2026-04-02</t>
        </is>
      </c>
      <c r="F159" t="inlineStr">
        <is>
          <t>2026-04-09</t>
        </is>
      </c>
      <c r="G159" t="inlineStr">
        <is>
          <t xml:space="preserve"> - Road House</t>
        </is>
      </c>
      <c r="H159">
        <f>HYPERLINK("https://booking.roadsurfer.com/es/rally/pick?pickup_date=2026-04-02&amp;return_date=2026-04-09&amp;currency=EUR&amp;startStation=80&amp;endStation=5",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España</t>
        </is>
      </c>
      <c r="D160" t="inlineStr">
        <is>
          <t>Bilbao</t>
        </is>
      </c>
      <c r="E160" t="inlineStr">
        <is>
          <t>2026-04-27</t>
        </is>
      </c>
      <c r="F160" t="inlineStr">
        <is>
          <t>2026-05-04</t>
        </is>
      </c>
      <c r="G160" t="inlineStr">
        <is>
          <t xml:space="preserve"> - CAMPER CASTLE</t>
        </is>
      </c>
      <c r="H160">
        <f>HYPERLINK("https://booking.roadsurfer.com/es/rally/pick?pickup_date=2026-04-27&amp;return_date=2026-05-04&amp;currency=EUR&amp;startStation=2&amp;endStation=40",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España</t>
        </is>
      </c>
      <c r="D161" t="inlineStr">
        <is>
          <t>Bilbao</t>
        </is>
      </c>
      <c r="E161" t="inlineStr">
        <is>
          <t>2026-04-23</t>
        </is>
      </c>
      <c r="F161" t="inlineStr">
        <is>
          <t>2026-04-30</t>
        </is>
      </c>
      <c r="G161" t="inlineStr">
        <is>
          <t xml:space="preserve"> - Couple Cottage</t>
        </is>
      </c>
      <c r="H161">
        <f>HYPERLINK("https://booking.roadsurfer.com/es/rally/pick?pickup_date=2026-04-23&amp;return_date=2026-04-30&amp;currency=EUR&amp;startStation=2&amp;endStation=40",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España</t>
        </is>
      </c>
      <c r="D162" t="inlineStr">
        <is>
          <t>Bilbao</t>
        </is>
      </c>
      <c r="E162" t="inlineStr">
        <is>
          <t>2026-05-06</t>
        </is>
      </c>
      <c r="F162" t="inlineStr">
        <is>
          <t>2026-05-13</t>
        </is>
      </c>
      <c r="G162" t="inlineStr">
        <is>
          <t xml:space="preserve"> - Surfer Suite</t>
        </is>
      </c>
      <c r="H162">
        <f>HYPERLINK("https://booking.roadsurfer.com/es/rally/pick?pickup_date=2026-05-06&amp;return_date=2026-05-13&amp;currency=EUR&amp;startStation=2&amp;endStation=40",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España</t>
        </is>
      </c>
      <c r="D163" t="inlineStr">
        <is>
          <t>Barcelona</t>
        </is>
      </c>
      <c r="E163" t="inlineStr">
        <is>
          <t>2026-04-01</t>
        </is>
      </c>
      <c r="F163" t="inlineStr">
        <is>
          <t>2026-04-08</t>
        </is>
      </c>
      <c r="G163" t="inlineStr">
        <is>
          <t xml:space="preserve"> - Surfer Suite</t>
        </is>
      </c>
      <c r="H163">
        <f>HYPERLINK("https://booking.roadsurfer.com/es/rally/pick?pickup_date=2026-04-01&amp;return_date=2026-04-08&amp;currency=EUR&amp;startStation=2&amp;endStation=17",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Italia</t>
        </is>
      </c>
      <c r="D164" t="inlineStr">
        <is>
          <t>Venecia</t>
        </is>
      </c>
      <c r="E164" t="inlineStr">
        <is>
          <t>2026-05-06</t>
        </is>
      </c>
      <c r="F164" t="inlineStr">
        <is>
          <t>2026-05-13</t>
        </is>
      </c>
      <c r="G164" t="inlineStr">
        <is>
          <t xml:space="preserve"> - Surfer Suite</t>
        </is>
      </c>
      <c r="H164">
        <f>HYPERLINK("https://booking.roadsurfer.com/es/rally/pick?pickup_date=2026-05-06&amp;return_date=2026-05-13&amp;currency=EUR&amp;startStation=2&amp;endStation=78",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Italia</t>
        </is>
      </c>
      <c r="D165" t="inlineStr">
        <is>
          <t>Bérgamo</t>
        </is>
      </c>
      <c r="E165" t="inlineStr">
        <is>
          <t>2026-05-04</t>
        </is>
      </c>
      <c r="F165" t="inlineStr">
        <is>
          <t>2026-05-11</t>
        </is>
      </c>
      <c r="G165" t="inlineStr">
        <is>
          <t xml:space="preserve"> - Surfer Suite</t>
        </is>
      </c>
      <c r="H165">
        <f>HYPERLINK("https://booking.roadsurfer.com/es/rally/pick?pickup_date=2026-05-04&amp;return_date=2026-05-11&amp;currency=EUR&amp;startStation=2&amp;endStation=94",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Italia</t>
        </is>
      </c>
      <c r="D166" t="inlineStr">
        <is>
          <t>Bérgamo</t>
        </is>
      </c>
      <c r="E166" t="inlineStr">
        <is>
          <t>2026-04-15</t>
        </is>
      </c>
      <c r="F166" t="inlineStr">
        <is>
          <t>2026-04-22</t>
        </is>
      </c>
      <c r="G166" t="inlineStr">
        <is>
          <t xml:space="preserve"> - Camper Castle</t>
        </is>
      </c>
      <c r="H166">
        <f>HYPERLINK("https://booking.roadsurfer.com/es/rally/pick?pickup_date=2026-04-15&amp;return_date=2026-04-22&amp;currency=EUR&amp;startStation=2&amp;endStation=94",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Francia</t>
        </is>
      </c>
      <c r="D167" t="inlineStr">
        <is>
          <t>París Aeropuerto CDG</t>
        </is>
      </c>
      <c r="E167" t="inlineStr">
        <is>
          <t>2026-04-14</t>
        </is>
      </c>
      <c r="F167" t="inlineStr">
        <is>
          <t>2026-04-21</t>
        </is>
      </c>
      <c r="G167" t="inlineStr">
        <is>
          <t xml:space="preserve"> - Surfer Suite</t>
        </is>
      </c>
      <c r="H167">
        <f>HYPERLINK("https://booking.roadsurfer.com/es/rally/pick?pickup_date=2026-04-14&amp;return_date=2026-04-21&amp;currency=EUR&amp;startStation=2&amp;endStation=48", "Clic para verlo en la web de RoadSurfer")</f>
        <v/>
      </c>
    </row>
    <row r="168">
      <c r="A168" t="inlineStr">
        <is>
          <t>Alemania</t>
        </is>
      </c>
      <c r="B168" t="inlineStr">
        <is>
          <t>Fráncfort</t>
        </is>
      </c>
      <c r="C168" t="inlineStr">
        <is>
          <t>Francia</t>
        </is>
      </c>
      <c r="D168" t="inlineStr">
        <is>
          <t>Ginebra-Pays de Gex (Francia)</t>
        </is>
      </c>
      <c r="E168" t="inlineStr">
        <is>
          <t>2026-04-11</t>
        </is>
      </c>
      <c r="F168" t="inlineStr">
        <is>
          <t>2026-04-18</t>
        </is>
      </c>
      <c r="G168" t="inlineStr">
        <is>
          <t xml:space="preserve"> - Sunrise Suite</t>
        </is>
      </c>
      <c r="H168">
        <f>HYPERLINK("https://booking.roadsurfer.com/es/rally/pick?pickup_date=2026-04-11&amp;return_date=2026-04-18&amp;currency=EUR&amp;startStation=2&amp;endStation=29", "Clic para verlo en la web de RoadSurfer")</f>
        <v/>
      </c>
    </row>
    <row r="169">
      <c r="A169" t="inlineStr">
        <is>
          <t>Alemania</t>
        </is>
      </c>
      <c r="B169" t="inlineStr">
        <is>
          <t>Fráncfort</t>
        </is>
      </c>
      <c r="C169" t="inlineStr">
        <is>
          <t>Francia</t>
        </is>
      </c>
      <c r="D169" t="inlineStr">
        <is>
          <t>Ginebra-Pays de Gex (Francia)</t>
        </is>
      </c>
      <c r="E169" t="inlineStr">
        <is>
          <t>2026-04-13</t>
        </is>
      </c>
      <c r="F169" t="inlineStr">
        <is>
          <t>2026-04-20</t>
        </is>
      </c>
      <c r="G169" t="inlineStr">
        <is>
          <t xml:space="preserve"> - Sunrise Suite</t>
        </is>
      </c>
      <c r="H169">
        <f>HYPERLINK("https://booking.roadsurfer.com/es/rally/pick?pickup_date=2026-04-13&amp;return_date=2026-04-20&amp;currency=EUR&amp;startStation=2&amp;endStation=29", "Clic para verlo en la web de RoadSurfer")</f>
        <v/>
      </c>
    </row>
    <row r="170">
      <c r="A170" t="inlineStr">
        <is>
          <t>Alemania</t>
        </is>
      </c>
      <c r="B170" t="inlineStr">
        <is>
          <t>Fráncfort</t>
        </is>
      </c>
      <c r="C170" t="inlineStr">
        <is>
          <t>Francia</t>
        </is>
      </c>
      <c r="D170" t="inlineStr">
        <is>
          <t>Ginebra-Pays de Gex (Francia)</t>
        </is>
      </c>
      <c r="E170" t="inlineStr">
        <is>
          <t>2026-04-20</t>
        </is>
      </c>
      <c r="F170" t="inlineStr">
        <is>
          <t>2026-04-27</t>
        </is>
      </c>
      <c r="G170" t="inlineStr">
        <is>
          <t xml:space="preserve"> - Surfer Suite</t>
        </is>
      </c>
      <c r="H170">
        <f>HYPERLINK("https://booking.roadsurfer.com/es/rally/pick?pickup_date=2026-04-20&amp;return_date=2026-04-27&amp;currency=EUR&amp;startStation=2&amp;endStation=29", "Clic para verlo en la web de RoadSurfer")</f>
        <v/>
      </c>
    </row>
    <row r="171">
      <c r="A171" t="inlineStr">
        <is>
          <t>Alemania</t>
        </is>
      </c>
      <c r="B171" t="inlineStr">
        <is>
          <t>Fráncfort</t>
        </is>
      </c>
      <c r="C171" t="inlineStr">
        <is>
          <t>Francia</t>
        </is>
      </c>
      <c r="D171" t="inlineStr">
        <is>
          <t>Lyon</t>
        </is>
      </c>
      <c r="E171" t="inlineStr">
        <is>
          <t>2026-05-18</t>
        </is>
      </c>
      <c r="F171" t="inlineStr">
        <is>
          <t>2026-05-25</t>
        </is>
      </c>
      <c r="G171" t="inlineStr">
        <is>
          <t xml:space="preserve"> - No hay coche</t>
        </is>
      </c>
      <c r="H171">
        <f>HYPERLINK("https://booking.roadsurfer.com/es/rally/pick?pickup_date=2026-05-18&amp;return_date=2026-05-25&amp;currency=EUR&amp;startStation=2&amp;endStation=15", "Clic para verlo en la web de RoadSurfer")</f>
        <v/>
      </c>
    </row>
    <row r="172">
      <c r="A172" t="inlineStr">
        <is>
          <t>Alemania</t>
        </is>
      </c>
      <c r="B172" t="inlineStr">
        <is>
          <t>Fráncfort</t>
        </is>
      </c>
      <c r="C172" t="inlineStr">
        <is>
          <t>Francia</t>
        </is>
      </c>
      <c r="D172" t="inlineStr">
        <is>
          <t>Lyon</t>
        </is>
      </c>
      <c r="E172" t="inlineStr">
        <is>
          <t>2026-05-05</t>
        </is>
      </c>
      <c r="F172" t="inlineStr">
        <is>
          <t>2026-05-12</t>
        </is>
      </c>
      <c r="G172" t="inlineStr">
        <is>
          <t xml:space="preserve"> - Beach Hostel</t>
        </is>
      </c>
      <c r="H172">
        <f>HYPERLINK("https://booking.roadsurfer.com/es/rally/pick?pickup_date=2026-05-05&amp;return_date=2026-05-12&amp;currency=EUR&amp;startStation=2&amp;endStation=15", "Clic para verlo en la web de RoadSurfer")</f>
        <v/>
      </c>
    </row>
    <row r="173">
      <c r="A173" t="inlineStr">
        <is>
          <t>Alemania</t>
        </is>
      </c>
      <c r="B173" t="inlineStr">
        <is>
          <t>Fráncfort</t>
        </is>
      </c>
      <c r="C173" t="inlineStr">
        <is>
          <t>Francia</t>
        </is>
      </c>
      <c r="D173" t="inlineStr">
        <is>
          <t>Burdeos</t>
        </is>
      </c>
      <c r="E173" t="inlineStr">
        <is>
          <t>2026-04-28</t>
        </is>
      </c>
      <c r="F173" t="inlineStr">
        <is>
          <t>2026-05-05</t>
        </is>
      </c>
      <c r="G173" t="inlineStr">
        <is>
          <t xml:space="preserve"> - Travel Home</t>
        </is>
      </c>
      <c r="H173">
        <f>HYPERLINK("https://booking.roadsurfer.com/es/rally/pick?pickup_date=2026-04-28&amp;return_date=2026-05-05&amp;currency=EUR&amp;startStation=2&amp;endStation=13", "Clic para verlo en la web de RoadSurfer")</f>
        <v/>
      </c>
    </row>
    <row r="174">
      <c r="A174" t="inlineStr">
        <is>
          <t>Alemania</t>
        </is>
      </c>
      <c r="B174" t="inlineStr">
        <is>
          <t>Fráncfort</t>
        </is>
      </c>
      <c r="C174" t="inlineStr">
        <is>
          <t>Francia</t>
        </is>
      </c>
      <c r="D174" t="inlineStr">
        <is>
          <t>Burdeos</t>
        </is>
      </c>
      <c r="E174" t="inlineStr">
        <is>
          <t>2026-04-06</t>
        </is>
      </c>
      <c r="F174" t="inlineStr">
        <is>
          <t>2026-04-13</t>
        </is>
      </c>
      <c r="G174" t="inlineStr">
        <is>
          <t xml:space="preserve"> - No hay coche</t>
        </is>
      </c>
      <c r="H174">
        <f>HYPERLINK("https://booking.roadsurfer.com/es/rally/pick?pickup_date=2026-04-06&amp;return_date=2026-04-13&amp;currency=EUR&amp;startStation=2&amp;endStation=13", "Clic para verlo en la web de RoadSurfer")</f>
        <v/>
      </c>
    </row>
    <row r="175">
      <c r="A175" t="inlineStr">
        <is>
          <t>Alemania</t>
        </is>
      </c>
      <c r="B175" t="inlineStr">
        <is>
          <t>Fráncfort</t>
        </is>
      </c>
      <c r="C175" t="inlineStr">
        <is>
          <t>Países Bajos</t>
        </is>
      </c>
      <c r="D175" t="inlineStr">
        <is>
          <t>Róterdam</t>
        </is>
      </c>
      <c r="E175" t="inlineStr">
        <is>
          <t>2026-04-13</t>
        </is>
      </c>
      <c r="F175" t="inlineStr">
        <is>
          <t>2026-04-20</t>
        </is>
      </c>
      <c r="G175" t="inlineStr">
        <is>
          <t xml:space="preserve"> - No hay coche</t>
        </is>
      </c>
      <c r="H175">
        <f>HYPERLINK("https://booking.roadsurfer.com/es/rally/pick?pickup_date=2026-04-13&amp;return_date=2026-04-20&amp;currency=EUR&amp;startStation=2&amp;endStation=33", "Clic para verlo en la web de RoadSurfer")</f>
        <v/>
      </c>
    </row>
    <row r="176">
      <c r="A176" t="inlineStr">
        <is>
          <t>Alemania</t>
        </is>
      </c>
      <c r="B176" t="inlineStr">
        <is>
          <t>Fráncfort</t>
        </is>
      </c>
      <c r="C176" t="inlineStr">
        <is>
          <t>España</t>
        </is>
      </c>
      <c r="D176" t="inlineStr">
        <is>
          <t>Madrid</t>
        </is>
      </c>
      <c r="E176" t="inlineStr">
        <is>
          <t>2026-04-08</t>
        </is>
      </c>
      <c r="F176" t="inlineStr">
        <is>
          <t>2026-04-15</t>
        </is>
      </c>
      <c r="G176" t="inlineStr">
        <is>
          <t xml:space="preserve"> - Road House - Camper Castle</t>
        </is>
      </c>
      <c r="H176">
        <f>HYPERLINK("https://booking.roadsurfer.com/es/rally/pick?pickup_date=2026-04-08&amp;return_date=2026-04-15&amp;currency=EUR&amp;startStation=2&amp;endStation=20", "Clic para verlo en la web de RoadSurfer")</f>
        <v/>
      </c>
    </row>
    <row r="177">
      <c r="A177" t="inlineStr">
        <is>
          <t>Alemania</t>
        </is>
      </c>
      <c r="B177" t="inlineStr">
        <is>
          <t>Fráncfort</t>
        </is>
      </c>
      <c r="C177" t="inlineStr">
        <is>
          <t>Francia</t>
        </is>
      </c>
      <c r="D177" t="inlineStr">
        <is>
          <t>Estrasburgo</t>
        </is>
      </c>
      <c r="E177" t="inlineStr">
        <is>
          <t>2026-04-13</t>
        </is>
      </c>
      <c r="F177" t="inlineStr">
        <is>
          <t>2026-04-20</t>
        </is>
      </c>
      <c r="G177" t="inlineStr">
        <is>
          <t xml:space="preserve"> - No hay coche</t>
        </is>
      </c>
      <c r="H177">
        <f>HYPERLINK("https://booking.roadsurfer.com/es/rally/pick?pickup_date=2026-04-13&amp;return_date=2026-04-20&amp;currency=EUR&amp;startStation=2&amp;endStation=49", "Clic para verlo en la web de RoadSurfer")</f>
        <v/>
      </c>
    </row>
    <row r="178">
      <c r="A178" t="inlineStr">
        <is>
          <t>Alemania</t>
        </is>
      </c>
      <c r="B178" t="inlineStr">
        <is>
          <t>Fráncfort</t>
        </is>
      </c>
      <c r="C178" t="inlineStr">
        <is>
          <t>Alemania</t>
        </is>
      </c>
      <c r="D178" t="inlineStr">
        <is>
          <t>Braunschweig</t>
        </is>
      </c>
      <c r="E178" t="inlineStr">
        <is>
          <t>2026-04-20</t>
        </is>
      </c>
      <c r="F178" t="inlineStr">
        <is>
          <t>2026-04-27</t>
        </is>
      </c>
      <c r="G178" t="inlineStr">
        <is>
          <t xml:space="preserve"> - No hay coche</t>
        </is>
      </c>
      <c r="H178">
        <f>HYPERLINK("https://booking.roadsurfer.com/es/rally/pick?pickup_date=2026-04-20&amp;return_date=2026-04-27&amp;currency=EUR&amp;startStation=2&amp;endStation=128", "Clic para verlo en la web de RoadSurfer")</f>
        <v/>
      </c>
    </row>
    <row r="179">
      <c r="A179" t="inlineStr">
        <is>
          <t>Alemania</t>
        </is>
      </c>
      <c r="B179" t="inlineStr">
        <is>
          <t>Fráncfort</t>
        </is>
      </c>
      <c r="C179" t="inlineStr">
        <is>
          <t>Francia</t>
        </is>
      </c>
      <c r="D179" t="inlineStr">
        <is>
          <t>Toulouse</t>
        </is>
      </c>
      <c r="E179" t="inlineStr">
        <is>
          <t>2026-03-31</t>
        </is>
      </c>
      <c r="F179" t="inlineStr">
        <is>
          <t>2026-04-07</t>
        </is>
      </c>
      <c r="G179" t="inlineStr">
        <is>
          <t xml:space="preserve"> - No hay coche</t>
        </is>
      </c>
      <c r="H179">
        <f>HYPERLINK("https://booking.roadsurfer.com/es/rally/pick?pickup_date=2026-03-31&amp;return_date=2026-04-07&amp;currency=EUR&amp;startStation=2&amp;endStation=30", "Clic para verlo en la web de RoadSurfer")</f>
        <v/>
      </c>
    </row>
    <row r="180">
      <c r="A180" t="inlineStr">
        <is>
          <t>Alemania</t>
        </is>
      </c>
      <c r="B180" t="inlineStr">
        <is>
          <t>Fráncfort</t>
        </is>
      </c>
      <c r="C180" t="inlineStr">
        <is>
          <t>España</t>
        </is>
      </c>
      <c r="D180" t="inlineStr">
        <is>
          <t>Málaga</t>
        </is>
      </c>
      <c r="E180" t="inlineStr">
        <is>
          <t>2026-04-28</t>
        </is>
      </c>
      <c r="F180" t="inlineStr">
        <is>
          <t>2026-05-05</t>
        </is>
      </c>
      <c r="G180" t="inlineStr">
        <is>
          <t xml:space="preserve"> - No hay coche</t>
        </is>
      </c>
      <c r="H180">
        <f>HYPERLINK("https://booking.roadsurfer.com/es/rally/pick?pickup_date=2026-04-28&amp;return_date=2026-05-05&amp;currency=EUR&amp;startStation=2&amp;endStation=21", "Clic para verlo en la web de RoadSurfer")</f>
        <v/>
      </c>
    </row>
    <row r="181">
      <c r="A181" t="inlineStr">
        <is>
          <t>Alemania</t>
        </is>
      </c>
      <c r="B181" t="inlineStr">
        <is>
          <t>Fráncfort</t>
        </is>
      </c>
      <c r="C181" t="inlineStr">
        <is>
          <t>Países Bajos</t>
        </is>
      </c>
      <c r="D181" t="inlineStr">
        <is>
          <t>Ámsterdam</t>
        </is>
      </c>
      <c r="E181" t="inlineStr">
        <is>
          <t>2026-04-20</t>
        </is>
      </c>
      <c r="F181" t="inlineStr">
        <is>
          <t>2026-04-27</t>
        </is>
      </c>
      <c r="G181" t="inlineStr">
        <is>
          <t xml:space="preserve"> - No hay coche</t>
        </is>
      </c>
      <c r="H181">
        <f>HYPERLINK("https://booking.roadsurfer.com/es/rally/pick?pickup_date=2026-04-20&amp;return_date=2026-04-27&amp;currency=EUR&amp;startStation=2&amp;endStation=32", "Clic para verlo en la web de RoadSurfer")</f>
        <v/>
      </c>
    </row>
    <row r="182">
      <c r="A182" t="inlineStr">
        <is>
          <t>Alemania</t>
        </is>
      </c>
      <c r="B182" t="inlineStr">
        <is>
          <t>Fráncfort</t>
        </is>
      </c>
      <c r="C182" t="inlineStr">
        <is>
          <t>Italia</t>
        </is>
      </c>
      <c r="D182" t="inlineStr">
        <is>
          <t>Turín</t>
        </is>
      </c>
      <c r="E182" t="inlineStr">
        <is>
          <t>2026-04-15</t>
        </is>
      </c>
      <c r="F182" t="inlineStr">
        <is>
          <t>2026-04-22</t>
        </is>
      </c>
      <c r="G182" t="inlineStr">
        <is>
          <t xml:space="preserve"> - Cozy Cottage</t>
        </is>
      </c>
      <c r="H182">
        <f>HYPERLINK("https://booking.roadsurfer.com/es/rally/pick?pickup_date=2026-04-15&amp;return_date=2026-04-22&amp;currency=EUR&amp;startStation=2&amp;endStation=58", "Clic para verlo en la web de RoadSurfer")</f>
        <v/>
      </c>
    </row>
    <row r="183">
      <c r="A183" t="inlineStr">
        <is>
          <t>Alemania</t>
        </is>
      </c>
      <c r="B183" t="inlineStr">
        <is>
          <t>Friburgo-Basilea (Alemania)</t>
        </is>
      </c>
      <c r="C183" t="inlineStr">
        <is>
          <t>Francia</t>
        </is>
      </c>
      <c r="D183" t="inlineStr">
        <is>
          <t>Lyon</t>
        </is>
      </c>
      <c r="E183" t="inlineStr">
        <is>
          <t>2026-04-28</t>
        </is>
      </c>
      <c r="F183" t="inlineStr">
        <is>
          <t>2026-05-05</t>
        </is>
      </c>
      <c r="G183" t="inlineStr">
        <is>
          <t xml:space="preserve"> - Surfer Suite</t>
        </is>
      </c>
      <c r="H183">
        <f>HYPERLINK("https://booking.roadsurfer.com/es/rally/pick?pickup_date=2026-04-28&amp;return_date=2026-05-05&amp;currency=EUR&amp;startStation=9&amp;endStation=15", "Clic para verlo en la web de RoadSurfer")</f>
        <v/>
      </c>
    </row>
    <row r="184">
      <c r="A184" t="inlineStr">
        <is>
          <t>Alemania</t>
        </is>
      </c>
      <c r="B184" t="inlineStr">
        <is>
          <t>Friburgo-Basilea (Alemania)</t>
        </is>
      </c>
      <c r="C184" t="inlineStr">
        <is>
          <t>Francia</t>
        </is>
      </c>
      <c r="D184" t="inlineStr">
        <is>
          <t>Lyon</t>
        </is>
      </c>
      <c r="E184" t="inlineStr">
        <is>
          <t>2026-04-20</t>
        </is>
      </c>
      <c r="F184" t="inlineStr">
        <is>
          <t>2026-04-27</t>
        </is>
      </c>
      <c r="G184" t="inlineStr">
        <is>
          <t xml:space="preserve"> - No hay coche</t>
        </is>
      </c>
      <c r="H184">
        <f>HYPERLINK("https://booking.roadsurfer.com/es/rally/pick?pickup_date=2026-04-20&amp;return_date=2026-04-27&amp;currency=EUR&amp;startStation=9&amp;endStation=15", "Clic para verlo en la web de RoadSurfer")</f>
        <v/>
      </c>
    </row>
    <row r="185">
      <c r="A185" t="inlineStr">
        <is>
          <t>Alemania</t>
        </is>
      </c>
      <c r="B185" t="inlineStr">
        <is>
          <t>Friburgo-Basilea (Alemania)</t>
        </is>
      </c>
      <c r="C185" t="inlineStr">
        <is>
          <t>España</t>
        </is>
      </c>
      <c r="D185" t="inlineStr">
        <is>
          <t>Bilbao</t>
        </is>
      </c>
      <c r="E185" t="inlineStr">
        <is>
          <t>2026-04-13</t>
        </is>
      </c>
      <c r="F185" t="inlineStr">
        <is>
          <t>2026-04-20</t>
        </is>
      </c>
      <c r="G185" t="inlineStr">
        <is>
          <t xml:space="preserve"> - Camper Cabin</t>
        </is>
      </c>
      <c r="H185">
        <f>HYPERLINK("https://booking.roadsurfer.com/es/rally/pick?pickup_date=2026-04-13&amp;return_date=2026-04-20&amp;currency=EUR&amp;startStation=9&amp;endStation=40", "Clic para verlo en la web de RoadSurfer")</f>
        <v/>
      </c>
    </row>
    <row r="186">
      <c r="A186" t="inlineStr">
        <is>
          <t>Alemania</t>
        </is>
      </c>
      <c r="B186" t="inlineStr">
        <is>
          <t>Friburgo-Basilea (Alemania)</t>
        </is>
      </c>
      <c r="C186" t="inlineStr">
        <is>
          <t>España</t>
        </is>
      </c>
      <c r="D186" t="inlineStr">
        <is>
          <t>Bilbao</t>
        </is>
      </c>
      <c r="E186" t="inlineStr">
        <is>
          <t>2026-04-09</t>
        </is>
      </c>
      <c r="F186" t="inlineStr">
        <is>
          <t>2026-04-16</t>
        </is>
      </c>
      <c r="G186" t="inlineStr">
        <is>
          <t xml:space="preserve"> - Surfer Suite</t>
        </is>
      </c>
      <c r="H186">
        <f>HYPERLINK("https://booking.roadsurfer.com/es/rally/pick?pickup_date=2026-04-09&amp;return_date=2026-04-16&amp;currency=EUR&amp;startStation=9&amp;endStation=40", "Clic para verlo en la web de RoadSurfer")</f>
        <v/>
      </c>
    </row>
    <row r="187">
      <c r="A187" t="inlineStr">
        <is>
          <t>Alemania</t>
        </is>
      </c>
      <c r="B187" t="inlineStr">
        <is>
          <t>Friburgo-Basilea (Alemania)</t>
        </is>
      </c>
      <c r="C187" t="inlineStr">
        <is>
          <t>España</t>
        </is>
      </c>
      <c r="D187" t="inlineStr">
        <is>
          <t>Barcelona</t>
        </is>
      </c>
      <c r="E187" t="inlineStr">
        <is>
          <t>2026-04-20</t>
        </is>
      </c>
      <c r="F187" t="inlineStr">
        <is>
          <t>2026-04-27</t>
        </is>
      </c>
      <c r="G187" t="inlineStr">
        <is>
          <t xml:space="preserve"> - Surfer Suite</t>
        </is>
      </c>
      <c r="H187">
        <f>HYPERLINK("https://booking.roadsurfer.com/es/rally/pick?pickup_date=2026-04-20&amp;return_date=2026-04-27&amp;currency=EUR&amp;startStation=9&amp;endStation=17", "Clic para verlo en la web de RoadSurfer")</f>
        <v/>
      </c>
    </row>
    <row r="188">
      <c r="A188" t="inlineStr">
        <is>
          <t>Alemania</t>
        </is>
      </c>
      <c r="B188" t="inlineStr">
        <is>
          <t>Friburgo-Basilea (Alemania)</t>
        </is>
      </c>
      <c r="C188" t="inlineStr">
        <is>
          <t>España</t>
        </is>
      </c>
      <c r="D188" t="inlineStr">
        <is>
          <t>Barcelona</t>
        </is>
      </c>
      <c r="E188" t="inlineStr">
        <is>
          <t>2026-04-13</t>
        </is>
      </c>
      <c r="F188" t="inlineStr">
        <is>
          <t>2026-04-20</t>
        </is>
      </c>
      <c r="G188" t="inlineStr">
        <is>
          <t xml:space="preserve"> - Surfer Suite</t>
        </is>
      </c>
      <c r="H188">
        <f>HYPERLINK("https://booking.roadsurfer.com/es/rally/pick?pickup_date=2026-04-13&amp;return_date=2026-04-20&amp;currency=EUR&amp;startStation=9&amp;endStation=17", "Clic para verlo en la web de RoadSurfer")</f>
        <v/>
      </c>
    </row>
    <row r="189">
      <c r="A189" t="inlineStr">
        <is>
          <t>Alemania</t>
        </is>
      </c>
      <c r="B189" t="inlineStr">
        <is>
          <t>Friburgo-Basilea (Alemania)</t>
        </is>
      </c>
      <c r="C189" t="inlineStr">
        <is>
          <t>Francia</t>
        </is>
      </c>
      <c r="D189" t="inlineStr">
        <is>
          <t>Ginebra-Pays de Gex (Francia)</t>
        </is>
      </c>
      <c r="E189" t="inlineStr">
        <is>
          <t>2026-04-13</t>
        </is>
      </c>
      <c r="F189" t="inlineStr">
        <is>
          <t>2026-04-20</t>
        </is>
      </c>
      <c r="G189" t="inlineStr">
        <is>
          <t xml:space="preserve"> - Surfer Suite</t>
        </is>
      </c>
      <c r="H189">
        <f>HYPERLINK("https://booking.roadsurfer.com/es/rally/pick?pickup_date=2026-04-13&amp;return_date=2026-04-20&amp;currency=EUR&amp;startStation=9&amp;endStation=29", "Clic para verlo en la web de RoadSurfer")</f>
        <v/>
      </c>
    </row>
    <row r="190">
      <c r="A190" t="inlineStr">
        <is>
          <t>Alemania</t>
        </is>
      </c>
      <c r="B190" t="inlineStr">
        <is>
          <t>Friburgo-Basilea (Alemania)</t>
        </is>
      </c>
      <c r="C190" t="inlineStr">
        <is>
          <t>Francia</t>
        </is>
      </c>
      <c r="D190" t="inlineStr">
        <is>
          <t>Ginebra-Pays de Gex (Francia)</t>
        </is>
      </c>
      <c r="E190" t="inlineStr">
        <is>
          <t>2026-04-14</t>
        </is>
      </c>
      <c r="F190" t="inlineStr">
        <is>
          <t>2026-04-21</t>
        </is>
      </c>
      <c r="G190" t="inlineStr">
        <is>
          <t xml:space="preserve"> - Surfer Suite</t>
        </is>
      </c>
      <c r="H190">
        <f>HYPERLINK("https://booking.roadsurfer.com/es/rally/pick?pickup_date=2026-04-14&amp;return_date=2026-04-21&amp;currency=EUR&amp;startStation=9&amp;endStation=29", "Clic para verlo en la web de RoadSurfer")</f>
        <v/>
      </c>
    </row>
    <row r="191">
      <c r="A191" t="inlineStr">
        <is>
          <t>Alemania</t>
        </is>
      </c>
      <c r="B191" t="inlineStr">
        <is>
          <t>Friburgo-Basilea (Alemania)</t>
        </is>
      </c>
      <c r="C191" t="inlineStr">
        <is>
          <t>Francia</t>
        </is>
      </c>
      <c r="D191" t="inlineStr">
        <is>
          <t>Burdeos</t>
        </is>
      </c>
      <c r="E191" t="inlineStr">
        <is>
          <t>2026-04-01</t>
        </is>
      </c>
      <c r="F191" t="inlineStr">
        <is>
          <t>2026-04-08</t>
        </is>
      </c>
      <c r="G191" t="inlineStr">
        <is>
          <t xml:space="preserve"> - Surfer Suite</t>
        </is>
      </c>
      <c r="H191">
        <f>HYPERLINK("https://booking.roadsurfer.com/es/rally/pick?pickup_date=2026-04-01&amp;return_date=2026-04-08&amp;currency=EUR&amp;startStation=9&amp;endStation=13", "Clic para verlo en la web de RoadSurfer")</f>
        <v/>
      </c>
    </row>
    <row r="192">
      <c r="A192" t="inlineStr">
        <is>
          <t>Alemania</t>
        </is>
      </c>
      <c r="B192" t="inlineStr">
        <is>
          <t>Friburgo-Basilea (Alemania)</t>
        </is>
      </c>
      <c r="C192" t="inlineStr">
        <is>
          <t>Alemania</t>
        </is>
      </c>
      <c r="D192" t="inlineStr">
        <is>
          <t>Berlín-Schönefeld</t>
        </is>
      </c>
      <c r="E192" t="inlineStr">
        <is>
          <t>2026-04-15</t>
        </is>
      </c>
      <c r="F192" t="inlineStr">
        <is>
          <t>2026-04-22</t>
        </is>
      </c>
      <c r="G192" t="inlineStr">
        <is>
          <t xml:space="preserve"> - Travel Home</t>
        </is>
      </c>
      <c r="H192">
        <f>HYPERLINK("https://booking.roadsurfer.com/es/rally/pick?pickup_date=2026-04-15&amp;return_date=2026-04-22&amp;currency=EUR&amp;startStation=9&amp;endStation=51", "Clic para verlo en la web de RoadSurfer")</f>
        <v/>
      </c>
    </row>
    <row r="193">
      <c r="A193" t="inlineStr">
        <is>
          <t>Alemania</t>
        </is>
      </c>
      <c r="B193" t="inlineStr">
        <is>
          <t>Friburgo-Basilea (Alemania)</t>
        </is>
      </c>
      <c r="C193" t="inlineStr">
        <is>
          <t>Alemania</t>
        </is>
      </c>
      <c r="D193" t="inlineStr">
        <is>
          <t>Múnich</t>
        </is>
      </c>
      <c r="E193" t="inlineStr">
        <is>
          <t>2026-04-13</t>
        </is>
      </c>
      <c r="F193" t="inlineStr">
        <is>
          <t>2026-04-20</t>
        </is>
      </c>
      <c r="G193" t="inlineStr">
        <is>
          <t xml:space="preserve"> - Camper Cabin</t>
        </is>
      </c>
      <c r="H193">
        <f>HYPERLINK("https://booking.roadsurfer.com/es/rally/pick?pickup_date=2026-04-13&amp;return_date=2026-04-20&amp;currency=EUR&amp;startStation=9&amp;endStation=1", "Clic para verlo en la web de RoadSurfer")</f>
        <v/>
      </c>
    </row>
    <row r="194">
      <c r="A194" t="inlineStr">
        <is>
          <t>Alemania</t>
        </is>
      </c>
      <c r="B194" t="inlineStr">
        <is>
          <t>Friburgo-Basilea (Alemania)</t>
        </is>
      </c>
      <c r="C194" t="inlineStr">
        <is>
          <t>Alemania</t>
        </is>
      </c>
      <c r="D194" t="inlineStr">
        <is>
          <t>Múnich</t>
        </is>
      </c>
      <c r="E194" t="inlineStr">
        <is>
          <t>2026-04-16</t>
        </is>
      </c>
      <c r="F194" t="inlineStr">
        <is>
          <t>2026-04-23</t>
        </is>
      </c>
      <c r="G194" t="inlineStr">
        <is>
          <t xml:space="preserve"> - Camper Cabin</t>
        </is>
      </c>
      <c r="H194">
        <f>HYPERLINK("https://booking.roadsurfer.com/es/rally/pick?pickup_date=2026-04-16&amp;return_date=2026-04-23&amp;currency=EUR&amp;startStation=9&amp;endStation=1", "Clic para verlo en la web de RoadSurfer")</f>
        <v/>
      </c>
    </row>
    <row r="195">
      <c r="A195" t="inlineStr">
        <is>
          <t>Alemania</t>
        </is>
      </c>
      <c r="B195" t="inlineStr">
        <is>
          <t>Friburgo-Basilea (Alemania)</t>
        </is>
      </c>
      <c r="C195" t="inlineStr">
        <is>
          <t>Francia</t>
        </is>
      </c>
      <c r="D195" t="inlineStr">
        <is>
          <t>Aix-Marsella</t>
        </is>
      </c>
      <c r="E195" t="inlineStr">
        <is>
          <t>2026-05-07</t>
        </is>
      </c>
      <c r="F195" t="inlineStr">
        <is>
          <t>2026-05-14</t>
        </is>
      </c>
      <c r="G195" t="inlineStr">
        <is>
          <t xml:space="preserve"> - No hay coche</t>
        </is>
      </c>
      <c r="H195">
        <f>HYPERLINK("https://booking.roadsurfer.com/es/rally/pick?pickup_date=2026-05-07&amp;return_date=2026-05-14&amp;currency=EUR&amp;startStation=9&amp;endStation=16", "Clic para verlo en la web de RoadSurfer")</f>
        <v/>
      </c>
    </row>
    <row r="196">
      <c r="A196" t="inlineStr">
        <is>
          <t>Alemania</t>
        </is>
      </c>
      <c r="B196" t="inlineStr">
        <is>
          <t>Friburgo-Basilea (Alemania)</t>
        </is>
      </c>
      <c r="C196" t="inlineStr">
        <is>
          <t>Francia</t>
        </is>
      </c>
      <c r="D196" t="inlineStr">
        <is>
          <t>Nantes</t>
        </is>
      </c>
      <c r="E196" t="inlineStr">
        <is>
          <t>2026-04-04</t>
        </is>
      </c>
      <c r="F196" t="inlineStr">
        <is>
          <t>2026-04-11</t>
        </is>
      </c>
      <c r="G196" t="inlineStr">
        <is>
          <t xml:space="preserve"> - Camper Castle</t>
        </is>
      </c>
      <c r="H196">
        <f>HYPERLINK("https://booking.roadsurfer.com/es/rally/pick?pickup_date=2026-04-04&amp;return_date=2026-04-11&amp;currency=EUR&amp;startStation=9&amp;endStation=31", "Clic para verlo en la web de RoadSurfer")</f>
        <v/>
      </c>
    </row>
    <row r="197">
      <c r="A197" t="inlineStr">
        <is>
          <t>Francia</t>
        </is>
      </c>
      <c r="B197" t="inlineStr">
        <is>
          <t>Ginebra-Pays de Gex (Francia)</t>
        </is>
      </c>
      <c r="C197" t="inlineStr">
        <is>
          <t>Alemania</t>
        </is>
      </c>
      <c r="D197" t="inlineStr">
        <is>
          <t>Colonia-Bonn</t>
        </is>
      </c>
      <c r="E197" t="inlineStr">
        <is>
          <t>2026-04-02</t>
        </is>
      </c>
      <c r="F197" t="inlineStr">
        <is>
          <t>2026-04-09</t>
        </is>
      </c>
      <c r="G197" t="inlineStr">
        <is>
          <t xml:space="preserve"> - Surfer Suite</t>
        </is>
      </c>
      <c r="H197">
        <f>HYPERLINK("https://booking.roadsurfer.com/es/rally/pick?pickup_date=2026-04-02&amp;return_date=2026-04-09&amp;currency=EUR&amp;startStation=29&amp;endStation=52", "Clic para verlo en la web de RoadSurfer")</f>
        <v/>
      </c>
    </row>
    <row r="198">
      <c r="A198" t="inlineStr">
        <is>
          <t>Francia</t>
        </is>
      </c>
      <c r="B198" t="inlineStr">
        <is>
          <t>Ginebra-Pays de Gex (Francia)</t>
        </is>
      </c>
      <c r="C198" t="inlineStr">
        <is>
          <t>Alemania</t>
        </is>
      </c>
      <c r="D198" t="inlineStr">
        <is>
          <t>Friburgo-Basilea (Alemania)</t>
        </is>
      </c>
      <c r="E198" t="inlineStr">
        <is>
          <t>2026-04-14</t>
        </is>
      </c>
      <c r="F198" t="inlineStr">
        <is>
          <t>2026-04-21</t>
        </is>
      </c>
      <c r="G198" t="inlineStr">
        <is>
          <t xml:space="preserve"> - Surfer Suite</t>
        </is>
      </c>
      <c r="H198">
        <f>HYPERLINK("https://booking.roadsurfer.com/es/rally/pick?pickup_date=2026-04-14&amp;return_date=2026-04-21&amp;currency=EUR&amp;startStation=29&amp;endStation=9", "Clic para verlo en la web de RoadSurfer")</f>
        <v/>
      </c>
    </row>
    <row r="199">
      <c r="A199" t="inlineStr">
        <is>
          <t>Francia</t>
        </is>
      </c>
      <c r="B199" t="inlineStr">
        <is>
          <t>Ginebra-Pays de Gex (Francia)</t>
        </is>
      </c>
      <c r="C199" t="inlineStr">
        <is>
          <t>Alemania</t>
        </is>
      </c>
      <c r="D199" t="inlineStr">
        <is>
          <t>Dresde</t>
        </is>
      </c>
      <c r="E199" t="inlineStr">
        <is>
          <t>2026-05-04</t>
        </is>
      </c>
      <c r="F199" t="inlineStr">
        <is>
          <t>2026-05-11</t>
        </is>
      </c>
      <c r="G199" t="inlineStr">
        <is>
          <t xml:space="preserve"> - Road House</t>
        </is>
      </c>
      <c r="H199">
        <f>HYPERLINK("https://booking.roadsurfer.com/es/rally/pick?pickup_date=2026-05-04&amp;return_date=2026-05-11&amp;currency=EUR&amp;startStation=29&amp;endStation=56", "Clic para verlo en la web de RoadSurfer")</f>
        <v/>
      </c>
    </row>
    <row r="200">
      <c r="A200" t="inlineStr">
        <is>
          <t>Suecia</t>
        </is>
      </c>
      <c r="B200" t="inlineStr">
        <is>
          <t>Gotemburgo</t>
        </is>
      </c>
      <c r="C200" t="inlineStr">
        <is>
          <t>Alemania</t>
        </is>
      </c>
      <c r="D200" t="inlineStr">
        <is>
          <t>Hamburgo Aeropuerto</t>
        </is>
      </c>
      <c r="E200" t="inlineStr">
        <is>
          <t>2026-04-23</t>
        </is>
      </c>
      <c r="F200" t="inlineStr">
        <is>
          <t>2026-04-30</t>
        </is>
      </c>
      <c r="G200" t="inlineStr">
        <is>
          <t xml:space="preserve"> - Surfer Suite</t>
        </is>
      </c>
      <c r="H200">
        <f>HYPERLINK("https://booking.roadsurfer.com/es/rally/pick?pickup_date=2026-04-23&amp;return_date=2026-04-30&amp;currency=EUR&amp;startStation=77&amp;endStation=65", "Clic para verlo en la web de RoadSurfer")</f>
        <v/>
      </c>
    </row>
    <row r="201">
      <c r="A201" t="inlineStr">
        <is>
          <t>Suecia</t>
        </is>
      </c>
      <c r="B201" t="inlineStr">
        <is>
          <t>Gotemburgo</t>
        </is>
      </c>
      <c r="C201" t="inlineStr">
        <is>
          <t>Alemania</t>
        </is>
      </c>
      <c r="D201" t="inlineStr">
        <is>
          <t>Bremen</t>
        </is>
      </c>
      <c r="E201" t="inlineStr">
        <is>
          <t>2026-04-04</t>
        </is>
      </c>
      <c r="F201" t="inlineStr">
        <is>
          <t>2026-04-11</t>
        </is>
      </c>
      <c r="G201" t="inlineStr">
        <is>
          <t xml:space="preserve"> - Surfer Suite - Road House</t>
        </is>
      </c>
      <c r="H201">
        <f>HYPERLINK("https://booking.roadsurfer.com/es/rally/pick?pickup_date=2026-04-04&amp;return_date=2026-04-11&amp;currency=EUR&amp;startStation=77&amp;endStation=55", "Clic para verlo en la web de RoadSurfer")</f>
        <v/>
      </c>
    </row>
    <row r="202">
      <c r="A202" t="inlineStr">
        <is>
          <t>Suecia</t>
        </is>
      </c>
      <c r="B202" t="inlineStr">
        <is>
          <t>Gotemburgo</t>
        </is>
      </c>
      <c r="C202" t="inlineStr">
        <is>
          <t>Alemania</t>
        </is>
      </c>
      <c r="D202" t="inlineStr">
        <is>
          <t>Bremen</t>
        </is>
      </c>
      <c r="E202" t="inlineStr">
        <is>
          <t>2026-04-02</t>
        </is>
      </c>
      <c r="F202" t="inlineStr">
        <is>
          <t>2026-04-09</t>
        </is>
      </c>
      <c r="G202" t="inlineStr">
        <is>
          <t xml:space="preserve"> - Surfer Suite</t>
        </is>
      </c>
      <c r="H202">
        <f>HYPERLINK("https://booking.roadsurfer.com/es/rally/pick?pickup_date=2026-04-02&amp;return_date=2026-04-09&amp;currency=EUR&amp;startStation=77&amp;endStation=55", "Clic para verlo en la web de RoadSurfer")</f>
        <v/>
      </c>
    </row>
    <row r="203">
      <c r="A203" t="inlineStr">
        <is>
          <t>Suecia</t>
        </is>
      </c>
      <c r="B203" t="inlineStr">
        <is>
          <t>Gotemburgo</t>
        </is>
      </c>
      <c r="C203" t="inlineStr">
        <is>
          <t>Alemania</t>
        </is>
      </c>
      <c r="D203" t="inlineStr">
        <is>
          <t>Bremen</t>
        </is>
      </c>
      <c r="E203" t="inlineStr">
        <is>
          <t>2026-04-07</t>
        </is>
      </c>
      <c r="F203" t="inlineStr">
        <is>
          <t>2026-04-14</t>
        </is>
      </c>
      <c r="G203" t="inlineStr">
        <is>
          <t xml:space="preserve"> - Family Finca</t>
        </is>
      </c>
      <c r="H203">
        <f>HYPERLINK("https://booking.roadsurfer.com/es/rally/pick?pickup_date=2026-04-07&amp;return_date=2026-04-14&amp;currency=EUR&amp;startStation=77&amp;endStation=55", "Clic para verlo en la web de RoadSurfer")</f>
        <v/>
      </c>
    </row>
    <row r="204">
      <c r="A204" t="inlineStr">
        <is>
          <t>Suecia</t>
        </is>
      </c>
      <c r="B204" t="inlineStr">
        <is>
          <t>Gotemburgo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2026-04-08</t>
        </is>
      </c>
      <c r="F204" t="inlineStr">
        <is>
          <t>2026-04-15</t>
        </is>
      </c>
      <c r="G204" t="inlineStr">
        <is>
          <t xml:space="preserve"> - Beach Hostel</t>
        </is>
      </c>
      <c r="H204">
        <f>HYPERLINK("https://booking.roadsurfer.com/es/rally/pick?pickup_date=2026-04-08&amp;return_date=2026-04-15&amp;currency=EUR&amp;startStation=77&amp;endStation=22", "Clic para verlo en la web de RoadSurfer")</f>
        <v/>
      </c>
    </row>
    <row r="205">
      <c r="A205" t="inlineStr">
        <is>
          <t>Suecia</t>
        </is>
      </c>
      <c r="B205" t="inlineStr">
        <is>
          <t>Gotemburgo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2026-04-02</t>
        </is>
      </c>
      <c r="F205" t="inlineStr">
        <is>
          <t>2026-04-09</t>
        </is>
      </c>
      <c r="G205" t="inlineStr">
        <is>
          <t xml:space="preserve"> - Surfer Suite - Beach Hostel</t>
        </is>
      </c>
      <c r="H205">
        <f>HYPERLINK("https://booking.roadsurfer.com/es/rally/pick?pickup_date=2026-04-02&amp;return_date=2026-04-09&amp;currency=EUR&amp;startStation=77&amp;endStation=22", "Clic para verlo en la web de RoadSurfer")</f>
        <v/>
      </c>
    </row>
    <row r="206">
      <c r="A206" t="inlineStr">
        <is>
          <t>Suecia</t>
        </is>
      </c>
      <c r="B206" t="inlineStr">
        <is>
          <t>Gotemburgo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2026-04-04</t>
        </is>
      </c>
      <c r="F206" t="inlineStr">
        <is>
          <t>2026-04-11</t>
        </is>
      </c>
      <c r="G206" t="inlineStr">
        <is>
          <t xml:space="preserve"> - No hay coche</t>
        </is>
      </c>
      <c r="H206">
        <f>HYPERLINK("https://booking.roadsurfer.com/es/rally/pick?pickup_date=2026-04-04&amp;return_date=2026-04-11&amp;currency=EUR&amp;startStation=77&amp;endStation=22", "Clic para verlo en la web de RoadSurfer")</f>
        <v/>
      </c>
    </row>
    <row r="207">
      <c r="A207" t="inlineStr">
        <is>
          <t>Suecia</t>
        </is>
      </c>
      <c r="B207" t="inlineStr">
        <is>
          <t>Gotemburgo</t>
        </is>
      </c>
      <c r="C207" t="inlineStr">
        <is>
          <t>Alemania</t>
        </is>
      </c>
      <c r="D207" t="inlineStr">
        <is>
          <t>Heidelberg</t>
        </is>
      </c>
      <c r="E207" t="inlineStr">
        <is>
          <t>2026-04-01</t>
        </is>
      </c>
      <c r="F207" t="inlineStr">
        <is>
          <t>2026-04-08</t>
        </is>
      </c>
      <c r="G207" t="inlineStr">
        <is>
          <t xml:space="preserve"> - Surfer Suite</t>
        </is>
      </c>
      <c r="H207">
        <f>HYPERLINK("https://booking.roadsurfer.com/es/rally/pick?pickup_date=2026-04-01&amp;return_date=2026-04-08&amp;currency=EUR&amp;startStation=77&amp;endStation=79", "Clic para verlo en la web de RoadSurfer")</f>
        <v/>
      </c>
    </row>
    <row r="208">
      <c r="A208" t="inlineStr">
        <is>
          <t>Suecia</t>
        </is>
      </c>
      <c r="B208" t="inlineStr">
        <is>
          <t>Gotemburgo</t>
        </is>
      </c>
      <c r="C208" t="inlineStr">
        <is>
          <t>Alemania</t>
        </is>
      </c>
      <c r="D208" t="inlineStr">
        <is>
          <t>Maguncia</t>
        </is>
      </c>
      <c r="E208" t="inlineStr">
        <is>
          <t>2026-03-31</t>
        </is>
      </c>
      <c r="F208" t="inlineStr">
        <is>
          <t>2026-04-07</t>
        </is>
      </c>
      <c r="G208" t="inlineStr">
        <is>
          <t xml:space="preserve"> - Surfer Suite - Camper Castle</t>
        </is>
      </c>
      <c r="H208">
        <f>HYPERLINK("https://booking.roadsurfer.com/es/rally/pick?pickup_date=2026-03-31&amp;return_date=2026-04-07&amp;currency=EUR&amp;startStation=77&amp;endStation=54", "Clic para verlo en la web de RoadSurfer")</f>
        <v/>
      </c>
    </row>
    <row r="209">
      <c r="A209" t="inlineStr">
        <is>
          <t>Suecia</t>
        </is>
      </c>
      <c r="B209" t="inlineStr">
        <is>
          <t>Gotemburgo</t>
        </is>
      </c>
      <c r="C209" t="inlineStr">
        <is>
          <t>Alemania</t>
        </is>
      </c>
      <c r="D209" t="inlineStr">
        <is>
          <t>Kiel</t>
        </is>
      </c>
      <c r="E209" t="inlineStr">
        <is>
          <t>2026-04-13</t>
        </is>
      </c>
      <c r="F209" t="inlineStr">
        <is>
          <t>2026-04-20</t>
        </is>
      </c>
      <c r="G209" t="inlineStr">
        <is>
          <t xml:space="preserve"> - Surfer Suite</t>
        </is>
      </c>
      <c r="H209">
        <f>HYPERLINK("https://booking.roadsurfer.com/es/rally/pick?pickup_date=2026-04-13&amp;return_date=2026-04-20&amp;currency=EUR&amp;startStation=77&amp;endStation=111", "Clic para verlo en la web de RoadSurfer")</f>
        <v/>
      </c>
    </row>
    <row r="210">
      <c r="A210" t="inlineStr">
        <is>
          <t>Suecia</t>
        </is>
      </c>
      <c r="B210" t="inlineStr">
        <is>
          <t>Gotemburgo</t>
        </is>
      </c>
      <c r="C210" t="inlineStr">
        <is>
          <t>Alemania</t>
        </is>
      </c>
      <c r="D210" t="inlineStr">
        <is>
          <t>Bielefeld</t>
        </is>
      </c>
      <c r="E210" t="inlineStr">
        <is>
          <t>2026-04-08</t>
        </is>
      </c>
      <c r="F210" t="inlineStr">
        <is>
          <t>2026-04-15</t>
        </is>
      </c>
      <c r="G210" t="inlineStr">
        <is>
          <t xml:space="preserve"> - Beach Hostel</t>
        </is>
      </c>
      <c r="H210">
        <f>HYPERLINK("https://booking.roadsurfer.com/es/rally/pick?pickup_date=2026-04-08&amp;return_date=2026-04-15&amp;currency=EUR&amp;startStation=77&amp;endStation=91", "Clic para verlo en la web de RoadSurfer")</f>
        <v/>
      </c>
    </row>
    <row r="211">
      <c r="A211" t="inlineStr">
        <is>
          <t>Suecia</t>
        </is>
      </c>
      <c r="B211" t="inlineStr">
        <is>
          <t>Gotemburgo</t>
        </is>
      </c>
      <c r="C211" t="inlineStr">
        <is>
          <t>Alemania</t>
        </is>
      </c>
      <c r="D211" t="inlineStr">
        <is>
          <t>Bielefeld</t>
        </is>
      </c>
      <c r="E211" t="inlineStr">
        <is>
          <t>2026-04-04</t>
        </is>
      </c>
      <c r="F211" t="inlineStr">
        <is>
          <t>2026-04-11</t>
        </is>
      </c>
      <c r="G211" t="inlineStr">
        <is>
          <t xml:space="preserve"> - Sunrise Suite</t>
        </is>
      </c>
      <c r="H211">
        <f>HYPERLINK("https://booking.roadsurfer.com/es/rally/pick?pickup_date=2026-04-04&amp;return_date=2026-04-11&amp;currency=EUR&amp;startStation=77&amp;endStation=91", "Clic para verlo en la web de RoadSurfer")</f>
        <v/>
      </c>
    </row>
    <row r="212">
      <c r="A212" t="inlineStr">
        <is>
          <t>Suecia</t>
        </is>
      </c>
      <c r="B212" t="inlineStr">
        <is>
          <t>Gotemburgo</t>
        </is>
      </c>
      <c r="C212" t="inlineStr">
        <is>
          <t>Alemania</t>
        </is>
      </c>
      <c r="D212" t="inlineStr">
        <is>
          <t>Bielefeld</t>
        </is>
      </c>
      <c r="E212" t="inlineStr">
        <is>
          <t>2026-04-01</t>
        </is>
      </c>
      <c r="F212" t="inlineStr">
        <is>
          <t>2026-04-08</t>
        </is>
      </c>
      <c r="G212" t="inlineStr">
        <is>
          <t xml:space="preserve"> - Surfer Suite - Family Finca</t>
        </is>
      </c>
      <c r="H212">
        <f>HYPERLINK("https://booking.roadsurfer.com/es/rally/pick?pickup_date=2026-04-01&amp;return_date=2026-04-08&amp;currency=EUR&amp;startStation=77&amp;endStation=91", "Clic para verlo en la web de RoadSurfer")</f>
        <v/>
      </c>
    </row>
    <row r="213">
      <c r="A213" t="inlineStr">
        <is>
          <t>Suecia</t>
        </is>
      </c>
      <c r="B213" t="inlineStr">
        <is>
          <t>Gotemburgo</t>
        </is>
      </c>
      <c r="C213" t="inlineStr">
        <is>
          <t>Alemania</t>
        </is>
      </c>
      <c r="D213" t="inlineStr">
        <is>
          <t>Bielefeld</t>
        </is>
      </c>
      <c r="E213" t="inlineStr">
        <is>
          <t>2026-04-07</t>
        </is>
      </c>
      <c r="F213" t="inlineStr">
        <is>
          <t>2026-04-14</t>
        </is>
      </c>
      <c r="G213" t="inlineStr">
        <is>
          <t xml:space="preserve"> - Camper Castle</t>
        </is>
      </c>
      <c r="H213">
        <f>HYPERLINK("https://booking.roadsurfer.com/es/rally/pick?pickup_date=2026-04-07&amp;return_date=2026-04-14&amp;currency=EUR&amp;startStation=77&amp;endStation=91", "Clic para verlo en la web de RoadSurfer")</f>
        <v/>
      </c>
    </row>
    <row r="214">
      <c r="A214" t="inlineStr">
        <is>
          <t>Suecia</t>
        </is>
      </c>
      <c r="B214" t="inlineStr">
        <is>
          <t>Gotemburgo</t>
        </is>
      </c>
      <c r="C214" t="inlineStr">
        <is>
          <t>Alemania</t>
        </is>
      </c>
      <c r="D214" t="inlineStr">
        <is>
          <t>Bielefeld</t>
        </is>
      </c>
      <c r="E214" t="inlineStr">
        <is>
          <t>2026-04-14</t>
        </is>
      </c>
      <c r="F214" t="inlineStr">
        <is>
          <t>2026-04-21</t>
        </is>
      </c>
      <c r="G214" t="inlineStr">
        <is>
          <t xml:space="preserve"> - Sunrise Suite</t>
        </is>
      </c>
      <c r="H214">
        <f>HYPERLINK("https://booking.roadsurfer.com/es/rally/pick?pickup_date=2026-04-14&amp;return_date=2026-04-21&amp;currency=EUR&amp;startStation=77&amp;endStation=91", "Clic para verlo en la web de RoadSurfer")</f>
        <v/>
      </c>
    </row>
    <row r="215">
      <c r="A215" t="inlineStr">
        <is>
          <t>Suecia</t>
        </is>
      </c>
      <c r="B215" t="inlineStr">
        <is>
          <t>Gotemburgo</t>
        </is>
      </c>
      <c r="C215" t="inlineStr">
        <is>
          <t>Alemania</t>
        </is>
      </c>
      <c r="D215" t="inlineStr">
        <is>
          <t>Erfurt</t>
        </is>
      </c>
      <c r="E215" t="inlineStr">
        <is>
          <t>2026-04-14</t>
        </is>
      </c>
      <c r="F215" t="inlineStr">
        <is>
          <t>2026-04-21</t>
        </is>
      </c>
      <c r="G215" t="inlineStr">
        <is>
          <t xml:space="preserve"> - Road House</t>
        </is>
      </c>
      <c r="H215">
        <f>HYPERLINK("https://booking.roadsurfer.com/es/rally/pick?pickup_date=2026-04-14&amp;return_date=2026-04-21&amp;currency=EUR&amp;startStation=77&amp;endStation=90", "Clic para verlo en la web de RoadSurfer")</f>
        <v/>
      </c>
    </row>
    <row r="216">
      <c r="A216" t="inlineStr">
        <is>
          <t>Suecia</t>
        </is>
      </c>
      <c r="B216" t="inlineStr">
        <is>
          <t>Gotemburgo</t>
        </is>
      </c>
      <c r="C216" t="inlineStr">
        <is>
          <t>Alemania</t>
        </is>
      </c>
      <c r="D216" t="inlineStr">
        <is>
          <t>Erfurt</t>
        </is>
      </c>
      <c r="E216" t="inlineStr">
        <is>
          <t>2026-04-22</t>
        </is>
      </c>
      <c r="F216" t="inlineStr">
        <is>
          <t>2026-04-29</t>
        </is>
      </c>
      <c r="G216" t="inlineStr">
        <is>
          <t xml:space="preserve"> - Family Finca</t>
        </is>
      </c>
      <c r="H216">
        <f>HYPERLINK("https://booking.roadsurfer.com/es/rally/pick?pickup_date=2026-04-22&amp;return_date=2026-04-29&amp;currency=EUR&amp;startStation=77&amp;endStation=90", "Clic para verlo en la web de RoadSurfer")</f>
        <v/>
      </c>
    </row>
    <row r="217">
      <c r="A217" t="inlineStr">
        <is>
          <t>Suecia</t>
        </is>
      </c>
      <c r="B217" t="inlineStr">
        <is>
          <t>Gotemburgo</t>
        </is>
      </c>
      <c r="C217" t="inlineStr">
        <is>
          <t>Alemania</t>
        </is>
      </c>
      <c r="D217" t="inlineStr">
        <is>
          <t>Karlsruhe</t>
        </is>
      </c>
      <c r="E217" t="inlineStr">
        <is>
          <t>2026-04-15</t>
        </is>
      </c>
      <c r="F217" t="inlineStr">
        <is>
          <t>2026-04-22</t>
        </is>
      </c>
      <c r="G217" t="inlineStr">
        <is>
          <t xml:space="preserve"> - Camper Castle</t>
        </is>
      </c>
      <c r="H217">
        <f>HYPERLINK("https://booking.roadsurfer.com/es/rally/pick?pickup_date=2026-04-15&amp;return_date=2026-04-22&amp;currency=EUR&amp;startStation=77&amp;endStation=110", "Clic para verlo en la web de RoadSurfer")</f>
        <v/>
      </c>
    </row>
    <row r="218">
      <c r="A218" t="inlineStr">
        <is>
          <t>Suecia</t>
        </is>
      </c>
      <c r="B218" t="inlineStr">
        <is>
          <t>Gotemburgo</t>
        </is>
      </c>
      <c r="C218" t="inlineStr">
        <is>
          <t>Alemania</t>
        </is>
      </c>
      <c r="D218" t="inlineStr">
        <is>
          <t>Berlín</t>
        </is>
      </c>
      <c r="E218" t="inlineStr">
        <is>
          <t>2026-04-04</t>
        </is>
      </c>
      <c r="F218" t="inlineStr">
        <is>
          <t>2026-04-11</t>
        </is>
      </c>
      <c r="G218" t="inlineStr">
        <is>
          <t xml:space="preserve"> - Camper Castle</t>
        </is>
      </c>
      <c r="H218">
        <f>HYPERLINK("https://booking.roadsurfer.com/es/rally/pick?pickup_date=2026-04-04&amp;return_date=2026-04-11&amp;currency=EUR&amp;startStation=77&amp;endStation=6", "Clic para verlo en la web de RoadSurfer")</f>
        <v/>
      </c>
    </row>
    <row r="219">
      <c r="A219" t="inlineStr">
        <is>
          <t>Suecia</t>
        </is>
      </c>
      <c r="B219" t="inlineStr">
        <is>
          <t>Gotemburgo</t>
        </is>
      </c>
      <c r="C219" t="inlineStr">
        <is>
          <t>Alemania</t>
        </is>
      </c>
      <c r="D219" t="inlineStr">
        <is>
          <t>Berlín</t>
        </is>
      </c>
      <c r="E219" t="inlineStr">
        <is>
          <t>2026-04-24</t>
        </is>
      </c>
      <c r="F219" t="inlineStr">
        <is>
          <t>2026-05-01</t>
        </is>
      </c>
      <c r="G219" t="inlineStr">
        <is>
          <t xml:space="preserve"> - No hay coche</t>
        </is>
      </c>
      <c r="H219">
        <f>HYPERLINK("https://booking.roadsurfer.com/es/rally/pick?pickup_date=2026-04-24&amp;return_date=2026-05-01&amp;currency=EUR&amp;startStation=77&amp;endStation=6", "Clic para verlo en la web de RoadSurfer")</f>
        <v/>
      </c>
    </row>
    <row r="220">
      <c r="A220" t="inlineStr">
        <is>
          <t>Suecia</t>
        </is>
      </c>
      <c r="B220" t="inlineStr">
        <is>
          <t>Gotemburgo</t>
        </is>
      </c>
      <c r="C220" t="inlineStr">
        <is>
          <t>Alemania</t>
        </is>
      </c>
      <c r="D220" t="inlineStr">
        <is>
          <t>Berlín</t>
        </is>
      </c>
      <c r="E220" t="inlineStr">
        <is>
          <t>2026-04-08</t>
        </is>
      </c>
      <c r="F220" t="inlineStr">
        <is>
          <t>2026-04-15</t>
        </is>
      </c>
      <c r="G220" t="inlineStr">
        <is>
          <t xml:space="preserve"> - Camper Castle</t>
        </is>
      </c>
      <c r="H220">
        <f>HYPERLINK("https://booking.roadsurfer.com/es/rally/pick?pickup_date=2026-04-08&amp;return_date=2026-04-15&amp;currency=EUR&amp;startStation=77&amp;endStation=6", "Clic para verlo en la web de RoadSurfer")</f>
        <v/>
      </c>
    </row>
    <row r="221">
      <c r="A221" t="inlineStr">
        <is>
          <t>Austria</t>
        </is>
      </c>
      <c r="B221" t="inlineStr">
        <is>
          <t>Graz</t>
        </is>
      </c>
      <c r="C221" t="inlineStr">
        <is>
          <t>Alemania</t>
        </is>
      </c>
      <c r="D221" t="inlineStr">
        <is>
          <t>Erfurt</t>
        </is>
      </c>
      <c r="E221" t="inlineStr">
        <is>
          <t>2026-04-08</t>
        </is>
      </c>
      <c r="F221" t="inlineStr">
        <is>
          <t>2026-04-15</t>
        </is>
      </c>
      <c r="G221" t="inlineStr">
        <is>
          <t xml:space="preserve"> - Surfer Suite</t>
        </is>
      </c>
      <c r="H221">
        <f>HYPERLINK("https://booking.roadsurfer.com/es/rally/pick?pickup_date=2026-04-08&amp;return_date=2026-04-15&amp;currency=EUR&amp;startStation=37&amp;endStation=90", "Clic para verlo en la web de RoadSurfer")</f>
        <v/>
      </c>
    </row>
    <row r="222">
      <c r="A222" t="inlineStr">
        <is>
          <t>Austria</t>
        </is>
      </c>
      <c r="B222" t="inlineStr">
        <is>
          <t>Graz</t>
        </is>
      </c>
      <c r="C222" t="inlineStr">
        <is>
          <t>Alemania</t>
        </is>
      </c>
      <c r="D222" t="inlineStr">
        <is>
          <t>Ratisbona</t>
        </is>
      </c>
      <c r="E222" t="inlineStr">
        <is>
          <t>2026-04-27</t>
        </is>
      </c>
      <c r="F222" t="inlineStr">
        <is>
          <t>2026-05-04</t>
        </is>
      </c>
      <c r="G222" t="inlineStr">
        <is>
          <t xml:space="preserve"> - SURFER SUITE</t>
        </is>
      </c>
      <c r="H222">
        <f>HYPERLINK("https://booking.roadsurfer.com/es/rally/pick?pickup_date=2026-04-27&amp;return_date=2026-05-04&amp;currency=EUR&amp;startStation=37&amp;endStation=89", "Clic para verlo en la web de RoadSurfer")</f>
        <v/>
      </c>
    </row>
    <row r="223">
      <c r="A223" t="inlineStr">
        <is>
          <t>Austria</t>
        </is>
      </c>
      <c r="B223" t="inlineStr">
        <is>
          <t>Graz</t>
        </is>
      </c>
      <c r="C223" t="inlineStr">
        <is>
          <t>Alemania</t>
        </is>
      </c>
      <c r="D223" t="inlineStr">
        <is>
          <t>Dresde</t>
        </is>
      </c>
      <c r="E223" t="inlineStr">
        <is>
          <t>2026-04-14</t>
        </is>
      </c>
      <c r="F223" t="inlineStr">
        <is>
          <t>2026-04-21</t>
        </is>
      </c>
      <c r="G223" t="inlineStr">
        <is>
          <t xml:space="preserve"> - Road House</t>
        </is>
      </c>
      <c r="H223">
        <f>HYPERLINK("https://booking.roadsurfer.com/es/rally/pick?pickup_date=2026-04-14&amp;return_date=2026-04-21&amp;currency=EUR&amp;startStation=37&amp;endStation=56", "Clic para verlo en la web de RoadSurfer")</f>
        <v/>
      </c>
    </row>
    <row r="224">
      <c r="A224" t="inlineStr">
        <is>
          <t>Austria</t>
        </is>
      </c>
      <c r="B224" t="inlineStr">
        <is>
          <t>Graz</t>
        </is>
      </c>
      <c r="C224" t="inlineStr">
        <is>
          <t>Alemania</t>
        </is>
      </c>
      <c r="D224" t="inlineStr">
        <is>
          <t>Dresde</t>
        </is>
      </c>
      <c r="E224" t="inlineStr">
        <is>
          <t>2026-04-15</t>
        </is>
      </c>
      <c r="F224" t="inlineStr">
        <is>
          <t>2026-04-22</t>
        </is>
      </c>
      <c r="G224" t="inlineStr">
        <is>
          <t xml:space="preserve"> - Family Finca</t>
        </is>
      </c>
      <c r="H224">
        <f>HYPERLINK("https://booking.roadsurfer.com/es/rally/pick?pickup_date=2026-04-15&amp;return_date=2026-04-22&amp;currency=EUR&amp;startStation=37&amp;endStation=56", "Clic para verlo en la web de RoadSurfer")</f>
        <v/>
      </c>
    </row>
    <row r="225">
      <c r="A225" t="inlineStr">
        <is>
          <t>Austria</t>
        </is>
      </c>
      <c r="B225" t="inlineStr">
        <is>
          <t>Graz</t>
        </is>
      </c>
      <c r="C225" t="inlineStr">
        <is>
          <t>Alemania</t>
        </is>
      </c>
      <c r="D225" t="inlineStr">
        <is>
          <t>Dresde</t>
        </is>
      </c>
      <c r="E225" t="inlineStr">
        <is>
          <t>2026-04-04</t>
        </is>
      </c>
      <c r="F225" t="inlineStr">
        <is>
          <t>2026-04-11</t>
        </is>
      </c>
      <c r="G225" t="inlineStr">
        <is>
          <t xml:space="preserve"> - Camper Castle</t>
        </is>
      </c>
      <c r="H225">
        <f>HYPERLINK("https://booking.roadsurfer.com/es/rally/pick?pickup_date=2026-04-04&amp;return_date=2026-04-11&amp;currency=EUR&amp;startStation=37&amp;endStation=56", "Clic para verlo en la web de RoadSurfer")</f>
        <v/>
      </c>
    </row>
    <row r="226">
      <c r="A226" t="inlineStr">
        <is>
          <t>Austria</t>
        </is>
      </c>
      <c r="B226" t="inlineStr">
        <is>
          <t>Graz</t>
        </is>
      </c>
      <c r="C226" t="inlineStr">
        <is>
          <t>Alemania</t>
        </is>
      </c>
      <c r="D226" t="inlineStr">
        <is>
          <t>Hamburgo</t>
        </is>
      </c>
      <c r="E226" t="inlineStr">
        <is>
          <t>2026-04-07</t>
        </is>
      </c>
      <c r="F226" t="inlineStr">
        <is>
          <t>2026-04-14</t>
        </is>
      </c>
      <c r="G226" t="inlineStr">
        <is>
          <t xml:space="preserve"> - CAMPER CASTLE</t>
        </is>
      </c>
      <c r="H226">
        <f>HYPERLINK("https://booking.roadsurfer.com/es/rally/pick?pickup_date=2026-04-07&amp;return_date=2026-04-14&amp;currency=EUR&amp;startStation=37&amp;endStation=3", "Clic para verlo en la web de RoadSurfer")</f>
        <v/>
      </c>
    </row>
    <row r="227">
      <c r="A227" t="inlineStr">
        <is>
          <t>Alemania</t>
        </is>
      </c>
      <c r="B227" t="inlineStr">
        <is>
          <t>Hamburgo</t>
        </is>
      </c>
      <c r="C227" t="inlineStr">
        <is>
          <t>Suecia</t>
        </is>
      </c>
      <c r="D227" t="inlineStr">
        <is>
          <t>Estocolmo</t>
        </is>
      </c>
      <c r="E227" t="inlineStr">
        <is>
          <t>2026-04-04</t>
        </is>
      </c>
      <c r="F227" t="inlineStr">
        <is>
          <t>2026-04-11</t>
        </is>
      </c>
      <c r="G227" t="inlineStr">
        <is>
          <t xml:space="preserve"> - Surfer Suite</t>
        </is>
      </c>
      <c r="H227">
        <f>HYPERLINK("https://booking.roadsurfer.com/es/rally/pick?pickup_date=2026-04-04&amp;return_date=2026-04-11&amp;currency=EUR&amp;startStation=3&amp;endStation=59", "Clic para verlo en la web de RoadSurfer")</f>
        <v/>
      </c>
    </row>
    <row r="228">
      <c r="A228" t="inlineStr">
        <is>
          <t>Alemania</t>
        </is>
      </c>
      <c r="B228" t="inlineStr">
        <is>
          <t>Hamburgo</t>
        </is>
      </c>
      <c r="C228" t="inlineStr">
        <is>
          <t>Suecia</t>
        </is>
      </c>
      <c r="D228" t="inlineStr">
        <is>
          <t>Estocolmo</t>
        </is>
      </c>
      <c r="E228" t="inlineStr">
        <is>
          <t>2026-04-07</t>
        </is>
      </c>
      <c r="F228" t="inlineStr">
        <is>
          <t>2026-04-14</t>
        </is>
      </c>
      <c r="G228" t="inlineStr">
        <is>
          <t xml:space="preserve"> - Surfer Suite</t>
        </is>
      </c>
      <c r="H228">
        <f>HYPERLINK("https://booking.roadsurfer.com/es/rally/pick?pickup_date=2026-04-07&amp;return_date=2026-04-14&amp;currency=EUR&amp;startStation=3&amp;endStation=59", "Clic para verlo en la web de RoadSurfer")</f>
        <v/>
      </c>
    </row>
    <row r="229">
      <c r="A229" t="inlineStr">
        <is>
          <t>Alemania</t>
        </is>
      </c>
      <c r="B229" t="inlineStr">
        <is>
          <t>Hamburgo</t>
        </is>
      </c>
      <c r="C229" t="inlineStr">
        <is>
          <t>Suecia</t>
        </is>
      </c>
      <c r="D229" t="inlineStr">
        <is>
          <t>Gotemburgo</t>
        </is>
      </c>
      <c r="E229" t="inlineStr">
        <is>
          <t>2026-05-01</t>
        </is>
      </c>
      <c r="F229" t="inlineStr">
        <is>
          <t>2026-05-08</t>
        </is>
      </c>
      <c r="G229" t="inlineStr">
        <is>
          <t xml:space="preserve"> - No hay coche</t>
        </is>
      </c>
      <c r="H229">
        <f>HYPERLINK("https://booking.roadsurfer.com/es/rally/pick?pickup_date=2026-05-01&amp;return_date=2026-05-08&amp;currency=EUR&amp;startStation=3&amp;endStation=77", "Clic para verlo en la web de RoadSurfer")</f>
        <v/>
      </c>
    </row>
    <row r="230">
      <c r="A230" t="inlineStr">
        <is>
          <t>Alemania</t>
        </is>
      </c>
      <c r="B230" t="inlineStr">
        <is>
          <t>Hamburgo</t>
        </is>
      </c>
      <c r="C230" t="inlineStr">
        <is>
          <t>Suecia</t>
        </is>
      </c>
      <c r="D230" t="inlineStr">
        <is>
          <t>Gotemburgo</t>
        </is>
      </c>
      <c r="E230" t="inlineStr">
        <is>
          <t>2026-03-28</t>
        </is>
      </c>
      <c r="F230" t="inlineStr">
        <is>
          <t>2026-04-04</t>
        </is>
      </c>
      <c r="G230" t="inlineStr">
        <is>
          <t xml:space="preserve"> - Surfer Suite</t>
        </is>
      </c>
      <c r="H230">
        <f>HYPERLINK("https://booking.roadsurfer.com/es/rally/pick?pickup_date=2026-03-28&amp;return_date=2026-04-04&amp;currency=EUR&amp;startStation=3&amp;endStation=77", "Clic para verlo en la web de RoadSurfer")</f>
        <v/>
      </c>
    </row>
    <row r="231">
      <c r="A231" t="inlineStr">
        <is>
          <t>Alemania</t>
        </is>
      </c>
      <c r="B231" t="inlineStr">
        <is>
          <t>Hamburgo</t>
        </is>
      </c>
      <c r="C231" t="inlineStr">
        <is>
          <t>España</t>
        </is>
      </c>
      <c r="D231" t="inlineStr">
        <is>
          <t>Bilbao</t>
        </is>
      </c>
      <c r="E231" t="inlineStr">
        <is>
          <t>2026-04-04</t>
        </is>
      </c>
      <c r="F231" t="inlineStr">
        <is>
          <t>2026-04-11</t>
        </is>
      </c>
      <c r="G231" t="inlineStr">
        <is>
          <t xml:space="preserve"> - Beach Hostel</t>
        </is>
      </c>
      <c r="H231">
        <f>HYPERLINK("https://booking.roadsurfer.com/es/rally/pick?pickup_date=2026-04-04&amp;return_date=2026-04-11&amp;currency=EUR&amp;startStation=3&amp;endStation=40", "Clic para verlo en la web de RoadSurfer")</f>
        <v/>
      </c>
    </row>
    <row r="232">
      <c r="A232" t="inlineStr">
        <is>
          <t>Alemania</t>
        </is>
      </c>
      <c r="B232" t="inlineStr">
        <is>
          <t>Hamburgo</t>
        </is>
      </c>
      <c r="C232" t="inlineStr">
        <is>
          <t>Alemania</t>
        </is>
      </c>
      <c r="D232" t="inlineStr">
        <is>
          <t>Colonia-Düsseldorf</t>
        </is>
      </c>
      <c r="E232" t="inlineStr">
        <is>
          <t>2026-05-04</t>
        </is>
      </c>
      <c r="F232" t="inlineStr">
        <is>
          <t>2026-05-11</t>
        </is>
      </c>
      <c r="G232" t="inlineStr">
        <is>
          <t xml:space="preserve"> - Sunrise Suite</t>
        </is>
      </c>
      <c r="H232">
        <f>HYPERLINK("https://booking.roadsurfer.com/es/rally/pick?pickup_date=2026-05-04&amp;return_date=2026-05-11&amp;currency=EUR&amp;startStation=3&amp;endStation=4", "Clic para verlo en la web de RoadSurfer")</f>
        <v/>
      </c>
    </row>
    <row r="233">
      <c r="A233" t="inlineStr">
        <is>
          <t>Alemania</t>
        </is>
      </c>
      <c r="B233" t="inlineStr">
        <is>
          <t>Hannover</t>
        </is>
      </c>
      <c r="C233" t="inlineStr">
        <is>
          <t>Alemania</t>
        </is>
      </c>
      <c r="D233" t="inlineStr">
        <is>
          <t>Aquisgrán</t>
        </is>
      </c>
      <c r="E233" t="inlineStr">
        <is>
          <t>2026-04-20</t>
        </is>
      </c>
      <c r="F233" t="inlineStr">
        <is>
          <t>2026-04-27</t>
        </is>
      </c>
      <c r="G233" t="inlineStr">
        <is>
          <t xml:space="preserve"> - Beach Hostel</t>
        </is>
      </c>
      <c r="H233">
        <f>HYPERLINK("https://booking.roadsurfer.com/es/rally/pick?pickup_date=2026-04-20&amp;return_date=2026-04-27&amp;currency=EUR&amp;startStation=7&amp;endStation=114", "Clic para verlo en la web de RoadSurfer")</f>
        <v/>
      </c>
    </row>
    <row r="234">
      <c r="A234" t="inlineStr">
        <is>
          <t>Alemania</t>
        </is>
      </c>
      <c r="B234" t="inlineStr">
        <is>
          <t>Hannover</t>
        </is>
      </c>
      <c r="C234" t="inlineStr">
        <is>
          <t>Francia</t>
        </is>
      </c>
      <c r="D234" t="inlineStr">
        <is>
          <t>París Sur (Orly)</t>
        </is>
      </c>
      <c r="E234" t="inlineStr">
        <is>
          <t>2026-04-23</t>
        </is>
      </c>
      <c r="F234" t="inlineStr">
        <is>
          <t>2026-04-30</t>
        </is>
      </c>
      <c r="G234" t="inlineStr">
        <is>
          <t xml:space="preserve"> - Family Finca</t>
        </is>
      </c>
      <c r="H234">
        <f>HYPERLINK("https://booking.roadsurfer.com/es/rally/pick?pickup_date=2026-04-23&amp;return_date=2026-04-30&amp;currency=EUR&amp;startStation=7&amp;endStation=12", "Clic para verlo en la web de RoadSurfer")</f>
        <v/>
      </c>
    </row>
    <row r="235">
      <c r="A235" t="inlineStr">
        <is>
          <t>Alemania</t>
        </is>
      </c>
      <c r="B235" t="inlineStr">
        <is>
          <t>Hannover</t>
        </is>
      </c>
      <c r="C235" t="inlineStr">
        <is>
          <t>Suecia</t>
        </is>
      </c>
      <c r="D235" t="inlineStr">
        <is>
          <t>Estocolmo</t>
        </is>
      </c>
      <c r="E235" t="inlineStr">
        <is>
          <t>2026-04-09</t>
        </is>
      </c>
      <c r="F235" t="inlineStr">
        <is>
          <t>2026-04-16</t>
        </is>
      </c>
      <c r="G235" t="inlineStr">
        <is>
          <t xml:space="preserve"> - Couple Cottage</t>
        </is>
      </c>
      <c r="H235">
        <f>HYPERLINK("https://booking.roadsurfer.com/es/rally/pick?pickup_date=2026-04-09&amp;return_date=2026-04-16&amp;currency=EUR&amp;startStation=7&amp;endStation=59", "Clic para verlo en la web de RoadSurfer")</f>
        <v/>
      </c>
    </row>
    <row r="236">
      <c r="A236" t="inlineStr">
        <is>
          <t>Alemania</t>
        </is>
      </c>
      <c r="B236" t="inlineStr">
        <is>
          <t>Heidelberg</t>
        </is>
      </c>
      <c r="C236" t="inlineStr">
        <is>
          <t>España</t>
        </is>
      </c>
      <c r="D236" t="inlineStr">
        <is>
          <t>Bilbao</t>
        </is>
      </c>
      <c r="E236" t="inlineStr">
        <is>
          <t>2026-04-08</t>
        </is>
      </c>
      <c r="F236" t="inlineStr">
        <is>
          <t>2026-04-15</t>
        </is>
      </c>
      <c r="G236" t="inlineStr">
        <is>
          <t xml:space="preserve"> - Surfer Suite</t>
        </is>
      </c>
      <c r="H236">
        <f>HYPERLINK("https://booking.roadsurfer.com/es/rally/pick?pickup_date=2026-04-08&amp;return_date=2026-04-15&amp;currency=EUR&amp;startStation=79&amp;endStation=40", "Clic para verlo en la web de RoadSurfer")</f>
        <v/>
      </c>
    </row>
    <row r="237">
      <c r="A237" t="inlineStr">
        <is>
          <t>Alemania</t>
        </is>
      </c>
      <c r="B237" t="inlineStr">
        <is>
          <t>Heidelberg</t>
        </is>
      </c>
      <c r="C237" t="inlineStr">
        <is>
          <t>Alemania</t>
        </is>
      </c>
      <c r="D237" t="inlineStr">
        <is>
          <t>Tréveris</t>
        </is>
      </c>
      <c r="E237" t="inlineStr">
        <is>
          <t>2026-04-27</t>
        </is>
      </c>
      <c r="F237" t="inlineStr">
        <is>
          <t>2026-05-04</t>
        </is>
      </c>
      <c r="G237" t="inlineStr">
        <is>
          <t xml:space="preserve"> - Surfer Suite</t>
        </is>
      </c>
      <c r="H237">
        <f>HYPERLINK("https://booking.roadsurfer.com/es/rally/pick?pickup_date=2026-04-27&amp;return_date=2026-05-04&amp;currency=EUR&amp;startStation=79&amp;endStation=28", "Clic para verlo en la web de RoadSurfer")</f>
        <v/>
      </c>
    </row>
    <row r="238">
      <c r="A238" t="inlineStr">
        <is>
          <t>Alemania</t>
        </is>
      </c>
      <c r="B238" t="inlineStr">
        <is>
          <t>Heidelberg</t>
        </is>
      </c>
      <c r="C238" t="inlineStr">
        <is>
          <t>Italia</t>
        </is>
      </c>
      <c r="D238" t="inlineStr">
        <is>
          <t>Roma Aeropuerto Fiumicino</t>
        </is>
      </c>
      <c r="E238" t="inlineStr">
        <is>
          <t>2026-04-27</t>
        </is>
      </c>
      <c r="F238" t="inlineStr">
        <is>
          <t>2026-05-04</t>
        </is>
      </c>
      <c r="G238" t="inlineStr">
        <is>
          <t xml:space="preserve"> - Beach Hostel</t>
        </is>
      </c>
      <c r="H238">
        <f>HYPERLINK("https://booking.roadsurfer.com/es/rally/pick?pickup_date=2026-04-27&amp;return_date=2026-05-04&amp;currency=EUR&amp;startStation=79&amp;endStation=35", "Clic para verlo en la web de RoadSurfer")</f>
        <v/>
      </c>
    </row>
    <row r="239">
      <c r="A239" t="inlineStr">
        <is>
          <t>Alemania</t>
        </is>
      </c>
      <c r="B239" t="inlineStr">
        <is>
          <t>Karlsruhe</t>
        </is>
      </c>
      <c r="C239" t="inlineStr">
        <is>
          <t>Francia</t>
        </is>
      </c>
      <c r="D239" t="inlineStr">
        <is>
          <t>Nantes</t>
        </is>
      </c>
      <c r="E239" t="inlineStr">
        <is>
          <t>2026-04-18</t>
        </is>
      </c>
      <c r="F239" t="inlineStr">
        <is>
          <t>2026-04-25</t>
        </is>
      </c>
      <c r="G239" t="inlineStr">
        <is>
          <t xml:space="preserve"> - Camper Castle</t>
        </is>
      </c>
      <c r="H239">
        <f>HYPERLINK("https://booking.roadsurfer.com/es/rally/pick?pickup_date=2026-04-18&amp;return_date=2026-04-25&amp;currency=EUR&amp;startStation=110&amp;endStation=31", "Clic para verlo en la web de RoadSurfer")</f>
        <v/>
      </c>
    </row>
    <row r="240">
      <c r="A240" t="inlineStr">
        <is>
          <t>Alemania</t>
        </is>
      </c>
      <c r="B240" t="inlineStr">
        <is>
          <t>Karlsruhe</t>
        </is>
      </c>
      <c r="C240" t="inlineStr">
        <is>
          <t>Francia</t>
        </is>
      </c>
      <c r="D240" t="inlineStr">
        <is>
          <t>Nantes</t>
        </is>
      </c>
      <c r="E240" t="inlineStr">
        <is>
          <t>2026-04-07</t>
        </is>
      </c>
      <c r="F240" t="inlineStr">
        <is>
          <t>2026-04-14</t>
        </is>
      </c>
      <c r="G240" t="inlineStr">
        <is>
          <t xml:space="preserve"> - Road House</t>
        </is>
      </c>
      <c r="H240">
        <f>HYPERLINK("https://booking.roadsurfer.com/es/rally/pick?pickup_date=2026-04-07&amp;return_date=2026-04-14&amp;currency=EUR&amp;startStation=110&amp;endStation=31", "Clic para verlo en la web de RoadSurfer")</f>
        <v/>
      </c>
    </row>
    <row r="241">
      <c r="A241" t="inlineStr">
        <is>
          <t>Alemania</t>
        </is>
      </c>
      <c r="B241" t="inlineStr">
        <is>
          <t>Karlsruhe</t>
        </is>
      </c>
      <c r="C241" t="inlineStr">
        <is>
          <t>Francia</t>
        </is>
      </c>
      <c r="D241" t="inlineStr">
        <is>
          <t>Nantes</t>
        </is>
      </c>
      <c r="E241" t="inlineStr">
        <is>
          <t>2026-04-01</t>
        </is>
      </c>
      <c r="F241" t="inlineStr">
        <is>
          <t>2026-04-08</t>
        </is>
      </c>
      <c r="G241" t="inlineStr">
        <is>
          <t xml:space="preserve"> - Surfer Suite - Family Finca</t>
        </is>
      </c>
      <c r="H241">
        <f>HYPERLINK("https://booking.roadsurfer.com/es/rally/pick?pickup_date=2026-04-01&amp;return_date=2026-04-08&amp;currency=EUR&amp;startStation=110&amp;endStation=31", "Clic para verlo en la web de RoadSurfer")</f>
        <v/>
      </c>
    </row>
    <row r="242">
      <c r="A242" t="inlineStr">
        <is>
          <t>EE.UU.</t>
        </is>
      </c>
      <c r="B242" t="inlineStr">
        <is>
          <t>Las Vegas</t>
        </is>
      </c>
      <c r="C242" t="inlineStr">
        <is>
          <t>EE.UU.</t>
        </is>
      </c>
      <c r="D242" t="inlineStr">
        <is>
          <t>Seattle</t>
        </is>
      </c>
      <c r="E242" t="inlineStr">
        <is>
          <t>2026-04-13</t>
        </is>
      </c>
      <c r="F242" t="inlineStr">
        <is>
          <t>2026-04-20</t>
        </is>
      </c>
      <c r="G242" t="inlineStr">
        <is>
          <t xml:space="preserve"> - Family Freedom</t>
        </is>
      </c>
      <c r="H242">
        <f>HYPERLINK("https://booking.roadsurfer.com/es/rally/pick?pickup_date=2026-04-13&amp;return_date=2026-04-20&amp;currency=EUR&amp;startStation=76&amp;endStation=107", "Clic para verlo en la web de RoadSurfer")</f>
        <v/>
      </c>
    </row>
    <row r="243">
      <c r="A243" t="inlineStr">
        <is>
          <t>EE.UU.</t>
        </is>
      </c>
      <c r="B243" t="inlineStr">
        <is>
          <t>Las Vegas</t>
        </is>
      </c>
      <c r="C243" t="inlineStr">
        <is>
          <t>EE.UU.</t>
        </is>
      </c>
      <c r="D243" t="inlineStr">
        <is>
          <t>Seattle</t>
        </is>
      </c>
      <c r="E243" t="inlineStr">
        <is>
          <t>2026-04-23</t>
        </is>
      </c>
      <c r="F243" t="inlineStr">
        <is>
          <t>2026-04-30</t>
        </is>
      </c>
      <c r="G243" t="inlineStr">
        <is>
          <t xml:space="preserve"> - Family Freedom</t>
        </is>
      </c>
      <c r="H243">
        <f>HYPERLINK("https://booking.roadsurfer.com/es/rally/pick?pickup_date=2026-04-23&amp;return_date=2026-04-30&amp;currency=EUR&amp;startStation=76&amp;endStation=107", "Clic para verlo en la web de RoadSurfer")</f>
        <v/>
      </c>
    </row>
    <row r="244">
      <c r="A244" t="inlineStr">
        <is>
          <t>EE.UU.</t>
        </is>
      </c>
      <c r="B244" t="inlineStr">
        <is>
          <t>Las Vegas</t>
        </is>
      </c>
      <c r="C244" t="inlineStr">
        <is>
          <t>EE.UU.</t>
        </is>
      </c>
      <c r="D244" t="inlineStr">
        <is>
          <t>Seattle</t>
        </is>
      </c>
      <c r="E244" t="inlineStr">
        <is>
          <t>2026-04-16</t>
        </is>
      </c>
      <c r="F244" t="inlineStr">
        <is>
          <t>2026-04-23</t>
        </is>
      </c>
      <c r="G244" t="inlineStr">
        <is>
          <t xml:space="preserve"> - Family Freedom</t>
        </is>
      </c>
      <c r="H244">
        <f>HYPERLINK("https://booking.roadsurfer.com/es/rally/pick?pickup_date=2026-04-16&amp;return_date=2026-04-23&amp;currency=EUR&amp;startStation=76&amp;endStation=107", "Clic para verlo en la web de RoadSurfer")</f>
        <v/>
      </c>
    </row>
    <row r="245">
      <c r="A245" t="inlineStr">
        <is>
          <t>EE.UU.</t>
        </is>
      </c>
      <c r="B245" t="inlineStr">
        <is>
          <t>Las Vegas</t>
        </is>
      </c>
      <c r="C245" t="inlineStr">
        <is>
          <t>EE.UU.</t>
        </is>
      </c>
      <c r="D245" t="inlineStr">
        <is>
          <t>Denver</t>
        </is>
      </c>
      <c r="E245" t="inlineStr">
        <is>
          <t>2026-04-20</t>
        </is>
      </c>
      <c r="F245" t="inlineStr">
        <is>
          <t>2026-04-27</t>
        </is>
      </c>
      <c r="G245" t="inlineStr">
        <is>
          <t xml:space="preserve"> - Couple Condo</t>
        </is>
      </c>
      <c r="H245">
        <f>HYPERLINK("https://booking.roadsurfer.com/es/rally/pick?pickup_date=2026-04-20&amp;return_date=2026-04-27&amp;currency=EUR&amp;startStation=76&amp;endStation=104", "Clic para verlo en la web de RoadSurfer")</f>
        <v/>
      </c>
    </row>
    <row r="246">
      <c r="A246" t="inlineStr">
        <is>
          <t>EE.UU.</t>
        </is>
      </c>
      <c r="B246" t="inlineStr">
        <is>
          <t>Las Vegas</t>
        </is>
      </c>
      <c r="C246" t="inlineStr">
        <is>
          <t>EE.UU.</t>
        </is>
      </c>
      <c r="D246" t="inlineStr">
        <is>
          <t>Denver</t>
        </is>
      </c>
      <c r="E246" t="inlineStr">
        <is>
          <t>2026-04-29</t>
        </is>
      </c>
      <c r="F246" t="inlineStr">
        <is>
          <t>2026-05-06</t>
        </is>
      </c>
      <c r="G246" t="inlineStr">
        <is>
          <t xml:space="preserve"> - Family Freedom</t>
        </is>
      </c>
      <c r="H246">
        <f>HYPERLINK("https://booking.roadsurfer.com/es/rally/pick?pickup_date=2026-04-29&amp;return_date=2026-05-06&amp;currency=EUR&amp;startStation=76&amp;endStation=104", "Clic para verlo en la web de RoadSurfer")</f>
        <v/>
      </c>
    </row>
    <row r="247">
      <c r="A247" t="inlineStr">
        <is>
          <t>EE.UU.</t>
        </is>
      </c>
      <c r="B247" t="inlineStr">
        <is>
          <t>Las Vegas</t>
        </is>
      </c>
      <c r="C247" t="inlineStr">
        <is>
          <t>EE.UU.</t>
        </is>
      </c>
      <c r="D247" t="inlineStr">
        <is>
          <t>Denver</t>
        </is>
      </c>
      <c r="E247" t="inlineStr">
        <is>
          <t>2026-04-23</t>
        </is>
      </c>
      <c r="F247" t="inlineStr">
        <is>
          <t>2026-04-30</t>
        </is>
      </c>
      <c r="G247" t="inlineStr">
        <is>
          <t xml:space="preserve"> - Family Freedom</t>
        </is>
      </c>
      <c r="H247">
        <f>HYPERLINK("https://booking.roadsurfer.com/es/rally/pick?pickup_date=2026-04-23&amp;return_date=2026-04-30&amp;currency=EUR&amp;startStation=76&amp;endStation=104", "Clic para verlo en la web de RoadSurfer")</f>
        <v/>
      </c>
    </row>
    <row r="248">
      <c r="A248" t="inlineStr">
        <is>
          <t>Alemania</t>
        </is>
      </c>
      <c r="B248" t="inlineStr">
        <is>
          <t>Leipzig</t>
        </is>
      </c>
      <c r="C248" t="inlineStr">
        <is>
          <t>España</t>
        </is>
      </c>
      <c r="D248" t="inlineStr">
        <is>
          <t>Valencia</t>
        </is>
      </c>
      <c r="E248" t="inlineStr">
        <is>
          <t>2026-04-27</t>
        </is>
      </c>
      <c r="F248" t="inlineStr">
        <is>
          <t>2026-05-04</t>
        </is>
      </c>
      <c r="G248" t="inlineStr">
        <is>
          <t xml:space="preserve"> - Beach Hostel</t>
        </is>
      </c>
      <c r="H248">
        <f>HYPERLINK("https://booking.roadsurfer.com/es/rally/pick?pickup_date=2026-04-27&amp;return_date=2026-05-04&amp;currency=EUR&amp;startStation=8&amp;endStation=38", "Clic para verlo en la web de RoadSurfer")</f>
        <v/>
      </c>
    </row>
    <row r="249">
      <c r="A249" t="inlineStr">
        <is>
          <t>Alemania</t>
        </is>
      </c>
      <c r="B249" t="inlineStr">
        <is>
          <t>Leipzig</t>
        </is>
      </c>
      <c r="C249" t="inlineStr">
        <is>
          <t>Países Bajos</t>
        </is>
      </c>
      <c r="D249" t="inlineStr">
        <is>
          <t>Róterdam</t>
        </is>
      </c>
      <c r="E249" t="inlineStr">
        <is>
          <t>2026-04-04</t>
        </is>
      </c>
      <c r="F249" t="inlineStr">
        <is>
          <t>2026-04-11</t>
        </is>
      </c>
      <c r="G249" t="inlineStr">
        <is>
          <t xml:space="preserve"> - Road House</t>
        </is>
      </c>
      <c r="H249">
        <f>HYPERLINK("https://booking.roadsurfer.com/es/rally/pick?pickup_date=2026-04-04&amp;return_date=2026-04-11&amp;currency=EUR&amp;startStation=8&amp;endStation=33", "Clic para verlo en la web de RoadSurfer")</f>
        <v/>
      </c>
    </row>
    <row r="250">
      <c r="A250" t="inlineStr">
        <is>
          <t>Alemania</t>
        </is>
      </c>
      <c r="B250" t="inlineStr">
        <is>
          <t>Leipzig</t>
        </is>
      </c>
      <c r="C250" t="inlineStr">
        <is>
          <t>Austria</t>
        </is>
      </c>
      <c r="D250" t="inlineStr">
        <is>
          <t>Viena Sur</t>
        </is>
      </c>
      <c r="E250" t="inlineStr">
        <is>
          <t>2026-04-02</t>
        </is>
      </c>
      <c r="F250" t="inlineStr">
        <is>
          <t>2026-04-09</t>
        </is>
      </c>
      <c r="G250" t="inlineStr">
        <is>
          <t xml:space="preserve"> - Road House</t>
        </is>
      </c>
      <c r="H250">
        <f>HYPERLINK("https://booking.roadsurfer.com/es/rally/pick?pickup_date=2026-04-02&amp;return_date=2026-04-09&amp;currency=EUR&amp;startStation=8&amp;endStation=45", "Clic para verlo en la web de RoadSurfer")</f>
        <v/>
      </c>
    </row>
    <row r="251">
      <c r="A251" t="inlineStr">
        <is>
          <t>Alemania</t>
        </is>
      </c>
      <c r="B251" t="inlineStr">
        <is>
          <t>Leipzig</t>
        </is>
      </c>
      <c r="C251" t="inlineStr">
        <is>
          <t>Países Bajos</t>
        </is>
      </c>
      <c r="D251" t="inlineStr">
        <is>
          <t>Ámsterdam</t>
        </is>
      </c>
      <c r="E251" t="inlineStr">
        <is>
          <t>2026-04-04</t>
        </is>
      </c>
      <c r="F251" t="inlineStr">
        <is>
          <t>2026-04-11</t>
        </is>
      </c>
      <c r="G251" t="inlineStr">
        <is>
          <t xml:space="preserve"> - Camper Cabin Deluxe</t>
        </is>
      </c>
      <c r="H251">
        <f>HYPERLINK("https://booking.roadsurfer.com/es/rally/pick?pickup_date=2026-04-04&amp;return_date=2026-04-11&amp;currency=EUR&amp;startStation=8&amp;endStation=32", "Clic para verlo en la web de RoadSurfer")</f>
        <v/>
      </c>
    </row>
    <row r="252">
      <c r="A252" t="inlineStr">
        <is>
          <t>Alemania</t>
        </is>
      </c>
      <c r="B252" t="inlineStr">
        <is>
          <t>Leipzig</t>
        </is>
      </c>
      <c r="C252" t="inlineStr">
        <is>
          <t>Países Bajos</t>
        </is>
      </c>
      <c r="D252" t="inlineStr">
        <is>
          <t>Ámsterdam</t>
        </is>
      </c>
      <c r="E252" t="inlineStr">
        <is>
          <t>2026-04-13</t>
        </is>
      </c>
      <c r="F252" t="inlineStr">
        <is>
          <t>2026-04-20</t>
        </is>
      </c>
      <c r="G252" t="inlineStr">
        <is>
          <t xml:space="preserve"> - No hay coche</t>
        </is>
      </c>
      <c r="H252">
        <f>HYPERLINK("https://booking.roadsurfer.com/es/rally/pick?pickup_date=2026-04-13&amp;return_date=2026-04-20&amp;currency=EUR&amp;startStation=8&amp;endStation=32", "Clic para verlo en la web de RoadSurfer")</f>
        <v/>
      </c>
    </row>
    <row r="253">
      <c r="A253" t="inlineStr">
        <is>
          <t>Alemania</t>
        </is>
      </c>
      <c r="B253" t="inlineStr">
        <is>
          <t>Leipzig</t>
        </is>
      </c>
      <c r="C253" t="inlineStr">
        <is>
          <t>Francia</t>
        </is>
      </c>
      <c r="D253" t="inlineStr">
        <is>
          <t>Lille</t>
        </is>
      </c>
      <c r="E253" t="inlineStr">
        <is>
          <t>2026-04-04</t>
        </is>
      </c>
      <c r="F253" t="inlineStr">
        <is>
          <t>2026-04-11</t>
        </is>
      </c>
      <c r="G253" t="inlineStr">
        <is>
          <t xml:space="preserve"> - Family Finca</t>
        </is>
      </c>
      <c r="H253">
        <f>HYPERLINK("https://booking.roadsurfer.com/es/rally/pick?pickup_date=2026-04-04&amp;return_date=2026-04-11&amp;currency=EUR&amp;startStation=8&amp;endStation=87", "Clic para verlo en la web de RoadSurfer")</f>
        <v/>
      </c>
    </row>
    <row r="254">
      <c r="A254" t="inlineStr">
        <is>
          <t>Alemania</t>
        </is>
      </c>
      <c r="B254" t="inlineStr">
        <is>
          <t>Leipzig</t>
        </is>
      </c>
      <c r="C254" t="inlineStr">
        <is>
          <t>Francia</t>
        </is>
      </c>
      <c r="D254" t="inlineStr">
        <is>
          <t>Lille</t>
        </is>
      </c>
      <c r="E254" t="inlineStr">
        <is>
          <t>2026-04-02</t>
        </is>
      </c>
      <c r="F254" t="inlineStr">
        <is>
          <t>2026-04-09</t>
        </is>
      </c>
      <c r="G254" t="inlineStr">
        <is>
          <t xml:space="preserve"> - Road House</t>
        </is>
      </c>
      <c r="H254">
        <f>HYPERLINK("https://booking.roadsurfer.com/es/rally/pick?pickup_date=2026-04-02&amp;return_date=2026-04-09&amp;currency=EUR&amp;startStation=8&amp;endStation=87", "Clic para verlo en la web de RoadSurfer")</f>
        <v/>
      </c>
    </row>
    <row r="255">
      <c r="A255" t="inlineStr">
        <is>
          <t>Alemania</t>
        </is>
      </c>
      <c r="B255" t="inlineStr">
        <is>
          <t>Leipzig</t>
        </is>
      </c>
      <c r="C255" t="inlineStr">
        <is>
          <t>Italia</t>
        </is>
      </c>
      <c r="D255" t="inlineStr">
        <is>
          <t>Bérgamo</t>
        </is>
      </c>
      <c r="E255" t="inlineStr">
        <is>
          <t>2026-04-09</t>
        </is>
      </c>
      <c r="F255" t="inlineStr">
        <is>
          <t>2026-04-16</t>
        </is>
      </c>
      <c r="G255" t="inlineStr">
        <is>
          <t xml:space="preserve"> - Road House</t>
        </is>
      </c>
      <c r="H255">
        <f>HYPERLINK("https://booking.roadsurfer.com/es/rally/pick?pickup_date=2026-04-09&amp;return_date=2026-04-16&amp;currency=EUR&amp;startStation=8&amp;endStation=94", "Clic para verlo en la web de RoadSurfer")</f>
        <v/>
      </c>
    </row>
    <row r="256">
      <c r="A256" t="inlineStr">
        <is>
          <t>Alemania</t>
        </is>
      </c>
      <c r="B256" t="inlineStr">
        <is>
          <t>Leipzig</t>
        </is>
      </c>
      <c r="C256" t="inlineStr">
        <is>
          <t>Austria</t>
        </is>
      </c>
      <c r="D256" t="inlineStr">
        <is>
          <t>Linz</t>
        </is>
      </c>
      <c r="E256" t="inlineStr">
        <is>
          <t>2026-04-20</t>
        </is>
      </c>
      <c r="F256" t="inlineStr">
        <is>
          <t>2026-04-27</t>
        </is>
      </c>
      <c r="G256" t="inlineStr">
        <is>
          <t xml:space="preserve"> - Camper Castle</t>
        </is>
      </c>
      <c r="H256">
        <f>HYPERLINK("https://booking.roadsurfer.com/es/rally/pick?pickup_date=2026-04-20&amp;return_date=2026-04-27&amp;currency=EUR&amp;startStation=8&amp;endStation=116", "Clic para verlo en la web de RoadSurfer")</f>
        <v/>
      </c>
    </row>
    <row r="257">
      <c r="A257" t="inlineStr">
        <is>
          <t>Alemania</t>
        </is>
      </c>
      <c r="B257" t="inlineStr">
        <is>
          <t>Leipzig</t>
        </is>
      </c>
      <c r="C257" t="inlineStr">
        <is>
          <t>Suecia</t>
        </is>
      </c>
      <c r="D257" t="inlineStr">
        <is>
          <t>Gotemburgo</t>
        </is>
      </c>
      <c r="E257" t="inlineStr">
        <is>
          <t>2026-05-13</t>
        </is>
      </c>
      <c r="F257" t="inlineStr">
        <is>
          <t>2026-05-20</t>
        </is>
      </c>
      <c r="G257" t="inlineStr">
        <is>
          <t xml:space="preserve"> - Family Finca</t>
        </is>
      </c>
      <c r="H257">
        <f>HYPERLINK("https://booking.roadsurfer.com/es/rally/pick?pickup_date=2026-05-13&amp;return_date=2026-05-20&amp;currency=EUR&amp;startStation=8&amp;endStation=77", "Clic para verlo en la web de RoadSurfer")</f>
        <v/>
      </c>
    </row>
    <row r="258">
      <c r="A258" t="inlineStr">
        <is>
          <t>Francia</t>
        </is>
      </c>
      <c r="B258" t="inlineStr">
        <is>
          <t>Lille</t>
        </is>
      </c>
      <c r="C258" t="inlineStr">
        <is>
          <t>Alemania</t>
        </is>
      </c>
      <c r="D258" t="inlineStr">
        <is>
          <t>Dresde</t>
        </is>
      </c>
      <c r="E258" t="inlineStr">
        <is>
          <t>2026-04-02</t>
        </is>
      </c>
      <c r="F258" t="inlineStr">
        <is>
          <t>2026-04-09</t>
        </is>
      </c>
      <c r="G258" t="inlineStr">
        <is>
          <t xml:space="preserve"> - Surfer Suite</t>
        </is>
      </c>
      <c r="H258">
        <f>HYPERLINK("https://booking.roadsurfer.com/es/rally/pick?pickup_date=2026-04-02&amp;return_date=2026-04-09&amp;currency=EUR&amp;startStation=87&amp;endStation=56", "Clic para verlo en la web de RoadSurfer")</f>
        <v/>
      </c>
    </row>
    <row r="259">
      <c r="A259" t="inlineStr">
        <is>
          <t>Francia</t>
        </is>
      </c>
      <c r="B259" t="inlineStr">
        <is>
          <t>Lille</t>
        </is>
      </c>
      <c r="C259" t="inlineStr">
        <is>
          <t>Alemania</t>
        </is>
      </c>
      <c r="D259" t="inlineStr">
        <is>
          <t>Dresde</t>
        </is>
      </c>
      <c r="E259" t="inlineStr">
        <is>
          <t>2026-04-07</t>
        </is>
      </c>
      <c r="F259" t="inlineStr">
        <is>
          <t>2026-04-14</t>
        </is>
      </c>
      <c r="G259" t="inlineStr">
        <is>
          <t xml:space="preserve"> - Surfer Suite</t>
        </is>
      </c>
      <c r="H259">
        <f>HYPERLINK("https://booking.roadsurfer.com/es/rally/pick?pickup_date=2026-04-07&amp;return_date=2026-04-14&amp;currency=EUR&amp;startStation=87&amp;endStation=56", "Clic para verlo en la web de RoadSurfer")</f>
        <v/>
      </c>
    </row>
    <row r="260">
      <c r="A260" t="inlineStr">
        <is>
          <t>Alemania</t>
        </is>
      </c>
      <c r="B260" t="inlineStr">
        <is>
          <t>Lindau-Wangen</t>
        </is>
      </c>
      <c r="C260" t="inlineStr">
        <is>
          <t>Francia</t>
        </is>
      </c>
      <c r="D260" t="inlineStr">
        <is>
          <t>Burdeos</t>
        </is>
      </c>
      <c r="E260" t="inlineStr">
        <is>
          <t>2026-04-02</t>
        </is>
      </c>
      <c r="F260" t="inlineStr">
        <is>
          <t>2026-04-09</t>
        </is>
      </c>
      <c r="G260" t="inlineStr">
        <is>
          <t xml:space="preserve"> - Road House</t>
        </is>
      </c>
      <c r="H260">
        <f>HYPERLINK("https://booking.roadsurfer.com/es/rally/pick?pickup_date=2026-04-02&amp;return_date=2026-04-09&amp;currency=EUR&amp;startStation=117&amp;endStation=13", "Clic para verlo en la web de RoadSurfer")</f>
        <v/>
      </c>
    </row>
    <row r="261">
      <c r="A261" t="inlineStr">
        <is>
          <t>Alemania</t>
        </is>
      </c>
      <c r="B261" t="inlineStr">
        <is>
          <t>Lindau-Wangen</t>
        </is>
      </c>
      <c r="C261" t="inlineStr">
        <is>
          <t>Austria</t>
        </is>
      </c>
      <c r="D261" t="inlineStr">
        <is>
          <t>Viena Sur</t>
        </is>
      </c>
      <c r="E261" t="inlineStr">
        <is>
          <t>2026-04-27</t>
        </is>
      </c>
      <c r="F261" t="inlineStr">
        <is>
          <t>2026-05-04</t>
        </is>
      </c>
      <c r="G261" t="inlineStr">
        <is>
          <t xml:space="preserve"> - Cozy Cottage</t>
        </is>
      </c>
      <c r="H261">
        <f>HYPERLINK("https://booking.roadsurfer.com/es/rally/pick?pickup_date=2026-04-27&amp;return_date=2026-05-04&amp;currency=EUR&amp;startStation=117&amp;endStation=45", "Clic para verlo en la web de RoadSurfer")</f>
        <v/>
      </c>
    </row>
    <row r="262">
      <c r="A262" t="inlineStr">
        <is>
          <t>Alemania</t>
        </is>
      </c>
      <c r="B262" t="inlineStr">
        <is>
          <t>Lindau-Wangen</t>
        </is>
      </c>
      <c r="C262" t="inlineStr">
        <is>
          <t>Alemania</t>
        </is>
      </c>
      <c r="D262" t="inlineStr">
        <is>
          <t>Berlín</t>
        </is>
      </c>
      <c r="E262" t="inlineStr">
        <is>
          <t>2026-04-27</t>
        </is>
      </c>
      <c r="F262" t="inlineStr">
        <is>
          <t>2026-05-04</t>
        </is>
      </c>
      <c r="G262" t="inlineStr">
        <is>
          <t xml:space="preserve"> - Cozy Cottage</t>
        </is>
      </c>
      <c r="H262">
        <f>HYPERLINK("https://booking.roadsurfer.com/es/rally/pick?pickup_date=2026-04-27&amp;return_date=2026-05-04&amp;currency=EUR&amp;startStation=117&amp;endStation=6", "Clic para verlo en la web de RoadSurfer")</f>
        <v/>
      </c>
    </row>
    <row r="263">
      <c r="A263" t="inlineStr">
        <is>
          <t>Alemania</t>
        </is>
      </c>
      <c r="B263" t="inlineStr">
        <is>
          <t>Lindau-Wangen</t>
        </is>
      </c>
      <c r="C263" t="inlineStr">
        <is>
          <t>Italia</t>
        </is>
      </c>
      <c r="D263" t="inlineStr">
        <is>
          <t>Bolonia</t>
        </is>
      </c>
      <c r="E263" t="inlineStr">
        <is>
          <t>2026-04-07</t>
        </is>
      </c>
      <c r="F263" t="inlineStr">
        <is>
          <t>2026-04-14</t>
        </is>
      </c>
      <c r="G263" t="inlineStr">
        <is>
          <t xml:space="preserve"> - Surfer Suite</t>
        </is>
      </c>
      <c r="H263">
        <f>HYPERLINK("https://booking.roadsurfer.com/es/rally/pick?pickup_date=2026-04-07&amp;return_date=2026-04-14&amp;currency=EUR&amp;startStation=117&amp;endStation=57", "Clic para verlo en la web de RoadSurfer")</f>
        <v/>
      </c>
    </row>
    <row r="264">
      <c r="A264" t="inlineStr">
        <is>
          <t>Alemania</t>
        </is>
      </c>
      <c r="B264" t="inlineStr">
        <is>
          <t>Lübeck</t>
        </is>
      </c>
      <c r="C264" t="inlineStr">
        <is>
          <t>España</t>
        </is>
      </c>
      <c r="D264" t="inlineStr">
        <is>
          <t>Bilbao</t>
        </is>
      </c>
      <c r="E264" t="inlineStr">
        <is>
          <t>2026-04-27</t>
        </is>
      </c>
      <c r="F264" t="inlineStr">
        <is>
          <t>2026-05-04</t>
        </is>
      </c>
      <c r="G264" t="inlineStr">
        <is>
          <t xml:space="preserve"> - Surfer Suite</t>
        </is>
      </c>
      <c r="H264">
        <f>HYPERLINK("https://booking.roadsurfer.com/es/rally/pick?pickup_date=2026-04-27&amp;return_date=2026-05-04&amp;currency=EUR&amp;startStation=109&amp;endStation=40", "Clic para verlo en la web de RoadSurfer")</f>
        <v/>
      </c>
    </row>
    <row r="265">
      <c r="A265" t="inlineStr">
        <is>
          <t>Alemania</t>
        </is>
      </c>
      <c r="B265" t="inlineStr">
        <is>
          <t>Lübeck</t>
        </is>
      </c>
      <c r="C265" t="inlineStr">
        <is>
          <t>Italia</t>
        </is>
      </c>
      <c r="D265" t="inlineStr">
        <is>
          <t>Milán</t>
        </is>
      </c>
      <c r="E265" t="inlineStr">
        <is>
          <t>2026-04-27</t>
        </is>
      </c>
      <c r="F265" t="inlineStr">
        <is>
          <t>2026-05-04</t>
        </is>
      </c>
      <c r="G265" t="inlineStr">
        <is>
          <t xml:space="preserve"> - Surfer Suite</t>
        </is>
      </c>
      <c r="H265">
        <f>HYPERLINK("https://booking.roadsurfer.com/es/rally/pick?pickup_date=2026-04-27&amp;return_date=2026-05-04&amp;currency=EUR&amp;startStation=109&amp;endStation=34", "Clic para verlo en la web de RoadSurfer")</f>
        <v/>
      </c>
    </row>
    <row r="266">
      <c r="A266" t="inlineStr">
        <is>
          <t>Francia</t>
        </is>
      </c>
      <c r="B266" t="inlineStr">
        <is>
          <t>Lyon</t>
        </is>
      </c>
      <c r="C266" t="inlineStr">
        <is>
          <t>Alemania</t>
        </is>
      </c>
      <c r="D266" t="inlineStr">
        <is>
          <t>Marburg</t>
        </is>
      </c>
      <c r="E266" t="inlineStr">
        <is>
          <t>2026-04-02</t>
        </is>
      </c>
      <c r="F266" t="inlineStr">
        <is>
          <t>2026-04-09</t>
        </is>
      </c>
      <c r="G266" t="inlineStr">
        <is>
          <t xml:space="preserve"> - Beach Hostel</t>
        </is>
      </c>
      <c r="H266">
        <f>HYPERLINK("https://booking.roadsurfer.com/es/rally/pick?pickup_date=2026-04-02&amp;return_date=2026-04-09&amp;currency=EUR&amp;startStation=15&amp;endStation=22", "Clic para verlo en la web de RoadSurfer")</f>
        <v/>
      </c>
    </row>
    <row r="267">
      <c r="A267" t="inlineStr">
        <is>
          <t>Francia</t>
        </is>
      </c>
      <c r="B267" t="inlineStr">
        <is>
          <t>Lyon</t>
        </is>
      </c>
      <c r="C267" t="inlineStr">
        <is>
          <t>Alemania</t>
        </is>
      </c>
      <c r="D267" t="inlineStr">
        <is>
          <t>Fráncfort</t>
        </is>
      </c>
      <c r="E267" t="inlineStr">
        <is>
          <t>2026-04-07</t>
        </is>
      </c>
      <c r="F267" t="inlineStr">
        <is>
          <t>2026-04-14</t>
        </is>
      </c>
      <c r="G267" t="inlineStr">
        <is>
          <t xml:space="preserve"> - Beach Hostel</t>
        </is>
      </c>
      <c r="H267">
        <f>HYPERLINK("https://booking.roadsurfer.com/es/rally/pick?pickup_date=2026-04-07&amp;return_date=2026-04-14&amp;currency=EUR&amp;startStation=15&amp;endStation=2", "Clic para verlo en la web de RoadSurfer")</f>
        <v/>
      </c>
    </row>
    <row r="268">
      <c r="A268" t="inlineStr">
        <is>
          <t>Francia</t>
        </is>
      </c>
      <c r="B268" t="inlineStr">
        <is>
          <t>Lyon</t>
        </is>
      </c>
      <c r="C268" t="inlineStr">
        <is>
          <t>Alemania</t>
        </is>
      </c>
      <c r="D268" t="inlineStr">
        <is>
          <t>Múnich</t>
        </is>
      </c>
      <c r="E268" t="inlineStr">
        <is>
          <t>2026-04-21</t>
        </is>
      </c>
      <c r="F268" t="inlineStr">
        <is>
          <t>2026-04-28</t>
        </is>
      </c>
      <c r="G268" t="inlineStr">
        <is>
          <t xml:space="preserve"> - Camper Cabin</t>
        </is>
      </c>
      <c r="H268">
        <f>HYPERLINK("https://booking.roadsurfer.com/es/rally/pick?pickup_date=2026-04-21&amp;return_date=2026-04-28&amp;currency=EUR&amp;startStation=15&amp;endStation=1", "Clic para verlo en la web de RoadSurfer")</f>
        <v/>
      </c>
    </row>
    <row r="269">
      <c r="A269" t="inlineStr">
        <is>
          <t>Francia</t>
        </is>
      </c>
      <c r="B269" t="inlineStr">
        <is>
          <t>Lyon</t>
        </is>
      </c>
      <c r="C269" t="inlineStr">
        <is>
          <t>Alemania</t>
        </is>
      </c>
      <c r="D269" t="inlineStr">
        <is>
          <t>Constanza (Aach)</t>
        </is>
      </c>
      <c r="E269" t="inlineStr">
        <is>
          <t>2026-04-07</t>
        </is>
      </c>
      <c r="F269" t="inlineStr">
        <is>
          <t>2026-04-14</t>
        </is>
      </c>
      <c r="G269" t="inlineStr">
        <is>
          <t xml:space="preserve"> - Family Finca</t>
        </is>
      </c>
      <c r="H269">
        <f>HYPERLINK("https://booking.roadsurfer.com/es/rally/pick?pickup_date=2026-04-07&amp;return_date=2026-04-14&amp;currency=EUR&amp;startStation=15&amp;endStation=10", "Clic para verlo en la web de RoadSurfer")</f>
        <v/>
      </c>
    </row>
    <row r="270">
      <c r="A270" t="inlineStr">
        <is>
          <t>España</t>
        </is>
      </c>
      <c r="B270" t="inlineStr">
        <is>
          <t>Madrid</t>
        </is>
      </c>
      <c r="C270" t="inlineStr">
        <is>
          <t>Alemania</t>
        </is>
      </c>
      <c r="D270" t="inlineStr">
        <is>
          <t>Karlsruhe</t>
        </is>
      </c>
      <c r="E270" t="inlineStr">
        <is>
          <t>2026-05-04</t>
        </is>
      </c>
      <c r="F270" t="inlineStr">
        <is>
          <t>2026-05-11</t>
        </is>
      </c>
      <c r="G270" t="inlineStr">
        <is>
          <t xml:space="preserve"> - No hay coche</t>
        </is>
      </c>
      <c r="H270">
        <f>HYPERLINK("https://booking.roadsurfer.com/es/rally/pick?pickup_date=2026-05-04&amp;return_date=2026-05-11&amp;currency=EUR&amp;startStation=20&amp;endStation=110", "Clic para verlo en la web de RoadSurfer")</f>
        <v/>
      </c>
    </row>
    <row r="271">
      <c r="A271" t="inlineStr">
        <is>
          <t>España</t>
        </is>
      </c>
      <c r="B271" t="inlineStr">
        <is>
          <t>Madrid</t>
        </is>
      </c>
      <c r="C271" t="inlineStr">
        <is>
          <t>Alemania</t>
        </is>
      </c>
      <c r="D271" t="inlineStr">
        <is>
          <t>Lindau-Wangen</t>
        </is>
      </c>
      <c r="E271" t="inlineStr">
        <is>
          <t>2026-04-23</t>
        </is>
      </c>
      <c r="F271" t="inlineStr">
        <is>
          <t>2026-04-30</t>
        </is>
      </c>
      <c r="G271" t="inlineStr">
        <is>
          <t xml:space="preserve"> - Family Finca</t>
        </is>
      </c>
      <c r="H271">
        <f>HYPERLINK("https://booking.roadsurfer.com/es/rally/pick?pickup_date=2026-04-23&amp;return_date=2026-04-30&amp;currency=EUR&amp;startStation=20&amp;endStation=117", "Clic para verlo en la web de RoadSurfer")</f>
        <v/>
      </c>
    </row>
    <row r="272">
      <c r="A272" t="inlineStr">
        <is>
          <t>España</t>
        </is>
      </c>
      <c r="B272" t="inlineStr">
        <is>
          <t>Madrid</t>
        </is>
      </c>
      <c r="C272" t="inlineStr">
        <is>
          <t>Alemania</t>
        </is>
      </c>
      <c r="D272" t="inlineStr">
        <is>
          <t>Friburgo-Basilea (Alemania)</t>
        </is>
      </c>
      <c r="E272" t="inlineStr">
        <is>
          <t>2026-04-15</t>
        </is>
      </c>
      <c r="F272" t="inlineStr">
        <is>
          <t>2026-04-22</t>
        </is>
      </c>
      <c r="G272" t="inlineStr">
        <is>
          <t xml:space="preserve"> - Couple Cottage</t>
        </is>
      </c>
      <c r="H272">
        <f>HYPERLINK("https://booking.roadsurfer.com/es/rally/pick?pickup_date=2026-04-15&amp;return_date=2026-04-22&amp;currency=EUR&amp;startStation=20&amp;endStation=9", "Clic para verlo en la web de RoadSurfer")</f>
        <v/>
      </c>
    </row>
    <row r="273">
      <c r="A273" t="inlineStr">
        <is>
          <t>España</t>
        </is>
      </c>
      <c r="B273" t="inlineStr">
        <is>
          <t>Madrid</t>
        </is>
      </c>
      <c r="C273" t="inlineStr">
        <is>
          <t>Alemania</t>
        </is>
      </c>
      <c r="D273" t="inlineStr">
        <is>
          <t>Maguncia</t>
        </is>
      </c>
      <c r="E273" t="inlineStr">
        <is>
          <t>2026-05-04</t>
        </is>
      </c>
      <c r="F273" t="inlineStr">
        <is>
          <t>2026-05-11</t>
        </is>
      </c>
      <c r="G273" t="inlineStr">
        <is>
          <t xml:space="preserve"> - Couple Cottage</t>
        </is>
      </c>
      <c r="H273">
        <f>HYPERLINK("https://booking.roadsurfer.com/es/rally/pick?pickup_date=2026-05-04&amp;return_date=2026-05-11&amp;currency=EUR&amp;startStation=20&amp;endStation=54", "Clic para verlo en la web de RoadSurfer")</f>
        <v/>
      </c>
    </row>
    <row r="274">
      <c r="A274" t="inlineStr">
        <is>
          <t>Alemania</t>
        </is>
      </c>
      <c r="B274" t="inlineStr">
        <is>
          <t>Maguncia</t>
        </is>
      </c>
      <c r="C274" t="inlineStr">
        <is>
          <t>Francia</t>
        </is>
      </c>
      <c r="D274" t="inlineStr">
        <is>
          <t>Ginebra-Pays de Gex (Francia)</t>
        </is>
      </c>
      <c r="E274" t="inlineStr">
        <is>
          <t>2026-04-13</t>
        </is>
      </c>
      <c r="F274" t="inlineStr">
        <is>
          <t>2026-04-20</t>
        </is>
      </c>
      <c r="G274" t="inlineStr">
        <is>
          <t xml:space="preserve"> - Camper Cabin Deluxe</t>
        </is>
      </c>
      <c r="H274">
        <f>HYPERLINK("https://booking.roadsurfer.com/es/rally/pick?pickup_date=2026-04-13&amp;return_date=2026-04-20&amp;currency=EUR&amp;startStation=54&amp;endStation=29", "Clic para verlo en la web de RoadSurfer")</f>
        <v/>
      </c>
    </row>
    <row r="275">
      <c r="A275" t="inlineStr">
        <is>
          <t>Alemania</t>
        </is>
      </c>
      <c r="B275" t="inlineStr">
        <is>
          <t>Maguncia</t>
        </is>
      </c>
      <c r="C275" t="inlineStr">
        <is>
          <t>Suecia</t>
        </is>
      </c>
      <c r="D275" t="inlineStr">
        <is>
          <t>Malmö</t>
        </is>
      </c>
      <c r="E275" t="inlineStr">
        <is>
          <t>2026-04-08</t>
        </is>
      </c>
      <c r="F275" t="inlineStr">
        <is>
          <t>2026-04-15</t>
        </is>
      </c>
      <c r="G275" t="inlineStr">
        <is>
          <t xml:space="preserve"> - Camper Castle</t>
        </is>
      </c>
      <c r="H275">
        <f>HYPERLINK("https://booking.roadsurfer.com/es/rally/pick?pickup_date=2026-04-08&amp;return_date=2026-04-15&amp;currency=EUR&amp;startStation=54&amp;endStation=60", "Clic para verlo en la web de RoadSurfer")</f>
        <v/>
      </c>
    </row>
    <row r="276">
      <c r="A276" t="inlineStr">
        <is>
          <t>Alemania</t>
        </is>
      </c>
      <c r="B276" t="inlineStr">
        <is>
          <t>Maguncia</t>
        </is>
      </c>
      <c r="C276" t="inlineStr">
        <is>
          <t>Francia</t>
        </is>
      </c>
      <c r="D276" t="inlineStr">
        <is>
          <t>Toulouse</t>
        </is>
      </c>
      <c r="E276" t="inlineStr">
        <is>
          <t>2026-04-09</t>
        </is>
      </c>
      <c r="F276" t="inlineStr">
        <is>
          <t>2026-04-16</t>
        </is>
      </c>
      <c r="G276" t="inlineStr">
        <is>
          <t xml:space="preserve"> - Family Finca</t>
        </is>
      </c>
      <c r="H276">
        <f>HYPERLINK("https://booking.roadsurfer.com/es/rally/pick?pickup_date=2026-04-09&amp;return_date=2026-04-16&amp;currency=EUR&amp;startStation=54&amp;endStation=30", "Clic para verlo en la web de RoadSurfer")</f>
        <v/>
      </c>
    </row>
    <row r="277">
      <c r="A277" t="inlineStr">
        <is>
          <t>España</t>
        </is>
      </c>
      <c r="B277" t="inlineStr">
        <is>
          <t>Málaga</t>
        </is>
      </c>
      <c r="C277" t="inlineStr">
        <is>
          <t>Alemania</t>
        </is>
      </c>
      <c r="D277" t="inlineStr">
        <is>
          <t>Marburg</t>
        </is>
      </c>
      <c r="E277" t="inlineStr">
        <is>
          <t>2026-04-08</t>
        </is>
      </c>
      <c r="F277" t="inlineStr">
        <is>
          <t>2026-04-15</t>
        </is>
      </c>
      <c r="G277" t="inlineStr">
        <is>
          <t xml:space="preserve"> - Beach Hostel</t>
        </is>
      </c>
      <c r="H277">
        <f>HYPERLINK("https://booking.roadsurfer.com/es/rally/pick?pickup_date=2026-04-08&amp;return_date=2026-04-15&amp;currency=EUR&amp;startStation=21&amp;endStation=22", "Clic para verlo en la web de RoadSurfer")</f>
        <v/>
      </c>
    </row>
    <row r="278">
      <c r="A278" t="inlineStr">
        <is>
          <t>España</t>
        </is>
      </c>
      <c r="B278" t="inlineStr">
        <is>
          <t>Málaga</t>
        </is>
      </c>
      <c r="C278" t="inlineStr">
        <is>
          <t>Alemania</t>
        </is>
      </c>
      <c r="D278" t="inlineStr">
        <is>
          <t>Berlín-Schönefeld</t>
        </is>
      </c>
      <c r="E278" t="inlineStr">
        <is>
          <t>2026-04-09</t>
        </is>
      </c>
      <c r="F278" t="inlineStr">
        <is>
          <t>2026-04-16</t>
        </is>
      </c>
      <c r="G278" t="inlineStr">
        <is>
          <t xml:space="preserve"> - Travel Home</t>
        </is>
      </c>
      <c r="H278">
        <f>HYPERLINK("https://booking.roadsurfer.com/es/rally/pick?pickup_date=2026-04-09&amp;return_date=2026-04-16&amp;currency=EUR&amp;startStation=21&amp;endStation=51", "Clic para verlo en la web de RoadSurfer")</f>
        <v/>
      </c>
    </row>
    <row r="279">
      <c r="A279" t="inlineStr">
        <is>
          <t>Suecia</t>
        </is>
      </c>
      <c r="B279" t="inlineStr">
        <is>
          <t>Malmö</t>
        </is>
      </c>
      <c r="C279" t="inlineStr">
        <is>
          <t>Alemania</t>
        </is>
      </c>
      <c r="D279" t="inlineStr">
        <is>
          <t>Bremen</t>
        </is>
      </c>
      <c r="E279" t="inlineStr">
        <is>
          <t>2026-04-14</t>
        </is>
      </c>
      <c r="F279" t="inlineStr">
        <is>
          <t>2026-04-21</t>
        </is>
      </c>
      <c r="G279" t="inlineStr">
        <is>
          <t xml:space="preserve"> - Road House</t>
        </is>
      </c>
      <c r="H279">
        <f>HYPERLINK("https://booking.roadsurfer.com/es/rally/pick?pickup_date=2026-04-14&amp;return_date=2026-04-21&amp;currency=EUR&amp;startStation=60&amp;endStation=55", "Clic para verlo en la web de RoadSurfer")</f>
        <v/>
      </c>
    </row>
    <row r="280">
      <c r="A280" t="inlineStr">
        <is>
          <t>Suecia</t>
        </is>
      </c>
      <c r="B280" t="inlineStr">
        <is>
          <t>Malmö</t>
        </is>
      </c>
      <c r="C280" t="inlineStr">
        <is>
          <t>Alemania</t>
        </is>
      </c>
      <c r="D280" t="inlineStr">
        <is>
          <t>Bremen</t>
        </is>
      </c>
      <c r="E280" t="inlineStr">
        <is>
          <t>2026-04-01</t>
        </is>
      </c>
      <c r="F280" t="inlineStr">
        <is>
          <t>2026-04-08</t>
        </is>
      </c>
      <c r="G280" t="inlineStr">
        <is>
          <t xml:space="preserve"> - Road House</t>
        </is>
      </c>
      <c r="H280">
        <f>HYPERLINK("https://booking.roadsurfer.com/es/rally/pick?pickup_date=2026-04-01&amp;return_date=2026-04-08&amp;currency=EUR&amp;startStation=60&amp;endStation=55", "Clic para verlo en la web de RoadSurfer")</f>
        <v/>
      </c>
    </row>
    <row r="281">
      <c r="A281" t="inlineStr">
        <is>
          <t>Suecia</t>
        </is>
      </c>
      <c r="B281" t="inlineStr">
        <is>
          <t>Malmö</t>
        </is>
      </c>
      <c r="C281" t="inlineStr">
        <is>
          <t>Alemania</t>
        </is>
      </c>
      <c r="D281" t="inlineStr">
        <is>
          <t>Bremen</t>
        </is>
      </c>
      <c r="E281" t="inlineStr">
        <is>
          <t>2026-04-04</t>
        </is>
      </c>
      <c r="F281" t="inlineStr">
        <is>
          <t>2026-04-11</t>
        </is>
      </c>
      <c r="G281" t="inlineStr">
        <is>
          <t xml:space="preserve"> - Surfer Suite</t>
        </is>
      </c>
      <c r="H281">
        <f>HYPERLINK("https://booking.roadsurfer.com/es/rally/pick?pickup_date=2026-04-04&amp;return_date=2026-04-11&amp;currency=EUR&amp;startStation=60&amp;endStation=55", "Clic para verlo en la web de RoadSurfer")</f>
        <v/>
      </c>
    </row>
    <row r="282">
      <c r="A282" t="inlineStr">
        <is>
          <t>Suecia</t>
        </is>
      </c>
      <c r="B282" t="inlineStr">
        <is>
          <t>Malmö</t>
        </is>
      </c>
      <c r="C282" t="inlineStr">
        <is>
          <t>Alemania</t>
        </is>
      </c>
      <c r="D282" t="inlineStr">
        <is>
          <t>Bremen</t>
        </is>
      </c>
      <c r="E282" t="inlineStr">
        <is>
          <t>2026-04-16</t>
        </is>
      </c>
      <c r="F282" t="inlineStr">
        <is>
          <t>2026-04-23</t>
        </is>
      </c>
      <c r="G282" t="inlineStr">
        <is>
          <t xml:space="preserve"> - Surfer Suite - Cozy Cottage</t>
        </is>
      </c>
      <c r="H282">
        <f>HYPERLINK("https://booking.roadsurfer.com/es/rally/pick?pickup_date=2026-04-16&amp;return_date=2026-04-23&amp;currency=EUR&amp;startStation=60&amp;endStation=55", "Clic para verlo en la web de RoadSurfer")</f>
        <v/>
      </c>
    </row>
    <row r="283">
      <c r="A283" t="inlineStr">
        <is>
          <t>Suecia</t>
        </is>
      </c>
      <c r="B283" t="inlineStr">
        <is>
          <t>Malmö</t>
        </is>
      </c>
      <c r="C283" t="inlineStr">
        <is>
          <t>Alemania</t>
        </is>
      </c>
      <c r="D283" t="inlineStr">
        <is>
          <t>Hannover</t>
        </is>
      </c>
      <c r="E283" t="inlineStr">
        <is>
          <t>2026-04-13</t>
        </is>
      </c>
      <c r="F283" t="inlineStr">
        <is>
          <t>2026-04-20</t>
        </is>
      </c>
      <c r="G283" t="inlineStr">
        <is>
          <t xml:space="preserve"> - Surfer Suite</t>
        </is>
      </c>
      <c r="H283">
        <f>HYPERLINK("https://booking.roadsurfer.com/es/rally/pick?pickup_date=2026-04-13&amp;return_date=2026-04-20&amp;currency=EUR&amp;startStation=60&amp;endStation=7", "Clic para verlo en la web de RoadSurfer")</f>
        <v/>
      </c>
    </row>
    <row r="284">
      <c r="A284" t="inlineStr">
        <is>
          <t>Suecia</t>
        </is>
      </c>
      <c r="B284" t="inlineStr">
        <is>
          <t>Malmö</t>
        </is>
      </c>
      <c r="C284" t="inlineStr">
        <is>
          <t>Alemania</t>
        </is>
      </c>
      <c r="D284" t="inlineStr">
        <is>
          <t>Hannover</t>
        </is>
      </c>
      <c r="E284" t="inlineStr">
        <is>
          <t>2026-04-09</t>
        </is>
      </c>
      <c r="F284" t="inlineStr">
        <is>
          <t>2026-04-16</t>
        </is>
      </c>
      <c r="G284" t="inlineStr">
        <is>
          <t xml:space="preserve"> - Surfer Suite</t>
        </is>
      </c>
      <c r="H284">
        <f>HYPERLINK("https://booking.roadsurfer.com/es/rally/pick?pickup_date=2026-04-09&amp;return_date=2026-04-16&amp;currency=EUR&amp;startStation=60&amp;endStation=7", "Clic para verlo en la web de RoadSurfer")</f>
        <v/>
      </c>
    </row>
    <row r="285">
      <c r="A285" t="inlineStr">
        <is>
          <t>Suecia</t>
        </is>
      </c>
      <c r="B285" t="inlineStr">
        <is>
          <t>Malmö</t>
        </is>
      </c>
      <c r="C285" t="inlineStr">
        <is>
          <t>Alemania</t>
        </is>
      </c>
      <c r="D285" t="inlineStr">
        <is>
          <t>Colonia-Bonn</t>
        </is>
      </c>
      <c r="E285" t="inlineStr">
        <is>
          <t>2026-04-07</t>
        </is>
      </c>
      <c r="F285" t="inlineStr">
        <is>
          <t>2026-04-14</t>
        </is>
      </c>
      <c r="G285" t="inlineStr">
        <is>
          <t xml:space="preserve"> - Surfer Suite</t>
        </is>
      </c>
      <c r="H285">
        <f>HYPERLINK("https://booking.roadsurfer.com/es/rally/pick?pickup_date=2026-04-07&amp;return_date=2026-04-14&amp;currency=EUR&amp;startStation=60&amp;endStation=52", "Clic para verlo en la web de RoadSurfer")</f>
        <v/>
      </c>
    </row>
    <row r="286">
      <c r="A286" t="inlineStr">
        <is>
          <t>Suecia</t>
        </is>
      </c>
      <c r="B286" t="inlineStr">
        <is>
          <t>Malmö</t>
        </is>
      </c>
      <c r="C286" t="inlineStr">
        <is>
          <t>Alemania</t>
        </is>
      </c>
      <c r="D286" t="inlineStr">
        <is>
          <t>Berlín</t>
        </is>
      </c>
      <c r="E286" t="inlineStr">
        <is>
          <t>2026-04-02</t>
        </is>
      </c>
      <c r="F286" t="inlineStr">
        <is>
          <t>2026-04-09</t>
        </is>
      </c>
      <c r="G286" t="inlineStr">
        <is>
          <t xml:space="preserve"> - Surfer Suite</t>
        </is>
      </c>
      <c r="H286">
        <f>HYPERLINK("https://booking.roadsurfer.com/es/rally/pick?pickup_date=2026-04-02&amp;return_date=2026-04-09&amp;currency=EUR&amp;startStation=60&amp;endStation=6", "Clic para verlo en la web de RoadSurfer")</f>
        <v/>
      </c>
    </row>
    <row r="287">
      <c r="A287" t="inlineStr">
        <is>
          <t>Suecia</t>
        </is>
      </c>
      <c r="B287" t="inlineStr">
        <is>
          <t>Malmö</t>
        </is>
      </c>
      <c r="C287" t="inlineStr">
        <is>
          <t>Alemania</t>
        </is>
      </c>
      <c r="D287" t="inlineStr">
        <is>
          <t>Maguncia</t>
        </is>
      </c>
      <c r="E287" t="inlineStr">
        <is>
          <t>2026-04-01</t>
        </is>
      </c>
      <c r="F287" t="inlineStr">
        <is>
          <t>2026-04-08</t>
        </is>
      </c>
      <c r="G287" t="inlineStr">
        <is>
          <t xml:space="preserve"> - Surfer Suite</t>
        </is>
      </c>
      <c r="H287">
        <f>HYPERLINK("https://booking.roadsurfer.com/es/rally/pick?pickup_date=2026-04-01&amp;return_date=2026-04-08&amp;currency=EUR&amp;startStation=60&amp;endStation=54", "Clic para verlo en la web de RoadSurfer")</f>
        <v/>
      </c>
    </row>
    <row r="288">
      <c r="A288" t="inlineStr">
        <is>
          <t>Suecia</t>
        </is>
      </c>
      <c r="B288" t="inlineStr">
        <is>
          <t>Malmö</t>
        </is>
      </c>
      <c r="C288" t="inlineStr">
        <is>
          <t>Alemania</t>
        </is>
      </c>
      <c r="D288" t="inlineStr">
        <is>
          <t>Bielefeld</t>
        </is>
      </c>
      <c r="E288" t="inlineStr">
        <is>
          <t>2026-04-14</t>
        </is>
      </c>
      <c r="F288" t="inlineStr">
        <is>
          <t>2026-04-21</t>
        </is>
      </c>
      <c r="G288" t="inlineStr">
        <is>
          <t xml:space="preserve"> - Surfer Suite - Family Finca</t>
        </is>
      </c>
      <c r="H288">
        <f>HYPERLINK("https://booking.roadsurfer.com/es/rally/pick?pickup_date=2026-04-14&amp;return_date=2026-04-21&amp;currency=EUR&amp;startStation=60&amp;endStation=91", "Clic para verlo en la web de RoadSurfer")</f>
        <v/>
      </c>
    </row>
    <row r="289">
      <c r="A289" t="inlineStr">
        <is>
          <t>Suecia</t>
        </is>
      </c>
      <c r="B289" t="inlineStr">
        <is>
          <t>Malmö</t>
        </is>
      </c>
      <c r="C289" t="inlineStr">
        <is>
          <t>Alemania</t>
        </is>
      </c>
      <c r="D289" t="inlineStr">
        <is>
          <t>Marburg</t>
        </is>
      </c>
      <c r="E289" t="inlineStr">
        <is>
          <t>2026-04-08</t>
        </is>
      </c>
      <c r="F289" t="inlineStr">
        <is>
          <t>2026-04-15</t>
        </is>
      </c>
      <c r="G289" t="inlineStr">
        <is>
          <t xml:space="preserve"> - SURFER SUITE</t>
        </is>
      </c>
      <c r="H289">
        <f>HYPERLINK("https://booking.roadsurfer.com/es/rally/pick?pickup_date=2026-04-08&amp;return_date=2026-04-15&amp;currency=EUR&amp;startStation=60&amp;endStation=22", "Clic para verlo en la web de RoadSurfer")</f>
        <v/>
      </c>
    </row>
    <row r="290">
      <c r="A290" t="inlineStr">
        <is>
          <t>Suecia</t>
        </is>
      </c>
      <c r="B290" t="inlineStr">
        <is>
          <t>Malmö</t>
        </is>
      </c>
      <c r="C290" t="inlineStr">
        <is>
          <t>Alemania</t>
        </is>
      </c>
      <c r="D290" t="inlineStr">
        <is>
          <t>Marburg</t>
        </is>
      </c>
      <c r="E290" t="inlineStr">
        <is>
          <t>2026-04-09</t>
        </is>
      </c>
      <c r="F290" t="inlineStr">
        <is>
          <t>2026-04-16</t>
        </is>
      </c>
      <c r="G290" t="inlineStr">
        <is>
          <t xml:space="preserve"> - Road House</t>
        </is>
      </c>
      <c r="H290">
        <f>HYPERLINK("https://booking.roadsurfer.com/es/rally/pick?pickup_date=2026-04-09&amp;return_date=2026-04-16&amp;currency=EUR&amp;startStation=60&amp;endStation=22", "Clic para verlo en la web de RoadSurfer")</f>
        <v/>
      </c>
    </row>
    <row r="291">
      <c r="A291" t="inlineStr">
        <is>
          <t>Suecia</t>
        </is>
      </c>
      <c r="B291" t="inlineStr">
        <is>
          <t>Malmö</t>
        </is>
      </c>
      <c r="C291" t="inlineStr">
        <is>
          <t>Alemania</t>
        </is>
      </c>
      <c r="D291" t="inlineStr">
        <is>
          <t>Hamburgo</t>
        </is>
      </c>
      <c r="E291" t="inlineStr">
        <is>
          <t>2026-04-04</t>
        </is>
      </c>
      <c r="F291" t="inlineStr">
        <is>
          <t>2026-04-11</t>
        </is>
      </c>
      <c r="G291" t="inlineStr">
        <is>
          <t xml:space="preserve"> - CAMPER CABIN DELUXE</t>
        </is>
      </c>
      <c r="H291">
        <f>HYPERLINK("https://booking.roadsurfer.com/es/rally/pick?pickup_date=2026-04-04&amp;return_date=2026-04-11&amp;currency=EUR&amp;startStation=60&amp;endStation=3", "Clic para verlo en la web de RoadSurfer")</f>
        <v/>
      </c>
    </row>
    <row r="292">
      <c r="A292" t="inlineStr">
        <is>
          <t>Suecia</t>
        </is>
      </c>
      <c r="B292" t="inlineStr">
        <is>
          <t>Malmö</t>
        </is>
      </c>
      <c r="C292" t="inlineStr">
        <is>
          <t>Alemania</t>
        </is>
      </c>
      <c r="D292" t="inlineStr">
        <is>
          <t>Stuttgart</t>
        </is>
      </c>
      <c r="E292" t="inlineStr">
        <is>
          <t>2026-04-20</t>
        </is>
      </c>
      <c r="F292" t="inlineStr">
        <is>
          <t>2026-04-27</t>
        </is>
      </c>
      <c r="G292" t="inlineStr">
        <is>
          <t xml:space="preserve"> - Camper Castle</t>
        </is>
      </c>
      <c r="H292">
        <f>HYPERLINK("https://booking.roadsurfer.com/es/rally/pick?pickup_date=2026-04-20&amp;return_date=2026-04-27&amp;currency=EUR&amp;startStation=60&amp;endStation=5", "Clic para verlo en la web de RoadSurfer")</f>
        <v/>
      </c>
    </row>
    <row r="293">
      <c r="A293" t="inlineStr">
        <is>
          <t>Suecia</t>
        </is>
      </c>
      <c r="B293" t="inlineStr">
        <is>
          <t>Malmö</t>
        </is>
      </c>
      <c r="C293" t="inlineStr">
        <is>
          <t>Alemania</t>
        </is>
      </c>
      <c r="D293" t="inlineStr">
        <is>
          <t>Augsburgo</t>
        </is>
      </c>
      <c r="E293" t="inlineStr">
        <is>
          <t>2026-04-09</t>
        </is>
      </c>
      <c r="F293" t="inlineStr">
        <is>
          <t>2026-04-16</t>
        </is>
      </c>
      <c r="G293" t="inlineStr">
        <is>
          <t xml:space="preserve"> - Camper Castle</t>
        </is>
      </c>
      <c r="H293">
        <f>HYPERLINK("https://booking.roadsurfer.com/es/rally/pick?pickup_date=2026-04-09&amp;return_date=2026-04-16&amp;currency=EUR&amp;startStation=60&amp;endStation=108", "Clic para verlo en la web de RoadSurfer")</f>
        <v/>
      </c>
    </row>
    <row r="294">
      <c r="A294" t="inlineStr">
        <is>
          <t>Suecia</t>
        </is>
      </c>
      <c r="B294" t="inlineStr">
        <is>
          <t>Malmö</t>
        </is>
      </c>
      <c r="C294" t="inlineStr">
        <is>
          <t>Alemania</t>
        </is>
      </c>
      <c r="D294" t="inlineStr">
        <is>
          <t>Tréveris</t>
        </is>
      </c>
      <c r="E294" t="inlineStr">
        <is>
          <t>2026-04-08</t>
        </is>
      </c>
      <c r="F294" t="inlineStr">
        <is>
          <t>2026-04-15</t>
        </is>
      </c>
      <c r="G294" t="inlineStr">
        <is>
          <t xml:space="preserve"> - Camper Castle</t>
        </is>
      </c>
      <c r="H294">
        <f>HYPERLINK("https://booking.roadsurfer.com/es/rally/pick?pickup_date=2026-04-08&amp;return_date=2026-04-15&amp;currency=EUR&amp;startStation=60&amp;endStation=28", "Clic para verlo en la web de RoadSurfer")</f>
        <v/>
      </c>
    </row>
    <row r="295">
      <c r="A295" t="inlineStr">
        <is>
          <t>Suecia</t>
        </is>
      </c>
      <c r="B295" t="inlineStr">
        <is>
          <t>Malmö</t>
        </is>
      </c>
      <c r="C295" t="inlineStr">
        <is>
          <t>Alemania</t>
        </is>
      </c>
      <c r="D295" t="inlineStr">
        <is>
          <t>Berlín-Schönefeld</t>
        </is>
      </c>
      <c r="E295" t="inlineStr">
        <is>
          <t>2026-04-15</t>
        </is>
      </c>
      <c r="F295" t="inlineStr">
        <is>
          <t>2026-04-22</t>
        </is>
      </c>
      <c r="G295" t="inlineStr">
        <is>
          <t xml:space="preserve"> - Family Finca</t>
        </is>
      </c>
      <c r="H295">
        <f>HYPERLINK("https://booking.roadsurfer.com/es/rally/pick?pickup_date=2026-04-15&amp;return_date=2026-04-22&amp;currency=EUR&amp;startStation=60&amp;endStation=51", "Clic para verlo en la web de RoadSurfer")</f>
        <v/>
      </c>
    </row>
    <row r="296">
      <c r="A296" t="inlineStr">
        <is>
          <t>Suecia</t>
        </is>
      </c>
      <c r="B296" t="inlineStr">
        <is>
          <t>Malmö</t>
        </is>
      </c>
      <c r="C296" t="inlineStr">
        <is>
          <t>Alemania</t>
        </is>
      </c>
      <c r="D296" t="inlineStr">
        <is>
          <t>Erfurt</t>
        </is>
      </c>
      <c r="E296" t="inlineStr">
        <is>
          <t>2026-04-07</t>
        </is>
      </c>
      <c r="F296" t="inlineStr">
        <is>
          <t>2026-04-14</t>
        </is>
      </c>
      <c r="G296" t="inlineStr">
        <is>
          <t xml:space="preserve"> - COZY COTTAGE</t>
        </is>
      </c>
      <c r="H296">
        <f>HYPERLINK("https://booking.roadsurfer.com/es/rally/pick?pickup_date=2026-04-07&amp;return_date=2026-04-14&amp;currency=EUR&amp;startStation=60&amp;endStation=90", "Clic para verlo en la web de RoadSurfer")</f>
        <v/>
      </c>
    </row>
    <row r="297">
      <c r="A297" t="inlineStr">
        <is>
          <t>Reino Unido</t>
        </is>
      </c>
      <c r="B297" t="inlineStr">
        <is>
          <t>Mánchester</t>
        </is>
      </c>
      <c r="C297" t="inlineStr">
        <is>
          <t>Reino Unido</t>
        </is>
      </c>
      <c r="D297" t="inlineStr">
        <is>
          <t>Edimburgo</t>
        </is>
      </c>
      <c r="E297" t="inlineStr">
        <is>
          <t>2026-04-09</t>
        </is>
      </c>
      <c r="F297" t="inlineStr">
        <is>
          <t>2026-04-16</t>
        </is>
      </c>
      <c r="G297" t="inlineStr">
        <is>
          <t xml:space="preserve"> - Surfer Suite</t>
        </is>
      </c>
      <c r="H297">
        <f>HYPERLINK("https://booking.roadsurfer.com/es/rally/pick?pickup_date=2026-04-09&amp;return_date=2026-04-16&amp;currency=EUR&amp;startStation=99&amp;endStation=64",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Francia</t>
        </is>
      </c>
      <c r="D298" t="inlineStr">
        <is>
          <t>Burdeos</t>
        </is>
      </c>
      <c r="E298" t="inlineStr">
        <is>
          <t>2026-04-29</t>
        </is>
      </c>
      <c r="F298" t="inlineStr">
        <is>
          <t>2026-05-06</t>
        </is>
      </c>
      <c r="G298" t="inlineStr">
        <is>
          <t xml:space="preserve"> - Surfer Suite</t>
        </is>
      </c>
      <c r="H298">
        <f>HYPERLINK("https://booking.roadsurfer.com/es/rally/pick?pickup_date=2026-04-29&amp;return_date=2026-05-06&amp;currency=EUR&amp;startStation=22&amp;endStation=13",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Francia</t>
        </is>
      </c>
      <c r="D299" t="inlineStr">
        <is>
          <t>Burdeos</t>
        </is>
      </c>
      <c r="E299" t="inlineStr">
        <is>
          <t>2026-04-10</t>
        </is>
      </c>
      <c r="F299" t="inlineStr">
        <is>
          <t>2026-04-17</t>
        </is>
      </c>
      <c r="G299" t="inlineStr">
        <is>
          <t xml:space="preserve"> - Camper Cabin</t>
        </is>
      </c>
      <c r="H299">
        <f>HYPERLINK("https://booking.roadsurfer.com/es/rally/pick?pickup_date=2026-04-10&amp;return_date=2026-04-17&amp;currency=EUR&amp;startStation=22&amp;endStation=13",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Italia</t>
        </is>
      </c>
      <c r="D300" t="inlineStr">
        <is>
          <t>Turín</t>
        </is>
      </c>
      <c r="E300" t="inlineStr">
        <is>
          <t>2026-04-08</t>
        </is>
      </c>
      <c r="F300" t="inlineStr">
        <is>
          <t>2026-04-15</t>
        </is>
      </c>
      <c r="G300" t="inlineStr">
        <is>
          <t xml:space="preserve"> - Surfer Suite</t>
        </is>
      </c>
      <c r="H300">
        <f>HYPERLINK("https://booking.roadsurfer.com/es/rally/pick?pickup_date=2026-04-08&amp;return_date=2026-04-15&amp;currency=EUR&amp;startStation=22&amp;endStation=58",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Italia</t>
        </is>
      </c>
      <c r="D301" t="inlineStr">
        <is>
          <t>Turín</t>
        </is>
      </c>
      <c r="E301" t="inlineStr">
        <is>
          <t>2026-04-11</t>
        </is>
      </c>
      <c r="F301" t="inlineStr">
        <is>
          <t>2026-04-18</t>
        </is>
      </c>
      <c r="G301" t="inlineStr">
        <is>
          <t xml:space="preserve"> - No hay coche</t>
        </is>
      </c>
      <c r="H301">
        <f>HYPERLINK("https://booking.roadsurfer.com/es/rally/pick?pickup_date=2026-04-11&amp;return_date=2026-04-18&amp;currency=EUR&amp;startStation=22&amp;endStation=58",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Francia</t>
        </is>
      </c>
      <c r="D302" t="inlineStr">
        <is>
          <t>Lyon</t>
        </is>
      </c>
      <c r="E302" t="inlineStr">
        <is>
          <t>2026-04-02</t>
        </is>
      </c>
      <c r="F302" t="inlineStr">
        <is>
          <t>2026-04-09</t>
        </is>
      </c>
      <c r="G302" t="inlineStr">
        <is>
          <t xml:space="preserve"> - Surfer Suite</t>
        </is>
      </c>
      <c r="H302">
        <f>HYPERLINK("https://booking.roadsurfer.com/es/rally/pick?pickup_date=2026-04-02&amp;return_date=2026-04-09&amp;currency=EUR&amp;startStation=22&amp;endStation=15",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Francia</t>
        </is>
      </c>
      <c r="D303" t="inlineStr">
        <is>
          <t>Lyon</t>
        </is>
      </c>
      <c r="E303" t="inlineStr">
        <is>
          <t>2026-04-06</t>
        </is>
      </c>
      <c r="F303" t="inlineStr">
        <is>
          <t>2026-04-13</t>
        </is>
      </c>
      <c r="G303" t="inlineStr">
        <is>
          <t xml:space="preserve"> - No hay coche</t>
        </is>
      </c>
      <c r="H303">
        <f>HYPERLINK("https://booking.roadsurfer.com/es/rally/pick?pickup_date=2026-04-06&amp;return_date=2026-04-13&amp;currency=EUR&amp;startStation=22&amp;endStation=15",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Francia</t>
        </is>
      </c>
      <c r="D304" t="inlineStr">
        <is>
          <t>Lyon</t>
        </is>
      </c>
      <c r="E304" t="inlineStr">
        <is>
          <t>2026-04-07</t>
        </is>
      </c>
      <c r="F304" t="inlineStr">
        <is>
          <t>2026-04-14</t>
        </is>
      </c>
      <c r="G304" t="inlineStr">
        <is>
          <t xml:space="preserve"> - Surfer Suite</t>
        </is>
      </c>
      <c r="H304">
        <f>HYPERLINK("https://booking.roadsurfer.com/es/rally/pick?pickup_date=2026-04-07&amp;return_date=2026-04-14&amp;currency=EUR&amp;startStation=22&amp;endStation=15",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Francia</t>
        </is>
      </c>
      <c r="D305" t="inlineStr">
        <is>
          <t>Lyon</t>
        </is>
      </c>
      <c r="E305" t="inlineStr">
        <is>
          <t>2026-05-04</t>
        </is>
      </c>
      <c r="F305" t="inlineStr">
        <is>
          <t>2026-05-11</t>
        </is>
      </c>
      <c r="G305" t="inlineStr">
        <is>
          <t xml:space="preserve"> - Beach Hostel</t>
        </is>
      </c>
      <c r="H305">
        <f>HYPERLINK("https://booking.roadsurfer.com/es/rally/pick?pickup_date=2026-05-04&amp;return_date=2026-05-11&amp;currency=EUR&amp;startStation=22&amp;endStation=15",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Francia</t>
        </is>
      </c>
      <c r="D306" t="inlineStr">
        <is>
          <t>Aix-Marsella</t>
        </is>
      </c>
      <c r="E306" t="inlineStr">
        <is>
          <t>2026-04-13</t>
        </is>
      </c>
      <c r="F306" t="inlineStr">
        <is>
          <t>2026-04-20</t>
        </is>
      </c>
      <c r="G306" t="inlineStr">
        <is>
          <t xml:space="preserve"> - Surfer Suite</t>
        </is>
      </c>
      <c r="H306">
        <f>HYPERLINK("https://booking.roadsurfer.com/es/rally/pick?pickup_date=2026-04-13&amp;return_date=2026-04-20&amp;currency=EUR&amp;startStation=22&amp;endStation=16",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Francia</t>
        </is>
      </c>
      <c r="D307" t="inlineStr">
        <is>
          <t>Aix-Marsella</t>
        </is>
      </c>
      <c r="E307" t="inlineStr">
        <is>
          <t>2026-04-14</t>
        </is>
      </c>
      <c r="F307" t="inlineStr">
        <is>
          <t>2026-04-21</t>
        </is>
      </c>
      <c r="G307" t="inlineStr">
        <is>
          <t xml:space="preserve"> - Surfer Suite</t>
        </is>
      </c>
      <c r="H307">
        <f>HYPERLINK("https://booking.roadsurfer.com/es/rally/pick?pickup_date=2026-04-14&amp;return_date=2026-04-21&amp;currency=EUR&amp;startStation=22&amp;endStation=16",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Francia</t>
        </is>
      </c>
      <c r="D308" t="inlineStr">
        <is>
          <t>Aix-Marsella</t>
        </is>
      </c>
      <c r="E308" t="inlineStr">
        <is>
          <t>2026-04-07</t>
        </is>
      </c>
      <c r="F308" t="inlineStr">
        <is>
          <t>2026-04-14</t>
        </is>
      </c>
      <c r="G308" t="inlineStr">
        <is>
          <t xml:space="preserve"> - Beach Hostel</t>
        </is>
      </c>
      <c r="H308">
        <f>HYPERLINK("https://booking.roadsurfer.com/es/rally/pick?pickup_date=2026-04-07&amp;return_date=2026-04-14&amp;currency=EUR&amp;startStation=22&amp;endStation=16",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Francia</t>
        </is>
      </c>
      <c r="D309" t="inlineStr">
        <is>
          <t>Ginebra-Pays de Gex (Francia)</t>
        </is>
      </c>
      <c r="E309" t="inlineStr">
        <is>
          <t>2026-04-03</t>
        </is>
      </c>
      <c r="F309" t="inlineStr">
        <is>
          <t>2026-04-10</t>
        </is>
      </c>
      <c r="G309" t="inlineStr">
        <is>
          <t xml:space="preserve"> - Surfer Suite</t>
        </is>
      </c>
      <c r="H309">
        <f>HYPERLINK("https://booking.roadsurfer.com/es/rally/pick?pickup_date=2026-04-03&amp;return_date=2026-04-10&amp;currency=EUR&amp;startStation=22&amp;endStation=29",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Francia</t>
        </is>
      </c>
      <c r="D310" t="inlineStr">
        <is>
          <t>Ginebra-Pays de Gex (Francia)</t>
        </is>
      </c>
      <c r="E310" t="inlineStr">
        <is>
          <t>2026-04-07</t>
        </is>
      </c>
      <c r="F310" t="inlineStr">
        <is>
          <t>2026-04-14</t>
        </is>
      </c>
      <c r="G310" t="inlineStr">
        <is>
          <t xml:space="preserve"> - Surfer Suite</t>
        </is>
      </c>
      <c r="H310">
        <f>HYPERLINK("https://booking.roadsurfer.com/es/rally/pick?pickup_date=2026-04-07&amp;return_date=2026-04-14&amp;currency=EUR&amp;startStation=22&amp;endStation=29",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Francia</t>
        </is>
      </c>
      <c r="D311" t="inlineStr">
        <is>
          <t>Ginebra-Pays de Gex (Francia)</t>
        </is>
      </c>
      <c r="E311" t="inlineStr">
        <is>
          <t>2026-04-08</t>
        </is>
      </c>
      <c r="F311" t="inlineStr">
        <is>
          <t>2026-04-15</t>
        </is>
      </c>
      <c r="G311" t="inlineStr">
        <is>
          <t xml:space="preserve"> - Surfer Suite</t>
        </is>
      </c>
      <c r="H311">
        <f>HYPERLINK("https://booking.roadsurfer.com/es/rally/pick?pickup_date=2026-04-08&amp;return_date=2026-04-15&amp;currency=EUR&amp;startStation=22&amp;endStation=29",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Suecia</t>
        </is>
      </c>
      <c r="D312" t="inlineStr">
        <is>
          <t>Estocolmo</t>
        </is>
      </c>
      <c r="E312" t="inlineStr">
        <is>
          <t>2026-04-06</t>
        </is>
      </c>
      <c r="F312" t="inlineStr">
        <is>
          <t>2026-04-13</t>
        </is>
      </c>
      <c r="G312" t="inlineStr">
        <is>
          <t xml:space="preserve"> - Surfer Suite</t>
        </is>
      </c>
      <c r="H312">
        <f>HYPERLINK("https://booking.roadsurfer.com/es/rally/pick?pickup_date=2026-04-06&amp;return_date=2026-04-13&amp;currency=EUR&amp;startStation=22&amp;endStation=59",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Suecia</t>
        </is>
      </c>
      <c r="D313" t="inlineStr">
        <is>
          <t>Estocolmo</t>
        </is>
      </c>
      <c r="E313" t="inlineStr">
        <is>
          <t>2026-04-07</t>
        </is>
      </c>
      <c r="F313" t="inlineStr">
        <is>
          <t>2026-04-14</t>
        </is>
      </c>
      <c r="G313" t="inlineStr">
        <is>
          <t xml:space="preserve"> - Surfer Suite - Beach Hostel</t>
        </is>
      </c>
      <c r="H313">
        <f>HYPERLINK("https://booking.roadsurfer.com/es/rally/pick?pickup_date=2026-04-07&amp;return_date=2026-04-14&amp;currency=EUR&amp;startStation=22&amp;endStation=59",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Suecia</t>
        </is>
      </c>
      <c r="D314" t="inlineStr">
        <is>
          <t>Estocolmo</t>
        </is>
      </c>
      <c r="E314" t="inlineStr">
        <is>
          <t>2026-04-14</t>
        </is>
      </c>
      <c r="F314" t="inlineStr">
        <is>
          <t>2026-04-21</t>
        </is>
      </c>
      <c r="G314" t="inlineStr">
        <is>
          <t xml:space="preserve"> - Surfer Suite</t>
        </is>
      </c>
      <c r="H314">
        <f>HYPERLINK("https://booking.roadsurfer.com/es/rally/pick?pickup_date=2026-04-14&amp;return_date=2026-04-21&amp;currency=EUR&amp;startStation=22&amp;endStation=59",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Suecia</t>
        </is>
      </c>
      <c r="D315" t="inlineStr">
        <is>
          <t>Estocolmo</t>
        </is>
      </c>
      <c r="E315" t="inlineStr">
        <is>
          <t>2026-04-01</t>
        </is>
      </c>
      <c r="F315" t="inlineStr">
        <is>
          <t>2026-04-08</t>
        </is>
      </c>
      <c r="G315" t="inlineStr">
        <is>
          <t xml:space="preserve"> - Surfer Suite - Beach Hostel</t>
        </is>
      </c>
      <c r="H315">
        <f>HYPERLINK("https://booking.roadsurfer.com/es/rally/pick?pickup_date=2026-04-01&amp;return_date=2026-04-08&amp;currency=EUR&amp;startStation=22&amp;endStation=59",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Suecia</t>
        </is>
      </c>
      <c r="D316" t="inlineStr">
        <is>
          <t>Estocolmo</t>
        </is>
      </c>
      <c r="E316" t="inlineStr">
        <is>
          <t>2026-04-30</t>
        </is>
      </c>
      <c r="F316" t="inlineStr">
        <is>
          <t>2026-05-07</t>
        </is>
      </c>
      <c r="G316" t="inlineStr">
        <is>
          <t xml:space="preserve"> - Surfer Suite - Camper Castle</t>
        </is>
      </c>
      <c r="H316">
        <f>HYPERLINK("https://booking.roadsurfer.com/es/rally/pick?pickup_date=2026-04-30&amp;return_date=2026-05-07&amp;currency=EUR&amp;startStation=22&amp;endStation=59",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Suecia</t>
        </is>
      </c>
      <c r="D317" t="inlineStr">
        <is>
          <t>Estocolmo</t>
        </is>
      </c>
      <c r="E317" t="inlineStr">
        <is>
          <t>2026-04-16</t>
        </is>
      </c>
      <c r="F317" t="inlineStr">
        <is>
          <t>2026-04-23</t>
        </is>
      </c>
      <c r="G317" t="inlineStr">
        <is>
          <t xml:space="preserve"> - Road House</t>
        </is>
      </c>
      <c r="H317">
        <f>HYPERLINK("https://booking.roadsurfer.com/es/rally/pick?pickup_date=2026-04-16&amp;return_date=2026-04-23&amp;currency=EUR&amp;startStation=22&amp;endStation=59",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Suecia</t>
        </is>
      </c>
      <c r="D318" t="inlineStr">
        <is>
          <t>Estocolmo</t>
        </is>
      </c>
      <c r="E318" t="inlineStr">
        <is>
          <t>2026-04-02</t>
        </is>
      </c>
      <c r="F318" t="inlineStr">
        <is>
          <t>2026-04-09</t>
        </is>
      </c>
      <c r="G318" t="inlineStr">
        <is>
          <t xml:space="preserve"> - Road House</t>
        </is>
      </c>
      <c r="H318">
        <f>HYPERLINK("https://booking.roadsurfer.com/es/rally/pick?pickup_date=2026-04-02&amp;return_date=2026-04-09&amp;currency=EUR&amp;startStation=22&amp;endStation=59",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Suecia</t>
        </is>
      </c>
      <c r="D319" t="inlineStr">
        <is>
          <t>Estocolmo</t>
        </is>
      </c>
      <c r="E319" t="inlineStr">
        <is>
          <t>2026-05-18</t>
        </is>
      </c>
      <c r="F319" t="inlineStr">
        <is>
          <t>2026-05-25</t>
        </is>
      </c>
      <c r="G319" t="inlineStr">
        <is>
          <t xml:space="preserve"> - Camper Castle</t>
        </is>
      </c>
      <c r="H319">
        <f>HYPERLINK("https://booking.roadsurfer.com/es/rally/pick?pickup_date=2026-05-18&amp;return_date=2026-05-25&amp;currency=EUR&amp;startStation=22&amp;endStation=59",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Suecia</t>
        </is>
      </c>
      <c r="D320" t="inlineStr">
        <is>
          <t>Estocolmo</t>
        </is>
      </c>
      <c r="E320" t="inlineStr">
        <is>
          <t>2026-04-27</t>
        </is>
      </c>
      <c r="F320" t="inlineStr">
        <is>
          <t>2026-05-04</t>
        </is>
      </c>
      <c r="G320" t="inlineStr">
        <is>
          <t xml:space="preserve"> - Family Finca</t>
        </is>
      </c>
      <c r="H320">
        <f>HYPERLINK("https://booking.roadsurfer.com/es/rally/pick?pickup_date=2026-04-27&amp;return_date=2026-05-04&amp;currency=EUR&amp;startStation=22&amp;endStation=59",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Italia</t>
        </is>
      </c>
      <c r="D321" t="inlineStr">
        <is>
          <t>Venecia</t>
        </is>
      </c>
      <c r="E321" t="inlineStr">
        <is>
          <t>2026-05-06</t>
        </is>
      </c>
      <c r="F321" t="inlineStr">
        <is>
          <t>2026-05-13</t>
        </is>
      </c>
      <c r="G321" t="inlineStr">
        <is>
          <t xml:space="preserve"> - Surfer Suite</t>
        </is>
      </c>
      <c r="H321">
        <f>HYPERLINK("https://booking.roadsurfer.com/es/rally/pick?pickup_date=2026-05-06&amp;return_date=2026-05-13&amp;currency=EUR&amp;startStation=22&amp;endStation=78",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Italia</t>
        </is>
      </c>
      <c r="D322" t="inlineStr">
        <is>
          <t>Venecia</t>
        </is>
      </c>
      <c r="E322" t="inlineStr">
        <is>
          <t>2026-04-07</t>
        </is>
      </c>
      <c r="F322" t="inlineStr">
        <is>
          <t>2026-04-14</t>
        </is>
      </c>
      <c r="G322" t="inlineStr">
        <is>
          <t xml:space="preserve"> - Couple Cottage</t>
        </is>
      </c>
      <c r="H322">
        <f>HYPERLINK("https://booking.roadsurfer.com/es/rally/pick?pickup_date=2026-04-07&amp;return_date=2026-04-14&amp;currency=EUR&amp;startStation=22&amp;endStation=78",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Francia</t>
        </is>
      </c>
      <c r="D323" t="inlineStr">
        <is>
          <t>Nantes</t>
        </is>
      </c>
      <c r="E323" t="inlineStr">
        <is>
          <t>2026-04-07</t>
        </is>
      </c>
      <c r="F323" t="inlineStr">
        <is>
          <t>2026-04-14</t>
        </is>
      </c>
      <c r="G323" t="inlineStr">
        <is>
          <t xml:space="preserve"> - Surfer Suite</t>
        </is>
      </c>
      <c r="H323">
        <f>HYPERLINK("https://booking.roadsurfer.com/es/rally/pick?pickup_date=2026-04-07&amp;return_date=2026-04-14&amp;currency=EUR&amp;startStation=22&amp;endStation=31",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Francia</t>
        </is>
      </c>
      <c r="D324" t="inlineStr">
        <is>
          <t>Nantes</t>
        </is>
      </c>
      <c r="E324" t="inlineStr">
        <is>
          <t>2026-04-30</t>
        </is>
      </c>
      <c r="F324" t="inlineStr">
        <is>
          <t>2026-05-07</t>
        </is>
      </c>
      <c r="G324" t="inlineStr">
        <is>
          <t xml:space="preserve"> - Surfer Suite</t>
        </is>
      </c>
      <c r="H324">
        <f>HYPERLINK("https://booking.roadsurfer.com/es/rally/pick?pickup_date=2026-04-30&amp;return_date=2026-05-07&amp;currency=EUR&amp;startStation=22&amp;endStation=31",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Francia</t>
        </is>
      </c>
      <c r="D325" t="inlineStr">
        <is>
          <t>Nantes</t>
        </is>
      </c>
      <c r="E325" t="inlineStr">
        <is>
          <t>2026-04-20</t>
        </is>
      </c>
      <c r="F325" t="inlineStr">
        <is>
          <t>2026-04-27</t>
        </is>
      </c>
      <c r="G325" t="inlineStr">
        <is>
          <t xml:space="preserve"> - Surfer Suite</t>
        </is>
      </c>
      <c r="H325">
        <f>HYPERLINK("https://booking.roadsurfer.com/es/rally/pick?pickup_date=2026-04-20&amp;return_date=2026-04-27&amp;currency=EUR&amp;startStation=22&amp;endStation=31",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Francia</t>
        </is>
      </c>
      <c r="D326" t="inlineStr">
        <is>
          <t>Nantes</t>
        </is>
      </c>
      <c r="E326" t="inlineStr">
        <is>
          <t>2026-04-02</t>
        </is>
      </c>
      <c r="F326" t="inlineStr">
        <is>
          <t>2026-04-09</t>
        </is>
      </c>
      <c r="G326" t="inlineStr">
        <is>
          <t xml:space="preserve"> - Surfer Suite</t>
        </is>
      </c>
      <c r="H326">
        <f>HYPERLINK("https://booking.roadsurfer.com/es/rally/pick?pickup_date=2026-04-02&amp;return_date=2026-04-09&amp;currency=EUR&amp;startStation=22&amp;endStation=31",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Francia</t>
        </is>
      </c>
      <c r="D327" t="inlineStr">
        <is>
          <t>Nantes</t>
        </is>
      </c>
      <c r="E327" t="inlineStr">
        <is>
          <t>2026-04-13</t>
        </is>
      </c>
      <c r="F327" t="inlineStr">
        <is>
          <t>2026-04-20</t>
        </is>
      </c>
      <c r="G327" t="inlineStr">
        <is>
          <t xml:space="preserve"> - No hay coche</t>
        </is>
      </c>
      <c r="H327">
        <f>HYPERLINK("https://booking.roadsurfer.com/es/rally/pick?pickup_date=2026-04-13&amp;return_date=2026-04-20&amp;currency=EUR&amp;startStation=22&amp;endStation=31",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Francia</t>
        </is>
      </c>
      <c r="D328" t="inlineStr">
        <is>
          <t>Nantes</t>
        </is>
      </c>
      <c r="E328" t="inlineStr">
        <is>
          <t>2026-04-04</t>
        </is>
      </c>
      <c r="F328" t="inlineStr">
        <is>
          <t>2026-04-11</t>
        </is>
      </c>
      <c r="G328" t="inlineStr">
        <is>
          <t xml:space="preserve"> - No hay coche</t>
        </is>
      </c>
      <c r="H328">
        <f>HYPERLINK("https://booking.roadsurfer.com/es/rally/pick?pickup_date=2026-04-04&amp;return_date=2026-04-11&amp;currency=EUR&amp;startStation=22&amp;endStation=31",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Francia</t>
        </is>
      </c>
      <c r="D329" t="inlineStr">
        <is>
          <t>Nantes</t>
        </is>
      </c>
      <c r="E329" t="inlineStr">
        <is>
          <t>2026-05-02</t>
        </is>
      </c>
      <c r="F329" t="inlineStr">
        <is>
          <t>2026-05-09</t>
        </is>
      </c>
      <c r="G329" t="inlineStr">
        <is>
          <t xml:space="preserve"> - No hay coche</t>
        </is>
      </c>
      <c r="H329">
        <f>HYPERLINK("https://booking.roadsurfer.com/es/rally/pick?pickup_date=2026-05-02&amp;return_date=2026-05-09&amp;currency=EUR&amp;startStation=22&amp;endStation=31",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Francia</t>
        </is>
      </c>
      <c r="D330" t="inlineStr">
        <is>
          <t>París Sur (Orly)</t>
        </is>
      </c>
      <c r="E330" t="inlineStr">
        <is>
          <t>2026-04-30</t>
        </is>
      </c>
      <c r="F330" t="inlineStr">
        <is>
          <t>2026-05-07</t>
        </is>
      </c>
      <c r="G330" t="inlineStr">
        <is>
          <t xml:space="preserve"> - Surfer Suite</t>
        </is>
      </c>
      <c r="H330">
        <f>HYPERLINK("https://booking.roadsurfer.com/es/rally/pick?pickup_date=2026-04-30&amp;return_date=2026-05-07&amp;currency=EUR&amp;startStation=22&amp;endStation=12",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Francia</t>
        </is>
      </c>
      <c r="D331" t="inlineStr">
        <is>
          <t>París Sur (Orly)</t>
        </is>
      </c>
      <c r="E331" t="inlineStr">
        <is>
          <t>2026-04-02</t>
        </is>
      </c>
      <c r="F331" t="inlineStr">
        <is>
          <t>2026-04-09</t>
        </is>
      </c>
      <c r="G331" t="inlineStr">
        <is>
          <t xml:space="preserve"> - Surfer Suite</t>
        </is>
      </c>
      <c r="H331">
        <f>HYPERLINK("https://booking.roadsurfer.com/es/rally/pick?pickup_date=2026-04-02&amp;return_date=2026-04-09&amp;currency=EUR&amp;startStation=22&amp;endStation=12",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Francia</t>
        </is>
      </c>
      <c r="D332" t="inlineStr">
        <is>
          <t>París Sur (Orly)</t>
        </is>
      </c>
      <c r="E332" t="inlineStr">
        <is>
          <t>2026-04-23</t>
        </is>
      </c>
      <c r="F332" t="inlineStr">
        <is>
          <t>2026-04-30</t>
        </is>
      </c>
      <c r="G332" t="inlineStr">
        <is>
          <t xml:space="preserve"> - No hay coche</t>
        </is>
      </c>
      <c r="H332">
        <f>HYPERLINK("https://booking.roadsurfer.com/es/rally/pick?pickup_date=2026-04-23&amp;return_date=2026-04-30&amp;currency=EUR&amp;startStation=22&amp;endStation=12",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España</t>
        </is>
      </c>
      <c r="D333" t="inlineStr">
        <is>
          <t>Barcelona</t>
        </is>
      </c>
      <c r="E333" t="inlineStr">
        <is>
          <t>2026-04-16</t>
        </is>
      </c>
      <c r="F333" t="inlineStr">
        <is>
          <t>2026-04-23</t>
        </is>
      </c>
      <c r="G333" t="inlineStr">
        <is>
          <t xml:space="preserve"> - Surfer Suite</t>
        </is>
      </c>
      <c r="H333">
        <f>HYPERLINK("https://booking.roadsurfer.com/es/rally/pick?pickup_date=2026-04-16&amp;return_date=2026-04-23&amp;currency=EUR&amp;startStation=22&amp;endStation=17",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España</t>
        </is>
      </c>
      <c r="D334" t="inlineStr">
        <is>
          <t>Barcelona</t>
        </is>
      </c>
      <c r="E334" t="inlineStr">
        <is>
          <t>2026-05-06</t>
        </is>
      </c>
      <c r="F334" t="inlineStr">
        <is>
          <t>2026-05-13</t>
        </is>
      </c>
      <c r="G334" t="inlineStr">
        <is>
          <t xml:space="preserve"> - Beach Hostel</t>
        </is>
      </c>
      <c r="H334">
        <f>HYPERLINK("https://booking.roadsurfer.com/es/rally/pick?pickup_date=2026-05-06&amp;return_date=2026-05-13&amp;currency=EUR&amp;startStation=22&amp;endStation=17",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España</t>
        </is>
      </c>
      <c r="D335" t="inlineStr">
        <is>
          <t>Barcelona</t>
        </is>
      </c>
      <c r="E335" t="inlineStr">
        <is>
          <t>2026-04-08</t>
        </is>
      </c>
      <c r="F335" t="inlineStr">
        <is>
          <t>2026-04-15</t>
        </is>
      </c>
      <c r="G335" t="inlineStr">
        <is>
          <t xml:space="preserve"> - BEACH HOSTEL</t>
        </is>
      </c>
      <c r="H335">
        <f>HYPERLINK("https://booking.roadsurfer.com/es/rally/pick?pickup_date=2026-04-08&amp;return_date=2026-04-15&amp;currency=EUR&amp;startStation=22&amp;endStation=17",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España</t>
        </is>
      </c>
      <c r="D336" t="inlineStr">
        <is>
          <t>Barcelona</t>
        </is>
      </c>
      <c r="E336" t="inlineStr">
        <is>
          <t>2026-04-09</t>
        </is>
      </c>
      <c r="F336" t="inlineStr">
        <is>
          <t>2026-04-16</t>
        </is>
      </c>
      <c r="G336" t="inlineStr">
        <is>
          <t xml:space="preserve"> - Camper Cabin</t>
        </is>
      </c>
      <c r="H336">
        <f>HYPERLINK("https://booking.roadsurfer.com/es/rally/pick?pickup_date=2026-04-09&amp;return_date=2026-04-16&amp;currency=EUR&amp;startStation=22&amp;endStation=17",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España</t>
        </is>
      </c>
      <c r="D337" t="inlineStr">
        <is>
          <t>Barcelona</t>
        </is>
      </c>
      <c r="E337" t="inlineStr">
        <is>
          <t>2026-04-12</t>
        </is>
      </c>
      <c r="F337" t="inlineStr">
        <is>
          <t>2026-04-19</t>
        </is>
      </c>
      <c r="G337" t="inlineStr">
        <is>
          <t xml:space="preserve"> - No hay coche</t>
        </is>
      </c>
      <c r="H337">
        <f>HYPERLINK("https://booking.roadsurfer.com/es/rally/pick?pickup_date=2026-04-12&amp;return_date=2026-04-19&amp;currency=EUR&amp;startStation=22&amp;endStation=17",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España</t>
        </is>
      </c>
      <c r="D338" t="inlineStr">
        <is>
          <t>Barcelona</t>
        </is>
      </c>
      <c r="E338" t="inlineStr">
        <is>
          <t>2026-04-13</t>
        </is>
      </c>
      <c r="F338" t="inlineStr">
        <is>
          <t>2026-04-20</t>
        </is>
      </c>
      <c r="G338" t="inlineStr">
        <is>
          <t xml:space="preserve"> - Sunrise Suite</t>
        </is>
      </c>
      <c r="H338">
        <f>HYPERLINK("https://booking.roadsurfer.com/es/rally/pick?pickup_date=2026-04-13&amp;return_date=2026-04-20&amp;currency=EUR&amp;startStation=22&amp;endStation=17",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Bélgica</t>
        </is>
      </c>
      <c r="D339" t="inlineStr">
        <is>
          <t>Amberes</t>
        </is>
      </c>
      <c r="E339" t="inlineStr">
        <is>
          <t>2026-04-02</t>
        </is>
      </c>
      <c r="F339" t="inlineStr">
        <is>
          <t>2026-04-09</t>
        </is>
      </c>
      <c r="G339" t="inlineStr">
        <is>
          <t xml:space="preserve"> - Surfer Suite</t>
        </is>
      </c>
      <c r="H339">
        <f>HYPERLINK("https://booking.roadsurfer.com/es/rally/pick?pickup_date=2026-04-02&amp;return_date=2026-04-09&amp;currency=EUR&amp;startStation=22&amp;endStation=47",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Bélgica</t>
        </is>
      </c>
      <c r="D340" t="inlineStr">
        <is>
          <t>Amberes</t>
        </is>
      </c>
      <c r="E340" t="inlineStr">
        <is>
          <t>2026-04-22</t>
        </is>
      </c>
      <c r="F340" t="inlineStr">
        <is>
          <t>2026-04-29</t>
        </is>
      </c>
      <c r="G340" t="inlineStr">
        <is>
          <t xml:space="preserve"> - Surfer Suite</t>
        </is>
      </c>
      <c r="H340">
        <f>HYPERLINK("https://booking.roadsurfer.com/es/rally/pick?pickup_date=2026-04-22&amp;return_date=2026-04-29&amp;currency=EUR&amp;startStation=22&amp;endStation=47",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Bélgica</t>
        </is>
      </c>
      <c r="D341" t="inlineStr">
        <is>
          <t>Amberes</t>
        </is>
      </c>
      <c r="E341" t="inlineStr">
        <is>
          <t>2026-04-14</t>
        </is>
      </c>
      <c r="F341" t="inlineStr">
        <is>
          <t>2026-04-21</t>
        </is>
      </c>
      <c r="G341" t="inlineStr">
        <is>
          <t xml:space="preserve"> - Surfer Suite</t>
        </is>
      </c>
      <c r="H341">
        <f>HYPERLINK("https://booking.roadsurfer.com/es/rally/pick?pickup_date=2026-04-14&amp;return_date=2026-04-21&amp;currency=EUR&amp;startStation=22&amp;endStation=47",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Francia</t>
        </is>
      </c>
      <c r="D342" t="inlineStr">
        <is>
          <t>Toulouse</t>
        </is>
      </c>
      <c r="E342" t="inlineStr">
        <is>
          <t>2026-04-07</t>
        </is>
      </c>
      <c r="F342" t="inlineStr">
        <is>
          <t>2026-04-14</t>
        </is>
      </c>
      <c r="G342" t="inlineStr">
        <is>
          <t xml:space="preserve"> - Surfer Suite - Beach Hostel</t>
        </is>
      </c>
      <c r="H342">
        <f>HYPERLINK("https://booking.roadsurfer.com/es/rally/pick?pickup_date=2026-04-07&amp;return_date=2026-04-14&amp;currency=EUR&amp;startStation=22&amp;endStation=30",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Francia</t>
        </is>
      </c>
      <c r="D343" t="inlineStr">
        <is>
          <t>Toulouse</t>
        </is>
      </c>
      <c r="E343" t="inlineStr">
        <is>
          <t>2026-04-02</t>
        </is>
      </c>
      <c r="F343" t="inlineStr">
        <is>
          <t>2026-04-09</t>
        </is>
      </c>
      <c r="G343" t="inlineStr">
        <is>
          <t xml:space="preserve"> - Surfer Suite</t>
        </is>
      </c>
      <c r="H343">
        <f>HYPERLINK("https://booking.roadsurfer.com/es/rally/pick?pickup_date=2026-04-02&amp;return_date=2026-04-09&amp;currency=EUR&amp;startStation=22&amp;endStation=30",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Francia</t>
        </is>
      </c>
      <c r="D344" t="inlineStr">
        <is>
          <t>Toulouse</t>
        </is>
      </c>
      <c r="E344" t="inlineStr">
        <is>
          <t>2026-04-01</t>
        </is>
      </c>
      <c r="F344" t="inlineStr">
        <is>
          <t>2026-04-08</t>
        </is>
      </c>
      <c r="G344" t="inlineStr">
        <is>
          <t xml:space="preserve"> - Beach Hostel</t>
        </is>
      </c>
      <c r="H344">
        <f>HYPERLINK("https://booking.roadsurfer.com/es/rally/pick?pickup_date=2026-04-01&amp;return_date=2026-04-08&amp;currency=EUR&amp;startStation=22&amp;endStation=30",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Francia</t>
        </is>
      </c>
      <c r="D345" t="inlineStr">
        <is>
          <t>Toulouse</t>
        </is>
      </c>
      <c r="E345" t="inlineStr">
        <is>
          <t>2026-04-08</t>
        </is>
      </c>
      <c r="F345" t="inlineStr">
        <is>
          <t>2026-04-15</t>
        </is>
      </c>
      <c r="G345" t="inlineStr">
        <is>
          <t xml:space="preserve"> - FAMILY FINCA</t>
        </is>
      </c>
      <c r="H345">
        <f>HYPERLINK("https://booking.roadsurfer.com/es/rally/pick?pickup_date=2026-04-08&amp;return_date=2026-04-15&amp;currency=EUR&amp;startStation=22&amp;endStation=30",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Países Bajos</t>
        </is>
      </c>
      <c r="D346" t="inlineStr">
        <is>
          <t>Róterdam</t>
        </is>
      </c>
      <c r="E346" t="inlineStr">
        <is>
          <t>2026-04-06</t>
        </is>
      </c>
      <c r="F346" t="inlineStr">
        <is>
          <t>2026-04-13</t>
        </is>
      </c>
      <c r="G346" t="inlineStr">
        <is>
          <t xml:space="preserve"> - No hay coche</t>
        </is>
      </c>
      <c r="H346">
        <f>HYPERLINK("https://booking.roadsurfer.com/es/rally/pick?pickup_date=2026-04-06&amp;return_date=2026-04-13&amp;currency=EUR&amp;startStation=22&amp;endStation=33",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Países Bajos</t>
        </is>
      </c>
      <c r="D347" t="inlineStr">
        <is>
          <t>Róterdam</t>
        </is>
      </c>
      <c r="E347" t="inlineStr">
        <is>
          <t>2026-04-17</t>
        </is>
      </c>
      <c r="F347" t="inlineStr">
        <is>
          <t>2026-04-24</t>
        </is>
      </c>
      <c r="G347" t="inlineStr">
        <is>
          <t xml:space="preserve"> - Camper Cabin</t>
        </is>
      </c>
      <c r="H347">
        <f>HYPERLINK("https://booking.roadsurfer.com/es/rally/pick?pickup_date=2026-04-17&amp;return_date=2026-04-24&amp;currency=EUR&amp;startStation=22&amp;endStation=33",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Italia</t>
        </is>
      </c>
      <c r="D348" t="inlineStr">
        <is>
          <t>Roma Aeropuerto Fiumicino</t>
        </is>
      </c>
      <c r="E348" t="inlineStr">
        <is>
          <t>2026-04-02</t>
        </is>
      </c>
      <c r="F348" t="inlineStr">
        <is>
          <t>2026-04-09</t>
        </is>
      </c>
      <c r="G348" t="inlineStr">
        <is>
          <t xml:space="preserve"> - Surfer Suite</t>
        </is>
      </c>
      <c r="H348">
        <f>HYPERLINK("https://booking.roadsurfer.com/es/rally/pick?pickup_date=2026-04-02&amp;return_date=2026-04-09&amp;currency=EUR&amp;startStation=22&amp;endStation=35",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Suecia</t>
        </is>
      </c>
      <c r="D349" t="inlineStr">
        <is>
          <t>Gotemburgo</t>
        </is>
      </c>
      <c r="E349" t="inlineStr">
        <is>
          <t>2026-04-01</t>
        </is>
      </c>
      <c r="F349" t="inlineStr">
        <is>
          <t>2026-04-08</t>
        </is>
      </c>
      <c r="G349" t="inlineStr">
        <is>
          <t xml:space="preserve"> - Surfer Suite</t>
        </is>
      </c>
      <c r="H349">
        <f>HYPERLINK("https://booking.roadsurfer.com/es/rally/pick?pickup_date=2026-04-01&amp;return_date=2026-04-08&amp;currency=EUR&amp;startStation=22&amp;endStation=77",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Suecia</t>
        </is>
      </c>
      <c r="D350" t="inlineStr">
        <is>
          <t>Gotemburgo</t>
        </is>
      </c>
      <c r="E350" t="inlineStr">
        <is>
          <t>2026-04-30</t>
        </is>
      </c>
      <c r="F350" t="inlineStr">
        <is>
          <t>2026-05-07</t>
        </is>
      </c>
      <c r="G350" t="inlineStr">
        <is>
          <t xml:space="preserve"> - Surfer Suite - Beach Hostel</t>
        </is>
      </c>
      <c r="H350">
        <f>HYPERLINK("https://booking.roadsurfer.com/es/rally/pick?pickup_date=2026-04-30&amp;return_date=2026-05-07&amp;currency=EUR&amp;startStation=22&amp;endStation=77",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Suecia</t>
        </is>
      </c>
      <c r="D351" t="inlineStr">
        <is>
          <t>Gotemburgo</t>
        </is>
      </c>
      <c r="E351" t="inlineStr">
        <is>
          <t>2026-04-02</t>
        </is>
      </c>
      <c r="F351" t="inlineStr">
        <is>
          <t>2026-04-09</t>
        </is>
      </c>
      <c r="G351" t="inlineStr">
        <is>
          <t xml:space="preserve"> - SURFER SUITE</t>
        </is>
      </c>
      <c r="H351">
        <f>HYPERLINK("https://booking.roadsurfer.com/es/rally/pick?pickup_date=2026-04-02&amp;return_date=2026-04-09&amp;currency=EUR&amp;startStation=22&amp;endStation=77",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Suecia</t>
        </is>
      </c>
      <c r="D352" t="inlineStr">
        <is>
          <t>Gotemburgo</t>
        </is>
      </c>
      <c r="E352" t="inlineStr">
        <is>
          <t>2026-05-06</t>
        </is>
      </c>
      <c r="F352" t="inlineStr">
        <is>
          <t>2026-05-13</t>
        </is>
      </c>
      <c r="G352" t="inlineStr">
        <is>
          <t xml:space="preserve"> - Beach Hostel</t>
        </is>
      </c>
      <c r="H352">
        <f>HYPERLINK("https://booking.roadsurfer.com/es/rally/pick?pickup_date=2026-05-06&amp;return_date=2026-05-13&amp;currency=EUR&amp;startStation=22&amp;endStation=77",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Suecia</t>
        </is>
      </c>
      <c r="D353" t="inlineStr">
        <is>
          <t>Gotemburgo</t>
        </is>
      </c>
      <c r="E353" t="inlineStr">
        <is>
          <t>2026-05-02</t>
        </is>
      </c>
      <c r="F353" t="inlineStr">
        <is>
          <t>2026-05-09</t>
        </is>
      </c>
      <c r="G353" t="inlineStr">
        <is>
          <t xml:space="preserve"> - No hay coche</t>
        </is>
      </c>
      <c r="H353">
        <f>HYPERLINK("https://booking.roadsurfer.com/es/rally/pick?pickup_date=2026-05-02&amp;return_date=2026-05-09&amp;currency=EUR&amp;startStation=22&amp;endStation=77",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Suecia</t>
        </is>
      </c>
      <c r="D354" t="inlineStr">
        <is>
          <t>Gotemburgo</t>
        </is>
      </c>
      <c r="E354" t="inlineStr">
        <is>
          <t>2026-04-07</t>
        </is>
      </c>
      <c r="F354" t="inlineStr">
        <is>
          <t>2026-04-14</t>
        </is>
      </c>
      <c r="G354" t="inlineStr">
        <is>
          <t xml:space="preserve"> - CAMPER CASTLE</t>
        </is>
      </c>
      <c r="H354">
        <f>HYPERLINK("https://booking.roadsurfer.com/es/rally/pick?pickup_date=2026-04-07&amp;return_date=2026-04-14&amp;currency=EUR&amp;startStation=22&amp;endStation=77",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Francia</t>
        </is>
      </c>
      <c r="D355" t="inlineStr">
        <is>
          <t>París Aeropuerto CDG</t>
        </is>
      </c>
      <c r="E355" t="inlineStr">
        <is>
          <t>2026-04-08</t>
        </is>
      </c>
      <c r="F355" t="inlineStr">
        <is>
          <t>2026-04-15</t>
        </is>
      </c>
      <c r="G355" t="inlineStr">
        <is>
          <t xml:space="preserve"> - Surfer Suite</t>
        </is>
      </c>
      <c r="H355">
        <f>HYPERLINK("https://booking.roadsurfer.com/es/rally/pick?pickup_date=2026-04-08&amp;return_date=2026-04-15&amp;currency=EUR&amp;startStation=22&amp;endStation=48",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España</t>
        </is>
      </c>
      <c r="D356" t="inlineStr">
        <is>
          <t>Bilbao</t>
        </is>
      </c>
      <c r="E356" t="inlineStr">
        <is>
          <t>2026-04-06</t>
        </is>
      </c>
      <c r="F356" t="inlineStr">
        <is>
          <t>2026-04-13</t>
        </is>
      </c>
      <c r="G356" t="inlineStr">
        <is>
          <t xml:space="preserve"> - Surfer Suite</t>
        </is>
      </c>
      <c r="H356">
        <f>HYPERLINK("https://booking.roadsurfer.com/es/rally/pick?pickup_date=2026-04-06&amp;return_date=2026-04-13&amp;currency=EUR&amp;startStation=22&amp;endStation=40",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España</t>
        </is>
      </c>
      <c r="D357" t="inlineStr">
        <is>
          <t>Bilbao</t>
        </is>
      </c>
      <c r="E357" t="inlineStr">
        <is>
          <t>2026-04-10</t>
        </is>
      </c>
      <c r="F357" t="inlineStr">
        <is>
          <t>2026-04-17</t>
        </is>
      </c>
      <c r="G357" t="inlineStr">
        <is>
          <t xml:space="preserve"> - Surfer Suite</t>
        </is>
      </c>
      <c r="H357">
        <f>HYPERLINK("https://booking.roadsurfer.com/es/rally/pick?pickup_date=2026-04-10&amp;return_date=2026-04-17&amp;currency=EUR&amp;startStation=22&amp;endStation=40",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Bélgica</t>
        </is>
      </c>
      <c r="D358" t="inlineStr">
        <is>
          <t>Bruselas</t>
        </is>
      </c>
      <c r="E358" t="inlineStr">
        <is>
          <t>2026-04-14</t>
        </is>
      </c>
      <c r="F358" t="inlineStr">
        <is>
          <t>2026-04-21</t>
        </is>
      </c>
      <c r="G358" t="inlineStr">
        <is>
          <t xml:space="preserve"> - Surfer Suite</t>
        </is>
      </c>
      <c r="H358">
        <f>HYPERLINK("https://booking.roadsurfer.com/es/rally/pick?pickup_date=2026-04-14&amp;return_date=2026-04-21&amp;currency=EUR&amp;startStation=22&amp;endStation=42",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Bélgica</t>
        </is>
      </c>
      <c r="D359" t="inlineStr">
        <is>
          <t>Bruselas</t>
        </is>
      </c>
      <c r="E359" t="inlineStr">
        <is>
          <t>2026-04-23</t>
        </is>
      </c>
      <c r="F359" t="inlineStr">
        <is>
          <t>2026-04-30</t>
        </is>
      </c>
      <c r="G359" t="inlineStr">
        <is>
          <t xml:space="preserve"> - Family Finca</t>
        </is>
      </c>
      <c r="H359">
        <f>HYPERLINK("https://booking.roadsurfer.com/es/rally/pick?pickup_date=2026-04-23&amp;return_date=2026-04-30&amp;currency=EUR&amp;startStation=22&amp;endStation=42",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España</t>
        </is>
      </c>
      <c r="D360" t="inlineStr">
        <is>
          <t>Málaga</t>
        </is>
      </c>
      <c r="E360" t="inlineStr">
        <is>
          <t>2026-04-01</t>
        </is>
      </c>
      <c r="F360" t="inlineStr">
        <is>
          <t>2026-04-08</t>
        </is>
      </c>
      <c r="G360" t="inlineStr">
        <is>
          <t xml:space="preserve"> - Surfer Suite</t>
        </is>
      </c>
      <c r="H360">
        <f>HYPERLINK("https://booking.roadsurfer.com/es/rally/pick?pickup_date=2026-04-01&amp;return_date=2026-04-08&amp;currency=EUR&amp;startStation=22&amp;endStation=21",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Italia</t>
        </is>
      </c>
      <c r="D361" t="inlineStr">
        <is>
          <t>Milán</t>
        </is>
      </c>
      <c r="E361" t="inlineStr">
        <is>
          <t>2026-04-28</t>
        </is>
      </c>
      <c r="F361" t="inlineStr">
        <is>
          <t>2026-05-05</t>
        </is>
      </c>
      <c r="G361" t="inlineStr">
        <is>
          <t xml:space="preserve"> - Surfer Suite</t>
        </is>
      </c>
      <c r="H361">
        <f>HYPERLINK("https://booking.roadsurfer.com/es/rally/pick?pickup_date=2026-04-28&amp;return_date=2026-05-05&amp;currency=EUR&amp;startStation=22&amp;endStation=34",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Italia</t>
        </is>
      </c>
      <c r="D362" t="inlineStr">
        <is>
          <t>Milán</t>
        </is>
      </c>
      <c r="E362" t="inlineStr">
        <is>
          <t>2026-04-07</t>
        </is>
      </c>
      <c r="F362" t="inlineStr">
        <is>
          <t>2026-04-14</t>
        </is>
      </c>
      <c r="G362" t="inlineStr">
        <is>
          <t xml:space="preserve"> - Beach Hostel</t>
        </is>
      </c>
      <c r="H362">
        <f>HYPERLINK("https://booking.roadsurfer.com/es/rally/pick?pickup_date=2026-04-07&amp;return_date=2026-04-14&amp;currency=EUR&amp;startStation=22&amp;endStation=34",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Italia</t>
        </is>
      </c>
      <c r="D363" t="inlineStr">
        <is>
          <t>Milán</t>
        </is>
      </c>
      <c r="E363" t="inlineStr">
        <is>
          <t>2026-04-02</t>
        </is>
      </c>
      <c r="F363" t="inlineStr">
        <is>
          <t>2026-04-09</t>
        </is>
      </c>
      <c r="G363" t="inlineStr">
        <is>
          <t xml:space="preserve"> - Beach Hostel</t>
        </is>
      </c>
      <c r="H363">
        <f>HYPERLINK("https://booking.roadsurfer.com/es/rally/pick?pickup_date=2026-04-02&amp;return_date=2026-04-09&amp;currency=EUR&amp;startStation=22&amp;endStation=34",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Alemania</t>
        </is>
      </c>
      <c r="D364" t="inlineStr">
        <is>
          <t>Bochum</t>
        </is>
      </c>
      <c r="E364" t="inlineStr">
        <is>
          <t>2026-04-06</t>
        </is>
      </c>
      <c r="F364" t="inlineStr">
        <is>
          <t>2026-04-13</t>
        </is>
      </c>
      <c r="G364" t="inlineStr">
        <is>
          <t xml:space="preserve"> - Surfer Suite</t>
        </is>
      </c>
      <c r="H364">
        <f>HYPERLINK("https://booking.roadsurfer.com/es/rally/pick?pickup_date=2026-04-06&amp;return_date=2026-04-13&amp;currency=EUR&amp;startStation=22&amp;endStation=24",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Italia</t>
        </is>
      </c>
      <c r="D365" t="inlineStr">
        <is>
          <t>Bérgamo</t>
        </is>
      </c>
      <c r="E365" t="inlineStr">
        <is>
          <t>2026-04-08</t>
        </is>
      </c>
      <c r="F365" t="inlineStr">
        <is>
          <t>2026-04-15</t>
        </is>
      </c>
      <c r="G365" t="inlineStr">
        <is>
          <t xml:space="preserve"> - Beach Hostel</t>
        </is>
      </c>
      <c r="H365">
        <f>HYPERLINK("https://booking.roadsurfer.com/es/rally/pick?pickup_date=2026-04-08&amp;return_date=2026-04-15&amp;currency=EUR&amp;startStation=22&amp;endStation=94",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Italia</t>
        </is>
      </c>
      <c r="D366" t="inlineStr">
        <is>
          <t>Bérgamo</t>
        </is>
      </c>
      <c r="E366" t="inlineStr">
        <is>
          <t>2026-04-09</t>
        </is>
      </c>
      <c r="F366" t="inlineStr">
        <is>
          <t>2026-04-16</t>
        </is>
      </c>
      <c r="G366" t="inlineStr">
        <is>
          <t xml:space="preserve"> - Surfer Suite</t>
        </is>
      </c>
      <c r="H366">
        <f>HYPERLINK("https://booking.roadsurfer.com/es/rally/pick?pickup_date=2026-04-09&amp;return_date=2026-04-16&amp;currency=EUR&amp;startStation=22&amp;endStation=94",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Italia</t>
        </is>
      </c>
      <c r="D367" t="inlineStr">
        <is>
          <t>Bérgamo</t>
        </is>
      </c>
      <c r="E367" t="inlineStr">
        <is>
          <t>2026-04-07</t>
        </is>
      </c>
      <c r="F367" t="inlineStr">
        <is>
          <t>2026-04-14</t>
        </is>
      </c>
      <c r="G367" t="inlineStr">
        <is>
          <t xml:space="preserve"> - Surfer Suite</t>
        </is>
      </c>
      <c r="H367">
        <f>HYPERLINK("https://booking.roadsurfer.com/es/rally/pick?pickup_date=2026-04-07&amp;return_date=2026-04-14&amp;currency=EUR&amp;startStation=22&amp;endStation=94",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Italia</t>
        </is>
      </c>
      <c r="D368" t="inlineStr">
        <is>
          <t>Bérgamo</t>
        </is>
      </c>
      <c r="E368" t="inlineStr">
        <is>
          <t>2026-04-14</t>
        </is>
      </c>
      <c r="F368" t="inlineStr">
        <is>
          <t>2026-04-21</t>
        </is>
      </c>
      <c r="G368" t="inlineStr">
        <is>
          <t xml:space="preserve"> - Surfer Suite</t>
        </is>
      </c>
      <c r="H368">
        <f>HYPERLINK("https://booking.roadsurfer.com/es/rally/pick?pickup_date=2026-04-14&amp;return_date=2026-04-21&amp;currency=EUR&amp;startStation=22&amp;endStation=94",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Suecia</t>
        </is>
      </c>
      <c r="D369" t="inlineStr">
        <is>
          <t>Malmö</t>
        </is>
      </c>
      <c r="E369" t="inlineStr">
        <is>
          <t>2026-04-01</t>
        </is>
      </c>
      <c r="F369" t="inlineStr">
        <is>
          <t>2026-04-08</t>
        </is>
      </c>
      <c r="G369" t="inlineStr">
        <is>
          <t xml:space="preserve"> - Surfer Suite</t>
        </is>
      </c>
      <c r="H369">
        <f>HYPERLINK("https://booking.roadsurfer.com/es/rally/pick?pickup_date=2026-04-01&amp;return_date=2026-04-08&amp;currency=EUR&amp;startStation=22&amp;endStation=60",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Suecia</t>
        </is>
      </c>
      <c r="D370" t="inlineStr">
        <is>
          <t>Malmö</t>
        </is>
      </c>
      <c r="E370" t="inlineStr">
        <is>
          <t>2026-04-08</t>
        </is>
      </c>
      <c r="F370" t="inlineStr">
        <is>
          <t>2026-04-15</t>
        </is>
      </c>
      <c r="G370" t="inlineStr">
        <is>
          <t xml:space="preserve"> - Surfer Suite - Beach Hostel</t>
        </is>
      </c>
      <c r="H370">
        <f>HYPERLINK("https://booking.roadsurfer.com/es/rally/pick?pickup_date=2026-04-08&amp;return_date=2026-04-15&amp;currency=EUR&amp;startStation=22&amp;endStation=60",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Suecia</t>
        </is>
      </c>
      <c r="D371" t="inlineStr">
        <is>
          <t>Malmö</t>
        </is>
      </c>
      <c r="E371" t="inlineStr">
        <is>
          <t>2026-04-02</t>
        </is>
      </c>
      <c r="F371" t="inlineStr">
        <is>
          <t>2026-04-09</t>
        </is>
      </c>
      <c r="G371" t="inlineStr">
        <is>
          <t xml:space="preserve"> - Surfer Suite - SURFER SUITE - Family Finca</t>
        </is>
      </c>
      <c r="H371">
        <f>HYPERLINK("https://booking.roadsurfer.com/es/rally/pick?pickup_date=2026-04-02&amp;return_date=2026-04-09&amp;currency=EUR&amp;startStation=22&amp;endStation=60",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Suecia</t>
        </is>
      </c>
      <c r="D372" t="inlineStr">
        <is>
          <t>Malmö</t>
        </is>
      </c>
      <c r="E372" t="inlineStr">
        <is>
          <t>2026-04-06</t>
        </is>
      </c>
      <c r="F372" t="inlineStr">
        <is>
          <t>2026-04-13</t>
        </is>
      </c>
      <c r="G372" t="inlineStr">
        <is>
          <t xml:space="preserve"> - Beach Hostel</t>
        </is>
      </c>
      <c r="H372">
        <f>HYPERLINK("https://booking.roadsurfer.com/es/rally/pick?pickup_date=2026-04-06&amp;return_date=2026-04-13&amp;currency=EUR&amp;startStation=22&amp;endStation=60",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Austria</t>
        </is>
      </c>
      <c r="D373" t="inlineStr">
        <is>
          <t>Viena</t>
        </is>
      </c>
      <c r="E373" t="inlineStr">
        <is>
          <t>2026-04-01</t>
        </is>
      </c>
      <c r="F373" t="inlineStr">
        <is>
          <t>2026-04-08</t>
        </is>
      </c>
      <c r="G373" t="inlineStr">
        <is>
          <t xml:space="preserve"> - Surfer Suite</t>
        </is>
      </c>
      <c r="H373">
        <f>HYPERLINK("https://booking.roadsurfer.com/es/rally/pick?pickup_date=2026-04-01&amp;return_date=2026-04-08&amp;currency=EUR&amp;startStation=22&amp;endStation=36",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Austria</t>
        </is>
      </c>
      <c r="D374" t="inlineStr">
        <is>
          <t>Viena</t>
        </is>
      </c>
      <c r="E374" t="inlineStr">
        <is>
          <t>2026-04-07</t>
        </is>
      </c>
      <c r="F374" t="inlineStr">
        <is>
          <t>2026-04-14</t>
        </is>
      </c>
      <c r="G374" t="inlineStr">
        <is>
          <t xml:space="preserve"> - Beach Hostel - CAMPER CABIN</t>
        </is>
      </c>
      <c r="H374">
        <f>HYPERLINK("https://booking.roadsurfer.com/es/rally/pick?pickup_date=2026-04-07&amp;return_date=2026-04-14&amp;currency=EUR&amp;startStation=22&amp;endStation=36",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Austria</t>
        </is>
      </c>
      <c r="D375" t="inlineStr">
        <is>
          <t>Viena</t>
        </is>
      </c>
      <c r="E375" t="inlineStr">
        <is>
          <t>2026-04-08</t>
        </is>
      </c>
      <c r="F375" t="inlineStr">
        <is>
          <t>2026-04-15</t>
        </is>
      </c>
      <c r="G375" t="inlineStr">
        <is>
          <t xml:space="preserve"> - BEACH HOSTEL</t>
        </is>
      </c>
      <c r="H375">
        <f>HYPERLINK("https://booking.roadsurfer.com/es/rally/pick?pickup_date=2026-04-08&amp;return_date=2026-04-15&amp;currency=EUR&amp;startStation=22&amp;endStation=36",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Austria</t>
        </is>
      </c>
      <c r="D376" t="inlineStr">
        <is>
          <t>Viena Sur</t>
        </is>
      </c>
      <c r="E376" t="inlineStr">
        <is>
          <t>2026-04-08</t>
        </is>
      </c>
      <c r="F376" t="inlineStr">
        <is>
          <t>2026-04-15</t>
        </is>
      </c>
      <c r="G376" t="inlineStr">
        <is>
          <t xml:space="preserve"> - Surfer Suite</t>
        </is>
      </c>
      <c r="H376">
        <f>HYPERLINK("https://booking.roadsurfer.com/es/rally/pick?pickup_date=2026-04-08&amp;return_date=2026-04-15&amp;currency=EUR&amp;startStation=22&amp;endStation=45",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Austria</t>
        </is>
      </c>
      <c r="D377" t="inlineStr">
        <is>
          <t>Viena Sur</t>
        </is>
      </c>
      <c r="E377" t="inlineStr">
        <is>
          <t>2026-05-06</t>
        </is>
      </c>
      <c r="F377" t="inlineStr">
        <is>
          <t>2026-05-13</t>
        </is>
      </c>
      <c r="G377" t="inlineStr">
        <is>
          <t xml:space="preserve"> - Surfer Suite</t>
        </is>
      </c>
      <c r="H377">
        <f>HYPERLINK("https://booking.roadsurfer.com/es/rally/pick?pickup_date=2026-05-06&amp;return_date=2026-05-13&amp;currency=EUR&amp;startStation=22&amp;endStation=45",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Italia</t>
        </is>
      </c>
      <c r="D378" t="inlineStr">
        <is>
          <t>Bolonia</t>
        </is>
      </c>
      <c r="E378" t="inlineStr">
        <is>
          <t>2026-04-02</t>
        </is>
      </c>
      <c r="F378" t="inlineStr">
        <is>
          <t>2026-04-09</t>
        </is>
      </c>
      <c r="G378" t="inlineStr">
        <is>
          <t xml:space="preserve"> - Surfer Suite</t>
        </is>
      </c>
      <c r="H378">
        <f>HYPERLINK("https://booking.roadsurfer.com/es/rally/pick?pickup_date=2026-04-02&amp;return_date=2026-04-09&amp;currency=EUR&amp;startStation=22&amp;endStation=57",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Italia</t>
        </is>
      </c>
      <c r="D379" t="inlineStr">
        <is>
          <t>Florencia</t>
        </is>
      </c>
      <c r="E379" t="inlineStr">
        <is>
          <t>2026-04-30</t>
        </is>
      </c>
      <c r="F379" t="inlineStr">
        <is>
          <t>2026-05-07</t>
        </is>
      </c>
      <c r="G379" t="inlineStr">
        <is>
          <t xml:space="preserve"> - Road House</t>
        </is>
      </c>
      <c r="H379">
        <f>HYPERLINK("https://booking.roadsurfer.com/es/rally/pick?pickup_date=2026-04-30&amp;return_date=2026-05-07&amp;currency=EUR&amp;startStation=22&amp;endStation=80",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Italia</t>
        </is>
      </c>
      <c r="D380" t="inlineStr">
        <is>
          <t>Florencia</t>
        </is>
      </c>
      <c r="E380" t="inlineStr">
        <is>
          <t>2026-04-06</t>
        </is>
      </c>
      <c r="F380" t="inlineStr">
        <is>
          <t>2026-04-13</t>
        </is>
      </c>
      <c r="G380" t="inlineStr">
        <is>
          <t xml:space="preserve"> - Beach Hostel</t>
        </is>
      </c>
      <c r="H380">
        <f>HYPERLINK("https://booking.roadsurfer.com/es/rally/pick?pickup_date=2026-04-06&amp;return_date=2026-04-13&amp;currency=EUR&amp;startStation=22&amp;endStation=80",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Francia</t>
        </is>
      </c>
      <c r="D381" t="inlineStr">
        <is>
          <t>Lille</t>
        </is>
      </c>
      <c r="E381" t="inlineStr">
        <is>
          <t>2026-04-07</t>
        </is>
      </c>
      <c r="F381" t="inlineStr">
        <is>
          <t>2026-04-14</t>
        </is>
      </c>
      <c r="G381" t="inlineStr">
        <is>
          <t xml:space="preserve"> - Beach Hostel</t>
        </is>
      </c>
      <c r="H381">
        <f>HYPERLINK("https://booking.roadsurfer.com/es/rally/pick?pickup_date=2026-04-07&amp;return_date=2026-04-14&amp;currency=EUR&amp;startStation=22&amp;endStation=87",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Francia</t>
        </is>
      </c>
      <c r="D382" t="inlineStr">
        <is>
          <t>Lille</t>
        </is>
      </c>
      <c r="E382" t="inlineStr">
        <is>
          <t>2026-04-01</t>
        </is>
      </c>
      <c r="F382" t="inlineStr">
        <is>
          <t>2026-04-08</t>
        </is>
      </c>
      <c r="G382" t="inlineStr">
        <is>
          <t xml:space="preserve"> - Beach Hostel</t>
        </is>
      </c>
      <c r="H382">
        <f>HYPERLINK("https://booking.roadsurfer.com/es/rally/pick?pickup_date=2026-04-01&amp;return_date=2026-04-08&amp;currency=EUR&amp;startStation=22&amp;endStation=87",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España</t>
        </is>
      </c>
      <c r="D383" t="inlineStr">
        <is>
          <t>Sevilla</t>
        </is>
      </c>
      <c r="E383" t="inlineStr">
        <is>
          <t>2026-04-09</t>
        </is>
      </c>
      <c r="F383" t="inlineStr">
        <is>
          <t>2026-04-16</t>
        </is>
      </c>
      <c r="G383" t="inlineStr">
        <is>
          <t xml:space="preserve"> - Road House</t>
        </is>
      </c>
      <c r="H383">
        <f>HYPERLINK("https://booking.roadsurfer.com/es/rally/pick?pickup_date=2026-04-09&amp;return_date=2026-04-16&amp;currency=EUR&amp;startStation=22&amp;endStation=39", "Clic para verlo en la web de RoadSurfer")</f>
        <v/>
      </c>
    </row>
    <row r="384">
      <c r="A384" t="inlineStr">
        <is>
          <t>Italia</t>
        </is>
      </c>
      <c r="B384" t="inlineStr">
        <is>
          <t>Milán</t>
        </is>
      </c>
      <c r="C384" t="inlineStr">
        <is>
          <t>Alemania</t>
        </is>
      </c>
      <c r="D384" t="inlineStr">
        <is>
          <t>Wurzburgo</t>
        </is>
      </c>
      <c r="E384" t="inlineStr">
        <is>
          <t>2026-05-04</t>
        </is>
      </c>
      <c r="F384" t="inlineStr">
        <is>
          <t>2026-05-11</t>
        </is>
      </c>
      <c r="G384" t="inlineStr">
        <is>
          <t xml:space="preserve"> - No hay coche</t>
        </is>
      </c>
      <c r="H384">
        <f>HYPERLINK("https://booking.roadsurfer.com/es/rally/pick?pickup_date=2026-05-04&amp;return_date=2026-05-11&amp;currency=EUR&amp;startStation=34&amp;endStation=115", "Clic para verlo en la web de RoadSurfer")</f>
        <v/>
      </c>
    </row>
    <row r="385">
      <c r="A385" t="inlineStr">
        <is>
          <t>Alemania</t>
        </is>
      </c>
      <c r="B385" t="inlineStr">
        <is>
          <t>Múnich</t>
        </is>
      </c>
      <c r="C385" t="inlineStr">
        <is>
          <t>Austria</t>
        </is>
      </c>
      <c r="D385" t="inlineStr">
        <is>
          <t>Graz</t>
        </is>
      </c>
      <c r="E385" t="inlineStr">
        <is>
          <t>2026-04-13</t>
        </is>
      </c>
      <c r="F385" t="inlineStr">
        <is>
          <t>2026-04-20</t>
        </is>
      </c>
      <c r="G385" t="inlineStr">
        <is>
          <t xml:space="preserve"> - Surfer Suite</t>
        </is>
      </c>
      <c r="H385">
        <f>HYPERLINK("https://booking.roadsurfer.com/es/rally/pick?pickup_date=2026-04-13&amp;return_date=2026-04-20&amp;currency=EUR&amp;startStation=1&amp;endStation=37", "Clic para verlo en la web de RoadSurfer")</f>
        <v/>
      </c>
    </row>
    <row r="386">
      <c r="A386" t="inlineStr">
        <is>
          <t>Alemania</t>
        </is>
      </c>
      <c r="B386" t="inlineStr">
        <is>
          <t>Múnich</t>
        </is>
      </c>
      <c r="C386" t="inlineStr">
        <is>
          <t>Francia</t>
        </is>
      </c>
      <c r="D386" t="inlineStr">
        <is>
          <t>Niza</t>
        </is>
      </c>
      <c r="E386" t="inlineStr">
        <is>
          <t>2026-04-23</t>
        </is>
      </c>
      <c r="F386" t="inlineStr">
        <is>
          <t>2026-04-30</t>
        </is>
      </c>
      <c r="G386" t="inlineStr">
        <is>
          <t xml:space="preserve"> - Surfer Suite</t>
        </is>
      </c>
      <c r="H386">
        <f>HYPERLINK("https://booking.roadsurfer.com/es/rally/pick?pickup_date=2026-04-23&amp;return_date=2026-04-30&amp;currency=EUR&amp;startStation=1&amp;endStation=88", "Clic para verlo en la web de RoadSurfer")</f>
        <v/>
      </c>
    </row>
    <row r="387">
      <c r="A387" t="inlineStr">
        <is>
          <t>Alemania</t>
        </is>
      </c>
      <c r="B387" t="inlineStr">
        <is>
          <t>Múnich</t>
        </is>
      </c>
      <c r="C387" t="inlineStr">
        <is>
          <t>España</t>
        </is>
      </c>
      <c r="D387" t="inlineStr">
        <is>
          <t>Bilbao</t>
        </is>
      </c>
      <c r="E387" t="inlineStr">
        <is>
          <t>2026-04-15</t>
        </is>
      </c>
      <c r="F387" t="inlineStr">
        <is>
          <t>2026-04-22</t>
        </is>
      </c>
      <c r="G387" t="inlineStr">
        <is>
          <t xml:space="preserve"> - Camper Cabin</t>
        </is>
      </c>
      <c r="H387">
        <f>HYPERLINK("https://booking.roadsurfer.com/es/rally/pick?pickup_date=2026-04-15&amp;return_date=2026-04-22&amp;currency=EUR&amp;startStation=1&amp;endStation=40", "Clic para verlo en la web de RoadSurfer")</f>
        <v/>
      </c>
    </row>
    <row r="388">
      <c r="A388" t="inlineStr">
        <is>
          <t>Alemania</t>
        </is>
      </c>
      <c r="B388" t="inlineStr">
        <is>
          <t>Múnich</t>
        </is>
      </c>
      <c r="C388" t="inlineStr">
        <is>
          <t>España</t>
        </is>
      </c>
      <c r="D388" t="inlineStr">
        <is>
          <t>Madrid</t>
        </is>
      </c>
      <c r="E388" t="inlineStr">
        <is>
          <t>2026-03-31</t>
        </is>
      </c>
      <c r="F388" t="inlineStr">
        <is>
          <t>2026-04-07</t>
        </is>
      </c>
      <c r="G388" t="inlineStr">
        <is>
          <t xml:space="preserve"> - Road House</t>
        </is>
      </c>
      <c r="H388">
        <f>HYPERLINK("https://booking.roadsurfer.com/es/rally/pick?pickup_date=2026-03-31&amp;return_date=2026-04-07&amp;currency=EUR&amp;startStation=1&amp;endStation=20", "Clic para verlo en la web de RoadSurfer")</f>
        <v/>
      </c>
    </row>
    <row r="389">
      <c r="A389" t="inlineStr">
        <is>
          <t>Alemania</t>
        </is>
      </c>
      <c r="B389" t="inlineStr">
        <is>
          <t>Múnich</t>
        </is>
      </c>
      <c r="C389" t="inlineStr">
        <is>
          <t>Francia</t>
        </is>
      </c>
      <c r="D389" t="inlineStr">
        <is>
          <t>Lille</t>
        </is>
      </c>
      <c r="E389" t="inlineStr">
        <is>
          <t>2026-04-09</t>
        </is>
      </c>
      <c r="F389" t="inlineStr">
        <is>
          <t>2026-04-16</t>
        </is>
      </c>
      <c r="G389" t="inlineStr">
        <is>
          <t xml:space="preserve"> - COZY COTTAGE</t>
        </is>
      </c>
      <c r="H389">
        <f>HYPERLINK("https://booking.roadsurfer.com/es/rally/pick?pickup_date=2026-04-09&amp;return_date=2026-04-16&amp;currency=EUR&amp;startStation=1&amp;endStation=87", "Clic para verlo en la web de RoadSurfer")</f>
        <v/>
      </c>
    </row>
    <row r="390">
      <c r="A390" t="inlineStr">
        <is>
          <t>Alemania</t>
        </is>
      </c>
      <c r="B390" t="inlineStr">
        <is>
          <t>Múnich</t>
        </is>
      </c>
      <c r="C390" t="inlineStr">
        <is>
          <t>Francia</t>
        </is>
      </c>
      <c r="D390" t="inlineStr">
        <is>
          <t>Lille</t>
        </is>
      </c>
      <c r="E390" t="inlineStr">
        <is>
          <t>2026-04-01</t>
        </is>
      </c>
      <c r="F390" t="inlineStr">
        <is>
          <t>2026-04-08</t>
        </is>
      </c>
      <c r="G390" t="inlineStr">
        <is>
          <t xml:space="preserve"> - Road House</t>
        </is>
      </c>
      <c r="H390">
        <f>HYPERLINK("https://booking.roadsurfer.com/es/rally/pick?pickup_date=2026-04-01&amp;return_date=2026-04-08&amp;currency=EUR&amp;startStation=1&amp;endStation=87", "Clic para verlo en la web de RoadSurfer")</f>
        <v/>
      </c>
    </row>
    <row r="391">
      <c r="A391" t="inlineStr">
        <is>
          <t>Alemania</t>
        </is>
      </c>
      <c r="B391" t="inlineStr">
        <is>
          <t>Múnich</t>
        </is>
      </c>
      <c r="C391" t="inlineStr">
        <is>
          <t>Francia</t>
        </is>
      </c>
      <c r="D391" t="inlineStr">
        <is>
          <t>Lille</t>
        </is>
      </c>
      <c r="E391" t="inlineStr">
        <is>
          <t>2026-04-27</t>
        </is>
      </c>
      <c r="F391" t="inlineStr">
        <is>
          <t>2026-05-04</t>
        </is>
      </c>
      <c r="G391" t="inlineStr">
        <is>
          <t xml:space="preserve"> - Family Finca</t>
        </is>
      </c>
      <c r="H391">
        <f>HYPERLINK("https://booking.roadsurfer.com/es/rally/pick?pickup_date=2026-04-27&amp;return_date=2026-05-04&amp;currency=EUR&amp;startStation=1&amp;endStation=87", "Clic para verlo en la web de RoadSurfer")</f>
        <v/>
      </c>
    </row>
    <row r="392">
      <c r="A392" t="inlineStr">
        <is>
          <t>Alemania</t>
        </is>
      </c>
      <c r="B392" t="inlineStr">
        <is>
          <t>Múnich</t>
        </is>
      </c>
      <c r="C392" t="inlineStr">
        <is>
          <t>Francia</t>
        </is>
      </c>
      <c r="D392" t="inlineStr">
        <is>
          <t>Nantes</t>
        </is>
      </c>
      <c r="E392" t="inlineStr">
        <is>
          <t>2026-04-16</t>
        </is>
      </c>
      <c r="F392" t="inlineStr">
        <is>
          <t>2026-04-23</t>
        </is>
      </c>
      <c r="G392" t="inlineStr">
        <is>
          <t xml:space="preserve"> - Camper Castle</t>
        </is>
      </c>
      <c r="H392">
        <f>HYPERLINK("https://booking.roadsurfer.com/es/rally/pick?pickup_date=2026-04-16&amp;return_date=2026-04-23&amp;currency=EUR&amp;startStation=1&amp;endStation=31", "Clic para verlo en la web de RoadSurfer")</f>
        <v/>
      </c>
    </row>
    <row r="393">
      <c r="A393" t="inlineStr">
        <is>
          <t>Alemania</t>
        </is>
      </c>
      <c r="B393" t="inlineStr">
        <is>
          <t>Múnich</t>
        </is>
      </c>
      <c r="C393" t="inlineStr">
        <is>
          <t>Austria</t>
        </is>
      </c>
      <c r="D393" t="inlineStr">
        <is>
          <t>Viena Sur</t>
        </is>
      </c>
      <c r="E393" t="inlineStr">
        <is>
          <t>2026-04-13</t>
        </is>
      </c>
      <c r="F393" t="inlineStr">
        <is>
          <t>2026-04-20</t>
        </is>
      </c>
      <c r="G393" t="inlineStr">
        <is>
          <t xml:space="preserve"> - Camper Castle</t>
        </is>
      </c>
      <c r="H393">
        <f>HYPERLINK("https://booking.roadsurfer.com/es/rally/pick?pickup_date=2026-04-13&amp;return_date=2026-04-20&amp;currency=EUR&amp;startStation=1&amp;endStation=45", "Clic para verlo en la web de RoadSurfer")</f>
        <v/>
      </c>
    </row>
    <row r="394">
      <c r="A394" t="inlineStr">
        <is>
          <t>Alemania</t>
        </is>
      </c>
      <c r="B394" t="inlineStr">
        <is>
          <t>Múnich</t>
        </is>
      </c>
      <c r="C394" t="inlineStr">
        <is>
          <t>Francia</t>
        </is>
      </c>
      <c r="D394" t="inlineStr">
        <is>
          <t>París Sur (Orly)</t>
        </is>
      </c>
      <c r="E394" t="inlineStr">
        <is>
          <t>2026-04-08</t>
        </is>
      </c>
      <c r="F394" t="inlineStr">
        <is>
          <t>2026-04-15</t>
        </is>
      </c>
      <c r="G394" t="inlineStr">
        <is>
          <t xml:space="preserve"> - Family Finca</t>
        </is>
      </c>
      <c r="H394">
        <f>HYPERLINK("https://booking.roadsurfer.com/es/rally/pick?pickup_date=2026-04-08&amp;return_date=2026-04-15&amp;currency=EUR&amp;startStation=1&amp;endStation=12", "Clic para verlo en la web de RoadSurfer")</f>
        <v/>
      </c>
    </row>
    <row r="395">
      <c r="A395" t="inlineStr">
        <is>
          <t>Alemania</t>
        </is>
      </c>
      <c r="B395" t="inlineStr">
        <is>
          <t>Múnich</t>
        </is>
      </c>
      <c r="C395" t="inlineStr">
        <is>
          <t>Francia</t>
        </is>
      </c>
      <c r="D395" t="inlineStr">
        <is>
          <t>París Sur (Orly)</t>
        </is>
      </c>
      <c r="E395" t="inlineStr">
        <is>
          <t>2026-04-20</t>
        </is>
      </c>
      <c r="F395" t="inlineStr">
        <is>
          <t>2026-04-27</t>
        </is>
      </c>
      <c r="G395" t="inlineStr">
        <is>
          <t xml:space="preserve"> - Sunrise Suite</t>
        </is>
      </c>
      <c r="H395">
        <f>HYPERLINK("https://booking.roadsurfer.com/es/rally/pick?pickup_date=2026-04-20&amp;return_date=2026-04-27&amp;currency=EUR&amp;startStation=1&amp;endStation=12", "Clic para verlo en la web de RoadSurfer")</f>
        <v/>
      </c>
    </row>
    <row r="396">
      <c r="A396" t="inlineStr">
        <is>
          <t>Alemania</t>
        </is>
      </c>
      <c r="B396" t="inlineStr">
        <is>
          <t>Múnich</t>
        </is>
      </c>
      <c r="C396" t="inlineStr">
        <is>
          <t>Bélgica</t>
        </is>
      </c>
      <c r="D396" t="inlineStr">
        <is>
          <t>Bruselas</t>
        </is>
      </c>
      <c r="E396" t="inlineStr">
        <is>
          <t>2026-04-27</t>
        </is>
      </c>
      <c r="F396" t="inlineStr">
        <is>
          <t>2026-05-04</t>
        </is>
      </c>
      <c r="G396" t="inlineStr">
        <is>
          <t xml:space="preserve"> - Family Finca</t>
        </is>
      </c>
      <c r="H396">
        <f>HYPERLINK("https://booking.roadsurfer.com/es/rally/pick?pickup_date=2026-04-27&amp;return_date=2026-05-04&amp;currency=EUR&amp;startStation=1&amp;endStation=42", "Clic para verlo en la web de RoadSurfer")</f>
        <v/>
      </c>
    </row>
    <row r="397">
      <c r="A397" t="inlineStr">
        <is>
          <t>Alemania</t>
        </is>
      </c>
      <c r="B397" t="inlineStr">
        <is>
          <t>Múnich</t>
        </is>
      </c>
      <c r="C397" t="inlineStr">
        <is>
          <t>Bélgica</t>
        </is>
      </c>
      <c r="D397" t="inlineStr">
        <is>
          <t>Amberes</t>
        </is>
      </c>
      <c r="E397" t="inlineStr">
        <is>
          <t>2026-04-09</t>
        </is>
      </c>
      <c r="F397" t="inlineStr">
        <is>
          <t>2026-04-16</t>
        </is>
      </c>
      <c r="G397" t="inlineStr">
        <is>
          <t xml:space="preserve"> - Couple Cottage</t>
        </is>
      </c>
      <c r="H397">
        <f>HYPERLINK("https://booking.roadsurfer.com/es/rally/pick?pickup_date=2026-04-09&amp;return_date=2026-04-16&amp;currency=EUR&amp;startStation=1&amp;endStation=47", "Clic para verlo en la web de RoadSurfer")</f>
        <v/>
      </c>
    </row>
    <row r="398">
      <c r="A398" t="inlineStr">
        <is>
          <t>Alemania</t>
        </is>
      </c>
      <c r="B398" t="inlineStr">
        <is>
          <t>Múnich</t>
        </is>
      </c>
      <c r="C398" t="inlineStr">
        <is>
          <t>Francia</t>
        </is>
      </c>
      <c r="D398" t="inlineStr">
        <is>
          <t>Burdeos</t>
        </is>
      </c>
      <c r="E398" t="inlineStr">
        <is>
          <t>2026-04-17</t>
        </is>
      </c>
      <c r="F398" t="inlineStr">
        <is>
          <t>2026-04-24</t>
        </is>
      </c>
      <c r="G398" t="inlineStr">
        <is>
          <t xml:space="preserve"> - Sunrise Suite</t>
        </is>
      </c>
      <c r="H398">
        <f>HYPERLINK("https://booking.roadsurfer.com/es/rally/pick?pickup_date=2026-04-17&amp;return_date=2026-04-24&amp;currency=EUR&amp;startStation=1&amp;endStation=13", "Clic para verlo en la web de RoadSurfer")</f>
        <v/>
      </c>
    </row>
    <row r="399">
      <c r="A399" t="inlineStr">
        <is>
          <t>Francia</t>
        </is>
      </c>
      <c r="B399" t="inlineStr">
        <is>
          <t>Nantes</t>
        </is>
      </c>
      <c r="C399" t="inlineStr">
        <is>
          <t>Alemania</t>
        </is>
      </c>
      <c r="D399" t="inlineStr">
        <is>
          <t>Colonia-Düsseldorf</t>
        </is>
      </c>
      <c r="E399" t="inlineStr">
        <is>
          <t>2026-04-04</t>
        </is>
      </c>
      <c r="F399" t="inlineStr">
        <is>
          <t>2026-04-12</t>
        </is>
      </c>
      <c r="G399" t="inlineStr">
        <is>
          <t xml:space="preserve"> - No hay coche</t>
        </is>
      </c>
      <c r="H399">
        <f>HYPERLINK("https://booking.roadsurfer.com/es/rally/pick?pickup_date=2026-04-04&amp;return_date=2026-04-12&amp;currency=EUR&amp;startStation=31&amp;endStation=4", "Clic para verlo en la web de RoadSurfer")</f>
        <v/>
      </c>
    </row>
    <row r="400">
      <c r="A400" t="inlineStr">
        <is>
          <t>Francia</t>
        </is>
      </c>
      <c r="B400" t="inlineStr">
        <is>
          <t>Nantes</t>
        </is>
      </c>
      <c r="C400" t="inlineStr">
        <is>
          <t>Alemania</t>
        </is>
      </c>
      <c r="D400" t="inlineStr">
        <is>
          <t>Marburg</t>
        </is>
      </c>
      <c r="E400" t="inlineStr">
        <is>
          <t>2026-04-02</t>
        </is>
      </c>
      <c r="F400" t="inlineStr">
        <is>
          <t>2026-04-09</t>
        </is>
      </c>
      <c r="G400" t="inlineStr">
        <is>
          <t xml:space="preserve"> - SURFER SUITE</t>
        </is>
      </c>
      <c r="H400">
        <f>HYPERLINK("https://booking.roadsurfer.com/es/rally/pick?pickup_date=2026-04-02&amp;return_date=2026-04-09&amp;currency=EUR&amp;startStation=31&amp;endStation=22", "Clic para verlo en la web de RoadSurfer")</f>
        <v/>
      </c>
    </row>
    <row r="401">
      <c r="A401" t="inlineStr">
        <is>
          <t>Francia</t>
        </is>
      </c>
      <c r="B401" t="inlineStr">
        <is>
          <t>Nantes</t>
        </is>
      </c>
      <c r="C401" t="inlineStr">
        <is>
          <t>Alemania</t>
        </is>
      </c>
      <c r="D401" t="inlineStr">
        <is>
          <t>Marburg</t>
        </is>
      </c>
      <c r="E401" t="inlineStr">
        <is>
          <t>2026-04-04</t>
        </is>
      </c>
      <c r="F401" t="inlineStr">
        <is>
          <t>2026-04-11</t>
        </is>
      </c>
      <c r="G401" t="inlineStr">
        <is>
          <t xml:space="preserve"> - No hay coche</t>
        </is>
      </c>
      <c r="H401">
        <f>HYPERLINK("https://booking.roadsurfer.com/es/rally/pick?pickup_date=2026-04-04&amp;return_date=2026-04-11&amp;currency=EUR&amp;startStation=31&amp;endStation=22", "Clic para verlo en la web de RoadSurfer")</f>
        <v/>
      </c>
    </row>
    <row r="402">
      <c r="A402" t="inlineStr">
        <is>
          <t>Francia</t>
        </is>
      </c>
      <c r="B402" t="inlineStr">
        <is>
          <t>Nantes</t>
        </is>
      </c>
      <c r="C402" t="inlineStr">
        <is>
          <t>Alemania</t>
        </is>
      </c>
      <c r="D402" t="inlineStr">
        <is>
          <t>Bielefeld</t>
        </is>
      </c>
      <c r="E402" t="inlineStr">
        <is>
          <t>2026-04-07</t>
        </is>
      </c>
      <c r="F402" t="inlineStr">
        <is>
          <t>2026-04-14</t>
        </is>
      </c>
      <c r="G402" t="inlineStr">
        <is>
          <t xml:space="preserve"> - Beach Hostel</t>
        </is>
      </c>
      <c r="H402">
        <f>HYPERLINK("https://booking.roadsurfer.com/es/rally/pick?pickup_date=2026-04-07&amp;return_date=2026-04-14&amp;currency=EUR&amp;startStation=31&amp;endStation=91", "Clic para verlo en la web de RoadSurfer")</f>
        <v/>
      </c>
    </row>
    <row r="403">
      <c r="A403" t="inlineStr">
        <is>
          <t>Francia</t>
        </is>
      </c>
      <c r="B403" t="inlineStr">
        <is>
          <t>Nantes</t>
        </is>
      </c>
      <c r="C403" t="inlineStr">
        <is>
          <t>Alemania</t>
        </is>
      </c>
      <c r="D403" t="inlineStr">
        <is>
          <t>Ulm</t>
        </is>
      </c>
      <c r="E403" t="inlineStr">
        <is>
          <t>2026-04-14</t>
        </is>
      </c>
      <c r="F403" t="inlineStr">
        <is>
          <t>2026-04-21</t>
        </is>
      </c>
      <c r="G403" t="inlineStr">
        <is>
          <t xml:space="preserve"> - Beach Hostel</t>
        </is>
      </c>
      <c r="H403">
        <f>HYPERLINK("https://booking.roadsurfer.com/es/rally/pick?pickup_date=2026-04-14&amp;return_date=2026-04-21&amp;currency=EUR&amp;startStation=31&amp;endStation=112", "Clic para verlo en la web de RoadSurfer")</f>
        <v/>
      </c>
    </row>
    <row r="404">
      <c r="A404" t="inlineStr">
        <is>
          <t>Francia</t>
        </is>
      </c>
      <c r="B404" t="inlineStr">
        <is>
          <t>Nantes</t>
        </is>
      </c>
      <c r="C404" t="inlineStr">
        <is>
          <t>Alemania</t>
        </is>
      </c>
      <c r="D404" t="inlineStr">
        <is>
          <t>Aquisgrán</t>
        </is>
      </c>
      <c r="E404" t="inlineStr">
        <is>
          <t>2026-04-13</t>
        </is>
      </c>
      <c r="F404" t="inlineStr">
        <is>
          <t>2026-04-20</t>
        </is>
      </c>
      <c r="G404" t="inlineStr">
        <is>
          <t xml:space="preserve"> - Travel Home</t>
        </is>
      </c>
      <c r="H404">
        <f>HYPERLINK("https://booking.roadsurfer.com/es/rally/pick?pickup_date=2026-04-13&amp;return_date=2026-04-20&amp;currency=EUR&amp;startStation=31&amp;endStation=114", "Clic para verlo en la web de RoadSurfer")</f>
        <v/>
      </c>
    </row>
    <row r="405">
      <c r="A405" t="inlineStr">
        <is>
          <t>Francia</t>
        </is>
      </c>
      <c r="B405" t="inlineStr">
        <is>
          <t>Nantes</t>
        </is>
      </c>
      <c r="C405" t="inlineStr">
        <is>
          <t>Alemania</t>
        </is>
      </c>
      <c r="D405" t="inlineStr">
        <is>
          <t>Kiel</t>
        </is>
      </c>
      <c r="E405" t="inlineStr">
        <is>
          <t>2026-04-04</t>
        </is>
      </c>
      <c r="F405" t="inlineStr">
        <is>
          <t>2026-04-11</t>
        </is>
      </c>
      <c r="G405" t="inlineStr">
        <is>
          <t xml:space="preserve"> - Camper Cabin</t>
        </is>
      </c>
      <c r="H405">
        <f>HYPERLINK("https://booking.roadsurfer.com/es/rally/pick?pickup_date=2026-04-04&amp;return_date=2026-04-11&amp;currency=EUR&amp;startStation=31&amp;endStation=111", "Clic para verlo en la web de RoadSurfer")</f>
        <v/>
      </c>
    </row>
    <row r="406">
      <c r="A406" t="inlineStr">
        <is>
          <t>Francia</t>
        </is>
      </c>
      <c r="B406" t="inlineStr">
        <is>
          <t>Niza</t>
        </is>
      </c>
      <c r="C406" t="inlineStr">
        <is>
          <t>Alemania</t>
        </is>
      </c>
      <c r="D406" t="inlineStr">
        <is>
          <t>Tréveris</t>
        </is>
      </c>
      <c r="E406" t="inlineStr">
        <is>
          <t>2026-04-23</t>
        </is>
      </c>
      <c r="F406" t="inlineStr">
        <is>
          <t>2026-04-30</t>
        </is>
      </c>
      <c r="G406" t="inlineStr">
        <is>
          <t xml:space="preserve"> - Road House</t>
        </is>
      </c>
      <c r="H406">
        <f>HYPERLINK("https://booking.roadsurfer.com/es/rally/pick?pickup_date=2026-04-23&amp;return_date=2026-04-30&amp;currency=EUR&amp;startStation=88&amp;endStation=28", "Clic para verlo en la web de RoadSurfer")</f>
        <v/>
      </c>
    </row>
    <row r="407">
      <c r="A407" t="inlineStr">
        <is>
          <t>Alemania</t>
        </is>
      </c>
      <c r="B407" t="inlineStr">
        <is>
          <t>Núremberg</t>
        </is>
      </c>
      <c r="C407" t="inlineStr">
        <is>
          <t>Austria</t>
        </is>
      </c>
      <c r="D407" t="inlineStr">
        <is>
          <t>Linz</t>
        </is>
      </c>
      <c r="E407" t="inlineStr">
        <is>
          <t>2026-04-13</t>
        </is>
      </c>
      <c r="F407" t="inlineStr">
        <is>
          <t>2026-04-20</t>
        </is>
      </c>
      <c r="G407" t="inlineStr">
        <is>
          <t xml:space="preserve"> - Surfer Suite</t>
        </is>
      </c>
      <c r="H407">
        <f>HYPERLINK("https://booking.roadsurfer.com/es/rally/pick?pickup_date=2026-04-13&amp;return_date=2026-04-20&amp;currency=EUR&amp;startStation=11&amp;endStation=116", "Clic para verlo en la web de RoadSurfer")</f>
        <v/>
      </c>
    </row>
    <row r="408">
      <c r="A408" t="inlineStr">
        <is>
          <t>Alemania</t>
        </is>
      </c>
      <c r="B408" t="inlineStr">
        <is>
          <t>Núremberg</t>
        </is>
      </c>
      <c r="C408" t="inlineStr">
        <is>
          <t>Francia</t>
        </is>
      </c>
      <c r="D408" t="inlineStr">
        <is>
          <t>Toulouse</t>
        </is>
      </c>
      <c r="E408" t="inlineStr">
        <is>
          <t>2026-04-20</t>
        </is>
      </c>
      <c r="F408" t="inlineStr">
        <is>
          <t>2026-04-27</t>
        </is>
      </c>
      <c r="G408" t="inlineStr">
        <is>
          <t xml:space="preserve"> - Camper Castle</t>
        </is>
      </c>
      <c r="H408">
        <f>HYPERLINK("https://booking.roadsurfer.com/es/rally/pick?pickup_date=2026-04-20&amp;return_date=2026-04-27&amp;currency=EUR&amp;startStation=11&amp;endStation=30", "Clic para verlo en la web de RoadSurfer")</f>
        <v/>
      </c>
    </row>
    <row r="409">
      <c r="A409" t="inlineStr">
        <is>
          <t>Francia</t>
        </is>
      </c>
      <c r="B409" t="inlineStr">
        <is>
          <t>París Sur (Orly)</t>
        </is>
      </c>
      <c r="C409" t="inlineStr">
        <is>
          <t>Alemania</t>
        </is>
      </c>
      <c r="D409" t="inlineStr">
        <is>
          <t>Berlín</t>
        </is>
      </c>
      <c r="E409" t="inlineStr">
        <is>
          <t>2026-04-20</t>
        </is>
      </c>
      <c r="F409" t="inlineStr">
        <is>
          <t>2026-04-27</t>
        </is>
      </c>
      <c r="G409" t="inlineStr">
        <is>
          <t xml:space="preserve"> - Surfer Suite</t>
        </is>
      </c>
      <c r="H409">
        <f>HYPERLINK("https://booking.roadsurfer.com/es/rally/pick?pickup_date=2026-04-20&amp;return_date=2026-04-27&amp;currency=EUR&amp;startStation=12&amp;endStation=6", "Clic para verlo en la web de RoadSurfer")</f>
        <v/>
      </c>
    </row>
    <row r="410">
      <c r="A410" t="inlineStr">
        <is>
          <t>Francia</t>
        </is>
      </c>
      <c r="B410" t="inlineStr">
        <is>
          <t>París Sur (Orly)</t>
        </is>
      </c>
      <c r="C410" t="inlineStr">
        <is>
          <t>Alemania</t>
        </is>
      </c>
      <c r="D410" t="inlineStr">
        <is>
          <t>Aquisgrán</t>
        </is>
      </c>
      <c r="E410" t="inlineStr">
        <is>
          <t>2026-05-04</t>
        </is>
      </c>
      <c r="F410" t="inlineStr">
        <is>
          <t>2026-05-11</t>
        </is>
      </c>
      <c r="G410" t="inlineStr">
        <is>
          <t xml:space="preserve"> - Camper Cabin</t>
        </is>
      </c>
      <c r="H410">
        <f>HYPERLINK("https://booking.roadsurfer.com/es/rally/pick?pickup_date=2026-05-04&amp;return_date=2026-05-11&amp;currency=EUR&amp;startStation=12&amp;endStation=114", "Clic para verlo en la web de RoadSurfer")</f>
        <v/>
      </c>
    </row>
    <row r="411">
      <c r="A411" t="inlineStr">
        <is>
          <t>Francia</t>
        </is>
      </c>
      <c r="B411" t="inlineStr">
        <is>
          <t>París Sur (Orly)</t>
        </is>
      </c>
      <c r="C411" t="inlineStr">
        <is>
          <t>Alemania</t>
        </is>
      </c>
      <c r="D411" t="inlineStr">
        <is>
          <t>Karlsruhe</t>
        </is>
      </c>
      <c r="E411" t="inlineStr">
        <is>
          <t>2026-05-04</t>
        </is>
      </c>
      <c r="F411" t="inlineStr">
        <is>
          <t>2026-05-11</t>
        </is>
      </c>
      <c r="G411" t="inlineStr">
        <is>
          <t xml:space="preserve"> - Camper Cabin</t>
        </is>
      </c>
      <c r="H411">
        <f>HYPERLINK("https://booking.roadsurfer.com/es/rally/pick?pickup_date=2026-05-04&amp;return_date=2026-05-11&amp;currency=EUR&amp;startStation=12&amp;endStation=110", "Clic para verlo en la web de RoadSurfer")</f>
        <v/>
      </c>
    </row>
    <row r="412">
      <c r="A412" t="inlineStr">
        <is>
          <t>Francia</t>
        </is>
      </c>
      <c r="B412" t="inlineStr">
        <is>
          <t>París Aeropuerto CDG</t>
        </is>
      </c>
      <c r="C412" t="inlineStr">
        <is>
          <t>Alemania</t>
        </is>
      </c>
      <c r="D412" t="inlineStr">
        <is>
          <t>Aquisgrán</t>
        </is>
      </c>
      <c r="E412" t="inlineStr">
        <is>
          <t>2026-05-04</t>
        </is>
      </c>
      <c r="F412" t="inlineStr">
        <is>
          <t>2026-05-11</t>
        </is>
      </c>
      <c r="G412" t="inlineStr">
        <is>
          <t xml:space="preserve"> - Road House</t>
        </is>
      </c>
      <c r="H412">
        <f>HYPERLINK("https://booking.roadsurfer.com/es/rally/pick?pickup_date=2026-05-04&amp;return_date=2026-05-11&amp;currency=EUR&amp;startStation=48&amp;endStation=114", "Clic para verlo en la web de RoadSurfer")</f>
        <v/>
      </c>
    </row>
    <row r="413">
      <c r="A413" t="inlineStr">
        <is>
          <t>Francia</t>
        </is>
      </c>
      <c r="B413" t="inlineStr">
        <is>
          <t>París Aeropuerto CDG</t>
        </is>
      </c>
      <c r="C413" t="inlineStr">
        <is>
          <t>Alemania</t>
        </is>
      </c>
      <c r="D413" t="inlineStr">
        <is>
          <t>Stuttgart</t>
        </is>
      </c>
      <c r="E413" t="inlineStr">
        <is>
          <t>2026-04-13</t>
        </is>
      </c>
      <c r="F413" t="inlineStr">
        <is>
          <t>2026-04-20</t>
        </is>
      </c>
      <c r="G413" t="inlineStr">
        <is>
          <t xml:space="preserve"> - Family Finca</t>
        </is>
      </c>
      <c r="H413">
        <f>HYPERLINK("https://booking.roadsurfer.com/es/rally/pick?pickup_date=2026-04-13&amp;return_date=2026-04-20&amp;currency=EUR&amp;startStation=48&amp;endStation=5", "Clic para verlo en la web de RoadSurfer")</f>
        <v/>
      </c>
    </row>
    <row r="414">
      <c r="A414" t="inlineStr">
        <is>
          <t>Francia</t>
        </is>
      </c>
      <c r="B414" t="inlineStr">
        <is>
          <t>París Aeropuerto CDG</t>
        </is>
      </c>
      <c r="C414" t="inlineStr">
        <is>
          <t>Francia</t>
        </is>
      </c>
      <c r="D414" t="inlineStr">
        <is>
          <t>Aix-Marsella</t>
        </is>
      </c>
      <c r="E414" t="inlineStr">
        <is>
          <t>2026-04-20</t>
        </is>
      </c>
      <c r="F414" t="inlineStr">
        <is>
          <t>2026-04-27</t>
        </is>
      </c>
      <c r="G414" t="inlineStr">
        <is>
          <t xml:space="preserve"> - Couple Cottage</t>
        </is>
      </c>
      <c r="H414">
        <f>HYPERLINK("https://booking.roadsurfer.com/es/rally/pick?pickup_date=2026-04-20&amp;return_date=2026-04-27&amp;currency=EUR&amp;startStation=48&amp;endStation=16", "Clic para verlo en la web de RoadSurfer")</f>
        <v/>
      </c>
    </row>
    <row r="415">
      <c r="A415" t="inlineStr">
        <is>
          <t>EE.UU.</t>
        </is>
      </c>
      <c r="B415" t="inlineStr">
        <is>
          <t>Phoenix</t>
        </is>
      </c>
      <c r="C415" t="inlineStr">
        <is>
          <t>EE.UU.</t>
        </is>
      </c>
      <c r="D415" t="inlineStr">
        <is>
          <t>Dallas</t>
        </is>
      </c>
      <c r="E415" t="inlineStr">
        <is>
          <t>2026-03-31</t>
        </is>
      </c>
      <c r="F415" t="inlineStr">
        <is>
          <t>2026-04-07</t>
        </is>
      </c>
      <c r="G415" t="inlineStr">
        <is>
          <t xml:space="preserve"> - Couple Condo</t>
        </is>
      </c>
      <c r="H415">
        <f>HYPERLINK("https://booking.roadsurfer.com/es/rally/pick?pickup_date=2026-03-31&amp;return_date=2026-04-07&amp;currency=EUR&amp;startStation=105&amp;endStation=125", "Clic para verlo en la web de RoadSurfer")</f>
        <v/>
      </c>
    </row>
    <row r="416">
      <c r="A416" t="inlineStr">
        <is>
          <t>Alemania</t>
        </is>
      </c>
      <c r="B416" t="inlineStr">
        <is>
          <t>Ratisbona</t>
        </is>
      </c>
      <c r="C416" t="inlineStr">
        <is>
          <t>Alemania</t>
        </is>
      </c>
      <c r="D416" t="inlineStr">
        <is>
          <t>Karlsruhe</t>
        </is>
      </c>
      <c r="E416" t="inlineStr">
        <is>
          <t>2026-04-27</t>
        </is>
      </c>
      <c r="F416" t="inlineStr">
        <is>
          <t>2026-05-04</t>
        </is>
      </c>
      <c r="G416" t="inlineStr">
        <is>
          <t xml:space="preserve"> - Surfer Suite</t>
        </is>
      </c>
      <c r="H416">
        <f>HYPERLINK("https://booking.roadsurfer.com/es/rally/pick?pickup_date=2026-04-27&amp;return_date=2026-05-04&amp;currency=EUR&amp;startStation=89&amp;endStation=110", "Clic para verlo en la web de RoadSurfer")</f>
        <v/>
      </c>
    </row>
    <row r="417">
      <c r="A417" t="inlineStr">
        <is>
          <t>Austria</t>
        </is>
      </c>
      <c r="B417" t="inlineStr">
        <is>
          <t>Salzburgo</t>
        </is>
      </c>
      <c r="C417" t="inlineStr">
        <is>
          <t>Alemania</t>
        </is>
      </c>
      <c r="D417" t="inlineStr">
        <is>
          <t>Colonia-Bonn</t>
        </is>
      </c>
      <c r="E417" t="inlineStr">
        <is>
          <t>2026-04-09</t>
        </is>
      </c>
      <c r="F417" t="inlineStr">
        <is>
          <t>2026-04-16</t>
        </is>
      </c>
      <c r="G417" t="inlineStr">
        <is>
          <t xml:space="preserve"> - Cozy Cottage</t>
        </is>
      </c>
      <c r="H417">
        <f>HYPERLINK("https://booking.roadsurfer.com/es/rally/pick?pickup_date=2026-04-09&amp;return_date=2026-04-16&amp;currency=EUR&amp;startStation=85&amp;endStation=52", "Clic para verlo en la web de RoadSurfer")</f>
        <v/>
      </c>
    </row>
    <row r="418">
      <c r="A418" t="inlineStr">
        <is>
          <t>Suecia</t>
        </is>
      </c>
      <c r="B418" t="inlineStr">
        <is>
          <t>Estocolmo</t>
        </is>
      </c>
      <c r="C418" t="inlineStr">
        <is>
          <t>Alemania</t>
        </is>
      </c>
      <c r="D418" t="inlineStr">
        <is>
          <t>Karlsruhe</t>
        </is>
      </c>
      <c r="E418" t="inlineStr">
        <is>
          <t>2026-04-14</t>
        </is>
      </c>
      <c r="F418" t="inlineStr">
        <is>
          <t>2026-04-21</t>
        </is>
      </c>
      <c r="G418" t="inlineStr">
        <is>
          <t xml:space="preserve"> - Camper Castle</t>
        </is>
      </c>
      <c r="H418">
        <f>HYPERLINK("https://booking.roadsurfer.com/es/rally/pick?pickup_date=2026-04-14&amp;return_date=2026-04-21&amp;currency=EUR&amp;startStation=59&amp;endStation=110", "Clic para verlo en la web de RoadSurfer")</f>
        <v/>
      </c>
    </row>
    <row r="419">
      <c r="A419" t="inlineStr">
        <is>
          <t>Suecia</t>
        </is>
      </c>
      <c r="B419" t="inlineStr">
        <is>
          <t>Estocolmo</t>
        </is>
      </c>
      <c r="C419" t="inlineStr">
        <is>
          <t>Alemania</t>
        </is>
      </c>
      <c r="D419" t="inlineStr">
        <is>
          <t>Karlsruhe</t>
        </is>
      </c>
      <c r="E419" t="inlineStr">
        <is>
          <t>2026-04-01</t>
        </is>
      </c>
      <c r="F419" t="inlineStr">
        <is>
          <t>2026-04-08</t>
        </is>
      </c>
      <c r="G419" t="inlineStr">
        <is>
          <t xml:space="preserve"> - Camper Castle</t>
        </is>
      </c>
      <c r="H419">
        <f>HYPERLINK("https://booking.roadsurfer.com/es/rally/pick?pickup_date=2026-04-01&amp;return_date=2026-04-08&amp;currency=EUR&amp;startStation=59&amp;endStation=110", "Clic para verlo en la web de RoadSurfer")</f>
        <v/>
      </c>
    </row>
    <row r="420">
      <c r="A420" t="inlineStr">
        <is>
          <t>Suecia</t>
        </is>
      </c>
      <c r="B420" t="inlineStr">
        <is>
          <t>Estocolmo</t>
        </is>
      </c>
      <c r="C420" t="inlineStr">
        <is>
          <t>Alemania</t>
        </is>
      </c>
      <c r="D420" t="inlineStr">
        <is>
          <t>Karlsruhe</t>
        </is>
      </c>
      <c r="E420" t="inlineStr">
        <is>
          <t>2026-03-31</t>
        </is>
      </c>
      <c r="F420" t="inlineStr">
        <is>
          <t>2026-04-07</t>
        </is>
      </c>
      <c r="G420" t="inlineStr">
        <is>
          <t xml:space="preserve"> - Surfer Suite</t>
        </is>
      </c>
      <c r="H420">
        <f>HYPERLINK("https://booking.roadsurfer.com/es/rally/pick?pickup_date=2026-03-31&amp;return_date=2026-04-07&amp;currency=EUR&amp;startStation=59&amp;endStation=110", "Clic para verlo en la web de RoadSurfer")</f>
        <v/>
      </c>
    </row>
    <row r="421">
      <c r="A421" t="inlineStr">
        <is>
          <t>Suecia</t>
        </is>
      </c>
      <c r="B421" t="inlineStr">
        <is>
          <t>Estocolmo</t>
        </is>
      </c>
      <c r="C421" t="inlineStr">
        <is>
          <t>Alemania</t>
        </is>
      </c>
      <c r="D421" t="inlineStr">
        <is>
          <t>Berlín</t>
        </is>
      </c>
      <c r="E421" t="inlineStr">
        <is>
          <t>2026-04-08</t>
        </is>
      </c>
      <c r="F421" t="inlineStr">
        <is>
          <t>2026-04-15</t>
        </is>
      </c>
      <c r="G421" t="inlineStr">
        <is>
          <t xml:space="preserve"> - Beach Hostel</t>
        </is>
      </c>
      <c r="H421">
        <f>HYPERLINK("https://booking.roadsurfer.com/es/rally/pick?pickup_date=2026-04-08&amp;return_date=2026-04-15&amp;currency=EUR&amp;startStation=59&amp;endStation=6", "Clic para verlo en la web de RoadSurfer")</f>
        <v/>
      </c>
    </row>
    <row r="422">
      <c r="A422" t="inlineStr">
        <is>
          <t>Suecia</t>
        </is>
      </c>
      <c r="B422" t="inlineStr">
        <is>
          <t>Estocolmo</t>
        </is>
      </c>
      <c r="C422" t="inlineStr">
        <is>
          <t>Alemania</t>
        </is>
      </c>
      <c r="D422" t="inlineStr">
        <is>
          <t>Berlín</t>
        </is>
      </c>
      <c r="E422" t="inlineStr">
        <is>
          <t>2026-04-10</t>
        </is>
      </c>
      <c r="F422" t="inlineStr">
        <is>
          <t>2026-04-17</t>
        </is>
      </c>
      <c r="G422" t="inlineStr">
        <is>
          <t xml:space="preserve"> - Surfer Suite</t>
        </is>
      </c>
      <c r="H422">
        <f>HYPERLINK("https://booking.roadsurfer.com/es/rally/pick?pickup_date=2026-04-10&amp;return_date=2026-04-17&amp;currency=EUR&amp;startStation=59&amp;endStation=6", "Clic para verlo en la web de RoadSurfer")</f>
        <v/>
      </c>
    </row>
    <row r="423">
      <c r="A423" t="inlineStr">
        <is>
          <t>Suecia</t>
        </is>
      </c>
      <c r="B423" t="inlineStr">
        <is>
          <t>Estocolmo</t>
        </is>
      </c>
      <c r="C423" t="inlineStr">
        <is>
          <t>Alemania</t>
        </is>
      </c>
      <c r="D423" t="inlineStr">
        <is>
          <t>Ratisbona</t>
        </is>
      </c>
      <c r="E423" t="inlineStr">
        <is>
          <t>2026-04-08</t>
        </is>
      </c>
      <c r="F423" t="inlineStr">
        <is>
          <t>2026-04-15</t>
        </is>
      </c>
      <c r="G423" t="inlineStr">
        <is>
          <t xml:space="preserve"> - No hay coche</t>
        </is>
      </c>
      <c r="H423">
        <f>HYPERLINK("https://booking.roadsurfer.com/es/rally/pick?pickup_date=2026-04-08&amp;return_date=2026-04-15&amp;currency=EUR&amp;startStation=59&amp;endStation=89", "Clic para verlo en la web de RoadSurfer")</f>
        <v/>
      </c>
    </row>
    <row r="424">
      <c r="A424" t="inlineStr">
        <is>
          <t>Suecia</t>
        </is>
      </c>
      <c r="B424" t="inlineStr">
        <is>
          <t>Estocolmo</t>
        </is>
      </c>
      <c r="C424" t="inlineStr">
        <is>
          <t>Alemania</t>
        </is>
      </c>
      <c r="D424" t="inlineStr">
        <is>
          <t>Ratisbona</t>
        </is>
      </c>
      <c r="E424" t="inlineStr">
        <is>
          <t>2026-04-07</t>
        </is>
      </c>
      <c r="F424" t="inlineStr">
        <is>
          <t>2026-04-14</t>
        </is>
      </c>
      <c r="G424" t="inlineStr">
        <is>
          <t xml:space="preserve"> - Surfer Suite</t>
        </is>
      </c>
      <c r="H424">
        <f>HYPERLINK("https://booking.roadsurfer.com/es/rally/pick?pickup_date=2026-04-07&amp;return_date=2026-04-14&amp;currency=EUR&amp;startStation=59&amp;endStation=89", "Clic para verlo en la web de RoadSurfer")</f>
        <v/>
      </c>
    </row>
    <row r="425">
      <c r="A425" t="inlineStr">
        <is>
          <t>Suecia</t>
        </is>
      </c>
      <c r="B425" t="inlineStr">
        <is>
          <t>Estocolmo</t>
        </is>
      </c>
      <c r="C425" t="inlineStr">
        <is>
          <t>Alemania</t>
        </is>
      </c>
      <c r="D425" t="inlineStr">
        <is>
          <t>Maguncia</t>
        </is>
      </c>
      <c r="E425" t="inlineStr">
        <is>
          <t>2026-04-13</t>
        </is>
      </c>
      <c r="F425" t="inlineStr">
        <is>
          <t>2026-04-20</t>
        </is>
      </c>
      <c r="G425" t="inlineStr">
        <is>
          <t xml:space="preserve"> - Surfer Suite</t>
        </is>
      </c>
      <c r="H425">
        <f>HYPERLINK("https://booking.roadsurfer.com/es/rally/pick?pickup_date=2026-04-13&amp;return_date=2026-04-20&amp;currency=EUR&amp;startStation=59&amp;endStation=54", "Clic para verlo en la web de RoadSurfer")</f>
        <v/>
      </c>
    </row>
    <row r="426">
      <c r="A426" t="inlineStr">
        <is>
          <t>Suecia</t>
        </is>
      </c>
      <c r="B426" t="inlineStr">
        <is>
          <t>Estocolmo</t>
        </is>
      </c>
      <c r="C426" t="inlineStr">
        <is>
          <t>Alemania</t>
        </is>
      </c>
      <c r="D426" t="inlineStr">
        <is>
          <t>Marburg</t>
        </is>
      </c>
      <c r="E426" t="inlineStr">
        <is>
          <t>2026-04-02</t>
        </is>
      </c>
      <c r="F426" t="inlineStr">
        <is>
          <t>2026-04-09</t>
        </is>
      </c>
      <c r="G426" t="inlineStr">
        <is>
          <t xml:space="preserve"> - Surfer Suite - Camper Castle</t>
        </is>
      </c>
      <c r="H426">
        <f>HYPERLINK("https://booking.roadsurfer.com/es/rally/pick?pickup_date=2026-04-02&amp;return_date=2026-04-09&amp;currency=EUR&amp;startStation=59&amp;endStation=22", "Clic para verlo en la web de RoadSurfer")</f>
        <v/>
      </c>
    </row>
    <row r="427">
      <c r="A427" t="inlineStr">
        <is>
          <t>Suecia</t>
        </is>
      </c>
      <c r="B427" t="inlineStr">
        <is>
          <t>Estocolmo</t>
        </is>
      </c>
      <c r="C427" t="inlineStr">
        <is>
          <t>Alemania</t>
        </is>
      </c>
      <c r="D427" t="inlineStr">
        <is>
          <t>Núremberg</t>
        </is>
      </c>
      <c r="E427" t="inlineStr">
        <is>
          <t>2026-04-02</t>
        </is>
      </c>
      <c r="F427" t="inlineStr">
        <is>
          <t>2026-04-09</t>
        </is>
      </c>
      <c r="G427" t="inlineStr">
        <is>
          <t xml:space="preserve"> - Surfer Suite</t>
        </is>
      </c>
      <c r="H427">
        <f>HYPERLINK("https://booking.roadsurfer.com/es/rally/pick?pickup_date=2026-04-02&amp;return_date=2026-04-09&amp;currency=EUR&amp;startStation=59&amp;endStation=11", "Clic para verlo en la web de RoadSurfer")</f>
        <v/>
      </c>
    </row>
    <row r="428">
      <c r="A428" t="inlineStr">
        <is>
          <t>Suecia</t>
        </is>
      </c>
      <c r="B428" t="inlineStr">
        <is>
          <t>Estocolmo</t>
        </is>
      </c>
      <c r="C428" t="inlineStr">
        <is>
          <t>Alemania</t>
        </is>
      </c>
      <c r="D428" t="inlineStr">
        <is>
          <t>Núremberg</t>
        </is>
      </c>
      <c r="E428" t="inlineStr">
        <is>
          <t>2026-04-07</t>
        </is>
      </c>
      <c r="F428" t="inlineStr">
        <is>
          <t>2026-04-14</t>
        </is>
      </c>
      <c r="G428" t="inlineStr">
        <is>
          <t xml:space="preserve"> - Surfer Suite</t>
        </is>
      </c>
      <c r="H428">
        <f>HYPERLINK("https://booking.roadsurfer.com/es/rally/pick?pickup_date=2026-04-07&amp;return_date=2026-04-14&amp;currency=EUR&amp;startStation=59&amp;endStation=11", "Clic para verlo en la web de RoadSurfer")</f>
        <v/>
      </c>
    </row>
    <row r="429">
      <c r="A429" t="inlineStr">
        <is>
          <t>Suecia</t>
        </is>
      </c>
      <c r="B429" t="inlineStr">
        <is>
          <t>Estocolmo</t>
        </is>
      </c>
      <c r="C429" t="inlineStr">
        <is>
          <t>Alemania</t>
        </is>
      </c>
      <c r="D429" t="inlineStr">
        <is>
          <t>Erfurt</t>
        </is>
      </c>
      <c r="E429" t="inlineStr">
        <is>
          <t>2026-04-14</t>
        </is>
      </c>
      <c r="F429" t="inlineStr">
        <is>
          <t>2026-04-21</t>
        </is>
      </c>
      <c r="G429" t="inlineStr">
        <is>
          <t xml:space="preserve"> - Couple Cottage</t>
        </is>
      </c>
      <c r="H429">
        <f>HYPERLINK("https://booking.roadsurfer.com/es/rally/pick?pickup_date=2026-04-14&amp;return_date=2026-04-21&amp;currency=EUR&amp;startStation=59&amp;endStation=90", "Clic para verlo en la web de RoadSurfer")</f>
        <v/>
      </c>
    </row>
    <row r="430">
      <c r="A430" t="inlineStr">
        <is>
          <t>Suecia</t>
        </is>
      </c>
      <c r="B430" t="inlineStr">
        <is>
          <t>Estocolmo</t>
        </is>
      </c>
      <c r="C430" t="inlineStr">
        <is>
          <t>Alemania</t>
        </is>
      </c>
      <c r="D430" t="inlineStr">
        <is>
          <t>Erfurt</t>
        </is>
      </c>
      <c r="E430" t="inlineStr">
        <is>
          <t>2026-04-02</t>
        </is>
      </c>
      <c r="F430" t="inlineStr">
        <is>
          <t>2026-04-09</t>
        </is>
      </c>
      <c r="G430" t="inlineStr">
        <is>
          <t xml:space="preserve"> - Sunrise Suite</t>
        </is>
      </c>
      <c r="H430">
        <f>HYPERLINK("https://booking.roadsurfer.com/es/rally/pick?pickup_date=2026-04-02&amp;return_date=2026-04-09&amp;currency=EUR&amp;startStation=59&amp;endStation=90", "Clic para verlo en la web de RoadSurfer")</f>
        <v/>
      </c>
    </row>
    <row r="431">
      <c r="A431" t="inlineStr">
        <is>
          <t>Suecia</t>
        </is>
      </c>
      <c r="B431" t="inlineStr">
        <is>
          <t>Estocolmo</t>
        </is>
      </c>
      <c r="C431" t="inlineStr">
        <is>
          <t>Alemania</t>
        </is>
      </c>
      <c r="D431" t="inlineStr">
        <is>
          <t>Erfurt</t>
        </is>
      </c>
      <c r="E431" t="inlineStr">
        <is>
          <t>2026-04-16</t>
        </is>
      </c>
      <c r="F431" t="inlineStr">
        <is>
          <t>2026-04-23</t>
        </is>
      </c>
      <c r="G431" t="inlineStr">
        <is>
          <t xml:space="preserve"> - Road House</t>
        </is>
      </c>
      <c r="H431">
        <f>HYPERLINK("https://booking.roadsurfer.com/es/rally/pick?pickup_date=2026-04-16&amp;return_date=2026-04-23&amp;currency=EUR&amp;startStation=59&amp;endStation=90", "Clic para verlo en la web de RoadSurfer")</f>
        <v/>
      </c>
    </row>
    <row r="432">
      <c r="A432" t="inlineStr">
        <is>
          <t>Suecia</t>
        </is>
      </c>
      <c r="B432" t="inlineStr">
        <is>
          <t>Estocolmo</t>
        </is>
      </c>
      <c r="C432" t="inlineStr">
        <is>
          <t>Alemania</t>
        </is>
      </c>
      <c r="D432" t="inlineStr">
        <is>
          <t>Erfurt</t>
        </is>
      </c>
      <c r="E432" t="inlineStr">
        <is>
          <t>2026-04-08</t>
        </is>
      </c>
      <c r="F432" t="inlineStr">
        <is>
          <t>2026-04-15</t>
        </is>
      </c>
      <c r="G432" t="inlineStr">
        <is>
          <t xml:space="preserve"> - Road House</t>
        </is>
      </c>
      <c r="H432">
        <f>HYPERLINK("https://booking.roadsurfer.com/es/rally/pick?pickup_date=2026-04-08&amp;return_date=2026-04-15&amp;currency=EUR&amp;startStation=59&amp;endStation=90", "Clic para verlo en la web de RoadSurfer")</f>
        <v/>
      </c>
    </row>
    <row r="433">
      <c r="A433" t="inlineStr">
        <is>
          <t>Suecia</t>
        </is>
      </c>
      <c r="B433" t="inlineStr">
        <is>
          <t>Estocolmo</t>
        </is>
      </c>
      <c r="C433" t="inlineStr">
        <is>
          <t>Alemania</t>
        </is>
      </c>
      <c r="D433" t="inlineStr">
        <is>
          <t>Erfurt</t>
        </is>
      </c>
      <c r="E433" t="inlineStr">
        <is>
          <t>2026-04-09</t>
        </is>
      </c>
      <c r="F433" t="inlineStr">
        <is>
          <t>2026-04-16</t>
        </is>
      </c>
      <c r="G433" t="inlineStr">
        <is>
          <t xml:space="preserve"> - Surfer Suite</t>
        </is>
      </c>
      <c r="H433">
        <f>HYPERLINK("https://booking.roadsurfer.com/es/rally/pick?pickup_date=2026-04-09&amp;return_date=2026-04-16&amp;currency=EUR&amp;startStation=59&amp;endStation=90", "Clic para verlo en la web de RoadSurfer")</f>
        <v/>
      </c>
    </row>
    <row r="434">
      <c r="A434" t="inlineStr">
        <is>
          <t>Suecia</t>
        </is>
      </c>
      <c r="B434" t="inlineStr">
        <is>
          <t>Estocolmo</t>
        </is>
      </c>
      <c r="C434" t="inlineStr">
        <is>
          <t>Alemania</t>
        </is>
      </c>
      <c r="D434" t="inlineStr">
        <is>
          <t>Bielefeld</t>
        </is>
      </c>
      <c r="E434" t="inlineStr">
        <is>
          <t>2026-04-14</t>
        </is>
      </c>
      <c r="F434" t="inlineStr">
        <is>
          <t>2026-04-21</t>
        </is>
      </c>
      <c r="G434" t="inlineStr">
        <is>
          <t xml:space="preserve"> - Road House</t>
        </is>
      </c>
      <c r="H434">
        <f>HYPERLINK("https://booking.roadsurfer.com/es/rally/pick?pickup_date=2026-04-14&amp;return_date=2026-04-21&amp;currency=EUR&amp;startStation=59&amp;endStation=91", "Clic para verlo en la web de RoadSurfer")</f>
        <v/>
      </c>
    </row>
    <row r="435">
      <c r="A435" t="inlineStr">
        <is>
          <t>Suecia</t>
        </is>
      </c>
      <c r="B435" t="inlineStr">
        <is>
          <t>Estocolmo</t>
        </is>
      </c>
      <c r="C435" t="inlineStr">
        <is>
          <t>Alemania</t>
        </is>
      </c>
      <c r="D435" t="inlineStr">
        <is>
          <t>Bielefeld</t>
        </is>
      </c>
      <c r="E435" t="inlineStr">
        <is>
          <t>2026-04-22</t>
        </is>
      </c>
      <c r="F435" t="inlineStr">
        <is>
          <t>2026-04-29</t>
        </is>
      </c>
      <c r="G435" t="inlineStr">
        <is>
          <t xml:space="preserve"> - Beach Hostel</t>
        </is>
      </c>
      <c r="H435">
        <f>HYPERLINK("https://booking.roadsurfer.com/es/rally/pick?pickup_date=2026-04-22&amp;return_date=2026-04-29&amp;currency=EUR&amp;startStation=59&amp;endStation=91", "Clic para verlo en la web de RoadSurfer")</f>
        <v/>
      </c>
    </row>
    <row r="436">
      <c r="A436" t="inlineStr">
        <is>
          <t>Suecia</t>
        </is>
      </c>
      <c r="B436" t="inlineStr">
        <is>
          <t>Estocolmo</t>
        </is>
      </c>
      <c r="C436" t="inlineStr">
        <is>
          <t>Alemania</t>
        </is>
      </c>
      <c r="D436" t="inlineStr">
        <is>
          <t>Bielefeld</t>
        </is>
      </c>
      <c r="E436" t="inlineStr">
        <is>
          <t>2026-05-04</t>
        </is>
      </c>
      <c r="F436" t="inlineStr">
        <is>
          <t>2026-05-11</t>
        </is>
      </c>
      <c r="G436" t="inlineStr">
        <is>
          <t xml:space="preserve"> - Sunrise Suite</t>
        </is>
      </c>
      <c r="H436">
        <f>HYPERLINK("https://booking.roadsurfer.com/es/rally/pick?pickup_date=2026-05-04&amp;return_date=2026-05-11&amp;currency=EUR&amp;startStation=59&amp;endStation=91", "Clic para verlo en la web de RoadSurfer")</f>
        <v/>
      </c>
    </row>
    <row r="437">
      <c r="A437" t="inlineStr">
        <is>
          <t>Suecia</t>
        </is>
      </c>
      <c r="B437" t="inlineStr">
        <is>
          <t>Estocolmo</t>
        </is>
      </c>
      <c r="C437" t="inlineStr">
        <is>
          <t>Alemania</t>
        </is>
      </c>
      <c r="D437" t="inlineStr">
        <is>
          <t>Bielefeld</t>
        </is>
      </c>
      <c r="E437" t="inlineStr">
        <is>
          <t>2026-04-06</t>
        </is>
      </c>
      <c r="F437" t="inlineStr">
        <is>
          <t>2026-04-13</t>
        </is>
      </c>
      <c r="G437" t="inlineStr">
        <is>
          <t xml:space="preserve"> - No hay coche</t>
        </is>
      </c>
      <c r="H437">
        <f>HYPERLINK("https://booking.roadsurfer.com/es/rally/pick?pickup_date=2026-04-06&amp;return_date=2026-04-13&amp;currency=EUR&amp;startStation=59&amp;endStation=91", "Clic para verlo en la web de RoadSurfer")</f>
        <v/>
      </c>
    </row>
    <row r="438">
      <c r="A438" t="inlineStr">
        <is>
          <t>Suecia</t>
        </is>
      </c>
      <c r="B438" t="inlineStr">
        <is>
          <t>Estocolmo</t>
        </is>
      </c>
      <c r="C438" t="inlineStr">
        <is>
          <t>Alemania</t>
        </is>
      </c>
      <c r="D438" t="inlineStr">
        <is>
          <t>Bielefeld</t>
        </is>
      </c>
      <c r="E438" t="inlineStr">
        <is>
          <t>2026-04-13</t>
        </is>
      </c>
      <c r="F438" t="inlineStr">
        <is>
          <t>2026-04-20</t>
        </is>
      </c>
      <c r="G438" t="inlineStr">
        <is>
          <t xml:space="preserve"> - Road House</t>
        </is>
      </c>
      <c r="H438">
        <f>HYPERLINK("https://booking.roadsurfer.com/es/rally/pick?pickup_date=2026-04-13&amp;return_date=2026-04-20&amp;currency=EUR&amp;startStation=59&amp;endStation=91", "Clic para verlo en la web de RoadSurfer")</f>
        <v/>
      </c>
    </row>
    <row r="439">
      <c r="A439" t="inlineStr">
        <is>
          <t>Suecia</t>
        </is>
      </c>
      <c r="B439" t="inlineStr">
        <is>
          <t>Estocolmo</t>
        </is>
      </c>
      <c r="C439" t="inlineStr">
        <is>
          <t>Alemania</t>
        </is>
      </c>
      <c r="D439" t="inlineStr">
        <is>
          <t>Bremen</t>
        </is>
      </c>
      <c r="E439" t="inlineStr">
        <is>
          <t>2026-04-15</t>
        </is>
      </c>
      <c r="F439" t="inlineStr">
        <is>
          <t>2026-04-22</t>
        </is>
      </c>
      <c r="G439" t="inlineStr">
        <is>
          <t xml:space="preserve"> - BEACH HOSTEL</t>
        </is>
      </c>
      <c r="H439">
        <f>HYPERLINK("https://booking.roadsurfer.com/es/rally/pick?pickup_date=2026-04-15&amp;return_date=2026-04-22&amp;currency=EUR&amp;startStation=59&amp;endStation=55", "Clic para verlo en la web de RoadSurfer")</f>
        <v/>
      </c>
    </row>
    <row r="440">
      <c r="A440" t="inlineStr">
        <is>
          <t>Suecia</t>
        </is>
      </c>
      <c r="B440" t="inlineStr">
        <is>
          <t>Estocolmo</t>
        </is>
      </c>
      <c r="C440" t="inlineStr">
        <is>
          <t>Alemania</t>
        </is>
      </c>
      <c r="D440" t="inlineStr">
        <is>
          <t>Dresde</t>
        </is>
      </c>
      <c r="E440" t="inlineStr">
        <is>
          <t>2026-03-31</t>
        </is>
      </c>
      <c r="F440" t="inlineStr">
        <is>
          <t>2026-04-07</t>
        </is>
      </c>
      <c r="G440" t="inlineStr">
        <is>
          <t xml:space="preserve"> - Road House</t>
        </is>
      </c>
      <c r="H440">
        <f>HYPERLINK("https://booking.roadsurfer.com/es/rally/pick?pickup_date=2026-03-31&amp;return_date=2026-04-07&amp;currency=EUR&amp;startStation=59&amp;endStation=56", "Clic para verlo en la web de RoadSurfer")</f>
        <v/>
      </c>
    </row>
    <row r="441">
      <c r="A441" t="inlineStr">
        <is>
          <t>Suecia</t>
        </is>
      </c>
      <c r="B441" t="inlineStr">
        <is>
          <t>Estocolmo</t>
        </is>
      </c>
      <c r="C441" t="inlineStr">
        <is>
          <t>Alemania</t>
        </is>
      </c>
      <c r="D441" t="inlineStr">
        <is>
          <t>Dresde</t>
        </is>
      </c>
      <c r="E441" t="inlineStr">
        <is>
          <t>2026-04-09</t>
        </is>
      </c>
      <c r="F441" t="inlineStr">
        <is>
          <t>2026-04-16</t>
        </is>
      </c>
      <c r="G441" t="inlineStr">
        <is>
          <t xml:space="preserve"> - Road House</t>
        </is>
      </c>
      <c r="H441">
        <f>HYPERLINK("https://booking.roadsurfer.com/es/rally/pick?pickup_date=2026-04-09&amp;return_date=2026-04-16&amp;currency=EUR&amp;startStation=59&amp;endStation=56", "Clic para verlo en la web de RoadSurfer")</f>
        <v/>
      </c>
    </row>
    <row r="442">
      <c r="A442" t="inlineStr">
        <is>
          <t>Suecia</t>
        </is>
      </c>
      <c r="B442" t="inlineStr">
        <is>
          <t>Estocolmo</t>
        </is>
      </c>
      <c r="C442" t="inlineStr">
        <is>
          <t>Alemania</t>
        </is>
      </c>
      <c r="D442" t="inlineStr">
        <is>
          <t>Dresde</t>
        </is>
      </c>
      <c r="E442" t="inlineStr">
        <is>
          <t>2026-04-02</t>
        </is>
      </c>
      <c r="F442" t="inlineStr">
        <is>
          <t>2026-04-09</t>
        </is>
      </c>
      <c r="G442" t="inlineStr">
        <is>
          <t xml:space="preserve"> - Road House</t>
        </is>
      </c>
      <c r="H442">
        <f>HYPERLINK("https://booking.roadsurfer.com/es/rally/pick?pickup_date=2026-04-02&amp;return_date=2026-04-09&amp;currency=EUR&amp;startStation=59&amp;endStation=56", "Clic para verlo en la web de RoadSurfer")</f>
        <v/>
      </c>
    </row>
    <row r="443">
      <c r="A443" t="inlineStr">
        <is>
          <t>Suecia</t>
        </is>
      </c>
      <c r="B443" t="inlineStr">
        <is>
          <t>Estocolmo</t>
        </is>
      </c>
      <c r="C443" t="inlineStr">
        <is>
          <t>Alemania</t>
        </is>
      </c>
      <c r="D443" t="inlineStr">
        <is>
          <t>Colonia-Bonn</t>
        </is>
      </c>
      <c r="E443" t="inlineStr">
        <is>
          <t>2026-04-06</t>
        </is>
      </c>
      <c r="F443" t="inlineStr">
        <is>
          <t>2026-04-13</t>
        </is>
      </c>
      <c r="G443" t="inlineStr">
        <is>
          <t xml:space="preserve"> - No hay coche</t>
        </is>
      </c>
      <c r="H443">
        <f>HYPERLINK("https://booking.roadsurfer.com/es/rally/pick?pickup_date=2026-04-06&amp;return_date=2026-04-13&amp;currency=EUR&amp;startStation=59&amp;endStation=52", "Clic para verlo en la web de RoadSurfer")</f>
        <v/>
      </c>
    </row>
    <row r="444">
      <c r="A444" t="inlineStr">
        <is>
          <t>Suecia</t>
        </is>
      </c>
      <c r="B444" t="inlineStr">
        <is>
          <t>Estocolmo</t>
        </is>
      </c>
      <c r="C444" t="inlineStr">
        <is>
          <t>Alemania</t>
        </is>
      </c>
      <c r="D444" t="inlineStr">
        <is>
          <t>Augsburgo</t>
        </is>
      </c>
      <c r="E444" t="inlineStr">
        <is>
          <t>2026-04-15</t>
        </is>
      </c>
      <c r="F444" t="inlineStr">
        <is>
          <t>2026-04-22</t>
        </is>
      </c>
      <c r="G444" t="inlineStr">
        <is>
          <t xml:space="preserve"> - Camper Castle</t>
        </is>
      </c>
      <c r="H444">
        <f>HYPERLINK("https://booking.roadsurfer.com/es/rally/pick?pickup_date=2026-04-15&amp;return_date=2026-04-22&amp;currency=EUR&amp;startStation=59&amp;endStation=108", "Clic para verlo en la web de RoadSurfer")</f>
        <v/>
      </c>
    </row>
    <row r="445">
      <c r="A445" t="inlineStr">
        <is>
          <t>Suecia</t>
        </is>
      </c>
      <c r="B445" t="inlineStr">
        <is>
          <t>Estocolmo</t>
        </is>
      </c>
      <c r="C445" t="inlineStr">
        <is>
          <t>Alemania</t>
        </is>
      </c>
      <c r="D445" t="inlineStr">
        <is>
          <t>Lindau-Wangen</t>
        </is>
      </c>
      <c r="E445" t="inlineStr">
        <is>
          <t>2026-04-15</t>
        </is>
      </c>
      <c r="F445" t="inlineStr">
        <is>
          <t>2026-04-22</t>
        </is>
      </c>
      <c r="G445" t="inlineStr">
        <is>
          <t xml:space="preserve"> - Camper Castle</t>
        </is>
      </c>
      <c r="H445">
        <f>HYPERLINK("https://booking.roadsurfer.com/es/rally/pick?pickup_date=2026-04-15&amp;return_date=2026-04-22&amp;currency=EUR&amp;startStation=59&amp;endStation=117", "Clic para verlo en la web de RoadSurfer")</f>
        <v/>
      </c>
    </row>
    <row r="446">
      <c r="A446" t="inlineStr">
        <is>
          <t>Suecia</t>
        </is>
      </c>
      <c r="B446" t="inlineStr">
        <is>
          <t>Estocolmo</t>
        </is>
      </c>
      <c r="C446" t="inlineStr">
        <is>
          <t>Alemania</t>
        </is>
      </c>
      <c r="D446" t="inlineStr">
        <is>
          <t>Berlín-Schönefeld</t>
        </is>
      </c>
      <c r="E446" t="inlineStr">
        <is>
          <t>2026-04-14</t>
        </is>
      </c>
      <c r="F446" t="inlineStr">
        <is>
          <t>2026-04-21</t>
        </is>
      </c>
      <c r="G446" t="inlineStr">
        <is>
          <t xml:space="preserve"> - Family Finca</t>
        </is>
      </c>
      <c r="H446">
        <f>HYPERLINK("https://booking.roadsurfer.com/es/rally/pick?pickup_date=2026-04-14&amp;return_date=2026-04-21&amp;currency=EUR&amp;startStation=59&amp;endStation=51", "Clic para verlo en la web de RoadSurfer")</f>
        <v/>
      </c>
    </row>
    <row r="447">
      <c r="A447" t="inlineStr">
        <is>
          <t>Suecia</t>
        </is>
      </c>
      <c r="B447" t="inlineStr">
        <is>
          <t>Estocolmo</t>
        </is>
      </c>
      <c r="C447" t="inlineStr">
        <is>
          <t>Alemania</t>
        </is>
      </c>
      <c r="D447" t="inlineStr">
        <is>
          <t>Berlín-Schönefeld</t>
        </is>
      </c>
      <c r="E447" t="inlineStr">
        <is>
          <t>2026-04-04</t>
        </is>
      </c>
      <c r="F447" t="inlineStr">
        <is>
          <t>2026-04-11</t>
        </is>
      </c>
      <c r="G447" t="inlineStr">
        <is>
          <t xml:space="preserve"> - Sunrise Suite</t>
        </is>
      </c>
      <c r="H447">
        <f>HYPERLINK("https://booking.roadsurfer.com/es/rally/pick?pickup_date=2026-04-04&amp;return_date=2026-04-11&amp;currency=EUR&amp;startStation=59&amp;endStation=51", "Clic para verlo en la web de RoadSurfer")</f>
        <v/>
      </c>
    </row>
    <row r="448">
      <c r="A448" t="inlineStr">
        <is>
          <t>Suecia</t>
        </is>
      </c>
      <c r="B448" t="inlineStr">
        <is>
          <t>Estocolmo</t>
        </is>
      </c>
      <c r="C448" t="inlineStr">
        <is>
          <t>Alemania</t>
        </is>
      </c>
      <c r="D448" t="inlineStr">
        <is>
          <t>Hamburgo</t>
        </is>
      </c>
      <c r="E448" t="inlineStr">
        <is>
          <t>2026-04-01</t>
        </is>
      </c>
      <c r="F448" t="inlineStr">
        <is>
          <t>2026-04-08</t>
        </is>
      </c>
      <c r="G448" t="inlineStr">
        <is>
          <t xml:space="preserve"> - Cozy Cottage</t>
        </is>
      </c>
      <c r="H448">
        <f>HYPERLINK("https://booking.roadsurfer.com/es/rally/pick?pickup_date=2026-04-01&amp;return_date=2026-04-08&amp;currency=EUR&amp;startStation=59&amp;endStation=3", "Clic para verlo en la web de RoadSurfer")</f>
        <v/>
      </c>
    </row>
    <row r="449">
      <c r="A449" t="inlineStr">
        <is>
          <t>Suecia</t>
        </is>
      </c>
      <c r="B449" t="inlineStr">
        <is>
          <t>Estocolmo</t>
        </is>
      </c>
      <c r="C449" t="inlineStr">
        <is>
          <t>Alemania</t>
        </is>
      </c>
      <c r="D449" t="inlineStr">
        <is>
          <t>Hamburgo</t>
        </is>
      </c>
      <c r="E449" t="inlineStr">
        <is>
          <t>2026-04-27</t>
        </is>
      </c>
      <c r="F449" t="inlineStr">
        <is>
          <t>2026-05-04</t>
        </is>
      </c>
      <c r="G449" t="inlineStr">
        <is>
          <t xml:space="preserve"> - Family Finca</t>
        </is>
      </c>
      <c r="H449">
        <f>HYPERLINK("https://booking.roadsurfer.com/es/rally/pick?pickup_date=2026-04-27&amp;return_date=2026-05-04&amp;currency=EUR&amp;startStation=59&amp;endStation=3", "Clic para verlo en la web de RoadSurfer")</f>
        <v/>
      </c>
    </row>
    <row r="450">
      <c r="A450" t="inlineStr">
        <is>
          <t>Suecia</t>
        </is>
      </c>
      <c r="B450" t="inlineStr">
        <is>
          <t>Estocolmo</t>
        </is>
      </c>
      <c r="C450" t="inlineStr">
        <is>
          <t>Alemania</t>
        </is>
      </c>
      <c r="D450" t="inlineStr">
        <is>
          <t>Fráncfort</t>
        </is>
      </c>
      <c r="E450" t="inlineStr">
        <is>
          <t>2026-03-31</t>
        </is>
      </c>
      <c r="F450" t="inlineStr">
        <is>
          <t>2026-04-07</t>
        </is>
      </c>
      <c r="G450" t="inlineStr">
        <is>
          <t xml:space="preserve"> - Sunrise Suite</t>
        </is>
      </c>
      <c r="H450">
        <f>HYPERLINK("https://booking.roadsurfer.com/es/rally/pick?pickup_date=2026-03-31&amp;return_date=2026-04-07&amp;currency=EUR&amp;startStation=59&amp;endStation=2", "Clic para verlo en la web de RoadSurfer")</f>
        <v/>
      </c>
    </row>
    <row r="451">
      <c r="A451" t="inlineStr">
        <is>
          <t>Alemania</t>
        </is>
      </c>
      <c r="B451" t="inlineStr">
        <is>
          <t>Stuttgart</t>
        </is>
      </c>
      <c r="C451" t="inlineStr">
        <is>
          <t>Francia</t>
        </is>
      </c>
      <c r="D451" t="inlineStr">
        <is>
          <t>Nantes</t>
        </is>
      </c>
      <c r="E451" t="inlineStr">
        <is>
          <t>2026-04-15</t>
        </is>
      </c>
      <c r="F451" t="inlineStr">
        <is>
          <t>2026-04-22</t>
        </is>
      </c>
      <c r="G451" t="inlineStr">
        <is>
          <t xml:space="preserve"> - Family Finca</t>
        </is>
      </c>
      <c r="H451">
        <f>HYPERLINK("https://booking.roadsurfer.com/es/rally/pick?pickup_date=2026-04-15&amp;return_date=2026-04-22&amp;currency=EUR&amp;startStation=5&amp;endStation=31", "Clic para verlo en la web de RoadSurfer")</f>
        <v/>
      </c>
    </row>
    <row r="452">
      <c r="A452" t="inlineStr">
        <is>
          <t>Alemania</t>
        </is>
      </c>
      <c r="B452" t="inlineStr">
        <is>
          <t>Stuttgart</t>
        </is>
      </c>
      <c r="C452" t="inlineStr">
        <is>
          <t>Francia</t>
        </is>
      </c>
      <c r="D452" t="inlineStr">
        <is>
          <t>Nantes</t>
        </is>
      </c>
      <c r="E452" t="inlineStr">
        <is>
          <t>2026-04-13</t>
        </is>
      </c>
      <c r="F452" t="inlineStr">
        <is>
          <t>2026-04-20</t>
        </is>
      </c>
      <c r="G452" t="inlineStr">
        <is>
          <t xml:space="preserve"> - Camper Cabin</t>
        </is>
      </c>
      <c r="H452">
        <f>HYPERLINK("https://booking.roadsurfer.com/es/rally/pick?pickup_date=2026-04-13&amp;return_date=2026-04-20&amp;currency=EUR&amp;startStation=5&amp;endStation=31", "Clic para verlo en la web de RoadSurfer")</f>
        <v/>
      </c>
    </row>
    <row r="453">
      <c r="A453" t="inlineStr">
        <is>
          <t>Alemania</t>
        </is>
      </c>
      <c r="B453" t="inlineStr">
        <is>
          <t>Stuttgart</t>
        </is>
      </c>
      <c r="C453" t="inlineStr">
        <is>
          <t>Francia</t>
        </is>
      </c>
      <c r="D453" t="inlineStr">
        <is>
          <t>Nantes</t>
        </is>
      </c>
      <c r="E453" t="inlineStr">
        <is>
          <t>2026-04-08</t>
        </is>
      </c>
      <c r="F453" t="inlineStr">
        <is>
          <t>2026-04-15</t>
        </is>
      </c>
      <c r="G453" t="inlineStr">
        <is>
          <t xml:space="preserve"> - Camper Cabin</t>
        </is>
      </c>
      <c r="H453">
        <f>HYPERLINK("https://booking.roadsurfer.com/es/rally/pick?pickup_date=2026-04-08&amp;return_date=2026-04-15&amp;currency=EUR&amp;startStation=5&amp;endStation=31", "Clic para verlo en la web de RoadSurfer")</f>
        <v/>
      </c>
    </row>
    <row r="454">
      <c r="A454" t="inlineStr">
        <is>
          <t>Alemania</t>
        </is>
      </c>
      <c r="B454" t="inlineStr">
        <is>
          <t>Stuttgart</t>
        </is>
      </c>
      <c r="C454" t="inlineStr">
        <is>
          <t>España</t>
        </is>
      </c>
      <c r="D454" t="inlineStr">
        <is>
          <t>Bilbao</t>
        </is>
      </c>
      <c r="E454" t="inlineStr">
        <is>
          <t>2026-04-13</t>
        </is>
      </c>
      <c r="F454" t="inlineStr">
        <is>
          <t>2026-04-20</t>
        </is>
      </c>
      <c r="G454" t="inlineStr">
        <is>
          <t xml:space="preserve"> - No hay coche</t>
        </is>
      </c>
      <c r="H454">
        <f>HYPERLINK("https://booking.roadsurfer.com/es/rally/pick?pickup_date=2026-04-13&amp;return_date=2026-04-20&amp;currency=EUR&amp;startStation=5&amp;endStation=40", "Clic para verlo en la web de RoadSurfer")</f>
        <v/>
      </c>
    </row>
    <row r="455">
      <c r="A455" t="inlineStr">
        <is>
          <t>Alemania</t>
        </is>
      </c>
      <c r="B455" t="inlineStr">
        <is>
          <t>Stuttgart</t>
        </is>
      </c>
      <c r="C455" t="inlineStr">
        <is>
          <t>España</t>
        </is>
      </c>
      <c r="D455" t="inlineStr">
        <is>
          <t>Barcelona</t>
        </is>
      </c>
      <c r="E455" t="inlineStr">
        <is>
          <t>2026-04-10</t>
        </is>
      </c>
      <c r="F455" t="inlineStr">
        <is>
          <t>2026-04-17</t>
        </is>
      </c>
      <c r="G455" t="inlineStr">
        <is>
          <t xml:space="preserve"> - Road House</t>
        </is>
      </c>
      <c r="H455">
        <f>HYPERLINK("https://booking.roadsurfer.com/es/rally/pick?pickup_date=2026-04-10&amp;return_date=2026-04-17&amp;currency=EUR&amp;startStation=5&amp;endStation=17", "Clic para verlo en la web de RoadSurfer")</f>
        <v/>
      </c>
    </row>
    <row r="456">
      <c r="A456" t="inlineStr">
        <is>
          <t>Alemania</t>
        </is>
      </c>
      <c r="B456" t="inlineStr">
        <is>
          <t>Stuttgart</t>
        </is>
      </c>
      <c r="C456" t="inlineStr">
        <is>
          <t>España</t>
        </is>
      </c>
      <c r="D456" t="inlineStr">
        <is>
          <t>Málaga</t>
        </is>
      </c>
      <c r="E456" t="inlineStr">
        <is>
          <t>2026-04-09</t>
        </is>
      </c>
      <c r="F456" t="inlineStr">
        <is>
          <t>2026-04-16</t>
        </is>
      </c>
      <c r="G456" t="inlineStr">
        <is>
          <t xml:space="preserve"> - Road House</t>
        </is>
      </c>
      <c r="H456">
        <f>HYPERLINK("https://booking.roadsurfer.com/es/rally/pick?pickup_date=2026-04-09&amp;return_date=2026-04-16&amp;currency=EUR&amp;startStation=5&amp;endStation=21", "Clic para verlo en la web de RoadSurfer")</f>
        <v/>
      </c>
    </row>
    <row r="457">
      <c r="A457" t="inlineStr">
        <is>
          <t>Alemania</t>
        </is>
      </c>
      <c r="B457" t="inlineStr">
        <is>
          <t>Stuttgart</t>
        </is>
      </c>
      <c r="C457" t="inlineStr">
        <is>
          <t>Alemania</t>
        </is>
      </c>
      <c r="D457" t="inlineStr">
        <is>
          <t>Aquisgrán</t>
        </is>
      </c>
      <c r="E457" t="inlineStr">
        <is>
          <t>2026-04-23</t>
        </is>
      </c>
      <c r="F457" t="inlineStr">
        <is>
          <t>2026-04-30</t>
        </is>
      </c>
      <c r="G457" t="inlineStr">
        <is>
          <t xml:space="preserve"> - No hay coche</t>
        </is>
      </c>
      <c r="H457">
        <f>HYPERLINK("https://booking.roadsurfer.com/es/rally/pick?pickup_date=2026-04-23&amp;return_date=2026-04-30&amp;currency=EUR&amp;startStation=5&amp;endStation=114", "Clic para verlo en la web de RoadSurfer")</f>
        <v/>
      </c>
    </row>
    <row r="458">
      <c r="A458" t="inlineStr">
        <is>
          <t>Alemania</t>
        </is>
      </c>
      <c r="B458" t="inlineStr">
        <is>
          <t>Stuttgart</t>
        </is>
      </c>
      <c r="C458" t="inlineStr">
        <is>
          <t>Austria</t>
        </is>
      </c>
      <c r="D458" t="inlineStr">
        <is>
          <t>Viena Sur</t>
        </is>
      </c>
      <c r="E458" t="inlineStr">
        <is>
          <t>2026-04-15</t>
        </is>
      </c>
      <c r="F458" t="inlineStr">
        <is>
          <t>2026-04-22</t>
        </is>
      </c>
      <c r="G458" t="inlineStr">
        <is>
          <t xml:space="preserve"> - Family Finca</t>
        </is>
      </c>
      <c r="H458">
        <f>HYPERLINK("https://booking.roadsurfer.com/es/rally/pick?pickup_date=2026-04-15&amp;return_date=2026-04-22&amp;currency=EUR&amp;startStation=5&amp;endStation=45", "Clic para verlo en la web de RoadSurfer")</f>
        <v/>
      </c>
    </row>
    <row r="459">
      <c r="A459" t="inlineStr">
        <is>
          <t>Alemania</t>
        </is>
      </c>
      <c r="B459" t="inlineStr">
        <is>
          <t>Stuttgart</t>
        </is>
      </c>
      <c r="C459" t="inlineStr">
        <is>
          <t>Italia</t>
        </is>
      </c>
      <c r="D459" t="inlineStr">
        <is>
          <t>Milán</t>
        </is>
      </c>
      <c r="E459" t="inlineStr">
        <is>
          <t>2026-04-14</t>
        </is>
      </c>
      <c r="F459" t="inlineStr">
        <is>
          <t>2026-04-21</t>
        </is>
      </c>
      <c r="G459" t="inlineStr">
        <is>
          <t xml:space="preserve"> - Couple Cottage</t>
        </is>
      </c>
      <c r="H459">
        <f>HYPERLINK("https://booking.roadsurfer.com/es/rally/pick?pickup_date=2026-04-14&amp;return_date=2026-04-21&amp;currency=EUR&amp;startStation=5&amp;endStation=34", "Clic para verlo en la web de RoadSurfer")</f>
        <v/>
      </c>
    </row>
    <row r="460">
      <c r="A460" t="inlineStr">
        <is>
          <t>Alemania</t>
        </is>
      </c>
      <c r="B460" t="inlineStr">
        <is>
          <t>Stuttgart</t>
        </is>
      </c>
      <c r="C460" t="inlineStr">
        <is>
          <t>Francia</t>
        </is>
      </c>
      <c r="D460" t="inlineStr">
        <is>
          <t>Lille</t>
        </is>
      </c>
      <c r="E460" t="inlineStr">
        <is>
          <t>2026-04-20</t>
        </is>
      </c>
      <c r="F460" t="inlineStr">
        <is>
          <t>2026-04-27</t>
        </is>
      </c>
      <c r="G460" t="inlineStr">
        <is>
          <t xml:space="preserve"> - Cozy Cottage</t>
        </is>
      </c>
      <c r="H460">
        <f>HYPERLINK("https://booking.roadsurfer.com/es/rally/pick?pickup_date=2026-04-20&amp;return_date=2026-04-27&amp;currency=EUR&amp;startStation=5&amp;endStation=87", "Clic para verlo en la web de RoadSurfer")</f>
        <v/>
      </c>
    </row>
    <row r="461">
      <c r="A461" t="inlineStr">
        <is>
          <t>EE.UU.</t>
        </is>
      </c>
      <c r="B461" t="inlineStr">
        <is>
          <t>Thor Industries, Elkhart</t>
        </is>
      </c>
      <c r="C461" t="inlineStr">
        <is>
          <t>EE.UU.</t>
        </is>
      </c>
      <c r="D461" t="inlineStr">
        <is>
          <t>Salt Lake City</t>
        </is>
      </c>
      <c r="E461" t="inlineStr">
        <is>
          <t>2026-04-20</t>
        </is>
      </c>
      <c r="F461" t="inlineStr">
        <is>
          <t>2026-05-08</t>
        </is>
      </c>
      <c r="G461" t="inlineStr">
        <is>
          <t xml:space="preserve"> - Family Freedom</t>
        </is>
      </c>
      <c r="H461">
        <f>HYPERLINK("https://booking.roadsurfer.com/es/rally/pick?pickup_date=2026-04-20&amp;return_date=2026-05-08&amp;currency=EUR&amp;startStation=74&amp;endStation=106", "Clic para verlo en la web de RoadSurfer")</f>
        <v/>
      </c>
    </row>
    <row r="462">
      <c r="A462" t="inlineStr">
        <is>
          <t>EE.UU.</t>
        </is>
      </c>
      <c r="B462" t="inlineStr">
        <is>
          <t>Thor Industries, Elkhart</t>
        </is>
      </c>
      <c r="C462" t="inlineStr">
        <is>
          <t>EE.UU.</t>
        </is>
      </c>
      <c r="D462" t="inlineStr">
        <is>
          <t>Salt Lake City</t>
        </is>
      </c>
      <c r="E462" t="inlineStr">
        <is>
          <t>2026-04-20</t>
        </is>
      </c>
      <c r="F462" t="inlineStr">
        <is>
          <t>2026-05-04</t>
        </is>
      </c>
      <c r="G462" t="inlineStr">
        <is>
          <t xml:space="preserve"> - Family Freedom</t>
        </is>
      </c>
      <c r="H462">
        <f>HYPERLINK("https://booking.roadsurfer.com/es/rally/pick?pickup_date=2026-04-20&amp;return_date=2026-05-04&amp;currency=EUR&amp;startStation=74&amp;endStation=106", "Clic para verlo en la web de RoadSurfer")</f>
        <v/>
      </c>
    </row>
    <row r="463">
      <c r="A463" t="inlineStr">
        <is>
          <t>EE.UU.</t>
        </is>
      </c>
      <c r="B463" t="inlineStr">
        <is>
          <t>Thor Industries, Elkhart</t>
        </is>
      </c>
      <c r="C463" t="inlineStr">
        <is>
          <t>EE.UU.</t>
        </is>
      </c>
      <c r="D463" t="inlineStr">
        <is>
          <t>Seattle</t>
        </is>
      </c>
      <c r="E463" t="inlineStr">
        <is>
          <t>2026-04-20</t>
        </is>
      </c>
      <c r="F463" t="inlineStr">
        <is>
          <t>2026-05-08</t>
        </is>
      </c>
      <c r="G463" t="inlineStr">
        <is>
          <t xml:space="preserve"> - Family Freedom</t>
        </is>
      </c>
      <c r="H463">
        <f>HYPERLINK("https://booking.roadsurfer.com/es/rally/pick?pickup_date=2026-04-20&amp;return_date=2026-05-08&amp;currency=EUR&amp;startStation=74&amp;endStation=107", "Clic para verlo en la web de RoadSurfer")</f>
        <v/>
      </c>
    </row>
    <row r="464">
      <c r="A464" t="inlineStr">
        <is>
          <t>EE.UU.</t>
        </is>
      </c>
      <c r="B464" t="inlineStr">
        <is>
          <t>Thor Industries, Elkhart</t>
        </is>
      </c>
      <c r="C464" t="inlineStr">
        <is>
          <t>EE.UU.</t>
        </is>
      </c>
      <c r="D464" t="inlineStr">
        <is>
          <t>Seattle</t>
        </is>
      </c>
      <c r="E464" t="inlineStr">
        <is>
          <t>2026-04-23</t>
        </is>
      </c>
      <c r="F464" t="inlineStr">
        <is>
          <t>2026-05-07</t>
        </is>
      </c>
      <c r="G464" t="inlineStr">
        <is>
          <t xml:space="preserve"> - Family Freedom</t>
        </is>
      </c>
      <c r="H464">
        <f>HYPERLINK("https://booking.roadsurfer.com/es/rally/pick?pickup_date=2026-04-23&amp;return_date=2026-05-07&amp;currency=EUR&amp;startStation=74&amp;endStation=107", "Clic para verlo en la web de RoadSurfer")</f>
        <v/>
      </c>
    </row>
    <row r="465">
      <c r="A465" t="inlineStr">
        <is>
          <t>EE.UU.</t>
        </is>
      </c>
      <c r="B465" t="inlineStr">
        <is>
          <t>Thor Industries, Elkhart</t>
        </is>
      </c>
      <c r="C465" t="inlineStr">
        <is>
          <t>EE.UU.</t>
        </is>
      </c>
      <c r="D465" t="inlineStr">
        <is>
          <t>Denver</t>
        </is>
      </c>
      <c r="E465" t="inlineStr">
        <is>
          <t>2026-04-20</t>
        </is>
      </c>
      <c r="F465" t="inlineStr">
        <is>
          <t>2026-05-04</t>
        </is>
      </c>
      <c r="G465" t="inlineStr">
        <is>
          <t xml:space="preserve"> - Family Freedom</t>
        </is>
      </c>
      <c r="H465">
        <f>HYPERLINK("https://booking.roadsurfer.com/es/rally/pick?pickup_date=2026-04-20&amp;return_date=2026-05-04&amp;currency=EUR&amp;startStation=74&amp;endStation=104", "Clic para verlo en la web de RoadSurfer")</f>
        <v/>
      </c>
    </row>
    <row r="466">
      <c r="A466" t="inlineStr">
        <is>
          <t>EE.UU.</t>
        </is>
      </c>
      <c r="B466" t="inlineStr">
        <is>
          <t>Thor Industries, Elkhart</t>
        </is>
      </c>
      <c r="C466" t="inlineStr">
        <is>
          <t>EE.UU.</t>
        </is>
      </c>
      <c r="D466" t="inlineStr">
        <is>
          <t>Denver</t>
        </is>
      </c>
      <c r="E466" t="inlineStr">
        <is>
          <t>2026-04-21</t>
        </is>
      </c>
      <c r="F466" t="inlineStr">
        <is>
          <t>2026-05-05</t>
        </is>
      </c>
      <c r="G466" t="inlineStr">
        <is>
          <t xml:space="preserve"> - Family Freedom</t>
        </is>
      </c>
      <c r="H466">
        <f>HYPERLINK("https://booking.roadsurfer.com/es/rally/pick?pickup_date=2026-04-21&amp;return_date=2026-05-05&amp;currency=EUR&amp;startStation=74&amp;endStation=104", "Clic para verlo en la web de RoadSurfer")</f>
        <v/>
      </c>
    </row>
    <row r="467">
      <c r="A467" t="inlineStr">
        <is>
          <t>EE.UU.</t>
        </is>
      </c>
      <c r="B467" t="inlineStr">
        <is>
          <t>Thor Industries, Elkhart</t>
        </is>
      </c>
      <c r="C467" t="inlineStr">
        <is>
          <t>EE.UU.</t>
        </is>
      </c>
      <c r="D467" t="inlineStr">
        <is>
          <t>Denver</t>
        </is>
      </c>
      <c r="E467" t="inlineStr">
        <is>
          <t>2026-04-22</t>
        </is>
      </c>
      <c r="F467" t="inlineStr">
        <is>
          <t>2026-05-06</t>
        </is>
      </c>
      <c r="G467" t="inlineStr">
        <is>
          <t xml:space="preserve"> - Family Freedom</t>
        </is>
      </c>
      <c r="H467">
        <f>HYPERLINK("https://booking.roadsurfer.com/es/rally/pick?pickup_date=2026-04-22&amp;return_date=2026-05-06&amp;currency=EUR&amp;startStation=74&amp;endStation=104", "Clic para verlo en la web de RoadSurfer")</f>
        <v/>
      </c>
    </row>
    <row r="468">
      <c r="A468" t="inlineStr">
        <is>
          <t>EE.UU.</t>
        </is>
      </c>
      <c r="B468" t="inlineStr">
        <is>
          <t>Thor Industries, Elkhart</t>
        </is>
      </c>
      <c r="C468" t="inlineStr">
        <is>
          <t>EE.UU.</t>
        </is>
      </c>
      <c r="D468" t="inlineStr">
        <is>
          <t>Denver</t>
        </is>
      </c>
      <c r="E468" t="inlineStr">
        <is>
          <t>2026-04-20</t>
        </is>
      </c>
      <c r="F468" t="inlineStr">
        <is>
          <t>2026-05-08</t>
        </is>
      </c>
      <c r="G468" t="inlineStr">
        <is>
          <t xml:space="preserve"> - Family Freedom</t>
        </is>
      </c>
      <c r="H468">
        <f>HYPERLINK("https://booking.roadsurfer.com/es/rally/pick?pickup_date=2026-04-20&amp;return_date=2026-05-08&amp;currency=EUR&amp;startStation=74&amp;endStation=104", "Clic para verlo en la web de RoadSurfer")</f>
        <v/>
      </c>
    </row>
    <row r="469">
      <c r="A469" t="inlineStr">
        <is>
          <t>EE.UU.</t>
        </is>
      </c>
      <c r="B469" t="inlineStr">
        <is>
          <t>Thor Industries, Elkhart</t>
        </is>
      </c>
      <c r="C469" t="inlineStr">
        <is>
          <t>EE.UU.</t>
        </is>
      </c>
      <c r="D469" t="inlineStr">
        <is>
          <t>Dallas</t>
        </is>
      </c>
      <c r="E469" t="inlineStr">
        <is>
          <t>2026-04-20</t>
        </is>
      </c>
      <c r="F469" t="inlineStr">
        <is>
          <t>2026-05-04</t>
        </is>
      </c>
      <c r="G469" t="inlineStr">
        <is>
          <t xml:space="preserve"> - Family Freedom</t>
        </is>
      </c>
      <c r="H469">
        <f>HYPERLINK("https://booking.roadsurfer.com/es/rally/pick?pickup_date=2026-04-20&amp;return_date=2026-05-04&amp;currency=EUR&amp;startStation=74&amp;endStation=125", "Clic para verlo en la web de RoadSurfer")</f>
        <v/>
      </c>
    </row>
    <row r="470">
      <c r="A470" t="inlineStr">
        <is>
          <t>EE.UU.</t>
        </is>
      </c>
      <c r="B470" t="inlineStr">
        <is>
          <t>Thor Industries, Elkhart</t>
        </is>
      </c>
      <c r="C470" t="inlineStr">
        <is>
          <t>EE.UU.</t>
        </is>
      </c>
      <c r="D470" t="inlineStr">
        <is>
          <t>San Francisco</t>
        </is>
      </c>
      <c r="E470" t="inlineStr">
        <is>
          <t>2026-04-21</t>
        </is>
      </c>
      <c r="F470" t="inlineStr">
        <is>
          <t>2026-05-05</t>
        </is>
      </c>
      <c r="G470" t="inlineStr">
        <is>
          <t xml:space="preserve"> - Family Freedom</t>
        </is>
      </c>
      <c r="H470">
        <f>HYPERLINK("https://booking.roadsurfer.com/es/rally/pick?pickup_date=2026-04-21&amp;return_date=2026-05-05&amp;currency=EUR&amp;startStation=74&amp;endStation=75", "Clic para verlo en la web de RoadSurfer")</f>
        <v/>
      </c>
    </row>
    <row r="471">
      <c r="A471" t="inlineStr">
        <is>
          <t>Francia</t>
        </is>
      </c>
      <c r="B471" t="inlineStr">
        <is>
          <t>Toulouse</t>
        </is>
      </c>
      <c r="C471" t="inlineStr">
        <is>
          <t>Alemania</t>
        </is>
      </c>
      <c r="D471" t="inlineStr">
        <is>
          <t>Berlín</t>
        </is>
      </c>
      <c r="E471" t="inlineStr">
        <is>
          <t>2026-04-04</t>
        </is>
      </c>
      <c r="F471" t="inlineStr">
        <is>
          <t>2026-04-11</t>
        </is>
      </c>
      <c r="G471" t="inlineStr">
        <is>
          <t xml:space="preserve"> - Surfer Suite</t>
        </is>
      </c>
      <c r="H471">
        <f>HYPERLINK("https://booking.roadsurfer.com/es/rally/pick?pickup_date=2026-04-04&amp;return_date=2026-04-11&amp;currency=EUR&amp;startStation=30&amp;endStation=6", "Clic para verlo en la web de RoadSurfer")</f>
        <v/>
      </c>
    </row>
    <row r="472">
      <c r="A472" t="inlineStr">
        <is>
          <t>Francia</t>
        </is>
      </c>
      <c r="B472" t="inlineStr">
        <is>
          <t>Toulouse</t>
        </is>
      </c>
      <c r="C472" t="inlineStr">
        <is>
          <t>Alemania</t>
        </is>
      </c>
      <c r="D472" t="inlineStr">
        <is>
          <t>Constanza (Aach)</t>
        </is>
      </c>
      <c r="E472" t="inlineStr">
        <is>
          <t>2026-05-04</t>
        </is>
      </c>
      <c r="F472" t="inlineStr">
        <is>
          <t>2026-05-11</t>
        </is>
      </c>
      <c r="G472" t="inlineStr">
        <is>
          <t xml:space="preserve"> - Surfer Suite</t>
        </is>
      </c>
      <c r="H472">
        <f>HYPERLINK("https://booking.roadsurfer.com/es/rally/pick?pickup_date=2026-05-04&amp;return_date=2026-05-11&amp;currency=EUR&amp;startStation=30&amp;endStation=10", "Clic para verlo en la web de RoadSurfer")</f>
        <v/>
      </c>
    </row>
    <row r="473">
      <c r="A473" t="inlineStr">
        <is>
          <t>Francia</t>
        </is>
      </c>
      <c r="B473" t="inlineStr">
        <is>
          <t>Toulouse</t>
        </is>
      </c>
      <c r="C473" t="inlineStr">
        <is>
          <t>Alemania</t>
        </is>
      </c>
      <c r="D473" t="inlineStr">
        <is>
          <t>Erfurt</t>
        </is>
      </c>
      <c r="E473" t="inlineStr">
        <is>
          <t>2026-04-13</t>
        </is>
      </c>
      <c r="F473" t="inlineStr">
        <is>
          <t>2026-04-20</t>
        </is>
      </c>
      <c r="G473" t="inlineStr">
        <is>
          <t xml:space="preserve"> - Camper Castle</t>
        </is>
      </c>
      <c r="H473">
        <f>HYPERLINK("https://booking.roadsurfer.com/es/rally/pick?pickup_date=2026-04-13&amp;return_date=2026-04-20&amp;currency=EUR&amp;startStation=30&amp;endStation=90", "Clic para verlo en la web de RoadSurfer")</f>
        <v/>
      </c>
    </row>
    <row r="474">
      <c r="A474" t="inlineStr">
        <is>
          <t>Francia</t>
        </is>
      </c>
      <c r="B474" t="inlineStr">
        <is>
          <t>Toulouse</t>
        </is>
      </c>
      <c r="C474" t="inlineStr">
        <is>
          <t>Alemania</t>
        </is>
      </c>
      <c r="D474" t="inlineStr">
        <is>
          <t>Erfurt</t>
        </is>
      </c>
      <c r="E474" t="inlineStr">
        <is>
          <t>2026-04-14</t>
        </is>
      </c>
      <c r="F474" t="inlineStr">
        <is>
          <t>2026-04-21</t>
        </is>
      </c>
      <c r="G474" t="inlineStr">
        <is>
          <t xml:space="preserve"> - Road House</t>
        </is>
      </c>
      <c r="H474">
        <f>HYPERLINK("https://booking.roadsurfer.com/es/rally/pick?pickup_date=2026-04-14&amp;return_date=2026-04-21&amp;currency=EUR&amp;startStation=30&amp;endStation=90", "Clic para verlo en la web de RoadSurfer")</f>
        <v/>
      </c>
    </row>
    <row r="475">
      <c r="A475" t="inlineStr">
        <is>
          <t>Francia</t>
        </is>
      </c>
      <c r="B475" t="inlineStr">
        <is>
          <t>Toulouse</t>
        </is>
      </c>
      <c r="C475" t="inlineStr">
        <is>
          <t>Alemania</t>
        </is>
      </c>
      <c r="D475" t="inlineStr">
        <is>
          <t>Kassel</t>
        </is>
      </c>
      <c r="E475" t="inlineStr">
        <is>
          <t>2026-04-04</t>
        </is>
      </c>
      <c r="F475" t="inlineStr">
        <is>
          <t>2026-04-11</t>
        </is>
      </c>
      <c r="G475" t="inlineStr">
        <is>
          <t xml:space="preserve"> - Family Finca</t>
        </is>
      </c>
      <c r="H475">
        <f>HYPERLINK("https://booking.roadsurfer.com/es/rally/pick?pickup_date=2026-04-04&amp;return_date=2026-04-11&amp;currency=EUR&amp;startStation=30&amp;endStation=92", "Clic para verlo en la web de RoadSurfer")</f>
        <v/>
      </c>
    </row>
    <row r="476">
      <c r="A476" t="inlineStr">
        <is>
          <t>Francia</t>
        </is>
      </c>
      <c r="B476" t="inlineStr">
        <is>
          <t>Toulouse</t>
        </is>
      </c>
      <c r="C476" t="inlineStr">
        <is>
          <t>Alemania</t>
        </is>
      </c>
      <c r="D476" t="inlineStr">
        <is>
          <t>Kassel</t>
        </is>
      </c>
      <c r="E476" t="inlineStr">
        <is>
          <t>2026-04-27</t>
        </is>
      </c>
      <c r="F476" t="inlineStr">
        <is>
          <t>2026-05-04</t>
        </is>
      </c>
      <c r="G476" t="inlineStr">
        <is>
          <t xml:space="preserve"> - Family Finca</t>
        </is>
      </c>
      <c r="H476">
        <f>HYPERLINK("https://booking.roadsurfer.com/es/rally/pick?pickup_date=2026-04-27&amp;return_date=2026-05-04&amp;currency=EUR&amp;startStation=30&amp;endStation=92", "Clic para verlo en la web de RoadSurfer")</f>
        <v/>
      </c>
    </row>
    <row r="477">
      <c r="A477" t="inlineStr">
        <is>
          <t>Alemania</t>
        </is>
      </c>
      <c r="B477" t="inlineStr">
        <is>
          <t>Tréveris</t>
        </is>
      </c>
      <c r="C477" t="inlineStr">
        <is>
          <t>Alemania</t>
        </is>
      </c>
      <c r="D477" t="inlineStr">
        <is>
          <t>Hamburgo Aeropuerto</t>
        </is>
      </c>
      <c r="E477" t="inlineStr">
        <is>
          <t>2026-04-13</t>
        </is>
      </c>
      <c r="F477" t="inlineStr">
        <is>
          <t>2026-04-20</t>
        </is>
      </c>
      <c r="G477" t="inlineStr">
        <is>
          <t xml:space="preserve"> - Family Finca</t>
        </is>
      </c>
      <c r="H477">
        <f>HYPERLINK("https://booking.roadsurfer.com/es/rally/pick?pickup_date=2026-04-13&amp;return_date=2026-04-20&amp;currency=EUR&amp;startStation=28&amp;endStation=65", "Clic para verlo en la web de RoadSurfer")</f>
        <v/>
      </c>
    </row>
    <row r="478">
      <c r="A478" t="inlineStr">
        <is>
          <t>Italia</t>
        </is>
      </c>
      <c r="B478" t="inlineStr">
        <is>
          <t>Turín</t>
        </is>
      </c>
      <c r="C478" t="inlineStr">
        <is>
          <t>Alemania</t>
        </is>
      </c>
      <c r="D478" t="inlineStr">
        <is>
          <t>Núremberg</t>
        </is>
      </c>
      <c r="E478" t="inlineStr">
        <is>
          <t>2026-04-16</t>
        </is>
      </c>
      <c r="F478" t="inlineStr">
        <is>
          <t>2026-04-23</t>
        </is>
      </c>
      <c r="G478" t="inlineStr">
        <is>
          <t xml:space="preserve"> - Road House</t>
        </is>
      </c>
      <c r="H478">
        <f>HYPERLINK("https://booking.roadsurfer.com/es/rally/pick?pickup_date=2026-04-16&amp;return_date=2026-04-23&amp;currency=EUR&amp;startStation=58&amp;endStation=11", "Clic para verlo en la web de RoadSurfer")</f>
        <v/>
      </c>
    </row>
    <row r="479">
      <c r="A479" t="inlineStr">
        <is>
          <t>Italia</t>
        </is>
      </c>
      <c r="B479" t="inlineStr">
        <is>
          <t>Turín</t>
        </is>
      </c>
      <c r="C479" t="inlineStr">
        <is>
          <t>Alemania</t>
        </is>
      </c>
      <c r="D479" t="inlineStr">
        <is>
          <t>Kiel</t>
        </is>
      </c>
      <c r="E479" t="inlineStr">
        <is>
          <t>2026-03-31</t>
        </is>
      </c>
      <c r="F479" t="inlineStr">
        <is>
          <t>2026-04-07</t>
        </is>
      </c>
      <c r="G479" t="inlineStr">
        <is>
          <t xml:space="preserve"> - Family Finca</t>
        </is>
      </c>
      <c r="H479">
        <f>HYPERLINK("https://booking.roadsurfer.com/es/rally/pick?pickup_date=2026-03-31&amp;return_date=2026-04-07&amp;currency=EUR&amp;startStation=58&amp;endStation=111", "Clic para verlo en la web de RoadSurfer")</f>
        <v/>
      </c>
    </row>
    <row r="480">
      <c r="A480" t="inlineStr">
        <is>
          <t>Italia</t>
        </is>
      </c>
      <c r="B480" t="inlineStr">
        <is>
          <t>Turín</t>
        </is>
      </c>
      <c r="C480" t="inlineStr">
        <is>
          <t>Alemania</t>
        </is>
      </c>
      <c r="D480" t="inlineStr">
        <is>
          <t>Dresde</t>
        </is>
      </c>
      <c r="E480" t="inlineStr">
        <is>
          <t>2026-04-20</t>
        </is>
      </c>
      <c r="F480" t="inlineStr">
        <is>
          <t>2026-04-27</t>
        </is>
      </c>
      <c r="G480" t="inlineStr">
        <is>
          <t xml:space="preserve"> - Family Finca</t>
        </is>
      </c>
      <c r="H480">
        <f>HYPERLINK("https://booking.roadsurfer.com/es/rally/pick?pickup_date=2026-04-20&amp;return_date=2026-04-27&amp;currency=EUR&amp;startStation=58&amp;endStation=56", "Clic para verlo en la web de RoadSurfer")</f>
        <v/>
      </c>
    </row>
    <row r="481">
      <c r="A481" t="inlineStr">
        <is>
          <t>Alemania</t>
        </is>
      </c>
      <c r="B481" t="inlineStr">
        <is>
          <t>Ulm</t>
        </is>
      </c>
      <c r="C481" t="inlineStr">
        <is>
          <t>Italia</t>
        </is>
      </c>
      <c r="D481" t="inlineStr">
        <is>
          <t>Bérgamo</t>
        </is>
      </c>
      <c r="E481" t="inlineStr">
        <is>
          <t>2026-04-15</t>
        </is>
      </c>
      <c r="F481" t="inlineStr">
        <is>
          <t>2026-04-22</t>
        </is>
      </c>
      <c r="G481" t="inlineStr">
        <is>
          <t xml:space="preserve"> - Couple Cottage</t>
        </is>
      </c>
      <c r="H481">
        <f>HYPERLINK("https://booking.roadsurfer.com/es/rally/pick?pickup_date=2026-04-15&amp;return_date=2026-04-22&amp;currency=EUR&amp;startStation=112&amp;endStation=94", "Clic para verlo en la web de RoadSurfer")</f>
        <v/>
      </c>
    </row>
    <row r="482">
      <c r="A482" t="inlineStr">
        <is>
          <t>Alemania</t>
        </is>
      </c>
      <c r="B482" t="inlineStr">
        <is>
          <t>Ulm</t>
        </is>
      </c>
      <c r="C482" t="inlineStr">
        <is>
          <t>Suecia</t>
        </is>
      </c>
      <c r="D482" t="inlineStr">
        <is>
          <t>Gotemburgo</t>
        </is>
      </c>
      <c r="E482" t="inlineStr">
        <is>
          <t>2026-04-27</t>
        </is>
      </c>
      <c r="F482" t="inlineStr">
        <is>
          <t>2026-05-04</t>
        </is>
      </c>
      <c r="G482" t="inlineStr">
        <is>
          <t xml:space="preserve"> - Family Finca</t>
        </is>
      </c>
      <c r="H482">
        <f>HYPERLINK("https://booking.roadsurfer.com/es/rally/pick?pickup_date=2026-04-27&amp;return_date=2026-05-04&amp;currency=EUR&amp;startStation=112&amp;endStation=77", "Clic para verlo en la web de RoadSurfer")</f>
        <v/>
      </c>
    </row>
    <row r="483">
      <c r="A483" t="inlineStr">
        <is>
          <t>España</t>
        </is>
      </c>
      <c r="B483" t="inlineStr">
        <is>
          <t>Valencia</t>
        </is>
      </c>
      <c r="C483" t="inlineStr">
        <is>
          <t>Alemania</t>
        </is>
      </c>
      <c r="D483" t="inlineStr">
        <is>
          <t>Maguncia</t>
        </is>
      </c>
      <c r="E483" t="inlineStr">
        <is>
          <t>2026-04-04</t>
        </is>
      </c>
      <c r="F483" t="inlineStr">
        <is>
          <t>2026-04-11</t>
        </is>
      </c>
      <c r="G483" t="inlineStr">
        <is>
          <t xml:space="preserve"> - TRAVEL HOME</t>
        </is>
      </c>
      <c r="H483">
        <f>HYPERLINK("https://booking.roadsurfer.com/es/rally/pick?pickup_date=2026-04-04&amp;return_date=2026-04-11&amp;currency=EUR&amp;startStation=38&amp;endStation=54", "Clic para verlo en la web de RoadSurfer")</f>
        <v/>
      </c>
    </row>
    <row r="484">
      <c r="A484" t="inlineStr">
        <is>
          <t>España</t>
        </is>
      </c>
      <c r="B484" t="inlineStr">
        <is>
          <t>Valencia</t>
        </is>
      </c>
      <c r="C484" t="inlineStr">
        <is>
          <t>Alemania</t>
        </is>
      </c>
      <c r="D484" t="inlineStr">
        <is>
          <t>Núremberg</t>
        </is>
      </c>
      <c r="E484" t="inlineStr">
        <is>
          <t>2026-04-17</t>
        </is>
      </c>
      <c r="F484" t="inlineStr">
        <is>
          <t>2026-04-21</t>
        </is>
      </c>
      <c r="G484" t="inlineStr">
        <is>
          <t xml:space="preserve"> - Road House</t>
        </is>
      </c>
      <c r="H484">
        <f>HYPERLINK("https://booking.roadsurfer.com/es/rally/pick?pickup_date=2026-04-17&amp;return_date=2026-04-21&amp;currency=EUR&amp;startStation=38&amp;endStation=11", "Clic para verlo en la web de RoadSurfer")</f>
        <v/>
      </c>
    </row>
    <row r="485">
      <c r="A485" t="inlineStr">
        <is>
          <t>España</t>
        </is>
      </c>
      <c r="B485" t="inlineStr">
        <is>
          <t>Valencia</t>
        </is>
      </c>
      <c r="C485" t="inlineStr">
        <is>
          <t>Alemania</t>
        </is>
      </c>
      <c r="D485" t="inlineStr">
        <is>
          <t>Colonia-Bonn</t>
        </is>
      </c>
      <c r="E485" t="inlineStr">
        <is>
          <t>2026-04-14</t>
        </is>
      </c>
      <c r="F485" t="inlineStr">
        <is>
          <t>2026-04-21</t>
        </is>
      </c>
      <c r="G485" t="inlineStr">
        <is>
          <t xml:space="preserve"> - Couple Cottage</t>
        </is>
      </c>
      <c r="H485">
        <f>HYPERLINK("https://booking.roadsurfer.com/es/rally/pick?pickup_date=2026-04-14&amp;return_date=2026-04-21&amp;currency=EUR&amp;startStation=38&amp;endStation=52", "Clic para verlo en la web de RoadSurfer")</f>
        <v/>
      </c>
    </row>
    <row r="486">
      <c r="A486" t="inlineStr">
        <is>
          <t>Italia</t>
        </is>
      </c>
      <c r="B486" t="inlineStr">
        <is>
          <t>Venecia</t>
        </is>
      </c>
      <c r="C486" t="inlineStr">
        <is>
          <t>Alemania</t>
        </is>
      </c>
      <c r="D486" t="inlineStr">
        <is>
          <t>Fráncfort</t>
        </is>
      </c>
      <c r="E486" t="inlineStr">
        <is>
          <t>2026-04-08</t>
        </is>
      </c>
      <c r="F486" t="inlineStr">
        <is>
          <t>2026-04-15</t>
        </is>
      </c>
      <c r="G486" t="inlineStr">
        <is>
          <t xml:space="preserve"> - Surfer Suite</t>
        </is>
      </c>
      <c r="H486">
        <f>HYPERLINK("https://booking.roadsurfer.com/es/rally/pick?pickup_date=2026-04-08&amp;return_date=2026-04-15&amp;currency=EUR&amp;startStation=78&amp;endStation=2", "Clic para verlo en la web de RoadSurfer")</f>
        <v/>
      </c>
    </row>
    <row r="487">
      <c r="A487" t="inlineStr">
        <is>
          <t>Italia</t>
        </is>
      </c>
      <c r="B487" t="inlineStr">
        <is>
          <t>Venecia</t>
        </is>
      </c>
      <c r="C487" t="inlineStr">
        <is>
          <t>Alemania</t>
        </is>
      </c>
      <c r="D487" t="inlineStr">
        <is>
          <t>Marburg</t>
        </is>
      </c>
      <c r="E487" t="inlineStr">
        <is>
          <t>2026-04-08</t>
        </is>
      </c>
      <c r="F487" t="inlineStr">
        <is>
          <t>2026-04-15</t>
        </is>
      </c>
      <c r="G487" t="inlineStr">
        <is>
          <t xml:space="preserve"> - Surfer Suite</t>
        </is>
      </c>
      <c r="H487">
        <f>HYPERLINK("https://booking.roadsurfer.com/es/rally/pick?pickup_date=2026-04-08&amp;return_date=2026-04-15&amp;currency=EUR&amp;startStation=78&amp;endStation=22", "Clic para verlo en la web de RoadSurfer")</f>
        <v/>
      </c>
    </row>
    <row r="488">
      <c r="A488" t="inlineStr">
        <is>
          <t>Italia</t>
        </is>
      </c>
      <c r="B488" t="inlineStr">
        <is>
          <t>Venecia</t>
        </is>
      </c>
      <c r="C488" t="inlineStr">
        <is>
          <t>Italia</t>
        </is>
      </c>
      <c r="D488" t="inlineStr">
        <is>
          <t>Bérgamo</t>
        </is>
      </c>
      <c r="E488" t="inlineStr">
        <is>
          <t>2026-04-14</t>
        </is>
      </c>
      <c r="F488" t="inlineStr">
        <is>
          <t>2026-04-21</t>
        </is>
      </c>
      <c r="G488" t="inlineStr">
        <is>
          <t xml:space="preserve"> - Family Finca</t>
        </is>
      </c>
      <c r="H488">
        <f>HYPERLINK("https://booking.roadsurfer.com/es/rally/pick?pickup_date=2026-04-14&amp;return_date=2026-04-21&amp;currency=EUR&amp;startStation=78&amp;endStation=94", "Clic para verlo en la web de RoadSurfer")</f>
        <v/>
      </c>
    </row>
    <row r="489">
      <c r="A489" t="inlineStr">
        <is>
          <t>Italia</t>
        </is>
      </c>
      <c r="B489" t="inlineStr">
        <is>
          <t>Venecia</t>
        </is>
      </c>
      <c r="C489" t="inlineStr">
        <is>
          <t>Italia</t>
        </is>
      </c>
      <c r="D489" t="inlineStr">
        <is>
          <t>Bérgamo</t>
        </is>
      </c>
      <c r="E489" t="inlineStr">
        <is>
          <t>2026-04-16</t>
        </is>
      </c>
      <c r="F489" t="inlineStr">
        <is>
          <t>2026-04-23</t>
        </is>
      </c>
      <c r="G489" t="inlineStr">
        <is>
          <t xml:space="preserve"> - Surfer Suite</t>
        </is>
      </c>
      <c r="H489">
        <f>HYPERLINK("https://booking.roadsurfer.com/es/rally/pick?pickup_date=2026-04-16&amp;return_date=2026-04-23&amp;currency=EUR&amp;startStation=78&amp;endStation=94", "Clic para verlo en la web de RoadSurfer")</f>
        <v/>
      </c>
    </row>
    <row r="490">
      <c r="A490" t="inlineStr">
        <is>
          <t>Italia</t>
        </is>
      </c>
      <c r="B490" t="inlineStr">
        <is>
          <t>Venecia</t>
        </is>
      </c>
      <c r="C490" t="inlineStr">
        <is>
          <t>Alemania</t>
        </is>
      </c>
      <c r="D490" t="inlineStr">
        <is>
          <t>Maguncia</t>
        </is>
      </c>
      <c r="E490" t="inlineStr">
        <is>
          <t>2026-04-14</t>
        </is>
      </c>
      <c r="F490" t="inlineStr">
        <is>
          <t>2026-04-21</t>
        </is>
      </c>
      <c r="G490" t="inlineStr">
        <is>
          <t xml:space="preserve"> - Beach Hostel</t>
        </is>
      </c>
      <c r="H490">
        <f>HYPERLINK("https://booking.roadsurfer.com/es/rally/pick?pickup_date=2026-04-14&amp;return_date=2026-04-21&amp;currency=EUR&amp;startStation=78&amp;endStation=54", "Clic para verlo en la web de RoadSurfer")</f>
        <v/>
      </c>
    </row>
    <row r="491">
      <c r="A491" t="inlineStr">
        <is>
          <t>Italia</t>
        </is>
      </c>
      <c r="B491" t="inlineStr">
        <is>
          <t>Venecia</t>
        </is>
      </c>
      <c r="C491" t="inlineStr">
        <is>
          <t>Austria</t>
        </is>
      </c>
      <c r="D491" t="inlineStr">
        <is>
          <t>Viena</t>
        </is>
      </c>
      <c r="E491" t="inlineStr">
        <is>
          <t>2026-04-09</t>
        </is>
      </c>
      <c r="F491" t="inlineStr">
        <is>
          <t>2026-04-16</t>
        </is>
      </c>
      <c r="G491" t="inlineStr">
        <is>
          <t xml:space="preserve"> - Couple Cottage</t>
        </is>
      </c>
      <c r="H491">
        <f>HYPERLINK("https://booking.roadsurfer.com/es/rally/pick?pickup_date=2026-04-09&amp;return_date=2026-04-16&amp;currency=EUR&amp;startStation=78&amp;endStation=36", "Clic para verlo en la web de RoadSurfer")</f>
        <v/>
      </c>
    </row>
    <row r="492">
      <c r="A492" t="inlineStr">
        <is>
          <t>Austria</t>
        </is>
      </c>
      <c r="B492" t="inlineStr">
        <is>
          <t>Viena</t>
        </is>
      </c>
      <c r="C492" t="inlineStr">
        <is>
          <t>Alemania</t>
        </is>
      </c>
      <c r="D492" t="inlineStr">
        <is>
          <t>Leipzig</t>
        </is>
      </c>
      <c r="E492" t="inlineStr">
        <is>
          <t>2026-04-14</t>
        </is>
      </c>
      <c r="F492" t="inlineStr">
        <is>
          <t>2026-04-21</t>
        </is>
      </c>
      <c r="G492" t="inlineStr">
        <is>
          <t xml:space="preserve"> - Cozy Cottage</t>
        </is>
      </c>
      <c r="H492">
        <f>HYPERLINK("https://booking.roadsurfer.com/es/rally/pick?pickup_date=2026-04-14&amp;return_date=2026-04-21&amp;currency=EUR&amp;startStation=36&amp;endStation=8", "Clic para verlo en la web de RoadSurfer")</f>
        <v/>
      </c>
    </row>
    <row r="493">
      <c r="A493" t="inlineStr">
        <is>
          <t>Austria</t>
        </is>
      </c>
      <c r="B493" t="inlineStr">
        <is>
          <t>Viena</t>
        </is>
      </c>
      <c r="C493" t="inlineStr">
        <is>
          <t>Alemania</t>
        </is>
      </c>
      <c r="D493" t="inlineStr">
        <is>
          <t>Leipzig</t>
        </is>
      </c>
      <c r="E493" t="inlineStr">
        <is>
          <t>2026-04-18</t>
        </is>
      </c>
      <c r="F493" t="inlineStr">
        <is>
          <t>2026-04-25</t>
        </is>
      </c>
      <c r="G493" t="inlineStr">
        <is>
          <t xml:space="preserve"> - Camper Cabin</t>
        </is>
      </c>
      <c r="H493">
        <f>HYPERLINK("https://booking.roadsurfer.com/es/rally/pick?pickup_date=2026-04-18&amp;return_date=2026-04-25&amp;currency=EUR&amp;startStation=36&amp;endStation=8", "Clic para verlo en la web de RoadSurfer")</f>
        <v/>
      </c>
    </row>
    <row r="494">
      <c r="A494" t="inlineStr">
        <is>
          <t>Austria</t>
        </is>
      </c>
      <c r="B494" t="inlineStr">
        <is>
          <t>Viena Sur</t>
        </is>
      </c>
      <c r="C494" t="inlineStr">
        <is>
          <t>Alemania</t>
        </is>
      </c>
      <c r="D494" t="inlineStr">
        <is>
          <t>Marburg</t>
        </is>
      </c>
      <c r="E494" t="inlineStr">
        <is>
          <t>2026-04-09</t>
        </is>
      </c>
      <c r="F494" t="inlineStr">
        <is>
          <t>2026-04-16</t>
        </is>
      </c>
      <c r="G494" t="inlineStr">
        <is>
          <t xml:space="preserve"> - Surfer Suite</t>
        </is>
      </c>
      <c r="H494">
        <f>HYPERLINK("https://booking.roadsurfer.com/es/rally/pick?pickup_date=2026-04-09&amp;return_date=2026-04-16&amp;currency=EUR&amp;startStation=45&amp;endStation=22", "Clic para verlo en la web de RoadSurfer")</f>
        <v/>
      </c>
    </row>
    <row r="495">
      <c r="A495" t="inlineStr">
        <is>
          <t>Austria</t>
        </is>
      </c>
      <c r="B495" t="inlineStr">
        <is>
          <t>Viena Sur</t>
        </is>
      </c>
      <c r="C495" t="inlineStr">
        <is>
          <t>Alemania</t>
        </is>
      </c>
      <c r="D495" t="inlineStr">
        <is>
          <t>Leipzig</t>
        </is>
      </c>
      <c r="E495" t="inlineStr">
        <is>
          <t>2026-04-13</t>
        </is>
      </c>
      <c r="F495" t="inlineStr">
        <is>
          <t>2026-04-20</t>
        </is>
      </c>
      <c r="G495" t="inlineStr">
        <is>
          <t xml:space="preserve"> - Family Finca</t>
        </is>
      </c>
      <c r="H495">
        <f>HYPERLINK("https://booking.roadsurfer.com/es/rally/pick?pickup_date=2026-04-13&amp;return_date=2026-04-20&amp;currency=EUR&amp;startStation=45&amp;endStation=8", "Clic para verlo en la web de RoadSurfer")</f>
        <v/>
      </c>
    </row>
    <row r="496">
      <c r="A496" t="inlineStr">
        <is>
          <t>Austria</t>
        </is>
      </c>
      <c r="B496" t="inlineStr">
        <is>
          <t>Viena Sur</t>
        </is>
      </c>
      <c r="C496" t="inlineStr">
        <is>
          <t>Alemania</t>
        </is>
      </c>
      <c r="D496" t="inlineStr">
        <is>
          <t>Leipzig</t>
        </is>
      </c>
      <c r="E496" t="inlineStr">
        <is>
          <t>2026-04-14</t>
        </is>
      </c>
      <c r="F496" t="inlineStr">
        <is>
          <t>2026-04-21</t>
        </is>
      </c>
      <c r="G496" t="inlineStr">
        <is>
          <t xml:space="preserve"> - Family Finca</t>
        </is>
      </c>
      <c r="H496">
        <f>HYPERLINK("https://booking.roadsurfer.com/es/rally/pick?pickup_date=2026-04-14&amp;return_date=2026-04-21&amp;currency=EUR&amp;startStation=45&amp;endStation=8", "Clic para verlo en la web de RoadSurfer")</f>
        <v/>
      </c>
    </row>
    <row r="497">
      <c r="A497" t="inlineStr">
        <is>
          <t>Austria</t>
        </is>
      </c>
      <c r="B497" t="inlineStr">
        <is>
          <t>Viena Sur</t>
        </is>
      </c>
      <c r="C497" t="inlineStr">
        <is>
          <t>Alemania</t>
        </is>
      </c>
      <c r="D497" t="inlineStr">
        <is>
          <t>Núremberg</t>
        </is>
      </c>
      <c r="E497" t="inlineStr">
        <is>
          <t>2026-04-15</t>
        </is>
      </c>
      <c r="F497" t="inlineStr">
        <is>
          <t>2026-04-22</t>
        </is>
      </c>
      <c r="G497" t="inlineStr">
        <is>
          <t xml:space="preserve"> - Cozy Cottage</t>
        </is>
      </c>
      <c r="H497">
        <f>HYPERLINK("https://booking.roadsurfer.com/es/rally/pick?pickup_date=2026-04-15&amp;return_date=2026-04-22&amp;currency=EUR&amp;startStation=45&amp;endStation=11", "Clic para verlo en la web de RoadSurfer")</f>
        <v/>
      </c>
    </row>
    <row r="498">
      <c r="A498" t="inlineStr">
        <is>
          <t>EE.UU.</t>
        </is>
      </c>
      <c r="B498" t="inlineStr">
        <is>
          <t>Winnebago Industries</t>
        </is>
      </c>
      <c r="C498" t="inlineStr">
        <is>
          <t>EE.UU.</t>
        </is>
      </c>
      <c r="D498" t="inlineStr">
        <is>
          <t>Denver</t>
        </is>
      </c>
      <c r="E498" t="inlineStr">
        <is>
          <t>2026-03-26</t>
        </is>
      </c>
      <c r="F498" t="inlineStr">
        <is>
          <t>2026-04-09</t>
        </is>
      </c>
      <c r="G498" t="inlineStr">
        <is>
          <t xml:space="preserve"> - Liberty Lodge</t>
        </is>
      </c>
      <c r="H498">
        <f>HYPERLINK("https://booking.roadsurfer.com/es/rally/pick?pickup_date=2026-03-26&amp;return_date=2026-04-09&amp;currency=EUR&amp;startStation=81&amp;endStation=104", "Clic para verlo en la web de RoadSurfer")</f>
        <v/>
      </c>
    </row>
    <row r="499">
      <c r="A499" t="inlineStr">
        <is>
          <t>EE.UU.</t>
        </is>
      </c>
      <c r="B499" t="inlineStr">
        <is>
          <t>Winnebago Industries</t>
        </is>
      </c>
      <c r="C499" t="inlineStr">
        <is>
          <t>EE.UU.</t>
        </is>
      </c>
      <c r="D499" t="inlineStr">
        <is>
          <t>Denver</t>
        </is>
      </c>
      <c r="E499" t="inlineStr">
        <is>
          <t>2026-03-27</t>
        </is>
      </c>
      <c r="F499" t="inlineStr">
        <is>
          <t>2026-04-10</t>
        </is>
      </c>
      <c r="G499" t="inlineStr">
        <is>
          <t xml:space="preserve"> - Liberty Lodge - Couple Condo</t>
        </is>
      </c>
      <c r="H499">
        <f>HYPERLINK("https://booking.roadsurfer.com/es/rally/pick?pickup_date=2026-03-27&amp;return_date=2026-04-10&amp;currency=EUR&amp;startStation=81&amp;endStation=104", "Clic para verlo en la web de RoadSurfer")</f>
        <v/>
      </c>
    </row>
    <row r="500">
      <c r="A500" t="inlineStr">
        <is>
          <t>EE.UU.</t>
        </is>
      </c>
      <c r="B500" t="inlineStr">
        <is>
          <t>Winnebago Industries</t>
        </is>
      </c>
      <c r="C500" t="inlineStr">
        <is>
          <t>EE.UU.</t>
        </is>
      </c>
      <c r="D500" t="inlineStr">
        <is>
          <t>Denver</t>
        </is>
      </c>
      <c r="E500" t="inlineStr">
        <is>
          <t>2026-03-31</t>
        </is>
      </c>
      <c r="F500" t="inlineStr">
        <is>
          <t>2026-04-14</t>
        </is>
      </c>
      <c r="G500" t="inlineStr">
        <is>
          <t xml:space="preserve"> - Liberty Lodge - Couple Condo</t>
        </is>
      </c>
      <c r="H500">
        <f>HYPERLINK("https://booking.roadsurfer.com/es/rally/pick?pickup_date=2026-03-31&amp;return_date=2026-04-14&amp;currency=EUR&amp;startStation=81&amp;endStation=104", "Clic para verlo en la web de RoadSurfer")</f>
        <v/>
      </c>
    </row>
    <row r="501">
      <c r="A501" t="inlineStr">
        <is>
          <t>EE.UU.</t>
        </is>
      </c>
      <c r="B501" t="inlineStr">
        <is>
          <t>Winnebago Industries</t>
        </is>
      </c>
      <c r="C501" t="inlineStr">
        <is>
          <t>EE.UU.</t>
        </is>
      </c>
      <c r="D501" t="inlineStr">
        <is>
          <t>Denver</t>
        </is>
      </c>
      <c r="E501" t="inlineStr">
        <is>
          <t>2026-03-30</t>
        </is>
      </c>
      <c r="F501" t="inlineStr">
        <is>
          <t>2026-04-13</t>
        </is>
      </c>
      <c r="G501" t="inlineStr">
        <is>
          <t xml:space="preserve"> - Liberty Lodge</t>
        </is>
      </c>
      <c r="H501">
        <f>HYPERLINK("https://booking.roadsurfer.com/es/rally/pick?pickup_date=2026-03-30&amp;return_date=2026-04-13&amp;currency=EUR&amp;startStation=81&amp;endStation=104", "Clic para verlo en la web de RoadSurfer")</f>
        <v/>
      </c>
    </row>
    <row r="502">
      <c r="A502" t="inlineStr">
        <is>
          <t>EE.UU.</t>
        </is>
      </c>
      <c r="B502" t="inlineStr">
        <is>
          <t>Winnebago Industries</t>
        </is>
      </c>
      <c r="C502" t="inlineStr">
        <is>
          <t>EE.UU.</t>
        </is>
      </c>
      <c r="D502" t="inlineStr">
        <is>
          <t>San Francisco</t>
        </is>
      </c>
      <c r="E502" t="inlineStr">
        <is>
          <t>2026-03-30</t>
        </is>
      </c>
      <c r="F502" t="inlineStr">
        <is>
          <t>2026-04-13</t>
        </is>
      </c>
      <c r="G502" t="inlineStr">
        <is>
          <t xml:space="preserve"> - Liberty Lodge - Couple Condo</t>
        </is>
      </c>
      <c r="H502">
        <f>HYPERLINK("https://booking.roadsurfer.com/es/rally/pick?pickup_date=2026-03-30&amp;return_date=2026-04-13&amp;currency=EUR&amp;startStation=81&amp;endStation=75", "Clic para verlo en la web de RoadSurfer")</f>
        <v/>
      </c>
    </row>
    <row r="503">
      <c r="A503" t="inlineStr">
        <is>
          <t>EE.UU.</t>
        </is>
      </c>
      <c r="B503" t="inlineStr">
        <is>
          <t>Winnebago Industries</t>
        </is>
      </c>
      <c r="C503" t="inlineStr">
        <is>
          <t>EE.UU.</t>
        </is>
      </c>
      <c r="D503" t="inlineStr">
        <is>
          <t>San Francisco</t>
        </is>
      </c>
      <c r="E503" t="inlineStr">
        <is>
          <t>2026-03-26</t>
        </is>
      </c>
      <c r="F503" t="inlineStr">
        <is>
          <t>2026-04-09</t>
        </is>
      </c>
      <c r="G503" t="inlineStr">
        <is>
          <t xml:space="preserve"> - Liberty Lodge - Couple Condo</t>
        </is>
      </c>
      <c r="H503">
        <f>HYPERLINK("https://booking.roadsurfer.com/es/rally/pick?pickup_date=2026-03-26&amp;return_date=2026-04-09&amp;currency=EUR&amp;startStation=81&amp;endStation=75", "Clic para verlo en la web de RoadSurfer")</f>
        <v/>
      </c>
    </row>
    <row r="504">
      <c r="A504" t="inlineStr">
        <is>
          <t>EE.UU.</t>
        </is>
      </c>
      <c r="B504" t="inlineStr">
        <is>
          <t>Winnebago Industries</t>
        </is>
      </c>
      <c r="C504" t="inlineStr">
        <is>
          <t>EE.UU.</t>
        </is>
      </c>
      <c r="D504" t="inlineStr">
        <is>
          <t>San Francisco</t>
        </is>
      </c>
      <c r="E504" t="inlineStr">
        <is>
          <t>2026-04-01</t>
        </is>
      </c>
      <c r="F504" t="inlineStr">
        <is>
          <t>2026-04-15</t>
        </is>
      </c>
      <c r="G504" t="inlineStr">
        <is>
          <t xml:space="preserve"> - Liberty Lodge - Couple Condo</t>
        </is>
      </c>
      <c r="H504">
        <f>HYPERLINK("https://booking.roadsurfer.com/es/rally/pick?pickup_date=2026-04-01&amp;return_date=2026-04-15&amp;currency=EUR&amp;startStation=81&amp;endStation=75", "Clic para verlo en la web de RoadSurfer")</f>
        <v/>
      </c>
    </row>
    <row r="505">
      <c r="A505" t="inlineStr">
        <is>
          <t>EE.UU.</t>
        </is>
      </c>
      <c r="B505" t="inlineStr">
        <is>
          <t>Winnebago Industries</t>
        </is>
      </c>
      <c r="C505" t="inlineStr">
        <is>
          <t>EE.UU.</t>
        </is>
      </c>
      <c r="D505" t="inlineStr">
        <is>
          <t>San Francisco</t>
        </is>
      </c>
      <c r="E505" t="inlineStr">
        <is>
          <t>2026-03-26</t>
        </is>
      </c>
      <c r="F505" t="inlineStr">
        <is>
          <t>2026-04-07</t>
        </is>
      </c>
      <c r="G505" t="inlineStr">
        <is>
          <t xml:space="preserve"> - Liberty Lodge - Couple Condo</t>
        </is>
      </c>
      <c r="H505">
        <f>HYPERLINK("https://booking.roadsurfer.com/es/rally/pick?pickup_date=2026-03-26&amp;return_date=2026-04-07&amp;currency=EUR&amp;startStation=81&amp;endStation=75", "Clic para verlo en la web de RoadSurfer")</f>
        <v/>
      </c>
    </row>
    <row r="506">
      <c r="A506" t="inlineStr">
        <is>
          <t>EE.UU.</t>
        </is>
      </c>
      <c r="B506" t="inlineStr">
        <is>
          <t>Winnebago Industries</t>
        </is>
      </c>
      <c r="C506" t="inlineStr">
        <is>
          <t>EE.UU.</t>
        </is>
      </c>
      <c r="D506" t="inlineStr">
        <is>
          <t>San Francisco</t>
        </is>
      </c>
      <c r="E506" t="inlineStr">
        <is>
          <t>2026-03-27</t>
        </is>
      </c>
      <c r="F506" t="inlineStr">
        <is>
          <t>2026-04-10</t>
        </is>
      </c>
      <c r="G506" t="inlineStr">
        <is>
          <t xml:space="preserve"> - Couple Condo</t>
        </is>
      </c>
      <c r="H506">
        <f>HYPERLINK("https://booking.roadsurfer.com/es/rally/pick?pickup_date=2026-03-27&amp;return_date=2026-04-10&amp;currency=EUR&amp;startStation=81&amp;endStation=75", "Clic para verlo en la web de RoadSurfer")</f>
        <v/>
      </c>
    </row>
    <row r="507">
      <c r="A507" t="inlineStr">
        <is>
          <t>EE.UU.</t>
        </is>
      </c>
      <c r="B507" t="inlineStr">
        <is>
          <t>Winnebago Industries</t>
        </is>
      </c>
      <c r="C507" t="inlineStr">
        <is>
          <t>EE.UU.</t>
        </is>
      </c>
      <c r="D507" t="inlineStr">
        <is>
          <t>San Francisco</t>
        </is>
      </c>
      <c r="E507" t="inlineStr">
        <is>
          <t>2026-04-02</t>
        </is>
      </c>
      <c r="F507" t="inlineStr">
        <is>
          <t>2026-04-16</t>
        </is>
      </c>
      <c r="G507" t="inlineStr">
        <is>
          <t xml:space="preserve"> - Couple Condo</t>
        </is>
      </c>
      <c r="H507">
        <f>HYPERLINK("https://booking.roadsurfer.com/es/rally/pick?pickup_date=2026-04-02&amp;return_date=2026-04-16&amp;currency=EUR&amp;startStation=81&amp;endStation=75", "Clic para verlo en la web de RoadSurfer")</f>
        <v/>
      </c>
    </row>
    <row r="508">
      <c r="A508" t="inlineStr">
        <is>
          <t>EE.UU.</t>
        </is>
      </c>
      <c r="B508" t="inlineStr">
        <is>
          <t>Winnebago Industries</t>
        </is>
      </c>
      <c r="C508" t="inlineStr">
        <is>
          <t>EE.UU.</t>
        </is>
      </c>
      <c r="D508" t="inlineStr">
        <is>
          <t>Las Vegas</t>
        </is>
      </c>
      <c r="E508" t="inlineStr">
        <is>
          <t>2026-03-27</t>
        </is>
      </c>
      <c r="F508" t="inlineStr">
        <is>
          <t>2026-04-10</t>
        </is>
      </c>
      <c r="G508" t="inlineStr">
        <is>
          <t xml:space="preserve"> - Liberty Lodge</t>
        </is>
      </c>
      <c r="H508">
        <f>HYPERLINK("https://booking.roadsurfer.com/es/rally/pick?pickup_date=2026-03-27&amp;return_date=2026-04-10&amp;currency=EUR&amp;startStation=81&amp;endStation=76", "Clic para verlo en la web de RoadSurfer")</f>
        <v/>
      </c>
    </row>
    <row r="509">
      <c r="A509" t="inlineStr">
        <is>
          <t>EE.UU.</t>
        </is>
      </c>
      <c r="B509" t="inlineStr">
        <is>
          <t>Winnebago Industries</t>
        </is>
      </c>
      <c r="C509" t="inlineStr">
        <is>
          <t>EE.UU.</t>
        </is>
      </c>
      <c r="D509" t="inlineStr">
        <is>
          <t>Las Vegas</t>
        </is>
      </c>
      <c r="E509" t="inlineStr">
        <is>
          <t>2026-03-30</t>
        </is>
      </c>
      <c r="F509" t="inlineStr">
        <is>
          <t>2026-04-13</t>
        </is>
      </c>
      <c r="G509" t="inlineStr">
        <is>
          <t xml:space="preserve"> - Liberty Lodge</t>
        </is>
      </c>
      <c r="H509">
        <f>HYPERLINK("https://booking.roadsurfer.com/es/rally/pick?pickup_date=2026-03-30&amp;return_date=2026-04-13&amp;currency=EUR&amp;startStation=81&amp;endStation=76", "Clic para verlo en la web de RoadSurfer")</f>
        <v/>
      </c>
    </row>
    <row r="510">
      <c r="A510" t="inlineStr">
        <is>
          <t>EE.UU.</t>
        </is>
      </c>
      <c r="B510" t="inlineStr">
        <is>
          <t>Winnebago Industries</t>
        </is>
      </c>
      <c r="C510" t="inlineStr">
        <is>
          <t>EE.UU.</t>
        </is>
      </c>
      <c r="D510" t="inlineStr">
        <is>
          <t>Las Vegas</t>
        </is>
      </c>
      <c r="E510" t="inlineStr">
        <is>
          <t>2026-03-26</t>
        </is>
      </c>
      <c r="F510" t="inlineStr">
        <is>
          <t>2026-04-09</t>
        </is>
      </c>
      <c r="G510" t="inlineStr">
        <is>
          <t xml:space="preserve"> - Liberty Lodge</t>
        </is>
      </c>
      <c r="H510">
        <f>HYPERLINK("https://booking.roadsurfer.com/es/rally/pick?pickup_date=2026-03-26&amp;return_date=2026-04-09&amp;currency=EUR&amp;startStation=81&amp;endStation=76", "Clic para verlo en la web de RoadSurfer")</f>
        <v/>
      </c>
    </row>
    <row r="511">
      <c r="A511" t="inlineStr">
        <is>
          <t>EE.UU.</t>
        </is>
      </c>
      <c r="B511" t="inlineStr">
        <is>
          <t>Winnebago Industries</t>
        </is>
      </c>
      <c r="C511" t="inlineStr">
        <is>
          <t>EE.UU.</t>
        </is>
      </c>
      <c r="D511" t="inlineStr">
        <is>
          <t>Salt Lake City</t>
        </is>
      </c>
      <c r="E511" t="inlineStr">
        <is>
          <t>2026-03-30</t>
        </is>
      </c>
      <c r="F511" t="inlineStr">
        <is>
          <t>2026-04-13</t>
        </is>
      </c>
      <c r="G511" t="inlineStr">
        <is>
          <t xml:space="preserve"> - Liberty Lodge</t>
        </is>
      </c>
      <c r="H511">
        <f>HYPERLINK("https://booking.roadsurfer.com/es/rally/pick?pickup_date=2026-03-30&amp;return_date=2026-04-13&amp;currency=EUR&amp;startStation=81&amp;endStation=106", "Clic para verlo en la web de RoadSurfer")</f>
        <v/>
      </c>
    </row>
    <row r="512">
      <c r="A512" t="inlineStr">
        <is>
          <t>EE.UU.</t>
        </is>
      </c>
      <c r="B512" t="inlineStr">
        <is>
          <t>Winnebago Industries</t>
        </is>
      </c>
      <c r="C512" t="inlineStr">
        <is>
          <t>EE.UU.</t>
        </is>
      </c>
      <c r="D512" t="inlineStr">
        <is>
          <t>Dallas</t>
        </is>
      </c>
      <c r="E512" t="inlineStr">
        <is>
          <t>2026-03-30</t>
        </is>
      </c>
      <c r="F512" t="inlineStr">
        <is>
          <t>2026-04-17</t>
        </is>
      </c>
      <c r="G512" t="inlineStr">
        <is>
          <t xml:space="preserve"> - Liberty Lodge</t>
        </is>
      </c>
      <c r="H512">
        <f>HYPERLINK("https://booking.roadsurfer.com/es/rally/pick?pickup_date=2026-03-30&amp;return_date=2026-04-17&amp;currency=EUR&amp;startStation=81&amp;endStation=125", "Clic para verlo en la web de RoadSurfer")</f>
        <v/>
      </c>
    </row>
    <row r="513">
      <c r="A513" t="inlineStr">
        <is>
          <t>EE.UU.</t>
        </is>
      </c>
      <c r="B513" t="inlineStr">
        <is>
          <t>Winnebago Industries</t>
        </is>
      </c>
      <c r="C513" t="inlineStr">
        <is>
          <t>EE.UU.</t>
        </is>
      </c>
      <c r="D513" t="inlineStr">
        <is>
          <t>Seattle</t>
        </is>
      </c>
      <c r="E513" t="inlineStr">
        <is>
          <t>2026-04-01</t>
        </is>
      </c>
      <c r="F513" t="inlineStr">
        <is>
          <t>2026-04-15</t>
        </is>
      </c>
      <c r="G513" t="inlineStr">
        <is>
          <t xml:space="preserve"> - Liberty Lodge</t>
        </is>
      </c>
      <c r="H513">
        <f>HYPERLINK("https://booking.roadsurfer.com/es/rally/pick?pickup_date=2026-04-01&amp;return_date=2026-04-15&amp;currency=EUR&amp;startStation=81&amp;endStation=107", "Clic para verlo en la web de RoadSurfer")</f>
        <v/>
      </c>
    </row>
    <row r="514">
      <c r="A514" t="inlineStr">
        <is>
          <t>EE.UU.</t>
        </is>
      </c>
      <c r="B514" t="inlineStr">
        <is>
          <t>Winnebago Industries</t>
        </is>
      </c>
      <c r="C514" t="inlineStr">
        <is>
          <t>EE.UU.</t>
        </is>
      </c>
      <c r="D514" t="inlineStr">
        <is>
          <t>Seattle</t>
        </is>
      </c>
      <c r="E514" t="inlineStr">
        <is>
          <t>2026-03-26</t>
        </is>
      </c>
      <c r="F514" t="inlineStr">
        <is>
          <t>2026-04-09</t>
        </is>
      </c>
      <c r="G514" t="inlineStr">
        <is>
          <t xml:space="preserve"> - Liberty Lodge</t>
        </is>
      </c>
      <c r="H514">
        <f>HYPERLINK("https://booking.roadsurfer.com/es/rally/pick?pickup_date=2026-03-26&amp;return_date=2026-04-09&amp;currency=EUR&amp;startStation=81&amp;endStation=107", "Clic para verlo en la web de RoadSurfer")</f>
        <v/>
      </c>
    </row>
    <row r="515">
      <c r="A515" t="inlineStr">
        <is>
          <t>EE.UU.</t>
        </is>
      </c>
      <c r="B515" t="inlineStr">
        <is>
          <t>Winnebago Industries</t>
        </is>
      </c>
      <c r="C515" t="inlineStr">
        <is>
          <t>EE.UU.</t>
        </is>
      </c>
      <c r="D515" t="inlineStr">
        <is>
          <t>Seattle</t>
        </is>
      </c>
      <c r="E515" t="inlineStr">
        <is>
          <t>2026-03-27</t>
        </is>
      </c>
      <c r="F515" t="inlineStr">
        <is>
          <t>2026-04-10</t>
        </is>
      </c>
      <c r="G515" t="inlineStr">
        <is>
          <t xml:space="preserve"> - Liberty Lodge - Couple Condo</t>
        </is>
      </c>
      <c r="H515">
        <f>HYPERLINK("https://booking.roadsurfer.com/es/rally/pick?pickup_date=2026-03-27&amp;return_date=2026-04-10&amp;currency=EUR&amp;startStation=81&amp;endStation=107", "Clic para verlo en la web de RoadSurfer")</f>
        <v/>
      </c>
    </row>
    <row r="516">
      <c r="A516" t="inlineStr">
        <is>
          <t>EE.UU.</t>
        </is>
      </c>
      <c r="B516" t="inlineStr">
        <is>
          <t>Winnebago Industries</t>
        </is>
      </c>
      <c r="C516" t="inlineStr">
        <is>
          <t>EE.UU.</t>
        </is>
      </c>
      <c r="D516" t="inlineStr">
        <is>
          <t>Seattle</t>
        </is>
      </c>
      <c r="E516" t="inlineStr">
        <is>
          <t>2026-03-26</t>
        </is>
      </c>
      <c r="F516" t="inlineStr">
        <is>
          <t>2026-04-15</t>
        </is>
      </c>
      <c r="G516" t="inlineStr">
        <is>
          <t xml:space="preserve"> - Liberty Lodge</t>
        </is>
      </c>
      <c r="H516">
        <f>HYPERLINK("https://booking.roadsurfer.com/es/rally/pick?pickup_date=2026-03-26&amp;return_date=2026-04-15&amp;currency=EUR&amp;startStation=81&amp;endStation=107", "Clic para verlo en la web de RoadSurfer")</f>
        <v/>
      </c>
    </row>
    <row r="517">
      <c r="A517" t="inlineStr">
        <is>
          <t>EE.UU.</t>
        </is>
      </c>
      <c r="B517" t="inlineStr">
        <is>
          <t>Winnebago Industries</t>
        </is>
      </c>
      <c r="C517" t="inlineStr">
        <is>
          <t>EE.UU.</t>
        </is>
      </c>
      <c r="D517" t="inlineStr">
        <is>
          <t>Phoenix</t>
        </is>
      </c>
      <c r="E517" t="inlineStr">
        <is>
          <t>2026-04-01</t>
        </is>
      </c>
      <c r="F517" t="inlineStr">
        <is>
          <t>2026-04-15</t>
        </is>
      </c>
      <c r="G517" t="inlineStr">
        <is>
          <t xml:space="preserve"> - No hay coche</t>
        </is>
      </c>
      <c r="H517">
        <f>HYPERLINK("https://booking.roadsurfer.com/es/rally/pick?pickup_date=2026-04-01&amp;return_date=2026-04-15&amp;currency=EUR&amp;startStation=81&amp;endStation=105", "Clic para verlo en la web de RoadSurfer")</f>
        <v/>
      </c>
    </row>
    <row r="518">
      <c r="A518" t="inlineStr">
        <is>
          <t>EE.UU.</t>
        </is>
      </c>
      <c r="B518" t="inlineStr">
        <is>
          <t>Winnebago Industries</t>
        </is>
      </c>
      <c r="C518" t="inlineStr">
        <is>
          <t>EE.UU.</t>
        </is>
      </c>
      <c r="D518" t="inlineStr">
        <is>
          <t>Phoenix</t>
        </is>
      </c>
      <c r="E518" t="inlineStr">
        <is>
          <t>2026-03-26</t>
        </is>
      </c>
      <c r="F518" t="inlineStr">
        <is>
          <t>2026-04-09</t>
        </is>
      </c>
      <c r="G518" t="inlineStr">
        <is>
          <t xml:space="preserve"> - Liberty Lodge - Couple Condo</t>
        </is>
      </c>
      <c r="H518">
        <f>HYPERLINK("https://booking.roadsurfer.com/es/rally/pick?pickup_date=2026-03-26&amp;return_date=2026-04-09&amp;currency=EUR&amp;startStation=81&amp;endStation=105", "Clic para verlo en la web de RoadSurfer")</f>
        <v/>
      </c>
    </row>
    <row r="519">
      <c r="A519" t="inlineStr">
        <is>
          <t>EE.UU.</t>
        </is>
      </c>
      <c r="B519" t="inlineStr">
        <is>
          <t>Winnebago Industries</t>
        </is>
      </c>
      <c r="C519" t="inlineStr">
        <is>
          <t>EE.UU.</t>
        </is>
      </c>
      <c r="D519" t="inlineStr">
        <is>
          <t>Phoenix</t>
        </is>
      </c>
      <c r="E519" t="inlineStr">
        <is>
          <t>2026-03-31</t>
        </is>
      </c>
      <c r="F519" t="inlineStr">
        <is>
          <t>2026-04-14</t>
        </is>
      </c>
      <c r="G519" t="inlineStr">
        <is>
          <t xml:space="preserve"> - Liberty Lodge</t>
        </is>
      </c>
      <c r="H519">
        <f>HYPERLINK("https://booking.roadsurfer.com/es/rally/pick?pickup_date=2026-03-31&amp;return_date=2026-04-14&amp;currency=EUR&amp;startStation=81&amp;endStation=105", "Clic para verlo en la web de RoadSurfer")</f>
        <v/>
      </c>
    </row>
    <row r="520">
      <c r="A520" t="inlineStr">
        <is>
          <t>Alemania</t>
        </is>
      </c>
      <c r="B520" t="inlineStr">
        <is>
          <t>Wurzburgo</t>
        </is>
      </c>
      <c r="C520" t="inlineStr">
        <is>
          <t>Italia</t>
        </is>
      </c>
      <c r="D520" t="inlineStr">
        <is>
          <t>Milán</t>
        </is>
      </c>
      <c r="E520" t="inlineStr">
        <is>
          <t>2026-04-20</t>
        </is>
      </c>
      <c r="F520" t="inlineStr">
        <is>
          <t>2026-04-27</t>
        </is>
      </c>
      <c r="G520" t="inlineStr">
        <is>
          <t xml:space="preserve"> - Road House</t>
        </is>
      </c>
      <c r="H520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2026-03-26T15:13:04Z</dcterms:created>
  <dcterms:modified xsi:type="dcterms:W3CDTF">2026-03-26T15:13:04Z</dcterms:modified>
</cp:coreProperties>
</file>