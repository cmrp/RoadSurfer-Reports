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2026-10-03</t>
        </is>
      </c>
      <c r="F6" t="inlineStr">
        <is>
          <t>2026-10-10</t>
        </is>
      </c>
      <c r="G6" t="inlineStr">
        <is>
          <t xml:space="preserve"> - Camper Cabin</t>
        </is>
      </c>
      <c r="H6">
        <f>HYPERLINK("https://booking.roadsurfer.com/es/rally/pick?pickup_date=2026-10-03&amp;return_date=2026-10-10&amp;currency=EUR&amp;startStation=32&amp;endStation=113",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2026-09-25</t>
        </is>
      </c>
      <c r="F7" t="inlineStr">
        <is>
          <t>2026-10-02</t>
        </is>
      </c>
      <c r="G7" t="inlineStr">
        <is>
          <t xml:space="preserve"> - CAMPER CABIN</t>
        </is>
      </c>
      <c r="H7">
        <f>HYPERLINK("https://booking.roadsurfer.com/es/rally/pick?pickup_date=2026-09-25&amp;return_date=2026-10-02&amp;currency=EUR&amp;startStation=32&amp;endStation=113",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2026-10-02</t>
        </is>
      </c>
      <c r="F8" t="inlineStr">
        <is>
          <t>2026-10-09</t>
        </is>
      </c>
      <c r="G8" t="inlineStr">
        <is>
          <t xml:space="preserve"> - Camper Cabin Deluxe</t>
        </is>
      </c>
      <c r="H8">
        <f>HYPERLINK("https://booking.roadsurfer.com/es/rally/pick?pickup_date=2026-10-02&amp;return_date=2026-10-09&amp;currency=EUR&amp;startStation=32&amp;endStation=113",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2026-09-23</t>
        </is>
      </c>
      <c r="F9" t="inlineStr">
        <is>
          <t>2026-09-30</t>
        </is>
      </c>
      <c r="G9" t="inlineStr">
        <is>
          <t xml:space="preserve"> - Surfer Suite</t>
        </is>
      </c>
      <c r="H9">
        <f>HYPERLINK("https://booking.roadsurfer.com/es/rally/pick?pickup_date=2026-09-23&amp;return_date=2026-09-30&amp;currency=EUR&amp;startStation=32&amp;endStation=113",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Hamburgo</t>
        </is>
      </c>
      <c r="E10" t="inlineStr">
        <is>
          <t>2026-08-31</t>
        </is>
      </c>
      <c r="F10" t="inlineStr">
        <is>
          <t>2026-09-07</t>
        </is>
      </c>
      <c r="G10" t="inlineStr">
        <is>
          <t xml:space="preserve"> - Travel Home</t>
        </is>
      </c>
      <c r="H10">
        <f>HYPERLINK("https://booking.roadsurfer.com/es/rally/pick?pickup_date=2026-08-31&amp;return_date=2026-09-07&amp;currency=EUR&amp;startStation=47&amp;endStation=3",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España</t>
        </is>
      </c>
      <c r="D11" t="inlineStr">
        <is>
          <t>Valencia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Road House</t>
        </is>
      </c>
      <c r="H11">
        <f>HYPERLINK("https://booking.roadsurfer.com/es/rally/pick?pickup_date=2026-09-22&amp;return_date=2026-09-29&amp;currency=EUR&amp;startStation=47&amp;endStation=38",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Múnich</t>
        </is>
      </c>
      <c r="E12" t="inlineStr">
        <is>
          <t>2026-09-15</t>
        </is>
      </c>
      <c r="F12" t="inlineStr">
        <is>
          <t>2026-09-22</t>
        </is>
      </c>
      <c r="G12" t="inlineStr">
        <is>
          <t xml:space="preserve"> - BEACH HOSTEL</t>
        </is>
      </c>
      <c r="H12">
        <f>HYPERLINK("https://booking.roadsurfer.com/es/rally/pick?pickup_date=2026-09-15&amp;return_date=2026-09-22&amp;currency=EUR&amp;startStation=47&amp;endStation=1",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Road House</t>
        </is>
      </c>
      <c r="H13">
        <f>HYPERLINK("https://booking.roadsurfer.com/es/rally/pick?pickup_date=2026-09-16&amp;return_date=2026-09-23&amp;currency=EUR&amp;startStation=17&amp;endStation=91",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2026-09-15</t>
        </is>
      </c>
      <c r="F14" t="inlineStr">
        <is>
          <t>2026-09-22</t>
        </is>
      </c>
      <c r="G14" t="inlineStr">
        <is>
          <t xml:space="preserve"> - Surfer Suite</t>
        </is>
      </c>
      <c r="H14">
        <f>HYPERLINK("https://booking.roadsurfer.com/es/rally/pick?pickup_date=2026-09-15&amp;return_date=2026-09-22&amp;currency=EUR&amp;startStation=17&amp;endStation=91",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Berlín-Schönefeld</t>
        </is>
      </c>
      <c r="E15" t="inlineStr">
        <is>
          <t>2026-10-23</t>
        </is>
      </c>
      <c r="F15" t="inlineStr">
        <is>
          <t>2026-10-30</t>
        </is>
      </c>
      <c r="G15" t="inlineStr">
        <is>
          <t xml:space="preserve"> - Surfer Suite</t>
        </is>
      </c>
      <c r="H15">
        <f>HYPERLINK("https://booking.roadsurfer.com/es/rally/pick?pickup_date=2026-10-23&amp;return_date=2026-10-30&amp;currency=EUR&amp;startStation=17&amp;endStation=51",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2026-09-26</t>
        </is>
      </c>
      <c r="F16" t="inlineStr">
        <is>
          <t>2026-10-03</t>
        </is>
      </c>
      <c r="G16" t="inlineStr">
        <is>
          <t xml:space="preserve"> - No hay coche</t>
        </is>
      </c>
      <c r="H16">
        <f>HYPERLINK("https://booking.roadsurfer.com/es/rally/pick?pickup_date=2026-09-26&amp;return_date=2026-10-03&amp;currency=EUR&amp;startStation=17&amp;endStation=22", "Clic para verlo en la web de RoadSurfer")</f>
        <v/>
      </c>
    </row>
    <row r="17">
      <c r="A17" t="inlineStr">
        <is>
          <t>Italia</t>
        </is>
      </c>
      <c r="B17" t="inlineStr">
        <is>
          <t>Bérgamo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2026-09-07</t>
        </is>
      </c>
      <c r="F17" t="inlineStr">
        <is>
          <t>2026-09-14</t>
        </is>
      </c>
      <c r="G17" t="inlineStr">
        <is>
          <t xml:space="preserve"> - No hay coche</t>
        </is>
      </c>
      <c r="H17">
        <f>HYPERLINK("https://booking.roadsurfer.com/es/rally/pick?pickup_date=2026-09-07&amp;return_date=2026-09-14&amp;currency=EUR&amp;startStation=94&amp;endStation=22", "Clic para verlo en la web de RoadSurfer")</f>
        <v/>
      </c>
    </row>
    <row r="18">
      <c r="A18" t="inlineStr">
        <is>
          <t>España</t>
        </is>
      </c>
      <c r="B18" t="inlineStr">
        <is>
          <t>Bilbao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Surfer Suite</t>
        </is>
      </c>
      <c r="H18">
        <f>HYPERLINK("https://booking.roadsurfer.com/es/rally/pick?pickup_date=2026-09-16&amp;return_date=2026-09-23&amp;currency=EUR&amp;startStation=40&amp;endStation=22", "Clic para verlo en la web de RoadSurfer")</f>
        <v/>
      </c>
    </row>
    <row r="19">
      <c r="A19" t="inlineStr">
        <is>
          <t>España</t>
        </is>
      </c>
      <c r="B19" t="inlineStr">
        <is>
          <t>Bilbao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Camper Castle - COUPLE COTTAGE</t>
        </is>
      </c>
      <c r="H19">
        <f>HYPERLINK("https://booking.roadsurfer.com/es/rally/pick?pickup_date=2026-09-25&amp;return_date=2026-10-02&amp;currency=EUR&amp;startStation=40&amp;endStation=22",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Hamburgo</t>
        </is>
      </c>
      <c r="E20" t="inlineStr">
        <is>
          <t>2026-09-26</t>
        </is>
      </c>
      <c r="F20" t="inlineStr">
        <is>
          <t>2026-10-03</t>
        </is>
      </c>
      <c r="G20" t="inlineStr">
        <is>
          <t xml:space="preserve"> - No hay coche</t>
        </is>
      </c>
      <c r="H20">
        <f>HYPERLINK("https://booking.roadsurfer.com/es/rally/pick?pickup_date=2026-09-26&amp;return_date=2026-10-03&amp;currency=EUR&amp;startStation=13&amp;endStation=3",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Hamburgo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Surfer Suite</t>
        </is>
      </c>
      <c r="H21">
        <f>HYPERLINK("https://booking.roadsurfer.com/es/rally/pick?pickup_date=2026-09-15&amp;return_date=2026-09-22&amp;currency=EUR&amp;startStation=13&amp;endStation=3",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Hamburgo</t>
        </is>
      </c>
      <c r="E22" t="inlineStr">
        <is>
          <t>2026-09-07</t>
        </is>
      </c>
      <c r="F22" t="inlineStr">
        <is>
          <t>2026-09-14</t>
        </is>
      </c>
      <c r="G22" t="inlineStr">
        <is>
          <t xml:space="preserve"> - Sunrise Suite</t>
        </is>
      </c>
      <c r="H22">
        <f>HYPERLINK("https://booking.roadsurfer.com/es/rally/pick?pickup_date=2026-09-07&amp;return_date=2026-09-14&amp;currency=EUR&amp;startStation=13&amp;endStation=3",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2026-10-07</t>
        </is>
      </c>
      <c r="F23" t="inlineStr">
        <is>
          <t>2026-10-14</t>
        </is>
      </c>
      <c r="G23" t="inlineStr">
        <is>
          <t xml:space="preserve"> - Road House</t>
        </is>
      </c>
      <c r="H23">
        <f>HYPERLINK("https://booking.roadsurfer.com/es/rally/pick?pickup_date=2026-10-07&amp;return_date=2026-10-14&amp;currency=EUR&amp;startStation=13&amp;endStation=22",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2026-10-25</t>
        </is>
      </c>
      <c r="F24" t="inlineStr">
        <is>
          <t>2026-11-02</t>
        </is>
      </c>
      <c r="G24" t="inlineStr">
        <is>
          <t xml:space="preserve"> - No hay coche</t>
        </is>
      </c>
      <c r="H24">
        <f>HYPERLINK("https://booking.roadsurfer.com/es/rally/pick?pickup_date=2026-10-25&amp;return_date=2026-11-02&amp;currency=EUR&amp;startStation=13&amp;endStation=22",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2026-09-24</t>
        </is>
      </c>
      <c r="F25" t="inlineStr">
        <is>
          <t>2026-10-01</t>
        </is>
      </c>
      <c r="G25" t="inlineStr">
        <is>
          <t xml:space="preserve"> - Road House</t>
        </is>
      </c>
      <c r="H25">
        <f>HYPERLINK("https://booking.roadsurfer.com/es/rally/pick?pickup_date=2026-09-24&amp;return_date=2026-10-01&amp;currency=EUR&amp;startStation=13&amp;endStation=22",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2026-09-26</t>
        </is>
      </c>
      <c r="F26" t="inlineStr">
        <is>
          <t>2026-10-03</t>
        </is>
      </c>
      <c r="G26" t="inlineStr">
        <is>
          <t xml:space="preserve"> - No hay coche</t>
        </is>
      </c>
      <c r="H26">
        <f>HYPERLINK("https://booking.roadsurfer.com/es/rally/pick?pickup_date=2026-09-26&amp;return_date=2026-10-03&amp;currency=EUR&amp;startStation=13&amp;endStation=22",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2026-09-16</t>
        </is>
      </c>
      <c r="F27" t="inlineStr">
        <is>
          <t>2026-09-23</t>
        </is>
      </c>
      <c r="G27" t="inlineStr">
        <is>
          <t xml:space="preserve"> - Surfer Suite - SURFER SUITE</t>
        </is>
      </c>
      <c r="H27">
        <f>HYPERLINK("https://booking.roadsurfer.com/es/rally/pick?pickup_date=2026-09-16&amp;return_date=2026-09-23&amp;currency=EUR&amp;startStation=13&amp;endStation=22",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2026-09-22</t>
        </is>
      </c>
      <c r="F28" t="inlineStr">
        <is>
          <t>2026-09-29</t>
        </is>
      </c>
      <c r="G28" t="inlineStr">
        <is>
          <t xml:space="preserve"> - Road House</t>
        </is>
      </c>
      <c r="H28">
        <f>HYPERLINK("https://booking.roadsurfer.com/es/rally/pick?pickup_date=2026-09-22&amp;return_date=2026-09-29&amp;currency=EUR&amp;startStation=13&amp;endStation=22",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2026-09-15</t>
        </is>
      </c>
      <c r="F29" t="inlineStr">
        <is>
          <t>2026-09-22</t>
        </is>
      </c>
      <c r="G29" t="inlineStr">
        <is>
          <t xml:space="preserve"> - ROAD HOUSE</t>
        </is>
      </c>
      <c r="H29">
        <f>HYPERLINK("https://booking.roadsurfer.com/es/rally/pick?pickup_date=2026-09-15&amp;return_date=2026-09-22&amp;currency=EUR&amp;startStation=13&amp;endStation=22",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2026-09-14</t>
        </is>
      </c>
      <c r="F30" t="inlineStr">
        <is>
          <t>2026-09-21</t>
        </is>
      </c>
      <c r="G30" t="inlineStr">
        <is>
          <t xml:space="preserve"> - Surfer Suite</t>
        </is>
      </c>
      <c r="H30">
        <f>HYPERLINK("https://booking.roadsurfer.com/es/rally/pick?pickup_date=2026-09-14&amp;return_date=2026-09-21&amp;currency=EUR&amp;startStation=13&amp;endStation=22",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2026-09-11</t>
        </is>
      </c>
      <c r="F31" t="inlineStr">
        <is>
          <t>2026-09-18</t>
        </is>
      </c>
      <c r="G31" t="inlineStr">
        <is>
          <t xml:space="preserve"> - Surfer Suite</t>
        </is>
      </c>
      <c r="H31">
        <f>HYPERLINK("https://booking.roadsurfer.com/es/rally/pick?pickup_date=2026-09-11&amp;return_date=2026-09-18&amp;currency=EUR&amp;startStation=13&amp;endStation=22",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2026-09-07</t>
        </is>
      </c>
      <c r="F32" t="inlineStr">
        <is>
          <t>2026-09-14</t>
        </is>
      </c>
      <c r="G32" t="inlineStr">
        <is>
          <t xml:space="preserve"> - Surfer Suite</t>
        </is>
      </c>
      <c r="H32">
        <f>HYPERLINK("https://booking.roadsurfer.com/es/rally/pick?pickup_date=2026-09-07&amp;return_date=2026-09-14&amp;currency=EUR&amp;startStation=13&amp;endStation=22",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2026-09-25</t>
        </is>
      </c>
      <c r="F33" t="inlineStr">
        <is>
          <t>2026-10-02</t>
        </is>
      </c>
      <c r="G33" t="inlineStr">
        <is>
          <t xml:space="preserve"> - Road House</t>
        </is>
      </c>
      <c r="H33">
        <f>HYPERLINK("https://booking.roadsurfer.com/es/rally/pick?pickup_date=2026-09-25&amp;return_date=2026-10-02&amp;currency=EUR&amp;startStation=13&amp;endStation=22",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Friburgo-Basilea (Alemania)</t>
        </is>
      </c>
      <c r="E34" t="inlineStr">
        <is>
          <t>2026-10-08</t>
        </is>
      </c>
      <c r="F34" t="inlineStr">
        <is>
          <t>2026-10-15</t>
        </is>
      </c>
      <c r="G34" t="inlineStr">
        <is>
          <t xml:space="preserve"> - Beach Hostel</t>
        </is>
      </c>
      <c r="H34">
        <f>HYPERLINK("https://booking.roadsurfer.com/es/rally/pick?pickup_date=2026-10-08&amp;return_date=2026-10-15&amp;currency=EUR&amp;startStation=13&amp;endStation=9",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Fráncfort</t>
        </is>
      </c>
      <c r="E35" t="inlineStr">
        <is>
          <t>2026-10-01</t>
        </is>
      </c>
      <c r="F35" t="inlineStr">
        <is>
          <t>2026-10-08</t>
        </is>
      </c>
      <c r="G35" t="inlineStr">
        <is>
          <t xml:space="preserve"> - Surfer Suite</t>
        </is>
      </c>
      <c r="H35">
        <f>HYPERLINK("https://booking.roadsurfer.com/es/rally/pick?pickup_date=2026-10-01&amp;return_date=2026-10-08&amp;currency=EUR&amp;startStation=13&amp;endStation=2",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Lübeck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Surfer Suite</t>
        </is>
      </c>
      <c r="H36">
        <f>HYPERLINK("https://booking.roadsurfer.com/es/rally/pick?pickup_date=2026-09-15&amp;return_date=2026-09-22&amp;currency=EUR&amp;startStation=13&amp;endStation=109",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Constanza (Aach)</t>
        </is>
      </c>
      <c r="E37" t="inlineStr">
        <is>
          <t>2026-10-02</t>
        </is>
      </c>
      <c r="F37" t="inlineStr">
        <is>
          <t>2026-10-09</t>
        </is>
      </c>
      <c r="G37" t="inlineStr">
        <is>
          <t xml:space="preserve"> - Beach Hostel</t>
        </is>
      </c>
      <c r="H37">
        <f>HYPERLINK("https://booking.roadsurfer.com/es/rally/pick?pickup_date=2026-10-02&amp;return_date=2026-10-09&amp;currency=EUR&amp;startStation=13&amp;endStation=10", "Clic para verlo en la web de RoadSurfer")</f>
        <v/>
      </c>
    </row>
    <row r="38">
      <c r="A38" t="inlineStr">
        <is>
          <t>Bélgica</t>
        </is>
      </c>
      <c r="B38" t="inlineStr">
        <is>
          <t>Bruselas</t>
        </is>
      </c>
      <c r="C38" t="inlineStr">
        <is>
          <t>Alemania</t>
        </is>
      </c>
      <c r="D38" t="inlineStr">
        <is>
          <t>Berlín</t>
        </is>
      </c>
      <c r="E38" t="inlineStr">
        <is>
          <t>2026-09-18</t>
        </is>
      </c>
      <c r="F38" t="inlineStr">
        <is>
          <t>2026-09-25</t>
        </is>
      </c>
      <c r="G38" t="inlineStr">
        <is>
          <t xml:space="preserve"> - Surfer Suite</t>
        </is>
      </c>
      <c r="H38">
        <f>HYPERLINK("https://booking.roadsurfer.com/es/rally/pick?pickup_date=2026-09-18&amp;return_date=2026-09-25&amp;currency=EUR&amp;startStation=42&amp;endStation=6", "Clic para verlo en la web de RoadSurfer")</f>
        <v/>
      </c>
    </row>
    <row r="39">
      <c r="A39" t="inlineStr">
        <is>
          <t>Bélgica</t>
        </is>
      </c>
      <c r="B39" t="inlineStr">
        <is>
          <t>Bruselas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2026-09-03</t>
        </is>
      </c>
      <c r="F39" t="inlineStr">
        <is>
          <t>2026-09-10</t>
        </is>
      </c>
      <c r="G39" t="inlineStr">
        <is>
          <t xml:space="preserve"> - Surfer Suite</t>
        </is>
      </c>
      <c r="H39">
        <f>HYPERLINK("https://booking.roadsurfer.com/es/rally/pick?pickup_date=2026-09-03&amp;return_date=2026-09-10&amp;currency=EUR&amp;startStation=42&amp;endStation=8", "Clic para verlo en la web de RoadSurfer")</f>
        <v/>
      </c>
    </row>
    <row r="40">
      <c r="A40" t="inlineStr">
        <is>
          <t>Bélgica</t>
        </is>
      </c>
      <c r="B40" t="inlineStr">
        <is>
          <t>Bruselas</t>
        </is>
      </c>
      <c r="C40" t="inlineStr">
        <is>
          <t>Alemania</t>
        </is>
      </c>
      <c r="D40" t="inlineStr">
        <is>
          <t>Wurzburgo</t>
        </is>
      </c>
      <c r="E40" t="inlineStr">
        <is>
          <t>2026-09-25</t>
        </is>
      </c>
      <c r="F40" t="inlineStr">
        <is>
          <t>2026-10-02</t>
        </is>
      </c>
      <c r="G40" t="inlineStr">
        <is>
          <t xml:space="preserve"> - No hay coche</t>
        </is>
      </c>
      <c r="H40">
        <f>HYPERLINK("https://booking.roadsurfer.com/es/rally/pick?pickup_date=2026-09-25&amp;return_date=2026-10-02&amp;currency=EUR&amp;startStation=42&amp;endStation=115",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España</t>
        </is>
      </c>
      <c r="D41" t="inlineStr">
        <is>
          <t>Valencia</t>
        </is>
      </c>
      <c r="E41" t="inlineStr">
        <is>
          <t>2026-09-25</t>
        </is>
      </c>
      <c r="F41" t="inlineStr">
        <is>
          <t>2026-10-02</t>
        </is>
      </c>
      <c r="G41" t="inlineStr">
        <is>
          <t xml:space="preserve"> - Road House</t>
        </is>
      </c>
      <c r="H41">
        <f>HYPERLINK("https://booking.roadsurfer.com/es/rally/pick?pickup_date=2026-09-25&amp;return_date=2026-10-02&amp;currency=EUR&amp;startStation=42&amp;endStation=38",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Francia</t>
        </is>
      </c>
      <c r="D42" t="inlineStr">
        <is>
          <t>Lyon</t>
        </is>
      </c>
      <c r="E42" t="inlineStr">
        <is>
          <t>2026-08-10</t>
        </is>
      </c>
      <c r="F42" t="inlineStr">
        <is>
          <t>2026-08-17</t>
        </is>
      </c>
      <c r="G42" t="inlineStr">
        <is>
          <t xml:space="preserve"> - No hay coche</t>
        </is>
      </c>
      <c r="H42">
        <f>HYPERLINK("https://booking.roadsurfer.com/es/rally/pick?pickup_date=2026-08-10&amp;return_date=2026-08-17&amp;currency=EUR&amp;startStation=42&amp;endStation=15", "Clic para verlo en la web de RoadSurfer")</f>
        <v/>
      </c>
    </row>
    <row r="43">
      <c r="A43" t="inlineStr">
        <is>
          <t>Alemania</t>
        </is>
      </c>
      <c r="B43" t="inlineStr">
        <is>
          <t>Flensburgo</t>
        </is>
      </c>
      <c r="C43" t="inlineStr">
        <is>
          <t>Alemania</t>
        </is>
      </c>
      <c r="D43" t="inlineStr">
        <is>
          <t>Múnich</t>
        </is>
      </c>
      <c r="E43" t="inlineStr">
        <is>
          <t>2026-08-10</t>
        </is>
      </c>
      <c r="F43" t="inlineStr">
        <is>
          <t>2026-08-17</t>
        </is>
      </c>
      <c r="G43" t="inlineStr">
        <is>
          <t xml:space="preserve"> - Beach Hostel</t>
        </is>
      </c>
      <c r="H43">
        <f>HYPERLINK("https://booking.roadsurfer.com/es/rally/pick?pickup_date=2026-08-10&amp;return_date=2026-08-17&amp;currency=EUR&amp;startStation=130&amp;endStation=1", "Clic para verlo en la web de RoadSurfer")</f>
        <v/>
      </c>
    </row>
    <row r="44">
      <c r="A44" t="inlineStr">
        <is>
          <t>Francia</t>
        </is>
      </c>
      <c r="B44" t="inlineStr">
        <is>
          <t>Ginebra-Pays de Gex (Francia)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2026-10-03</t>
        </is>
      </c>
      <c r="F44" t="inlineStr">
        <is>
          <t>2026-10-10</t>
        </is>
      </c>
      <c r="G44" t="inlineStr">
        <is>
          <t xml:space="preserve"> - Travel Home</t>
        </is>
      </c>
      <c r="H44">
        <f>HYPERLINK("https://booking.roadsurfer.com/es/rally/pick?pickup_date=2026-10-03&amp;return_date=2026-10-10&amp;currency=EUR&amp;startStation=29&amp;endStation=8", "Clic para verlo en la web de RoadSurfer")</f>
        <v/>
      </c>
    </row>
    <row r="45">
      <c r="A45" t="inlineStr">
        <is>
          <t>Francia</t>
        </is>
      </c>
      <c r="B45" t="inlineStr">
        <is>
          <t>Ginebra-Pays de Gex (Francia)</t>
        </is>
      </c>
      <c r="C45" t="inlineStr">
        <is>
          <t>Alemania</t>
        </is>
      </c>
      <c r="D45" t="inlineStr">
        <is>
          <t>Erfurt</t>
        </is>
      </c>
      <c r="E45" t="inlineStr">
        <is>
          <t>2026-09-23</t>
        </is>
      </c>
      <c r="F45" t="inlineStr">
        <is>
          <t>2026-09-30</t>
        </is>
      </c>
      <c r="G45" t="inlineStr">
        <is>
          <t xml:space="preserve"> - Road House</t>
        </is>
      </c>
      <c r="H45">
        <f>HYPERLINK("https://booking.roadsurfer.com/es/rally/pick?pickup_date=2026-09-23&amp;return_date=2026-09-30&amp;currency=EUR&amp;startStation=29&amp;endStation=90",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Dresde</t>
        </is>
      </c>
      <c r="E46" t="inlineStr">
        <is>
          <t>2026-09-22</t>
        </is>
      </c>
      <c r="F46" t="inlineStr">
        <is>
          <t>2026-09-29</t>
        </is>
      </c>
      <c r="G46" t="inlineStr">
        <is>
          <t xml:space="preserve"> - Beach Hostel</t>
        </is>
      </c>
      <c r="H46">
        <f>HYPERLINK("https://booking.roadsurfer.com/es/rally/pick?pickup_date=2026-09-22&amp;return_date=2026-09-29&amp;currency=EUR&amp;startStation=29&amp;endStation=56",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Berlín</t>
        </is>
      </c>
      <c r="E47" t="inlineStr">
        <is>
          <t>2026-09-11</t>
        </is>
      </c>
      <c r="F47" t="inlineStr">
        <is>
          <t>2026-09-18</t>
        </is>
      </c>
      <c r="G47" t="inlineStr">
        <is>
          <t xml:space="preserve"> - Surfer Suite</t>
        </is>
      </c>
      <c r="H47">
        <f>HYPERLINK("https://booking.roadsurfer.com/es/rally/pick?pickup_date=2026-09-11&amp;return_date=2026-09-18&amp;currency=EUR&amp;startStation=29&amp;endStation=6",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Hamburgo</t>
        </is>
      </c>
      <c r="E48" t="inlineStr">
        <is>
          <t>2026-10-10</t>
        </is>
      </c>
      <c r="F48" t="inlineStr">
        <is>
          <t>2026-10-17</t>
        </is>
      </c>
      <c r="G48" t="inlineStr">
        <is>
          <t xml:space="preserve"> - Family Finca</t>
        </is>
      </c>
      <c r="H48">
        <f>HYPERLINK("https://booking.roadsurfer.com/es/rally/pick?pickup_date=2026-10-10&amp;return_date=2026-10-17&amp;currency=EUR&amp;startStation=29&amp;endStation=3",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2026-09-26</t>
        </is>
      </c>
      <c r="F49" t="inlineStr">
        <is>
          <t>2026-10-03</t>
        </is>
      </c>
      <c r="G49" t="inlineStr">
        <is>
          <t xml:space="preserve"> - No hay coche</t>
        </is>
      </c>
      <c r="H49">
        <f>HYPERLINK("https://booking.roadsurfer.com/es/rally/pick?pickup_date=2026-09-26&amp;return_date=2026-10-03&amp;currency=EUR&amp;startStation=29&amp;endStation=22", "Clic para verlo en la web de RoadSurfer")</f>
        <v/>
      </c>
    </row>
    <row r="50">
      <c r="A50" t="inlineStr">
        <is>
          <t>Francia</t>
        </is>
      </c>
      <c r="B50" t="inlineStr">
        <is>
          <t>Ginebra-Pays de Gex (Francia)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Road House</t>
        </is>
      </c>
      <c r="H50">
        <f>HYPERLINK("https://booking.roadsurfer.com/es/rally/pick?pickup_date=2026-09-14&amp;return_date=2026-09-21&amp;currency=EUR&amp;startStation=29&amp;endStation=22", "Clic para verlo en la web de RoadSurfer")</f>
        <v/>
      </c>
    </row>
    <row r="51">
      <c r="A51" t="inlineStr">
        <is>
          <t>Austria</t>
        </is>
      </c>
      <c r="B51" t="inlineStr">
        <is>
          <t>Graz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2026-09-10</t>
        </is>
      </c>
      <c r="F51" t="inlineStr">
        <is>
          <t>2026-09-17</t>
        </is>
      </c>
      <c r="G51" t="inlineStr">
        <is>
          <t xml:space="preserve"> - No hay coche</t>
        </is>
      </c>
      <c r="H51">
        <f>HYPERLINK("https://booking.roadsurfer.com/es/rally/pick?pickup_date=2026-09-10&amp;return_date=2026-09-17&amp;currency=EUR&amp;startStation=37&amp;endStation=22", "Clic para verlo en la web de RoadSurfer")</f>
        <v/>
      </c>
    </row>
    <row r="52">
      <c r="A52" t="inlineStr">
        <is>
          <t>Austria</t>
        </is>
      </c>
      <c r="B52" t="inlineStr">
        <is>
          <t>Innsbruck-Wiesing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2026-09-19</t>
        </is>
      </c>
      <c r="F52" t="inlineStr">
        <is>
          <t>2026-09-19</t>
        </is>
      </c>
      <c r="G52" t="inlineStr"/>
      <c r="H52">
        <f>HYPERLINK("https://booking.roadsurfer.com/es/rally/pick?pickup_date=2026-09-19&amp;return_date=2026-09-19&amp;currency=EUR&amp;startStation=46&amp;endStation=17", "Clic para verlo en la web de RoadSurfer")</f>
        <v/>
      </c>
    </row>
    <row r="53">
      <c r="A53" t="inlineStr">
        <is>
          <t>Alemania</t>
        </is>
      </c>
      <c r="B53" t="inlineStr">
        <is>
          <t>Leipzig</t>
        </is>
      </c>
      <c r="C53" t="inlineStr">
        <is>
          <t>Italia</t>
        </is>
      </c>
      <c r="D53" t="inlineStr">
        <is>
          <t>Roma Aeropuerto Fiumicino</t>
        </is>
      </c>
      <c r="E53" t="inlineStr">
        <is>
          <t>2026-08-10</t>
        </is>
      </c>
      <c r="F53" t="inlineStr">
        <is>
          <t>2026-08-17</t>
        </is>
      </c>
      <c r="G53" t="inlineStr">
        <is>
          <t xml:space="preserve"> - No hay coche</t>
        </is>
      </c>
      <c r="H53">
        <f>HYPERLINK("https://booking.roadsurfer.com/es/rally/pick?pickup_date=2026-08-10&amp;return_date=2026-08-17&amp;currency=EUR&amp;startStation=8&amp;endStation=35",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2026-10-10</t>
        </is>
      </c>
      <c r="F54" t="inlineStr">
        <is>
          <t>2026-10-17</t>
        </is>
      </c>
      <c r="G54" t="inlineStr">
        <is>
          <t xml:space="preserve"> - No hay coche</t>
        </is>
      </c>
      <c r="H54">
        <f>HYPERLINK("https://booking.roadsurfer.com/es/rally/pick?pickup_date=2026-10-10&amp;return_date=2026-10-17&amp;currency=EUR&amp;startStation=87&amp;endStation=22",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2026-09-29</t>
        </is>
      </c>
      <c r="F55" t="inlineStr">
        <is>
          <t>2026-10-06</t>
        </is>
      </c>
      <c r="G55" t="inlineStr">
        <is>
          <t xml:space="preserve"> - Road House</t>
        </is>
      </c>
      <c r="H55">
        <f>HYPERLINK("https://booking.roadsurfer.com/es/rally/pick?pickup_date=2026-09-29&amp;return_date=2026-10-06&amp;currency=EUR&amp;startStation=87&amp;endStation=22", "Clic para verlo en la web de RoadSurfer")</f>
        <v/>
      </c>
    </row>
    <row r="56">
      <c r="A56" t="inlineStr">
        <is>
          <t>Francia</t>
        </is>
      </c>
      <c r="B56" t="inlineStr">
        <is>
          <t>Lille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2026-09-26</t>
        </is>
      </c>
      <c r="F56" t="inlineStr">
        <is>
          <t>2026-10-03</t>
        </is>
      </c>
      <c r="G56" t="inlineStr">
        <is>
          <t xml:space="preserve"> - No hay coche</t>
        </is>
      </c>
      <c r="H56">
        <f>HYPERLINK("https://booking.roadsurfer.com/es/rally/pick?pickup_date=2026-09-26&amp;return_date=2026-10-03&amp;currency=EUR&amp;startStation=87&amp;endStation=22",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2026-10-18</t>
        </is>
      </c>
      <c r="F57" t="inlineStr">
        <is>
          <t>2026-10-25</t>
        </is>
      </c>
      <c r="G57" t="inlineStr">
        <is>
          <t xml:space="preserve"> - No hay coche</t>
        </is>
      </c>
      <c r="H57">
        <f>HYPERLINK("https://booking.roadsurfer.com/es/rally/pick?pickup_date=2026-10-18&amp;return_date=2026-10-25&amp;currency=EUR&amp;startStation=87&amp;endStation=7",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Hannover</t>
        </is>
      </c>
      <c r="E58" t="inlineStr">
        <is>
          <t>2026-09-24</t>
        </is>
      </c>
      <c r="F58" t="inlineStr">
        <is>
          <t>2026-10-01</t>
        </is>
      </c>
      <c r="G58" t="inlineStr">
        <is>
          <t xml:space="preserve"> - Surfer Suite</t>
        </is>
      </c>
      <c r="H58">
        <f>HYPERLINK("https://booking.roadsurfer.com/es/rally/pick?pickup_date=2026-09-24&amp;return_date=2026-10-01&amp;currency=EUR&amp;startStation=87&amp;endStation=7",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Hannover</t>
        </is>
      </c>
      <c r="E59" t="inlineStr">
        <is>
          <t>2026-09-25</t>
        </is>
      </c>
      <c r="F59" t="inlineStr">
        <is>
          <t>2026-10-02</t>
        </is>
      </c>
      <c r="G59" t="inlineStr">
        <is>
          <t xml:space="preserve"> - Road House</t>
        </is>
      </c>
      <c r="H59">
        <f>HYPERLINK("https://booking.roadsurfer.com/es/rally/pick?pickup_date=2026-09-25&amp;return_date=2026-10-02&amp;currency=EUR&amp;startStation=87&amp;endStation=7",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Leipzig</t>
        </is>
      </c>
      <c r="E60" t="inlineStr">
        <is>
          <t>2026-10-01</t>
        </is>
      </c>
      <c r="F60" t="inlineStr">
        <is>
          <t>2026-10-08</t>
        </is>
      </c>
      <c r="G60" t="inlineStr">
        <is>
          <t xml:space="preserve"> - SURFER SUITE</t>
        </is>
      </c>
      <c r="H60">
        <f>HYPERLINK("https://booking.roadsurfer.com/es/rally/pick?pickup_date=2026-10-01&amp;return_date=2026-10-08&amp;currency=EUR&amp;startStation=87&amp;endStation=8", "Clic para verlo en la web de RoadSurfer")</f>
        <v/>
      </c>
    </row>
    <row r="61">
      <c r="A61" t="inlineStr">
        <is>
          <t>Francia</t>
        </is>
      </c>
      <c r="B61" t="inlineStr">
        <is>
          <t>Lille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2026-09-23</t>
        </is>
      </c>
      <c r="F61" t="inlineStr">
        <is>
          <t>2026-09-30</t>
        </is>
      </c>
      <c r="G61" t="inlineStr">
        <is>
          <t xml:space="preserve"> - FAMILY FINCA</t>
        </is>
      </c>
      <c r="H61">
        <f>HYPERLINK("https://booking.roadsurfer.com/es/rally/pick?pickup_date=2026-09-23&amp;return_date=2026-09-30&amp;currency=EUR&amp;startStation=87&amp;endStation=6", "Clic para verlo en la web de RoadSurfer")</f>
        <v/>
      </c>
    </row>
    <row r="62">
      <c r="A62" t="inlineStr">
        <is>
          <t>Francia</t>
        </is>
      </c>
      <c r="B62" t="inlineStr">
        <is>
          <t>Lyon</t>
        </is>
      </c>
      <c r="C62" t="inlineStr">
        <is>
          <t>Alemania</t>
        </is>
      </c>
      <c r="D62" t="inlineStr">
        <is>
          <t>Bremen</t>
        </is>
      </c>
      <c r="E62" t="inlineStr">
        <is>
          <t>2026-10-05</t>
        </is>
      </c>
      <c r="F62" t="inlineStr">
        <is>
          <t>2026-10-12</t>
        </is>
      </c>
      <c r="G62" t="inlineStr">
        <is>
          <t xml:space="preserve"> - Travel Home</t>
        </is>
      </c>
      <c r="H62">
        <f>HYPERLINK("https://booking.roadsurfer.com/es/rally/pick?pickup_date=2026-10-05&amp;return_date=2026-10-12&amp;currency=EUR&amp;startStation=15&amp;endStation=55", "Clic para verlo en la web de RoadSurfer")</f>
        <v/>
      </c>
    </row>
    <row r="63">
      <c r="A63" t="inlineStr">
        <is>
          <t>Francia</t>
        </is>
      </c>
      <c r="B63" t="inlineStr">
        <is>
          <t>Lyon</t>
        </is>
      </c>
      <c r="C63" t="inlineStr">
        <is>
          <t>Alemania</t>
        </is>
      </c>
      <c r="D63" t="inlineStr">
        <is>
          <t>Berlín</t>
        </is>
      </c>
      <c r="E63" t="inlineStr">
        <is>
          <t>2026-10-12</t>
        </is>
      </c>
      <c r="F63" t="inlineStr">
        <is>
          <t>2026-10-19</t>
        </is>
      </c>
      <c r="G63" t="inlineStr">
        <is>
          <t xml:space="preserve"> - Camper Cabin Deluxe</t>
        </is>
      </c>
      <c r="H63">
        <f>HYPERLINK("https://booking.roadsurfer.com/es/rally/pick?pickup_date=2026-10-12&amp;return_date=2026-10-19&amp;currency=EUR&amp;startStation=15&amp;endStation=6", "Clic para verlo en la web de RoadSurfer")</f>
        <v/>
      </c>
    </row>
    <row r="64">
      <c r="A64" t="inlineStr">
        <is>
          <t>Francia</t>
        </is>
      </c>
      <c r="B64" t="inlineStr">
        <is>
          <t>Lyon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2026-10-12</t>
        </is>
      </c>
      <c r="F64" t="inlineStr">
        <is>
          <t>2026-10-19</t>
        </is>
      </c>
      <c r="G64" t="inlineStr">
        <is>
          <t xml:space="preserve"> - Couple Cottage</t>
        </is>
      </c>
      <c r="H64">
        <f>HYPERLINK("https://booking.roadsurfer.com/es/rally/pick?pickup_date=2026-10-12&amp;return_date=2026-10-19&amp;currency=EUR&amp;startStation=15&amp;endStation=22", "Clic para verlo en la web de RoadSurfer")</f>
        <v/>
      </c>
    </row>
    <row r="65">
      <c r="A65" t="inlineStr">
        <is>
          <t>Francia</t>
        </is>
      </c>
      <c r="B65" t="inlineStr">
        <is>
          <t>Lyon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2026-09-24</t>
        </is>
      </c>
      <c r="F65" t="inlineStr">
        <is>
          <t>2026-10-01</t>
        </is>
      </c>
      <c r="G65" t="inlineStr">
        <is>
          <t xml:space="preserve"> - Surfer Suite</t>
        </is>
      </c>
      <c r="H65">
        <f>HYPERLINK("https://booking.roadsurfer.com/es/rally/pick?pickup_date=2026-09-24&amp;return_date=2026-10-01&amp;currency=EUR&amp;startStation=15&amp;endStation=22", "Clic para verlo en la web de RoadSurfer")</f>
        <v/>
      </c>
    </row>
    <row r="66">
      <c r="A66" t="inlineStr">
        <is>
          <t>Francia</t>
        </is>
      </c>
      <c r="B66" t="inlineStr">
        <is>
          <t>Lyon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2026-09-14</t>
        </is>
      </c>
      <c r="F66" t="inlineStr">
        <is>
          <t>2026-09-21</t>
        </is>
      </c>
      <c r="G66" t="inlineStr">
        <is>
          <t xml:space="preserve"> - Surfer Suite</t>
        </is>
      </c>
      <c r="H66">
        <f>HYPERLINK("https://booking.roadsurfer.com/es/rally/pick?pickup_date=2026-09-14&amp;return_date=2026-09-21&amp;currency=EUR&amp;startStation=15&amp;endStation=22",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2026-10-08</t>
        </is>
      </c>
      <c r="F67" t="inlineStr">
        <is>
          <t>2026-10-15</t>
        </is>
      </c>
      <c r="G67" t="inlineStr">
        <is>
          <t xml:space="preserve"> - Surfer Suite</t>
        </is>
      </c>
      <c r="H67">
        <f>HYPERLINK("https://booking.roadsurfer.com/es/rally/pick?pickup_date=2026-10-08&amp;return_date=2026-10-15&amp;currency=EUR&amp;startStation=15&amp;endStation=90", "Clic para verlo en la web de RoadSurfer")</f>
        <v/>
      </c>
    </row>
    <row r="68">
      <c r="A68" t="inlineStr">
        <is>
          <t>España</t>
        </is>
      </c>
      <c r="B68" t="inlineStr">
        <is>
          <t>Madrid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2026-10-05</t>
        </is>
      </c>
      <c r="F68" t="inlineStr">
        <is>
          <t>2026-10-12</t>
        </is>
      </c>
      <c r="G68" t="inlineStr">
        <is>
          <t xml:space="preserve"> - No hay coche</t>
        </is>
      </c>
      <c r="H68">
        <f>HYPERLINK("https://booking.roadsurfer.com/es/rally/pick?pickup_date=2026-10-05&amp;return_date=2026-10-12&amp;currency=EUR&amp;startStation=20&amp;endStation=22",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2026-09-08</t>
        </is>
      </c>
      <c r="F69" t="inlineStr">
        <is>
          <t>2026-09-15</t>
        </is>
      </c>
      <c r="G69" t="inlineStr">
        <is>
          <t xml:space="preserve"> - BEACH HOSTEL</t>
        </is>
      </c>
      <c r="H69">
        <f>HYPERLINK("https://booking.roadsurfer.com/es/rally/pick?pickup_date=2026-09-08&amp;return_date=2026-09-15&amp;currency=EUR&amp;startStation=20&amp;endStation=22", "Clic para verlo en la web de RoadSurfer")</f>
        <v/>
      </c>
    </row>
    <row r="70">
      <c r="A70" t="inlineStr">
        <is>
          <t>España</t>
        </is>
      </c>
      <c r="B70" t="inlineStr">
        <is>
          <t>Madrid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Surfer Suite</t>
        </is>
      </c>
      <c r="H70">
        <f>HYPERLINK("https://booking.roadsurfer.com/es/rally/pick?pickup_date=2026-09-28&amp;return_date=2026-10-05&amp;currency=EUR&amp;startStation=20&amp;endStation=22", "Clic para verlo en la web de RoadSurfer")</f>
        <v/>
      </c>
    </row>
    <row r="71">
      <c r="A71" t="inlineStr">
        <is>
          <t>España</t>
        </is>
      </c>
      <c r="B71" t="inlineStr">
        <is>
          <t>Madrid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2026-10-03</t>
        </is>
      </c>
      <c r="F71" t="inlineStr">
        <is>
          <t>2026-10-10</t>
        </is>
      </c>
      <c r="G71" t="inlineStr">
        <is>
          <t xml:space="preserve"> - No hay coche</t>
        </is>
      </c>
      <c r="H71">
        <f>HYPERLINK("https://booking.roadsurfer.com/es/rally/pick?pickup_date=2026-10-03&amp;return_date=2026-10-10&amp;currency=EUR&amp;startStation=20&amp;endStation=22", "Clic para verlo en la web de RoadSurfer")</f>
        <v/>
      </c>
    </row>
    <row r="72">
      <c r="A72" t="inlineStr">
        <is>
          <t>España</t>
        </is>
      </c>
      <c r="B72" t="inlineStr">
        <is>
          <t>Madrid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2026-09-25</t>
        </is>
      </c>
      <c r="F72" t="inlineStr">
        <is>
          <t>2026-10-02</t>
        </is>
      </c>
      <c r="G72" t="inlineStr">
        <is>
          <t xml:space="preserve"> - Surfer Suite - Couple Cottage - COUPLE COTTAGE - Cozy Cottage</t>
        </is>
      </c>
      <c r="H72">
        <f>HYPERLINK("https://booking.roadsurfer.com/es/rally/pick?pickup_date=2026-09-25&amp;return_date=2026-10-02&amp;currency=EUR&amp;startStation=20&amp;endStation=22", "Clic para verlo en la web de RoadSurfer")</f>
        <v/>
      </c>
    </row>
    <row r="73">
      <c r="A73" t="inlineStr">
        <is>
          <t>España</t>
        </is>
      </c>
      <c r="B73" t="inlineStr">
        <is>
          <t>Madrid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2026-10-02</t>
        </is>
      </c>
      <c r="F73" t="inlineStr">
        <is>
          <t>2026-10-09</t>
        </is>
      </c>
      <c r="G73" t="inlineStr">
        <is>
          <t xml:space="preserve"> - Camper Castle</t>
        </is>
      </c>
      <c r="H73">
        <f>HYPERLINK("https://booking.roadsurfer.com/es/rally/pick?pickup_date=2026-10-02&amp;return_date=2026-10-09&amp;currency=EUR&amp;startStation=20&amp;endStation=22",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Bremen</t>
        </is>
      </c>
      <c r="E74" t="inlineStr">
        <is>
          <t>2026-09-28</t>
        </is>
      </c>
      <c r="F74" t="inlineStr">
        <is>
          <t>2026-10-05</t>
        </is>
      </c>
      <c r="G74" t="inlineStr">
        <is>
          <t xml:space="preserve"> - Beach Hostel</t>
        </is>
      </c>
      <c r="H74">
        <f>HYPERLINK("https://booking.roadsurfer.com/es/rally/pick?pickup_date=2026-09-28&amp;return_date=2026-10-05&amp;currency=EUR&amp;startStation=20&amp;endStation=55",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2026-10-20</t>
        </is>
      </c>
      <c r="F75" t="inlineStr">
        <is>
          <t>2026-10-27</t>
        </is>
      </c>
      <c r="G75" t="inlineStr">
        <is>
          <t xml:space="preserve"> - Surfer Suite</t>
        </is>
      </c>
      <c r="H75">
        <f>HYPERLINK("https://booking.roadsurfer.com/es/rally/pick?pickup_date=2026-10-20&amp;return_date=2026-10-27&amp;currency=EUR&amp;startStation=20&amp;endStation=8",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Leipzig</t>
        </is>
      </c>
      <c r="E76" t="inlineStr">
        <is>
          <t>2026-10-03</t>
        </is>
      </c>
      <c r="F76" t="inlineStr">
        <is>
          <t>2026-10-10</t>
        </is>
      </c>
      <c r="G76" t="inlineStr">
        <is>
          <t xml:space="preserve"> - Road House</t>
        </is>
      </c>
      <c r="H76">
        <f>HYPERLINK("https://booking.roadsurfer.com/es/rally/pick?pickup_date=2026-10-03&amp;return_date=2026-10-10&amp;currency=EUR&amp;startStation=20&amp;endStation=8",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2026-10-22</t>
        </is>
      </c>
      <c r="F77" t="inlineStr">
        <is>
          <t>2026-10-29</t>
        </is>
      </c>
      <c r="G77" t="inlineStr">
        <is>
          <t xml:space="preserve"> - Road House</t>
        </is>
      </c>
      <c r="H77">
        <f>HYPERLINK("https://booking.roadsurfer.com/es/rally/pick?pickup_date=2026-10-22&amp;return_date=2026-10-29&amp;currency=EUR&amp;startStation=20&amp;endStation=5", "Clic para verlo en la web de RoadSurfer")</f>
        <v/>
      </c>
    </row>
    <row r="78">
      <c r="A78" t="inlineStr">
        <is>
          <t>España</t>
        </is>
      </c>
      <c r="B78" t="inlineStr">
        <is>
          <t>Málaga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2026-09-25</t>
        </is>
      </c>
      <c r="F78" t="inlineStr">
        <is>
          <t>2026-10-02</t>
        </is>
      </c>
      <c r="G78" t="inlineStr">
        <is>
          <t xml:space="preserve"> - Couple Cottage</t>
        </is>
      </c>
      <c r="H78">
        <f>HYPERLINK("https://booking.roadsurfer.com/es/rally/pick?pickup_date=2026-09-25&amp;return_date=2026-10-02&amp;currency=EUR&amp;startStation=21&amp;endStation=22", "Clic para verlo en la web de RoadSurfer")</f>
        <v/>
      </c>
    </row>
    <row r="79">
      <c r="A79" t="inlineStr">
        <is>
          <t>Francia</t>
        </is>
      </c>
      <c r="B79" t="inlineStr">
        <is>
          <t>Nantes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2026-09-18</t>
        </is>
      </c>
      <c r="F79" t="inlineStr">
        <is>
          <t>2026-09-25</t>
        </is>
      </c>
      <c r="G79" t="inlineStr">
        <is>
          <t xml:space="preserve"> - Camper Cabin</t>
        </is>
      </c>
      <c r="H79">
        <f>HYPERLINK("https://booking.roadsurfer.com/es/rally/pick?pickup_date=2026-09-18&amp;return_date=2026-09-25&amp;currency=EUR&amp;startStation=31&amp;endStation=22", "Clic para verlo en la web de RoadSurfer")</f>
        <v/>
      </c>
    </row>
    <row r="80">
      <c r="A80" t="inlineStr">
        <is>
          <t>Francia</t>
        </is>
      </c>
      <c r="B80" t="inlineStr">
        <is>
          <t>Nantes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2026-09-23</t>
        </is>
      </c>
      <c r="F80" t="inlineStr">
        <is>
          <t>2026-09-30</t>
        </is>
      </c>
      <c r="G80" t="inlineStr">
        <is>
          <t xml:space="preserve"> - FAMILY FINCA</t>
        </is>
      </c>
      <c r="H80">
        <f>HYPERLINK("https://booking.roadsurfer.com/es/rally/pick?pickup_date=2026-09-23&amp;return_date=2026-09-30&amp;currency=EUR&amp;startStation=31&amp;endStation=22", "Clic para verlo en la web de RoadSurfer")</f>
        <v/>
      </c>
    </row>
    <row r="81">
      <c r="A81" t="inlineStr">
        <is>
          <t>Francia</t>
        </is>
      </c>
      <c r="B81" t="inlineStr">
        <is>
          <t>Nantes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2026-09-22</t>
        </is>
      </c>
      <c r="F81" t="inlineStr">
        <is>
          <t>2026-09-29</t>
        </is>
      </c>
      <c r="G81" t="inlineStr">
        <is>
          <t xml:space="preserve"> - Road House</t>
        </is>
      </c>
      <c r="H81">
        <f>HYPERLINK("https://booking.roadsurfer.com/es/rally/pick?pickup_date=2026-09-22&amp;return_date=2026-09-29&amp;currency=EUR&amp;startStation=31&amp;endStation=22", "Clic para verlo en la web de RoadSurfer")</f>
        <v/>
      </c>
    </row>
    <row r="82">
      <c r="A82" t="inlineStr">
        <is>
          <t>Francia</t>
        </is>
      </c>
      <c r="B82" t="inlineStr">
        <is>
          <t>Nantes</t>
        </is>
      </c>
      <c r="C82" t="inlineStr">
        <is>
          <t>Alemania</t>
        </is>
      </c>
      <c r="D82" t="inlineStr">
        <is>
          <t>Hamburgo</t>
        </is>
      </c>
      <c r="E82" t="inlineStr">
        <is>
          <t>2026-09-30</t>
        </is>
      </c>
      <c r="F82" t="inlineStr">
        <is>
          <t>2026-10-07</t>
        </is>
      </c>
      <c r="G82" t="inlineStr">
        <is>
          <t xml:space="preserve"> - Surfer Suite</t>
        </is>
      </c>
      <c r="H82">
        <f>HYPERLINK("https://booking.roadsurfer.com/es/rally/pick?pickup_date=2026-09-30&amp;return_date=2026-10-07&amp;currency=EUR&amp;startStation=31&amp;endStation=3", "Clic para verlo en la web de RoadSurfer")</f>
        <v/>
      </c>
    </row>
    <row r="83">
      <c r="A83" t="inlineStr">
        <is>
          <t>Francia</t>
        </is>
      </c>
      <c r="B83" t="inlineStr">
        <is>
          <t>Nantes</t>
        </is>
      </c>
      <c r="C83" t="inlineStr">
        <is>
          <t>Alemania</t>
        </is>
      </c>
      <c r="D83" t="inlineStr">
        <is>
          <t>Lübeck</t>
        </is>
      </c>
      <c r="E83" t="inlineStr">
        <is>
          <t>2026-09-25</t>
        </is>
      </c>
      <c r="F83" t="inlineStr">
        <is>
          <t>2026-10-02</t>
        </is>
      </c>
      <c r="G83" t="inlineStr">
        <is>
          <t xml:space="preserve"> - Beach Hostel</t>
        </is>
      </c>
      <c r="H83">
        <f>HYPERLINK("https://booking.roadsurfer.com/es/rally/pick?pickup_date=2026-09-25&amp;return_date=2026-10-02&amp;currency=EUR&amp;startStation=31&amp;endStation=109", "Clic para verlo en la web de RoadSurfer")</f>
        <v/>
      </c>
    </row>
    <row r="84">
      <c r="A84" t="inlineStr">
        <is>
          <t>Francia</t>
        </is>
      </c>
      <c r="B84" t="inlineStr">
        <is>
          <t>Niza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2026-10-01</t>
        </is>
      </c>
      <c r="F84" t="inlineStr">
        <is>
          <t>2026-10-08</t>
        </is>
      </c>
      <c r="G84" t="inlineStr">
        <is>
          <t xml:space="preserve"> - Surfer Suite</t>
        </is>
      </c>
      <c r="H84">
        <f>HYPERLINK("https://booking.roadsurfer.com/es/rally/pick?pickup_date=2026-10-01&amp;return_date=2026-10-08&amp;currency=EUR&amp;startStation=88&amp;endStation=22",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2026-09-16</t>
        </is>
      </c>
      <c r="F85" t="inlineStr">
        <is>
          <t>2026-09-23</t>
        </is>
      </c>
      <c r="G85" t="inlineStr">
        <is>
          <t xml:space="preserve"> - Camper Cabin</t>
        </is>
      </c>
      <c r="H85">
        <f>HYPERLINK("https://booking.roadsurfer.com/es/rally/pick?pickup_date=2026-09-16&amp;return_date=2026-09-23&amp;currency=EUR&amp;startStation=12&amp;endStation=22", "Clic para verlo en la web de RoadSurfer")</f>
        <v/>
      </c>
    </row>
    <row r="86">
      <c r="A86" t="inlineStr">
        <is>
          <t>Francia</t>
        </is>
      </c>
      <c r="B86" t="inlineStr">
        <is>
          <t>París Sur (Orly)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2026-09-15</t>
        </is>
      </c>
      <c r="F86" t="inlineStr">
        <is>
          <t>2026-09-22</t>
        </is>
      </c>
      <c r="G86" t="inlineStr">
        <is>
          <t xml:space="preserve"> - Camper Cabin</t>
        </is>
      </c>
      <c r="H86">
        <f>HYPERLINK("https://booking.roadsurfer.com/es/rally/pick?pickup_date=2026-09-15&amp;return_date=2026-09-22&amp;currency=EUR&amp;startStation=12&amp;endStation=22", "Clic para verlo en la web de RoadSurfer")</f>
        <v/>
      </c>
    </row>
    <row r="87">
      <c r="A87" t="inlineStr">
        <is>
          <t>Francia</t>
        </is>
      </c>
      <c r="B87" t="inlineStr">
        <is>
          <t>París Sur (Orly)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2026-09-11</t>
        </is>
      </c>
      <c r="F87" t="inlineStr">
        <is>
          <t>2026-09-18</t>
        </is>
      </c>
      <c r="G87" t="inlineStr">
        <is>
          <t xml:space="preserve"> - Surfer Suite</t>
        </is>
      </c>
      <c r="H87">
        <f>HYPERLINK("https://booking.roadsurfer.com/es/rally/pick?pickup_date=2026-09-11&amp;return_date=2026-09-18&amp;currency=EUR&amp;startStation=12&amp;endStation=22", "Clic para verlo en la web de RoadSurfer")</f>
        <v/>
      </c>
    </row>
    <row r="88">
      <c r="A88" t="inlineStr">
        <is>
          <t>Francia</t>
        </is>
      </c>
      <c r="B88" t="inlineStr">
        <is>
          <t>París Sur (Orly)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2026-09-09</t>
        </is>
      </c>
      <c r="F88" t="inlineStr">
        <is>
          <t>2026-09-16</t>
        </is>
      </c>
      <c r="G88" t="inlineStr">
        <is>
          <t xml:space="preserve"> - Surfer Suite</t>
        </is>
      </c>
      <c r="H88">
        <f>HYPERLINK("https://booking.roadsurfer.com/es/rally/pick?pickup_date=2026-09-09&amp;return_date=2026-09-16&amp;currency=EUR&amp;startStation=12&amp;endStation=22", "Clic para verlo en la web de RoadSurfer")</f>
        <v/>
      </c>
    </row>
    <row r="89">
      <c r="A89" t="inlineStr">
        <is>
          <t>Francia</t>
        </is>
      </c>
      <c r="B89" t="inlineStr">
        <is>
          <t>París Sur (Orly)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2026-09-26</t>
        </is>
      </c>
      <c r="F89" t="inlineStr">
        <is>
          <t>2026-10-03</t>
        </is>
      </c>
      <c r="G89" t="inlineStr">
        <is>
          <t xml:space="preserve"> - No hay coche</t>
        </is>
      </c>
      <c r="H89">
        <f>HYPERLINK("https://booking.roadsurfer.com/es/rally/pick?pickup_date=2026-09-26&amp;return_date=2026-10-03&amp;currency=EUR&amp;startStation=12&amp;endStation=22", "Clic para verlo en la web de RoadSurfer")</f>
        <v/>
      </c>
    </row>
    <row r="90">
      <c r="A90" t="inlineStr">
        <is>
          <t>Francia</t>
        </is>
      </c>
      <c r="B90" t="inlineStr">
        <is>
          <t>París Sur (Orly)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2026-09-01</t>
        </is>
      </c>
      <c r="F90" t="inlineStr">
        <is>
          <t>2026-09-08</t>
        </is>
      </c>
      <c r="G90" t="inlineStr">
        <is>
          <t xml:space="preserve"> - COUPLE COTTAGE</t>
        </is>
      </c>
      <c r="H90">
        <f>HYPERLINK("https://booking.roadsurfer.com/es/rally/pick?pickup_date=2026-09-01&amp;return_date=2026-09-08&amp;currency=EUR&amp;startStation=12&amp;endStation=22", "Clic para verlo en la web de RoadSurfer")</f>
        <v/>
      </c>
    </row>
    <row r="91">
      <c r="A91" t="inlineStr">
        <is>
          <t>Francia</t>
        </is>
      </c>
      <c r="B91" t="inlineStr">
        <is>
          <t>París Sur (Orly)</t>
        </is>
      </c>
      <c r="C91" t="inlineStr">
        <is>
          <t>Alemania</t>
        </is>
      </c>
      <c r="D91" t="inlineStr">
        <is>
          <t>Hannover</t>
        </is>
      </c>
      <c r="E91" t="inlineStr">
        <is>
          <t>2026-09-12</t>
        </is>
      </c>
      <c r="F91" t="inlineStr">
        <is>
          <t>2026-09-19</t>
        </is>
      </c>
      <c r="G91" t="inlineStr">
        <is>
          <t xml:space="preserve"> - Camper Cabin</t>
        </is>
      </c>
      <c r="H91">
        <f>HYPERLINK("https://booking.roadsurfer.com/es/rally/pick?pickup_date=2026-09-12&amp;return_date=2026-09-19&amp;currency=EUR&amp;startStation=12&amp;endStation=7", "Clic para verlo en la web de RoadSurfer")</f>
        <v/>
      </c>
    </row>
    <row r="92">
      <c r="A92" t="inlineStr">
        <is>
          <t>Francia</t>
        </is>
      </c>
      <c r="B92" t="inlineStr">
        <is>
          <t>París Sur (Orly)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2026-09-23</t>
        </is>
      </c>
      <c r="F92" t="inlineStr">
        <is>
          <t>2026-09-30</t>
        </is>
      </c>
      <c r="G92" t="inlineStr">
        <is>
          <t xml:space="preserve"> - Surfer Suite</t>
        </is>
      </c>
      <c r="H92">
        <f>HYPERLINK("https://booking.roadsurfer.com/es/rally/pick?pickup_date=2026-09-23&amp;return_date=2026-09-30&amp;currency=EUR&amp;startStation=12&amp;endStation=7", "Clic para verlo en la web de RoadSurfer")</f>
        <v/>
      </c>
    </row>
    <row r="93">
      <c r="A93" t="inlineStr">
        <is>
          <t>Francia</t>
        </is>
      </c>
      <c r="B93" t="inlineStr">
        <is>
          <t>París Sur (Orly)</t>
        </is>
      </c>
      <c r="C93" t="inlineStr">
        <is>
          <t>Alemania</t>
        </is>
      </c>
      <c r="D93" t="inlineStr">
        <is>
          <t>Hannover</t>
        </is>
      </c>
      <c r="E93" t="inlineStr">
        <is>
          <t>2026-09-14</t>
        </is>
      </c>
      <c r="F93" t="inlineStr">
        <is>
          <t>2026-09-21</t>
        </is>
      </c>
      <c r="G93" t="inlineStr">
        <is>
          <t xml:space="preserve"> - Surfer Suite</t>
        </is>
      </c>
      <c r="H93">
        <f>HYPERLINK("https://booking.roadsurfer.com/es/rally/pick?pickup_date=2026-09-14&amp;return_date=2026-09-21&amp;currency=EUR&amp;startStation=12&amp;endStation=7", "Clic para verlo en la web de RoadSurfer")</f>
        <v/>
      </c>
    </row>
    <row r="94">
      <c r="A94" t="inlineStr">
        <is>
          <t>Francia</t>
        </is>
      </c>
      <c r="B94" t="inlineStr">
        <is>
          <t>París Sur (Orly)</t>
        </is>
      </c>
      <c r="C94" t="inlineStr">
        <is>
          <t>Alemania</t>
        </is>
      </c>
      <c r="D94" t="inlineStr">
        <is>
          <t>Friburgo-Basilea (Alemania)</t>
        </is>
      </c>
      <c r="E94" t="inlineStr">
        <is>
          <t>2026-09-19</t>
        </is>
      </c>
      <c r="F94" t="inlineStr">
        <is>
          <t>2026-09-26</t>
        </is>
      </c>
      <c r="G94" t="inlineStr">
        <is>
          <t xml:space="preserve"> - Surfer Suite</t>
        </is>
      </c>
      <c r="H94">
        <f>HYPERLINK("https://booking.roadsurfer.com/es/rally/pick?pickup_date=2026-09-19&amp;return_date=2026-09-26&amp;currency=EUR&amp;startStation=12&amp;endStation=9", "Clic para verlo en la web de RoadSurfer")</f>
        <v/>
      </c>
    </row>
    <row r="95">
      <c r="A95" t="inlineStr">
        <is>
          <t>Francia</t>
        </is>
      </c>
      <c r="B95" t="inlineStr">
        <is>
          <t>París Sur (Orly)</t>
        </is>
      </c>
      <c r="C95" t="inlineStr">
        <is>
          <t>Alemania</t>
        </is>
      </c>
      <c r="D95" t="inlineStr">
        <is>
          <t>Duisburgo</t>
        </is>
      </c>
      <c r="E95" t="inlineStr">
        <is>
          <t>2026-09-26</t>
        </is>
      </c>
      <c r="F95" t="inlineStr">
        <is>
          <t>2026-10-03</t>
        </is>
      </c>
      <c r="G95" t="inlineStr">
        <is>
          <t xml:space="preserve"> - No hay coche</t>
        </is>
      </c>
      <c r="H95">
        <f>HYPERLINK("https://booking.roadsurfer.com/es/rally/pick?pickup_date=2026-09-26&amp;return_date=2026-10-03&amp;currency=EUR&amp;startStation=12&amp;endStation=113", "Clic para verlo en la web de RoadSurfer")</f>
        <v/>
      </c>
    </row>
    <row r="96">
      <c r="A96" t="inlineStr">
        <is>
          <t>Francia</t>
        </is>
      </c>
      <c r="B96" t="inlineStr">
        <is>
          <t>París Sur (Orly)</t>
        </is>
      </c>
      <c r="C96" t="inlineStr">
        <is>
          <t>Alemania</t>
        </is>
      </c>
      <c r="D96" t="inlineStr">
        <is>
          <t>Karlsruhe</t>
        </is>
      </c>
      <c r="E96" t="inlineStr">
        <is>
          <t>2026-09-25</t>
        </is>
      </c>
      <c r="F96" t="inlineStr">
        <is>
          <t>2026-10-02</t>
        </is>
      </c>
      <c r="G96" t="inlineStr">
        <is>
          <t xml:space="preserve"> - Beach Hostel</t>
        </is>
      </c>
      <c r="H96">
        <f>HYPERLINK("https://booking.roadsurfer.com/es/rally/pick?pickup_date=2026-09-25&amp;return_date=2026-10-02&amp;currency=EUR&amp;startStation=12&amp;endStation=110", "Clic para verlo en la web de RoadSurfer")</f>
        <v/>
      </c>
    </row>
    <row r="97">
      <c r="A97" t="inlineStr">
        <is>
          <t>Francia</t>
        </is>
      </c>
      <c r="B97" t="inlineStr">
        <is>
          <t>París Sur (Orly)</t>
        </is>
      </c>
      <c r="C97" t="inlineStr">
        <is>
          <t>Alemania</t>
        </is>
      </c>
      <c r="D97" t="inlineStr">
        <is>
          <t>Múnich</t>
        </is>
      </c>
      <c r="E97" t="inlineStr">
        <is>
          <t>2026-10-05</t>
        </is>
      </c>
      <c r="F97" t="inlineStr">
        <is>
          <t>2026-10-12</t>
        </is>
      </c>
      <c r="G97" t="inlineStr">
        <is>
          <t xml:space="preserve"> - Beach Hostel</t>
        </is>
      </c>
      <c r="H97">
        <f>HYPERLINK("https://booking.roadsurfer.com/es/rally/pick?pickup_date=2026-10-05&amp;return_date=2026-10-12&amp;currency=EUR&amp;startStation=12&amp;endStation=1", "Clic para verlo en la web de RoadSurfer")</f>
        <v/>
      </c>
    </row>
    <row r="98">
      <c r="A98" t="inlineStr">
        <is>
          <t>Francia</t>
        </is>
      </c>
      <c r="B98" t="inlineStr">
        <is>
          <t>París Sur (Orly)</t>
        </is>
      </c>
      <c r="C98" t="inlineStr">
        <is>
          <t>Alemania</t>
        </is>
      </c>
      <c r="D98" t="inlineStr">
        <is>
          <t>Berlín</t>
        </is>
      </c>
      <c r="E98" t="inlineStr">
        <is>
          <t>2026-09-11</t>
        </is>
      </c>
      <c r="F98" t="inlineStr">
        <is>
          <t>2026-09-18</t>
        </is>
      </c>
      <c r="G98" t="inlineStr">
        <is>
          <t xml:space="preserve"> - Surfer Suite</t>
        </is>
      </c>
      <c r="H98">
        <f>HYPERLINK("https://booking.roadsurfer.com/es/rally/pick?pickup_date=2026-09-11&amp;return_date=2026-09-18&amp;currency=EUR&amp;startStation=12&amp;endStation=6", "Clic para verlo en la web de RoadSurfer")</f>
        <v/>
      </c>
    </row>
    <row r="99">
      <c r="A99" t="inlineStr">
        <is>
          <t>Francia</t>
        </is>
      </c>
      <c r="B99" t="inlineStr">
        <is>
          <t>París Aeropuerto CDG</t>
        </is>
      </c>
      <c r="C99" t="inlineStr">
        <is>
          <t>Alemania</t>
        </is>
      </c>
      <c r="D99" t="inlineStr">
        <is>
          <t>Constanza (Aach)</t>
        </is>
      </c>
      <c r="E99" t="inlineStr">
        <is>
          <t>2026-09-11</t>
        </is>
      </c>
      <c r="F99" t="inlineStr">
        <is>
          <t>2026-09-18</t>
        </is>
      </c>
      <c r="G99" t="inlineStr">
        <is>
          <t xml:space="preserve"> - Surfer Suite</t>
        </is>
      </c>
      <c r="H99">
        <f>HYPERLINK("https://booking.roadsurfer.com/es/rally/pick?pickup_date=2026-09-11&amp;return_date=2026-09-18&amp;currency=EUR&amp;startStation=48&amp;endStation=10", "Clic para verlo en la web de RoadSurfer")</f>
        <v/>
      </c>
    </row>
    <row r="100">
      <c r="A100" t="inlineStr">
        <is>
          <t>Francia</t>
        </is>
      </c>
      <c r="B100" t="inlineStr">
        <is>
          <t>París Aeropuerto CDG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Surfer Suite</t>
        </is>
      </c>
      <c r="H100">
        <f>HYPERLINK("https://booking.roadsurfer.com/es/rally/pick?pickup_date=2026-09-08&amp;return_date=2026-09-15&amp;currency=EUR&amp;startStation=48&amp;endStation=22", "Clic para verlo en la web de RoadSurfer")</f>
        <v/>
      </c>
    </row>
    <row r="101">
      <c r="A101" t="inlineStr">
        <is>
          <t>Francia</t>
        </is>
      </c>
      <c r="B101" t="inlineStr">
        <is>
          <t>París Aeropuerto CDG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2026-09-25</t>
        </is>
      </c>
      <c r="F101" t="inlineStr">
        <is>
          <t>2026-10-02</t>
        </is>
      </c>
      <c r="G101" t="inlineStr">
        <is>
          <t xml:space="preserve"> - Camper Castle</t>
        </is>
      </c>
      <c r="H101">
        <f>HYPERLINK("https://booking.roadsurfer.com/es/rally/pick?pickup_date=2026-09-25&amp;return_date=2026-10-02&amp;currency=EUR&amp;startStation=48&amp;endStation=22", "Clic para verlo en la web de RoadSurfer")</f>
        <v/>
      </c>
    </row>
    <row r="102">
      <c r="A102" t="inlineStr">
        <is>
          <t>Francia</t>
        </is>
      </c>
      <c r="B102" t="inlineStr">
        <is>
          <t>París Aeropuerto CDG</t>
        </is>
      </c>
      <c r="C102" t="inlineStr">
        <is>
          <t>Alemania</t>
        </is>
      </c>
      <c r="D102" t="inlineStr">
        <is>
          <t>Hannover</t>
        </is>
      </c>
      <c r="E102" t="inlineStr">
        <is>
          <t>2026-10-10</t>
        </is>
      </c>
      <c r="F102" t="inlineStr">
        <is>
          <t>2026-10-17</t>
        </is>
      </c>
      <c r="G102" t="inlineStr">
        <is>
          <t xml:space="preserve"> - Family Finca</t>
        </is>
      </c>
      <c r="H102">
        <f>HYPERLINK("https://booking.roadsurfer.com/es/rally/pick?pickup_date=2026-10-10&amp;return_date=2026-10-17&amp;currency=EUR&amp;startStation=48&amp;endStation=7", "Clic para verlo en la web de RoadSurfer")</f>
        <v/>
      </c>
    </row>
    <row r="103">
      <c r="A103" t="inlineStr">
        <is>
          <t>Francia</t>
        </is>
      </c>
      <c r="B103" t="inlineStr">
        <is>
          <t>París Aeropuerto CDG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2026-10-24</t>
        </is>
      </c>
      <c r="F103" t="inlineStr">
        <is>
          <t>2026-10-31</t>
        </is>
      </c>
      <c r="G103" t="inlineStr">
        <is>
          <t xml:space="preserve"> - No hay coche</t>
        </is>
      </c>
      <c r="H103">
        <f>HYPERLINK("https://booking.roadsurfer.com/es/rally/pick?pickup_date=2026-10-24&amp;return_date=2026-10-31&amp;currency=EUR&amp;startStation=48&amp;endStation=90", "Clic para verlo en la web de RoadSurfer")</f>
        <v/>
      </c>
    </row>
    <row r="104">
      <c r="A104" t="inlineStr">
        <is>
          <t>Italia</t>
        </is>
      </c>
      <c r="B104" t="inlineStr">
        <is>
          <t>Roma Aeropuerto Fiumicino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2026-09-25</t>
        </is>
      </c>
      <c r="F104" t="inlineStr">
        <is>
          <t>2026-10-02</t>
        </is>
      </c>
      <c r="G104" t="inlineStr">
        <is>
          <t xml:space="preserve"> - Road House - Couple Cottage</t>
        </is>
      </c>
      <c r="H104">
        <f>HYPERLINK("https://booking.roadsurfer.com/es/rally/pick?pickup_date=2026-09-25&amp;return_date=2026-10-02&amp;currency=EUR&amp;startStation=35&amp;endStation=22", "Clic para verlo en la web de RoadSurfer")</f>
        <v/>
      </c>
    </row>
    <row r="105">
      <c r="A105" t="inlineStr">
        <is>
          <t>Países Bajos</t>
        </is>
      </c>
      <c r="B105" t="inlineStr">
        <is>
          <t>Róterdam</t>
        </is>
      </c>
      <c r="C105" t="inlineStr">
        <is>
          <t>Alemania</t>
        </is>
      </c>
      <c r="D105" t="inlineStr">
        <is>
          <t>Bremen</t>
        </is>
      </c>
      <c r="E105" t="inlineStr">
        <is>
          <t>2026-09-26</t>
        </is>
      </c>
      <c r="F105" t="inlineStr">
        <is>
          <t>2026-10-03</t>
        </is>
      </c>
      <c r="G105" t="inlineStr">
        <is>
          <t xml:space="preserve"> - No hay coche</t>
        </is>
      </c>
      <c r="H105">
        <f>HYPERLINK("https://booking.roadsurfer.com/es/rally/pick?pickup_date=2026-09-26&amp;return_date=2026-10-03&amp;currency=EUR&amp;startStation=33&amp;endStation=55", "Clic para verlo en la web de RoadSurfer")</f>
        <v/>
      </c>
    </row>
    <row r="106">
      <c r="A106" t="inlineStr">
        <is>
          <t>Países Bajos</t>
        </is>
      </c>
      <c r="B106" t="inlineStr">
        <is>
          <t>Róterdam</t>
        </is>
      </c>
      <c r="C106" t="inlineStr">
        <is>
          <t>Alemania</t>
        </is>
      </c>
      <c r="D106" t="inlineStr">
        <is>
          <t>Duisburgo</t>
        </is>
      </c>
      <c r="E106" t="inlineStr">
        <is>
          <t>2026-09-23</t>
        </is>
      </c>
      <c r="F106" t="inlineStr">
        <is>
          <t>2026-09-30</t>
        </is>
      </c>
      <c r="G106" t="inlineStr">
        <is>
          <t xml:space="preserve"> - Surfer Suite</t>
        </is>
      </c>
      <c r="H106">
        <f>HYPERLINK("https://booking.roadsurfer.com/es/rally/pick?pickup_date=2026-09-23&amp;return_date=2026-09-30&amp;currency=EUR&amp;startStation=33&amp;endStation=113", "Clic para verlo en la web de RoadSurfer")</f>
        <v/>
      </c>
    </row>
    <row r="107">
      <c r="A107" t="inlineStr">
        <is>
          <t>EE.UU.</t>
        </is>
      </c>
      <c r="B107" t="inlineStr">
        <is>
          <t>Salt Lake City</t>
        </is>
      </c>
      <c r="C107" t="inlineStr">
        <is>
          <t>EE.UU.</t>
        </is>
      </c>
      <c r="D107" t="inlineStr">
        <is>
          <t>Las Vegas</t>
        </is>
      </c>
      <c r="E107" t="inlineStr">
        <is>
          <t>2026-08-20</t>
        </is>
      </c>
      <c r="F107" t="inlineStr">
        <is>
          <t>2026-08-26</t>
        </is>
      </c>
      <c r="G107" t="inlineStr">
        <is>
          <t xml:space="preserve"> - No hay coche</t>
        </is>
      </c>
      <c r="H107">
        <f>HYPERLINK("https://booking.roadsurfer.com/es/rally/pick?pickup_date=2026-08-20&amp;return_date=2026-08-26&amp;currency=EUR&amp;startStation=106&amp;endStation=76", "Clic para verlo en la web de RoadSurfer")</f>
        <v/>
      </c>
    </row>
    <row r="108">
      <c r="A108" t="inlineStr">
        <is>
          <t>Austria</t>
        </is>
      </c>
      <c r="B108" t="inlineStr">
        <is>
          <t>Salzburgo</t>
        </is>
      </c>
      <c r="C108" t="inlineStr">
        <is>
          <t>España</t>
        </is>
      </c>
      <c r="D108" t="inlineStr">
        <is>
          <t>Málaga</t>
        </is>
      </c>
      <c r="E108" t="inlineStr">
        <is>
          <t>2026-08-31</t>
        </is>
      </c>
      <c r="F108" t="inlineStr">
        <is>
          <t>2026-09-07</t>
        </is>
      </c>
      <c r="G108" t="inlineStr">
        <is>
          <t xml:space="preserve"> - Family Finca</t>
        </is>
      </c>
      <c r="H108">
        <f>HYPERLINK("https://booking.roadsurfer.com/es/rally/pick?pickup_date=2026-08-31&amp;return_date=2026-09-07&amp;currency=EUR&amp;startStation=85&amp;endStation=21", "Clic para verlo en la web de RoadSurfer")</f>
        <v/>
      </c>
    </row>
    <row r="109">
      <c r="A109" t="inlineStr">
        <is>
          <t>EE.UU.</t>
        </is>
      </c>
      <c r="B109" t="inlineStr">
        <is>
          <t>San Francisco</t>
        </is>
      </c>
      <c r="C109" t="inlineStr">
        <is>
          <t>EE.UU.</t>
        </is>
      </c>
      <c r="D109" t="inlineStr">
        <is>
          <t>Dallas</t>
        </is>
      </c>
      <c r="E109" t="inlineStr">
        <is>
          <t>2026-09-15</t>
        </is>
      </c>
      <c r="F109" t="inlineStr">
        <is>
          <t>2026-09-23</t>
        </is>
      </c>
      <c r="G109" t="inlineStr">
        <is>
          <t xml:space="preserve"> - Family Freedom</t>
        </is>
      </c>
      <c r="H109">
        <f>HYPERLINK("https://booking.roadsurfer.com/es/rally/pick?pickup_date=2026-09-15&amp;return_date=2026-09-23&amp;currency=EUR&amp;startStation=75&amp;endStation=125", "Clic para verlo en la web de RoadSurfer")</f>
        <v/>
      </c>
    </row>
    <row r="110">
      <c r="A110" t="inlineStr">
        <is>
          <t>Francia</t>
        </is>
      </c>
      <c r="B110" t="inlineStr">
        <is>
          <t>Toulouse</t>
        </is>
      </c>
      <c r="C110" t="inlineStr">
        <is>
          <t>Alemania</t>
        </is>
      </c>
      <c r="D110" t="inlineStr">
        <is>
          <t>Lübeck</t>
        </is>
      </c>
      <c r="E110" t="inlineStr">
        <is>
          <t>2026-09-24</t>
        </is>
      </c>
      <c r="F110" t="inlineStr">
        <is>
          <t>2026-10-01</t>
        </is>
      </c>
      <c r="G110" t="inlineStr">
        <is>
          <t xml:space="preserve"> - ROAD HOUSE</t>
        </is>
      </c>
      <c r="H110">
        <f>HYPERLINK("https://booking.roadsurfer.com/es/rally/pick?pickup_date=2026-09-24&amp;return_date=2026-10-01&amp;currency=EUR&amp;startStation=30&amp;endStation=109", "Clic para verlo en la web de RoadSurfer")</f>
        <v/>
      </c>
    </row>
    <row r="111">
      <c r="A111" t="inlineStr">
        <is>
          <t>Francia</t>
        </is>
      </c>
      <c r="B111" t="inlineStr">
        <is>
          <t>Toulouse</t>
        </is>
      </c>
      <c r="C111" t="inlineStr">
        <is>
          <t>Alemania</t>
        </is>
      </c>
      <c r="D111" t="inlineStr">
        <is>
          <t>Hamburgo</t>
        </is>
      </c>
      <c r="E111" t="inlineStr">
        <is>
          <t>2026-09-30</t>
        </is>
      </c>
      <c r="F111" t="inlineStr">
        <is>
          <t>2026-10-07</t>
        </is>
      </c>
      <c r="G111" t="inlineStr">
        <is>
          <t xml:space="preserve"> - Surfer Suite</t>
        </is>
      </c>
      <c r="H111">
        <f>HYPERLINK("https://booking.roadsurfer.com/es/rally/pick?pickup_date=2026-09-30&amp;return_date=2026-10-07&amp;currency=EUR&amp;startStation=30&amp;endStation=3", "Clic para verlo en la web de RoadSurfer")</f>
        <v/>
      </c>
    </row>
    <row r="112">
      <c r="A112" t="inlineStr">
        <is>
          <t>Francia</t>
        </is>
      </c>
      <c r="B112" t="inlineStr">
        <is>
          <t>Toulouse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2026-09-16</t>
        </is>
      </c>
      <c r="F112" t="inlineStr">
        <is>
          <t>2026-09-23</t>
        </is>
      </c>
      <c r="G112" t="inlineStr">
        <is>
          <t xml:space="preserve"> - Surfer Suite</t>
        </is>
      </c>
      <c r="H112">
        <f>HYPERLINK("https://booking.roadsurfer.com/es/rally/pick?pickup_date=2026-09-16&amp;return_date=2026-09-23&amp;currency=EUR&amp;startStation=30&amp;endStation=8", "Clic para verlo en la web de RoadSurfer")</f>
        <v/>
      </c>
    </row>
    <row r="113">
      <c r="A113" t="inlineStr">
        <is>
          <t>Italia</t>
        </is>
      </c>
      <c r="B113" t="inlineStr">
        <is>
          <t>Turín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2026-10-02</t>
        </is>
      </c>
      <c r="F113" t="inlineStr">
        <is>
          <t>2026-10-09</t>
        </is>
      </c>
      <c r="G113" t="inlineStr">
        <is>
          <t xml:space="preserve"> - No hay coche</t>
        </is>
      </c>
      <c r="H113">
        <f>HYPERLINK("https://booking.roadsurfer.com/es/rally/pick?pickup_date=2026-10-02&amp;return_date=2026-10-09&amp;currency=EUR&amp;startStation=58&amp;endStation=22", "Clic para verlo en la web de RoadSurfer")</f>
        <v/>
      </c>
    </row>
    <row r="114">
      <c r="A114" t="inlineStr">
        <is>
          <t>Italia</t>
        </is>
      </c>
      <c r="B114" t="inlineStr">
        <is>
          <t>Turín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2026-09-25</t>
        </is>
      </c>
      <c r="F114" t="inlineStr">
        <is>
          <t>2026-10-02</t>
        </is>
      </c>
      <c r="G114" t="inlineStr">
        <is>
          <t xml:space="preserve"> - ROAD HOUSE - Road House - COZY COTTAGE</t>
        </is>
      </c>
      <c r="H114">
        <f>HYPERLINK("https://booking.roadsurfer.com/es/rally/pick?pickup_date=2026-09-25&amp;return_date=2026-10-02&amp;currency=EUR&amp;startStation=58&amp;endStation=22", "Clic para verlo en la web de RoadSurfer")</f>
        <v/>
      </c>
    </row>
    <row r="115">
      <c r="A115" t="inlineStr">
        <is>
          <t>Italia</t>
        </is>
      </c>
      <c r="B115" t="inlineStr">
        <is>
          <t>Turín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2026-09-15</t>
        </is>
      </c>
      <c r="F115" t="inlineStr">
        <is>
          <t>2026-09-22</t>
        </is>
      </c>
      <c r="G115" t="inlineStr">
        <is>
          <t xml:space="preserve"> - Surfer Suite</t>
        </is>
      </c>
      <c r="H115">
        <f>HYPERLINK("https://booking.roadsurfer.com/es/rally/pick?pickup_date=2026-09-15&amp;return_date=2026-09-22&amp;currency=EUR&amp;startStation=58&amp;endStation=22", "Clic para verlo en la web de RoadSurfer")</f>
        <v/>
      </c>
    </row>
    <row r="116">
      <c r="A116" t="inlineStr">
        <is>
          <t>Italia</t>
        </is>
      </c>
      <c r="B116" t="inlineStr">
        <is>
          <t>Turín</t>
        </is>
      </c>
      <c r="C116" t="inlineStr">
        <is>
          <t>Alemania</t>
        </is>
      </c>
      <c r="D116" t="inlineStr">
        <is>
          <t>Bremen</t>
        </is>
      </c>
      <c r="E116" t="inlineStr">
        <is>
          <t>2026-09-21</t>
        </is>
      </c>
      <c r="F116" t="inlineStr">
        <is>
          <t>2026-09-28</t>
        </is>
      </c>
      <c r="G116" t="inlineStr">
        <is>
          <t xml:space="preserve"> - Road House</t>
        </is>
      </c>
      <c r="H116">
        <f>HYPERLINK("https://booking.roadsurfer.com/es/rally/pick?pickup_date=2026-09-21&amp;return_date=2026-09-28&amp;currency=EUR&amp;startStation=58&amp;endStation=55", "Clic para verlo en la web de RoadSurfer")</f>
        <v/>
      </c>
    </row>
    <row r="117">
      <c r="A117" t="inlineStr">
        <is>
          <t>Italia</t>
        </is>
      </c>
      <c r="B117" t="inlineStr">
        <is>
          <t>Turín</t>
        </is>
      </c>
      <c r="C117" t="inlineStr">
        <is>
          <t>Alemania</t>
        </is>
      </c>
      <c r="D117" t="inlineStr">
        <is>
          <t>Bremen</t>
        </is>
      </c>
      <c r="E117" t="inlineStr">
        <is>
          <t>2026-09-29</t>
        </is>
      </c>
      <c r="F117" t="inlineStr">
        <is>
          <t>2026-10-06</t>
        </is>
      </c>
      <c r="G117" t="inlineStr">
        <is>
          <t xml:space="preserve"> - Family Finca</t>
        </is>
      </c>
      <c r="H117">
        <f>HYPERLINK("https://booking.roadsurfer.com/es/rally/pick?pickup_date=2026-09-29&amp;return_date=2026-10-06&amp;currency=EUR&amp;startStation=58&amp;endStation=55", "Clic para verlo en la web de RoadSurfer")</f>
        <v/>
      </c>
    </row>
    <row r="118">
      <c r="A118" t="inlineStr">
        <is>
          <t>Italia</t>
        </is>
      </c>
      <c r="B118" t="inlineStr">
        <is>
          <t>Turín</t>
        </is>
      </c>
      <c r="C118" t="inlineStr">
        <is>
          <t>Alemania</t>
        </is>
      </c>
      <c r="D118" t="inlineStr">
        <is>
          <t>Hannover</t>
        </is>
      </c>
      <c r="E118" t="inlineStr">
        <is>
          <t>2026-09-07</t>
        </is>
      </c>
      <c r="F118" t="inlineStr">
        <is>
          <t>2026-09-14</t>
        </is>
      </c>
      <c r="G118" t="inlineStr">
        <is>
          <t xml:space="preserve"> - Surfer Suite</t>
        </is>
      </c>
      <c r="H118">
        <f>HYPERLINK("https://booking.roadsurfer.com/es/rally/pick?pickup_date=2026-09-07&amp;return_date=2026-09-14&amp;currency=EUR&amp;startStation=58&amp;endStation=7", "Clic para verlo en la web de RoadSurfer")</f>
        <v/>
      </c>
    </row>
    <row r="119">
      <c r="A119" t="inlineStr">
        <is>
          <t>España</t>
        </is>
      </c>
      <c r="B119" t="inlineStr">
        <is>
          <t>Valencia</t>
        </is>
      </c>
      <c r="C119" t="inlineStr">
        <is>
          <t>Alemania</t>
        </is>
      </c>
      <c r="D119" t="inlineStr">
        <is>
          <t>Bremen</t>
        </is>
      </c>
      <c r="E119" t="inlineStr">
        <is>
          <t>2026-10-21</t>
        </is>
      </c>
      <c r="F119" t="inlineStr">
        <is>
          <t>2026-10-28</t>
        </is>
      </c>
      <c r="G119" t="inlineStr">
        <is>
          <t xml:space="preserve"> - Surfer Suite</t>
        </is>
      </c>
      <c r="H119">
        <f>HYPERLINK("https://booking.roadsurfer.com/es/rally/pick?pickup_date=2026-10-21&amp;return_date=2026-10-28&amp;currency=EUR&amp;startStation=38&amp;endStation=55", "Clic para verlo en la web de RoadSurfer")</f>
        <v/>
      </c>
    </row>
    <row r="120">
      <c r="A120" t="inlineStr">
        <is>
          <t>España</t>
        </is>
      </c>
      <c r="B120" t="inlineStr">
        <is>
          <t>Valencia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2026-09-25</t>
        </is>
      </c>
      <c r="F120" t="inlineStr">
        <is>
          <t>2026-10-02</t>
        </is>
      </c>
      <c r="G120" t="inlineStr">
        <is>
          <t xml:space="preserve"> - Couple Cottage</t>
        </is>
      </c>
      <c r="H120">
        <f>HYPERLINK("https://booking.roadsurfer.com/es/rally/pick?pickup_date=2026-09-25&amp;return_date=2026-10-02&amp;currency=EUR&amp;startStation=38&amp;endStation=22", "Clic para verlo en la web de RoadSurfer")</f>
        <v/>
      </c>
    </row>
    <row r="121">
      <c r="A121" t="inlineStr">
        <is>
          <t>España</t>
        </is>
      </c>
      <c r="B121" t="inlineStr">
        <is>
          <t>Valencia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2026-10-07</t>
        </is>
      </c>
      <c r="F121" t="inlineStr">
        <is>
          <t>2026-10-14</t>
        </is>
      </c>
      <c r="G121" t="inlineStr">
        <is>
          <t xml:space="preserve"> - No hay coche</t>
        </is>
      </c>
      <c r="H121">
        <f>HYPERLINK("https://booking.roadsurfer.com/es/rally/pick?pickup_date=2026-10-07&amp;return_date=2026-10-14&amp;currency=EUR&amp;startStation=38&amp;endStation=22", "Clic para verlo en la web de RoadSurfer")</f>
        <v/>
      </c>
    </row>
    <row r="122">
      <c r="A122" t="inlineStr">
        <is>
          <t>Italia</t>
        </is>
      </c>
      <c r="B122" t="inlineStr">
        <is>
          <t>Venecia</t>
        </is>
      </c>
      <c r="C122" t="inlineStr">
        <is>
          <t>Alemania</t>
        </is>
      </c>
      <c r="D122" t="inlineStr">
        <is>
          <t>Berlín-Schönefeld</t>
        </is>
      </c>
      <c r="E122" t="inlineStr">
        <is>
          <t>2026-09-12</t>
        </is>
      </c>
      <c r="F122" t="inlineStr">
        <is>
          <t>2026-09-19</t>
        </is>
      </c>
      <c r="G122" t="inlineStr">
        <is>
          <t xml:space="preserve"> - No hay coche</t>
        </is>
      </c>
      <c r="H122">
        <f>HYPERLINK("https://booking.roadsurfer.com/es/rally/pick?pickup_date=2026-09-12&amp;return_date=2026-09-19&amp;currency=EUR&amp;startStation=78&amp;endStation=51", "Clic para verlo en la web de RoadSurfer")</f>
        <v/>
      </c>
    </row>
    <row r="123">
      <c r="A123" t="inlineStr">
        <is>
          <t>Italia</t>
        </is>
      </c>
      <c r="B123" t="inlineStr">
        <is>
          <t>Venecia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2026-09-14</t>
        </is>
      </c>
      <c r="F123" t="inlineStr">
        <is>
          <t>2026-09-21</t>
        </is>
      </c>
      <c r="G123" t="inlineStr">
        <is>
          <t xml:space="preserve"> - Surfer Suite</t>
        </is>
      </c>
      <c r="H123">
        <f>HYPERLINK("https://booking.roadsurfer.com/es/rally/pick?pickup_date=2026-09-14&amp;return_date=2026-09-21&amp;currency=EUR&amp;startStation=78&amp;endStation=22", "Clic para verlo en la web de RoadSurfer")</f>
        <v/>
      </c>
    </row>
    <row r="124">
      <c r="A124" t="inlineStr">
        <is>
          <t>Italia</t>
        </is>
      </c>
      <c r="B124" t="inlineStr">
        <is>
          <t>Venecia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2026-09-26</t>
        </is>
      </c>
      <c r="F124" t="inlineStr">
        <is>
          <t>2026-10-03</t>
        </is>
      </c>
      <c r="G124" t="inlineStr">
        <is>
          <t xml:space="preserve"> - No hay coche</t>
        </is>
      </c>
      <c r="H124">
        <f>HYPERLINK("https://booking.roadsurfer.com/es/rally/pick?pickup_date=2026-09-26&amp;return_date=2026-10-03&amp;currency=EUR&amp;startStation=78&amp;endStation=22", "Clic para verlo en la web de RoadSurfer")</f>
        <v/>
      </c>
    </row>
    <row r="125">
      <c r="A125" t="inlineStr">
        <is>
          <t>Italia</t>
        </is>
      </c>
      <c r="B125" t="inlineStr">
        <is>
          <t>Venecia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2026-09-23</t>
        </is>
      </c>
      <c r="F125" t="inlineStr">
        <is>
          <t>2026-09-30</t>
        </is>
      </c>
      <c r="G125" t="inlineStr">
        <is>
          <t xml:space="preserve"> - Road House</t>
        </is>
      </c>
      <c r="H125">
        <f>HYPERLINK("https://booking.roadsurfer.com/es/rally/pick?pickup_date=2026-09-23&amp;return_date=2026-09-30&amp;currency=EUR&amp;startStation=78&amp;endStation=22", "Clic para verlo en la web de RoadSurfer")</f>
        <v/>
      </c>
    </row>
    <row r="126">
      <c r="A126" t="inlineStr">
        <is>
          <t>Austria</t>
        </is>
      </c>
      <c r="B126" t="inlineStr">
        <is>
          <t>Viena</t>
        </is>
      </c>
      <c r="C126" t="inlineStr">
        <is>
          <t>España</t>
        </is>
      </c>
      <c r="D126" t="inlineStr">
        <is>
          <t>Málaga</t>
        </is>
      </c>
      <c r="E126" t="inlineStr">
        <is>
          <t>2026-08-28</t>
        </is>
      </c>
      <c r="F126" t="inlineStr">
        <is>
          <t>2026-09-04</t>
        </is>
      </c>
      <c r="G126" t="inlineStr">
        <is>
          <t xml:space="preserve"> - No hay coche</t>
        </is>
      </c>
      <c r="H126">
        <f>HYPERLINK("https://booking.roadsurfer.com/es/rally/pick?pickup_date=2026-08-28&amp;return_date=2026-09-04&amp;currency=EUR&amp;startStation=36&amp;endStation=21", "Clic para verlo en la web de RoadSurfer")</f>
        <v/>
      </c>
    </row>
    <row r="127">
      <c r="A127" t="inlineStr">
        <is>
          <t>Austria</t>
        </is>
      </c>
      <c r="B127" t="inlineStr">
        <is>
          <t>Viena</t>
        </is>
      </c>
      <c r="C127" t="inlineStr">
        <is>
          <t>España</t>
        </is>
      </c>
      <c r="D127" t="inlineStr">
        <is>
          <t>Málaga</t>
        </is>
      </c>
      <c r="E127" t="inlineStr">
        <is>
          <t>2026-08-24</t>
        </is>
      </c>
      <c r="F127" t="inlineStr">
        <is>
          <t>2026-08-31</t>
        </is>
      </c>
      <c r="G127" t="inlineStr">
        <is>
          <t xml:space="preserve"> - Surfer Suite</t>
        </is>
      </c>
      <c r="H127">
        <f>HYPERLINK("https://booking.roadsurfer.com/es/rally/pick?pickup_date=2026-08-24&amp;return_date=2026-08-31&amp;currency=EUR&amp;startStation=36&amp;endStation=21", "Clic para verlo en la web de RoadSurfer")</f>
        <v/>
      </c>
    </row>
    <row r="128">
      <c r="A128" t="inlineStr">
        <is>
          <t>Austria</t>
        </is>
      </c>
      <c r="B128" t="inlineStr">
        <is>
          <t>Viena Sur</t>
        </is>
      </c>
      <c r="C128" t="inlineStr">
        <is>
          <t>Alemania</t>
        </is>
      </c>
      <c r="D128" t="inlineStr">
        <is>
          <t>Karlsruhe</t>
        </is>
      </c>
      <c r="E128" t="inlineStr">
        <is>
          <t>2026-10-05</t>
        </is>
      </c>
      <c r="F128" t="inlineStr">
        <is>
          <t>2026-10-12</t>
        </is>
      </c>
      <c r="G128" t="inlineStr">
        <is>
          <t xml:space="preserve"> - Camper Cabin Deluxe</t>
        </is>
      </c>
      <c r="H128">
        <f>HYPERLINK("https://booking.roadsurfer.com/es/rally/pick?pickup_date=2026-10-05&amp;return_date=2026-10-12&amp;currency=EUR&amp;startStation=45&amp;endStation=110", "Clic para verlo en la web de RoadSurfer")</f>
        <v/>
      </c>
    </row>
    <row r="129">
      <c r="A129" t="inlineStr">
        <is>
          <t>Austria</t>
        </is>
      </c>
      <c r="B129" t="inlineStr">
        <is>
          <t>Viena Sur</t>
        </is>
      </c>
      <c r="C129" t="inlineStr">
        <is>
          <t>España</t>
        </is>
      </c>
      <c r="D129" t="inlineStr">
        <is>
          <t>Valencia</t>
        </is>
      </c>
      <c r="E129" t="inlineStr">
        <is>
          <t>2026-08-31</t>
        </is>
      </c>
      <c r="F129" t="inlineStr">
        <is>
          <t>2026-09-07</t>
        </is>
      </c>
      <c r="G129" t="inlineStr">
        <is>
          <t xml:space="preserve"> - No hay coche</t>
        </is>
      </c>
      <c r="H129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2026-08-08T08:36:22Z</dcterms:created>
  <dcterms:modified xsi:type="dcterms:W3CDTF">2026-08-08T08:36:22Z</dcterms:modified>
</cp:coreProperties>
</file>