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 - Family Finca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Sunrise Suite</t>
        </is>
      </c>
      <c r="H21">
        <f>HYPERLINK("https://booking.roadsurfer.com/es/rally/pick?pickup_date=2026-05-11&amp;return_date=2026-05-18&amp;currency=EUR&amp;startStation=47&amp;endStation=4",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2026-05-22</t>
        </is>
      </c>
      <c r="F23" t="inlineStr">
        <is>
          <t>2026-05-29</t>
        </is>
      </c>
      <c r="G23" t="inlineStr">
        <is>
          <t xml:space="preserve"> - Couple Cottage</t>
        </is>
      </c>
      <c r="H23">
        <f>HYPERLINK("https://booking.roadsurfer.com/es/rally/pick?pickup_date=2026-05-22&amp;return_date=2026-05-29&amp;currency=EUR&amp;startStation=47&amp;endStation=4",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2026-05-26</t>
        </is>
      </c>
      <c r="F24" t="inlineStr">
        <is>
          <t>2026-06-02</t>
        </is>
      </c>
      <c r="G24" t="inlineStr">
        <is>
          <t xml:space="preserve"> - Camper Castle</t>
        </is>
      </c>
      <c r="H24">
        <f>HYPERLINK("https://booking.roadsurfer.com/es/rally/pick?pickup_date=2026-05-26&amp;return_date=2026-06-02&amp;currency=EUR&amp;startStation=47&amp;endStation=22",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Couple Cottage</t>
        </is>
      </c>
      <c r="H25">
        <f>HYPERLINK("https://booking.roadsurfer.com/es/rally/pick?pickup_date=2026-05-13&amp;return_date=2026-05-20&amp;currency=EUR&amp;startStation=47&amp;endStation=22",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Camper Castle</t>
        </is>
      </c>
      <c r="H26">
        <f>HYPERLINK("https://booking.roadsurfer.com/es/rally/pick?pickup_date=2026-05-06&amp;return_date=2026-05-13&amp;currency=EUR&amp;startStation=47&amp;endStation=22",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2026-05-16</t>
        </is>
      </c>
      <c r="F27" t="inlineStr">
        <is>
          <t>2026-05-23</t>
        </is>
      </c>
      <c r="G27" t="inlineStr">
        <is>
          <t xml:space="preserve"> - No hay coche</t>
        </is>
      </c>
      <c r="H27">
        <f>HYPERLINK("https://booking.roadsurfer.com/es/rally/pick?pickup_date=2026-05-16&amp;return_date=2026-05-23&amp;currency=EUR&amp;startStation=47&amp;endStation=22",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Sunrise Suite</t>
        </is>
      </c>
      <c r="H28">
        <f>HYPERLINK("https://booking.roadsurfer.com/es/rally/pick?pickup_date=2026-05-04&amp;return_date=2026-05-11&amp;currency=EUR&amp;startStation=47&amp;endStation=56",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2026-04-20</t>
        </is>
      </c>
      <c r="F29" t="inlineStr">
        <is>
          <t>2026-04-27</t>
        </is>
      </c>
      <c r="G29" t="inlineStr">
        <is>
          <t xml:space="preserve"> - Camper Cabin Deluxe</t>
        </is>
      </c>
      <c r="H29">
        <f>HYPERLINK("https://booking.roadsurfer.com/es/rally/pick?pickup_date=2026-04-20&amp;return_date=2026-04-27&amp;currency=EUR&amp;startStation=108&amp;endStation=12",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2026-05-19</t>
        </is>
      </c>
      <c r="F30" t="inlineStr">
        <is>
          <t>2026-05-26</t>
        </is>
      </c>
      <c r="G30" t="inlineStr">
        <is>
          <t xml:space="preserve"> - Cozy Cottage</t>
        </is>
      </c>
      <c r="H30">
        <f>HYPERLINK("https://booking.roadsurfer.com/es/rally/pick?pickup_date=2026-05-19&amp;return_date=2026-05-26&amp;currency=EUR&amp;startStation=17&amp;endStation=22",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2026-05-11</t>
        </is>
      </c>
      <c r="F31" t="inlineStr">
        <is>
          <t>2026-05-18</t>
        </is>
      </c>
      <c r="G31" t="inlineStr">
        <is>
          <t xml:space="preserve"> - Camper Castle</t>
        </is>
      </c>
      <c r="H31">
        <f>HYPERLINK("https://booking.roadsurfer.com/es/rally/pick?pickup_date=2026-05-11&amp;return_date=2026-05-18&amp;currency=EUR&amp;startStation=17&amp;endStation=22",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No hay coche</t>
        </is>
      </c>
      <c r="H32">
        <f>HYPERLINK("https://booking.roadsurfer.com/es/rally/pick?pickup_date=2026-05-12&amp;return_date=2026-05-19&amp;currency=EUR&amp;startStation=17&amp;endStation=22",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Camper Cabin</t>
        </is>
      </c>
      <c r="H33">
        <f>HYPERLINK("https://booking.roadsurfer.com/es/rally/pick?pickup_date=2026-05-13&amp;return_date=2026-05-20&amp;currency=EUR&amp;startStation=17&amp;endStation=22",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2026-04-13</t>
        </is>
      </c>
      <c r="F34" t="inlineStr">
        <is>
          <t>2026-04-20</t>
        </is>
      </c>
      <c r="G34" t="inlineStr">
        <is>
          <t xml:space="preserve"> - Family Finca</t>
        </is>
      </c>
      <c r="H34">
        <f>HYPERLINK("https://booking.roadsurfer.com/es/rally/pick?pickup_date=2026-04-13&amp;return_date=2026-04-20&amp;currency=EUR&amp;startStation=17&amp;endStation=22",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Road House</t>
        </is>
      </c>
      <c r="H35">
        <f>HYPERLINK("https://booking.roadsurfer.com/es/rally/pick?pickup_date=2026-04-21&amp;return_date=2026-04-28&amp;currency=EUR&amp;startStation=17&amp;endStation=22",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Road House</t>
        </is>
      </c>
      <c r="H36">
        <f>HYPERLINK("https://booking.roadsurfer.com/es/rally/pick?pickup_date=2026-05-06&amp;return_date=2026-05-13&amp;currency=EUR&amp;startStation=17&amp;endStation=10",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2026-05-07</t>
        </is>
      </c>
      <c r="F37" t="inlineStr">
        <is>
          <t>2026-05-14</t>
        </is>
      </c>
      <c r="G37" t="inlineStr">
        <is>
          <t xml:space="preserve"> - No hay coche</t>
        </is>
      </c>
      <c r="H37">
        <f>HYPERLINK("https://booking.roadsurfer.com/es/rally/pick?pickup_date=2026-05-07&amp;return_date=2026-05-14&amp;currency=EUR&amp;startStation=17&amp;endStation=10",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2026-05-13</t>
        </is>
      </c>
      <c r="F38" t="inlineStr">
        <is>
          <t>2026-05-20</t>
        </is>
      </c>
      <c r="G38" t="inlineStr">
        <is>
          <t xml:space="preserve"> - Couple Cottage</t>
        </is>
      </c>
      <c r="H38">
        <f>HYPERLINK("https://booking.roadsurfer.com/es/rally/pick?pickup_date=2026-05-13&amp;return_date=2026-05-20&amp;currency=EUR&amp;startStation=17&amp;endStation=10",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Lindau-Wangen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Road House</t>
        </is>
      </c>
      <c r="H39">
        <f>HYPERLINK("https://booking.roadsurfer.com/es/rally/pick?pickup_date=2026-05-15&amp;return_date=2026-05-22&amp;currency=EUR&amp;startStation=17&amp;endStation=117",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Camper Castle</t>
        </is>
      </c>
      <c r="H40">
        <f>HYPERLINK("https://booking.roadsurfer.com/es/rally/pick?pickup_date=2026-05-06&amp;return_date=2026-05-13&amp;currency=EUR&amp;startStation=17&amp;endStation=5",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2026-05-08</t>
        </is>
      </c>
      <c r="F41" t="inlineStr">
        <is>
          <t>2026-05-15</t>
        </is>
      </c>
      <c r="G41" t="inlineStr">
        <is>
          <t xml:space="preserve"> - Family Finca</t>
        </is>
      </c>
      <c r="H41">
        <f>HYPERLINK("https://booking.roadsurfer.com/es/rally/pick?pickup_date=2026-05-08&amp;return_date=2026-05-15&amp;currency=EUR&amp;startStation=17&amp;endStation=5",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No hay coche</t>
        </is>
      </c>
      <c r="H42">
        <f>HYPERLINK("https://booking.roadsurfer.com/es/rally/pick?pickup_date=2026-05-04&amp;return_date=2026-05-11&amp;currency=EUR&amp;startStation=17&amp;endStation=5",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Family Finca</t>
        </is>
      </c>
      <c r="H43">
        <f>HYPERLINK("https://booking.roadsurfer.com/es/rally/pick?pickup_date=2026-05-06&amp;return_date=2026-05-13&amp;currency=EUR&amp;startStation=17&amp;endStation=115",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2026-05-22</t>
        </is>
      </c>
      <c r="F44" t="inlineStr">
        <is>
          <t>2026-05-29</t>
        </is>
      </c>
      <c r="G44" t="inlineStr">
        <is>
          <t xml:space="preserve"> - Couple Cottage</t>
        </is>
      </c>
      <c r="H44">
        <f>HYPERLINK("https://booking.roadsurfer.com/es/rally/pick?pickup_date=2026-05-22&amp;return_date=2026-05-29&amp;currency=EUR&amp;startStation=17&amp;endStation=115",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2026-04-08</t>
        </is>
      </c>
      <c r="F45" t="inlineStr">
        <is>
          <t>2026-04-15</t>
        </is>
      </c>
      <c r="G45" t="inlineStr">
        <is>
          <t xml:space="preserve"> - Family Finca</t>
        </is>
      </c>
      <c r="H45">
        <f>HYPERLINK("https://booking.roadsurfer.com/es/rally/pick?pickup_date=2026-04-08&amp;return_date=2026-04-15&amp;currency=EUR&amp;startStation=17&amp;endStation=9",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HYPERLINK("https://booking.roadsurfer.com/es/rally/pick?pickup_date=2026-05-11&amp;return_date=2026-05-18&amp;currency=EUR&amp;startStation=17&amp;endStation=1",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Couple Cottage</t>
        </is>
      </c>
      <c r="H47">
        <f>HYPERLINK("https://booking.roadsurfer.com/es/rally/pick?pickup_date=2026-05-12&amp;return_date=2026-05-19&amp;currency=EUR&amp;startStation=17&amp;endStation=1",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Karlsruhe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Couple Cottage</t>
        </is>
      </c>
      <c r="H48">
        <f>HYPERLINK("https://booking.roadsurfer.com/es/rally/pick?pickup_date=2026-05-04&amp;return_date=2026-05-11&amp;currency=EUR&amp;startStation=17&amp;endStation=110",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COUPLE COTTAGE</t>
        </is>
      </c>
      <c r="H49">
        <f>HYPERLINK("https://booking.roadsurfer.com/es/rally/pick?pickup_date=2026-05-06&amp;return_date=2026-05-13&amp;currency=EUR&amp;startStation=94&amp;endStation=115",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2026-05-15</t>
        </is>
      </c>
      <c r="F50" t="inlineStr">
        <is>
          <t>2026-05-22</t>
        </is>
      </c>
      <c r="G50" t="inlineStr">
        <is>
          <t xml:space="preserve"> - Road House</t>
        </is>
      </c>
      <c r="H50">
        <f>HYPERLINK("https://booking.roadsurfer.com/es/rally/pick?pickup_date=2026-05-15&amp;return_date=2026-05-22&amp;currency=EUR&amp;startStation=94&amp;endStation=115",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2026-04-11</t>
        </is>
      </c>
      <c r="F51" t="inlineStr">
        <is>
          <t>2026-04-18</t>
        </is>
      </c>
      <c r="G51" t="inlineStr">
        <is>
          <t xml:space="preserve"> - Camper Castle</t>
        </is>
      </c>
      <c r="H51">
        <f>HYPERLINK("https://booking.roadsurfer.com/es/rally/pick?pickup_date=2026-04-11&amp;return_date=2026-04-18&amp;currency=EUR&amp;startStation=94&amp;endStation=115",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2026-05-20</t>
        </is>
      </c>
      <c r="F52" t="inlineStr">
        <is>
          <t>2026-05-27</t>
        </is>
      </c>
      <c r="G52" t="inlineStr">
        <is>
          <t xml:space="preserve"> - Surfer Suite</t>
        </is>
      </c>
      <c r="H52">
        <f>HYPERLINK("https://booking.roadsurfer.com/es/rally/pick?pickup_date=2026-05-20&amp;return_date=2026-05-27&amp;currency=EUR&amp;startStation=94&amp;endStation=115",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2026-05-21</t>
        </is>
      </c>
      <c r="F53" t="inlineStr">
        <is>
          <t>2026-05-28</t>
        </is>
      </c>
      <c r="G53" t="inlineStr">
        <is>
          <t xml:space="preserve"> - Road House</t>
        </is>
      </c>
      <c r="H53">
        <f>HYPERLINK("https://booking.roadsurfer.com/es/rally/pick?pickup_date=2026-05-21&amp;return_date=2026-05-28&amp;currency=EUR&amp;startStation=94&amp;endStation=115",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2026-04-08</t>
        </is>
      </c>
      <c r="F54" t="inlineStr">
        <is>
          <t>2026-04-15</t>
        </is>
      </c>
      <c r="G54" t="inlineStr">
        <is>
          <t xml:space="preserve"> - Beach Hostel</t>
        </is>
      </c>
      <c r="H54">
        <f>HYPERLINK("https://booking.roadsurfer.com/es/rally/pick?pickup_date=2026-04-08&amp;return_date=2026-04-15&amp;currency=EUR&amp;startStation=94&amp;endStation=90",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2026-05-14</t>
        </is>
      </c>
      <c r="F55" t="inlineStr">
        <is>
          <t>2026-05-21</t>
        </is>
      </c>
      <c r="G55" t="inlineStr">
        <is>
          <t xml:space="preserve"> - Couple Cottage</t>
        </is>
      </c>
      <c r="H55">
        <f>HYPERLINK("https://booking.roadsurfer.com/es/rally/pick?pickup_date=2026-05-14&amp;return_date=2026-05-21&amp;currency=EUR&amp;startStation=94&amp;endStation=11",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2026-05-18</t>
        </is>
      </c>
      <c r="F56" t="inlineStr">
        <is>
          <t>2026-05-25</t>
        </is>
      </c>
      <c r="G56" t="inlineStr">
        <is>
          <t xml:space="preserve"> - No hay coche</t>
        </is>
      </c>
      <c r="H56">
        <f>HYPERLINK("https://booking.roadsurfer.com/es/rally/pick?pickup_date=2026-05-18&amp;return_date=2026-05-25&amp;currency=EUR&amp;startStation=94&amp;endStation=11",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2026-05-07</t>
        </is>
      </c>
      <c r="F57" t="inlineStr">
        <is>
          <t>2026-05-14</t>
        </is>
      </c>
      <c r="G57" t="inlineStr">
        <is>
          <t xml:space="preserve"> - No hay coche</t>
        </is>
      </c>
      <c r="H57">
        <f>HYPERLINK("https://booking.roadsurfer.com/es/rally/pick?pickup_date=2026-05-07&amp;return_date=2026-05-14&amp;currency=EUR&amp;startStation=94&amp;endStation=1",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2026-05-14</t>
        </is>
      </c>
      <c r="F58" t="inlineStr">
        <is>
          <t>2026-05-21</t>
        </is>
      </c>
      <c r="G58" t="inlineStr">
        <is>
          <t xml:space="preserve"> - Road House</t>
        </is>
      </c>
      <c r="H58">
        <f>HYPERLINK("https://booking.roadsurfer.com/es/rally/pick?pickup_date=2026-05-14&amp;return_date=2026-05-21&amp;currency=EUR&amp;startStation=94&amp;endStation=22",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Road House</t>
        </is>
      </c>
      <c r="H59">
        <f>HYPERLINK("https://booking.roadsurfer.com/es/rally/pick?pickup_date=2026-05-12&amp;return_date=2026-05-19&amp;currency=EUR&amp;startStation=94&amp;endStation=22",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Couple Cottage</t>
        </is>
      </c>
      <c r="H60">
        <f>HYPERLINK("https://booking.roadsurfer.com/es/rally/pick?pickup_date=2026-05-06&amp;return_date=2026-05-13&amp;currency=EUR&amp;startStation=94&amp;endStation=22",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2026-04-09</t>
        </is>
      </c>
      <c r="F61" t="inlineStr">
        <is>
          <t>2026-04-16</t>
        </is>
      </c>
      <c r="G61" t="inlineStr">
        <is>
          <t xml:space="preserve"> - Road House</t>
        </is>
      </c>
      <c r="H61">
        <f>HYPERLINK("https://booking.roadsurfer.com/es/rally/pick?pickup_date=2026-04-09&amp;return_date=2026-04-16&amp;currency=EUR&amp;startStation=94&amp;endStation=9",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Constanza (Aach)</t>
        </is>
      </c>
      <c r="E62" t="inlineStr">
        <is>
          <t>2026-04-21</t>
        </is>
      </c>
      <c r="F62" t="inlineStr">
        <is>
          <t>2026-04-28</t>
        </is>
      </c>
      <c r="G62" t="inlineStr">
        <is>
          <t xml:space="preserve"> - Camper Castle</t>
        </is>
      </c>
      <c r="H62">
        <f>HYPERLINK("https://booking.roadsurfer.com/es/rally/pick?pickup_date=2026-04-21&amp;return_date=2026-04-28&amp;currency=EUR&amp;startStation=94&amp;endStation=10",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Kiel</t>
        </is>
      </c>
      <c r="E63" t="inlineStr">
        <is>
          <t>2026-05-04</t>
        </is>
      </c>
      <c r="F63" t="inlineStr">
        <is>
          <t>2026-05-11</t>
        </is>
      </c>
      <c r="G63" t="inlineStr">
        <is>
          <t xml:space="preserve"> - Camper Castle</t>
        </is>
      </c>
      <c r="H63">
        <f>HYPERLINK("https://booking.roadsurfer.com/es/rally/pick?pickup_date=2026-05-04&amp;return_date=2026-05-11&amp;currency=EUR&amp;startStation=94&amp;endStation=111",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Couple Cottage</t>
        </is>
      </c>
      <c r="H64">
        <f>HYPERLINK("https://booking.roadsurfer.com/es/rally/pick?pickup_date=2026-05-06&amp;return_date=2026-05-13&amp;currency=EUR&amp;startStation=94&amp;endStation=8",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Couple Cottage</t>
        </is>
      </c>
      <c r="H65">
        <f>HYPERLINK("https://booking.roadsurfer.com/es/rally/pick?pickup_date=2026-05-11&amp;return_date=2026-05-18&amp;currency=EUR&amp;startStation=94&amp;endStation=8",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Cozy Cottage</t>
        </is>
      </c>
      <c r="H66">
        <f>HYPERLINK("https://booking.roadsurfer.com/es/rally/pick?pickup_date=2026-04-16&amp;return_date=2026-04-23&amp;currency=EUR&amp;startStation=94&amp;endStation=91",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Surfer Suite</t>
        </is>
      </c>
      <c r="H67">
        <f>HYPERLINK("https://booking.roadsurfer.com/es/rally/pick?pickup_date=2026-04-13&amp;return_date=2026-04-20&amp;currency=EUR&amp;startStation=6&amp;endStation=33",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2026-04-10</t>
        </is>
      </c>
      <c r="F68" t="inlineStr">
        <is>
          <t>2026-04-17</t>
        </is>
      </c>
      <c r="G68" t="inlineStr">
        <is>
          <t xml:space="preserve"> - Surfer Suite</t>
        </is>
      </c>
      <c r="H68">
        <f>HYPERLINK("https://booking.roadsurfer.com/es/rally/pick?pickup_date=2026-04-10&amp;return_date=2026-04-17&amp;currency=EUR&amp;startStation=6&amp;endStation=87",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Surfer Suite</t>
        </is>
      </c>
      <c r="H69">
        <f>HYPERLINK("https://booking.roadsurfer.com/es/rally/pick?pickup_date=2026-05-11&amp;return_date=2026-05-18&amp;currency=EUR&amp;startStation=6&amp;endStation=30",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Innsbruck-Wiesing</t>
        </is>
      </c>
      <c r="E70" t="inlineStr">
        <is>
          <t>2026-04-27</t>
        </is>
      </c>
      <c r="F70" t="inlineStr">
        <is>
          <t>2026-05-04</t>
        </is>
      </c>
      <c r="G70" t="inlineStr">
        <is>
          <t xml:space="preserve"> - Camper Cabin</t>
        </is>
      </c>
      <c r="H70">
        <f>HYPERLINK("https://booking.roadsurfer.com/es/rally/pick?pickup_date=2026-04-27&amp;return_date=2026-05-04&amp;currency=EUR&amp;startStation=6&amp;endStation=46",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2026-04-30</t>
        </is>
      </c>
      <c r="F71" t="inlineStr">
        <is>
          <t>2026-05-07</t>
        </is>
      </c>
      <c r="G71" t="inlineStr">
        <is>
          <t xml:space="preserve"> - Camper Cabin</t>
        </is>
      </c>
      <c r="H71">
        <f>HYPERLINK("https://booking.roadsurfer.com/es/rally/pick?pickup_date=2026-04-30&amp;return_date=2026-05-07&amp;currency=EUR&amp;startStation=6&amp;endStation=54",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HYPERLINK("https://booking.roadsurfer.com/es/rally/pick?pickup_date=2026-05-11&amp;return_date=2026-05-18&amp;currency=EUR&amp;startStation=6&amp;endStation=54",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2026-04-30</t>
        </is>
      </c>
      <c r="F73" t="inlineStr">
        <is>
          <t>2026-05-07</t>
        </is>
      </c>
      <c r="G73" t="inlineStr">
        <is>
          <t xml:space="preserve"> - Camper Cabin</t>
        </is>
      </c>
      <c r="H73">
        <f>HYPERLINK("https://booking.roadsurfer.com/es/rally/pick?pickup_date=2026-04-30&amp;return_date=2026-05-07&amp;currency=EUR&amp;startStation=6&amp;endStation=114",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2026-04-27</t>
        </is>
      </c>
      <c r="F74" t="inlineStr">
        <is>
          <t>2026-05-04</t>
        </is>
      </c>
      <c r="G74" t="inlineStr">
        <is>
          <t xml:space="preserve"> - Camper Cabin</t>
        </is>
      </c>
      <c r="H74">
        <f>HYPERLINK("https://booking.roadsurfer.com/es/rally/pick?pickup_date=2026-04-27&amp;return_date=2026-05-04&amp;currency=EUR&amp;startStation=6&amp;endStation=7",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Cozy Cottage</t>
        </is>
      </c>
      <c r="H75">
        <f>HYPERLINK("https://booking.roadsurfer.com/es/rally/pick?pickup_date=2026-05-15&amp;return_date=2026-05-22&amp;currency=EUR&amp;startStation=6&amp;endStation=60",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2026-04-27</t>
        </is>
      </c>
      <c r="F76" t="inlineStr">
        <is>
          <t>2026-05-04</t>
        </is>
      </c>
      <c r="G76" t="inlineStr">
        <is>
          <t xml:space="preserve"> - Surfer Suite</t>
        </is>
      </c>
      <c r="H76">
        <f>HYPERLINK("https://booking.roadsurfer.com/es/rally/pick?pickup_date=2026-04-27&amp;return_date=2026-05-04&amp;currency=EUR&amp;startStation=51&amp;endStation=130", "Clic para verlo en la web de RoadSurfer")</f>
        <v/>
      </c>
    </row>
    <row r="77">
      <c r="A77" t="inlineStr">
        <is>
          <t>Alemania</t>
        </is>
      </c>
      <c r="B77" t="inlineStr">
        <is>
          <t>Berlín-Schönefeld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2026-04-08</t>
        </is>
      </c>
      <c r="F77" t="inlineStr">
        <is>
          <t>2026-04-15</t>
        </is>
      </c>
      <c r="G77" t="inlineStr">
        <is>
          <t xml:space="preserve"> - Road House</t>
        </is>
      </c>
      <c r="H77">
        <f>HYPERLINK("https://booking.roadsurfer.com/es/rally/pick?pickup_date=2026-04-08&amp;return_date=2026-04-15&amp;currency=EUR&amp;startStation=51&amp;endStation=59",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Sunrise Suite</t>
        </is>
      </c>
      <c r="H78">
        <f>HYPERLINK("https://booking.roadsurfer.com/es/rally/pick?pickup_date=2026-04-15&amp;return_date=2026-04-22&amp;currency=EUR&amp;startStation=51&amp;endStation=59",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Alemania</t>
        </is>
      </c>
      <c r="D79" t="inlineStr">
        <is>
          <t>Bremen</t>
        </is>
      </c>
      <c r="E79" t="inlineStr">
        <is>
          <t>2026-04-20</t>
        </is>
      </c>
      <c r="F79" t="inlineStr">
        <is>
          <t>2026-04-27</t>
        </is>
      </c>
      <c r="G79" t="inlineStr">
        <is>
          <t xml:space="preserve"> - Road House</t>
        </is>
      </c>
      <c r="H79">
        <f>HYPERLINK("https://booking.roadsurfer.com/es/rally/pick?pickup_date=2026-04-20&amp;return_date=2026-04-27&amp;currency=EUR&amp;startStation=51&amp;endStation=55", "Clic para verlo en la web de RoadSurfer")</f>
        <v/>
      </c>
    </row>
    <row r="80">
      <c r="A80" t="inlineStr">
        <is>
          <t>Alemania</t>
        </is>
      </c>
      <c r="B80" t="inlineStr">
        <is>
          <t>Berlín-Schönefeld</t>
        </is>
      </c>
      <c r="C80" t="inlineStr">
        <is>
          <t>Austria</t>
        </is>
      </c>
      <c r="D80" t="inlineStr">
        <is>
          <t>Graz</t>
        </is>
      </c>
      <c r="E80" t="inlineStr">
        <is>
          <t>2026-04-27</t>
        </is>
      </c>
      <c r="F80" t="inlineStr">
        <is>
          <t>2026-05-04</t>
        </is>
      </c>
      <c r="G80" t="inlineStr">
        <is>
          <t xml:space="preserve"> - Camper Cabin Deluxe</t>
        </is>
      </c>
      <c r="H80">
        <f>HYPERLINK("https://booking.roadsurfer.com/es/rally/pick?pickup_date=2026-04-27&amp;return_date=2026-05-04&amp;currency=EUR&amp;startStation=51&amp;endStation=37",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Alemania</t>
        </is>
      </c>
      <c r="D81" t="inlineStr">
        <is>
          <t>Bochum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Couple Cottage</t>
        </is>
      </c>
      <c r="H81">
        <f>HYPERLINK("https://booking.roadsurfer.com/es/rally/pick?pickup_date=2026-04-14&amp;return_date=2026-04-21&amp;currency=EUR&amp;startStation=51&amp;endStation=24",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Colonia-Bonn</t>
        </is>
      </c>
      <c r="E82" t="inlineStr">
        <is>
          <t>2026-04-11</t>
        </is>
      </c>
      <c r="F82" t="inlineStr">
        <is>
          <t>2026-04-18</t>
        </is>
      </c>
      <c r="G82" t="inlineStr">
        <is>
          <t xml:space="preserve"> - Couple Cottage</t>
        </is>
      </c>
      <c r="H82">
        <f>HYPERLINK("https://booking.roadsurfer.com/es/rally/pick?pickup_date=2026-04-11&amp;return_date=2026-04-18&amp;currency=EUR&amp;startStation=51&amp;endStation=52",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Cozy Cottage</t>
        </is>
      </c>
      <c r="H83">
        <f>HYPERLINK("https://booking.roadsurfer.com/es/rally/pick?pickup_date=2026-04-13&amp;return_date=2026-04-20&amp;currency=EUR&amp;startStation=51&amp;endStation=87",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Bélgica</t>
        </is>
      </c>
      <c r="D84" t="inlineStr">
        <is>
          <t>Amberes</t>
        </is>
      </c>
      <c r="E84" t="inlineStr">
        <is>
          <t>2026-04-07</t>
        </is>
      </c>
      <c r="F84" t="inlineStr">
        <is>
          <t>2026-04-14</t>
        </is>
      </c>
      <c r="G84" t="inlineStr">
        <is>
          <t xml:space="preserve"> - Surfer Suite</t>
        </is>
      </c>
      <c r="H84">
        <f>HYPERLINK("https://booking.roadsurfer.com/es/rally/pick?pickup_date=2026-04-07&amp;return_date=2026-04-14&amp;currency=EUR&amp;startStation=91&amp;endStation=47",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2026-04-08</t>
        </is>
      </c>
      <c r="F85" t="inlineStr">
        <is>
          <t>2026-04-15</t>
        </is>
      </c>
      <c r="G85" t="inlineStr">
        <is>
          <t xml:space="preserve"> - Surfer Suite</t>
        </is>
      </c>
      <c r="H85">
        <f>HYPERLINK("https://booking.roadsurfer.com/es/rally/pick?pickup_date=2026-04-08&amp;return_date=2026-04-15&amp;currency=EUR&amp;startStation=91&amp;endStation=47",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2026-04-11</t>
        </is>
      </c>
      <c r="F86" t="inlineStr">
        <is>
          <t>2026-04-18</t>
        </is>
      </c>
      <c r="G86" t="inlineStr">
        <is>
          <t xml:space="preserve"> - Camper Castle</t>
        </is>
      </c>
      <c r="H86">
        <f>HYPERLINK("https://booking.roadsurfer.com/es/rally/pick?pickup_date=2026-04-11&amp;return_date=2026-04-18&amp;currency=EUR&amp;startStation=91&amp;endStation=47",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Road House</t>
        </is>
      </c>
      <c r="H87">
        <f>HYPERLINK("https://booking.roadsurfer.com/es/rally/pick?pickup_date=2026-04-09&amp;return_date=2026-04-16&amp;currency=EUR&amp;startStation=91&amp;endStation=12",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2026-05-16</t>
        </is>
      </c>
      <c r="F88" t="inlineStr">
        <is>
          <t>2026-05-23</t>
        </is>
      </c>
      <c r="G88" t="inlineStr">
        <is>
          <t xml:space="preserve"> - Surfer Suite</t>
        </is>
      </c>
      <c r="H88">
        <f>HYPERLINK("https://booking.roadsurfer.com/es/rally/pick?pickup_date=2026-05-16&amp;return_date=2026-05-23&amp;currency=EUR&amp;startStation=91&amp;endStation=12",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2026-04-15</t>
        </is>
      </c>
      <c r="F89" t="inlineStr">
        <is>
          <t>2026-04-22</t>
        </is>
      </c>
      <c r="G89" t="inlineStr">
        <is>
          <t xml:space="preserve"> - Road House</t>
        </is>
      </c>
      <c r="H89">
        <f>HYPERLINK("https://booking.roadsurfer.com/es/rally/pick?pickup_date=2026-04-15&amp;return_date=2026-04-22&amp;currency=EUR&amp;startStation=91&amp;endStation=12",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Surfer Suite - Beach Hostel</t>
        </is>
      </c>
      <c r="H90">
        <f>HYPERLINK("https://booking.roadsurfer.com/es/rally/pick?pickup_date=2026-05-06&amp;return_date=2026-05-13&amp;currency=EUR&amp;startStation=91&amp;endStation=77",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2026-05-07</t>
        </is>
      </c>
      <c r="F91" t="inlineStr">
        <is>
          <t>2026-05-14</t>
        </is>
      </c>
      <c r="G91" t="inlineStr">
        <is>
          <t xml:space="preserve"> - No hay coche</t>
        </is>
      </c>
      <c r="H91">
        <f>HYPERLINK("https://booking.roadsurfer.com/es/rally/pick?pickup_date=2026-05-07&amp;return_date=2026-05-14&amp;currency=EUR&amp;startStation=91&amp;endStation=77",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2026-04-29</t>
        </is>
      </c>
      <c r="F92" t="inlineStr">
        <is>
          <t>2026-05-06</t>
        </is>
      </c>
      <c r="G92" t="inlineStr">
        <is>
          <t xml:space="preserve"> - Family Finca</t>
        </is>
      </c>
      <c r="H92">
        <f>HYPERLINK("https://booking.roadsurfer.com/es/rally/pick?pickup_date=2026-04-29&amp;return_date=2026-05-06&amp;currency=EUR&amp;startStation=91&amp;endStation=77",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2026-05-12</t>
        </is>
      </c>
      <c r="F93" t="inlineStr">
        <is>
          <t>2026-05-19</t>
        </is>
      </c>
      <c r="G93" t="inlineStr">
        <is>
          <t xml:space="preserve"> - Surfer Suite</t>
        </is>
      </c>
      <c r="H93">
        <f>HYPERLINK("https://booking.roadsurfer.com/es/rally/pick?pickup_date=2026-05-12&amp;return_date=2026-05-19&amp;currency=EUR&amp;startStation=91&amp;endStation=60",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2026-04-09</t>
        </is>
      </c>
      <c r="F94" t="inlineStr">
        <is>
          <t>2026-04-16</t>
        </is>
      </c>
      <c r="G94" t="inlineStr">
        <is>
          <t xml:space="preserve"> - Surfer Suite - Road House</t>
        </is>
      </c>
      <c r="H94">
        <f>HYPERLINK("https://booking.roadsurfer.com/es/rally/pick?pickup_date=2026-04-09&amp;return_date=2026-04-16&amp;currency=EUR&amp;startStation=91&amp;endStation=48",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2026-04-07</t>
        </is>
      </c>
      <c r="F95" t="inlineStr">
        <is>
          <t>2026-04-14</t>
        </is>
      </c>
      <c r="G95" t="inlineStr">
        <is>
          <t xml:space="preserve"> - Surfer Suite</t>
        </is>
      </c>
      <c r="H95">
        <f>HYPERLINK("https://booking.roadsurfer.com/es/rally/pick?pickup_date=2026-04-07&amp;return_date=2026-04-14&amp;currency=EUR&amp;startStation=91&amp;endStation=40",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Beach Hostel</t>
        </is>
      </c>
      <c r="H96">
        <f>HYPERLINK("https://booking.roadsurfer.com/es/rally/pick?pickup_date=2026-05-06&amp;return_date=2026-05-13&amp;currency=EUR&amp;startStation=91&amp;endStation=31",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Países Bajos</t>
        </is>
      </c>
      <c r="D97" t="inlineStr">
        <is>
          <t>Róterdam</t>
        </is>
      </c>
      <c r="E97" t="inlineStr">
        <is>
          <t>2026-04-10</t>
        </is>
      </c>
      <c r="F97" t="inlineStr">
        <is>
          <t>2026-04-17</t>
        </is>
      </c>
      <c r="G97" t="inlineStr">
        <is>
          <t xml:space="preserve"> - No hay coche</t>
        </is>
      </c>
      <c r="H97">
        <f>HYPERLINK("https://booking.roadsurfer.com/es/rally/pick?pickup_date=2026-04-10&amp;return_date=2026-04-17&amp;currency=EUR&amp;startStation=91&amp;endStation=33",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Italia</t>
        </is>
      </c>
      <c r="D98" t="inlineStr">
        <is>
          <t>Milán</t>
        </is>
      </c>
      <c r="E98" t="inlineStr">
        <is>
          <t>2026-04-15</t>
        </is>
      </c>
      <c r="F98" t="inlineStr">
        <is>
          <t>2026-04-22</t>
        </is>
      </c>
      <c r="G98" t="inlineStr">
        <is>
          <t xml:space="preserve"> - Family Finca</t>
        </is>
      </c>
      <c r="H98">
        <f>HYPERLINK("https://booking.roadsurfer.com/es/rally/pick?pickup_date=2026-04-15&amp;return_date=2026-04-22&amp;currency=EUR&amp;startStation=91&amp;endStation=34",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Cozy Cottage</t>
        </is>
      </c>
      <c r="H99">
        <f>HYPERLINK("https://booking.roadsurfer.com/es/rally/pick?pickup_date=2026-05-04&amp;return_date=2026-05-11&amp;currency=EUR&amp;startStation=91&amp;endStation=34",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Couple Cottage</t>
        </is>
      </c>
      <c r="H100">
        <f>HYPERLINK("https://booking.roadsurfer.com/es/rally/pick?pickup_date=2026-04-13&amp;return_date=2026-04-20&amp;currency=EUR&amp;startStation=91&amp;endStation=32",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Sunrise Suite</t>
        </is>
      </c>
      <c r="H101">
        <f>HYPERLINK("https://booking.roadsurfer.com/es/rally/pick?pickup_date=2026-04-07&amp;return_date=2026-04-14&amp;currency=EUR&amp;startStation=91&amp;endStation=42",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Fráncfort</t>
        </is>
      </c>
      <c r="E102" t="inlineStr">
        <is>
          <t>2026-04-17</t>
        </is>
      </c>
      <c r="F102" t="inlineStr">
        <is>
          <t>2026-04-24</t>
        </is>
      </c>
      <c r="G102" t="inlineStr">
        <is>
          <t xml:space="preserve"> - Surfer Suite</t>
        </is>
      </c>
      <c r="H102">
        <f>HYPERLINK("https://booking.roadsurfer.com/es/rally/pick?pickup_date=2026-04-17&amp;return_date=2026-04-24&amp;currency=EUR&amp;startStation=40&amp;endStation=2",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Fráncfort</t>
        </is>
      </c>
      <c r="E103" t="inlineStr">
        <is>
          <t>2026-04-08</t>
        </is>
      </c>
      <c r="F103" t="inlineStr">
        <is>
          <t>2026-04-15</t>
        </is>
      </c>
      <c r="G103" t="inlineStr">
        <is>
          <t xml:space="preserve"> - Surfer Suite</t>
        </is>
      </c>
      <c r="H103">
        <f>HYPERLINK("https://booking.roadsurfer.com/es/rally/pick?pickup_date=2026-04-08&amp;return_date=2026-04-15&amp;currency=EUR&amp;startStation=40&amp;endStation=2",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Maguncia</t>
        </is>
      </c>
      <c r="E104" t="inlineStr">
        <is>
          <t>2026-05-29</t>
        </is>
      </c>
      <c r="F104" t="inlineStr">
        <is>
          <t>2026-06-05</t>
        </is>
      </c>
      <c r="G104" t="inlineStr">
        <is>
          <t xml:space="preserve"> - Sunrise Suite</t>
        </is>
      </c>
      <c r="H104">
        <f>HYPERLINK("https://booking.roadsurfer.com/es/rally/pick?pickup_date=2026-05-29&amp;return_date=2026-06-05&amp;currency=EUR&amp;startStation=40&amp;endStation=54",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Maguncia</t>
        </is>
      </c>
      <c r="E105" t="inlineStr">
        <is>
          <t>2026-05-15</t>
        </is>
      </c>
      <c r="F105" t="inlineStr">
        <is>
          <t>2026-05-22</t>
        </is>
      </c>
      <c r="G105" t="inlineStr">
        <is>
          <t xml:space="preserve"> - Surfer Suite</t>
        </is>
      </c>
      <c r="H105">
        <f>HYPERLINK("https://booking.roadsurfer.com/es/rally/pick?pickup_date=2026-05-15&amp;return_date=2026-05-22&amp;currency=EUR&amp;startStation=40&amp;endStation=54",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 - Camper Castle</t>
        </is>
      </c>
      <c r="H106">
        <f>HYPERLINK("https://booking.roadsurfer.com/es/rally/pick?pickup_date=2026-05-11&amp;return_date=2026-05-18&amp;currency=EUR&amp;startStation=40&amp;endStation=4",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COUPLE COTTAGE</t>
        </is>
      </c>
      <c r="H107">
        <f>HYPERLINK("https://booking.roadsurfer.com/es/rally/pick?pickup_date=2026-05-08&amp;return_date=2026-05-15&amp;currency=EUR&amp;startStation=40&amp;endStation=4",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Colonia-Düsseldorf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Surfer Suite</t>
        </is>
      </c>
      <c r="H108">
        <f>HYPERLINK("https://booking.roadsurfer.com/es/rally/pick?pickup_date=2026-05-06&amp;return_date=2026-05-13&amp;currency=EUR&amp;startStation=40&amp;endStation=4",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Colonia-Düsseldorf</t>
        </is>
      </c>
      <c r="E109" t="inlineStr">
        <is>
          <t>2026-05-15</t>
        </is>
      </c>
      <c r="F109" t="inlineStr">
        <is>
          <t>2026-05-22</t>
        </is>
      </c>
      <c r="G109" t="inlineStr">
        <is>
          <t xml:space="preserve"> - Road House</t>
        </is>
      </c>
      <c r="H109">
        <f>HYPERLINK("https://booking.roadsurfer.com/es/rally/pick?pickup_date=2026-05-15&amp;return_date=2026-05-22&amp;currency=EUR&amp;startStation=40&amp;endStation=4",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Camper Cabin</t>
        </is>
      </c>
      <c r="H110">
        <f>HYPERLINK("https://booking.roadsurfer.com/es/rally/pick?pickup_date=2026-05-11&amp;return_date=2026-05-18&amp;currency=EUR&amp;startStation=40&amp;endStation=22",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Sunrise Suite</t>
        </is>
      </c>
      <c r="H111">
        <f>HYPERLINK("https://booking.roadsurfer.com/es/rally/pick?pickup_date=2026-05-06&amp;return_date=2026-05-13&amp;currency=EUR&amp;startStation=40&amp;endStation=22",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Beach Hostel</t>
        </is>
      </c>
      <c r="H112">
        <f>HYPERLINK("https://booking.roadsurfer.com/es/rally/pick?pickup_date=2026-05-15&amp;return_date=2026-05-22&amp;currency=EUR&amp;startStation=40&amp;endStation=22",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Couple Cottage</t>
        </is>
      </c>
      <c r="H113">
        <f>HYPERLINK("https://booking.roadsurfer.com/es/rally/pick?pickup_date=2026-05-19&amp;return_date=2026-05-26&amp;currency=EUR&amp;startStation=40&amp;endStation=22",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2026-04-22</t>
        </is>
      </c>
      <c r="F114" t="inlineStr">
        <is>
          <t>2026-04-29</t>
        </is>
      </c>
      <c r="G114" t="inlineStr">
        <is>
          <t xml:space="preserve"> - Sunrise Suite</t>
        </is>
      </c>
      <c r="H114">
        <f>HYPERLINK("https://booking.roadsurfer.com/es/rally/pick?pickup_date=2026-04-22&amp;return_date=2026-04-29&amp;currency=EUR&amp;startStation=40&amp;endStation=22",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Sunrise Suite</t>
        </is>
      </c>
      <c r="H115">
        <f>HYPERLINK("https://booking.roadsurfer.com/es/rally/pick?pickup_date=2026-04-20&amp;return_date=2026-04-27&amp;currency=EUR&amp;startStation=40&amp;endStation=22",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Couple Cottage</t>
        </is>
      </c>
      <c r="H116">
        <f>HYPERLINK("https://booking.roadsurfer.com/es/rally/pick?pickup_date=2026-04-15&amp;return_date=2026-04-22&amp;currency=EUR&amp;startStation=40&amp;endStation=22",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2026-04-13</t>
        </is>
      </c>
      <c r="F117" t="inlineStr">
        <is>
          <t>2026-04-20</t>
        </is>
      </c>
      <c r="G117" t="inlineStr">
        <is>
          <t xml:space="preserve"> - Couple Cottage</t>
        </is>
      </c>
      <c r="H117">
        <f>HYPERLINK("https://booking.roadsurfer.com/es/rally/pick?pickup_date=2026-04-13&amp;return_date=2026-04-20&amp;currency=EUR&amp;startStation=40&amp;endStation=22",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2026-04-14</t>
        </is>
      </c>
      <c r="F118" t="inlineStr">
        <is>
          <t>2026-04-21</t>
        </is>
      </c>
      <c r="G118" t="inlineStr">
        <is>
          <t xml:space="preserve"> - Couple Cottage</t>
        </is>
      </c>
      <c r="H118">
        <f>HYPERLINK("https://booking.roadsurfer.com/es/rally/pick?pickup_date=2026-04-14&amp;return_date=2026-04-21&amp;currency=EUR&amp;startStation=40&amp;endStation=22",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Kassel</t>
        </is>
      </c>
      <c r="E119" t="inlineStr">
        <is>
          <t>2026-05-02</t>
        </is>
      </c>
      <c r="F119" t="inlineStr">
        <is>
          <t>2026-05-09</t>
        </is>
      </c>
      <c r="G119" t="inlineStr">
        <is>
          <t xml:space="preserve"> - TRAVEL HOME</t>
        </is>
      </c>
      <c r="H119">
        <f>HYPERLINK("https://booking.roadsurfer.com/es/rally/pick?pickup_date=2026-05-02&amp;return_date=2026-05-09&amp;currency=EUR&amp;startStation=40&amp;endStation=92",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Bielefeld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Camper Cabin</t>
        </is>
      </c>
      <c r="H120">
        <f>HYPERLINK("https://booking.roadsurfer.com/es/rally/pick?pickup_date=2026-05-08&amp;return_date=2026-05-15&amp;currency=EUR&amp;startStation=40&amp;endStation=91",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Road House - Camper Castle</t>
        </is>
      </c>
      <c r="H121">
        <f>HYPERLINK("https://booking.roadsurfer.com/es/rally/pick?pickup_date=2026-05-13&amp;return_date=2026-05-20&amp;currency=EUR&amp;startStation=40&amp;endStation=91",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Camper Castle</t>
        </is>
      </c>
      <c r="H122">
        <f>HYPERLINK("https://booking.roadsurfer.com/es/rally/pick?pickup_date=2026-05-04&amp;return_date=2026-05-11&amp;currency=EUR&amp;startStation=40&amp;endStation=28",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Tréveris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Camper Cabin</t>
        </is>
      </c>
      <c r="H123">
        <f>HYPERLINK("https://booking.roadsurfer.com/es/rally/pick?pickup_date=2026-05-11&amp;return_date=2026-05-18&amp;currency=EUR&amp;startStation=40&amp;endStation=28",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2026-05-14</t>
        </is>
      </c>
      <c r="F124" t="inlineStr">
        <is>
          <t>2026-05-21</t>
        </is>
      </c>
      <c r="G124" t="inlineStr">
        <is>
          <t xml:space="preserve"> - Sunrise Suite</t>
        </is>
      </c>
      <c r="H124">
        <f>HYPERLINK("https://booking.roadsurfer.com/es/rally/pick?pickup_date=2026-05-14&amp;return_date=2026-05-21&amp;currency=EUR&amp;startStation=40&amp;endStation=28",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2026-05-16</t>
        </is>
      </c>
      <c r="F125" t="inlineStr">
        <is>
          <t>2026-05-23</t>
        </is>
      </c>
      <c r="G125" t="inlineStr">
        <is>
          <t xml:space="preserve"> - Camper Castle</t>
        </is>
      </c>
      <c r="H125">
        <f>HYPERLINK("https://booking.roadsurfer.com/es/rally/pick?pickup_date=2026-05-16&amp;return_date=2026-05-23&amp;currency=EUR&amp;startStation=40&amp;endStation=28",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Road House</t>
        </is>
      </c>
      <c r="H126">
        <f>HYPERLINK("https://booking.roadsurfer.com/es/rally/pick?pickup_date=2026-05-04&amp;return_date=2026-05-11&amp;currency=EUR&amp;startStation=40&amp;endStation=90",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HYPERLINK("https://booking.roadsurfer.com/es/rally/pick?pickup_date=2026-05-07&amp;return_date=2026-05-14&amp;currency=EUR&amp;startStation=40&amp;endStation=90",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Road House</t>
        </is>
      </c>
      <c r="H128">
        <f>HYPERLINK("https://booking.roadsurfer.com/es/rally/pick?pickup_date=2026-05-11&amp;return_date=2026-05-18&amp;currency=EUR&amp;startStation=40&amp;endStation=90",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Road House - Camper Castle</t>
        </is>
      </c>
      <c r="H129">
        <f>HYPERLINK("https://booking.roadsurfer.com/es/rally/pick?pickup_date=2026-04-13&amp;return_date=2026-04-20&amp;currency=EUR&amp;startStation=40&amp;endStation=5",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2026-05-05</t>
        </is>
      </c>
      <c r="F130" t="inlineStr">
        <is>
          <t>2026-05-12</t>
        </is>
      </c>
      <c r="G130" t="inlineStr">
        <is>
          <t xml:space="preserve"> - Couple Cottage</t>
        </is>
      </c>
      <c r="H130">
        <f>HYPERLINK("https://booking.roadsurfer.com/es/rally/pick?pickup_date=2026-05-05&amp;return_date=2026-05-12&amp;currency=EUR&amp;startStation=40&amp;endStation=5",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2026-04-09</t>
        </is>
      </c>
      <c r="F131" t="inlineStr">
        <is>
          <t>2026-04-16</t>
        </is>
      </c>
      <c r="G131" t="inlineStr">
        <is>
          <t xml:space="preserve"> - Family Finca</t>
        </is>
      </c>
      <c r="H131">
        <f>HYPERLINK("https://booking.roadsurfer.com/es/rally/pick?pickup_date=2026-04-09&amp;return_date=2026-04-16&amp;currency=EUR&amp;startStation=40&amp;endStation=52",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Road House</t>
        </is>
      </c>
      <c r="H132">
        <f>HYPERLINK("https://booking.roadsurfer.com/es/rally/pick?pickup_date=2026-05-04&amp;return_date=2026-05-11&amp;currency=EUR&amp;startStation=40&amp;endStation=52",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Constanza (Aach)</t>
        </is>
      </c>
      <c r="E133" t="inlineStr">
        <is>
          <t>2026-04-07</t>
        </is>
      </c>
      <c r="F133" t="inlineStr">
        <is>
          <t>2026-04-14</t>
        </is>
      </c>
      <c r="G133" t="inlineStr">
        <is>
          <t xml:space="preserve"> - No hay coche</t>
        </is>
      </c>
      <c r="H133">
        <f>HYPERLINK("https://booking.roadsurfer.com/es/rally/pick?pickup_date=2026-04-07&amp;return_date=2026-04-14&amp;currency=EUR&amp;startStation=40&amp;endStation=10",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2026-04-20</t>
        </is>
      </c>
      <c r="F134" t="inlineStr">
        <is>
          <t>2026-04-27</t>
        </is>
      </c>
      <c r="G134" t="inlineStr">
        <is>
          <t xml:space="preserve"> - No hay coche</t>
        </is>
      </c>
      <c r="H134">
        <f>HYPERLINK("https://booking.roadsurfer.com/es/rally/pick?pickup_date=2026-04-20&amp;return_date=2026-04-27&amp;currency=EUR&amp;startStation=24&amp;endStation=32",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2026-04-22</t>
        </is>
      </c>
      <c r="F135" t="inlineStr">
        <is>
          <t>2026-04-29</t>
        </is>
      </c>
      <c r="G135" t="inlineStr">
        <is>
          <t xml:space="preserve"> - Surfer Suite</t>
        </is>
      </c>
      <c r="H135">
        <f>HYPERLINK("https://booking.roadsurfer.com/es/rally/pick?pickup_date=2026-04-22&amp;return_date=2026-04-29&amp;currency=EUR&amp;startStation=24&amp;endStation=32",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Alemania</t>
        </is>
      </c>
      <c r="D136" t="inlineStr">
        <is>
          <t>Hamburgo Aeropuerto</t>
        </is>
      </c>
      <c r="E136" t="inlineStr">
        <is>
          <t>2026-04-08</t>
        </is>
      </c>
      <c r="F136" t="inlineStr">
        <is>
          <t>2026-04-15</t>
        </is>
      </c>
      <c r="G136" t="inlineStr">
        <is>
          <t xml:space="preserve"> - No hay coche</t>
        </is>
      </c>
      <c r="H136">
        <f>HYPERLINK("https://booking.roadsurfer.com/es/rally/pick?pickup_date=2026-04-08&amp;return_date=2026-04-15&amp;currency=EUR&amp;startStation=24&amp;endStation=65",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2026-04-08</t>
        </is>
      </c>
      <c r="F137" t="inlineStr">
        <is>
          <t>2026-04-15</t>
        </is>
      </c>
      <c r="G137" t="inlineStr">
        <is>
          <t xml:space="preserve"> - Surfer Suite</t>
        </is>
      </c>
      <c r="H137">
        <f>HYPERLINK("https://booking.roadsurfer.com/es/rally/pick?pickup_date=2026-04-08&amp;return_date=2026-04-15&amp;currency=EUR&amp;startStation=57&amp;endStation=56",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2026-05-19</t>
        </is>
      </c>
      <c r="F138" t="inlineStr">
        <is>
          <t>2026-05-26</t>
        </is>
      </c>
      <c r="G138" t="inlineStr">
        <is>
          <t xml:space="preserve"> - Couple Cottage</t>
        </is>
      </c>
      <c r="H138">
        <f>HYPERLINK("https://booking.roadsurfer.com/es/rally/pick?pickup_date=2026-05-19&amp;return_date=2026-05-26&amp;currency=EUR&amp;startStation=57&amp;endStation=22",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Couple Cottage</t>
        </is>
      </c>
      <c r="H139">
        <f>HYPERLINK("https://booking.roadsurfer.com/es/rally/pick?pickup_date=2026-05-06&amp;return_date=2026-05-13&amp;currency=EUR&amp;startStation=57&amp;endStation=22",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2026-05-15</t>
        </is>
      </c>
      <c r="F140" t="inlineStr">
        <is>
          <t>2026-05-22</t>
        </is>
      </c>
      <c r="G140" t="inlineStr">
        <is>
          <t xml:space="preserve"> - Camper Castle</t>
        </is>
      </c>
      <c r="H140">
        <f>HYPERLINK("https://booking.roadsurfer.com/es/rally/pick?pickup_date=2026-05-15&amp;return_date=2026-05-22&amp;currency=EUR&amp;startStation=57&amp;endStation=22",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Family Finca</t>
        </is>
      </c>
      <c r="H141">
        <f>HYPERLINK("https://booking.roadsurfer.com/es/rally/pick?pickup_date=2026-05-06&amp;return_date=2026-05-13&amp;currency=EUR&amp;startStation=57&amp;endStation=8",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HYPERLINK("https://booking.roadsurfer.com/es/rally/pick?pickup_date=2026-05-07&amp;return_date=2026-05-14&amp;currency=EUR&amp;startStation=57&amp;endStation=1",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2026-04-08</t>
        </is>
      </c>
      <c r="F143" t="inlineStr">
        <is>
          <t>2026-04-15</t>
        </is>
      </c>
      <c r="G143" t="inlineStr">
        <is>
          <t xml:space="preserve"> - Surfer Suite - Couple Cottage</t>
        </is>
      </c>
      <c r="H143">
        <f>HYPERLINK("https://booking.roadsurfer.com/es/rally/pick?pickup_date=2026-04-08&amp;return_date=2026-04-15&amp;currency=EUR&amp;startStation=13&amp;endStation=22",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2026-05-11</t>
        </is>
      </c>
      <c r="F145" t="inlineStr">
        <is>
          <t>2026-05-18</t>
        </is>
      </c>
      <c r="G145" t="inlineStr">
        <is>
          <t xml:space="preserve"> - Couple Cottage</t>
        </is>
      </c>
      <c r="H145">
        <f>HYPERLINK("https://booking.roadsurfer.com/es/rally/pick?pickup_date=2026-05-11&amp;return_date=2026-05-18&amp;currency=EUR&amp;startStation=13&amp;endStation=22",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2026-05-15</t>
        </is>
      </c>
      <c r="F146" t="inlineStr">
        <is>
          <t>2026-05-22</t>
        </is>
      </c>
      <c r="G146" t="inlineStr">
        <is>
          <t xml:space="preserve"> - No hay coche</t>
        </is>
      </c>
      <c r="H146">
        <f>HYPERLINK("https://booking.roadsurfer.com/es/rally/pick?pickup_date=2026-05-15&amp;return_date=2026-05-22&amp;currency=EUR&amp;startStation=13&amp;endStation=22",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Camper Cabin</t>
        </is>
      </c>
      <c r="H147">
        <f>HYPERLINK("https://booking.roadsurfer.com/es/rally/pick?pickup_date=2026-05-13&amp;return_date=2026-05-20&amp;currency=EUR&amp;startStation=13&amp;endStation=22",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No hay coche</t>
        </is>
      </c>
      <c r="H148">
        <f>HYPERLINK("https://booking.roadsurfer.com/es/rally/pick?pickup_date=2026-05-04&amp;return_date=2026-05-11&amp;currency=EUR&amp;startStation=13&amp;endStation=22",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Camper Cabin</t>
        </is>
      </c>
      <c r="H149">
        <f>HYPERLINK("https://booking.roadsurfer.com/es/rally/pick?pickup_date=2026-04-10&amp;return_date=2026-04-17&amp;currency=EUR&amp;startStation=13&amp;endStation=22",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Camper Cabin</t>
        </is>
      </c>
      <c r="H150">
        <f>HYPERLINK("https://booking.roadsurfer.com/es/rally/pick?pickup_date=2026-04-13&amp;return_date=2026-04-20&amp;currency=EUR&amp;startStation=13&amp;endStation=22",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Road House</t>
        </is>
      </c>
      <c r="H151">
        <f>HYPERLINK("https://booking.roadsurfer.com/es/rally/pick?pickup_date=2026-05-04&amp;return_date=2026-05-11&amp;currency=EUR&amp;startStation=13&amp;endStation=56",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2026-05-08</t>
        </is>
      </c>
      <c r="F152" t="inlineStr">
        <is>
          <t>2026-05-15</t>
        </is>
      </c>
      <c r="G152" t="inlineStr">
        <is>
          <t xml:space="preserve"> - No hay coche</t>
        </is>
      </c>
      <c r="H152">
        <f>HYPERLINK("https://booking.roadsurfer.com/es/rally/pick?pickup_date=2026-05-08&amp;return_date=2026-05-15&amp;currency=EUR&amp;startStation=13&amp;endStation=56",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Surfer Suite - Road House</t>
        </is>
      </c>
      <c r="H153">
        <f>HYPERLINK("https://booking.roadsurfer.com/es/rally/pick?pickup_date=2026-05-11&amp;return_date=2026-05-18&amp;currency=EUR&amp;startStation=13&amp;endStation=56",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2026-05-26</t>
        </is>
      </c>
      <c r="F154" t="inlineStr">
        <is>
          <t>2026-06-02</t>
        </is>
      </c>
      <c r="G154" t="inlineStr">
        <is>
          <t xml:space="preserve"> - Surfer Suite</t>
        </is>
      </c>
      <c r="H154">
        <f>HYPERLINK("https://booking.roadsurfer.com/es/rally/pick?pickup_date=2026-05-26&amp;return_date=2026-06-02&amp;currency=EUR&amp;startStation=13&amp;endStation=56",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Dresde</t>
        </is>
      </c>
      <c r="E155" t="inlineStr">
        <is>
          <t>2026-05-07</t>
        </is>
      </c>
      <c r="F155" t="inlineStr">
        <is>
          <t>2026-05-14</t>
        </is>
      </c>
      <c r="G155" t="inlineStr">
        <is>
          <t xml:space="preserve"> - No hay coche</t>
        </is>
      </c>
      <c r="H155">
        <f>HYPERLINK("https://booking.roadsurfer.com/es/rally/pick?pickup_date=2026-05-07&amp;return_date=2026-05-14&amp;currency=EUR&amp;startStation=13&amp;endStation=56",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Travel Home - Sunrise Suite</t>
        </is>
      </c>
      <c r="H156">
        <f>HYPERLINK("https://booking.roadsurfer.com/es/rally/pick?pickup_date=2026-04-13&amp;return_date=2026-04-20&amp;currency=EUR&amp;startStation=13&amp;endStation=90",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2026-05-16</t>
        </is>
      </c>
      <c r="F157" t="inlineStr">
        <is>
          <t>2026-05-23</t>
        </is>
      </c>
      <c r="G157" t="inlineStr">
        <is>
          <t xml:space="preserve"> - Surfer Suite</t>
        </is>
      </c>
      <c r="H157">
        <f>HYPERLINK("https://booking.roadsurfer.com/es/rally/pick?pickup_date=2026-05-16&amp;return_date=2026-05-23&amp;currency=EUR&amp;startStation=13&amp;endStation=90",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2026-05-21</t>
        </is>
      </c>
      <c r="F158" t="inlineStr">
        <is>
          <t>2026-05-28</t>
        </is>
      </c>
      <c r="G158" t="inlineStr">
        <is>
          <t xml:space="preserve"> - Beach Hostel</t>
        </is>
      </c>
      <c r="H158">
        <f>HYPERLINK("https://booking.roadsurfer.com/es/rally/pick?pickup_date=2026-05-21&amp;return_date=2026-05-28&amp;currency=EUR&amp;startStation=13&amp;endStation=90",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2026-04-16</t>
        </is>
      </c>
      <c r="F159" t="inlineStr">
        <is>
          <t>2026-04-23</t>
        </is>
      </c>
      <c r="G159" t="inlineStr">
        <is>
          <t xml:space="preserve"> - Surfer Suite</t>
        </is>
      </c>
      <c r="H159">
        <f>HYPERLINK("https://booking.roadsurfer.com/es/rally/pick?pickup_date=2026-04-16&amp;return_date=2026-04-23&amp;currency=EUR&amp;startStation=13&amp;endStation=29",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Camper Castle</t>
        </is>
      </c>
      <c r="H160">
        <f>HYPERLINK("https://booking.roadsurfer.com/es/rally/pick?pickup_date=2026-05-06&amp;return_date=2026-05-13&amp;currency=EUR&amp;startStation=13&amp;endStation=8",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2026-05-13</t>
        </is>
      </c>
      <c r="F161" t="inlineStr">
        <is>
          <t>2026-05-20</t>
        </is>
      </c>
      <c r="G161" t="inlineStr">
        <is>
          <t xml:space="preserve"> - Road House</t>
        </is>
      </c>
      <c r="H161">
        <f>HYPERLINK("https://booking.roadsurfer.com/es/rally/pick?pickup_date=2026-05-13&amp;return_date=2026-05-20&amp;currency=EUR&amp;startStation=13&amp;endStation=8",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2026-05-14</t>
        </is>
      </c>
      <c r="F162" t="inlineStr">
        <is>
          <t>2026-05-21</t>
        </is>
      </c>
      <c r="G162" t="inlineStr">
        <is>
          <t xml:space="preserve"> - No hay coche</t>
        </is>
      </c>
      <c r="H162">
        <f>HYPERLINK("https://booking.roadsurfer.com/es/rally/pick?pickup_date=2026-05-14&amp;return_date=2026-05-21&amp;currency=EUR&amp;startStation=13&amp;endStation=8",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Lübeck</t>
        </is>
      </c>
      <c r="E163" t="inlineStr">
        <is>
          <t>2026-04-07</t>
        </is>
      </c>
      <c r="F163" t="inlineStr">
        <is>
          <t>2026-04-14</t>
        </is>
      </c>
      <c r="G163" t="inlineStr">
        <is>
          <t xml:space="preserve"> - Camper Cabin</t>
        </is>
      </c>
      <c r="H163">
        <f>HYPERLINK("https://booking.roadsurfer.com/es/rally/pick?pickup_date=2026-04-07&amp;return_date=2026-04-14&amp;currency=EUR&amp;startStation=13&amp;endStation=109",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Lübeck</t>
        </is>
      </c>
      <c r="E164" t="inlineStr">
        <is>
          <t>2026-04-09</t>
        </is>
      </c>
      <c r="F164" t="inlineStr">
        <is>
          <t>2026-04-16</t>
        </is>
      </c>
      <c r="G164" t="inlineStr">
        <is>
          <t xml:space="preserve"> - Beach Hostel</t>
        </is>
      </c>
      <c r="H164">
        <f>HYPERLINK("https://booking.roadsurfer.com/es/rally/pick?pickup_date=2026-04-09&amp;return_date=2026-04-16&amp;currency=EUR&amp;startStation=13&amp;endStation=109",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Núremberg</t>
        </is>
      </c>
      <c r="E165" t="inlineStr">
        <is>
          <t>2026-04-08</t>
        </is>
      </c>
      <c r="F165" t="inlineStr">
        <is>
          <t>2026-04-15</t>
        </is>
      </c>
      <c r="G165" t="inlineStr">
        <is>
          <t xml:space="preserve"> - Beach Hostel</t>
        </is>
      </c>
      <c r="H165">
        <f>HYPERLINK("https://booking.roadsurfer.com/es/rally/pick?pickup_date=2026-04-08&amp;return_date=2026-04-15&amp;currency=EUR&amp;startStation=13&amp;endStation=11",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Hamburgo</t>
        </is>
      </c>
      <c r="E166" t="inlineStr">
        <is>
          <t>2026-04-09</t>
        </is>
      </c>
      <c r="F166" t="inlineStr">
        <is>
          <t>2026-04-16</t>
        </is>
      </c>
      <c r="G166" t="inlineStr">
        <is>
          <t xml:space="preserve"> - BEACH HOSTEL</t>
        </is>
      </c>
      <c r="H166">
        <f>HYPERLINK("https://booking.roadsurfer.com/es/rally/pick?pickup_date=2026-04-09&amp;return_date=2026-04-16&amp;currency=EUR&amp;startStation=13&amp;endStation=3",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2026-04-09</t>
        </is>
      </c>
      <c r="F167" t="inlineStr">
        <is>
          <t>2026-04-16</t>
        </is>
      </c>
      <c r="G167" t="inlineStr">
        <is>
          <t xml:space="preserve"> - Travel Home</t>
        </is>
      </c>
      <c r="H167">
        <f>HYPERLINK("https://booking.roadsurfer.com/es/rally/pick?pickup_date=2026-04-09&amp;return_date=2026-04-16&amp;currency=EUR&amp;startStation=13&amp;endStation=52",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Family Finca</t>
        </is>
      </c>
      <c r="H168">
        <f>HYPERLINK("https://booking.roadsurfer.com/es/rally/pick?pickup_date=2026-04-15&amp;return_date=2026-04-22&amp;currency=EUR&amp;startStation=13&amp;endStation=4",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Sunrise Suite</t>
        </is>
      </c>
      <c r="H169">
        <f>HYPERLINK("https://booking.roadsurfer.com/es/rally/pick?pickup_date=2026-05-04&amp;return_date=2026-05-11&amp;currency=EUR&amp;startStation=13&amp;endStation=4",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Camper Cabin - Sunrise Suite</t>
        </is>
      </c>
      <c r="H170">
        <f>HYPERLINK("https://booking.roadsurfer.com/es/rally/pick?pickup_date=2026-05-11&amp;return_date=2026-05-18&amp;currency=EUR&amp;startStation=13&amp;endStation=4",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No hay coche</t>
        </is>
      </c>
      <c r="H171">
        <f>HYPERLINK("https://booking.roadsurfer.com/es/rally/pick?pickup_date=2026-05-13&amp;return_date=2026-05-20&amp;currency=EUR&amp;startStation=13&amp;endStation=4",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Colonia-Düsseldorf</t>
        </is>
      </c>
      <c r="E172" t="inlineStr">
        <is>
          <t>2026-05-26</t>
        </is>
      </c>
      <c r="F172" t="inlineStr">
        <is>
          <t>2026-06-02</t>
        </is>
      </c>
      <c r="G172" t="inlineStr">
        <is>
          <t xml:space="preserve"> - Sunrise Suite</t>
        </is>
      </c>
      <c r="H172">
        <f>HYPERLINK("https://booking.roadsurfer.com/es/rally/pick?pickup_date=2026-05-26&amp;return_date=2026-06-02&amp;currency=EUR&amp;startStation=13&amp;endStation=4",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Ratisbona</t>
        </is>
      </c>
      <c r="E173" t="inlineStr">
        <is>
          <t>2026-04-07</t>
        </is>
      </c>
      <c r="F173" t="inlineStr">
        <is>
          <t>2026-04-14</t>
        </is>
      </c>
      <c r="G173" t="inlineStr">
        <is>
          <t xml:space="preserve"> - Road House</t>
        </is>
      </c>
      <c r="H173">
        <f>HYPERLINK("https://booking.roadsurfer.com/es/rally/pick?pickup_date=2026-04-07&amp;return_date=2026-04-14&amp;currency=EUR&amp;startStation=13&amp;endStation=89",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Ulm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Road House</t>
        </is>
      </c>
      <c r="H174">
        <f>HYPERLINK("https://booking.roadsurfer.com/es/rally/pick?pickup_date=2026-04-16&amp;return_date=2026-04-23&amp;currency=EUR&amp;startStation=13&amp;endStation=112",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Lindau-Wangen</t>
        </is>
      </c>
      <c r="E175" t="inlineStr">
        <is>
          <t>2026-04-16</t>
        </is>
      </c>
      <c r="F175" t="inlineStr">
        <is>
          <t>2026-04-23</t>
        </is>
      </c>
      <c r="G175" t="inlineStr">
        <is>
          <t xml:space="preserve"> - Road House</t>
        </is>
      </c>
      <c r="H175">
        <f>HYPERLINK("https://booking.roadsurfer.com/es/rally/pick?pickup_date=2026-04-16&amp;return_date=2026-04-23&amp;currency=EUR&amp;startStation=13&amp;endStation=117",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Couple Cottage</t>
        </is>
      </c>
      <c r="H176">
        <f>HYPERLINK("https://booking.roadsurfer.com/es/rally/pick?pickup_date=2026-05-02&amp;return_date=2026-05-09&amp;currency=EUR&amp;startStation=13&amp;endStation=110",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2026-04-15</t>
        </is>
      </c>
      <c r="F177" t="inlineStr">
        <is>
          <t>2026-04-22</t>
        </is>
      </c>
      <c r="G177" t="inlineStr">
        <is>
          <t xml:space="preserve"> - Cozy Cottage</t>
        </is>
      </c>
      <c r="H177">
        <f>HYPERLINK("https://booking.roadsurfer.com/es/rally/pick?pickup_date=2026-04-15&amp;return_date=2026-04-22&amp;currency=EUR&amp;startStation=55&amp;endStation=77",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2026-05-06</t>
        </is>
      </c>
      <c r="F178" t="inlineStr">
        <is>
          <t>2026-05-13</t>
        </is>
      </c>
      <c r="G178" t="inlineStr">
        <is>
          <t xml:space="preserve"> - No hay coche</t>
        </is>
      </c>
      <c r="H178">
        <f>HYPERLINK("https://booking.roadsurfer.com/es/rally/pick?pickup_date=2026-05-06&amp;return_date=2026-05-13&amp;currency=EUR&amp;startStation=55&amp;endStation=77",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Road House</t>
        </is>
      </c>
      <c r="H179">
        <f>HYPERLINK("https://booking.roadsurfer.com/es/rally/pick?pickup_date=2026-05-06&amp;return_date=2026-05-13&amp;currency=EUR&amp;startStation=55&amp;endStation=60",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2026-05-14</t>
        </is>
      </c>
      <c r="F180" t="inlineStr">
        <is>
          <t>2026-05-21</t>
        </is>
      </c>
      <c r="G180" t="inlineStr">
        <is>
          <t xml:space="preserve"> - No hay coche</t>
        </is>
      </c>
      <c r="H180">
        <f>HYPERLINK("https://booking.roadsurfer.com/es/rally/pick?pickup_date=2026-05-14&amp;return_date=2026-05-21&amp;currency=EUR&amp;startStation=55&amp;endStation=60",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Cozy Cottage</t>
        </is>
      </c>
      <c r="H181">
        <f>HYPERLINK("https://booking.roadsurfer.com/es/rally/pick?pickup_date=2026-04-13&amp;return_date=2026-04-20&amp;currency=EUR&amp;startStation=55&amp;endStation=60",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2026-04-09</t>
        </is>
      </c>
      <c r="F182" t="inlineStr">
        <is>
          <t>2026-04-16</t>
        </is>
      </c>
      <c r="G182" t="inlineStr">
        <is>
          <t xml:space="preserve"> - Surfer Suite</t>
        </is>
      </c>
      <c r="H182">
        <f>HYPERLINK("https://booking.roadsurfer.com/es/rally/pick?pickup_date=2026-04-09&amp;return_date=2026-04-16&amp;currency=EUR&amp;startStation=55&amp;endStation=59",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Camper Castle</t>
        </is>
      </c>
      <c r="H183">
        <f>HYPERLINK("https://booking.roadsurfer.com/es/rally/pick?pickup_date=2026-04-13&amp;return_date=2026-04-20&amp;currency=EUR&amp;startStation=55&amp;endStation=59",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Aquisgrán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Surfer Suite</t>
        </is>
      </c>
      <c r="H184">
        <f>HYPERLINK("https://booking.roadsurfer.com/es/rally/pick?pickup_date=2026-04-20&amp;return_date=2026-04-27&amp;currency=EUR&amp;startStation=55&amp;endStation=114",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Italia</t>
        </is>
      </c>
      <c r="D185" t="inlineStr">
        <is>
          <t>Milán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Surfer Suite</t>
        </is>
      </c>
      <c r="H185">
        <f>HYPERLINK("https://booking.roadsurfer.com/es/rally/pick?pickup_date=2026-05-11&amp;return_date=2026-05-18&amp;currency=EUR&amp;startStation=55&amp;endStation=34",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Surfer Suite</t>
        </is>
      </c>
      <c r="H186">
        <f>HYPERLINK("https://booking.roadsurfer.com/es/rally/pick?pickup_date=2026-04-13&amp;return_date=2026-04-20&amp;currency=EUR&amp;startStation=55&amp;endStation=111",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Camper Cabin Deluxe</t>
        </is>
      </c>
      <c r="H187">
        <f>HYPERLINK("https://booking.roadsurfer.com/es/rally/pick?pickup_date=2026-04-16&amp;return_date=2026-04-23&amp;currency=EUR&amp;startStation=55&amp;endStation=42",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Málaga</t>
        </is>
      </c>
      <c r="E188" t="inlineStr">
        <is>
          <t>2026-04-09</t>
        </is>
      </c>
      <c r="F188" t="inlineStr">
        <is>
          <t>2026-04-16</t>
        </is>
      </c>
      <c r="G188" t="inlineStr">
        <is>
          <t xml:space="preserve"> - Camper Castle</t>
        </is>
      </c>
      <c r="H188">
        <f>HYPERLINK("https://booking.roadsurfer.com/es/rally/pick?pickup_date=2026-04-09&amp;return_date=2026-04-16&amp;currency=EUR&amp;startStation=55&amp;endStation=21",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Países Bajos</t>
        </is>
      </c>
      <c r="D189" t="inlineStr">
        <is>
          <t>Ámsterdam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Couple Cottage</t>
        </is>
      </c>
      <c r="H189">
        <f>HYPERLINK("https://booking.roadsurfer.com/es/rally/pick?pickup_date=2026-04-13&amp;return_date=2026-04-20&amp;currency=EUR&amp;startStation=55&amp;endStation=32",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Cozy Cottage</t>
        </is>
      </c>
      <c r="H190">
        <f>HYPERLINK("https://booking.roadsurfer.com/es/rally/pick?pickup_date=2026-04-27&amp;return_date=2026-05-04&amp;currency=EUR&amp;startStation=55&amp;endStation=6",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Surfer Suite - Camper Castle</t>
        </is>
      </c>
      <c r="H191">
        <f>HYPERLINK("https://booking.roadsurfer.com/es/rally/pick?pickup_date=2026-05-04&amp;return_date=2026-05-11&amp;currency=EUR&amp;startStation=42&amp;endStation=6",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Camper Castle</t>
        </is>
      </c>
      <c r="H192">
        <f>HYPERLINK("https://booking.roadsurfer.com/es/rally/pick?pickup_date=2026-05-15&amp;return_date=2026-05-22&amp;currency=EUR&amp;startStation=42&amp;endStation=6",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2026-05-23</t>
        </is>
      </c>
      <c r="F193" t="inlineStr">
        <is>
          <t>2026-05-30</t>
        </is>
      </c>
      <c r="G193" t="inlineStr">
        <is>
          <t xml:space="preserve"> - Camper Castle</t>
        </is>
      </c>
      <c r="H193">
        <f>HYPERLINK("https://booking.roadsurfer.com/es/rally/pick?pickup_date=2026-05-23&amp;return_date=2026-05-30&amp;currency=EUR&amp;startStation=42&amp;endStation=6",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Bochum</t>
        </is>
      </c>
      <c r="E194" t="inlineStr">
        <is>
          <t>2026-05-11</t>
        </is>
      </c>
      <c r="F194" t="inlineStr">
        <is>
          <t>2026-05-18</t>
        </is>
      </c>
      <c r="G194" t="inlineStr">
        <is>
          <t xml:space="preserve"> - Surfer Suite - Sunrise Suite</t>
        </is>
      </c>
      <c r="H194">
        <f>HYPERLINK("https://booking.roadsurfer.com/es/rally/pick?pickup_date=2026-05-11&amp;return_date=2026-05-18&amp;currency=EUR&amp;startStation=42&amp;endStation=24",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Bochum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Camper Cabin</t>
        </is>
      </c>
      <c r="H195">
        <f>HYPERLINK("https://booking.roadsurfer.com/es/rally/pick?pickup_date=2026-05-12&amp;return_date=2026-05-19&amp;currency=EUR&amp;startStation=42&amp;endStation=24",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Bochum</t>
        </is>
      </c>
      <c r="E196" t="inlineStr">
        <is>
          <t>2026-05-15</t>
        </is>
      </c>
      <c r="F196" t="inlineStr">
        <is>
          <t>2026-05-22</t>
        </is>
      </c>
      <c r="G196" t="inlineStr">
        <is>
          <t xml:space="preserve"> - Camper Cabin</t>
        </is>
      </c>
      <c r="H196">
        <f>HYPERLINK("https://booking.roadsurfer.com/es/rally/pick?pickup_date=2026-05-15&amp;return_date=2026-05-22&amp;currency=EUR&amp;startStation=42&amp;endStation=24",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Francia</t>
        </is>
      </c>
      <c r="D197" t="inlineStr">
        <is>
          <t>París Aeropuerto CDG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Beach Hostel</t>
        </is>
      </c>
      <c r="H197">
        <f>HYPERLINK("https://booking.roadsurfer.com/es/rally/pick?pickup_date=2026-04-22&amp;return_date=2026-04-29&amp;currency=EUR&amp;startStation=42&amp;endStation=48",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Aquisgrán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Couple Cottage</t>
        </is>
      </c>
      <c r="H198">
        <f>HYPERLINK("https://booking.roadsurfer.com/es/rally/pick?pickup_date=2026-05-04&amp;return_date=2026-05-11&amp;currency=EUR&amp;startStation=42&amp;endStation=114",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Aquisgrán</t>
        </is>
      </c>
      <c r="E199" t="inlineStr">
        <is>
          <t>2026-05-11</t>
        </is>
      </c>
      <c r="F199" t="inlineStr">
        <is>
          <t>2026-05-18</t>
        </is>
      </c>
      <c r="G199" t="inlineStr">
        <is>
          <t xml:space="preserve"> - Camper Cabin - Couple Cottage</t>
        </is>
      </c>
      <c r="H199">
        <f>HYPERLINK("https://booking.roadsurfer.com/es/rally/pick?pickup_date=2026-05-11&amp;return_date=2026-05-18&amp;currency=EUR&amp;startStation=42&amp;endStation=114",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2026-05-12</t>
        </is>
      </c>
      <c r="F200" t="inlineStr">
        <is>
          <t>2026-05-19</t>
        </is>
      </c>
      <c r="G200" t="inlineStr">
        <is>
          <t xml:space="preserve"> - Couple Cottage</t>
        </is>
      </c>
      <c r="H200">
        <f>HYPERLINK("https://booking.roadsurfer.com/es/rally/pick?pickup_date=2026-05-12&amp;return_date=2026-05-19&amp;currency=EUR&amp;startStation=42&amp;endStation=55",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2026-05-15</t>
        </is>
      </c>
      <c r="F201" t="inlineStr">
        <is>
          <t>2026-05-22</t>
        </is>
      </c>
      <c r="G201" t="inlineStr">
        <is>
          <t xml:space="preserve"> - Camper Castle</t>
        </is>
      </c>
      <c r="H201">
        <f>HYPERLINK("https://booking.roadsurfer.com/es/rally/pick?pickup_date=2026-05-15&amp;return_date=2026-05-22&amp;currency=EUR&amp;startStation=42&amp;endStation=55",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2026-05-06</t>
        </is>
      </c>
      <c r="F202" t="inlineStr">
        <is>
          <t>2026-05-13</t>
        </is>
      </c>
      <c r="G202" t="inlineStr">
        <is>
          <t xml:space="preserve"> - No hay coche</t>
        </is>
      </c>
      <c r="H202">
        <f>HYPERLINK("https://booking.roadsurfer.com/es/rally/pick?pickup_date=2026-05-06&amp;return_date=2026-05-13&amp;currency=EUR&amp;startStation=42&amp;endStation=55",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Sunrise Suite</t>
        </is>
      </c>
      <c r="H203">
        <f>HYPERLINK("https://booking.roadsurfer.com/es/rally/pick?pickup_date=2026-05-11&amp;return_date=2026-05-18&amp;currency=EUR&amp;startStation=42&amp;endStation=55",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2026-05-26</t>
        </is>
      </c>
      <c r="F204" t="inlineStr">
        <is>
          <t>2026-06-02</t>
        </is>
      </c>
      <c r="G204" t="inlineStr">
        <is>
          <t xml:space="preserve"> - Sunrise Suite</t>
        </is>
      </c>
      <c r="H204">
        <f>HYPERLINK("https://booking.roadsurfer.com/es/rally/pick?pickup_date=2026-05-26&amp;return_date=2026-06-02&amp;currency=EUR&amp;startStation=42&amp;endStation=55",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2026-04-07</t>
        </is>
      </c>
      <c r="F205" t="inlineStr">
        <is>
          <t>2026-04-14</t>
        </is>
      </c>
      <c r="G205" t="inlineStr">
        <is>
          <t xml:space="preserve"> - Road House</t>
        </is>
      </c>
      <c r="H205">
        <f>HYPERLINK("https://booking.roadsurfer.com/es/rally/pick?pickup_date=2026-04-07&amp;return_date=2026-04-14&amp;currency=EUR&amp;startStation=42&amp;endStation=55",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Camper Castle</t>
        </is>
      </c>
      <c r="H206">
        <f>HYPERLINK("https://booking.roadsurfer.com/es/rally/pick?pickup_date=2026-05-04&amp;return_date=2026-05-11&amp;currency=EUR&amp;startStation=42&amp;endStation=91",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2026-05-06</t>
        </is>
      </c>
      <c r="F207" t="inlineStr">
        <is>
          <t>2026-05-13</t>
        </is>
      </c>
      <c r="G207" t="inlineStr">
        <is>
          <t xml:space="preserve"> - Road House</t>
        </is>
      </c>
      <c r="H207">
        <f>HYPERLINK("https://booking.roadsurfer.com/es/rally/pick?pickup_date=2026-05-06&amp;return_date=2026-05-13&amp;currency=EUR&amp;startStation=42&amp;endStation=91",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Sunrise Suite</t>
        </is>
      </c>
      <c r="H208">
        <f>HYPERLINK("https://booking.roadsurfer.com/es/rally/pick?pickup_date=2026-05-15&amp;return_date=2026-05-22&amp;currency=EUR&amp;startStation=42&amp;endStation=91",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Camper Castle</t>
        </is>
      </c>
      <c r="H209">
        <f>HYPERLINK("https://booking.roadsurfer.com/es/rally/pick?pickup_date=2026-05-21&amp;return_date=2026-05-28&amp;currency=EUR&amp;startStation=42&amp;endStation=91",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2026-04-09</t>
        </is>
      </c>
      <c r="F210" t="inlineStr">
        <is>
          <t>2026-04-16</t>
        </is>
      </c>
      <c r="G210" t="inlineStr">
        <is>
          <t xml:space="preserve"> - Road House</t>
        </is>
      </c>
      <c r="H210">
        <f>HYPERLINK("https://booking.roadsurfer.com/es/rally/pick?pickup_date=2026-04-09&amp;return_date=2026-04-16&amp;currency=EUR&amp;startStation=42&amp;endStation=56",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Couple Cottage</t>
        </is>
      </c>
      <c r="H211">
        <f>HYPERLINK("https://booking.roadsurfer.com/es/rally/pick?pickup_date=2026-05-04&amp;return_date=2026-05-11&amp;currency=EUR&amp;startStation=42&amp;endStation=90",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Couple Cottage</t>
        </is>
      </c>
      <c r="H212">
        <f>HYPERLINK("https://booking.roadsurfer.com/es/rally/pick?pickup_date=2026-04-13&amp;return_date=2026-04-20&amp;currency=EUR&amp;startStation=42&amp;endStation=22",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Road House</t>
        </is>
      </c>
      <c r="H213">
        <f>HYPERLINK("https://booking.roadsurfer.com/es/rally/pick?pickup_date=2026-04-09&amp;return_date=2026-04-16&amp;currency=EUR&amp;startStation=52&amp;endStation=42",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Family Finca</t>
        </is>
      </c>
      <c r="H214">
        <f>HYPERLINK("https://booking.roadsurfer.com/es/rally/pick?pickup_date=2026-04-13&amp;return_date=2026-04-20&amp;currency=EUR&amp;startStation=52&amp;endStation=42",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2026-04-10</t>
        </is>
      </c>
      <c r="F215" t="inlineStr">
        <is>
          <t>2026-04-17</t>
        </is>
      </c>
      <c r="G215" t="inlineStr">
        <is>
          <t xml:space="preserve"> - Sunrise Suite</t>
        </is>
      </c>
      <c r="H215">
        <f>HYPERLINK("https://booking.roadsurfer.com/es/rally/pick?pickup_date=2026-04-10&amp;return_date=2026-04-17&amp;currency=EUR&amp;startStation=52&amp;endStation=42",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2026-04-18</t>
        </is>
      </c>
      <c r="F216" t="inlineStr">
        <is>
          <t>2026-04-25</t>
        </is>
      </c>
      <c r="G216" t="inlineStr">
        <is>
          <t xml:space="preserve"> - No hay coche</t>
        </is>
      </c>
      <c r="H216">
        <f>HYPERLINK("https://booking.roadsurfer.com/es/rally/pick?pickup_date=2026-04-18&amp;return_date=2026-04-25&amp;currency=EUR&amp;startStation=52&amp;endStation=42",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España</t>
        </is>
      </c>
      <c r="D218" t="inlineStr">
        <is>
          <t>Sevilla</t>
        </is>
      </c>
      <c r="E218" t="inlineStr">
        <is>
          <t>2026-04-14</t>
        </is>
      </c>
      <c r="F218" t="inlineStr">
        <is>
          <t>2026-04-21</t>
        </is>
      </c>
      <c r="G218" t="inlineStr">
        <is>
          <t xml:space="preserve"> - Surfer Suite</t>
        </is>
      </c>
      <c r="H218">
        <f>HYPERLINK("https://booking.roadsurfer.com/es/rally/pick?pickup_date=2026-04-14&amp;return_date=2026-04-21&amp;currency=EUR&amp;startStation=52&amp;endStation=39",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2026-04-28</t>
        </is>
      </c>
      <c r="F219" t="inlineStr">
        <is>
          <t>2026-05-05</t>
        </is>
      </c>
      <c r="G219" t="inlineStr">
        <is>
          <t xml:space="preserve"> - Beach Hostel</t>
        </is>
      </c>
      <c r="H219">
        <f>HYPERLINK("https://booking.roadsurfer.com/es/rally/pick?pickup_date=2026-04-28&amp;return_date=2026-05-05&amp;currency=EUR&amp;startStation=52&amp;endStation=29",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2026-05-07</t>
        </is>
      </c>
      <c r="F220" t="inlineStr">
        <is>
          <t>2026-05-14</t>
        </is>
      </c>
      <c r="G220" t="inlineStr">
        <is>
          <t xml:space="preserve"> - No hay coche</t>
        </is>
      </c>
      <c r="H220">
        <f>HYPERLINK("https://booking.roadsurfer.com/es/rally/pick?pickup_date=2026-05-07&amp;return_date=2026-05-14&amp;currency=EUR&amp;startStation=52&amp;endStation=29",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Surfer Suite</t>
        </is>
      </c>
      <c r="H221">
        <f>HYPERLINK("https://booking.roadsurfer.com/es/rally/pick?pickup_date=2026-04-15&amp;return_date=2026-04-22&amp;currency=EUR&amp;startStation=52&amp;endStation=29",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Surfer Suite</t>
        </is>
      </c>
      <c r="H222">
        <f>HYPERLINK("https://booking.roadsurfer.com/es/rally/pick?pickup_date=2026-04-20&amp;return_date=2026-04-27&amp;currency=EUR&amp;startStation=52&amp;endStation=31",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2026-04-11</t>
        </is>
      </c>
      <c r="F223" t="inlineStr">
        <is>
          <t>2026-04-18</t>
        </is>
      </c>
      <c r="G223" t="inlineStr">
        <is>
          <t xml:space="preserve"> - Family Finca</t>
        </is>
      </c>
      <c r="H223">
        <f>HYPERLINK("https://booking.roadsurfer.com/es/rally/pick?pickup_date=2026-04-11&amp;return_date=2026-04-18&amp;currency=EUR&amp;startStation=52&amp;endStation=31",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Travel Home</t>
        </is>
      </c>
      <c r="H224">
        <f>HYPERLINK("https://booking.roadsurfer.com/es/rally/pick?pickup_date=2026-04-13&amp;return_date=2026-04-20&amp;currency=EUR&amp;startStation=52&amp;endStation=56",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Camper Cabin</t>
        </is>
      </c>
      <c r="H225">
        <f>HYPERLINK("https://booking.roadsurfer.com/es/rally/pick?pickup_date=2026-04-13&amp;return_date=2026-04-20&amp;currency=EUR&amp;startStation=52&amp;endStation=13",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2026-04-10</t>
        </is>
      </c>
      <c r="F226" t="inlineStr">
        <is>
          <t>2026-04-17</t>
        </is>
      </c>
      <c r="G226" t="inlineStr">
        <is>
          <t xml:space="preserve"> - Camper Cabin</t>
        </is>
      </c>
      <c r="H226">
        <f>HYPERLINK("https://booking.roadsurfer.com/es/rally/pick?pickup_date=2026-04-10&amp;return_date=2026-04-17&amp;currency=EUR&amp;startStation=52&amp;endStation=47",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Alemania</t>
        </is>
      </c>
      <c r="D227" t="inlineStr">
        <is>
          <t>Flensburgo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No hay coche</t>
        </is>
      </c>
      <c r="H227">
        <f>HYPERLINK("https://booking.roadsurfer.com/es/rally/pick?pickup_date=2026-04-16&amp;return_date=2026-04-23&amp;currency=EUR&amp;startStation=52&amp;endStation=130",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2026-05-02</t>
        </is>
      </c>
      <c r="F228" t="inlineStr">
        <is>
          <t>2026-05-09</t>
        </is>
      </c>
      <c r="G228" t="inlineStr">
        <is>
          <t xml:space="preserve"> - Sunrise Suite</t>
        </is>
      </c>
      <c r="H228">
        <f>HYPERLINK("https://booking.roadsurfer.com/es/rally/pick?pickup_date=2026-05-02&amp;return_date=2026-05-09&amp;currency=EUR&amp;startStation=52&amp;endStation=12",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Sur (Orly)</t>
        </is>
      </c>
      <c r="E229" t="inlineStr">
        <is>
          <t>2026-04-17</t>
        </is>
      </c>
      <c r="F229" t="inlineStr">
        <is>
          <t>2026-04-24</t>
        </is>
      </c>
      <c r="G229" t="inlineStr">
        <is>
          <t xml:space="preserve"> - Road House - Camper Cabin Deluxe</t>
        </is>
      </c>
      <c r="H229">
        <f>HYPERLINK("https://booking.roadsurfer.com/es/rally/pick?pickup_date=2026-04-17&amp;return_date=2026-04-24&amp;currency=EUR&amp;startStation=52&amp;endStation=12",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Austria</t>
        </is>
      </c>
      <c r="D230" t="inlineStr">
        <is>
          <t>Graz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Road House</t>
        </is>
      </c>
      <c r="H230">
        <f>HYPERLINK("https://booking.roadsurfer.com/es/rally/pick?pickup_date=2026-04-20&amp;return_date=2026-04-27&amp;currency=EUR&amp;startStation=52&amp;endStation=37",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España</t>
        </is>
      </c>
      <c r="D231" t="inlineStr">
        <is>
          <t>Valencia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Road House</t>
        </is>
      </c>
      <c r="H231">
        <f>HYPERLINK("https://booking.roadsurfer.com/es/rally/pick?pickup_date=2026-04-09&amp;return_date=2026-04-16&amp;currency=EUR&amp;startStation=52&amp;endStation=38",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2026-04-28</t>
        </is>
      </c>
      <c r="F232" t="inlineStr">
        <is>
          <t>2026-05-05</t>
        </is>
      </c>
      <c r="G232" t="inlineStr">
        <is>
          <t xml:space="preserve"> - Road House</t>
        </is>
      </c>
      <c r="H232">
        <f>HYPERLINK("https://booking.roadsurfer.com/es/rally/pick?pickup_date=2026-04-28&amp;return_date=2026-05-05&amp;currency=EUR&amp;startStation=52&amp;endStation=16",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Austria</t>
        </is>
      </c>
      <c r="D233" t="inlineStr">
        <is>
          <t>Linz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Road House</t>
        </is>
      </c>
      <c r="H233">
        <f>HYPERLINK("https://booking.roadsurfer.com/es/rally/pick?pickup_date=2026-04-16&amp;return_date=2026-04-23&amp;currency=EUR&amp;startStation=52&amp;endStation=116",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2026-05-12</t>
        </is>
      </c>
      <c r="F234" t="inlineStr">
        <is>
          <t>2026-05-19</t>
        </is>
      </c>
      <c r="G234" t="inlineStr">
        <is>
          <t xml:space="preserve"> - Road House</t>
        </is>
      </c>
      <c r="H234">
        <f>HYPERLINK("https://booking.roadsurfer.com/es/rally/pick?pickup_date=2026-05-12&amp;return_date=2026-05-19&amp;currency=EUR&amp;startStation=52&amp;endStation=20",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Italia</t>
        </is>
      </c>
      <c r="D235" t="inlineStr">
        <is>
          <t>Venecia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No hay coche</t>
        </is>
      </c>
      <c r="H235">
        <f>HYPERLINK("https://booking.roadsurfer.com/es/rally/pick?pickup_date=2026-04-23&amp;return_date=2026-04-30&amp;currency=EUR&amp;startStation=52&amp;endStation=78",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COUPLE COTTAGE</t>
        </is>
      </c>
      <c r="H236">
        <f>HYPERLINK("https://booking.roadsurfer.com/es/rally/pick?pickup_date=2026-04-17&amp;return_date=2026-04-24&amp;currency=EUR&amp;startStation=52&amp;endStation=48",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2026-04-25</t>
        </is>
      </c>
      <c r="F237" t="inlineStr">
        <is>
          <t>2026-05-02</t>
        </is>
      </c>
      <c r="G237" t="inlineStr">
        <is>
          <t xml:space="preserve"> - Surfer Suite</t>
        </is>
      </c>
      <c r="H237">
        <f>HYPERLINK("https://booking.roadsurfer.com/es/rally/pick?pickup_date=2026-04-25&amp;return_date=2026-05-02&amp;currency=EUR&amp;startStation=4&amp;endStation=12",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2026-05-11</t>
        </is>
      </c>
      <c r="F238" t="inlineStr">
        <is>
          <t>2026-05-18</t>
        </is>
      </c>
      <c r="G238" t="inlineStr">
        <is>
          <t xml:space="preserve"> - Surfer Suite</t>
        </is>
      </c>
      <c r="H238">
        <f>HYPERLINK("https://booking.roadsurfer.com/es/rally/pick?pickup_date=2026-05-11&amp;return_date=2026-05-18&amp;currency=EUR&amp;startStation=4&amp;endStation=31",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2026-04-10</t>
        </is>
      </c>
      <c r="F239" t="inlineStr">
        <is>
          <t>2026-04-17</t>
        </is>
      </c>
      <c r="G239" t="inlineStr">
        <is>
          <t xml:space="preserve"> - Surfer Suite</t>
        </is>
      </c>
      <c r="H239">
        <f>HYPERLINK("https://booking.roadsurfer.com/es/rally/pick?pickup_date=2026-04-10&amp;return_date=2026-04-17&amp;currency=EUR&amp;startStation=4&amp;endStation=31",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Italia</t>
        </is>
      </c>
      <c r="D240" t="inlineStr">
        <is>
          <t>Venecia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Beach Hostel</t>
        </is>
      </c>
      <c r="H240">
        <f>HYPERLINK("https://booking.roadsurfer.com/es/rally/pick?pickup_date=2026-04-27&amp;return_date=2026-05-04&amp;currency=EUR&amp;startStation=4&amp;endStation=78",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Italia</t>
        </is>
      </c>
      <c r="D241" t="inlineStr">
        <is>
          <t>Venecia</t>
        </is>
      </c>
      <c r="E241" t="inlineStr">
        <is>
          <t>2026-04-30</t>
        </is>
      </c>
      <c r="F241" t="inlineStr">
        <is>
          <t>2026-05-07</t>
        </is>
      </c>
      <c r="G241" t="inlineStr">
        <is>
          <t xml:space="preserve"> - Beach Hostel</t>
        </is>
      </c>
      <c r="H241">
        <f>HYPERLINK("https://booking.roadsurfer.com/es/rally/pick?pickup_date=2026-04-30&amp;return_date=2026-05-07&amp;currency=EUR&amp;startStation=4&amp;endStation=78",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Travel Home</t>
        </is>
      </c>
      <c r="H242">
        <f>HYPERLINK("https://booking.roadsurfer.com/es/rally/pick?pickup_date=2026-05-04&amp;return_date=2026-05-11&amp;currency=EUR&amp;startStation=4&amp;endStation=13",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Road House</t>
        </is>
      </c>
      <c r="H243">
        <f>HYPERLINK("https://booking.roadsurfer.com/es/rally/pick?pickup_date=2026-04-09&amp;return_date=2026-04-16&amp;currency=EUR&amp;startStation=4&amp;endStation=13",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Austria</t>
        </is>
      </c>
      <c r="D244" t="inlineStr">
        <is>
          <t>Salzburgo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Road House</t>
        </is>
      </c>
      <c r="H244">
        <f>HYPERLINK("https://booking.roadsurfer.com/es/rally/pick?pickup_date=2026-04-20&amp;return_date=2026-04-27&amp;currency=EUR&amp;startStation=4&amp;endStation=85",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Family Finca</t>
        </is>
      </c>
      <c r="H245">
        <f>HYPERLINK("https://booking.roadsurfer.com/es/rally/pick?pickup_date=2026-04-17&amp;return_date=2026-04-24&amp;currency=EUR&amp;startStation=4&amp;endStation=29",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2026-04-22</t>
        </is>
      </c>
      <c r="F246" t="inlineStr">
        <is>
          <t>2026-04-29</t>
        </is>
      </c>
      <c r="G246" t="inlineStr">
        <is>
          <t xml:space="preserve"> - SURFER SUITE</t>
        </is>
      </c>
      <c r="H246">
        <f>HYPERLINK("https://booking.roadsurfer.com/es/rally/pick?pickup_date=2026-04-22&amp;return_date=2026-04-29&amp;currency=EUR&amp;startStation=10&amp;endStation=15",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Alemania</t>
        </is>
      </c>
      <c r="D247" t="inlineStr">
        <is>
          <t>Tréveris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Road House</t>
        </is>
      </c>
      <c r="H247">
        <f>HYPERLINK("https://booking.roadsurfer.com/es/rally/pick?pickup_date=2026-04-13&amp;return_date=2026-04-20&amp;currency=EUR&amp;startStation=10&amp;endStation=28",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Austria</t>
        </is>
      </c>
      <c r="D248" t="inlineStr">
        <is>
          <t>Graz</t>
        </is>
      </c>
      <c r="E248" t="inlineStr">
        <is>
          <t>2026-04-29</t>
        </is>
      </c>
      <c r="F248" t="inlineStr">
        <is>
          <t>2026-05-06</t>
        </is>
      </c>
      <c r="G248" t="inlineStr">
        <is>
          <t xml:space="preserve"> - Road House</t>
        </is>
      </c>
      <c r="H248">
        <f>HYPERLINK("https://booking.roadsurfer.com/es/rally/pick?pickup_date=2026-04-29&amp;return_date=2026-05-06&amp;currency=EUR&amp;startStation=10&amp;endStation=37",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Austria</t>
        </is>
      </c>
      <c r="D249" t="inlineStr">
        <is>
          <t>Viena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Camper Castle</t>
        </is>
      </c>
      <c r="H249">
        <f>HYPERLINK("https://booking.roadsurfer.com/es/rally/pick?pickup_date=2026-04-13&amp;return_date=2026-04-20&amp;currency=EUR&amp;startStation=10&amp;endStation=36",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Camper Castle</t>
        </is>
      </c>
      <c r="H250">
        <f>HYPERLINK("https://booking.roadsurfer.com/es/rally/pick?pickup_date=2026-04-11&amp;return_date=2026-04-18&amp;currency=EUR&amp;startStation=10&amp;endStation=45",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Camper Castle</t>
        </is>
      </c>
      <c r="H251">
        <f>HYPERLINK("https://booking.roadsurfer.com/es/rally/pick?pickup_date=2026-04-30&amp;return_date=2026-05-07&amp;currency=EUR&amp;startStation=10&amp;endStation=34",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2026-05-05</t>
        </is>
      </c>
      <c r="F252" t="inlineStr">
        <is>
          <t>2026-05-12</t>
        </is>
      </c>
      <c r="G252" t="inlineStr">
        <is>
          <t xml:space="preserve"> - Family Finca</t>
        </is>
      </c>
      <c r="H252">
        <f>HYPERLINK("https://booking.roadsurfer.com/es/rally/pick?pickup_date=2026-05-05&amp;return_date=2026-05-12&amp;currency=EUR&amp;startStation=10&amp;endStation=40",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Francia</t>
        </is>
      </c>
      <c r="D253" t="inlineStr">
        <is>
          <t>Lille</t>
        </is>
      </c>
      <c r="E253" t="inlineStr">
        <is>
          <t>2026-04-30</t>
        </is>
      </c>
      <c r="F253" t="inlineStr">
        <is>
          <t>2026-05-07</t>
        </is>
      </c>
      <c r="G253" t="inlineStr">
        <is>
          <t xml:space="preserve"> - Surfer Suite</t>
        </is>
      </c>
      <c r="H253">
        <f>HYPERLINK("https://booking.roadsurfer.com/es/rally/pick?pickup_date=2026-04-30&amp;return_date=2026-05-07&amp;currency=EUR&amp;startStation=56&amp;endStation=87",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2026-04-18</t>
        </is>
      </c>
      <c r="F254" t="inlineStr">
        <is>
          <t>2026-04-25</t>
        </is>
      </c>
      <c r="G254" t="inlineStr">
        <is>
          <t xml:space="preserve"> - Surfer Suite</t>
        </is>
      </c>
      <c r="H254">
        <f>HYPERLINK("https://booking.roadsurfer.com/es/rally/pick?pickup_date=2026-04-18&amp;return_date=2026-04-25&amp;currency=EUR&amp;startStation=56&amp;endStation=47",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Beach Hostel</t>
        </is>
      </c>
      <c r="H255">
        <f>HYPERLINK("https://booking.roadsurfer.com/es/rally/pick?pickup_date=2026-04-16&amp;return_date=2026-04-23&amp;currency=EUR&amp;startStation=56&amp;endStation=47",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2026-04-11</t>
        </is>
      </c>
      <c r="F256" t="inlineStr">
        <is>
          <t>2026-04-18</t>
        </is>
      </c>
      <c r="G256" t="inlineStr">
        <is>
          <t xml:space="preserve"> - Sunrise Suite</t>
        </is>
      </c>
      <c r="H256">
        <f>HYPERLINK("https://booking.roadsurfer.com/es/rally/pick?pickup_date=2026-04-11&amp;return_date=2026-04-18&amp;currency=EUR&amp;startStation=56&amp;endStation=47",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2026-04-30</t>
        </is>
      </c>
      <c r="F257" t="inlineStr">
        <is>
          <t>2026-05-07</t>
        </is>
      </c>
      <c r="G257" t="inlineStr">
        <is>
          <t xml:space="preserve"> - Road House</t>
        </is>
      </c>
      <c r="H257">
        <f>HYPERLINK("https://booking.roadsurfer.com/es/rally/pick?pickup_date=2026-04-30&amp;return_date=2026-05-07&amp;currency=EUR&amp;startStation=56&amp;endStation=47",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Países Bajos</t>
        </is>
      </c>
      <c r="D258" t="inlineStr">
        <is>
          <t>Róterdam</t>
        </is>
      </c>
      <c r="E258" t="inlineStr">
        <is>
          <t>2026-04-27</t>
        </is>
      </c>
      <c r="F258" t="inlineStr">
        <is>
          <t>2026-05-04</t>
        </is>
      </c>
      <c r="G258" t="inlineStr">
        <is>
          <t xml:space="preserve"> - Surfer Suite</t>
        </is>
      </c>
      <c r="H258">
        <f>HYPERLINK("https://booking.roadsurfer.com/es/rally/pick?pickup_date=2026-04-27&amp;return_date=2026-05-04&amp;currency=EUR&amp;startStation=56&amp;endStation=33",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2026-05-05</t>
        </is>
      </c>
      <c r="F259" t="inlineStr">
        <is>
          <t>2026-05-12</t>
        </is>
      </c>
      <c r="G259" t="inlineStr">
        <is>
          <t xml:space="preserve"> - Surfer Suite</t>
        </is>
      </c>
      <c r="H259">
        <f>HYPERLINK("https://booking.roadsurfer.com/es/rally/pick?pickup_date=2026-05-05&amp;return_date=2026-05-12&amp;currency=EUR&amp;startStation=56&amp;endStation=48",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No hay coche</t>
        </is>
      </c>
      <c r="H260">
        <f>HYPERLINK("https://booking.roadsurfer.com/es/rally/pick?pickup_date=2026-05-06&amp;return_date=2026-05-13&amp;currency=EUR&amp;startStation=56&amp;endStation=59",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2026-05-07</t>
        </is>
      </c>
      <c r="F261" t="inlineStr">
        <is>
          <t>2026-05-14</t>
        </is>
      </c>
      <c r="G261" t="inlineStr">
        <is>
          <t xml:space="preserve"> - No hay coche</t>
        </is>
      </c>
      <c r="H261">
        <f>HYPERLINK("https://booking.roadsurfer.com/es/rally/pick?pickup_date=2026-05-07&amp;return_date=2026-05-14&amp;currency=EUR&amp;startStation=56&amp;endStation=59",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Beach Hostel</t>
        </is>
      </c>
      <c r="H262">
        <f>HYPERLINK("https://booking.roadsurfer.com/es/rally/pick?pickup_date=2026-05-08&amp;return_date=2026-05-15&amp;currency=EUR&amp;startStation=56&amp;endStation=59",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Family Finca</t>
        </is>
      </c>
      <c r="H263">
        <f>HYPERLINK("https://booking.roadsurfer.com/es/rally/pick?pickup_date=2026-04-20&amp;return_date=2026-04-27&amp;currency=EUR&amp;startStation=56&amp;endStation=77",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2026-04-09</t>
        </is>
      </c>
      <c r="F264" t="inlineStr">
        <is>
          <t>2026-04-16</t>
        </is>
      </c>
      <c r="G264" t="inlineStr">
        <is>
          <t xml:space="preserve"> - Road House</t>
        </is>
      </c>
      <c r="H264">
        <f>HYPERLINK("https://booking.roadsurfer.com/es/rally/pick?pickup_date=2026-04-09&amp;return_date=2026-04-16&amp;currency=EUR&amp;startStation=56&amp;endStation=77",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2026-05-09</t>
        </is>
      </c>
      <c r="F265" t="inlineStr">
        <is>
          <t>2026-05-16</t>
        </is>
      </c>
      <c r="G265" t="inlineStr">
        <is>
          <t xml:space="preserve"> - Road House</t>
        </is>
      </c>
      <c r="H265">
        <f>HYPERLINK("https://booking.roadsurfer.com/es/rally/pick?pickup_date=2026-05-09&amp;return_date=2026-05-16&amp;currency=EUR&amp;startStation=56&amp;endStation=42",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2026-04-15</t>
        </is>
      </c>
      <c r="F266" t="inlineStr">
        <is>
          <t>2026-04-22</t>
        </is>
      </c>
      <c r="G266" t="inlineStr">
        <is>
          <t xml:space="preserve"> - Road House</t>
        </is>
      </c>
      <c r="H266">
        <f>HYPERLINK("https://booking.roadsurfer.com/es/rally/pick?pickup_date=2026-04-15&amp;return_date=2026-04-22&amp;currency=EUR&amp;startStation=56&amp;endStation=37",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2026-04-22</t>
        </is>
      </c>
      <c r="F267" t="inlineStr">
        <is>
          <t>2026-04-29</t>
        </is>
      </c>
      <c r="G267" t="inlineStr">
        <is>
          <t xml:space="preserve"> - Family Finca</t>
        </is>
      </c>
      <c r="H267">
        <f>HYPERLINK("https://booking.roadsurfer.com/es/rally/pick?pickup_date=2026-04-22&amp;return_date=2026-04-29&amp;currency=EUR&amp;startStation=56&amp;endStation=34",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2026-04-28</t>
        </is>
      </c>
      <c r="F268" t="inlineStr">
        <is>
          <t>2026-05-05</t>
        </is>
      </c>
      <c r="G268" t="inlineStr">
        <is>
          <t xml:space="preserve"> - CAMPER CASTLE</t>
        </is>
      </c>
      <c r="H268">
        <f>HYPERLINK("https://booking.roadsurfer.com/es/rally/pick?pickup_date=2026-04-28&amp;return_date=2026-05-05&amp;currency=EUR&amp;startStation=56&amp;endStation=31", "Clic para verlo en la web de RoadSurfer")</f>
        <v/>
      </c>
    </row>
    <row r="269">
      <c r="A269" t="inlineStr">
        <is>
          <t>Alemania</t>
        </is>
      </c>
      <c r="B269" t="inlineStr">
        <is>
          <t>Duisburgo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Surfer Suite</t>
        </is>
      </c>
      <c r="H269">
        <f>HYPERLINK("https://booking.roadsurfer.com/es/rally/pick?pickup_date=2026-04-20&amp;return_date=2026-04-27&amp;currency=EUR&amp;startStation=113&amp;endStation=34", "Clic para verlo en la web de RoadSurfer")</f>
        <v/>
      </c>
    </row>
    <row r="270">
      <c r="A270" t="inlineStr">
        <is>
          <t>Alemania</t>
        </is>
      </c>
      <c r="B270" t="inlineStr">
        <is>
          <t>Duisburgo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No hay coche</t>
        </is>
      </c>
      <c r="H270">
        <f>HYPERLINK("https://booking.roadsurfer.com/es/rally/pick?pickup_date=2026-04-23&amp;return_date=2026-04-30&amp;currency=EUR&amp;startStation=113&amp;endStation=34", "Clic para verlo en la web de RoadSurfer")</f>
        <v/>
      </c>
    </row>
    <row r="271">
      <c r="A271" t="inlineStr">
        <is>
          <t>Alemania</t>
        </is>
      </c>
      <c r="B271" t="inlineStr">
        <is>
          <t>Duisburgo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Surfer Suite</t>
        </is>
      </c>
      <c r="H271">
        <f>HYPERLINK("https://booking.roadsurfer.com/es/rally/pick?pickup_date=2026-04-23&amp;return_date=2026-04-30&amp;currency=EUR&amp;startStation=113&amp;endStation=94", "Clic para verlo en la web de RoadSurfer")</f>
        <v/>
      </c>
    </row>
    <row r="272">
      <c r="A272" t="inlineStr">
        <is>
          <t>Alemania</t>
        </is>
      </c>
      <c r="B272" t="inlineStr">
        <is>
          <t>Duisburgo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2026-04-20</t>
        </is>
      </c>
      <c r="F272" t="inlineStr">
        <is>
          <t>2026-04-27</t>
        </is>
      </c>
      <c r="G272" t="inlineStr">
        <is>
          <t xml:space="preserve"> - No hay coche</t>
        </is>
      </c>
      <c r="H272">
        <f>HYPERLINK("https://booking.roadsurfer.com/es/rally/pick?pickup_date=2026-04-20&amp;return_date=2026-04-27&amp;currency=EUR&amp;startStation=113&amp;endStation=32", "Clic para verlo en la web de RoadSurfer")</f>
        <v/>
      </c>
    </row>
    <row r="273">
      <c r="A273" t="inlineStr">
        <is>
          <t>Alemania</t>
        </is>
      </c>
      <c r="B273" t="inlineStr">
        <is>
          <t>Duisburgo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2026-04-08</t>
        </is>
      </c>
      <c r="F273" t="inlineStr">
        <is>
          <t>2026-04-15</t>
        </is>
      </c>
      <c r="G273" t="inlineStr">
        <is>
          <t xml:space="preserve"> - ROAD HOUSE</t>
        </is>
      </c>
      <c r="H273">
        <f>HYPERLINK("https://booking.roadsurfer.com/es/rally/pick?pickup_date=2026-04-08&amp;return_date=2026-04-15&amp;currency=EUR&amp;startStation=113&amp;endStation=32", "Clic para verlo en la web de RoadSurfer")</f>
        <v/>
      </c>
    </row>
    <row r="274">
      <c r="A274" t="inlineStr">
        <is>
          <t>Alemania</t>
        </is>
      </c>
      <c r="B274" t="inlineStr">
        <is>
          <t>Duisburgo</t>
        </is>
      </c>
      <c r="C274" t="inlineStr">
        <is>
          <t>Alemania</t>
        </is>
      </c>
      <c r="D274" t="inlineStr">
        <is>
          <t>Fráncfort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Beach Hostel</t>
        </is>
      </c>
      <c r="H274">
        <f>HYPERLINK("https://booking.roadsurfer.com/es/rally/pick?pickup_date=2026-04-20&amp;return_date=2026-04-27&amp;currency=EUR&amp;startStation=113&amp;endStation=2", "Clic para verlo en la web de RoadSurfer")</f>
        <v/>
      </c>
    </row>
    <row r="275">
      <c r="A275" t="inlineStr">
        <is>
          <t>Alemania</t>
        </is>
      </c>
      <c r="B275" t="inlineStr">
        <is>
          <t>Duisburgo</t>
        </is>
      </c>
      <c r="C275" t="inlineStr">
        <is>
          <t>Francia</t>
        </is>
      </c>
      <c r="D275" t="inlineStr">
        <is>
          <t>Lille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Beach Hostel</t>
        </is>
      </c>
      <c r="H275">
        <f>HYPERLINK("https://booking.roadsurfer.com/es/rally/pick?pickup_date=2026-04-23&amp;return_date=2026-04-30&amp;currency=EUR&amp;startStation=113&amp;endStation=87", "Clic para verlo en la web de RoadSurfer")</f>
        <v/>
      </c>
    </row>
    <row r="276">
      <c r="A276" t="inlineStr">
        <is>
          <t>Alemania</t>
        </is>
      </c>
      <c r="B276" t="inlineStr">
        <is>
          <t>Duisburgo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CAMPER CASTLE</t>
        </is>
      </c>
      <c r="H276">
        <f>HYPERLINK("https://booking.roadsurfer.com/es/rally/pick?pickup_date=2026-04-23&amp;return_date=2026-04-30&amp;currency=EUR&amp;startStation=113&amp;endStation=47",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Family Finca</t>
        </is>
      </c>
      <c r="H277">
        <f>HYPERLINK("https://booking.roadsurfer.com/es/rally/pick?pickup_date=2026-04-08&amp;return_date=2026-04-15&amp;currency=EUR&amp;startStation=90&amp;endStation=47",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2026-04-13</t>
        </is>
      </c>
      <c r="F278" t="inlineStr">
        <is>
          <t>2026-04-20</t>
        </is>
      </c>
      <c r="G278" t="inlineStr">
        <is>
          <t xml:space="preserve"> - Surfer Suite</t>
        </is>
      </c>
      <c r="H278">
        <f>HYPERLINK("https://booking.roadsurfer.com/es/rally/pick?pickup_date=2026-04-13&amp;return_date=2026-04-20&amp;currency=EUR&amp;startStation=90&amp;endStation=47",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Road House</t>
        </is>
      </c>
      <c r="H279">
        <f>HYPERLINK("https://booking.roadsurfer.com/es/rally/pick?pickup_date=2026-05-04&amp;return_date=2026-05-11&amp;currency=EUR&amp;startStation=90&amp;endStation=47",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2026-04-21</t>
        </is>
      </c>
      <c r="F280" t="inlineStr">
        <is>
          <t>2026-04-28</t>
        </is>
      </c>
      <c r="G280" t="inlineStr">
        <is>
          <t xml:space="preserve"> - Surfer Suite</t>
        </is>
      </c>
      <c r="H280">
        <f>HYPERLINK("https://booking.roadsurfer.com/es/rally/pick?pickup_date=2026-04-21&amp;return_date=2026-04-28&amp;currency=EUR&amp;startStation=90&amp;endStation=12",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Francia</t>
        </is>
      </c>
      <c r="D281" t="inlineStr">
        <is>
          <t>París Sur (Orly)</t>
        </is>
      </c>
      <c r="E281" t="inlineStr">
        <is>
          <t>2026-04-13</t>
        </is>
      </c>
      <c r="F281" t="inlineStr">
        <is>
          <t>2026-04-20</t>
        </is>
      </c>
      <c r="G281" t="inlineStr">
        <is>
          <t xml:space="preserve"> - Family Finca</t>
        </is>
      </c>
      <c r="H281">
        <f>HYPERLINK("https://booking.roadsurfer.com/es/rally/pick?pickup_date=2026-04-13&amp;return_date=2026-04-20&amp;currency=EUR&amp;startStation=90&amp;endStation=12",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Francia</t>
        </is>
      </c>
      <c r="D282" t="inlineStr">
        <is>
          <t>París Sur (Orly)</t>
        </is>
      </c>
      <c r="E282" t="inlineStr">
        <is>
          <t>2026-04-07</t>
        </is>
      </c>
      <c r="F282" t="inlineStr">
        <is>
          <t>2026-04-14</t>
        </is>
      </c>
      <c r="G282" t="inlineStr">
        <is>
          <t xml:space="preserve"> - Road House</t>
        </is>
      </c>
      <c r="H282">
        <f>HYPERLINK("https://booking.roadsurfer.com/es/rally/pick?pickup_date=2026-04-07&amp;return_date=2026-04-14&amp;currency=EUR&amp;startStation=90&amp;endStation=12",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2026-04-09</t>
        </is>
      </c>
      <c r="F283" t="inlineStr">
        <is>
          <t>2026-04-16</t>
        </is>
      </c>
      <c r="G283" t="inlineStr">
        <is>
          <t xml:space="preserve"> - Road House</t>
        </is>
      </c>
      <c r="H283">
        <f>HYPERLINK("https://booking.roadsurfer.com/es/rally/pick?pickup_date=2026-04-09&amp;return_date=2026-04-16&amp;currency=EUR&amp;startStation=90&amp;endStation=12",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Austria</t>
        </is>
      </c>
      <c r="D284" t="inlineStr">
        <is>
          <t>Linz</t>
        </is>
      </c>
      <c r="E284" t="inlineStr">
        <is>
          <t>2026-04-09</t>
        </is>
      </c>
      <c r="F284" t="inlineStr">
        <is>
          <t>2026-04-16</t>
        </is>
      </c>
      <c r="G284" t="inlineStr">
        <is>
          <t xml:space="preserve"> - Surfer Suite</t>
        </is>
      </c>
      <c r="H284">
        <f>HYPERLINK("https://booking.roadsurfer.com/es/rally/pick?pickup_date=2026-04-09&amp;return_date=2026-04-16&amp;currency=EUR&amp;startStation=90&amp;endStation=116",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2026-04-09</t>
        </is>
      </c>
      <c r="F285" t="inlineStr">
        <is>
          <t>2026-04-16</t>
        </is>
      </c>
      <c r="G285" t="inlineStr">
        <is>
          <t xml:space="preserve"> - Surfer Suite</t>
        </is>
      </c>
      <c r="H285">
        <f>HYPERLINK("https://booking.roadsurfer.com/es/rally/pick?pickup_date=2026-04-09&amp;return_date=2026-04-16&amp;currency=EUR&amp;startStation=90&amp;endStation=37",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Surfer Suite</t>
        </is>
      </c>
      <c r="H286">
        <f>HYPERLINK("https://booking.roadsurfer.com/es/rally/pick?pickup_date=2026-05-06&amp;return_date=2026-05-13&amp;currency=EUR&amp;startStation=90&amp;endStation=37",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París Aeropuerto CDG</t>
        </is>
      </c>
      <c r="E287" t="inlineStr">
        <is>
          <t>2026-04-07</t>
        </is>
      </c>
      <c r="F287" t="inlineStr">
        <is>
          <t>2026-04-14</t>
        </is>
      </c>
      <c r="G287" t="inlineStr">
        <is>
          <t xml:space="preserve"> - Surfer Suite</t>
        </is>
      </c>
      <c r="H287">
        <f>HYPERLINK("https://booking.roadsurfer.com/es/rally/pick?pickup_date=2026-04-07&amp;return_date=2026-04-14&amp;currency=EUR&amp;startStation=90&amp;endStation=48",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Francia</t>
        </is>
      </c>
      <c r="D288" t="inlineStr">
        <is>
          <t>París Aeropuerto CDG</t>
        </is>
      </c>
      <c r="E288" t="inlineStr">
        <is>
          <t>2026-04-09</t>
        </is>
      </c>
      <c r="F288" t="inlineStr">
        <is>
          <t>2026-04-16</t>
        </is>
      </c>
      <c r="G288" t="inlineStr">
        <is>
          <t xml:space="preserve"> - Beach Hostel</t>
        </is>
      </c>
      <c r="H288">
        <f>HYPERLINK("https://booking.roadsurfer.com/es/rally/pick?pickup_date=2026-04-09&amp;return_date=2026-04-16&amp;currency=EUR&amp;startStation=90&amp;endStation=48",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Italia</t>
        </is>
      </c>
      <c r="D289" t="inlineStr">
        <is>
          <t>Milán</t>
        </is>
      </c>
      <c r="E289" t="inlineStr">
        <is>
          <t>2026-05-14</t>
        </is>
      </c>
      <c r="F289" t="inlineStr">
        <is>
          <t>2026-05-21</t>
        </is>
      </c>
      <c r="G289" t="inlineStr">
        <is>
          <t xml:space="preserve"> - No hay coche</t>
        </is>
      </c>
      <c r="H289">
        <f>HYPERLINK("https://booking.roadsurfer.com/es/rally/pick?pickup_date=2026-05-14&amp;return_date=2026-05-21&amp;currency=EUR&amp;startStation=90&amp;endStation=34",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2026-04-18</t>
        </is>
      </c>
      <c r="F290" t="inlineStr">
        <is>
          <t>2026-04-25</t>
        </is>
      </c>
      <c r="G290" t="inlineStr">
        <is>
          <t xml:space="preserve"> - No hay coche</t>
        </is>
      </c>
      <c r="H290">
        <f>HYPERLINK("https://booking.roadsurfer.com/es/rally/pick?pickup_date=2026-04-18&amp;return_date=2026-04-25&amp;currency=EUR&amp;startStation=90&amp;endStation=34",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SURFER SUITE</t>
        </is>
      </c>
      <c r="H291">
        <f>HYPERLINK("https://booking.roadsurfer.com/es/rally/pick?pickup_date=2026-04-08&amp;return_date=2026-04-15&amp;currency=EUR&amp;startStation=90&amp;endStation=42",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Bélgica</t>
        </is>
      </c>
      <c r="D292" t="inlineStr">
        <is>
          <t>Bruselas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Beach Hostel</t>
        </is>
      </c>
      <c r="H292">
        <f>HYPERLINK("https://booking.roadsurfer.com/es/rally/pick?pickup_date=2026-04-23&amp;return_date=2026-04-30&amp;currency=EUR&amp;startStation=90&amp;endStation=42",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2026-05-07</t>
        </is>
      </c>
      <c r="F293" t="inlineStr">
        <is>
          <t>2026-05-14</t>
        </is>
      </c>
      <c r="G293" t="inlineStr">
        <is>
          <t xml:space="preserve"> - No hay coche</t>
        </is>
      </c>
      <c r="H293">
        <f>HYPERLINK("https://booking.roadsurfer.com/es/rally/pick?pickup_date=2026-05-07&amp;return_date=2026-05-14&amp;currency=EUR&amp;startStation=90&amp;endStation=59",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2026-04-14</t>
        </is>
      </c>
      <c r="F294" t="inlineStr">
        <is>
          <t>2026-04-21</t>
        </is>
      </c>
      <c r="G294" t="inlineStr">
        <is>
          <t xml:space="preserve"> - Beach Hostel</t>
        </is>
      </c>
      <c r="H294">
        <f>HYPERLINK("https://booking.roadsurfer.com/es/rally/pick?pickup_date=2026-04-14&amp;return_date=2026-04-21&amp;currency=EUR&amp;startStation=90&amp;endStation=59",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Road House</t>
        </is>
      </c>
      <c r="H295">
        <f>HYPERLINK("https://booking.roadsurfer.com/es/rally/pick?pickup_date=2026-05-06&amp;return_date=2026-05-13&amp;currency=EUR&amp;startStation=90&amp;endStation=59",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Francia</t>
        </is>
      </c>
      <c r="D296" t="inlineStr">
        <is>
          <t>Estrasburgo</t>
        </is>
      </c>
      <c r="E296" t="inlineStr">
        <is>
          <t>2026-05-08</t>
        </is>
      </c>
      <c r="F296" t="inlineStr">
        <is>
          <t>2026-05-15</t>
        </is>
      </c>
      <c r="G296" t="inlineStr">
        <is>
          <t xml:space="preserve"> - Beach Hostel</t>
        </is>
      </c>
      <c r="H296">
        <f>HYPERLINK("https://booking.roadsurfer.com/es/rally/pick?pickup_date=2026-05-08&amp;return_date=2026-05-15&amp;currency=EUR&amp;startStation=90&amp;endStation=49",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Beach Hostel</t>
        </is>
      </c>
      <c r="H297">
        <f>HYPERLINK("https://booking.roadsurfer.com/es/rally/pick?pickup_date=2026-04-13&amp;return_date=2026-04-20&amp;currency=EUR&amp;startStation=90&amp;endStation=15",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Austria</t>
        </is>
      </c>
      <c r="D298" t="inlineStr">
        <is>
          <t>Salzburgo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Beach Hostel</t>
        </is>
      </c>
      <c r="H298">
        <f>HYPERLINK("https://booking.roadsurfer.com/es/rally/pick?pickup_date=2026-05-21&amp;return_date=2026-05-28&amp;currency=EUR&amp;startStation=90&amp;endStation=85",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Travel Home</t>
        </is>
      </c>
      <c r="H299">
        <f>HYPERLINK("https://booking.roadsurfer.com/es/rally/pick?pickup_date=2026-05-06&amp;return_date=2026-05-13&amp;currency=EUR&amp;startStation=90&amp;endStation=13",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2026-04-10</t>
        </is>
      </c>
      <c r="F300" t="inlineStr">
        <is>
          <t>2026-04-17</t>
        </is>
      </c>
      <c r="G300" t="inlineStr">
        <is>
          <t xml:space="preserve"> - Camper Cabin</t>
        </is>
      </c>
      <c r="H300">
        <f>HYPERLINK("https://booking.roadsurfer.com/es/rally/pick?pickup_date=2026-04-10&amp;return_date=2026-04-17&amp;currency=EUR&amp;startStation=90&amp;endStation=45",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2026-04-14</t>
        </is>
      </c>
      <c r="F301" t="inlineStr">
        <is>
          <t>2026-04-21</t>
        </is>
      </c>
      <c r="G301" t="inlineStr">
        <is>
          <t xml:space="preserve"> - Road House</t>
        </is>
      </c>
      <c r="H301">
        <f>HYPERLINK("https://booking.roadsurfer.com/es/rally/pick?pickup_date=2026-04-14&amp;return_date=2026-04-21&amp;currency=EUR&amp;startStation=90&amp;endStation=77",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2026-04-15</t>
        </is>
      </c>
      <c r="F302" t="inlineStr">
        <is>
          <t>2026-04-22</t>
        </is>
      </c>
      <c r="G302" t="inlineStr">
        <is>
          <t xml:space="preserve"> - Family Finca</t>
        </is>
      </c>
      <c r="H302">
        <f>HYPERLINK("https://booking.roadsurfer.com/es/rally/pick?pickup_date=2026-04-15&amp;return_date=2026-04-22&amp;currency=EUR&amp;startStation=90&amp;endStation=30",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Couple Cottage</t>
        </is>
      </c>
      <c r="H303">
        <f>HYPERLINK("https://booking.roadsurfer.com/es/rally/pick?pickup_date=2026-04-23&amp;return_date=2026-04-30&amp;currency=EUR&amp;startStation=90&amp;endStation=29",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2026-04-22</t>
        </is>
      </c>
      <c r="F304" t="inlineStr">
        <is>
          <t>2026-04-29</t>
        </is>
      </c>
      <c r="G304" t="inlineStr">
        <is>
          <t xml:space="preserve"> - Sunrise Suite</t>
        </is>
      </c>
      <c r="H304">
        <f>HYPERLINK("https://booking.roadsurfer.com/es/rally/pick?pickup_date=2026-04-22&amp;return_date=2026-04-29&amp;currency=EUR&amp;startStation=90&amp;endStation=78", "Clic para verlo en la web de RoadSurfer")</f>
        <v/>
      </c>
    </row>
    <row r="305">
      <c r="A305" t="inlineStr">
        <is>
          <t>Italia</t>
        </is>
      </c>
      <c r="B305" t="inlineStr">
        <is>
          <t>Florencia</t>
        </is>
      </c>
      <c r="C305" t="inlineStr">
        <is>
          <t>Alemania</t>
        </is>
      </c>
      <c r="D305" t="inlineStr">
        <is>
          <t>Bochum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Surfer Suite</t>
        </is>
      </c>
      <c r="H305">
        <f>HYPERLINK("https://booking.roadsurfer.com/es/rally/pick?pickup_date=2026-04-09&amp;return_date=2026-04-16&amp;currency=EUR&amp;startStation=80&amp;endStation=24", "Clic para verlo en la web de RoadSurfer")</f>
        <v/>
      </c>
    </row>
    <row r="306">
      <c r="A306" t="inlineStr">
        <is>
          <t>Italia</t>
        </is>
      </c>
      <c r="B306" t="inlineStr">
        <is>
          <t>Florencia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Road House</t>
        </is>
      </c>
      <c r="H306">
        <f>HYPERLINK("https://booking.roadsurfer.com/es/rally/pick?pickup_date=2026-05-11&amp;return_date=2026-05-18&amp;currency=EUR&amp;startStation=80&amp;endStation=1", "Clic para verlo en la web de RoadSurfer")</f>
        <v/>
      </c>
    </row>
    <row r="307">
      <c r="A307" t="inlineStr">
        <is>
          <t>Italia</t>
        </is>
      </c>
      <c r="B307" t="inlineStr">
        <is>
          <t>Florencia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Surfer Suite</t>
        </is>
      </c>
      <c r="H307">
        <f>HYPERLINK("https://booking.roadsurfer.com/es/rally/pick?pickup_date=2026-05-04&amp;return_date=2026-05-11&amp;currency=EUR&amp;startStation=80&amp;endStation=1", "Clic para verlo en la web de RoadSurfer")</f>
        <v/>
      </c>
    </row>
    <row r="308">
      <c r="A308" t="inlineStr">
        <is>
          <t>Italia</t>
        </is>
      </c>
      <c r="B308" t="inlineStr">
        <is>
          <t>Florencia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Couple Cottage</t>
        </is>
      </c>
      <c r="H308">
        <f>HYPERLINK("https://booking.roadsurfer.com/es/rally/pick?pickup_date=2026-05-08&amp;return_date=2026-05-15&amp;currency=EUR&amp;startStation=80&amp;endStation=5", "Clic para verlo en la web de RoadSurfer")</f>
        <v/>
      </c>
    </row>
    <row r="309">
      <c r="A309" t="inlineStr">
        <is>
          <t>Italia</t>
        </is>
      </c>
      <c r="B309" t="inlineStr">
        <is>
          <t>Florencia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Beach Hostel - Road House</t>
        </is>
      </c>
      <c r="H309">
        <f>HYPERLINK("https://booking.roadsurfer.com/es/rally/pick?pickup_date=2026-05-11&amp;return_date=2026-05-18&amp;currency=EUR&amp;startStation=80&amp;endStation=5", "Clic para verlo en la web de RoadSurfer")</f>
        <v/>
      </c>
    </row>
    <row r="310">
      <c r="A310" t="inlineStr">
        <is>
          <t>Italia</t>
        </is>
      </c>
      <c r="B310" t="inlineStr">
        <is>
          <t>Florencia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Couple Cottage</t>
        </is>
      </c>
      <c r="H310">
        <f>HYPERLINK("https://booking.roadsurfer.com/es/rally/pick?pickup_date=2026-05-06&amp;return_date=2026-05-13&amp;currency=EUR&amp;startStation=80&amp;endStation=5", "Clic para verlo en la web de RoadSurfer")</f>
        <v/>
      </c>
    </row>
    <row r="311">
      <c r="A311" t="inlineStr">
        <is>
          <t>Italia</t>
        </is>
      </c>
      <c r="B311" t="inlineStr">
        <is>
          <t>Florencia</t>
        </is>
      </c>
      <c r="C311" t="inlineStr">
        <is>
          <t>Alemania</t>
        </is>
      </c>
      <c r="D311" t="inlineStr">
        <is>
          <t>Augsburgo</t>
        </is>
      </c>
      <c r="E311" t="inlineStr">
        <is>
          <t>2026-05-12</t>
        </is>
      </c>
      <c r="F311" t="inlineStr">
        <is>
          <t>2026-05-19</t>
        </is>
      </c>
      <c r="G311" t="inlineStr">
        <is>
          <t xml:space="preserve"> - ROAD HOUSE</t>
        </is>
      </c>
      <c r="H311">
        <f>HYPERLINK("https://booking.roadsurfer.com/es/rally/pick?pickup_date=2026-05-12&amp;return_date=2026-05-19&amp;currency=EUR&amp;startStation=80&amp;endStation=108", "Clic para verlo en la web de RoadSurfer")</f>
        <v/>
      </c>
    </row>
    <row r="312">
      <c r="A312" t="inlineStr">
        <is>
          <t>Italia</t>
        </is>
      </c>
      <c r="B312" t="inlineStr">
        <is>
          <t>Florencia</t>
        </is>
      </c>
      <c r="C312" t="inlineStr">
        <is>
          <t>Alemania</t>
        </is>
      </c>
      <c r="D312" t="inlineStr">
        <is>
          <t>Augsburgo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Road House - Family Finca</t>
        </is>
      </c>
      <c r="H312">
        <f>HYPERLINK("https://booking.roadsurfer.com/es/rally/pick?pickup_date=2026-05-15&amp;return_date=2026-05-22&amp;currency=EUR&amp;startStation=80&amp;endStation=108", "Clic para verlo en la web de RoadSurfer")</f>
        <v/>
      </c>
    </row>
    <row r="313">
      <c r="A313" t="inlineStr">
        <is>
          <t>Italia</t>
        </is>
      </c>
      <c r="B313" t="inlineStr">
        <is>
          <t>Florencia</t>
        </is>
      </c>
      <c r="C313" t="inlineStr">
        <is>
          <t>Alemania</t>
        </is>
      </c>
      <c r="D313" t="inlineStr">
        <is>
          <t>Augsburgo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Couple Cottage</t>
        </is>
      </c>
      <c r="H313">
        <f>HYPERLINK("https://booking.roadsurfer.com/es/rally/pick?pickup_date=2026-05-11&amp;return_date=2026-05-18&amp;currency=EUR&amp;startStation=80&amp;endStation=108", "Clic para verlo en la web de RoadSurfer")</f>
        <v/>
      </c>
    </row>
    <row r="314">
      <c r="A314" t="inlineStr">
        <is>
          <t>Italia</t>
        </is>
      </c>
      <c r="B314" t="inlineStr">
        <is>
          <t>Florencia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Family Finca</t>
        </is>
      </c>
      <c r="H314">
        <f>HYPERLINK("https://booking.roadsurfer.com/es/rally/pick?pickup_date=2026-04-16&amp;return_date=2026-04-23&amp;currency=EUR&amp;startStation=80&amp;endStation=22",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Camper Castle</t>
        </is>
      </c>
      <c r="H315">
        <f>HYPERLINK("https://booking.roadsurfer.com/es/rally/pick?pickup_date=2026-04-15&amp;return_date=2026-04-22&amp;currency=EUR&amp;startStation=2&amp;endStation=94",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Cozy Cottage</t>
        </is>
      </c>
      <c r="H316">
        <f>HYPERLINK("https://booking.roadsurfer.com/es/rally/pick?pickup_date=2026-05-04&amp;return_date=2026-05-11&amp;currency=EUR&amp;startStation=2&amp;endStation=94",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Italia</t>
        </is>
      </c>
      <c r="D317" t="inlineStr">
        <is>
          <t>Bérgamo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Surfer Suite</t>
        </is>
      </c>
      <c r="H317">
        <f>HYPERLINK("https://booking.roadsurfer.com/es/rally/pick?pickup_date=2026-04-14&amp;return_date=2026-04-21&amp;currency=EUR&amp;startStation=2&amp;endStation=94",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2026-04-23</t>
        </is>
      </c>
      <c r="F318" t="inlineStr">
        <is>
          <t>2026-04-30</t>
        </is>
      </c>
      <c r="G318" t="inlineStr">
        <is>
          <t xml:space="preserve"> - No hay coche</t>
        </is>
      </c>
      <c r="H318">
        <f>HYPERLINK("https://booking.roadsurfer.com/es/rally/pick?pickup_date=2026-04-23&amp;return_date=2026-04-30&amp;currency=EUR&amp;startStation=2&amp;endStation=40",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Surfer Suite</t>
        </is>
      </c>
      <c r="H319">
        <f>HYPERLINK("https://booking.roadsurfer.com/es/rally/pick?pickup_date=2026-05-06&amp;return_date=2026-05-13&amp;currency=EUR&amp;startStation=2&amp;endStation=40",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Family Finca</t>
        </is>
      </c>
      <c r="H320">
        <f>HYPERLINK("https://booking.roadsurfer.com/es/rally/pick?pickup_date=2026-04-08&amp;return_date=2026-04-15&amp;currency=EUR&amp;startStation=2&amp;endStation=40",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España</t>
        </is>
      </c>
      <c r="D321" t="inlineStr">
        <is>
          <t>Málaga</t>
        </is>
      </c>
      <c r="E321" t="inlineStr">
        <is>
          <t>2026-04-21</t>
        </is>
      </c>
      <c r="F321" t="inlineStr">
        <is>
          <t>2026-04-28</t>
        </is>
      </c>
      <c r="G321" t="inlineStr">
        <is>
          <t xml:space="preserve"> - Surfer Suite</t>
        </is>
      </c>
      <c r="H321">
        <f>HYPERLINK("https://booking.roadsurfer.com/es/rally/pick?pickup_date=2026-04-21&amp;return_date=2026-04-28&amp;currency=EUR&amp;startStation=2&amp;endStation=21",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España</t>
        </is>
      </c>
      <c r="D322" t="inlineStr">
        <is>
          <t>Madrid</t>
        </is>
      </c>
      <c r="E322" t="inlineStr">
        <is>
          <t>2026-04-23</t>
        </is>
      </c>
      <c r="F322" t="inlineStr">
        <is>
          <t>2026-04-30</t>
        </is>
      </c>
      <c r="G322" t="inlineStr">
        <is>
          <t xml:space="preserve"> - Surfer Suite</t>
        </is>
      </c>
      <c r="H322">
        <f>HYPERLINK("https://booking.roadsurfer.com/es/rally/pick?pickup_date=2026-04-23&amp;return_date=2026-04-30&amp;currency=EUR&amp;startStation=2&amp;endStation=20",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España</t>
        </is>
      </c>
      <c r="D323" t="inlineStr">
        <is>
          <t>Madrid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SURFER SUITE</t>
        </is>
      </c>
      <c r="H323">
        <f>HYPERLINK("https://booking.roadsurfer.com/es/rally/pick?pickup_date=2026-04-13&amp;return_date=2026-04-20&amp;currency=EUR&amp;startStation=2&amp;endStation=20",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España</t>
        </is>
      </c>
      <c r="D324" t="inlineStr">
        <is>
          <t>Madrid</t>
        </is>
      </c>
      <c r="E324" t="inlineStr">
        <is>
          <t>2026-04-08</t>
        </is>
      </c>
      <c r="F324" t="inlineStr">
        <is>
          <t>2026-04-15</t>
        </is>
      </c>
      <c r="G324" t="inlineStr">
        <is>
          <t xml:space="preserve"> - Road House - Camper Castle</t>
        </is>
      </c>
      <c r="H324">
        <f>HYPERLINK("https://booking.roadsurfer.com/es/rally/pick?pickup_date=2026-04-08&amp;return_date=2026-04-15&amp;currency=EUR&amp;startStation=2&amp;endStation=20",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Francia</t>
        </is>
      </c>
      <c r="D325" t="inlineStr">
        <is>
          <t>París Aeropuerto CDG</t>
        </is>
      </c>
      <c r="E325" t="inlineStr">
        <is>
          <t>2026-04-17</t>
        </is>
      </c>
      <c r="F325" t="inlineStr">
        <is>
          <t>2026-04-24</t>
        </is>
      </c>
      <c r="G325" t="inlineStr">
        <is>
          <t xml:space="preserve"> - Surfer Suite</t>
        </is>
      </c>
      <c r="H325">
        <f>HYPERLINK("https://booking.roadsurfer.com/es/rally/pick?pickup_date=2026-04-17&amp;return_date=2026-04-24&amp;currency=EUR&amp;startStation=2&amp;endStation=48",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Francia</t>
        </is>
      </c>
      <c r="D326" t="inlineStr">
        <is>
          <t>París Aeropuerto CDG</t>
        </is>
      </c>
      <c r="E326" t="inlineStr">
        <is>
          <t>2026-04-14</t>
        </is>
      </c>
      <c r="F326" t="inlineStr">
        <is>
          <t>2026-04-21</t>
        </is>
      </c>
      <c r="G326" t="inlineStr">
        <is>
          <t xml:space="preserve"> - Surfer Suite</t>
        </is>
      </c>
      <c r="H326">
        <f>HYPERLINK("https://booking.roadsurfer.com/es/rally/pick?pickup_date=2026-04-14&amp;return_date=2026-04-21&amp;currency=EUR&amp;startStation=2&amp;endStation=48",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2026-04-10</t>
        </is>
      </c>
      <c r="F327" t="inlineStr">
        <is>
          <t>2026-04-17</t>
        </is>
      </c>
      <c r="G327" t="inlineStr">
        <is>
          <t xml:space="preserve"> - Surfer Suite</t>
        </is>
      </c>
      <c r="H327">
        <f>HYPERLINK("https://booking.roadsurfer.com/es/rally/pick?pickup_date=2026-04-10&amp;return_date=2026-04-17&amp;currency=EUR&amp;startStation=2&amp;endStation=34",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2026-04-27</t>
        </is>
      </c>
      <c r="F328" t="inlineStr">
        <is>
          <t>2026-05-04</t>
        </is>
      </c>
      <c r="G328" t="inlineStr">
        <is>
          <t xml:space="preserve"> - Camper Castle</t>
        </is>
      </c>
      <c r="H328">
        <f>HYPERLINK("https://booking.roadsurfer.com/es/rally/pick?pickup_date=2026-04-27&amp;return_date=2026-05-04&amp;currency=EUR&amp;startStation=2&amp;endStation=34",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Francia</t>
        </is>
      </c>
      <c r="D329" t="inlineStr">
        <is>
          <t>Ginebra-Pays de Gex (Francia)</t>
        </is>
      </c>
      <c r="E329" t="inlineStr">
        <is>
          <t>2026-04-11</t>
        </is>
      </c>
      <c r="F329" t="inlineStr">
        <is>
          <t>2026-04-18</t>
        </is>
      </c>
      <c r="G329" t="inlineStr">
        <is>
          <t xml:space="preserve"> - Sunrise Suite</t>
        </is>
      </c>
      <c r="H329">
        <f>HYPERLINK("https://booking.roadsurfer.com/es/rally/pick?pickup_date=2026-04-11&amp;return_date=2026-04-18&amp;currency=EUR&amp;startStation=2&amp;endStation=29",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Sunrise Suite</t>
        </is>
      </c>
      <c r="H330">
        <f>HYPERLINK("https://booking.roadsurfer.com/es/rally/pick?pickup_date=2026-04-13&amp;return_date=2026-04-20&amp;currency=EUR&amp;startStation=2&amp;endStation=29",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Francia</t>
        </is>
      </c>
      <c r="D331" t="inlineStr">
        <is>
          <t>Ginebra-Pays de Gex (Francia)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Sunrise Suite</t>
        </is>
      </c>
      <c r="H331">
        <f>HYPERLINK("https://booking.roadsurfer.com/es/rally/pick?pickup_date=2026-04-14&amp;return_date=2026-04-21&amp;currency=EUR&amp;startStation=2&amp;endStation=29",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Surfer Suite</t>
        </is>
      </c>
      <c r="H332">
        <f>HYPERLINK("https://booking.roadsurfer.com/es/rally/pick?pickup_date=2026-04-20&amp;return_date=2026-04-27&amp;currency=EUR&amp;startStation=2&amp;endStation=29",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2026-04-17</t>
        </is>
      </c>
      <c r="F333" t="inlineStr">
        <is>
          <t>2026-04-24</t>
        </is>
      </c>
      <c r="G333" t="inlineStr">
        <is>
          <t xml:space="preserve"> - Family Finca</t>
        </is>
      </c>
      <c r="H333">
        <f>HYPERLINK("https://booking.roadsurfer.com/es/rally/pick?pickup_date=2026-04-17&amp;return_date=2026-04-24&amp;currency=EUR&amp;startStation=2&amp;endStation=29",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Cozy Cottage</t>
        </is>
      </c>
      <c r="H334">
        <f>HYPERLINK("https://booking.roadsurfer.com/es/rally/pick?pickup_date=2026-05-11&amp;return_date=2026-05-18&amp;currency=EUR&amp;startStation=2&amp;endStation=29",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Beach Hostel</t>
        </is>
      </c>
      <c r="H335">
        <f>HYPERLINK("https://booking.roadsurfer.com/es/rally/pick?pickup_date=2026-04-13&amp;return_date=2026-04-20&amp;currency=EUR&amp;startStation=2&amp;endStation=56",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Francia</t>
        </is>
      </c>
      <c r="D336" t="inlineStr">
        <is>
          <t>Lyon</t>
        </is>
      </c>
      <c r="E336" t="inlineStr">
        <is>
          <t>2026-05-18</t>
        </is>
      </c>
      <c r="F336" t="inlineStr">
        <is>
          <t>2026-05-25</t>
        </is>
      </c>
      <c r="G336" t="inlineStr">
        <is>
          <t xml:space="preserve"> - No hay coche</t>
        </is>
      </c>
      <c r="H336">
        <f>HYPERLINK("https://booking.roadsurfer.com/es/rally/pick?pickup_date=2026-05-18&amp;return_date=2026-05-25&amp;currency=EUR&amp;startStation=2&amp;endStation=15",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2026-04-09</t>
        </is>
      </c>
      <c r="F337" t="inlineStr">
        <is>
          <t>2026-04-16</t>
        </is>
      </c>
      <c r="G337" t="inlineStr">
        <is>
          <t xml:space="preserve"> - Couple Cottage</t>
        </is>
      </c>
      <c r="H337">
        <f>HYPERLINK("https://booking.roadsurfer.com/es/rally/pick?pickup_date=2026-04-09&amp;return_date=2026-04-16&amp;currency=EUR&amp;startStation=2&amp;endStation=15",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Francia</t>
        </is>
      </c>
      <c r="D338" t="inlineStr">
        <is>
          <t>Burdeos</t>
        </is>
      </c>
      <c r="E338" t="inlineStr">
        <is>
          <t>2026-04-28</t>
        </is>
      </c>
      <c r="F338" t="inlineStr">
        <is>
          <t>2026-05-05</t>
        </is>
      </c>
      <c r="G338" t="inlineStr">
        <is>
          <t xml:space="preserve"> - Travel Home</t>
        </is>
      </c>
      <c r="H338">
        <f>HYPERLINK("https://booking.roadsurfer.com/es/rally/pick?pickup_date=2026-04-28&amp;return_date=2026-05-05&amp;currency=EUR&amp;startStation=2&amp;endStation=13",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No hay coche</t>
        </is>
      </c>
      <c r="H339">
        <f>HYPERLINK("https://booking.roadsurfer.com/es/rally/pick?pickup_date=2026-04-20&amp;return_date=2026-04-27&amp;currency=EUR&amp;startStation=2&amp;endStation=128",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2026-04-07</t>
        </is>
      </c>
      <c r="F340" t="inlineStr">
        <is>
          <t>2026-04-14</t>
        </is>
      </c>
      <c r="G340" t="inlineStr">
        <is>
          <t xml:space="preserve"> - No hay coche</t>
        </is>
      </c>
      <c r="H340">
        <f>HYPERLINK("https://booking.roadsurfer.com/es/rally/pick?pickup_date=2026-04-07&amp;return_date=2026-04-14&amp;currency=EUR&amp;startStation=2&amp;endStation=30",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2026-04-07</t>
        </is>
      </c>
      <c r="F341" t="inlineStr">
        <is>
          <t>2026-04-14</t>
        </is>
      </c>
      <c r="G341" t="inlineStr">
        <is>
          <t xml:space="preserve"> - Family Finca</t>
        </is>
      </c>
      <c r="H341">
        <f>HYPERLINK("https://booking.roadsurfer.com/es/rally/pick?pickup_date=2026-04-07&amp;return_date=2026-04-14&amp;currency=EUR&amp;startStation=2&amp;endStation=17",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Italia</t>
        </is>
      </c>
      <c r="D342" t="inlineStr">
        <is>
          <t>Venecia</t>
        </is>
      </c>
      <c r="E342" t="inlineStr">
        <is>
          <t>2026-04-29</t>
        </is>
      </c>
      <c r="F342" t="inlineStr">
        <is>
          <t>2026-05-06</t>
        </is>
      </c>
      <c r="G342" t="inlineStr">
        <is>
          <t xml:space="preserve"> - Couple Cottage</t>
        </is>
      </c>
      <c r="H342">
        <f>HYPERLINK("https://booking.roadsurfer.com/es/rally/pick?pickup_date=2026-04-29&amp;return_date=2026-05-06&amp;currency=EUR&amp;startStation=2&amp;endStation=78",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2026-04-20</t>
        </is>
      </c>
      <c r="F343" t="inlineStr">
        <is>
          <t>2026-04-27</t>
        </is>
      </c>
      <c r="G343" t="inlineStr">
        <is>
          <t xml:space="preserve"> - No hay coche</t>
        </is>
      </c>
      <c r="H343">
        <f>HYPERLINK("https://booking.roadsurfer.com/es/rally/pick?pickup_date=2026-04-20&amp;return_date=2026-04-27&amp;currency=EUR&amp;startStation=2&amp;endStation=32",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Couple Cottage</t>
        </is>
      </c>
      <c r="H344">
        <f>HYPERLINK("https://booking.roadsurfer.com/es/rally/pick?pickup_date=2026-04-16&amp;return_date=2026-04-23&amp;currency=EUR&amp;startStation=2&amp;endStation=12",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Cozy Cottage</t>
        </is>
      </c>
      <c r="H345">
        <f>HYPERLINK("https://booking.roadsurfer.com/es/rally/pick?pickup_date=2026-04-30&amp;return_date=2026-05-07&amp;currency=EUR&amp;startStation=2&amp;endStation=77",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2026-05-05</t>
        </is>
      </c>
      <c r="F346" t="inlineStr">
        <is>
          <t>2026-05-12</t>
        </is>
      </c>
      <c r="G346" t="inlineStr">
        <is>
          <t xml:space="preserve"> - Sunrise Suite</t>
        </is>
      </c>
      <c r="H346">
        <f>HYPERLINK("https://booking.roadsurfer.com/es/rally/pick?pickup_date=2026-05-05&amp;return_date=2026-05-12&amp;currency=EUR&amp;startStation=2&amp;endStation=59",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2026-04-28</t>
        </is>
      </c>
      <c r="F347" t="inlineStr">
        <is>
          <t>2026-05-05</t>
        </is>
      </c>
      <c r="G347" t="inlineStr">
        <is>
          <t xml:space="preserve"> - Surfer Suite</t>
        </is>
      </c>
      <c r="H347">
        <f>HYPERLINK("https://booking.roadsurfer.com/es/rally/pick?pickup_date=2026-04-28&amp;return_date=2026-05-05&amp;currency=EUR&amp;startStation=9&amp;endStation=15",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Francia</t>
        </is>
      </c>
      <c r="D348" t="inlineStr">
        <is>
          <t>Lyon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No hay coche</t>
        </is>
      </c>
      <c r="H348">
        <f>HYPERLINK("https://booking.roadsurfer.com/es/rally/pick?pickup_date=2026-04-20&amp;return_date=2026-04-27&amp;currency=EUR&amp;startStation=9&amp;endStation=15",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Francia</t>
        </is>
      </c>
      <c r="D349" t="inlineStr">
        <is>
          <t>Lyon</t>
        </is>
      </c>
      <c r="E349" t="inlineStr">
        <is>
          <t>2026-04-17</t>
        </is>
      </c>
      <c r="F349" t="inlineStr">
        <is>
          <t>2026-04-24</t>
        </is>
      </c>
      <c r="G349" t="inlineStr">
        <is>
          <t xml:space="preserve"> - Surfer Suite</t>
        </is>
      </c>
      <c r="H349">
        <f>HYPERLINK("https://booking.roadsurfer.com/es/rally/pick?pickup_date=2026-04-17&amp;return_date=2026-04-24&amp;currency=EUR&amp;startStation=9&amp;endStation=15",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Surfer Suite - Camper Cabin</t>
        </is>
      </c>
      <c r="H350">
        <f>HYPERLINK("https://booking.roadsurfer.com/es/rally/pick?pickup_date=2026-04-13&amp;return_date=2026-04-20&amp;currency=EUR&amp;startStation=9&amp;endStation=40",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España</t>
        </is>
      </c>
      <c r="D351" t="inlineStr">
        <is>
          <t>Bilbao</t>
        </is>
      </c>
      <c r="E351" t="inlineStr">
        <is>
          <t>2026-04-09</t>
        </is>
      </c>
      <c r="F351" t="inlineStr">
        <is>
          <t>2026-04-16</t>
        </is>
      </c>
      <c r="G351" t="inlineStr">
        <is>
          <t xml:space="preserve"> - Surfer Suite</t>
        </is>
      </c>
      <c r="H351">
        <f>HYPERLINK("https://booking.roadsurfer.com/es/rally/pick?pickup_date=2026-04-09&amp;return_date=2026-04-16&amp;currency=EUR&amp;startStation=9&amp;endStation=40",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Family Finca</t>
        </is>
      </c>
      <c r="H352">
        <f>HYPERLINK("https://booking.roadsurfer.com/es/rally/pick?pickup_date=2026-05-11&amp;return_date=2026-05-18&amp;currency=EUR&amp;startStation=9&amp;endStation=40",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2026-04-23</t>
        </is>
      </c>
      <c r="F353" t="inlineStr">
        <is>
          <t>2026-04-30</t>
        </is>
      </c>
      <c r="G353" t="inlineStr">
        <is>
          <t xml:space="preserve"> - Surfer Suite</t>
        </is>
      </c>
      <c r="H353">
        <f>HYPERLINK("https://booking.roadsurfer.com/es/rally/pick?pickup_date=2026-04-23&amp;return_date=2026-04-30&amp;currency=EUR&amp;startStation=9&amp;endStation=91",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Surfer Suite</t>
        </is>
      </c>
      <c r="H354">
        <f>HYPERLINK("https://booking.roadsurfer.com/es/rally/pick?pickup_date=2026-04-14&amp;return_date=2026-04-21&amp;currency=EUR&amp;startStation=9&amp;endStation=20",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2026-04-25</t>
        </is>
      </c>
      <c r="F355" t="inlineStr">
        <is>
          <t>2026-05-02</t>
        </is>
      </c>
      <c r="G355" t="inlineStr">
        <is>
          <t xml:space="preserve"> - Surfer Suite</t>
        </is>
      </c>
      <c r="H355">
        <f>HYPERLINK("https://booking.roadsurfer.com/es/rally/pick?pickup_date=2026-04-25&amp;return_date=2026-05-02&amp;currency=EUR&amp;startStation=9&amp;endStation=16",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Alemania</t>
        </is>
      </c>
      <c r="D356" t="inlineStr">
        <is>
          <t>Aquisgrán</t>
        </is>
      </c>
      <c r="E356" t="inlineStr">
        <is>
          <t>2026-04-20</t>
        </is>
      </c>
      <c r="F356" t="inlineStr">
        <is>
          <t>2026-04-27</t>
        </is>
      </c>
      <c r="G356" t="inlineStr">
        <is>
          <t xml:space="preserve"> - Surfer Suite</t>
        </is>
      </c>
      <c r="H356">
        <f>HYPERLINK("https://booking.roadsurfer.com/es/rally/pick?pickup_date=2026-04-20&amp;return_date=2026-04-27&amp;currency=EUR&amp;startStation=9&amp;endStation=114",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Alemania</t>
        </is>
      </c>
      <c r="D357" t="inlineStr">
        <is>
          <t>Aquisgrán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Surfer Suite</t>
        </is>
      </c>
      <c r="H357">
        <f>HYPERLINK("https://booking.roadsurfer.com/es/rally/pick?pickup_date=2026-04-23&amp;return_date=2026-04-30&amp;currency=EUR&amp;startStation=9&amp;endStation=114",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Surfer Suite</t>
        </is>
      </c>
      <c r="H358">
        <f>HYPERLINK("https://booking.roadsurfer.com/es/rally/pick?pickup_date=2026-04-13&amp;return_date=2026-04-20&amp;currency=EUR&amp;startStation=9&amp;endStation=29",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Surfer Suite</t>
        </is>
      </c>
      <c r="H359">
        <f>HYPERLINK("https://booking.roadsurfer.com/es/rally/pick?pickup_date=2026-04-14&amp;return_date=2026-04-21&amp;currency=EUR&amp;startStation=9&amp;endStation=29",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España</t>
        </is>
      </c>
      <c r="D360" t="inlineStr">
        <is>
          <t>Barcelona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Surfer Suite</t>
        </is>
      </c>
      <c r="H360">
        <f>HYPERLINK("https://booking.roadsurfer.com/es/rally/pick?pickup_date=2026-04-20&amp;return_date=2026-04-27&amp;currency=EUR&amp;startStation=9&amp;endStation=17",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2026-04-16</t>
        </is>
      </c>
      <c r="F361" t="inlineStr">
        <is>
          <t>2026-04-23</t>
        </is>
      </c>
      <c r="G361" t="inlineStr">
        <is>
          <t xml:space="preserve"> - Camper Cabin</t>
        </is>
      </c>
      <c r="H361">
        <f>HYPERLINK("https://booking.roadsurfer.com/es/rally/pick?pickup_date=2026-04-16&amp;return_date=2026-04-23&amp;currency=EUR&amp;startStation=9&amp;endStation=1",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Alemania</t>
        </is>
      </c>
      <c r="D362" t="inlineStr">
        <is>
          <t>Tréveris</t>
        </is>
      </c>
      <c r="E362" t="inlineStr">
        <is>
          <t>2026-05-21</t>
        </is>
      </c>
      <c r="F362" t="inlineStr">
        <is>
          <t>2026-05-28</t>
        </is>
      </c>
      <c r="G362" t="inlineStr">
        <is>
          <t xml:space="preserve"> - Camper Cabin</t>
        </is>
      </c>
      <c r="H362">
        <f>HYPERLINK("https://booking.roadsurfer.com/es/rally/pick?pickup_date=2026-05-21&amp;return_date=2026-05-28&amp;currency=EUR&amp;startStation=9&amp;endStation=28",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Francia</t>
        </is>
      </c>
      <c r="D363" t="inlineStr">
        <is>
          <t>Nantes</t>
        </is>
      </c>
      <c r="E363" t="inlineStr">
        <is>
          <t>2026-04-22</t>
        </is>
      </c>
      <c r="F363" t="inlineStr">
        <is>
          <t>2026-04-29</t>
        </is>
      </c>
      <c r="G363" t="inlineStr">
        <is>
          <t xml:space="preserve"> - CAMPER CABIN</t>
        </is>
      </c>
      <c r="H363">
        <f>HYPERLINK("https://booking.roadsurfer.com/es/rally/pick?pickup_date=2026-04-22&amp;return_date=2026-04-29&amp;currency=EUR&amp;startStation=9&amp;endStation=31",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2026-05-13</t>
        </is>
      </c>
      <c r="F364" t="inlineStr">
        <is>
          <t>2026-05-20</t>
        </is>
      </c>
      <c r="G364" t="inlineStr">
        <is>
          <t xml:space="preserve"> - Cozy Cottage</t>
        </is>
      </c>
      <c r="H364">
        <f>HYPERLINK("https://booking.roadsurfer.com/es/rally/pick?pickup_date=2026-05-13&amp;return_date=2026-05-20&amp;currency=EUR&amp;startStation=9&amp;endStation=6",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Colonia-Bonn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Surfer Suite</t>
        </is>
      </c>
      <c r="H365">
        <f>HYPERLINK("https://booking.roadsurfer.com/es/rally/pick?pickup_date=2026-04-08&amp;return_date=2026-04-15&amp;currency=EUR&amp;startStation=29&amp;endStation=52",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Colonia-Bonn</t>
        </is>
      </c>
      <c r="E366" t="inlineStr">
        <is>
          <t>2026-04-11</t>
        </is>
      </c>
      <c r="F366" t="inlineStr">
        <is>
          <t>2026-04-18</t>
        </is>
      </c>
      <c r="G366" t="inlineStr">
        <is>
          <t xml:space="preserve"> - Beach Hostel</t>
        </is>
      </c>
      <c r="H366">
        <f>HYPERLINK("https://booking.roadsurfer.com/es/rally/pick?pickup_date=2026-04-11&amp;return_date=2026-04-18&amp;currency=EUR&amp;startStation=29&amp;endStation=52",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Kassel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Camper Cabin</t>
        </is>
      </c>
      <c r="H367">
        <f>HYPERLINK("https://booking.roadsurfer.com/es/rally/pick?pickup_date=2026-05-04&amp;return_date=2026-05-11&amp;currency=EUR&amp;startStation=29&amp;endStation=92",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Kassel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Surfer Suite</t>
        </is>
      </c>
      <c r="H368">
        <f>HYPERLINK("https://booking.roadsurfer.com/es/rally/pick?pickup_date=2026-05-06&amp;return_date=2026-05-13&amp;currency=EUR&amp;startStation=29&amp;endStation=92",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CAMPER CABIN</t>
        </is>
      </c>
      <c r="H369">
        <f>HYPERLINK("https://booking.roadsurfer.com/es/rally/pick?pickup_date=2026-05-15&amp;return_date=2026-05-22&amp;currency=EUR&amp;startStation=29&amp;endStation=90",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Camper Cabin</t>
        </is>
      </c>
      <c r="H370">
        <f>HYPERLINK("https://booking.roadsurfer.com/es/rally/pick?pickup_date=2026-05-13&amp;return_date=2026-05-20&amp;currency=EUR&amp;startStation=29&amp;endStation=90",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HYPERLINK("https://booking.roadsurfer.com/es/rally/pick?pickup_date=2026-05-11&amp;return_date=2026-05-18&amp;currency=EUR&amp;startStation=29&amp;endStation=90",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2026-05-26</t>
        </is>
      </c>
      <c r="F372" t="inlineStr">
        <is>
          <t>2026-06-02</t>
        </is>
      </c>
      <c r="G372" t="inlineStr">
        <is>
          <t xml:space="preserve"> - Cozy Cottage</t>
        </is>
      </c>
      <c r="H372">
        <f>HYPERLINK("https://booking.roadsurfer.com/es/rally/pick?pickup_date=2026-05-26&amp;return_date=2026-06-02&amp;currency=EUR&amp;startStation=29&amp;endStation=90",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Cozy Cottage</t>
        </is>
      </c>
      <c r="H373">
        <f>HYPERLINK("https://booking.roadsurfer.com/es/rally/pick?pickup_date=2026-04-13&amp;return_date=2026-04-20&amp;currency=EUR&amp;startStation=29&amp;endStation=90",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Constanza (Aach)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Camper Cabin</t>
        </is>
      </c>
      <c r="H374">
        <f>HYPERLINK("https://booking.roadsurfer.com/es/rally/pick?pickup_date=2026-05-15&amp;return_date=2026-05-22&amp;currency=EUR&amp;startStation=29&amp;endStation=10",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2026-05-23</t>
        </is>
      </c>
      <c r="F375" t="inlineStr">
        <is>
          <t>2026-05-30</t>
        </is>
      </c>
      <c r="G375" t="inlineStr">
        <is>
          <t xml:space="preserve"> - Surfer Suite</t>
        </is>
      </c>
      <c r="H375">
        <f>HYPERLINK("https://booking.roadsurfer.com/es/rally/pick?pickup_date=2026-05-23&amp;return_date=2026-05-30&amp;currency=EUR&amp;startStation=29&amp;endStation=10",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Augsburgo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Surfer Suite</t>
        </is>
      </c>
      <c r="H376">
        <f>HYPERLINK("https://booking.roadsurfer.com/es/rally/pick?pickup_date=2026-05-11&amp;return_date=2026-05-18&amp;currency=EUR&amp;startStation=29&amp;endStation=108",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Friburgo-Basilea (Alemania)</t>
        </is>
      </c>
      <c r="E377" t="inlineStr">
        <is>
          <t>2026-04-14</t>
        </is>
      </c>
      <c r="F377" t="inlineStr">
        <is>
          <t>2026-04-21</t>
        </is>
      </c>
      <c r="G377" t="inlineStr">
        <is>
          <t xml:space="preserve"> - Surfer Suite</t>
        </is>
      </c>
      <c r="H377">
        <f>HYPERLINK("https://booking.roadsurfer.com/es/rally/pick?pickup_date=2026-04-14&amp;return_date=2026-04-21&amp;currency=EUR&amp;startStation=29&amp;endStation=9",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Camper Castle</t>
        </is>
      </c>
      <c r="H378">
        <f>HYPERLINK("https://booking.roadsurfer.com/es/rally/pick?pickup_date=2026-05-20&amp;return_date=2026-05-27&amp;currency=EUR&amp;startStation=29&amp;endStation=22",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2026-05-06</t>
        </is>
      </c>
      <c r="F379" t="inlineStr">
        <is>
          <t>2026-05-13</t>
        </is>
      </c>
      <c r="G379" t="inlineStr">
        <is>
          <t xml:space="preserve"> - Travel Home</t>
        </is>
      </c>
      <c r="H379">
        <f>HYPERLINK("https://booking.roadsurfer.com/es/rally/pick?pickup_date=2026-05-06&amp;return_date=2026-05-13&amp;currency=EUR&amp;startStation=29&amp;endStation=22",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Camper Cabin</t>
        </is>
      </c>
      <c r="H380">
        <f>HYPERLINK("https://booking.roadsurfer.com/es/rally/pick?pickup_date=2026-05-04&amp;return_date=2026-05-11&amp;currency=EUR&amp;startStation=29&amp;endStation=22",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2026-05-08</t>
        </is>
      </c>
      <c r="F381" t="inlineStr">
        <is>
          <t>2026-05-15</t>
        </is>
      </c>
      <c r="G381" t="inlineStr">
        <is>
          <t xml:space="preserve"> - No hay coche</t>
        </is>
      </c>
      <c r="H381">
        <f>HYPERLINK("https://booking.roadsurfer.com/es/rally/pick?pickup_date=2026-05-08&amp;return_date=2026-05-15&amp;currency=EUR&amp;startStation=29&amp;endStation=22",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Couple Cottage</t>
        </is>
      </c>
      <c r="H382">
        <f>HYPERLINK("https://booking.roadsurfer.com/es/rally/pick?pickup_date=2026-04-16&amp;return_date=2026-04-23&amp;currency=EUR&amp;startStation=29&amp;endStation=22",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Lindau-Wangen</t>
        </is>
      </c>
      <c r="E383" t="inlineStr">
        <is>
          <t>2026-05-18</t>
        </is>
      </c>
      <c r="F383" t="inlineStr">
        <is>
          <t>2026-05-25</t>
        </is>
      </c>
      <c r="G383" t="inlineStr">
        <is>
          <t xml:space="preserve"> - No hay coche</t>
        </is>
      </c>
      <c r="H383">
        <f>HYPERLINK("https://booking.roadsurfer.com/es/rally/pick?pickup_date=2026-05-18&amp;return_date=2026-05-25&amp;currency=EUR&amp;startStation=29&amp;endStation=117",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Lindau-Wangen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Couple Cottage</t>
        </is>
      </c>
      <c r="H384">
        <f>HYPERLINK("https://booking.roadsurfer.com/es/rally/pick?pickup_date=2026-05-23&amp;return_date=2026-05-30&amp;currency=EUR&amp;startStation=29&amp;endStation=117",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Road House</t>
        </is>
      </c>
      <c r="H385">
        <f>HYPERLINK("https://booking.roadsurfer.com/es/rally/pick?pickup_date=2026-05-04&amp;return_date=2026-05-11&amp;currency=EUR&amp;startStation=29&amp;endStation=56",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Dresde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Camper Cabin</t>
        </is>
      </c>
      <c r="H386">
        <f>HYPERLINK("https://booking.roadsurfer.com/es/rally/pick?pickup_date=2026-05-11&amp;return_date=2026-05-18&amp;currency=EUR&amp;startStation=29&amp;endStation=56",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2026-05-08</t>
        </is>
      </c>
      <c r="F387" t="inlineStr">
        <is>
          <t>2026-05-15</t>
        </is>
      </c>
      <c r="G387" t="inlineStr">
        <is>
          <t xml:space="preserve"> - No hay coche</t>
        </is>
      </c>
      <c r="H387">
        <f>HYPERLINK("https://booking.roadsurfer.com/es/rally/pick?pickup_date=2026-05-08&amp;return_date=2026-05-15&amp;currency=EUR&amp;startStation=29&amp;endStation=56",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Sunrise Suite</t>
        </is>
      </c>
      <c r="H388">
        <f>HYPERLINK("https://booking.roadsurfer.com/es/rally/pick?pickup_date=2026-05-15&amp;return_date=2026-05-22&amp;currency=EUR&amp;startStation=29&amp;endStation=56",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Wurzburgo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Road House</t>
        </is>
      </c>
      <c r="H389">
        <f>HYPERLINK("https://booking.roadsurfer.com/es/rally/pick?pickup_date=2026-05-04&amp;return_date=2026-05-11&amp;currency=EUR&amp;startStation=29&amp;endStation=115",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CAMPER CASTLE</t>
        </is>
      </c>
      <c r="H390">
        <f>HYPERLINK("https://booking.roadsurfer.com/es/rally/pick?pickup_date=2026-05-06&amp;return_date=2026-05-13&amp;currency=EUR&amp;startStation=29&amp;endStation=115",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Francia</t>
        </is>
      </c>
      <c r="D391" t="inlineStr">
        <is>
          <t>Nantes</t>
        </is>
      </c>
      <c r="E391" t="inlineStr">
        <is>
          <t>2026-04-23</t>
        </is>
      </c>
      <c r="F391" t="inlineStr">
        <is>
          <t>2026-04-30</t>
        </is>
      </c>
      <c r="G391" t="inlineStr">
        <is>
          <t xml:space="preserve"> - Family Finca</t>
        </is>
      </c>
      <c r="H391">
        <f>HYPERLINK("https://booking.roadsurfer.com/es/rally/pick?pickup_date=2026-04-23&amp;return_date=2026-04-30&amp;currency=EUR&amp;startStation=29&amp;endStation=31",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Bochum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Couple Cottage</t>
        </is>
      </c>
      <c r="H392">
        <f>HYPERLINK("https://booking.roadsurfer.com/es/rally/pick?pickup_date=2026-05-11&amp;return_date=2026-05-18&amp;currency=EUR&amp;startStation=29&amp;endStation=24",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Berlín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Sunrise Suite</t>
        </is>
      </c>
      <c r="H393">
        <f>HYPERLINK("https://booking.roadsurfer.com/es/rally/pick?pickup_date=2026-05-11&amp;return_date=2026-05-18&amp;currency=EUR&amp;startStation=29&amp;endStation=6",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Hamburgo Aeropuerto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Surfer Suite</t>
        </is>
      </c>
      <c r="H394">
        <f>HYPERLINK("https://booking.roadsurfer.com/es/rally/pick?pickup_date=2026-04-23&amp;return_date=2026-04-30&amp;currency=EUR&amp;startStation=77&amp;endStation=65",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Bremen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Surfer Suite</t>
        </is>
      </c>
      <c r="H395">
        <f>HYPERLINK("https://booking.roadsurfer.com/es/rally/pick?pickup_date=2026-04-13&amp;return_date=2026-04-20&amp;currency=EUR&amp;startStation=77&amp;endStation=55",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Bremen</t>
        </is>
      </c>
      <c r="E396" t="inlineStr">
        <is>
          <t>2026-04-08</t>
        </is>
      </c>
      <c r="F396" t="inlineStr">
        <is>
          <t>2026-04-15</t>
        </is>
      </c>
      <c r="G396" t="inlineStr">
        <is>
          <t xml:space="preserve"> - Surfer Suite</t>
        </is>
      </c>
      <c r="H396">
        <f>HYPERLINK("https://booking.roadsurfer.com/es/rally/pick?pickup_date=2026-04-08&amp;return_date=2026-04-15&amp;currency=EUR&amp;startStation=77&amp;endStation=55",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2026-04-07</t>
        </is>
      </c>
      <c r="F397" t="inlineStr">
        <is>
          <t>2026-04-14</t>
        </is>
      </c>
      <c r="G397" t="inlineStr">
        <is>
          <t xml:space="preserve"> - Family Finca</t>
        </is>
      </c>
      <c r="H397">
        <f>HYPERLINK("https://booking.roadsurfer.com/es/rally/pick?pickup_date=2026-04-07&amp;return_date=2026-04-14&amp;currency=EUR&amp;startStation=77&amp;endStation=55",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Kiel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Road House</t>
        </is>
      </c>
      <c r="H398">
        <f>HYPERLINK("https://booking.roadsurfer.com/es/rally/pick?pickup_date=2026-05-13&amp;return_date=2026-05-20&amp;currency=EUR&amp;startStation=77&amp;endStation=111",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Kiel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SURFER SUITE</t>
        </is>
      </c>
      <c r="H399">
        <f>HYPERLINK("https://booking.roadsurfer.com/es/rally/pick?pickup_date=2026-05-15&amp;return_date=2026-05-22&amp;currency=EUR&amp;startStation=77&amp;endStation=111",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Kiel</t>
        </is>
      </c>
      <c r="E400" t="inlineStr">
        <is>
          <t>2026-04-13</t>
        </is>
      </c>
      <c r="F400" t="inlineStr">
        <is>
          <t>2026-04-20</t>
        </is>
      </c>
      <c r="G400" t="inlineStr">
        <is>
          <t xml:space="preserve"> - Surfer Suite</t>
        </is>
      </c>
      <c r="H400">
        <f>HYPERLINK("https://booking.roadsurfer.com/es/rally/pick?pickup_date=2026-04-13&amp;return_date=2026-04-20&amp;currency=EUR&amp;startStation=77&amp;endStation=111",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Bielefeld</t>
        </is>
      </c>
      <c r="E401" t="inlineStr">
        <is>
          <t>2026-04-08</t>
        </is>
      </c>
      <c r="F401" t="inlineStr">
        <is>
          <t>2026-04-15</t>
        </is>
      </c>
      <c r="G401" t="inlineStr">
        <is>
          <t xml:space="preserve"> - Surfer Suite - Beach Hostel</t>
        </is>
      </c>
      <c r="H401">
        <f>HYPERLINK("https://booking.roadsurfer.com/es/rally/pick?pickup_date=2026-04-08&amp;return_date=2026-04-15&amp;currency=EUR&amp;startStation=77&amp;endStation=91",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Bielefeld</t>
        </is>
      </c>
      <c r="E402" t="inlineStr">
        <is>
          <t>2026-04-07</t>
        </is>
      </c>
      <c r="F402" t="inlineStr">
        <is>
          <t>2026-04-14</t>
        </is>
      </c>
      <c r="G402" t="inlineStr">
        <is>
          <t xml:space="preserve"> - Camper Castle - Sunrise Suite</t>
        </is>
      </c>
      <c r="H402">
        <f>HYPERLINK("https://booking.roadsurfer.com/es/rally/pick?pickup_date=2026-04-07&amp;return_date=2026-04-14&amp;currency=EUR&amp;startStation=77&amp;endStation=91",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Bielefeld</t>
        </is>
      </c>
      <c r="E403" t="inlineStr">
        <is>
          <t>2026-05-06</t>
        </is>
      </c>
      <c r="F403" t="inlineStr">
        <is>
          <t>2026-05-13</t>
        </is>
      </c>
      <c r="G403" t="inlineStr">
        <is>
          <t xml:space="preserve"> - Road House - Sunrise Suite</t>
        </is>
      </c>
      <c r="H403">
        <f>HYPERLINK("https://booking.roadsurfer.com/es/rally/pick?pickup_date=2026-05-06&amp;return_date=2026-05-13&amp;currency=EUR&amp;startStation=77&amp;endStation=91",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Bielefeld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Couple Cottage</t>
        </is>
      </c>
      <c r="H404">
        <f>HYPERLINK("https://booking.roadsurfer.com/es/rally/pick?pickup_date=2026-05-15&amp;return_date=2026-05-22&amp;currency=EUR&amp;startStation=77&amp;endStation=91",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2026-05-13</t>
        </is>
      </c>
      <c r="F405" t="inlineStr">
        <is>
          <t>2026-05-20</t>
        </is>
      </c>
      <c r="G405" t="inlineStr">
        <is>
          <t xml:space="preserve"> - Couple Cottage</t>
        </is>
      </c>
      <c r="H405">
        <f>HYPERLINK("https://booking.roadsurfer.com/es/rally/pick?pickup_date=2026-05-13&amp;return_date=2026-05-20&amp;currency=EUR&amp;startStation=77&amp;endStation=91",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Bielefeld</t>
        </is>
      </c>
      <c r="E406" t="inlineStr">
        <is>
          <t>2026-05-08</t>
        </is>
      </c>
      <c r="F406" t="inlineStr">
        <is>
          <t>2026-05-15</t>
        </is>
      </c>
      <c r="G406" t="inlineStr">
        <is>
          <t xml:space="preserve"> - Couple Cottage</t>
        </is>
      </c>
      <c r="H406">
        <f>HYPERLINK("https://booking.roadsurfer.com/es/rally/pick?pickup_date=2026-05-08&amp;return_date=2026-05-15&amp;currency=EUR&amp;startStation=77&amp;endStation=91",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Bielefeld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Sunrise Suite</t>
        </is>
      </c>
      <c r="H407">
        <f>HYPERLINK("https://booking.roadsurfer.com/es/rally/pick?pickup_date=2026-04-14&amp;return_date=2026-04-21&amp;currency=EUR&amp;startStation=77&amp;endStation=91",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Heidelberg</t>
        </is>
      </c>
      <c r="E408" t="inlineStr">
        <is>
          <t>2026-04-15</t>
        </is>
      </c>
      <c r="F408" t="inlineStr">
        <is>
          <t>2026-04-22</t>
        </is>
      </c>
      <c r="G408" t="inlineStr">
        <is>
          <t xml:space="preserve"> - Surfer Suite</t>
        </is>
      </c>
      <c r="H408">
        <f>HYPERLINK("https://booking.roadsurfer.com/es/rally/pick?pickup_date=2026-04-15&amp;return_date=2026-04-22&amp;currency=EUR&amp;startStation=77&amp;endStation=79",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2026-04-08</t>
        </is>
      </c>
      <c r="F409" t="inlineStr">
        <is>
          <t>2026-04-15</t>
        </is>
      </c>
      <c r="G409" t="inlineStr">
        <is>
          <t xml:space="preserve"> - Beach Hostel</t>
        </is>
      </c>
      <c r="H409">
        <f>HYPERLINK("https://booking.roadsurfer.com/es/rally/pick?pickup_date=2026-04-08&amp;return_date=2026-04-15&amp;currency=EUR&amp;startStation=77&amp;endStation=22",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Couple Cottage</t>
        </is>
      </c>
      <c r="H410">
        <f>HYPERLINK("https://booking.roadsurfer.com/es/rally/pick?pickup_date=2026-04-13&amp;return_date=2026-04-20&amp;currency=EUR&amp;startStation=77&amp;endStation=22",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2026-04-14</t>
        </is>
      </c>
      <c r="F411" t="inlineStr">
        <is>
          <t>2026-04-21</t>
        </is>
      </c>
      <c r="G411" t="inlineStr">
        <is>
          <t xml:space="preserve"> - Couple Cottage</t>
        </is>
      </c>
      <c r="H411">
        <f>HYPERLINK("https://booking.roadsurfer.com/es/rally/pick?pickup_date=2026-04-14&amp;return_date=2026-04-21&amp;currency=EUR&amp;startStation=77&amp;endStation=22",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2026-04-23</t>
        </is>
      </c>
      <c r="F412" t="inlineStr">
        <is>
          <t>2026-04-30</t>
        </is>
      </c>
      <c r="G412" t="inlineStr">
        <is>
          <t xml:space="preserve"> - Camper Castle</t>
        </is>
      </c>
      <c r="H412">
        <f>HYPERLINK("https://booking.roadsurfer.com/es/rally/pick?pickup_date=2026-04-23&amp;return_date=2026-04-30&amp;currency=EUR&amp;startStation=77&amp;endStation=22",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Berlín</t>
        </is>
      </c>
      <c r="E413" t="inlineStr">
        <is>
          <t>2026-04-09</t>
        </is>
      </c>
      <c r="F413" t="inlineStr">
        <is>
          <t>2026-04-16</t>
        </is>
      </c>
      <c r="G413" t="inlineStr">
        <is>
          <t xml:space="preserve"> - Camper Castle</t>
        </is>
      </c>
      <c r="H413">
        <f>HYPERLINK("https://booking.roadsurfer.com/es/rally/pick?pickup_date=2026-04-09&amp;return_date=2026-04-16&amp;currency=EUR&amp;startStation=77&amp;endStation=6",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2026-05-08</t>
        </is>
      </c>
      <c r="F414" t="inlineStr">
        <is>
          <t>2026-05-15</t>
        </is>
      </c>
      <c r="G414" t="inlineStr">
        <is>
          <t xml:space="preserve"> - Beach Hostel</t>
        </is>
      </c>
      <c r="H414">
        <f>HYPERLINK("https://booking.roadsurfer.com/es/rally/pick?pickup_date=2026-05-08&amp;return_date=2026-05-15&amp;currency=EUR&amp;startStation=77&amp;endStation=6",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Sunrise Suite</t>
        </is>
      </c>
      <c r="H415">
        <f>HYPERLINK("https://booking.roadsurfer.com/es/rally/pick?pickup_date=2026-05-11&amp;return_date=2026-05-18&amp;currency=EUR&amp;startStation=77&amp;endStation=6",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2026-04-08</t>
        </is>
      </c>
      <c r="F416" t="inlineStr">
        <is>
          <t>2026-04-15</t>
        </is>
      </c>
      <c r="G416" t="inlineStr">
        <is>
          <t xml:space="preserve"> - Camper Castle</t>
        </is>
      </c>
      <c r="H416">
        <f>HYPERLINK("https://booking.roadsurfer.com/es/rally/pick?pickup_date=2026-04-08&amp;return_date=2026-04-15&amp;currency=EUR&amp;startStation=77&amp;endStation=6",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Road House</t>
        </is>
      </c>
      <c r="H417">
        <f>HYPERLINK("https://booking.roadsurfer.com/es/rally/pick?pickup_date=2026-04-14&amp;return_date=2026-04-21&amp;currency=EUR&amp;startStation=77&amp;endStation=90",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2026-04-22</t>
        </is>
      </c>
      <c r="F418" t="inlineStr">
        <is>
          <t>2026-04-29</t>
        </is>
      </c>
      <c r="G418" t="inlineStr">
        <is>
          <t xml:space="preserve"> - Family Finca</t>
        </is>
      </c>
      <c r="H418">
        <f>HYPERLINK("https://booking.roadsurfer.com/es/rally/pick?pickup_date=2026-04-22&amp;return_date=2026-04-29&amp;currency=EUR&amp;startStation=77&amp;endStation=90",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Karlsruhe</t>
        </is>
      </c>
      <c r="E419" t="inlineStr">
        <is>
          <t>2026-04-15</t>
        </is>
      </c>
      <c r="F419" t="inlineStr">
        <is>
          <t>2026-04-22</t>
        </is>
      </c>
      <c r="G419" t="inlineStr">
        <is>
          <t xml:space="preserve"> - Camper Castle</t>
        </is>
      </c>
      <c r="H419">
        <f>HYPERLINK("https://booking.roadsurfer.com/es/rally/pick?pickup_date=2026-04-15&amp;return_date=2026-04-22&amp;currency=EUR&amp;startStation=77&amp;endStation=110",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2026-04-08</t>
        </is>
      </c>
      <c r="F420" t="inlineStr">
        <is>
          <t>2026-04-15</t>
        </is>
      </c>
      <c r="G420" t="inlineStr">
        <is>
          <t xml:space="preserve"> - Surfer Suite</t>
        </is>
      </c>
      <c r="H420">
        <f>HYPERLINK("https://booking.roadsurfer.com/es/rally/pick?pickup_date=2026-04-08&amp;return_date=2026-04-15&amp;currency=EUR&amp;startStation=37&amp;endStation=90",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2026-04-15</t>
        </is>
      </c>
      <c r="F421" t="inlineStr">
        <is>
          <t>2026-04-22</t>
        </is>
      </c>
      <c r="G421" t="inlineStr">
        <is>
          <t xml:space="preserve"> - SURFER SUITE</t>
        </is>
      </c>
      <c r="H421">
        <f>HYPERLINK("https://booking.roadsurfer.com/es/rally/pick?pickup_date=2026-04-15&amp;return_date=2026-04-22&amp;currency=EUR&amp;startStation=37&amp;endStation=8",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SURFER SUITE</t>
        </is>
      </c>
      <c r="H422">
        <f>HYPERLINK("https://booking.roadsurfer.com/es/rally/pick?pickup_date=2026-05-04&amp;return_date=2026-05-11&amp;currency=EUR&amp;startStation=37&amp;endStation=8",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2026-05-14</t>
        </is>
      </c>
      <c r="F423" t="inlineStr">
        <is>
          <t>2026-05-21</t>
        </is>
      </c>
      <c r="G423" t="inlineStr">
        <is>
          <t xml:space="preserve"> - No hay coche</t>
        </is>
      </c>
      <c r="H423">
        <f>HYPERLINK("https://booking.roadsurfer.com/es/rally/pick?pickup_date=2026-05-14&amp;return_date=2026-05-21&amp;currency=EUR&amp;startStation=37&amp;endStation=8",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Leipzig</t>
        </is>
      </c>
      <c r="E424" t="inlineStr">
        <is>
          <t>2026-05-20</t>
        </is>
      </c>
      <c r="F424" t="inlineStr">
        <is>
          <t>2026-05-27</t>
        </is>
      </c>
      <c r="G424" t="inlineStr">
        <is>
          <t xml:space="preserve"> - Surfer Suite</t>
        </is>
      </c>
      <c r="H424">
        <f>HYPERLINK("https://booking.roadsurfer.com/es/rally/pick?pickup_date=2026-05-20&amp;return_date=2026-05-27&amp;currency=EUR&amp;startStation=37&amp;endStation=8",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2026-05-19</t>
        </is>
      </c>
      <c r="F425" t="inlineStr">
        <is>
          <t>2026-05-26</t>
        </is>
      </c>
      <c r="G425" t="inlineStr">
        <is>
          <t xml:space="preserve"> - Road House</t>
        </is>
      </c>
      <c r="H425">
        <f>HYPERLINK("https://booking.roadsurfer.com/es/rally/pick?pickup_date=2026-05-19&amp;return_date=2026-05-26&amp;currency=EUR&amp;startStation=37&amp;endStation=8",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Road House</t>
        </is>
      </c>
      <c r="H426">
        <f>HYPERLINK("https://booking.roadsurfer.com/es/rally/pick?pickup_date=2026-04-14&amp;return_date=2026-04-21&amp;currency=EUR&amp;startStation=37&amp;endStation=56",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Camper Castle - Family Finca</t>
        </is>
      </c>
      <c r="H427">
        <f>HYPERLINK("https://booking.roadsurfer.com/es/rally/pick?pickup_date=2026-05-04&amp;return_date=2026-05-11&amp;currency=EUR&amp;startStation=37&amp;endStation=56",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2026-05-06</t>
        </is>
      </c>
      <c r="F428" t="inlineStr">
        <is>
          <t>2026-05-13</t>
        </is>
      </c>
      <c r="G428" t="inlineStr">
        <is>
          <t xml:space="preserve"> - Couple Cottage</t>
        </is>
      </c>
      <c r="H428">
        <f>HYPERLINK("https://booking.roadsurfer.com/es/rally/pick?pickup_date=2026-05-06&amp;return_date=2026-05-13&amp;currency=EUR&amp;startStation=37&amp;endStation=56",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2026-05-07</t>
        </is>
      </c>
      <c r="F429" t="inlineStr">
        <is>
          <t>2026-05-14</t>
        </is>
      </c>
      <c r="G429" t="inlineStr">
        <is>
          <t xml:space="preserve"> - No hay coche</t>
        </is>
      </c>
      <c r="H429">
        <f>HYPERLINK("https://booking.roadsurfer.com/es/rally/pick?pickup_date=2026-05-07&amp;return_date=2026-05-14&amp;currency=EUR&amp;startStation=37&amp;endStation=1",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2026-05-19</t>
        </is>
      </c>
      <c r="F430" t="inlineStr">
        <is>
          <t>2026-05-26</t>
        </is>
      </c>
      <c r="G430" t="inlineStr">
        <is>
          <t xml:space="preserve"> - Couple Cottage</t>
        </is>
      </c>
      <c r="H430">
        <f>HYPERLINK("https://booking.roadsurfer.com/es/rally/pick?pickup_date=2026-05-19&amp;return_date=2026-05-26&amp;currency=EUR&amp;startStation=37&amp;endStation=22",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2026-04-07</t>
        </is>
      </c>
      <c r="F431" t="inlineStr">
        <is>
          <t>2026-04-14</t>
        </is>
      </c>
      <c r="G431" t="inlineStr">
        <is>
          <t xml:space="preserve"> - CAMPER CASTLE</t>
        </is>
      </c>
      <c r="H431">
        <f>HYPERLINK("https://booking.roadsurfer.com/es/rally/pick?pickup_date=2026-04-07&amp;return_date=2026-04-14&amp;currency=EUR&amp;startStation=37&amp;endStation=3",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Suecia</t>
        </is>
      </c>
      <c r="D432" t="inlineStr">
        <is>
          <t>Gotemburgo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Cozy Cottage</t>
        </is>
      </c>
      <c r="H432">
        <f>HYPERLINK("https://booking.roadsurfer.com/es/rally/pick?pickup_date=2026-04-27&amp;return_date=2026-05-04&amp;currency=EUR&amp;startStation=3&amp;endStation=77",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2026-04-11</t>
        </is>
      </c>
      <c r="F433" t="inlineStr">
        <is>
          <t>2026-04-18</t>
        </is>
      </c>
      <c r="G433" t="inlineStr">
        <is>
          <t xml:space="preserve"> - SURFER SUITE</t>
        </is>
      </c>
      <c r="H433">
        <f>HYPERLINK("https://booking.roadsurfer.com/es/rally/pick?pickup_date=2026-04-11&amp;return_date=2026-04-18&amp;currency=EUR&amp;startStation=3&amp;endStation=77",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COZY COTTAGE</t>
        </is>
      </c>
      <c r="H434">
        <f>HYPERLINK("https://booking.roadsurfer.com/es/rally/pick?pickup_date=2026-04-30&amp;return_date=2026-05-07&amp;currency=EUR&amp;startStation=3&amp;endStation=77",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España</t>
        </is>
      </c>
      <c r="D435" t="inlineStr">
        <is>
          <t>Bilbao</t>
        </is>
      </c>
      <c r="E435" t="inlineStr">
        <is>
          <t>2026-04-07</t>
        </is>
      </c>
      <c r="F435" t="inlineStr">
        <is>
          <t>2026-04-14</t>
        </is>
      </c>
      <c r="G435" t="inlineStr">
        <is>
          <t xml:space="preserve"> - Beach Hostel</t>
        </is>
      </c>
      <c r="H435">
        <f>HYPERLINK("https://booking.roadsurfer.com/es/rally/pick?pickup_date=2026-04-07&amp;return_date=2026-04-14&amp;currency=EUR&amp;startStation=3&amp;endStation=40",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Austria</t>
        </is>
      </c>
      <c r="D436" t="inlineStr">
        <is>
          <t>Viena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BEACH HOSTEL</t>
        </is>
      </c>
      <c r="H436">
        <f>HYPERLINK("https://booking.roadsurfer.com/es/rally/pick?pickup_date=2026-05-04&amp;return_date=2026-05-11&amp;currency=EUR&amp;startStation=3&amp;endStation=36",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Alemania</t>
        </is>
      </c>
      <c r="D437" t="inlineStr">
        <is>
          <t>Aquisgrán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Road House</t>
        </is>
      </c>
      <c r="H437">
        <f>HYPERLINK("https://booking.roadsurfer.com/es/rally/pick?pickup_date=2026-04-20&amp;return_date=2026-04-27&amp;currency=EUR&amp;startStation=3&amp;endStation=114",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Italia</t>
        </is>
      </c>
      <c r="D438" t="inlineStr">
        <is>
          <t>Bérgamo</t>
        </is>
      </c>
      <c r="E438" t="inlineStr">
        <is>
          <t>2026-04-10</t>
        </is>
      </c>
      <c r="F438" t="inlineStr">
        <is>
          <t>2026-04-17</t>
        </is>
      </c>
      <c r="G438" t="inlineStr">
        <is>
          <t xml:space="preserve"> - Family Finca</t>
        </is>
      </c>
      <c r="H438">
        <f>HYPERLINK("https://booking.roadsurfer.com/es/rally/pick?pickup_date=2026-04-10&amp;return_date=2026-04-17&amp;currency=EUR&amp;startStation=3&amp;endStation=94",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Austria</t>
        </is>
      </c>
      <c r="D439" t="inlineStr">
        <is>
          <t>Graz</t>
        </is>
      </c>
      <c r="E439" t="inlineStr">
        <is>
          <t>2026-04-23</t>
        </is>
      </c>
      <c r="F439" t="inlineStr">
        <is>
          <t>2026-04-30</t>
        </is>
      </c>
      <c r="G439" t="inlineStr">
        <is>
          <t xml:space="preserve"> - CAMPER CASTLE</t>
        </is>
      </c>
      <c r="H439">
        <f>HYPERLINK("https://booking.roadsurfer.com/es/rally/pick?pickup_date=2026-04-23&amp;return_date=2026-04-30&amp;currency=EUR&amp;startStation=3&amp;endStation=37", "Clic para verlo en la web de RoadSurfer")</f>
        <v/>
      </c>
    </row>
    <row r="440">
      <c r="A440" t="inlineStr">
        <is>
          <t>Alemania</t>
        </is>
      </c>
      <c r="B440" t="inlineStr">
        <is>
          <t>Hannover</t>
        </is>
      </c>
      <c r="C440" t="inlineStr">
        <is>
          <t>Suecia</t>
        </is>
      </c>
      <c r="D440" t="inlineStr">
        <is>
          <t>Estocolmo</t>
        </is>
      </c>
      <c r="E440" t="inlineStr">
        <is>
          <t>2026-04-09</t>
        </is>
      </c>
      <c r="F440" t="inlineStr">
        <is>
          <t>2026-04-16</t>
        </is>
      </c>
      <c r="G440" t="inlineStr">
        <is>
          <t xml:space="preserve"> - Couple Cottage</t>
        </is>
      </c>
      <c r="H440">
        <f>HYPERLINK("https://booking.roadsurfer.com/es/rally/pick?pickup_date=2026-04-09&amp;return_date=2026-04-16&amp;currency=EUR&amp;startStation=7&amp;endStation=59", "Clic para verlo en la web de RoadSurfer")</f>
        <v/>
      </c>
    </row>
    <row r="441">
      <c r="A441" t="inlineStr">
        <is>
          <t>Alemania</t>
        </is>
      </c>
      <c r="B441" t="inlineStr">
        <is>
          <t>Hannover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2026-04-13</t>
        </is>
      </c>
      <c r="F441" t="inlineStr">
        <is>
          <t>2026-04-20</t>
        </is>
      </c>
      <c r="G441" t="inlineStr">
        <is>
          <t xml:space="preserve"> - Surfer Suite</t>
        </is>
      </c>
      <c r="H441">
        <f>HYPERLINK("https://booking.roadsurfer.com/es/rally/pick?pickup_date=2026-04-13&amp;return_date=2026-04-20&amp;currency=EUR&amp;startStation=7&amp;endStation=59", "Clic para verlo en la web de RoadSurfer")</f>
        <v/>
      </c>
    </row>
    <row r="442">
      <c r="A442" t="inlineStr">
        <is>
          <t>Alemania</t>
        </is>
      </c>
      <c r="B442" t="inlineStr">
        <is>
          <t>Hannover</t>
        </is>
      </c>
      <c r="C442" t="inlineStr">
        <is>
          <t>Alemania</t>
        </is>
      </c>
      <c r="D442" t="inlineStr">
        <is>
          <t>Aquisgrán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Beach Hostel</t>
        </is>
      </c>
      <c r="H442">
        <f>HYPERLINK("https://booking.roadsurfer.com/es/rally/pick?pickup_date=2026-04-20&amp;return_date=2026-04-27&amp;currency=EUR&amp;startStation=7&amp;endStation=114", "Clic para verlo en la web de RoadSurfer")</f>
        <v/>
      </c>
    </row>
    <row r="443">
      <c r="A443" t="inlineStr">
        <is>
          <t>Alemania</t>
        </is>
      </c>
      <c r="B443" t="inlineStr">
        <is>
          <t>Hannover</t>
        </is>
      </c>
      <c r="C443" t="inlineStr">
        <is>
          <t>Austria</t>
        </is>
      </c>
      <c r="D443" t="inlineStr">
        <is>
          <t>Viena Sur</t>
        </is>
      </c>
      <c r="E443" t="inlineStr">
        <is>
          <t>2026-05-21</t>
        </is>
      </c>
      <c r="F443" t="inlineStr">
        <is>
          <t>2026-05-28</t>
        </is>
      </c>
      <c r="G443" t="inlineStr">
        <is>
          <t xml:space="preserve"> - Camper Cabin Deluxe</t>
        </is>
      </c>
      <c r="H443">
        <f>HYPERLINK("https://booking.roadsurfer.com/es/rally/pick?pickup_date=2026-05-21&amp;return_date=2026-05-28&amp;currency=EUR&amp;startStation=7&amp;endStation=45", "Clic para verlo en la web de RoadSurfer")</f>
        <v/>
      </c>
    </row>
    <row r="444">
      <c r="A444" t="inlineStr">
        <is>
          <t>Alemania</t>
        </is>
      </c>
      <c r="B444" t="inlineStr">
        <is>
          <t>Hannover</t>
        </is>
      </c>
      <c r="C444" t="inlineStr">
        <is>
          <t>España</t>
        </is>
      </c>
      <c r="D444" t="inlineStr">
        <is>
          <t>Valencia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Camper Castle</t>
        </is>
      </c>
      <c r="H444">
        <f>HYPERLINK("https://booking.roadsurfer.com/es/rally/pick?pickup_date=2026-04-27&amp;return_date=2026-05-04&amp;currency=EUR&amp;startStation=7&amp;endStation=38", "Clic para verlo en la web de RoadSurfer")</f>
        <v/>
      </c>
    </row>
    <row r="445">
      <c r="A445" t="inlineStr">
        <is>
          <t>Alemania</t>
        </is>
      </c>
      <c r="B445" t="inlineStr">
        <is>
          <t>Hannover</t>
        </is>
      </c>
      <c r="C445" t="inlineStr">
        <is>
          <t>España</t>
        </is>
      </c>
      <c r="D445" t="inlineStr">
        <is>
          <t>Sevilla</t>
        </is>
      </c>
      <c r="E445" t="inlineStr">
        <is>
          <t>2026-04-13</t>
        </is>
      </c>
      <c r="F445" t="inlineStr">
        <is>
          <t>2026-04-20</t>
        </is>
      </c>
      <c r="G445" t="inlineStr">
        <is>
          <t xml:space="preserve"> - Couple Cottage</t>
        </is>
      </c>
      <c r="H445">
        <f>HYPERLINK("https://booking.roadsurfer.com/es/rally/pick?pickup_date=2026-04-13&amp;return_date=2026-04-20&amp;currency=EUR&amp;startStation=7&amp;endStation=39", "Clic para verlo en la web de RoadSurfer")</f>
        <v/>
      </c>
    </row>
    <row r="446">
      <c r="A446" t="inlineStr">
        <is>
          <t>Alemania</t>
        </is>
      </c>
      <c r="B446" t="inlineStr">
        <is>
          <t>Heidelberg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Surfer Suite</t>
        </is>
      </c>
      <c r="H446">
        <f>HYPERLINK("https://booking.roadsurfer.com/es/rally/pick?pickup_date=2026-04-30&amp;return_date=2026-05-07&amp;currency=EUR&amp;startStation=79&amp;endStation=77", "Clic para verlo en la web de RoadSurfer")</f>
        <v/>
      </c>
    </row>
    <row r="447">
      <c r="A447" t="inlineStr">
        <is>
          <t>Austria</t>
        </is>
      </c>
      <c r="B447" t="inlineStr">
        <is>
          <t>Innsbruck-Wiesing</t>
        </is>
      </c>
      <c r="C447" t="inlineStr">
        <is>
          <t>Alemania</t>
        </is>
      </c>
      <c r="D447" t="inlineStr">
        <is>
          <t>Aquisgrán</t>
        </is>
      </c>
      <c r="E447" t="inlineStr">
        <is>
          <t>2026-04-13</t>
        </is>
      </c>
      <c r="F447" t="inlineStr">
        <is>
          <t>2026-04-20</t>
        </is>
      </c>
      <c r="G447" t="inlineStr">
        <is>
          <t xml:space="preserve"> - Camper Cabin</t>
        </is>
      </c>
      <c r="H447">
        <f>HYPERLINK("https://booking.roadsurfer.com/es/rally/pick?pickup_date=2026-04-13&amp;return_date=2026-04-20&amp;currency=EUR&amp;startStation=46&amp;endStation=114", "Clic para verlo en la web de RoadSurfer")</f>
        <v/>
      </c>
    </row>
    <row r="448">
      <c r="A448" t="inlineStr">
        <is>
          <t>Alemania</t>
        </is>
      </c>
      <c r="B448" t="inlineStr">
        <is>
          <t>Karlsruhe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2026-04-18</t>
        </is>
      </c>
      <c r="F448" t="inlineStr">
        <is>
          <t>2026-04-25</t>
        </is>
      </c>
      <c r="G448" t="inlineStr">
        <is>
          <t xml:space="preserve"> - Camper Castle</t>
        </is>
      </c>
      <c r="H448">
        <f>HYPERLINK("https://booking.roadsurfer.com/es/rally/pick?pickup_date=2026-04-18&amp;return_date=2026-04-25&amp;currency=EUR&amp;startStation=110&amp;endStation=31", "Clic para verlo en la web de RoadSurfer")</f>
        <v/>
      </c>
    </row>
    <row r="449">
      <c r="A449" t="inlineStr">
        <is>
          <t>Alemania</t>
        </is>
      </c>
      <c r="B449" t="inlineStr">
        <is>
          <t>Karlsruhe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2026-04-07</t>
        </is>
      </c>
      <c r="F449" t="inlineStr">
        <is>
          <t>2026-04-14</t>
        </is>
      </c>
      <c r="G449" t="inlineStr">
        <is>
          <t xml:space="preserve"> - Road House</t>
        </is>
      </c>
      <c r="H449">
        <f>HYPERLINK("https://booking.roadsurfer.com/es/rally/pick?pickup_date=2026-04-07&amp;return_date=2026-04-14&amp;currency=EUR&amp;startStation=110&amp;endStation=31", "Clic para verlo en la web de RoadSurfer")</f>
        <v/>
      </c>
    </row>
    <row r="450">
      <c r="A450" t="inlineStr">
        <is>
          <t>Alemania</t>
        </is>
      </c>
      <c r="B450" t="inlineStr">
        <is>
          <t>Karlsruhe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2026-06-01</t>
        </is>
      </c>
      <c r="F450" t="inlineStr">
        <is>
          <t>2026-06-08</t>
        </is>
      </c>
      <c r="G450" t="inlineStr">
        <is>
          <t xml:space="preserve"> - Cozy Cottage</t>
        </is>
      </c>
      <c r="H450">
        <f>HYPERLINK("https://booking.roadsurfer.com/es/rally/pick?pickup_date=2026-06-01&amp;return_date=2026-06-08&amp;currency=EUR&amp;startStation=110&amp;endStation=29", "Clic para verlo en la web de RoadSurfer")</f>
        <v/>
      </c>
    </row>
    <row r="451">
      <c r="A451" t="inlineStr">
        <is>
          <t>Alemania</t>
        </is>
      </c>
      <c r="B451" t="inlineStr">
        <is>
          <t>Kiel</t>
        </is>
      </c>
      <c r="C451" t="inlineStr">
        <is>
          <t>Países Bajos</t>
        </is>
      </c>
      <c r="D451" t="inlineStr">
        <is>
          <t>Ámsterdam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Camper Castle</t>
        </is>
      </c>
      <c r="H451">
        <f>HYPERLINK("https://booking.roadsurfer.com/es/rally/pick?pickup_date=2026-04-27&amp;return_date=2026-05-04&amp;currency=EUR&amp;startStation=111&amp;endStation=32", "Clic para verlo en la web de RoadSurfer")</f>
        <v/>
      </c>
    </row>
    <row r="452">
      <c r="A452" t="inlineStr">
        <is>
          <t>Alemania</t>
        </is>
      </c>
      <c r="B452" t="inlineStr">
        <is>
          <t>Kiel</t>
        </is>
      </c>
      <c r="C452" t="inlineStr">
        <is>
          <t>Países Bajos</t>
        </is>
      </c>
      <c r="D452" t="inlineStr">
        <is>
          <t>Ámsterdam</t>
        </is>
      </c>
      <c r="E452" t="inlineStr">
        <is>
          <t>2026-04-18</t>
        </is>
      </c>
      <c r="F452" t="inlineStr">
        <is>
          <t>2026-04-25</t>
        </is>
      </c>
      <c r="G452" t="inlineStr">
        <is>
          <t xml:space="preserve"> - Family Finca</t>
        </is>
      </c>
      <c r="H452">
        <f>HYPERLINK("https://booking.roadsurfer.com/es/rally/pick?pickup_date=2026-04-18&amp;return_date=2026-04-25&amp;currency=EUR&amp;startStation=111&amp;endStation=32", "Clic para verlo en la web de RoadSurfer")</f>
        <v/>
      </c>
    </row>
    <row r="453">
      <c r="A453" t="inlineStr">
        <is>
          <t>Alemania</t>
        </is>
      </c>
      <c r="B453" t="inlineStr">
        <is>
          <t>Kiel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2026-05-02</t>
        </is>
      </c>
      <c r="F453" t="inlineStr">
        <is>
          <t>2026-05-09</t>
        </is>
      </c>
      <c r="G453" t="inlineStr">
        <is>
          <t xml:space="preserve"> - Road House</t>
        </is>
      </c>
      <c r="H453">
        <f>HYPERLINK("https://booking.roadsurfer.com/es/rally/pick?pickup_date=2026-05-02&amp;return_date=2026-05-09&amp;currency=EUR&amp;startStation=111&amp;endStation=77", "Clic para verlo en la web de RoadSurfer")</f>
        <v/>
      </c>
    </row>
    <row r="454">
      <c r="A454" t="inlineStr">
        <is>
          <t>EE.UU.</t>
        </is>
      </c>
      <c r="B454" t="inlineStr">
        <is>
          <t>Las Vegas</t>
        </is>
      </c>
      <c r="C454" t="inlineStr">
        <is>
          <t>EE.UU.</t>
        </is>
      </c>
      <c r="D454" t="inlineStr">
        <is>
          <t>Seattle</t>
        </is>
      </c>
      <c r="E454" t="inlineStr">
        <is>
          <t>2026-04-13</t>
        </is>
      </c>
      <c r="F454" t="inlineStr">
        <is>
          <t>2026-04-20</t>
        </is>
      </c>
      <c r="G454" t="inlineStr">
        <is>
          <t xml:space="preserve"> - Family Freedom</t>
        </is>
      </c>
      <c r="H454">
        <f>HYPERLINK("https://booking.roadsurfer.com/es/rally/pick?pickup_date=2026-04-13&amp;return_date=2026-04-20&amp;currency=EUR&amp;startStation=76&amp;endStation=107", "Clic para verlo en la web de RoadSurfer")</f>
        <v/>
      </c>
    </row>
    <row r="455">
      <c r="A455" t="inlineStr">
        <is>
          <t>EE.UU.</t>
        </is>
      </c>
      <c r="B455" t="inlineStr">
        <is>
          <t>Las Vegas</t>
        </is>
      </c>
      <c r="C455" t="inlineStr">
        <is>
          <t>EE.UU.</t>
        </is>
      </c>
      <c r="D455" t="inlineStr">
        <is>
          <t>Seattle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Family Freedom</t>
        </is>
      </c>
      <c r="H455">
        <f>HYPERLINK("https://booking.roadsurfer.com/es/rally/pick?pickup_date=2026-04-23&amp;return_date=2026-04-30&amp;currency=EUR&amp;startStation=76&amp;endStation=107", "Clic para verlo en la web de RoadSurfer")</f>
        <v/>
      </c>
    </row>
    <row r="456">
      <c r="A456" t="inlineStr">
        <is>
          <t>EE.UU.</t>
        </is>
      </c>
      <c r="B456" t="inlineStr">
        <is>
          <t>Las Vegas</t>
        </is>
      </c>
      <c r="C456" t="inlineStr">
        <is>
          <t>EE.UU.</t>
        </is>
      </c>
      <c r="D456" t="inlineStr">
        <is>
          <t>Seattle</t>
        </is>
      </c>
      <c r="E456" t="inlineStr">
        <is>
          <t>2026-04-16</t>
        </is>
      </c>
      <c r="F456" t="inlineStr">
        <is>
          <t>2026-04-23</t>
        </is>
      </c>
      <c r="G456" t="inlineStr">
        <is>
          <t xml:space="preserve"> - Family Freedom</t>
        </is>
      </c>
      <c r="H456">
        <f>HYPERLINK("https://booking.roadsurfer.com/es/rally/pick?pickup_date=2026-04-16&amp;return_date=2026-04-23&amp;currency=EUR&amp;startStation=76&amp;endStation=107", "Clic para verlo en la web de RoadSurfer")</f>
        <v/>
      </c>
    </row>
    <row r="457">
      <c r="A457" t="inlineStr">
        <is>
          <t>EE.UU.</t>
        </is>
      </c>
      <c r="B457" t="inlineStr">
        <is>
          <t>Las Vegas</t>
        </is>
      </c>
      <c r="C457" t="inlineStr">
        <is>
          <t>EE.UU.</t>
        </is>
      </c>
      <c r="D457" t="inlineStr">
        <is>
          <t>Dallas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Couple Condo</t>
        </is>
      </c>
      <c r="H457">
        <f>HYPERLINK("https://booking.roadsurfer.com/es/rally/pick?pickup_date=2026-04-27&amp;return_date=2026-05-04&amp;currency=EUR&amp;startStation=76&amp;endStation=125", "Clic para verlo en la web de RoadSurfer")</f>
        <v/>
      </c>
    </row>
    <row r="458">
      <c r="A458" t="inlineStr">
        <is>
          <t>EE.UU.</t>
        </is>
      </c>
      <c r="B458" t="inlineStr">
        <is>
          <t>Las Vegas</t>
        </is>
      </c>
      <c r="C458" t="inlineStr">
        <is>
          <t>EE.UU.</t>
        </is>
      </c>
      <c r="D458" t="inlineStr">
        <is>
          <t>Denver</t>
        </is>
      </c>
      <c r="E458" t="inlineStr">
        <is>
          <t>2026-04-29</t>
        </is>
      </c>
      <c r="F458" t="inlineStr">
        <is>
          <t>2026-05-06</t>
        </is>
      </c>
      <c r="G458" t="inlineStr">
        <is>
          <t xml:space="preserve"> - Family Freedom</t>
        </is>
      </c>
      <c r="H458">
        <f>HYPERLINK("https://booking.roadsurfer.com/es/rally/pick?pickup_date=2026-04-29&amp;return_date=2026-05-06&amp;currency=EUR&amp;startStation=76&amp;endStation=104", "Clic para verlo en la web de RoadSurfer")</f>
        <v/>
      </c>
    </row>
    <row r="459">
      <c r="A459" t="inlineStr">
        <is>
          <t>Alemania</t>
        </is>
      </c>
      <c r="B459" t="inlineStr">
        <is>
          <t>Leipzig</t>
        </is>
      </c>
      <c r="C459" t="inlineStr">
        <is>
          <t>Austria</t>
        </is>
      </c>
      <c r="D459" t="inlineStr">
        <is>
          <t>Graz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No hay coche</t>
        </is>
      </c>
      <c r="H459">
        <f>HYPERLINK("https://booking.roadsurfer.com/es/rally/pick?pickup_date=2026-05-07&amp;return_date=2026-05-14&amp;currency=EUR&amp;startStation=8&amp;endStation=37",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Alemania</t>
        </is>
      </c>
      <c r="D460" t="inlineStr">
        <is>
          <t>Wurzburgo</t>
        </is>
      </c>
      <c r="E460" t="inlineStr">
        <is>
          <t>2026-04-13</t>
        </is>
      </c>
      <c r="F460" t="inlineStr">
        <is>
          <t>2026-04-20</t>
        </is>
      </c>
      <c r="G460" t="inlineStr">
        <is>
          <t xml:space="preserve"> - Beach Hostel</t>
        </is>
      </c>
      <c r="H460">
        <f>HYPERLINK("https://booking.roadsurfer.com/es/rally/pick?pickup_date=2026-04-13&amp;return_date=2026-04-20&amp;currency=EUR&amp;startStation=8&amp;endStation=115",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2026-04-10</t>
        </is>
      </c>
      <c r="F461" t="inlineStr">
        <is>
          <t>2026-04-11</t>
        </is>
      </c>
      <c r="G461" t="inlineStr">
        <is>
          <t xml:space="preserve"> - Road House</t>
        </is>
      </c>
      <c r="H461">
        <f>HYPERLINK("https://booking.roadsurfer.com/es/rally/pick?pickup_date=2026-04-10&amp;return_date=2026-04-11&amp;currency=EUR&amp;startStation=8&amp;endStation=45", "Clic para verlo en la web de RoadSurfer")</f>
        <v/>
      </c>
    </row>
    <row r="462">
      <c r="A462" t="inlineStr">
        <is>
          <t>Alemania</t>
        </is>
      </c>
      <c r="B462" t="inlineStr">
        <is>
          <t>Leipzig</t>
        </is>
      </c>
      <c r="C462" t="inlineStr">
        <is>
          <t>Italia</t>
        </is>
      </c>
      <c r="D462" t="inlineStr">
        <is>
          <t>Bérgamo</t>
        </is>
      </c>
      <c r="E462" t="inlineStr">
        <is>
          <t>2026-04-09</t>
        </is>
      </c>
      <c r="F462" t="inlineStr">
        <is>
          <t>2026-04-16</t>
        </is>
      </c>
      <c r="G462" t="inlineStr">
        <is>
          <t xml:space="preserve"> - Road House</t>
        </is>
      </c>
      <c r="H462">
        <f>HYPERLINK("https://booking.roadsurfer.com/es/rally/pick?pickup_date=2026-04-09&amp;return_date=2026-04-16&amp;currency=EUR&amp;startStation=8&amp;endStation=94", "Clic para verlo en la web de RoadSurfer")</f>
        <v/>
      </c>
    </row>
    <row r="463">
      <c r="A463" t="inlineStr">
        <is>
          <t>Alemania</t>
        </is>
      </c>
      <c r="B463" t="inlineStr">
        <is>
          <t>Leipzig</t>
        </is>
      </c>
      <c r="C463" t="inlineStr">
        <is>
          <t>Países Bajos</t>
        </is>
      </c>
      <c r="D463" t="inlineStr">
        <is>
          <t>Ámsterdam</t>
        </is>
      </c>
      <c r="E463" t="inlineStr">
        <is>
          <t>2026-04-13</t>
        </is>
      </c>
      <c r="F463" t="inlineStr">
        <is>
          <t>2026-04-20</t>
        </is>
      </c>
      <c r="G463" t="inlineStr">
        <is>
          <t xml:space="preserve"> - No hay coche</t>
        </is>
      </c>
      <c r="H463">
        <f>HYPERLINK("https://booking.roadsurfer.com/es/rally/pick?pickup_date=2026-04-13&amp;return_date=2026-04-20&amp;currency=EUR&amp;startStation=8&amp;endStation=32", "Clic para verlo en la web de RoadSurfer")</f>
        <v/>
      </c>
    </row>
    <row r="464">
      <c r="A464" t="inlineStr">
        <is>
          <t>Alemania</t>
        </is>
      </c>
      <c r="B464" t="inlineStr">
        <is>
          <t>Leipzig</t>
        </is>
      </c>
      <c r="C464" t="inlineStr">
        <is>
          <t>Austria</t>
        </is>
      </c>
      <c r="D464" t="inlineStr">
        <is>
          <t>Linz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Camper Castle</t>
        </is>
      </c>
      <c r="H464">
        <f>HYPERLINK("https://booking.roadsurfer.com/es/rally/pick?pickup_date=2026-04-20&amp;return_date=2026-04-27&amp;currency=EUR&amp;startStation=8&amp;endStation=116", "Clic para verlo en la web de RoadSurfer")</f>
        <v/>
      </c>
    </row>
    <row r="465">
      <c r="A465" t="inlineStr">
        <is>
          <t>Alemania</t>
        </is>
      </c>
      <c r="B465" t="inlineStr">
        <is>
          <t>Leipzig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2026-05-13</t>
        </is>
      </c>
      <c r="F465" t="inlineStr">
        <is>
          <t>2026-05-20</t>
        </is>
      </c>
      <c r="G465" t="inlineStr">
        <is>
          <t xml:space="preserve"> - Family Finca</t>
        </is>
      </c>
      <c r="H465">
        <f>HYPERLINK("https://booking.roadsurfer.com/es/rally/pick?pickup_date=2026-05-13&amp;return_date=2026-05-20&amp;currency=EUR&amp;startStation=8&amp;endStation=77", "Clic para verlo en la web de RoadSurfer")</f>
        <v/>
      </c>
    </row>
    <row r="466">
      <c r="A466" t="inlineStr">
        <is>
          <t>Alemania</t>
        </is>
      </c>
      <c r="B466" t="inlineStr">
        <is>
          <t>Leipzig</t>
        </is>
      </c>
      <c r="C466" t="inlineStr">
        <is>
          <t>Países Bajos</t>
        </is>
      </c>
      <c r="D466" t="inlineStr">
        <is>
          <t>Róterdam</t>
        </is>
      </c>
      <c r="E466" t="inlineStr">
        <is>
          <t>2026-04-21</t>
        </is>
      </c>
      <c r="F466" t="inlineStr">
        <is>
          <t>2026-04-28</t>
        </is>
      </c>
      <c r="G466" t="inlineStr">
        <is>
          <t xml:space="preserve"> - Couple Cottage</t>
        </is>
      </c>
      <c r="H466">
        <f>HYPERLINK("https://booking.roadsurfer.com/es/rally/pick?pickup_date=2026-04-21&amp;return_date=2026-04-28&amp;currency=EUR&amp;startStation=8&amp;endStation=33", "Clic para verlo en la web de RoadSurfer")</f>
        <v/>
      </c>
    </row>
    <row r="467">
      <c r="A467" t="inlineStr">
        <is>
          <t>Alemania</t>
        </is>
      </c>
      <c r="B467" t="inlineStr">
        <is>
          <t>Leipzig</t>
        </is>
      </c>
      <c r="C467" t="inlineStr">
        <is>
          <t>Austria</t>
        </is>
      </c>
      <c r="D467" t="inlineStr">
        <is>
          <t>Viena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Couple Cottage</t>
        </is>
      </c>
      <c r="H467">
        <f>HYPERLINK("https://booking.roadsurfer.com/es/rally/pick?pickup_date=2026-04-20&amp;return_date=2026-04-27&amp;currency=EUR&amp;startStation=8&amp;endStation=36", "Clic para verlo en la web de RoadSurfer")</f>
        <v/>
      </c>
    </row>
    <row r="468">
      <c r="A468" t="inlineStr">
        <is>
          <t>Alemania</t>
        </is>
      </c>
      <c r="B468" t="inlineStr">
        <is>
          <t>Leipzig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2026-04-11</t>
        </is>
      </c>
      <c r="F468" t="inlineStr">
        <is>
          <t>2026-04-18</t>
        </is>
      </c>
      <c r="G468" t="inlineStr">
        <is>
          <t xml:space="preserve"> - Cozy Cottage</t>
        </is>
      </c>
      <c r="H468">
        <f>HYPERLINK("https://booking.roadsurfer.com/es/rally/pick?pickup_date=2026-04-11&amp;return_date=2026-04-18&amp;currency=EUR&amp;startStation=8&amp;endStation=59", "Clic para verlo en la web de RoadSurfer")</f>
        <v/>
      </c>
    </row>
    <row r="469">
      <c r="A469" t="inlineStr">
        <is>
          <t>Alemania</t>
        </is>
      </c>
      <c r="B469" t="inlineStr">
        <is>
          <t>Leipzig</t>
        </is>
      </c>
      <c r="C469" t="inlineStr">
        <is>
          <t>Italia</t>
        </is>
      </c>
      <c r="D469" t="inlineStr">
        <is>
          <t>Milán</t>
        </is>
      </c>
      <c r="E469" t="inlineStr">
        <is>
          <t>2026-05-12</t>
        </is>
      </c>
      <c r="F469" t="inlineStr">
        <is>
          <t>2026-05-19</t>
        </is>
      </c>
      <c r="G469" t="inlineStr">
        <is>
          <t xml:space="preserve"> - Sunrise Suite</t>
        </is>
      </c>
      <c r="H469">
        <f>HYPERLINK("https://booking.roadsurfer.com/es/rally/pick?pickup_date=2026-05-12&amp;return_date=2026-05-19&amp;currency=EUR&amp;startStation=8&amp;endStation=34", "Clic para verlo en la web de RoadSurfer")</f>
        <v/>
      </c>
    </row>
    <row r="470">
      <c r="A470" t="inlineStr">
        <is>
          <t>Alemania</t>
        </is>
      </c>
      <c r="B470" t="inlineStr">
        <is>
          <t>Lindau-Wangen</t>
        </is>
      </c>
      <c r="C470" t="inlineStr">
        <is>
          <t>Francia</t>
        </is>
      </c>
      <c r="D470" t="inlineStr">
        <is>
          <t>Burdeos</t>
        </is>
      </c>
      <c r="E470" t="inlineStr">
        <is>
          <t>2026-04-09</t>
        </is>
      </c>
      <c r="F470" t="inlineStr">
        <is>
          <t>2026-04-16</t>
        </is>
      </c>
      <c r="G470" t="inlineStr">
        <is>
          <t xml:space="preserve"> - Road House</t>
        </is>
      </c>
      <c r="H470">
        <f>HYPERLINK("https://booking.roadsurfer.com/es/rally/pick?pickup_date=2026-04-09&amp;return_date=2026-04-16&amp;currency=EUR&amp;startStation=117&amp;endStation=13", "Clic para verlo en la web de RoadSurfer")</f>
        <v/>
      </c>
    </row>
    <row r="471">
      <c r="A471" t="inlineStr">
        <is>
          <t>Alemania</t>
        </is>
      </c>
      <c r="B471" t="inlineStr">
        <is>
          <t>Lindau-Wangen</t>
        </is>
      </c>
      <c r="C471" t="inlineStr">
        <is>
          <t>Italia</t>
        </is>
      </c>
      <c r="D471" t="inlineStr">
        <is>
          <t>Bolonia</t>
        </is>
      </c>
      <c r="E471" t="inlineStr">
        <is>
          <t>2026-04-07</t>
        </is>
      </c>
      <c r="F471" t="inlineStr">
        <is>
          <t>2026-04-14</t>
        </is>
      </c>
      <c r="G471" t="inlineStr">
        <is>
          <t xml:space="preserve"> - Surfer Suite</t>
        </is>
      </c>
      <c r="H471">
        <f>HYPERLINK("https://booking.roadsurfer.com/es/rally/pick?pickup_date=2026-04-07&amp;return_date=2026-04-14&amp;currency=EUR&amp;startStation=117&amp;endStation=57", "Clic para verlo en la web de RoadSurfer")</f>
        <v/>
      </c>
    </row>
    <row r="472">
      <c r="A472" t="inlineStr">
        <is>
          <t>Alemania</t>
        </is>
      </c>
      <c r="B472" t="inlineStr">
        <is>
          <t>Lindau-Wangen</t>
        </is>
      </c>
      <c r="C472" t="inlineStr">
        <is>
          <t>España</t>
        </is>
      </c>
      <c r="D472" t="inlineStr">
        <is>
          <t>Madrid</t>
        </is>
      </c>
      <c r="E472" t="inlineStr">
        <is>
          <t>2026-04-21</t>
        </is>
      </c>
      <c r="F472" t="inlineStr">
        <is>
          <t>2026-04-28</t>
        </is>
      </c>
      <c r="G472" t="inlineStr">
        <is>
          <t xml:space="preserve"> - Family Finca</t>
        </is>
      </c>
      <c r="H472">
        <f>HYPERLINK("https://booking.roadsurfer.com/es/rally/pick?pickup_date=2026-04-21&amp;return_date=2026-04-28&amp;currency=EUR&amp;startStation=117&amp;endStation=20", "Clic para verlo en la web de RoadSurfer")</f>
        <v/>
      </c>
    </row>
    <row r="473">
      <c r="A473" t="inlineStr">
        <is>
          <t>Alemania</t>
        </is>
      </c>
      <c r="B473" t="inlineStr">
        <is>
          <t>Lindau-Wangen</t>
        </is>
      </c>
      <c r="C473" t="inlineStr">
        <is>
          <t>Alemania</t>
        </is>
      </c>
      <c r="D473" t="inlineStr">
        <is>
          <t>Berlín</t>
        </is>
      </c>
      <c r="E473" t="inlineStr">
        <is>
          <t>2026-04-30</t>
        </is>
      </c>
      <c r="F473" t="inlineStr">
        <is>
          <t>2026-05-07</t>
        </is>
      </c>
      <c r="G473" t="inlineStr">
        <is>
          <t xml:space="preserve"> - Beach Hostel</t>
        </is>
      </c>
      <c r="H473">
        <f>HYPERLINK("https://booking.roadsurfer.com/es/rally/pick?pickup_date=2026-04-30&amp;return_date=2026-05-07&amp;currency=EUR&amp;startStation=117&amp;endStation=6", "Clic para verlo en la web de RoadSurfer")</f>
        <v/>
      </c>
    </row>
    <row r="474">
      <c r="A474" t="inlineStr">
        <is>
          <t>Alemania</t>
        </is>
      </c>
      <c r="B474" t="inlineStr">
        <is>
          <t>Lindau-Wangen</t>
        </is>
      </c>
      <c r="C474" t="inlineStr">
        <is>
          <t>Alemania</t>
        </is>
      </c>
      <c r="D474" t="inlineStr">
        <is>
          <t>Bochum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Beach Hostel</t>
        </is>
      </c>
      <c r="H474">
        <f>HYPERLINK("https://booking.roadsurfer.com/es/rally/pick?pickup_date=2026-04-27&amp;return_date=2026-05-04&amp;currency=EUR&amp;startStation=117&amp;endStation=24", "Clic para verlo en la web de RoadSurfer")</f>
        <v/>
      </c>
    </row>
    <row r="475">
      <c r="A475" t="inlineStr">
        <is>
          <t>Alemania</t>
        </is>
      </c>
      <c r="B475" t="inlineStr">
        <is>
          <t>Lübeck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No hay coche</t>
        </is>
      </c>
      <c r="H475">
        <f>HYPERLINK("https://booking.roadsurfer.com/es/rally/pick?pickup_date=2026-04-27&amp;return_date=2026-05-04&amp;currency=EUR&amp;startStation=109&amp;endStation=77", "Clic para verlo en la web de RoadSurfer")</f>
        <v/>
      </c>
    </row>
    <row r="476">
      <c r="A476" t="inlineStr">
        <is>
          <t>Alemania</t>
        </is>
      </c>
      <c r="B476" t="inlineStr">
        <is>
          <t>Lübeck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Surfer Suite</t>
        </is>
      </c>
      <c r="H476">
        <f>HYPERLINK("https://booking.roadsurfer.com/es/rally/pick?pickup_date=2026-04-27&amp;return_date=2026-05-04&amp;currency=EUR&amp;startStation=109&amp;endStation=40", "Clic para verlo en la web de RoadSurfer")</f>
        <v/>
      </c>
    </row>
    <row r="477">
      <c r="A477" t="inlineStr">
        <is>
          <t>Alemania</t>
        </is>
      </c>
      <c r="B477" t="inlineStr">
        <is>
          <t>Lübeck</t>
        </is>
      </c>
      <c r="C477" t="inlineStr">
        <is>
          <t>Italia</t>
        </is>
      </c>
      <c r="D477" t="inlineStr">
        <is>
          <t>Milán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Surfer Suite</t>
        </is>
      </c>
      <c r="H477">
        <f>HYPERLINK("https://booking.roadsurfer.com/es/rally/pick?pickup_date=2026-04-27&amp;return_date=2026-05-04&amp;currency=EUR&amp;startStation=109&amp;endStation=34", "Clic para verlo en la web de RoadSurfer")</f>
        <v/>
      </c>
    </row>
    <row r="478">
      <c r="A478" t="inlineStr">
        <is>
          <t>Alemania</t>
        </is>
      </c>
      <c r="B478" t="inlineStr">
        <is>
          <t>Lübeck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2026-04-09</t>
        </is>
      </c>
      <c r="F478" t="inlineStr">
        <is>
          <t>2026-04-16</t>
        </is>
      </c>
      <c r="G478" t="inlineStr">
        <is>
          <t xml:space="preserve"> - Road House</t>
        </is>
      </c>
      <c r="H478">
        <f>HYPERLINK("https://booking.roadsurfer.com/es/rally/pick?pickup_date=2026-04-09&amp;return_date=2026-04-16&amp;currency=EUR&amp;startStation=109&amp;endStation=29",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Road House</t>
        </is>
      </c>
      <c r="H479">
        <f>HYPERLINK("https://booking.roadsurfer.com/es/rally/pick?pickup_date=2026-05-11&amp;return_date=2026-05-18&amp;currency=EUR&amp;startStation=15&amp;endStation=22",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2026-05-20</t>
        </is>
      </c>
      <c r="F480" t="inlineStr">
        <is>
          <t>2026-05-27</t>
        </is>
      </c>
      <c r="G480" t="inlineStr">
        <is>
          <t xml:space="preserve"> - Surfer Suite</t>
        </is>
      </c>
      <c r="H480">
        <f>HYPERLINK("https://booking.roadsurfer.com/es/rally/pick?pickup_date=2026-05-20&amp;return_date=2026-05-27&amp;currency=EUR&amp;startStation=15&amp;endStation=22",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2026-05-23</t>
        </is>
      </c>
      <c r="F481" t="inlineStr">
        <is>
          <t>2026-05-30</t>
        </is>
      </c>
      <c r="G481" t="inlineStr">
        <is>
          <t xml:space="preserve"> - No hay coche</t>
        </is>
      </c>
      <c r="H481">
        <f>HYPERLINK("https://booking.roadsurfer.com/es/rally/pick?pickup_date=2026-05-23&amp;return_date=2026-05-30&amp;currency=EUR&amp;startStation=15&amp;endStation=22",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Camper Cabin</t>
        </is>
      </c>
      <c r="H482">
        <f>HYPERLINK("https://booking.roadsurfer.com/es/rally/pick?pickup_date=2026-05-04&amp;return_date=2026-05-11&amp;currency=EUR&amp;startStation=15&amp;endStation=90",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2026-05-11</t>
        </is>
      </c>
      <c r="F483" t="inlineStr">
        <is>
          <t>2026-05-18</t>
        </is>
      </c>
      <c r="G483" t="inlineStr">
        <is>
          <t xml:space="preserve"> - Beach Hostel - Road House</t>
        </is>
      </c>
      <c r="H483">
        <f>HYPERLINK("https://booking.roadsurfer.com/es/rally/pick?pickup_date=2026-05-11&amp;return_date=2026-05-18&amp;currency=EUR&amp;startStation=15&amp;endStation=90",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2026-05-06</t>
        </is>
      </c>
      <c r="F484" t="inlineStr">
        <is>
          <t>2026-05-13</t>
        </is>
      </c>
      <c r="G484" t="inlineStr">
        <is>
          <t xml:space="preserve"> - Road House - Couple Cottage</t>
        </is>
      </c>
      <c r="H484">
        <f>HYPERLINK("https://booking.roadsurfer.com/es/rally/pick?pickup_date=2026-05-06&amp;return_date=2026-05-13&amp;currency=EUR&amp;startStation=15&amp;endStation=90",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Erfurt</t>
        </is>
      </c>
      <c r="E485" t="inlineStr">
        <is>
          <t>2026-05-19</t>
        </is>
      </c>
      <c r="F485" t="inlineStr">
        <is>
          <t>2026-05-26</t>
        </is>
      </c>
      <c r="G485" t="inlineStr">
        <is>
          <t xml:space="preserve"> - Couple Cottage</t>
        </is>
      </c>
      <c r="H485">
        <f>HYPERLINK("https://booking.roadsurfer.com/es/rally/pick?pickup_date=2026-05-19&amp;return_date=2026-05-26&amp;currency=EUR&amp;startStation=15&amp;endStation=90",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2026-05-07</t>
        </is>
      </c>
      <c r="F486" t="inlineStr">
        <is>
          <t>2026-05-14</t>
        </is>
      </c>
      <c r="G486" t="inlineStr">
        <is>
          <t xml:space="preserve"> - No hay coche</t>
        </is>
      </c>
      <c r="H486">
        <f>HYPERLINK("https://booking.roadsurfer.com/es/rally/pick?pickup_date=2026-05-07&amp;return_date=2026-05-14&amp;currency=EUR&amp;startStation=15&amp;endStation=90",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Leipzig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Road House</t>
        </is>
      </c>
      <c r="H487">
        <f>HYPERLINK("https://booking.roadsurfer.com/es/rally/pick?pickup_date=2026-05-04&amp;return_date=2026-05-11&amp;currency=EUR&amp;startStation=15&amp;endStation=8",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Surfer Suite</t>
        </is>
      </c>
      <c r="H488">
        <f>HYPERLINK("https://booking.roadsurfer.com/es/rally/pick?pickup_date=2026-05-11&amp;return_date=2026-05-18&amp;currency=EUR&amp;startStation=15&amp;endStation=8",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Dresde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</t>
        </is>
      </c>
      <c r="H489">
        <f>HYPERLINK("https://booking.roadsurfer.com/es/rally/pick?pickup_date=2026-05-11&amp;return_date=2026-05-18&amp;currency=EUR&amp;startStation=15&amp;endStation=56",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2026-05-16</t>
        </is>
      </c>
      <c r="F490" t="inlineStr">
        <is>
          <t>2026-05-23</t>
        </is>
      </c>
      <c r="G490" t="inlineStr">
        <is>
          <t xml:space="preserve"> - Road House</t>
        </is>
      </c>
      <c r="H490">
        <f>HYPERLINK("https://booking.roadsurfer.com/es/rally/pick?pickup_date=2026-05-16&amp;return_date=2026-05-23&amp;currency=EUR&amp;startStation=15&amp;endStation=56",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Colonia-Düsseldorf</t>
        </is>
      </c>
      <c r="E491" t="inlineStr">
        <is>
          <t>2026-05-08</t>
        </is>
      </c>
      <c r="F491" t="inlineStr">
        <is>
          <t>2026-05-15</t>
        </is>
      </c>
      <c r="G491" t="inlineStr">
        <is>
          <t xml:space="preserve"> - No hay coche</t>
        </is>
      </c>
      <c r="H491">
        <f>HYPERLINK("https://booking.roadsurfer.com/es/rally/pick?pickup_date=2026-05-08&amp;return_date=2026-05-15&amp;currency=EUR&amp;startStation=15&amp;endStation=4",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Colonia-Düsseldorf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Camper Cabin</t>
        </is>
      </c>
      <c r="H492">
        <f>HYPERLINK("https://booking.roadsurfer.com/es/rally/pick?pickup_date=2026-05-11&amp;return_date=2026-05-18&amp;currency=EUR&amp;startStation=15&amp;endStation=4",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Colonia-Düsseldorf</t>
        </is>
      </c>
      <c r="E493" t="inlineStr">
        <is>
          <t>2026-04-07</t>
        </is>
      </c>
      <c r="F493" t="inlineStr">
        <is>
          <t>2026-04-14</t>
        </is>
      </c>
      <c r="G493" t="inlineStr">
        <is>
          <t xml:space="preserve"> - No hay coche</t>
        </is>
      </c>
      <c r="H493">
        <f>HYPERLINK("https://booking.roadsurfer.com/es/rally/pick?pickup_date=2026-04-07&amp;return_date=2026-04-14&amp;currency=EUR&amp;startStation=15&amp;endStation=4",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Colonia-Düsseldorf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Camper Cabin</t>
        </is>
      </c>
      <c r="H494">
        <f>HYPERLINK("https://booking.roadsurfer.com/es/rally/pick?pickup_date=2026-05-15&amp;return_date=2026-05-22&amp;currency=EUR&amp;startStation=15&amp;endStation=4",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Colonia-Düsseldorf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Road House</t>
        </is>
      </c>
      <c r="H495">
        <f>HYPERLINK("https://booking.roadsurfer.com/es/rally/pick?pickup_date=2026-05-04&amp;return_date=2026-05-11&amp;currency=EUR&amp;startStation=15&amp;endStation=4",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Berlín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Road House</t>
        </is>
      </c>
      <c r="H496">
        <f>HYPERLINK("https://booking.roadsurfer.com/es/rally/pick?pickup_date=2026-05-04&amp;return_date=2026-05-11&amp;currency=EUR&amp;startStation=15&amp;endStation=6",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Berlín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Road House</t>
        </is>
      </c>
      <c r="H497">
        <f>HYPERLINK("https://booking.roadsurfer.com/es/rally/pick?pickup_date=2026-05-06&amp;return_date=2026-05-13&amp;currency=EUR&amp;startStation=15&amp;endStation=6",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Berlín</t>
        </is>
      </c>
      <c r="E498" t="inlineStr">
        <is>
          <t>2026-04-18</t>
        </is>
      </c>
      <c r="F498" t="inlineStr">
        <is>
          <t>2026-04-25</t>
        </is>
      </c>
      <c r="G498" t="inlineStr">
        <is>
          <t xml:space="preserve"> - Camper Cabin</t>
        </is>
      </c>
      <c r="H498">
        <f>HYPERLINK("https://booking.roadsurfer.com/es/rally/pick?pickup_date=2026-04-18&amp;return_date=2026-04-25&amp;currency=EUR&amp;startStation=15&amp;endStation=6",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Alemania</t>
        </is>
      </c>
      <c r="D499" t="inlineStr">
        <is>
          <t>Múnich</t>
        </is>
      </c>
      <c r="E499" t="inlineStr">
        <is>
          <t>2026-05-07</t>
        </is>
      </c>
      <c r="F499" t="inlineStr">
        <is>
          <t>2026-05-14</t>
        </is>
      </c>
      <c r="G499" t="inlineStr">
        <is>
          <t xml:space="preserve"> - No hay coche</t>
        </is>
      </c>
      <c r="H499">
        <f>HYPERLINK("https://booking.roadsurfer.com/es/rally/pick?pickup_date=2026-05-07&amp;return_date=2026-05-14&amp;currency=EUR&amp;startStation=15&amp;endStation=1",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Múnich</t>
        </is>
      </c>
      <c r="E500" t="inlineStr">
        <is>
          <t>2026-05-21</t>
        </is>
      </c>
      <c r="F500" t="inlineStr">
        <is>
          <t>2026-05-28</t>
        </is>
      </c>
      <c r="G500" t="inlineStr">
        <is>
          <t xml:space="preserve"> - Camper Cabin</t>
        </is>
      </c>
      <c r="H500">
        <f>HYPERLINK("https://booking.roadsurfer.com/es/rally/pick?pickup_date=2026-05-21&amp;return_date=2026-05-28&amp;currency=EUR&amp;startStation=15&amp;endStation=1",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Múnich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No hay coche</t>
        </is>
      </c>
      <c r="H501">
        <f>HYPERLINK("https://booking.roadsurfer.com/es/rally/pick?pickup_date=2026-05-14&amp;return_date=2026-05-21&amp;currency=EUR&amp;startStation=15&amp;endStation=1",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Múnich</t>
        </is>
      </c>
      <c r="E502" t="inlineStr">
        <is>
          <t>2026-05-20</t>
        </is>
      </c>
      <c r="F502" t="inlineStr">
        <is>
          <t>2026-05-27</t>
        </is>
      </c>
      <c r="G502" t="inlineStr">
        <is>
          <t xml:space="preserve"> - Camper Cabin Deluxe</t>
        </is>
      </c>
      <c r="H502">
        <f>HYPERLINK("https://booking.roadsurfer.com/es/rally/pick?pickup_date=2026-05-20&amp;return_date=2026-05-27&amp;currency=EUR&amp;startStation=15&amp;endStation=1",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Múnich</t>
        </is>
      </c>
      <c r="E503" t="inlineStr">
        <is>
          <t>2026-04-21</t>
        </is>
      </c>
      <c r="F503" t="inlineStr">
        <is>
          <t>2026-04-28</t>
        </is>
      </c>
      <c r="G503" t="inlineStr">
        <is>
          <t xml:space="preserve"> - Camper Cabin</t>
        </is>
      </c>
      <c r="H503">
        <f>HYPERLINK("https://booking.roadsurfer.com/es/rally/pick?pickup_date=2026-04-21&amp;return_date=2026-04-28&amp;currency=EUR&amp;startStation=15&amp;endStation=1",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Francia</t>
        </is>
      </c>
      <c r="D504" t="inlineStr">
        <is>
          <t>París Aeropuerto CDG</t>
        </is>
      </c>
      <c r="E504" t="inlineStr">
        <is>
          <t>2026-04-30</t>
        </is>
      </c>
      <c r="F504" t="inlineStr">
        <is>
          <t>2026-05-07</t>
        </is>
      </c>
      <c r="G504" t="inlineStr">
        <is>
          <t xml:space="preserve"> - Camper Castle</t>
        </is>
      </c>
      <c r="H504">
        <f>HYPERLINK("https://booking.roadsurfer.com/es/rally/pick?pickup_date=2026-04-30&amp;return_date=2026-05-07&amp;currency=EUR&amp;startStation=15&amp;endStation=48",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Bremen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Family Finca</t>
        </is>
      </c>
      <c r="H505">
        <f>HYPERLINK("https://booking.roadsurfer.com/es/rally/pick?pickup_date=2026-05-04&amp;return_date=2026-05-11&amp;currency=EUR&amp;startStation=15&amp;endStation=55",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Cozy Cottage</t>
        </is>
      </c>
      <c r="H506">
        <f>HYPERLINK("https://booking.roadsurfer.com/es/rally/pick?pickup_date=2026-04-27&amp;return_date=2026-05-04&amp;currency=EUR&amp;startStation=15&amp;endStation=29",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Núremberg</t>
        </is>
      </c>
      <c r="E507" t="inlineStr">
        <is>
          <t>2026-05-11</t>
        </is>
      </c>
      <c r="F507" t="inlineStr">
        <is>
          <t>2026-05-18</t>
        </is>
      </c>
      <c r="G507" t="inlineStr">
        <is>
          <t xml:space="preserve"> - Road House - Sunrise Suite</t>
        </is>
      </c>
      <c r="H507">
        <f>HYPERLINK("https://booking.roadsurfer.com/es/rally/pick?pickup_date=2026-05-11&amp;return_date=2026-05-18&amp;currency=EUR&amp;startStation=20&amp;endStation=11",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Núremberg</t>
        </is>
      </c>
      <c r="E508" t="inlineStr">
        <is>
          <t>2026-05-14</t>
        </is>
      </c>
      <c r="F508" t="inlineStr">
        <is>
          <t>2026-05-21</t>
        </is>
      </c>
      <c r="G508" t="inlineStr">
        <is>
          <t xml:space="preserve"> - Surfer Suite</t>
        </is>
      </c>
      <c r="H508">
        <f>HYPERLINK("https://booking.roadsurfer.com/es/rally/pick?pickup_date=2026-05-14&amp;return_date=2026-05-21&amp;currency=EUR&amp;startStation=20&amp;endStation=11",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Núremberg</t>
        </is>
      </c>
      <c r="E509" t="inlineStr">
        <is>
          <t>2026-05-25</t>
        </is>
      </c>
      <c r="F509" t="inlineStr">
        <is>
          <t>2026-06-01</t>
        </is>
      </c>
      <c r="G509" t="inlineStr">
        <is>
          <t xml:space="preserve"> - Couple Cottage</t>
        </is>
      </c>
      <c r="H509">
        <f>HYPERLINK("https://booking.roadsurfer.com/es/rally/pick?pickup_date=2026-05-25&amp;return_date=2026-06-01&amp;currency=EUR&amp;startStation=20&amp;endStation=11",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Núremberg</t>
        </is>
      </c>
      <c r="E510" t="inlineStr">
        <is>
          <t>2026-05-22</t>
        </is>
      </c>
      <c r="F510" t="inlineStr">
        <is>
          <t>2026-05-29</t>
        </is>
      </c>
      <c r="G510" t="inlineStr">
        <is>
          <t xml:space="preserve"> - Road House</t>
        </is>
      </c>
      <c r="H510">
        <f>HYPERLINK("https://booking.roadsurfer.com/es/rally/pick?pickup_date=2026-05-22&amp;return_date=2026-05-29&amp;currency=EUR&amp;startStation=20&amp;endStation=11",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Stuttgart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Family Finca</t>
        </is>
      </c>
      <c r="H511">
        <f>HYPERLINK("https://booking.roadsurfer.com/es/rally/pick?pickup_date=2026-05-04&amp;return_date=2026-05-11&amp;currency=EUR&amp;startStation=20&amp;endStation=5",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Stuttgart</t>
        </is>
      </c>
      <c r="E512" t="inlineStr">
        <is>
          <t>2026-05-06</t>
        </is>
      </c>
      <c r="F512" t="inlineStr">
        <is>
          <t>2026-05-13</t>
        </is>
      </c>
      <c r="G512" t="inlineStr">
        <is>
          <t xml:space="preserve"> - Camper Cabin</t>
        </is>
      </c>
      <c r="H512">
        <f>HYPERLINK("https://booking.roadsurfer.com/es/rally/pick?pickup_date=2026-05-06&amp;return_date=2026-05-13&amp;currency=EUR&amp;startStation=20&amp;endStation=5",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Stuttgart</t>
        </is>
      </c>
      <c r="E513" t="inlineStr">
        <is>
          <t>2026-05-08</t>
        </is>
      </c>
      <c r="F513" t="inlineStr">
        <is>
          <t>2026-05-15</t>
        </is>
      </c>
      <c r="G513" t="inlineStr">
        <is>
          <t xml:space="preserve"> - Surfer Suite</t>
        </is>
      </c>
      <c r="H513">
        <f>HYPERLINK("https://booking.roadsurfer.com/es/rally/pick?pickup_date=2026-05-08&amp;return_date=2026-05-15&amp;currency=EUR&amp;startStation=20&amp;endStation=5",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Stuttgart</t>
        </is>
      </c>
      <c r="E514" t="inlineStr">
        <is>
          <t>2026-05-22</t>
        </is>
      </c>
      <c r="F514" t="inlineStr">
        <is>
          <t>2026-05-29</t>
        </is>
      </c>
      <c r="G514" t="inlineStr">
        <is>
          <t xml:space="preserve"> - Road House</t>
        </is>
      </c>
      <c r="H514">
        <f>HYPERLINK("https://booking.roadsurfer.com/es/rally/pick?pickup_date=2026-05-22&amp;return_date=2026-05-29&amp;currency=EUR&amp;startStation=20&amp;endStation=5",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Friburgo-Basilea (Alemania)</t>
        </is>
      </c>
      <c r="E515" t="inlineStr">
        <is>
          <t>2026-04-15</t>
        </is>
      </c>
      <c r="F515" t="inlineStr">
        <is>
          <t>2026-04-22</t>
        </is>
      </c>
      <c r="G515" t="inlineStr">
        <is>
          <t xml:space="preserve"> - Surfer Suite - Couple Cottage</t>
        </is>
      </c>
      <c r="H515">
        <f>HYPERLINK("https://booking.roadsurfer.com/es/rally/pick?pickup_date=2026-04-15&amp;return_date=2026-04-22&amp;currency=EUR&amp;startStation=20&amp;endStation=9",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Maguncia</t>
        </is>
      </c>
      <c r="E516" t="inlineStr">
        <is>
          <t>2026-05-04</t>
        </is>
      </c>
      <c r="F516" t="inlineStr">
        <is>
          <t>2026-05-11</t>
        </is>
      </c>
      <c r="G516" t="inlineStr">
        <is>
          <t xml:space="preserve"> - Couple Cottage</t>
        </is>
      </c>
      <c r="H516">
        <f>HYPERLINK("https://booking.roadsurfer.com/es/rally/pick?pickup_date=2026-05-04&amp;return_date=2026-05-11&amp;currency=EUR&amp;startStation=20&amp;endStation=54",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Maguncia</t>
        </is>
      </c>
      <c r="E517" t="inlineStr">
        <is>
          <t>2026-04-13</t>
        </is>
      </c>
      <c r="F517" t="inlineStr">
        <is>
          <t>2026-04-20</t>
        </is>
      </c>
      <c r="G517" t="inlineStr">
        <is>
          <t xml:space="preserve"> - Sunrise Suite</t>
        </is>
      </c>
      <c r="H517">
        <f>HYPERLINK("https://booking.roadsurfer.com/es/rally/pick?pickup_date=2026-04-13&amp;return_date=2026-04-20&amp;currency=EUR&amp;startStation=20&amp;endStation=54",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Maguncia</t>
        </is>
      </c>
      <c r="E518" t="inlineStr">
        <is>
          <t>2026-05-11</t>
        </is>
      </c>
      <c r="F518" t="inlineStr">
        <is>
          <t>2026-05-18</t>
        </is>
      </c>
      <c r="G518" t="inlineStr">
        <is>
          <t xml:space="preserve"> - Camper Castle</t>
        </is>
      </c>
      <c r="H518">
        <f>HYPERLINK("https://booking.roadsurfer.com/es/rally/pick?pickup_date=2026-05-11&amp;return_date=2026-05-18&amp;currency=EUR&amp;startStation=20&amp;endStation=54",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Maguncia</t>
        </is>
      </c>
      <c r="E519" t="inlineStr">
        <is>
          <t>2026-05-13</t>
        </is>
      </c>
      <c r="F519" t="inlineStr">
        <is>
          <t>2026-05-20</t>
        </is>
      </c>
      <c r="G519" t="inlineStr">
        <is>
          <t xml:space="preserve"> - Family Finca</t>
        </is>
      </c>
      <c r="H519">
        <f>HYPERLINK("https://booking.roadsurfer.com/es/rally/pick?pickup_date=2026-05-13&amp;return_date=2026-05-20&amp;currency=EUR&amp;startStation=20&amp;endStation=54",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Maguncia</t>
        </is>
      </c>
      <c r="E520" t="inlineStr">
        <is>
          <t>2026-05-15</t>
        </is>
      </c>
      <c r="F520" t="inlineStr">
        <is>
          <t>2026-05-22</t>
        </is>
      </c>
      <c r="G520" t="inlineStr">
        <is>
          <t xml:space="preserve"> - No hay coche</t>
        </is>
      </c>
      <c r="H520">
        <f>HYPERLINK("https://booking.roadsurfer.com/es/rally/pick?pickup_date=2026-05-15&amp;return_date=2026-05-22&amp;currency=EUR&amp;startStation=20&amp;endStation=54",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Heidelberg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Road House</t>
        </is>
      </c>
      <c r="H521">
        <f>HYPERLINK("https://booking.roadsurfer.com/es/rally/pick?pickup_date=2026-05-11&amp;return_date=2026-05-18&amp;currency=EUR&amp;startStation=20&amp;endStation=79",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Karlsruhe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No hay coche</t>
        </is>
      </c>
      <c r="H522">
        <f>HYPERLINK("https://booking.roadsurfer.com/es/rally/pick?pickup_date=2026-05-04&amp;return_date=2026-05-11&amp;currency=EUR&amp;startStation=20&amp;endStation=110",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Karlsruhe</t>
        </is>
      </c>
      <c r="E523" t="inlineStr">
        <is>
          <t>2026-05-11</t>
        </is>
      </c>
      <c r="F523" t="inlineStr">
        <is>
          <t>2026-05-18</t>
        </is>
      </c>
      <c r="G523" t="inlineStr">
        <is>
          <t xml:space="preserve"> - Sunrise Suite</t>
        </is>
      </c>
      <c r="H523">
        <f>HYPERLINK("https://booking.roadsurfer.com/es/rally/pick?pickup_date=2026-05-11&amp;return_date=2026-05-18&amp;currency=EUR&amp;startStation=20&amp;endStation=110",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Karlsruhe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Sunrise Suite</t>
        </is>
      </c>
      <c r="H524">
        <f>HYPERLINK("https://booking.roadsurfer.com/es/rally/pick?pickup_date=2026-05-13&amp;return_date=2026-05-20&amp;currency=EUR&amp;startStation=20&amp;endStation=110",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Karlsruhe</t>
        </is>
      </c>
      <c r="E525" t="inlineStr">
        <is>
          <t>2026-05-15</t>
        </is>
      </c>
      <c r="F525" t="inlineStr">
        <is>
          <t>2026-05-22</t>
        </is>
      </c>
      <c r="G525" t="inlineStr">
        <is>
          <t xml:space="preserve"> - No hay coche</t>
        </is>
      </c>
      <c r="H525">
        <f>HYPERLINK("https://booking.roadsurfer.com/es/rally/pick?pickup_date=2026-05-15&amp;return_date=2026-05-22&amp;currency=EUR&amp;startStation=20&amp;endStation=110",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Wurzburgo</t>
        </is>
      </c>
      <c r="E526" t="inlineStr">
        <is>
          <t>2026-05-15</t>
        </is>
      </c>
      <c r="F526" t="inlineStr">
        <is>
          <t>2026-05-22</t>
        </is>
      </c>
      <c r="G526" t="inlineStr">
        <is>
          <t xml:space="preserve"> - No hay coche</t>
        </is>
      </c>
      <c r="H526">
        <f>HYPERLINK("https://booking.roadsurfer.com/es/rally/pick?pickup_date=2026-05-15&amp;return_date=2026-05-22&amp;currency=EUR&amp;startStation=20&amp;endStation=115",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Wurzburgo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Family Finca</t>
        </is>
      </c>
      <c r="H527">
        <f>HYPERLINK("https://booking.roadsurfer.com/es/rally/pick?pickup_date=2026-05-04&amp;return_date=2026-05-11&amp;currency=EUR&amp;startStation=20&amp;endStation=115",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Lindau-Wangen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No hay coche</t>
        </is>
      </c>
      <c r="H528">
        <f>HYPERLINK("https://booking.roadsurfer.com/es/rally/pick?pickup_date=2026-05-18&amp;return_date=2026-05-25&amp;currency=EUR&amp;startStation=20&amp;endStation=117",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Lindau-Wangen</t>
        </is>
      </c>
      <c r="E529" t="inlineStr">
        <is>
          <t>2026-05-25</t>
        </is>
      </c>
      <c r="F529" t="inlineStr">
        <is>
          <t>2026-06-01</t>
        </is>
      </c>
      <c r="G529" t="inlineStr">
        <is>
          <t xml:space="preserve"> - Couple Cottage</t>
        </is>
      </c>
      <c r="H529">
        <f>HYPERLINK("https://booking.roadsurfer.com/es/rally/pick?pickup_date=2026-05-25&amp;return_date=2026-06-01&amp;currency=EUR&amp;startStation=20&amp;endStation=117",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Lindau-Wangen</t>
        </is>
      </c>
      <c r="E530" t="inlineStr">
        <is>
          <t>2026-04-23</t>
        </is>
      </c>
      <c r="F530" t="inlineStr">
        <is>
          <t>2026-04-30</t>
        </is>
      </c>
      <c r="G530" t="inlineStr">
        <is>
          <t xml:space="preserve"> - Family Finca</t>
        </is>
      </c>
      <c r="H530">
        <f>HYPERLINK("https://booking.roadsurfer.com/es/rally/pick?pickup_date=2026-04-23&amp;return_date=2026-04-30&amp;currency=EUR&amp;startStation=20&amp;endStation=117",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2026-04-13</t>
        </is>
      </c>
      <c r="F531" t="inlineStr">
        <is>
          <t>2026-04-20</t>
        </is>
      </c>
      <c r="G531" t="inlineStr">
        <is>
          <t xml:space="preserve"> - Sunrise Suite</t>
        </is>
      </c>
      <c r="H531">
        <f>HYPERLINK("https://booking.roadsurfer.com/es/rally/pick?pickup_date=2026-04-13&amp;return_date=2026-04-20&amp;currency=EUR&amp;startStation=20&amp;endStation=22", "Clic para verlo en la web de RoadSurfer")</f>
        <v/>
      </c>
    </row>
    <row r="532">
      <c r="A532" t="inlineStr">
        <is>
          <t>Alemania</t>
        </is>
      </c>
      <c r="B532" t="inlineStr">
        <is>
          <t>Maguncia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2026-04-13</t>
        </is>
      </c>
      <c r="F532" t="inlineStr">
        <is>
          <t>2026-04-20</t>
        </is>
      </c>
      <c r="G532" t="inlineStr">
        <is>
          <t xml:space="preserve"> - Camper Cabin Deluxe</t>
        </is>
      </c>
      <c r="H532">
        <f>HYPERLINK("https://booking.roadsurfer.com/es/rally/pick?pickup_date=2026-04-13&amp;return_date=2026-04-20&amp;currency=EUR&amp;startStation=54&amp;endStation=29", "Clic para verlo en la web de RoadSurfer")</f>
        <v/>
      </c>
    </row>
    <row r="533">
      <c r="A533" t="inlineStr">
        <is>
          <t>Alemania</t>
        </is>
      </c>
      <c r="B533" t="inlineStr">
        <is>
          <t>Maguncia</t>
        </is>
      </c>
      <c r="C533" t="inlineStr">
        <is>
          <t>Suecia</t>
        </is>
      </c>
      <c r="D533" t="inlineStr">
        <is>
          <t>Malmö</t>
        </is>
      </c>
      <c r="E533" t="inlineStr">
        <is>
          <t>2026-04-08</t>
        </is>
      </c>
      <c r="F533" t="inlineStr">
        <is>
          <t>2026-04-15</t>
        </is>
      </c>
      <c r="G533" t="inlineStr">
        <is>
          <t xml:space="preserve"> - Camper Castle</t>
        </is>
      </c>
      <c r="H533">
        <f>HYPERLINK("https://booking.roadsurfer.com/es/rally/pick?pickup_date=2026-04-08&amp;return_date=2026-04-15&amp;currency=EUR&amp;startStation=54&amp;endStation=60", "Clic para verlo en la web de RoadSurfer")</f>
        <v/>
      </c>
    </row>
    <row r="534">
      <c r="A534" t="inlineStr">
        <is>
          <t>España</t>
        </is>
      </c>
      <c r="B534" t="inlineStr">
        <is>
          <t>Málaga</t>
        </is>
      </c>
      <c r="C534" t="inlineStr">
        <is>
          <t>Alemania</t>
        </is>
      </c>
      <c r="D534" t="inlineStr">
        <is>
          <t>Múnich</t>
        </is>
      </c>
      <c r="E534" t="inlineStr">
        <is>
          <t>2026-05-07</t>
        </is>
      </c>
      <c r="F534" t="inlineStr">
        <is>
          <t>2026-05-14</t>
        </is>
      </c>
      <c r="G534" t="inlineStr">
        <is>
          <t xml:space="preserve"> - No hay coche</t>
        </is>
      </c>
      <c r="H534">
        <f>HYPERLINK("https://booking.roadsurfer.com/es/rally/pick?pickup_date=2026-05-07&amp;return_date=2026-05-14&amp;currency=EUR&amp;startStation=21&amp;endStation=1", "Clic para verlo en la web de RoadSurfer")</f>
        <v/>
      </c>
    </row>
    <row r="535">
      <c r="A535" t="inlineStr">
        <is>
          <t>España</t>
        </is>
      </c>
      <c r="B535" t="inlineStr">
        <is>
          <t>Málaga</t>
        </is>
      </c>
      <c r="C535" t="inlineStr">
        <is>
          <t>Alemania</t>
        </is>
      </c>
      <c r="D535" t="inlineStr">
        <is>
          <t>Múnich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Road House</t>
        </is>
      </c>
      <c r="H535">
        <f>HYPERLINK("https://booking.roadsurfer.com/es/rally/pick?pickup_date=2026-05-11&amp;return_date=2026-05-18&amp;currency=EUR&amp;startStation=21&amp;endStation=1", "Clic para verlo en la web de RoadSurfer")</f>
        <v/>
      </c>
    </row>
    <row r="536">
      <c r="A536" t="inlineStr">
        <is>
          <t>España</t>
        </is>
      </c>
      <c r="B536" t="inlineStr">
        <is>
          <t>Málaga</t>
        </is>
      </c>
      <c r="C536" t="inlineStr">
        <is>
          <t>Alemania</t>
        </is>
      </c>
      <c r="D536" t="inlineStr">
        <is>
          <t>Múnich</t>
        </is>
      </c>
      <c r="E536" t="inlineStr">
        <is>
          <t>2026-04-09</t>
        </is>
      </c>
      <c r="F536" t="inlineStr">
        <is>
          <t>2026-04-16</t>
        </is>
      </c>
      <c r="G536" t="inlineStr">
        <is>
          <t xml:space="preserve"> - Surfer Suite</t>
        </is>
      </c>
      <c r="H536">
        <f>HYPERLINK("https://booking.roadsurfer.com/es/rally/pick?pickup_date=2026-04-09&amp;return_date=2026-04-16&amp;currency=EUR&amp;startStation=21&amp;endStation=1", "Clic para verlo en la web de RoadSurfer")</f>
        <v/>
      </c>
    </row>
    <row r="537">
      <c r="A537" t="inlineStr">
        <is>
          <t>España</t>
        </is>
      </c>
      <c r="B537" t="inlineStr">
        <is>
          <t>Málaga</t>
        </is>
      </c>
      <c r="C537" t="inlineStr">
        <is>
          <t>Alemania</t>
        </is>
      </c>
      <c r="D537" t="inlineStr">
        <is>
          <t>Kiel</t>
        </is>
      </c>
      <c r="E537" t="inlineStr">
        <is>
          <t>2026-04-27</t>
        </is>
      </c>
      <c r="F537" t="inlineStr">
        <is>
          <t>2026-05-04</t>
        </is>
      </c>
      <c r="G537" t="inlineStr">
        <is>
          <t xml:space="preserve"> - Beach Hostel</t>
        </is>
      </c>
      <c r="H537">
        <f>HYPERLINK("https://booking.roadsurfer.com/es/rally/pick?pickup_date=2026-04-27&amp;return_date=2026-05-04&amp;currency=EUR&amp;startStation=21&amp;endStation=111", "Clic para verlo en la web de RoadSurfer")</f>
        <v/>
      </c>
    </row>
    <row r="538">
      <c r="A538" t="inlineStr">
        <is>
          <t>España</t>
        </is>
      </c>
      <c r="B538" t="inlineStr">
        <is>
          <t>Málaga</t>
        </is>
      </c>
      <c r="C538" t="inlineStr">
        <is>
          <t>Alemania</t>
        </is>
      </c>
      <c r="D538" t="inlineStr">
        <is>
          <t>Maguncia</t>
        </is>
      </c>
      <c r="E538" t="inlineStr">
        <is>
          <t>2026-05-14</t>
        </is>
      </c>
      <c r="F538" t="inlineStr">
        <is>
          <t>2026-05-21</t>
        </is>
      </c>
      <c r="G538" t="inlineStr">
        <is>
          <t xml:space="preserve"> - Road House</t>
        </is>
      </c>
      <c r="H538">
        <f>HYPERLINK("https://booking.roadsurfer.com/es/rally/pick?pickup_date=2026-05-14&amp;return_date=2026-05-21&amp;currency=EUR&amp;startStation=21&amp;endStation=54", "Clic para verlo en la web de RoadSurfer")</f>
        <v/>
      </c>
    </row>
    <row r="539">
      <c r="A539" t="inlineStr">
        <is>
          <t>España</t>
        </is>
      </c>
      <c r="B539" t="inlineStr">
        <is>
          <t>Málaga</t>
        </is>
      </c>
      <c r="C539" t="inlineStr">
        <is>
          <t>Alemania</t>
        </is>
      </c>
      <c r="D539" t="inlineStr">
        <is>
          <t>Colonia-Düsseldorf</t>
        </is>
      </c>
      <c r="E539" t="inlineStr">
        <is>
          <t>2026-04-18</t>
        </is>
      </c>
      <c r="F539" t="inlineStr">
        <is>
          <t>2026-04-25</t>
        </is>
      </c>
      <c r="G539" t="inlineStr">
        <is>
          <t xml:space="preserve"> - Family Finca</t>
        </is>
      </c>
      <c r="H539">
        <f>HYPERLINK("https://booking.roadsurfer.com/es/rally/pick?pickup_date=2026-04-18&amp;return_date=2026-04-25&amp;currency=EUR&amp;startStation=21&amp;endStation=4",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Bremen</t>
        </is>
      </c>
      <c r="E540" t="inlineStr">
        <is>
          <t>2026-04-14</t>
        </is>
      </c>
      <c r="F540" t="inlineStr">
        <is>
          <t>2026-04-21</t>
        </is>
      </c>
      <c r="G540" t="inlineStr">
        <is>
          <t xml:space="preserve"> - Road House</t>
        </is>
      </c>
      <c r="H540">
        <f>HYPERLINK("https://booking.roadsurfer.com/es/rally/pick?pickup_date=2026-04-14&amp;return_date=2026-04-21&amp;currency=EUR&amp;startStation=60&amp;endStation=55",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Bremen</t>
        </is>
      </c>
      <c r="E541" t="inlineStr">
        <is>
          <t>2026-04-08</t>
        </is>
      </c>
      <c r="F541" t="inlineStr">
        <is>
          <t>2026-04-15</t>
        </is>
      </c>
      <c r="G541" t="inlineStr">
        <is>
          <t xml:space="preserve"> - Road House</t>
        </is>
      </c>
      <c r="H541">
        <f>HYPERLINK("https://booking.roadsurfer.com/es/rally/pick?pickup_date=2026-04-08&amp;return_date=2026-04-15&amp;currency=EUR&amp;startStation=60&amp;endStation=55",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Bremen</t>
        </is>
      </c>
      <c r="E542" t="inlineStr">
        <is>
          <t>2026-04-07</t>
        </is>
      </c>
      <c r="F542" t="inlineStr">
        <is>
          <t>2026-04-14</t>
        </is>
      </c>
      <c r="G542" t="inlineStr">
        <is>
          <t xml:space="preserve"> - Surfer Suite</t>
        </is>
      </c>
      <c r="H542">
        <f>HYPERLINK("https://booking.roadsurfer.com/es/rally/pick?pickup_date=2026-04-07&amp;return_date=2026-04-14&amp;currency=EUR&amp;startStation=60&amp;endStation=55",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Bremen</t>
        </is>
      </c>
      <c r="E543" t="inlineStr">
        <is>
          <t>2026-04-16</t>
        </is>
      </c>
      <c r="F543" t="inlineStr">
        <is>
          <t>2026-04-23</t>
        </is>
      </c>
      <c r="G543" t="inlineStr">
        <is>
          <t xml:space="preserve"> - Surfer Suite</t>
        </is>
      </c>
      <c r="H543">
        <f>HYPERLINK("https://booking.roadsurfer.com/es/rally/pick?pickup_date=2026-04-16&amp;return_date=2026-04-23&amp;currency=EUR&amp;startStation=60&amp;endStation=55",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Bremen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ROAD HOUSE</t>
        </is>
      </c>
      <c r="H544">
        <f>HYPERLINK("https://booking.roadsurfer.com/es/rally/pick?pickup_date=2026-05-06&amp;return_date=2026-05-13&amp;currency=EUR&amp;startStation=60&amp;endStation=55",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Bremen</t>
        </is>
      </c>
      <c r="E545" t="inlineStr">
        <is>
          <t>2026-05-19</t>
        </is>
      </c>
      <c r="F545" t="inlineStr">
        <is>
          <t>2026-05-26</t>
        </is>
      </c>
      <c r="G545" t="inlineStr">
        <is>
          <t xml:space="preserve"> - Couple Cottage</t>
        </is>
      </c>
      <c r="H545">
        <f>HYPERLINK("https://booking.roadsurfer.com/es/rally/pick?pickup_date=2026-05-19&amp;return_date=2026-05-26&amp;currency=EUR&amp;startStation=60&amp;endStation=55",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Hannover</t>
        </is>
      </c>
      <c r="E546" t="inlineStr">
        <is>
          <t>2026-04-13</t>
        </is>
      </c>
      <c r="F546" t="inlineStr">
        <is>
          <t>2026-04-20</t>
        </is>
      </c>
      <c r="G546" t="inlineStr">
        <is>
          <t xml:space="preserve"> - Surfer Suite</t>
        </is>
      </c>
      <c r="H546">
        <f>HYPERLINK("https://booking.roadsurfer.com/es/rally/pick?pickup_date=2026-04-13&amp;return_date=2026-04-20&amp;currency=EUR&amp;startStation=60&amp;endStation=7",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Hannover</t>
        </is>
      </c>
      <c r="E547" t="inlineStr">
        <is>
          <t>2026-04-09</t>
        </is>
      </c>
      <c r="F547" t="inlineStr">
        <is>
          <t>2026-04-16</t>
        </is>
      </c>
      <c r="G547" t="inlineStr">
        <is>
          <t xml:space="preserve"> - Surfer Suite</t>
        </is>
      </c>
      <c r="H547">
        <f>HYPERLINK("https://booking.roadsurfer.com/es/rally/pick?pickup_date=2026-04-09&amp;return_date=2026-04-16&amp;currency=EUR&amp;startStation=60&amp;endStation=7",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Núremberg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Surfer Suite</t>
        </is>
      </c>
      <c r="H548">
        <f>HYPERLINK("https://booking.roadsurfer.com/es/rally/pick?pickup_date=2026-04-09&amp;return_date=2026-04-16&amp;currency=EUR&amp;startStation=60&amp;endStation=11",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Colonia-Bonn</t>
        </is>
      </c>
      <c r="E549" t="inlineStr">
        <is>
          <t>2026-04-16</t>
        </is>
      </c>
      <c r="F549" t="inlineStr">
        <is>
          <t>2026-04-23</t>
        </is>
      </c>
      <c r="G549" t="inlineStr">
        <is>
          <t xml:space="preserve"> - Surfer Suite</t>
        </is>
      </c>
      <c r="H549">
        <f>HYPERLINK("https://booking.roadsurfer.com/es/rally/pick?pickup_date=2026-04-16&amp;return_date=2026-04-23&amp;currency=EUR&amp;startStation=60&amp;endStation=52",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Maguncia</t>
        </is>
      </c>
      <c r="E550" t="inlineStr">
        <is>
          <t>2026-04-08</t>
        </is>
      </c>
      <c r="F550" t="inlineStr">
        <is>
          <t>2026-04-15</t>
        </is>
      </c>
      <c r="G550" t="inlineStr">
        <is>
          <t xml:space="preserve"> - Surfer Suite</t>
        </is>
      </c>
      <c r="H550">
        <f>HYPERLINK("https://booking.roadsurfer.com/es/rally/pick?pickup_date=2026-04-08&amp;return_date=2026-04-15&amp;currency=EUR&amp;startStation=60&amp;endStation=54",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Bielefeld</t>
        </is>
      </c>
      <c r="E551" t="inlineStr">
        <is>
          <t>2026-04-14</t>
        </is>
      </c>
      <c r="F551" t="inlineStr">
        <is>
          <t>2026-04-21</t>
        </is>
      </c>
      <c r="G551" t="inlineStr">
        <is>
          <t xml:space="preserve"> - Family Finca</t>
        </is>
      </c>
      <c r="H551">
        <f>HYPERLINK("https://booking.roadsurfer.com/es/rally/pick?pickup_date=2026-04-14&amp;return_date=2026-04-21&amp;currency=EUR&amp;startStation=60&amp;endStation=91",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2026-04-08</t>
        </is>
      </c>
      <c r="F552" t="inlineStr">
        <is>
          <t>2026-04-15</t>
        </is>
      </c>
      <c r="G552" t="inlineStr">
        <is>
          <t xml:space="preserve"> - SURFER SUITE - Road House</t>
        </is>
      </c>
      <c r="H552">
        <f>HYPERLINK("https://booking.roadsurfer.com/es/rally/pick?pickup_date=2026-04-08&amp;return_date=2026-04-15&amp;currency=EUR&amp;startStation=60&amp;endStation=22",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Marburg</t>
        </is>
      </c>
      <c r="E553" t="inlineStr">
        <is>
          <t>2026-04-22</t>
        </is>
      </c>
      <c r="F553" t="inlineStr">
        <is>
          <t>2026-04-29</t>
        </is>
      </c>
      <c r="G553" t="inlineStr">
        <is>
          <t xml:space="preserve"> - Camper Castle - Cozy Cottage</t>
        </is>
      </c>
      <c r="H553">
        <f>HYPERLINK("https://booking.roadsurfer.com/es/rally/pick?pickup_date=2026-04-22&amp;return_date=2026-04-29&amp;currency=EUR&amp;startStation=60&amp;endStation=22",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2026-04-09</t>
        </is>
      </c>
      <c r="F554" t="inlineStr">
        <is>
          <t>2026-04-16</t>
        </is>
      </c>
      <c r="G554" t="inlineStr">
        <is>
          <t xml:space="preserve"> - Road House - Family Finca</t>
        </is>
      </c>
      <c r="H554">
        <f>HYPERLINK("https://booking.roadsurfer.com/es/rally/pick?pickup_date=2026-04-09&amp;return_date=2026-04-16&amp;currency=EUR&amp;startStation=60&amp;endStation=22",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2026-04-13</t>
        </is>
      </c>
      <c r="F555" t="inlineStr">
        <is>
          <t>2026-04-20</t>
        </is>
      </c>
      <c r="G555" t="inlineStr">
        <is>
          <t xml:space="preserve"> - CAMPER CASTLE</t>
        </is>
      </c>
      <c r="H555">
        <f>HYPERLINK("https://booking.roadsurfer.com/es/rally/pick?pickup_date=2026-04-13&amp;return_date=2026-04-20&amp;currency=EUR&amp;startStation=60&amp;endStation=22",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2026-04-07</t>
        </is>
      </c>
      <c r="F556" t="inlineStr">
        <is>
          <t>2026-04-14</t>
        </is>
      </c>
      <c r="G556" t="inlineStr">
        <is>
          <t xml:space="preserve"> - Couple Cottage</t>
        </is>
      </c>
      <c r="H556">
        <f>HYPERLINK("https://booking.roadsurfer.com/es/rally/pick?pickup_date=2026-04-07&amp;return_date=2026-04-14&amp;currency=EUR&amp;startStation=60&amp;endStation=22",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2026-04-14</t>
        </is>
      </c>
      <c r="F557" t="inlineStr">
        <is>
          <t>2026-04-21</t>
        </is>
      </c>
      <c r="G557" t="inlineStr">
        <is>
          <t xml:space="preserve"> - Couple Cottage</t>
        </is>
      </c>
      <c r="H557">
        <f>HYPERLINK("https://booking.roadsurfer.com/es/rally/pick?pickup_date=2026-04-14&amp;return_date=2026-04-21&amp;currency=EUR&amp;startStation=60&amp;endStation=22",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2026-04-21</t>
        </is>
      </c>
      <c r="F558" t="inlineStr">
        <is>
          <t>2026-04-28</t>
        </is>
      </c>
      <c r="G558" t="inlineStr">
        <is>
          <t xml:space="preserve"> - Camper Castle</t>
        </is>
      </c>
      <c r="H558">
        <f>HYPERLINK("https://booking.roadsurfer.com/es/rally/pick?pickup_date=2026-04-21&amp;return_date=2026-04-28&amp;currency=EUR&amp;startStation=60&amp;endStation=22",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Lübeck</t>
        </is>
      </c>
      <c r="E559" t="inlineStr">
        <is>
          <t>2026-05-04</t>
        </is>
      </c>
      <c r="F559" t="inlineStr">
        <is>
          <t>2026-05-11</t>
        </is>
      </c>
      <c r="G559" t="inlineStr">
        <is>
          <t xml:space="preserve"> - Road House</t>
        </is>
      </c>
      <c r="H559">
        <f>HYPERLINK("https://booking.roadsurfer.com/es/rally/pick?pickup_date=2026-05-04&amp;return_date=2026-05-11&amp;currency=EUR&amp;startStation=60&amp;endStation=109",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Lübeck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Road House</t>
        </is>
      </c>
      <c r="H560">
        <f>HYPERLINK("https://booking.roadsurfer.com/es/rally/pick?pickup_date=2026-05-06&amp;return_date=2026-05-13&amp;currency=EUR&amp;startStation=60&amp;endStation=109",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Lübeck</t>
        </is>
      </c>
      <c r="E561" t="inlineStr">
        <is>
          <t>2026-04-20</t>
        </is>
      </c>
      <c r="F561" t="inlineStr">
        <is>
          <t>2026-04-27</t>
        </is>
      </c>
      <c r="G561" t="inlineStr">
        <is>
          <t xml:space="preserve"> - Cozy Cottage</t>
        </is>
      </c>
      <c r="H561">
        <f>HYPERLINK("https://booking.roadsurfer.com/es/rally/pick?pickup_date=2026-04-20&amp;return_date=2026-04-27&amp;currency=EUR&amp;startStation=60&amp;endStation=109",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Hamburgo</t>
        </is>
      </c>
      <c r="E562" t="inlineStr">
        <is>
          <t>2026-04-07</t>
        </is>
      </c>
      <c r="F562" t="inlineStr">
        <is>
          <t>2026-04-14</t>
        </is>
      </c>
      <c r="G562" t="inlineStr">
        <is>
          <t xml:space="preserve"> - CAMPER CABIN DELUXE</t>
        </is>
      </c>
      <c r="H562">
        <f>HYPERLINK("https://booking.roadsurfer.com/es/rally/pick?pickup_date=2026-04-07&amp;return_date=2026-04-14&amp;currency=EUR&amp;startStation=60&amp;endStation=3",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Stuttgart</t>
        </is>
      </c>
      <c r="E563" t="inlineStr">
        <is>
          <t>2026-04-20</t>
        </is>
      </c>
      <c r="F563" t="inlineStr">
        <is>
          <t>2026-04-27</t>
        </is>
      </c>
      <c r="G563" t="inlineStr">
        <is>
          <t xml:space="preserve"> - Camper Castle</t>
        </is>
      </c>
      <c r="H563">
        <f>HYPERLINK("https://booking.roadsurfer.com/es/rally/pick?pickup_date=2026-04-20&amp;return_date=2026-04-27&amp;currency=EUR&amp;startStation=60&amp;endStation=5",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Augsburgo</t>
        </is>
      </c>
      <c r="E564" t="inlineStr">
        <is>
          <t>2026-04-09</t>
        </is>
      </c>
      <c r="F564" t="inlineStr">
        <is>
          <t>2026-04-16</t>
        </is>
      </c>
      <c r="G564" t="inlineStr">
        <is>
          <t xml:space="preserve"> - Camper Castle</t>
        </is>
      </c>
      <c r="H564">
        <f>HYPERLINK("https://booking.roadsurfer.com/es/rally/pick?pickup_date=2026-04-09&amp;return_date=2026-04-16&amp;currency=EUR&amp;startStation=60&amp;endStation=108",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Augsburgo</t>
        </is>
      </c>
      <c r="E565" t="inlineStr">
        <is>
          <t>2026-04-13</t>
        </is>
      </c>
      <c r="F565" t="inlineStr">
        <is>
          <t>2026-04-20</t>
        </is>
      </c>
      <c r="G565" t="inlineStr">
        <is>
          <t xml:space="preserve"> - Couple Cottage</t>
        </is>
      </c>
      <c r="H565">
        <f>HYPERLINK("https://booking.roadsurfer.com/es/rally/pick?pickup_date=2026-04-13&amp;return_date=2026-04-20&amp;currency=EUR&amp;startStation=60&amp;endStation=108",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Berlín</t>
        </is>
      </c>
      <c r="E566" t="inlineStr">
        <is>
          <t>2026-05-14</t>
        </is>
      </c>
      <c r="F566" t="inlineStr">
        <is>
          <t>2026-05-21</t>
        </is>
      </c>
      <c r="G566" t="inlineStr">
        <is>
          <t xml:space="preserve"> - No hay coche</t>
        </is>
      </c>
      <c r="H566">
        <f>HYPERLINK("https://booking.roadsurfer.com/es/rally/pick?pickup_date=2026-05-14&amp;return_date=2026-05-21&amp;currency=EUR&amp;startStation=60&amp;endStation=6",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Berlín</t>
        </is>
      </c>
      <c r="E567" t="inlineStr">
        <is>
          <t>2026-05-23</t>
        </is>
      </c>
      <c r="F567" t="inlineStr">
        <is>
          <t>2026-05-30</t>
        </is>
      </c>
      <c r="G567" t="inlineStr">
        <is>
          <t xml:space="preserve"> - Camper Castle</t>
        </is>
      </c>
      <c r="H567">
        <f>HYPERLINK("https://booking.roadsurfer.com/es/rally/pick?pickup_date=2026-05-23&amp;return_date=2026-05-30&amp;currency=EUR&amp;startStation=60&amp;endStation=6",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Berlín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Cozy Cottage</t>
        </is>
      </c>
      <c r="H568">
        <f>HYPERLINK("https://booking.roadsurfer.com/es/rally/pick?pickup_date=2026-04-20&amp;return_date=2026-04-27&amp;currency=EUR&amp;startStation=60&amp;endStation=6",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Kiel</t>
        </is>
      </c>
      <c r="E569" t="inlineStr">
        <is>
          <t>2026-04-09</t>
        </is>
      </c>
      <c r="F569" t="inlineStr">
        <is>
          <t>2026-04-16</t>
        </is>
      </c>
      <c r="G569" t="inlineStr">
        <is>
          <t xml:space="preserve"> - Camper Castle</t>
        </is>
      </c>
      <c r="H569">
        <f>HYPERLINK("https://booking.roadsurfer.com/es/rally/pick?pickup_date=2026-04-09&amp;return_date=2026-04-16&amp;currency=EUR&amp;startStation=60&amp;endStation=111",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Berlín-Schönefeld</t>
        </is>
      </c>
      <c r="E570" t="inlineStr">
        <is>
          <t>2026-04-15</t>
        </is>
      </c>
      <c r="F570" t="inlineStr">
        <is>
          <t>2026-04-22</t>
        </is>
      </c>
      <c r="G570" t="inlineStr">
        <is>
          <t xml:space="preserve"> - Family Finca</t>
        </is>
      </c>
      <c r="H570">
        <f>HYPERLINK("https://booking.roadsurfer.com/es/rally/pick?pickup_date=2026-04-15&amp;return_date=2026-04-22&amp;currency=EUR&amp;startStation=60&amp;endStation=51",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Karlsruhe</t>
        </is>
      </c>
      <c r="E571" t="inlineStr">
        <is>
          <t>2026-04-09</t>
        </is>
      </c>
      <c r="F571" t="inlineStr">
        <is>
          <t>2026-04-16</t>
        </is>
      </c>
      <c r="G571" t="inlineStr">
        <is>
          <t xml:space="preserve"> - Couple Cottage</t>
        </is>
      </c>
      <c r="H571">
        <f>HYPERLINK("https://booking.roadsurfer.com/es/rally/pick?pickup_date=2026-04-09&amp;return_date=2026-04-16&amp;currency=EUR&amp;startStation=60&amp;endStation=110",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2026-04-07</t>
        </is>
      </c>
      <c r="F572" t="inlineStr">
        <is>
          <t>2026-04-14</t>
        </is>
      </c>
      <c r="G572" t="inlineStr">
        <is>
          <t xml:space="preserve"> - COZY COTTAGE</t>
        </is>
      </c>
      <c r="H572">
        <f>HYPERLINK("https://booking.roadsurfer.com/es/rally/pick?pickup_date=2026-04-07&amp;return_date=2026-04-14&amp;currency=EUR&amp;startStation=60&amp;endStation=90",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Surfer Suite</t>
        </is>
      </c>
      <c r="H573">
        <f>HYPERLINK("https://booking.roadsurfer.com/es/rally/pick?pickup_date=2026-05-06&amp;return_date=2026-05-13&amp;currency=EUR&amp;startStation=22&amp;endStation=13",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Burdeos</t>
        </is>
      </c>
      <c r="E574" t="inlineStr">
        <is>
          <t>2026-04-08</t>
        </is>
      </c>
      <c r="F574" t="inlineStr">
        <is>
          <t>2026-04-15</t>
        </is>
      </c>
      <c r="G574" t="inlineStr">
        <is>
          <t xml:space="preserve"> - Beach Hostel</t>
        </is>
      </c>
      <c r="H574">
        <f>HYPERLINK("https://booking.roadsurfer.com/es/rally/pick?pickup_date=2026-04-08&amp;return_date=2026-04-15&amp;currency=EUR&amp;startStation=22&amp;endStation=13",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Burdeos</t>
        </is>
      </c>
      <c r="E575" t="inlineStr">
        <is>
          <t>2026-04-07</t>
        </is>
      </c>
      <c r="F575" t="inlineStr">
        <is>
          <t>2026-04-14</t>
        </is>
      </c>
      <c r="G575" t="inlineStr">
        <is>
          <t xml:space="preserve"> - Couple Cottage</t>
        </is>
      </c>
      <c r="H575">
        <f>HYPERLINK("https://booking.roadsurfer.com/es/rally/pick?pickup_date=2026-04-07&amp;return_date=2026-04-14&amp;currency=EUR&amp;startStation=22&amp;endStation=13",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2026-04-07</t>
        </is>
      </c>
      <c r="F576" t="inlineStr">
        <is>
          <t>2026-04-14</t>
        </is>
      </c>
      <c r="G576" t="inlineStr">
        <is>
          <t xml:space="preserve"> - Surfer Suite</t>
        </is>
      </c>
      <c r="H576">
        <f>HYPERLINK("https://booking.roadsurfer.com/es/rally/pick?pickup_date=2026-04-07&amp;return_date=2026-04-14&amp;currency=EUR&amp;startStation=22&amp;endStation=15",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HYPERLINK("https://booking.roadsurfer.com/es/rally/pick?pickup_date=2026-04-09&amp;return_date=2026-04-16&amp;currency=EUR&amp;startStation=22&amp;endStation=15",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Surfer Suite</t>
        </is>
      </c>
      <c r="H578">
        <f>HYPERLINK("https://booking.roadsurfer.com/es/rally/pick?pickup_date=2026-04-16&amp;return_date=2026-04-23&amp;currency=EUR&amp;startStation=22&amp;endStation=15",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Róterdam</t>
        </is>
      </c>
      <c r="E579" t="inlineStr">
        <is>
          <t>2026-04-23</t>
        </is>
      </c>
      <c r="F579" t="inlineStr">
        <is>
          <t>2026-04-30</t>
        </is>
      </c>
      <c r="G579" t="inlineStr">
        <is>
          <t xml:space="preserve"> - Surfer Suite</t>
        </is>
      </c>
      <c r="H579">
        <f>HYPERLINK("https://booking.roadsurfer.com/es/rally/pick?pickup_date=2026-04-23&amp;return_date=2026-04-30&amp;currency=EUR&amp;startStation=22&amp;endStation=33",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Países Bajos</t>
        </is>
      </c>
      <c r="D580" t="inlineStr">
        <is>
          <t>Róterdam</t>
        </is>
      </c>
      <c r="E580" t="inlineStr">
        <is>
          <t>2026-04-20</t>
        </is>
      </c>
      <c r="F580" t="inlineStr">
        <is>
          <t>2026-04-27</t>
        </is>
      </c>
      <c r="G580" t="inlineStr">
        <is>
          <t xml:space="preserve"> - No hay coche</t>
        </is>
      </c>
      <c r="H580">
        <f>HYPERLINK("https://booking.roadsurfer.com/es/rally/pick?pickup_date=2026-04-20&amp;return_date=2026-04-27&amp;currency=EUR&amp;startStation=22&amp;endStation=33",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Países Bajos</t>
        </is>
      </c>
      <c r="D581" t="inlineStr">
        <is>
          <t>Róterdam</t>
        </is>
      </c>
      <c r="E581" t="inlineStr">
        <is>
          <t>2026-04-17</t>
        </is>
      </c>
      <c r="F581" t="inlineStr">
        <is>
          <t>2026-04-24</t>
        </is>
      </c>
      <c r="G581" t="inlineStr">
        <is>
          <t xml:space="preserve"> - Camper Cabin</t>
        </is>
      </c>
      <c r="H581">
        <f>HYPERLINK("https://booking.roadsurfer.com/es/rally/pick?pickup_date=2026-04-17&amp;return_date=2026-04-24&amp;currency=EUR&amp;startStation=22&amp;endStation=33",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2026-04-08</t>
        </is>
      </c>
      <c r="F582" t="inlineStr">
        <is>
          <t>2026-04-15</t>
        </is>
      </c>
      <c r="G582" t="inlineStr">
        <is>
          <t xml:space="preserve"> - Surfer Suite</t>
        </is>
      </c>
      <c r="H582">
        <f>HYPERLINK("https://booking.roadsurfer.com/es/rally/pick?pickup_date=2026-04-08&amp;return_date=2026-04-15&amp;currency=EUR&amp;startStation=22&amp;endStation=29",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2026-04-09</t>
        </is>
      </c>
      <c r="F583" t="inlineStr">
        <is>
          <t>2026-04-16</t>
        </is>
      </c>
      <c r="G583" t="inlineStr">
        <is>
          <t xml:space="preserve"> - Surfer Suite</t>
        </is>
      </c>
      <c r="H583">
        <f>HYPERLINK("https://booking.roadsurfer.com/es/rally/pick?pickup_date=2026-04-09&amp;return_date=2026-04-16&amp;currency=EUR&amp;startStation=22&amp;endStation=29",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2026-04-24</t>
        </is>
      </c>
      <c r="F584" t="inlineStr">
        <is>
          <t>2026-05-01</t>
        </is>
      </c>
      <c r="G584" t="inlineStr">
        <is>
          <t xml:space="preserve"> - No hay coche</t>
        </is>
      </c>
      <c r="H584">
        <f>HYPERLINK("https://booking.roadsurfer.com/es/rally/pick?pickup_date=2026-04-24&amp;return_date=2026-05-01&amp;currency=EUR&amp;startStation=22&amp;endStation=29",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2026-04-15</t>
        </is>
      </c>
      <c r="F585" t="inlineStr">
        <is>
          <t>2026-04-22</t>
        </is>
      </c>
      <c r="G585" t="inlineStr">
        <is>
          <t xml:space="preserve"> - Surfer Suite</t>
        </is>
      </c>
      <c r="H585">
        <f>HYPERLINK("https://booking.roadsurfer.com/es/rally/pick?pickup_date=2026-04-15&amp;return_date=2026-04-22&amp;currency=EUR&amp;startStation=22&amp;endStation=29",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2026-04-16</t>
        </is>
      </c>
      <c r="F586" t="inlineStr">
        <is>
          <t>2026-04-23</t>
        </is>
      </c>
      <c r="G586" t="inlineStr">
        <is>
          <t xml:space="preserve"> - Surfer Suite - Couple Cottage</t>
        </is>
      </c>
      <c r="H586">
        <f>HYPERLINK("https://booking.roadsurfer.com/es/rally/pick?pickup_date=2026-04-16&amp;return_date=2026-04-23&amp;currency=EUR&amp;startStation=22&amp;endStation=29",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Ginebra-Pays de Gex (Francia)</t>
        </is>
      </c>
      <c r="E587" t="inlineStr">
        <is>
          <t>2026-04-05</t>
        </is>
      </c>
      <c r="F587" t="inlineStr">
        <is>
          <t>2026-04-06</t>
        </is>
      </c>
      <c r="G587" t="inlineStr">
        <is>
          <t xml:space="preserve"> - No hay coche</t>
        </is>
      </c>
      <c r="H587">
        <f>HYPERLINK("https://booking.roadsurfer.com/es/rally/pick?pickup_date=2026-04-05&amp;return_date=2026-04-06&amp;currency=EUR&amp;startStation=22&amp;endStation=29",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Estocolmo</t>
        </is>
      </c>
      <c r="E588" t="inlineStr">
        <is>
          <t>2026-04-09</t>
        </is>
      </c>
      <c r="F588" t="inlineStr">
        <is>
          <t>2026-04-16</t>
        </is>
      </c>
      <c r="G588" t="inlineStr">
        <is>
          <t xml:space="preserve"> - Surfer Suite</t>
        </is>
      </c>
      <c r="H588">
        <f>HYPERLINK("https://booking.roadsurfer.com/es/rally/pick?pickup_date=2026-04-09&amp;return_date=2026-04-16&amp;currency=EUR&amp;startStation=22&amp;endStation=59",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Estocolmo</t>
        </is>
      </c>
      <c r="E589" t="inlineStr">
        <is>
          <t>2026-04-07</t>
        </is>
      </c>
      <c r="F589" t="inlineStr">
        <is>
          <t>2026-04-14</t>
        </is>
      </c>
      <c r="G589" t="inlineStr">
        <is>
          <t xml:space="preserve"> - Surfer Suite</t>
        </is>
      </c>
      <c r="H589">
        <f>HYPERLINK("https://booking.roadsurfer.com/es/rally/pick?pickup_date=2026-04-07&amp;return_date=2026-04-14&amp;currency=EUR&amp;startStation=22&amp;endStation=59",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Estocolmo</t>
        </is>
      </c>
      <c r="E590" t="inlineStr">
        <is>
          <t>2026-04-14</t>
        </is>
      </c>
      <c r="F590" t="inlineStr">
        <is>
          <t>2026-04-21</t>
        </is>
      </c>
      <c r="G590" t="inlineStr">
        <is>
          <t xml:space="preserve"> - Surfer Suite</t>
        </is>
      </c>
      <c r="H590">
        <f>HYPERLINK("https://booking.roadsurfer.com/es/rally/pick?pickup_date=2026-04-14&amp;return_date=2026-04-21&amp;currency=EUR&amp;startStation=22&amp;endStation=59",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Estocolmo</t>
        </is>
      </c>
      <c r="E591" t="inlineStr">
        <is>
          <t>2026-04-08</t>
        </is>
      </c>
      <c r="F591" t="inlineStr">
        <is>
          <t>2026-04-15</t>
        </is>
      </c>
      <c r="G591" t="inlineStr">
        <is>
          <t xml:space="preserve"> - Surfer Suite - Beach Hostel</t>
        </is>
      </c>
      <c r="H591">
        <f>HYPERLINK("https://booking.roadsurfer.com/es/rally/pick?pickup_date=2026-04-08&amp;return_date=2026-04-15&amp;currency=EUR&amp;startStation=22&amp;endStation=59",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Estocolmo</t>
        </is>
      </c>
      <c r="E592" t="inlineStr">
        <is>
          <t>2026-04-30</t>
        </is>
      </c>
      <c r="F592" t="inlineStr">
        <is>
          <t>2026-05-07</t>
        </is>
      </c>
      <c r="G592" t="inlineStr">
        <is>
          <t xml:space="preserve"> - Surfer Suite</t>
        </is>
      </c>
      <c r="H592">
        <f>HYPERLINK("https://booking.roadsurfer.com/es/rally/pick?pickup_date=2026-04-30&amp;return_date=2026-05-07&amp;currency=EUR&amp;startStation=22&amp;endStation=59",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Suecia</t>
        </is>
      </c>
      <c r="D593" t="inlineStr">
        <is>
          <t>Estocolmo</t>
        </is>
      </c>
      <c r="E593" t="inlineStr">
        <is>
          <t>2026-04-10</t>
        </is>
      </c>
      <c r="F593" t="inlineStr">
        <is>
          <t>2026-04-17</t>
        </is>
      </c>
      <c r="G593" t="inlineStr">
        <is>
          <t xml:space="preserve"> - Beach Hostel - Road House</t>
        </is>
      </c>
      <c r="H593">
        <f>HYPERLINK("https://booking.roadsurfer.com/es/rally/pick?pickup_date=2026-04-10&amp;return_date=2026-04-17&amp;currency=EUR&amp;startStation=22&amp;endStation=59",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Suecia</t>
        </is>
      </c>
      <c r="D594" t="inlineStr">
        <is>
          <t>Estocolmo</t>
        </is>
      </c>
      <c r="E594" t="inlineStr">
        <is>
          <t>2026-04-21</t>
        </is>
      </c>
      <c r="F594" t="inlineStr">
        <is>
          <t>2026-04-28</t>
        </is>
      </c>
      <c r="G594" t="inlineStr">
        <is>
          <t xml:space="preserve"> - Road House</t>
        </is>
      </c>
      <c r="H594">
        <f>HYPERLINK("https://booking.roadsurfer.com/es/rally/pick?pickup_date=2026-04-21&amp;return_date=2026-04-28&amp;currency=EUR&amp;startStation=22&amp;endStation=59",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Suecia</t>
        </is>
      </c>
      <c r="D595" t="inlineStr">
        <is>
          <t>Estocolmo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No hay coche</t>
        </is>
      </c>
      <c r="H595">
        <f>HYPERLINK("https://booking.roadsurfer.com/es/rally/pick?pickup_date=2026-05-07&amp;return_date=2026-05-14&amp;currency=EUR&amp;startStation=22&amp;endStation=59",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Suecia</t>
        </is>
      </c>
      <c r="D596" t="inlineStr">
        <is>
          <t>Estocolmo</t>
        </is>
      </c>
      <c r="E596" t="inlineStr">
        <is>
          <t>2026-05-18</t>
        </is>
      </c>
      <c r="F596" t="inlineStr">
        <is>
          <t>2026-05-25</t>
        </is>
      </c>
      <c r="G596" t="inlineStr">
        <is>
          <t xml:space="preserve"> - Camper Castle</t>
        </is>
      </c>
      <c r="H596">
        <f>HYPERLINK("https://booking.roadsurfer.com/es/rally/pick?pickup_date=2026-05-18&amp;return_date=2026-05-25&amp;currency=EUR&amp;startStation=22&amp;endStation=59",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Estocolmo</t>
        </is>
      </c>
      <c r="E597" t="inlineStr">
        <is>
          <t>2026-04-27</t>
        </is>
      </c>
      <c r="F597" t="inlineStr">
        <is>
          <t>2026-05-04</t>
        </is>
      </c>
      <c r="G597" t="inlineStr">
        <is>
          <t xml:space="preserve"> - Family Finca</t>
        </is>
      </c>
      <c r="H597">
        <f>HYPERLINK("https://booking.roadsurfer.com/es/rally/pick?pickup_date=2026-04-27&amp;return_date=2026-05-04&amp;currency=EUR&amp;startStation=22&amp;endStation=59",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Nantes</t>
        </is>
      </c>
      <c r="E598" t="inlineStr">
        <is>
          <t>2026-04-30</t>
        </is>
      </c>
      <c r="F598" t="inlineStr">
        <is>
          <t>2026-05-07</t>
        </is>
      </c>
      <c r="G598" t="inlineStr">
        <is>
          <t xml:space="preserve"> - Surfer Suite</t>
        </is>
      </c>
      <c r="H598">
        <f>HYPERLINK("https://booking.roadsurfer.com/es/rally/pick?pickup_date=2026-04-30&amp;return_date=2026-05-07&amp;currency=EUR&amp;startStation=22&amp;endStation=31",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2026-04-08</t>
        </is>
      </c>
      <c r="F599" t="inlineStr">
        <is>
          <t>2026-04-15</t>
        </is>
      </c>
      <c r="G599" t="inlineStr">
        <is>
          <t xml:space="preserve"> - Surfer Suite</t>
        </is>
      </c>
      <c r="H599">
        <f>HYPERLINK("https://booking.roadsurfer.com/es/rally/pick?pickup_date=2026-04-08&amp;return_date=2026-04-15&amp;currency=EUR&amp;startStation=22&amp;endStation=31",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Nantes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Surfer Suite</t>
        </is>
      </c>
      <c r="H600">
        <f>HYPERLINK("https://booking.roadsurfer.com/es/rally/pick?pickup_date=2026-04-20&amp;return_date=2026-04-27&amp;currency=EUR&amp;startStation=22&amp;endStation=31",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Nantes</t>
        </is>
      </c>
      <c r="E601" t="inlineStr">
        <is>
          <t>2026-05-23</t>
        </is>
      </c>
      <c r="F601" t="inlineStr">
        <is>
          <t>2026-05-30</t>
        </is>
      </c>
      <c r="G601" t="inlineStr">
        <is>
          <t xml:space="preserve"> - No hay coche</t>
        </is>
      </c>
      <c r="H601">
        <f>HYPERLINK("https://booking.roadsurfer.com/es/rally/pick?pickup_date=2026-05-23&amp;return_date=2026-05-30&amp;currency=EUR&amp;startStation=22&amp;endStation=31",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Nantes</t>
        </is>
      </c>
      <c r="E602" t="inlineStr">
        <is>
          <t>2026-04-07</t>
        </is>
      </c>
      <c r="F602" t="inlineStr">
        <is>
          <t>2026-04-14</t>
        </is>
      </c>
      <c r="G602" t="inlineStr">
        <is>
          <t xml:space="preserve"> - Surfer Suite - BEACH HOSTEL</t>
        </is>
      </c>
      <c r="H602">
        <f>HYPERLINK("https://booking.roadsurfer.com/es/rally/pick?pickup_date=2026-04-07&amp;return_date=2026-04-14&amp;currency=EUR&amp;startStation=22&amp;endStation=31",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Nantes</t>
        </is>
      </c>
      <c r="E603" t="inlineStr">
        <is>
          <t>2026-05-02</t>
        </is>
      </c>
      <c r="F603" t="inlineStr">
        <is>
          <t>2026-05-09</t>
        </is>
      </c>
      <c r="G603" t="inlineStr">
        <is>
          <t xml:space="preserve"> - No hay coche</t>
        </is>
      </c>
      <c r="H603">
        <f>HYPERLINK("https://booking.roadsurfer.com/es/rally/pick?pickup_date=2026-05-02&amp;return_date=2026-05-09&amp;currency=EUR&amp;startStation=22&amp;endStation=31",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Nantes</t>
        </is>
      </c>
      <c r="E604" t="inlineStr">
        <is>
          <t>2026-05-14</t>
        </is>
      </c>
      <c r="F604" t="inlineStr">
        <is>
          <t>2026-05-21</t>
        </is>
      </c>
      <c r="G604" t="inlineStr">
        <is>
          <t xml:space="preserve"> - Camper Castle</t>
        </is>
      </c>
      <c r="H604">
        <f>HYPERLINK("https://booking.roadsurfer.com/es/rally/pick?pickup_date=2026-05-14&amp;return_date=2026-05-21&amp;currency=EUR&amp;startStation=22&amp;endStation=31",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Nantes</t>
        </is>
      </c>
      <c r="E605" t="inlineStr">
        <is>
          <t>2026-06-03</t>
        </is>
      </c>
      <c r="F605" t="inlineStr">
        <is>
          <t>2026-06-10</t>
        </is>
      </c>
      <c r="G605" t="inlineStr">
        <is>
          <t xml:space="preserve"> - Family Finca</t>
        </is>
      </c>
      <c r="H605">
        <f>HYPERLINK("https://booking.roadsurfer.com/es/rally/pick?pickup_date=2026-06-03&amp;return_date=2026-06-10&amp;currency=EUR&amp;startStation=22&amp;endStation=31",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París Sur (Orly)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Surfer Suite</t>
        </is>
      </c>
      <c r="H606">
        <f>HYPERLINK("https://booking.roadsurfer.com/es/rally/pick?pickup_date=2026-05-06&amp;return_date=2026-05-13&amp;currency=EUR&amp;startStation=22&amp;endStation=12",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París Sur (Orly)</t>
        </is>
      </c>
      <c r="E607" t="inlineStr">
        <is>
          <t>2026-04-10</t>
        </is>
      </c>
      <c r="F607" t="inlineStr">
        <is>
          <t>2026-04-11</t>
        </is>
      </c>
      <c r="G607" t="inlineStr">
        <is>
          <t xml:space="preserve"> - Surfer Suite</t>
        </is>
      </c>
      <c r="H607">
        <f>HYPERLINK("https://booking.roadsurfer.com/es/rally/pick?pickup_date=2026-04-10&amp;return_date=2026-04-11&amp;currency=EUR&amp;startStation=22&amp;endStation=12",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París Sur (Orly)</t>
        </is>
      </c>
      <c r="E608" t="inlineStr">
        <is>
          <t>2026-04-20</t>
        </is>
      </c>
      <c r="F608" t="inlineStr">
        <is>
          <t>2026-04-27</t>
        </is>
      </c>
      <c r="G608" t="inlineStr">
        <is>
          <t xml:space="preserve"> - Travel Home</t>
        </is>
      </c>
      <c r="H608">
        <f>HYPERLINK("https://booking.roadsurfer.com/es/rally/pick?pickup_date=2026-04-20&amp;return_date=2026-04-27&amp;currency=EUR&amp;startStation=22&amp;endStation=12",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Roma Aeropuerto Fiumicino</t>
        </is>
      </c>
      <c r="E609" t="inlineStr">
        <is>
          <t>2026-04-20</t>
        </is>
      </c>
      <c r="F609" t="inlineStr">
        <is>
          <t>2026-04-27</t>
        </is>
      </c>
      <c r="G609" t="inlineStr">
        <is>
          <t xml:space="preserve"> - Surfer Suite</t>
        </is>
      </c>
      <c r="H609">
        <f>HYPERLINK("https://booking.roadsurfer.com/es/rally/pick?pickup_date=2026-04-20&amp;return_date=2026-04-27&amp;currency=EUR&amp;startStation=22&amp;endStation=35",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Roma Aeropuerto Fiumicino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Surfer Suite</t>
        </is>
      </c>
      <c r="H610">
        <f>HYPERLINK("https://booking.roadsurfer.com/es/rally/pick?pickup_date=2026-04-09&amp;return_date=2026-04-16&amp;currency=EUR&amp;startStation=22&amp;endStation=35",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España</t>
        </is>
      </c>
      <c r="D611" t="inlineStr">
        <is>
          <t>Barcelona</t>
        </is>
      </c>
      <c r="E611" t="inlineStr">
        <is>
          <t>2026-04-25</t>
        </is>
      </c>
      <c r="F611" t="inlineStr">
        <is>
          <t>2026-05-02</t>
        </is>
      </c>
      <c r="G611" t="inlineStr">
        <is>
          <t xml:space="preserve"> - No hay coche</t>
        </is>
      </c>
      <c r="H611">
        <f>HYPERLINK("https://booking.roadsurfer.com/es/rally/pick?pickup_date=2026-04-25&amp;return_date=2026-05-02&amp;currency=EUR&amp;startStation=22&amp;endStation=17",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España</t>
        </is>
      </c>
      <c r="D612" t="inlineStr">
        <is>
          <t>Barcelona</t>
        </is>
      </c>
      <c r="E612" t="inlineStr">
        <is>
          <t>2026-05-06</t>
        </is>
      </c>
      <c r="F612" t="inlineStr">
        <is>
          <t>2026-05-13</t>
        </is>
      </c>
      <c r="G612" t="inlineStr">
        <is>
          <t xml:space="preserve"> - Beach Hostel</t>
        </is>
      </c>
      <c r="H612">
        <f>HYPERLINK("https://booking.roadsurfer.com/es/rally/pick?pickup_date=2026-05-06&amp;return_date=2026-05-13&amp;currency=EUR&amp;startStation=22&amp;endStation=17",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España</t>
        </is>
      </c>
      <c r="D613" t="inlineStr">
        <is>
          <t>Barcelona</t>
        </is>
      </c>
      <c r="E613" t="inlineStr">
        <is>
          <t>2026-04-09</t>
        </is>
      </c>
      <c r="F613" t="inlineStr">
        <is>
          <t>2026-04-16</t>
        </is>
      </c>
      <c r="G613" t="inlineStr">
        <is>
          <t xml:space="preserve"> - Camper Cabin</t>
        </is>
      </c>
      <c r="H613">
        <f>HYPERLINK("https://booking.roadsurfer.com/es/rally/pick?pickup_date=2026-04-09&amp;return_date=2026-04-16&amp;currency=EUR&amp;startStation=22&amp;endStation=17",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Barcelona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Road House</t>
        </is>
      </c>
      <c r="H614">
        <f>HYPERLINK("https://booking.roadsurfer.com/es/rally/pick?pickup_date=2026-05-04&amp;return_date=2026-05-11&amp;currency=EUR&amp;startStation=22&amp;endStation=17",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España</t>
        </is>
      </c>
      <c r="D615" t="inlineStr">
        <is>
          <t>Barcelona</t>
        </is>
      </c>
      <c r="E615" t="inlineStr">
        <is>
          <t>2026-04-12</t>
        </is>
      </c>
      <c r="F615" t="inlineStr">
        <is>
          <t>2026-04-19</t>
        </is>
      </c>
      <c r="G615" t="inlineStr">
        <is>
          <t xml:space="preserve"> - No hay coche</t>
        </is>
      </c>
      <c r="H615">
        <f>HYPERLINK("https://booking.roadsurfer.com/es/rally/pick?pickup_date=2026-04-12&amp;return_date=2026-04-19&amp;currency=EUR&amp;startStation=22&amp;endStation=17",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Toulouse</t>
        </is>
      </c>
      <c r="E616" t="inlineStr">
        <is>
          <t>2026-04-07</t>
        </is>
      </c>
      <c r="F616" t="inlineStr">
        <is>
          <t>2026-04-14</t>
        </is>
      </c>
      <c r="G616" t="inlineStr">
        <is>
          <t xml:space="preserve"> - Surfer Suite - Beach Hostel</t>
        </is>
      </c>
      <c r="H616">
        <f>HYPERLINK("https://booking.roadsurfer.com/es/rally/pick?pickup_date=2026-04-07&amp;return_date=2026-04-14&amp;currency=EUR&amp;startStation=22&amp;endStation=30",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Toulouse</t>
        </is>
      </c>
      <c r="E617" t="inlineStr">
        <is>
          <t>2026-04-09</t>
        </is>
      </c>
      <c r="F617" t="inlineStr">
        <is>
          <t>2026-04-16</t>
        </is>
      </c>
      <c r="G617" t="inlineStr">
        <is>
          <t xml:space="preserve"> - Surfer Suite</t>
        </is>
      </c>
      <c r="H617">
        <f>HYPERLINK("https://booking.roadsurfer.com/es/rally/pick?pickup_date=2026-04-09&amp;return_date=2026-04-16&amp;currency=EUR&amp;startStation=22&amp;endStation=30",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Toulouse</t>
        </is>
      </c>
      <c r="E618" t="inlineStr">
        <is>
          <t>2026-04-08</t>
        </is>
      </c>
      <c r="F618" t="inlineStr">
        <is>
          <t>2026-04-15</t>
        </is>
      </c>
      <c r="G618" t="inlineStr">
        <is>
          <t xml:space="preserve"> - Surfer Suite - SURFER SUITE - FAMILY FINCA</t>
        </is>
      </c>
      <c r="H618">
        <f>HYPERLINK("https://booking.roadsurfer.com/es/rally/pick?pickup_date=2026-04-08&amp;return_date=2026-04-15&amp;currency=EUR&amp;startStation=22&amp;endStation=30",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Toulouse</t>
        </is>
      </c>
      <c r="E619" t="inlineStr">
        <is>
          <t>2026-04-20</t>
        </is>
      </c>
      <c r="F619" t="inlineStr">
        <is>
          <t>2026-04-27</t>
        </is>
      </c>
      <c r="G619" t="inlineStr">
        <is>
          <t xml:space="preserve"> - Travel Home</t>
        </is>
      </c>
      <c r="H619">
        <f>HYPERLINK("https://booking.roadsurfer.com/es/rally/pick?pickup_date=2026-04-20&amp;return_date=2026-04-27&amp;currency=EUR&amp;startStation=22&amp;endStation=30",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Gotemburgo</t>
        </is>
      </c>
      <c r="E620" t="inlineStr">
        <is>
          <t>2026-04-10</t>
        </is>
      </c>
      <c r="F620" t="inlineStr">
        <is>
          <t>2026-04-17</t>
        </is>
      </c>
      <c r="G620" t="inlineStr">
        <is>
          <t xml:space="preserve"> - Surfer Suite</t>
        </is>
      </c>
      <c r="H620">
        <f>HYPERLINK("https://booking.roadsurfer.com/es/rally/pick?pickup_date=2026-04-10&amp;return_date=2026-04-17&amp;currency=EUR&amp;startStation=22&amp;endStation=77",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Gotemburgo</t>
        </is>
      </c>
      <c r="E621" t="inlineStr">
        <is>
          <t>2026-04-25</t>
        </is>
      </c>
      <c r="F621" t="inlineStr">
        <is>
          <t>2026-05-02</t>
        </is>
      </c>
      <c r="G621" t="inlineStr">
        <is>
          <t xml:space="preserve"> - No hay coche</t>
        </is>
      </c>
      <c r="H621">
        <f>HYPERLINK("https://booking.roadsurfer.com/es/rally/pick?pickup_date=2026-04-25&amp;return_date=2026-05-02&amp;currency=EUR&amp;startStation=22&amp;endStation=77",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Gotemburgo</t>
        </is>
      </c>
      <c r="E622" t="inlineStr">
        <is>
          <t>2026-05-06</t>
        </is>
      </c>
      <c r="F622" t="inlineStr">
        <is>
          <t>2026-05-13</t>
        </is>
      </c>
      <c r="G622" t="inlineStr">
        <is>
          <t xml:space="preserve"> - Beach Hostel</t>
        </is>
      </c>
      <c r="H622">
        <f>HYPERLINK("https://booking.roadsurfer.com/es/rally/pick?pickup_date=2026-05-06&amp;return_date=2026-05-13&amp;currency=EUR&amp;startStation=22&amp;endStation=77",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Gotemburgo</t>
        </is>
      </c>
      <c r="E623" t="inlineStr">
        <is>
          <t>2026-04-27</t>
        </is>
      </c>
      <c r="F623" t="inlineStr">
        <is>
          <t>2026-05-04</t>
        </is>
      </c>
      <c r="G623" t="inlineStr">
        <is>
          <t xml:space="preserve"> - ROAD HOUSE</t>
        </is>
      </c>
      <c r="H623">
        <f>HYPERLINK("https://booking.roadsurfer.com/es/rally/pick?pickup_date=2026-04-27&amp;return_date=2026-05-04&amp;currency=EUR&amp;startStation=22&amp;endStation=77",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Gotemburgo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No hay coche</t>
        </is>
      </c>
      <c r="H624">
        <f>HYPERLINK("https://booking.roadsurfer.com/es/rally/pick?pickup_date=2026-05-11&amp;return_date=2026-05-18&amp;currency=EUR&amp;startStation=22&amp;endStation=77",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Bélgica</t>
        </is>
      </c>
      <c r="D625" t="inlineStr">
        <is>
          <t>Amberes</t>
        </is>
      </c>
      <c r="E625" t="inlineStr">
        <is>
          <t>2026-04-22</t>
        </is>
      </c>
      <c r="F625" t="inlineStr">
        <is>
          <t>2026-04-29</t>
        </is>
      </c>
      <c r="G625" t="inlineStr">
        <is>
          <t xml:space="preserve"> - Surfer Suite</t>
        </is>
      </c>
      <c r="H625">
        <f>HYPERLINK("https://booking.roadsurfer.com/es/rally/pick?pickup_date=2026-04-22&amp;return_date=2026-04-29&amp;currency=EUR&amp;startStation=22&amp;endStation=47",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Bélgica</t>
        </is>
      </c>
      <c r="D626" t="inlineStr">
        <is>
          <t>Amberes</t>
        </is>
      </c>
      <c r="E626" t="inlineStr">
        <is>
          <t>2026-04-14</t>
        </is>
      </c>
      <c r="F626" t="inlineStr">
        <is>
          <t>2026-04-21</t>
        </is>
      </c>
      <c r="G626" t="inlineStr">
        <is>
          <t xml:space="preserve"> - Surfer Suite</t>
        </is>
      </c>
      <c r="H626">
        <f>HYPERLINK("https://booking.roadsurfer.com/es/rally/pick?pickup_date=2026-04-14&amp;return_date=2026-04-21&amp;currency=EUR&amp;startStation=22&amp;endStation=47",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Bélgica</t>
        </is>
      </c>
      <c r="D627" t="inlineStr">
        <is>
          <t>Amberes</t>
        </is>
      </c>
      <c r="E627" t="inlineStr">
        <is>
          <t>2026-04-08</t>
        </is>
      </c>
      <c r="F627" t="inlineStr">
        <is>
          <t>2026-04-15</t>
        </is>
      </c>
      <c r="G627" t="inlineStr">
        <is>
          <t xml:space="preserve"> - Camper Cabin</t>
        </is>
      </c>
      <c r="H627">
        <f>HYPERLINK("https://booking.roadsurfer.com/es/rally/pick?pickup_date=2026-04-08&amp;return_date=2026-04-15&amp;currency=EUR&amp;startStation=22&amp;endStation=47",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Bélgica</t>
        </is>
      </c>
      <c r="D628" t="inlineStr">
        <is>
          <t>Amberes</t>
        </is>
      </c>
      <c r="E628" t="inlineStr">
        <is>
          <t>2026-05-07</t>
        </is>
      </c>
      <c r="F628" t="inlineStr">
        <is>
          <t>2026-05-14</t>
        </is>
      </c>
      <c r="G628" t="inlineStr">
        <is>
          <t xml:space="preserve"> - No hay coche</t>
        </is>
      </c>
      <c r="H628">
        <f>HYPERLINK("https://booking.roadsurfer.com/es/rally/pick?pickup_date=2026-05-07&amp;return_date=2026-05-14&amp;currency=EUR&amp;startStation=22&amp;endStation=47",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Bélgica</t>
        </is>
      </c>
      <c r="D629" t="inlineStr">
        <is>
          <t>Amberes</t>
        </is>
      </c>
      <c r="E629" t="inlineStr">
        <is>
          <t>2026-04-16</t>
        </is>
      </c>
      <c r="F629" t="inlineStr">
        <is>
          <t>2026-04-23</t>
        </is>
      </c>
      <c r="G629" t="inlineStr">
        <is>
          <t xml:space="preserve"> - Family Finca</t>
        </is>
      </c>
      <c r="H629">
        <f>HYPERLINK("https://booking.roadsurfer.com/es/rally/pick?pickup_date=2026-04-16&amp;return_date=2026-04-23&amp;currency=EUR&amp;startStation=22&amp;endStation=47",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París Aeropuerto CDG</t>
        </is>
      </c>
      <c r="E630" t="inlineStr">
        <is>
          <t>2026-04-08</t>
        </is>
      </c>
      <c r="F630" t="inlineStr">
        <is>
          <t>2026-04-15</t>
        </is>
      </c>
      <c r="G630" t="inlineStr">
        <is>
          <t xml:space="preserve"> - Surfer Suite</t>
        </is>
      </c>
      <c r="H630">
        <f>HYPERLINK("https://booking.roadsurfer.com/es/rally/pick?pickup_date=2026-04-08&amp;return_date=2026-04-15&amp;currency=EUR&amp;startStation=22&amp;endStation=48",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2026-04-09</t>
        </is>
      </c>
      <c r="F631" t="inlineStr">
        <is>
          <t>2026-04-16</t>
        </is>
      </c>
      <c r="G631" t="inlineStr">
        <is>
          <t xml:space="preserve"> - Surfer Suite</t>
        </is>
      </c>
      <c r="H631">
        <f>HYPERLINK("https://booking.roadsurfer.com/es/rally/pick?pickup_date=2026-04-09&amp;return_date=2026-04-16&amp;currency=EUR&amp;startStation=22&amp;endStation=40",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España</t>
        </is>
      </c>
      <c r="D632" t="inlineStr">
        <is>
          <t>Bilbao</t>
        </is>
      </c>
      <c r="E632" t="inlineStr">
        <is>
          <t>2026-04-10</t>
        </is>
      </c>
      <c r="F632" t="inlineStr">
        <is>
          <t>2026-04-17</t>
        </is>
      </c>
      <c r="G632" t="inlineStr">
        <is>
          <t xml:space="preserve"> - Surfer Suite</t>
        </is>
      </c>
      <c r="H632">
        <f>HYPERLINK("https://booking.roadsurfer.com/es/rally/pick?pickup_date=2026-04-10&amp;return_date=2026-04-17&amp;currency=EUR&amp;startStation=22&amp;endStation=40",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España</t>
        </is>
      </c>
      <c r="D633" t="inlineStr">
        <is>
          <t>Bilbao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Surfer Suite</t>
        </is>
      </c>
      <c r="H633">
        <f>HYPERLINK("https://booking.roadsurfer.com/es/rally/pick?pickup_date=2026-04-27&amp;return_date=2026-05-04&amp;currency=EUR&amp;startStation=22&amp;endStation=40",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Bélgica</t>
        </is>
      </c>
      <c r="D634" t="inlineStr">
        <is>
          <t>Bruselas</t>
        </is>
      </c>
      <c r="E634" t="inlineStr">
        <is>
          <t>2026-04-14</t>
        </is>
      </c>
      <c r="F634" t="inlineStr">
        <is>
          <t>2026-04-21</t>
        </is>
      </c>
      <c r="G634" t="inlineStr">
        <is>
          <t xml:space="preserve"> - Surfer Suite</t>
        </is>
      </c>
      <c r="H634">
        <f>HYPERLINK("https://booking.roadsurfer.com/es/rally/pick?pickup_date=2026-04-14&amp;return_date=2026-04-21&amp;currency=EUR&amp;startStation=22&amp;endStation=42",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Bélgica</t>
        </is>
      </c>
      <c r="D635" t="inlineStr">
        <is>
          <t>Bruselas</t>
        </is>
      </c>
      <c r="E635" t="inlineStr">
        <is>
          <t>2026-04-23</t>
        </is>
      </c>
      <c r="F635" t="inlineStr">
        <is>
          <t>2026-04-30</t>
        </is>
      </c>
      <c r="G635" t="inlineStr">
        <is>
          <t xml:space="preserve"> - Family Finca</t>
        </is>
      </c>
      <c r="H635">
        <f>HYPERLINK("https://booking.roadsurfer.com/es/rally/pick?pickup_date=2026-04-23&amp;return_date=2026-04-30&amp;currency=EUR&amp;startStation=22&amp;endStation=42",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España</t>
        </is>
      </c>
      <c r="D636" t="inlineStr">
        <is>
          <t>Málaga</t>
        </is>
      </c>
      <c r="E636" t="inlineStr">
        <is>
          <t>2026-04-08</t>
        </is>
      </c>
      <c r="F636" t="inlineStr">
        <is>
          <t>2026-04-15</t>
        </is>
      </c>
      <c r="G636" t="inlineStr">
        <is>
          <t xml:space="preserve"> - Surfer Suite</t>
        </is>
      </c>
      <c r="H636">
        <f>HYPERLINK("https://booking.roadsurfer.com/es/rally/pick?pickup_date=2026-04-08&amp;return_date=2026-04-15&amp;currency=EUR&amp;startStation=22&amp;endStation=21",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Málaga</t>
        </is>
      </c>
      <c r="E637" t="inlineStr">
        <is>
          <t>2026-04-10</t>
        </is>
      </c>
      <c r="F637" t="inlineStr">
        <is>
          <t>2026-04-17</t>
        </is>
      </c>
      <c r="G637" t="inlineStr">
        <is>
          <t xml:space="preserve"> - Couple Cottage</t>
        </is>
      </c>
      <c r="H637">
        <f>HYPERLINK("https://booking.roadsurfer.com/es/rally/pick?pickup_date=2026-04-10&amp;return_date=2026-04-17&amp;currency=EUR&amp;startStation=22&amp;endStation=21",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Italia</t>
        </is>
      </c>
      <c r="D638" t="inlineStr">
        <is>
          <t>Turín</t>
        </is>
      </c>
      <c r="E638" t="inlineStr">
        <is>
          <t>2026-04-07</t>
        </is>
      </c>
      <c r="F638" t="inlineStr">
        <is>
          <t>2026-04-14</t>
        </is>
      </c>
      <c r="G638" t="inlineStr">
        <is>
          <t xml:space="preserve"> - Surfer Suite</t>
        </is>
      </c>
      <c r="H638">
        <f>HYPERLINK("https://booking.roadsurfer.com/es/rally/pick?pickup_date=2026-04-07&amp;return_date=2026-04-14&amp;currency=EUR&amp;startStation=22&amp;endStation=58",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Turín</t>
        </is>
      </c>
      <c r="E639" t="inlineStr">
        <is>
          <t>2026-04-09</t>
        </is>
      </c>
      <c r="F639" t="inlineStr">
        <is>
          <t>2026-04-16</t>
        </is>
      </c>
      <c r="G639" t="inlineStr">
        <is>
          <t xml:space="preserve"> - Surfer Suite</t>
        </is>
      </c>
      <c r="H639">
        <f>HYPERLINK("https://booking.roadsurfer.com/es/rally/pick?pickup_date=2026-04-09&amp;return_date=2026-04-16&amp;currency=EUR&amp;startStation=22&amp;endStation=58",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Turín</t>
        </is>
      </c>
      <c r="E640" t="inlineStr">
        <is>
          <t>2026-04-11</t>
        </is>
      </c>
      <c r="F640" t="inlineStr">
        <is>
          <t>2026-04-18</t>
        </is>
      </c>
      <c r="G640" t="inlineStr">
        <is>
          <t xml:space="preserve"> - No hay coche</t>
        </is>
      </c>
      <c r="H640">
        <f>HYPERLINK("https://booking.roadsurfer.com/es/rally/pick?pickup_date=2026-04-11&amp;return_date=2026-04-18&amp;currency=EUR&amp;startStation=22&amp;endStation=58",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Turín</t>
        </is>
      </c>
      <c r="E641" t="inlineStr">
        <is>
          <t>2026-04-10</t>
        </is>
      </c>
      <c r="F641" t="inlineStr">
        <is>
          <t>2026-04-17</t>
        </is>
      </c>
      <c r="G641" t="inlineStr">
        <is>
          <t xml:space="preserve"> - Road House</t>
        </is>
      </c>
      <c r="H641">
        <f>HYPERLINK("https://booking.roadsurfer.com/es/rally/pick?pickup_date=2026-04-10&amp;return_date=2026-04-17&amp;currency=EUR&amp;startStation=22&amp;endStation=58",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Turín</t>
        </is>
      </c>
      <c r="E642" t="inlineStr">
        <is>
          <t>2026-04-08</t>
        </is>
      </c>
      <c r="F642" t="inlineStr">
        <is>
          <t>2026-04-15</t>
        </is>
      </c>
      <c r="G642" t="inlineStr">
        <is>
          <t xml:space="preserve"> - Family Finca</t>
        </is>
      </c>
      <c r="H642">
        <f>HYPERLINK("https://booking.roadsurfer.com/es/rally/pick?pickup_date=2026-04-08&amp;return_date=2026-04-15&amp;currency=EUR&amp;startStation=22&amp;endStation=58",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Países Bajos</t>
        </is>
      </c>
      <c r="D643" t="inlineStr">
        <is>
          <t>Ámsterdam</t>
        </is>
      </c>
      <c r="E643" t="inlineStr">
        <is>
          <t>2026-04-08</t>
        </is>
      </c>
      <c r="F643" t="inlineStr">
        <is>
          <t>2026-04-15</t>
        </is>
      </c>
      <c r="G643" t="inlineStr">
        <is>
          <t xml:space="preserve"> - Surfer Suite</t>
        </is>
      </c>
      <c r="H643">
        <f>HYPERLINK("https://booking.roadsurfer.com/es/rally/pick?pickup_date=2026-04-08&amp;return_date=2026-04-15&amp;currency=EUR&amp;startStation=22&amp;endStation=32",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Países Bajos</t>
        </is>
      </c>
      <c r="D644" t="inlineStr">
        <is>
          <t>Ámsterdam</t>
        </is>
      </c>
      <c r="E644" t="inlineStr">
        <is>
          <t>2026-04-07</t>
        </is>
      </c>
      <c r="F644" t="inlineStr">
        <is>
          <t>2026-04-14</t>
        </is>
      </c>
      <c r="G644" t="inlineStr">
        <is>
          <t xml:space="preserve"> - Road House - Camper Cabin Deluxe</t>
        </is>
      </c>
      <c r="H644">
        <f>HYPERLINK("https://booking.roadsurfer.com/es/rally/pick?pickup_date=2026-04-07&amp;return_date=2026-04-14&amp;currency=EUR&amp;startStation=22&amp;endStation=32",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Italia</t>
        </is>
      </c>
      <c r="D645" t="inlineStr">
        <is>
          <t>Milán</t>
        </is>
      </c>
      <c r="E645" t="inlineStr">
        <is>
          <t>2026-04-25</t>
        </is>
      </c>
      <c r="F645" t="inlineStr">
        <is>
          <t>2026-05-02</t>
        </is>
      </c>
      <c r="G645" t="inlineStr">
        <is>
          <t xml:space="preserve"> - No hay coche</t>
        </is>
      </c>
      <c r="H645">
        <f>HYPERLINK("https://booking.roadsurfer.com/es/rally/pick?pickup_date=2026-04-25&amp;return_date=2026-05-02&amp;currency=EUR&amp;startStation=22&amp;endStation=34",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Milán</t>
        </is>
      </c>
      <c r="E646" t="inlineStr">
        <is>
          <t>2026-04-13</t>
        </is>
      </c>
      <c r="F646" t="inlineStr">
        <is>
          <t>2026-04-20</t>
        </is>
      </c>
      <c r="G646" t="inlineStr">
        <is>
          <t xml:space="preserve"> - Surfer Suite</t>
        </is>
      </c>
      <c r="H646">
        <f>HYPERLINK("https://booking.roadsurfer.com/es/rally/pick?pickup_date=2026-04-13&amp;return_date=2026-04-20&amp;currency=EUR&amp;startStation=22&amp;endStation=34",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Milán</t>
        </is>
      </c>
      <c r="E647" t="inlineStr">
        <is>
          <t>2026-04-20</t>
        </is>
      </c>
      <c r="F647" t="inlineStr">
        <is>
          <t>2026-04-27</t>
        </is>
      </c>
      <c r="G647" t="inlineStr">
        <is>
          <t xml:space="preserve"> - Beach Hostel</t>
        </is>
      </c>
      <c r="H647">
        <f>HYPERLINK("https://booking.roadsurfer.com/es/rally/pick?pickup_date=2026-04-20&amp;return_date=2026-04-27&amp;currency=EUR&amp;startStation=22&amp;endStation=34",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Milán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No hay coche</t>
        </is>
      </c>
      <c r="H648">
        <f>HYPERLINK("https://booking.roadsurfer.com/es/rally/pick?pickup_date=2026-04-27&amp;return_date=2026-05-04&amp;currency=EUR&amp;startStation=22&amp;endStation=34",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Bérgamo</t>
        </is>
      </c>
      <c r="E649" t="inlineStr">
        <is>
          <t>2026-04-09</t>
        </is>
      </c>
      <c r="F649" t="inlineStr">
        <is>
          <t>2026-04-16</t>
        </is>
      </c>
      <c r="G649" t="inlineStr">
        <is>
          <t xml:space="preserve"> - Surfer Suite</t>
        </is>
      </c>
      <c r="H649">
        <f>HYPERLINK("https://booking.roadsurfer.com/es/rally/pick?pickup_date=2026-04-09&amp;return_date=2026-04-16&amp;currency=EUR&amp;startStation=22&amp;endStation=94",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2026-04-14</t>
        </is>
      </c>
      <c r="F650" t="inlineStr">
        <is>
          <t>2026-04-21</t>
        </is>
      </c>
      <c r="G650" t="inlineStr">
        <is>
          <t xml:space="preserve"> - Surfer Suite</t>
        </is>
      </c>
      <c r="H650">
        <f>HYPERLINK("https://booking.roadsurfer.com/es/rally/pick?pickup_date=2026-04-14&amp;return_date=2026-04-21&amp;currency=EUR&amp;startStation=22&amp;endStation=94",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Bérgamo</t>
        </is>
      </c>
      <c r="E651" t="inlineStr">
        <is>
          <t>2026-04-17</t>
        </is>
      </c>
      <c r="F651" t="inlineStr">
        <is>
          <t>2026-04-24</t>
        </is>
      </c>
      <c r="G651" t="inlineStr">
        <is>
          <t xml:space="preserve"> - No hay coche</t>
        </is>
      </c>
      <c r="H651">
        <f>HYPERLINK("https://booking.roadsurfer.com/es/rally/pick?pickup_date=2026-04-17&amp;return_date=2026-04-24&amp;currency=EUR&amp;startStation=22&amp;endStation=94",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Bérgamo</t>
        </is>
      </c>
      <c r="E652" t="inlineStr">
        <is>
          <t>2026-05-14</t>
        </is>
      </c>
      <c r="F652" t="inlineStr">
        <is>
          <t>2026-05-21</t>
        </is>
      </c>
      <c r="G652" t="inlineStr">
        <is>
          <t xml:space="preserve"> - Cozy Cottage</t>
        </is>
      </c>
      <c r="H652">
        <f>HYPERLINK("https://booking.roadsurfer.com/es/rally/pick?pickup_date=2026-05-14&amp;return_date=2026-05-21&amp;currency=EUR&amp;startStation=22&amp;endStation=94",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Suecia</t>
        </is>
      </c>
      <c r="D653" t="inlineStr">
        <is>
          <t>Malmö</t>
        </is>
      </c>
      <c r="E653" t="inlineStr">
        <is>
          <t>2026-04-08</t>
        </is>
      </c>
      <c r="F653" t="inlineStr">
        <is>
          <t>2026-04-15</t>
        </is>
      </c>
      <c r="G653" t="inlineStr">
        <is>
          <t xml:space="preserve"> - Surfer Suite - Beach Hostel - Family Finca</t>
        </is>
      </c>
      <c r="H653">
        <f>HYPERLINK("https://booking.roadsurfer.com/es/rally/pick?pickup_date=2026-04-08&amp;return_date=2026-04-15&amp;currency=EUR&amp;startStation=22&amp;endStation=60",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Suecia</t>
        </is>
      </c>
      <c r="D654" t="inlineStr">
        <is>
          <t>Malmö</t>
        </is>
      </c>
      <c r="E654" t="inlineStr">
        <is>
          <t>2026-04-14</t>
        </is>
      </c>
      <c r="F654" t="inlineStr">
        <is>
          <t>2026-04-14</t>
        </is>
      </c>
      <c r="G654" t="inlineStr"/>
      <c r="H654">
        <f>HYPERLINK("https://booking.roadsurfer.com/es/rally/pick?pickup_date=2026-04-14&amp;return_date=2026-04-14&amp;currency=EUR&amp;startStation=22&amp;endStation=60",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Austria</t>
        </is>
      </c>
      <c r="D655" t="inlineStr">
        <is>
          <t>Viena Sur</t>
        </is>
      </c>
      <c r="E655" t="inlineStr">
        <is>
          <t>2026-04-08</t>
        </is>
      </c>
      <c r="F655" t="inlineStr">
        <is>
          <t>2026-04-15</t>
        </is>
      </c>
      <c r="G655" t="inlineStr">
        <is>
          <t xml:space="preserve"> - Surfer Suite</t>
        </is>
      </c>
      <c r="H655">
        <f>HYPERLINK("https://booking.roadsurfer.com/es/rally/pick?pickup_date=2026-04-08&amp;return_date=2026-04-15&amp;currency=EUR&amp;startStation=22&amp;endStation=45",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Austria</t>
        </is>
      </c>
      <c r="D656" t="inlineStr">
        <is>
          <t>Salzburgo</t>
        </is>
      </c>
      <c r="E656" t="inlineStr">
        <is>
          <t>2026-04-09</t>
        </is>
      </c>
      <c r="F656" t="inlineStr">
        <is>
          <t>2026-04-16</t>
        </is>
      </c>
      <c r="G656" t="inlineStr">
        <is>
          <t xml:space="preserve"> - Surfer Suite</t>
        </is>
      </c>
      <c r="H656">
        <f>HYPERLINK("https://booking.roadsurfer.com/es/rally/pick?pickup_date=2026-04-09&amp;return_date=2026-04-16&amp;currency=EUR&amp;startStation=22&amp;endStation=85",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2026-04-08</t>
        </is>
      </c>
      <c r="F657" t="inlineStr">
        <is>
          <t>2026-04-15</t>
        </is>
      </c>
      <c r="G657" t="inlineStr">
        <is>
          <t xml:space="preserve"> - BEACH HOSTEL</t>
        </is>
      </c>
      <c r="H657">
        <f>HYPERLINK("https://booking.roadsurfer.com/es/rally/pick?pickup_date=2026-04-08&amp;return_date=2026-04-15&amp;currency=EUR&amp;startStation=22&amp;endStation=57",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2026-04-09</t>
        </is>
      </c>
      <c r="F658" t="inlineStr">
        <is>
          <t>2026-04-16</t>
        </is>
      </c>
      <c r="G658" t="inlineStr">
        <is>
          <t xml:space="preserve"> - Surfer Suite</t>
        </is>
      </c>
      <c r="H658">
        <f>HYPERLINK("https://booking.roadsurfer.com/es/rally/pick?pickup_date=2026-04-09&amp;return_date=2026-04-16&amp;currency=EUR&amp;startStation=22&amp;endStation=57",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2026-04-20</t>
        </is>
      </c>
      <c r="F659" t="inlineStr">
        <is>
          <t>2026-04-27</t>
        </is>
      </c>
      <c r="G659" t="inlineStr">
        <is>
          <t xml:space="preserve"> - Beach Hostel</t>
        </is>
      </c>
      <c r="H659">
        <f>HYPERLINK("https://booking.roadsurfer.com/es/rally/pick?pickup_date=2026-04-20&amp;return_date=2026-04-27&amp;currency=EUR&amp;startStation=22&amp;endStation=57",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Francia</t>
        </is>
      </c>
      <c r="D660" t="inlineStr">
        <is>
          <t>Aix-Marsella</t>
        </is>
      </c>
      <c r="E660" t="inlineStr">
        <is>
          <t>2026-04-14</t>
        </is>
      </c>
      <c r="F660" t="inlineStr">
        <is>
          <t>2026-04-21</t>
        </is>
      </c>
      <c r="G660" t="inlineStr">
        <is>
          <t xml:space="preserve"> - Surfer Suite</t>
        </is>
      </c>
      <c r="H660">
        <f>HYPERLINK("https://booking.roadsurfer.com/es/rally/pick?pickup_date=2026-04-14&amp;return_date=2026-04-21&amp;currency=EUR&amp;startStation=22&amp;endStation=16",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Aix-Marsella</t>
        </is>
      </c>
      <c r="E661" t="inlineStr">
        <is>
          <t>2026-04-17</t>
        </is>
      </c>
      <c r="F661" t="inlineStr">
        <is>
          <t>2026-04-24</t>
        </is>
      </c>
      <c r="G661" t="inlineStr">
        <is>
          <t xml:space="preserve"> - SURFER SUITE</t>
        </is>
      </c>
      <c r="H661">
        <f>HYPERLINK("https://booking.roadsurfer.com/es/rally/pick?pickup_date=2026-04-17&amp;return_date=2026-04-24&amp;currency=EUR&amp;startStation=22&amp;endStation=16",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Lille</t>
        </is>
      </c>
      <c r="E662" t="inlineStr">
        <is>
          <t>2026-04-07</t>
        </is>
      </c>
      <c r="F662" t="inlineStr">
        <is>
          <t>2026-04-14</t>
        </is>
      </c>
      <c r="G662" t="inlineStr">
        <is>
          <t xml:space="preserve"> - Beach Hostel</t>
        </is>
      </c>
      <c r="H662">
        <f>HYPERLINK("https://booking.roadsurfer.com/es/rally/pick?pickup_date=2026-04-07&amp;return_date=2026-04-14&amp;currency=EUR&amp;startStation=22&amp;endStation=87",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Lille</t>
        </is>
      </c>
      <c r="E663" t="inlineStr">
        <is>
          <t>2026-04-08</t>
        </is>
      </c>
      <c r="F663" t="inlineStr">
        <is>
          <t>2026-04-15</t>
        </is>
      </c>
      <c r="G663" t="inlineStr">
        <is>
          <t xml:space="preserve"> - Surfer Suite - Beach Hostel</t>
        </is>
      </c>
      <c r="H663">
        <f>HYPERLINK("https://booking.roadsurfer.com/es/rally/pick?pickup_date=2026-04-08&amp;return_date=2026-04-15&amp;currency=EUR&amp;startStation=22&amp;endStation=87",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2026-04-27</t>
        </is>
      </c>
      <c r="F664" t="inlineStr">
        <is>
          <t>2026-05-04</t>
        </is>
      </c>
      <c r="G664" t="inlineStr">
        <is>
          <t xml:space="preserve"> - No hay coche</t>
        </is>
      </c>
      <c r="H664">
        <f>HYPERLINK("https://booking.roadsurfer.com/es/rally/pick?pickup_date=2026-04-27&amp;return_date=2026-05-04&amp;currency=EUR&amp;startStation=22&amp;endStation=78",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Venecia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Road House</t>
        </is>
      </c>
      <c r="H665">
        <f>HYPERLINK("https://booking.roadsurfer.com/es/rally/pick?pickup_date=2026-04-09&amp;return_date=2026-04-16&amp;currency=EUR&amp;startStation=22&amp;endStation=78",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2026-05-02</t>
        </is>
      </c>
      <c r="F666" t="inlineStr">
        <is>
          <t>2026-05-09</t>
        </is>
      </c>
      <c r="G666" t="inlineStr">
        <is>
          <t xml:space="preserve"> - No hay coche</t>
        </is>
      </c>
      <c r="H666">
        <f>HYPERLINK("https://booking.roadsurfer.com/es/rally/pick?pickup_date=2026-05-02&amp;return_date=2026-05-09&amp;currency=EUR&amp;startStation=22&amp;endStation=78",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Italia</t>
        </is>
      </c>
      <c r="D667" t="inlineStr">
        <is>
          <t>Venecia</t>
        </is>
      </c>
      <c r="E667" t="inlineStr">
        <is>
          <t>2026-06-02</t>
        </is>
      </c>
      <c r="F667" t="inlineStr">
        <is>
          <t>2026-06-09</t>
        </is>
      </c>
      <c r="G667" t="inlineStr">
        <is>
          <t xml:space="preserve"> - Sunrise Suite</t>
        </is>
      </c>
      <c r="H667">
        <f>HYPERLINK("https://booking.roadsurfer.com/es/rally/pick?pickup_date=2026-06-02&amp;return_date=2026-06-09&amp;currency=EUR&amp;startStation=22&amp;endStation=78",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España</t>
        </is>
      </c>
      <c r="D668" t="inlineStr">
        <is>
          <t>Madrid</t>
        </is>
      </c>
      <c r="E668" t="inlineStr">
        <is>
          <t>2026-04-08</t>
        </is>
      </c>
      <c r="F668" t="inlineStr">
        <is>
          <t>2026-04-15</t>
        </is>
      </c>
      <c r="G668" t="inlineStr">
        <is>
          <t xml:space="preserve"> - Beach Hostel</t>
        </is>
      </c>
      <c r="H668">
        <f>HYPERLINK("https://booking.roadsurfer.com/es/rally/pick?pickup_date=2026-04-08&amp;return_date=2026-04-15&amp;currency=EUR&amp;startStation=22&amp;endStation=20",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España</t>
        </is>
      </c>
      <c r="D669" t="inlineStr">
        <is>
          <t>Madrid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Sunrise Suite</t>
        </is>
      </c>
      <c r="H669">
        <f>HYPERLINK("https://booking.roadsurfer.com/es/rally/pick?pickup_date=2026-05-11&amp;return_date=2026-05-18&amp;currency=EUR&amp;startStation=22&amp;endStation=20",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Alemania</t>
        </is>
      </c>
      <c r="D670" t="inlineStr">
        <is>
          <t>Berlín-Schönefeld</t>
        </is>
      </c>
      <c r="E670" t="inlineStr">
        <is>
          <t>2026-04-20</t>
        </is>
      </c>
      <c r="F670" t="inlineStr">
        <is>
          <t>2026-04-27</t>
        </is>
      </c>
      <c r="G670" t="inlineStr">
        <is>
          <t xml:space="preserve"> - Beach Hostel</t>
        </is>
      </c>
      <c r="H670">
        <f>HYPERLINK("https://booking.roadsurfer.com/es/rally/pick?pickup_date=2026-04-20&amp;return_date=2026-04-27&amp;currency=EUR&amp;startStation=22&amp;endStation=51",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2026-04-08</t>
        </is>
      </c>
      <c r="F671" t="inlineStr">
        <is>
          <t>2026-04-15</t>
        </is>
      </c>
      <c r="G671" t="inlineStr">
        <is>
          <t xml:space="preserve"> - BEACH HOSTEL</t>
        </is>
      </c>
      <c r="H671">
        <f>HYPERLINK("https://booking.roadsurfer.com/es/rally/pick?pickup_date=2026-04-08&amp;return_date=2026-04-15&amp;currency=EUR&amp;startStation=22&amp;endStation=36",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España</t>
        </is>
      </c>
      <c r="D672" t="inlineStr">
        <is>
          <t>Sevilla</t>
        </is>
      </c>
      <c r="E672" t="inlineStr">
        <is>
          <t>2026-04-09</t>
        </is>
      </c>
      <c r="F672" t="inlineStr">
        <is>
          <t>2026-04-16</t>
        </is>
      </c>
      <c r="G672" t="inlineStr">
        <is>
          <t xml:space="preserve"> - Road House</t>
        </is>
      </c>
      <c r="H672">
        <f>HYPERLINK("https://booking.roadsurfer.com/es/rally/pick?pickup_date=2026-04-09&amp;return_date=2026-04-16&amp;currency=EUR&amp;startStation=22&amp;endStation=39",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Italia</t>
        </is>
      </c>
      <c r="D673" t="inlineStr">
        <is>
          <t>Florencia</t>
        </is>
      </c>
      <c r="E673" t="inlineStr">
        <is>
          <t>2026-04-30</t>
        </is>
      </c>
      <c r="F673" t="inlineStr">
        <is>
          <t>2026-05-07</t>
        </is>
      </c>
      <c r="G673" t="inlineStr">
        <is>
          <t xml:space="preserve"> - Road House</t>
        </is>
      </c>
      <c r="H673">
        <f>HYPERLINK("https://booking.roadsurfer.com/es/rally/pick?pickup_date=2026-04-30&amp;return_date=2026-05-07&amp;currency=EUR&amp;startStation=22&amp;endStation=80",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Austria</t>
        </is>
      </c>
      <c r="D674" t="inlineStr">
        <is>
          <t>Graz</t>
        </is>
      </c>
      <c r="E674" t="inlineStr">
        <is>
          <t>2026-04-08</t>
        </is>
      </c>
      <c r="F674" t="inlineStr">
        <is>
          <t>2026-04-15</t>
        </is>
      </c>
      <c r="G674" t="inlineStr">
        <is>
          <t xml:space="preserve"> - Couple Cottage</t>
        </is>
      </c>
      <c r="H674">
        <f>HYPERLINK("https://booking.roadsurfer.com/es/rally/pick?pickup_date=2026-04-08&amp;return_date=2026-04-15&amp;currency=EUR&amp;startStation=22&amp;endStation=37",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Wurzburgo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No hay coche</t>
        </is>
      </c>
      <c r="H675">
        <f>HYPERLINK("https://booking.roadsurfer.com/es/rally/pick?pickup_date=2026-05-04&amp;return_date=2026-05-11&amp;currency=EUR&amp;startStation=34&amp;endStation=115",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Road House</t>
        </is>
      </c>
      <c r="H676">
        <f>HYPERLINK("https://booking.roadsurfer.com/es/rally/pick?pickup_date=2026-05-06&amp;return_date=2026-05-13&amp;currency=EUR&amp;startStation=34&amp;endStation=115",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Wurzburgo</t>
        </is>
      </c>
      <c r="E677" t="inlineStr">
        <is>
          <t>2026-05-15</t>
        </is>
      </c>
      <c r="F677" t="inlineStr">
        <is>
          <t>2026-05-22</t>
        </is>
      </c>
      <c r="G677" t="inlineStr">
        <is>
          <t xml:space="preserve"> - Surfer Suite</t>
        </is>
      </c>
      <c r="H677">
        <f>HYPERLINK("https://booking.roadsurfer.com/es/rally/pick?pickup_date=2026-05-15&amp;return_date=2026-05-22&amp;currency=EUR&amp;startStation=34&amp;endStation=115", "Clic para verlo en la web de RoadSurfer")</f>
        <v/>
      </c>
    </row>
    <row r="678">
      <c r="A678" t="inlineStr">
        <is>
          <t>Italia</t>
        </is>
      </c>
      <c r="B678" t="inlineStr">
        <is>
          <t>Milán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Road House</t>
        </is>
      </c>
      <c r="H678">
        <f>HYPERLINK("https://booking.roadsurfer.com/es/rally/pick?pickup_date=2026-05-06&amp;return_date=2026-05-13&amp;currency=EUR&amp;startStation=34&amp;endStation=22", "Clic para verlo en la web de RoadSurfer")</f>
        <v/>
      </c>
    </row>
    <row r="679">
      <c r="A679" t="inlineStr">
        <is>
          <t>Italia</t>
        </is>
      </c>
      <c r="B679" t="inlineStr">
        <is>
          <t>Milán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2026-05-12</t>
        </is>
      </c>
      <c r="F679" t="inlineStr">
        <is>
          <t>2026-05-19</t>
        </is>
      </c>
      <c r="G679" t="inlineStr">
        <is>
          <t xml:space="preserve"> - Surfer Suite</t>
        </is>
      </c>
      <c r="H679">
        <f>HYPERLINK("https://booking.roadsurfer.com/es/rally/pick?pickup_date=2026-05-12&amp;return_date=2026-05-19&amp;currency=EUR&amp;startStation=34&amp;endStation=22", "Clic para verlo en la web de RoadSurfer")</f>
        <v/>
      </c>
    </row>
    <row r="680">
      <c r="A680" t="inlineStr">
        <is>
          <t>Italia</t>
        </is>
      </c>
      <c r="B680" t="inlineStr">
        <is>
          <t>Milán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2026-04-09</t>
        </is>
      </c>
      <c r="F680" t="inlineStr">
        <is>
          <t>2026-04-16</t>
        </is>
      </c>
      <c r="G680" t="inlineStr">
        <is>
          <t xml:space="preserve"> - Camper Castle</t>
        </is>
      </c>
      <c r="H680">
        <f>HYPERLINK("https://booking.roadsurfer.com/es/rally/pick?pickup_date=2026-04-09&amp;return_date=2026-04-16&amp;currency=EUR&amp;startStation=34&amp;endStation=22", "Clic para verlo en la web de RoadSurfer")</f>
        <v/>
      </c>
    </row>
    <row r="681">
      <c r="A681" t="inlineStr">
        <is>
          <t>Italia</t>
        </is>
      </c>
      <c r="B681" t="inlineStr">
        <is>
          <t>Milán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2026-04-22</t>
        </is>
      </c>
      <c r="F681" t="inlineStr">
        <is>
          <t>2026-04-29</t>
        </is>
      </c>
      <c r="G681" t="inlineStr">
        <is>
          <t xml:space="preserve"> - Couple Cottage</t>
        </is>
      </c>
      <c r="H681">
        <f>HYPERLINK("https://booking.roadsurfer.com/es/rally/pick?pickup_date=2026-04-22&amp;return_date=2026-04-29&amp;currency=EUR&amp;startStation=34&amp;endStation=22", "Clic para verlo en la web de RoadSurfer")</f>
        <v/>
      </c>
    </row>
    <row r="682">
      <c r="A682" t="inlineStr">
        <is>
          <t>Italia</t>
        </is>
      </c>
      <c r="B682" t="inlineStr">
        <is>
          <t>Milán</t>
        </is>
      </c>
      <c r="C682" t="inlineStr">
        <is>
          <t>Alemania</t>
        </is>
      </c>
      <c r="D682" t="inlineStr">
        <is>
          <t>Leipzig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Road House</t>
        </is>
      </c>
      <c r="H682">
        <f>HYPERLINK("https://booking.roadsurfer.com/es/rally/pick?pickup_date=2026-05-08&amp;return_date=2026-05-15&amp;currency=EUR&amp;startStation=34&amp;endStation=8", "Clic para verlo en la web de RoadSurfer")</f>
        <v/>
      </c>
    </row>
    <row r="683">
      <c r="A683" t="inlineStr">
        <is>
          <t>Italia</t>
        </is>
      </c>
      <c r="B683" t="inlineStr">
        <is>
          <t>Milán</t>
        </is>
      </c>
      <c r="C683" t="inlineStr">
        <is>
          <t>Alemania</t>
        </is>
      </c>
      <c r="D683" t="inlineStr">
        <is>
          <t>Leipzig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Couple Cottage</t>
        </is>
      </c>
      <c r="H683">
        <f>HYPERLINK("https://booking.roadsurfer.com/es/rally/pick?pickup_date=2026-05-11&amp;return_date=2026-05-18&amp;currency=EUR&amp;startStation=34&amp;endStation=8", "Clic para verlo en la web de RoadSurfer")</f>
        <v/>
      </c>
    </row>
    <row r="684">
      <c r="A684" t="inlineStr">
        <is>
          <t>Italia</t>
        </is>
      </c>
      <c r="B684" t="inlineStr">
        <is>
          <t>Milán</t>
        </is>
      </c>
      <c r="C684" t="inlineStr">
        <is>
          <t>Alemania</t>
        </is>
      </c>
      <c r="D684" t="inlineStr">
        <is>
          <t>Leipzig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Sunrise Suite</t>
        </is>
      </c>
      <c r="H684">
        <f>HYPERLINK("https://booking.roadsurfer.com/es/rally/pick?pickup_date=2026-04-14&amp;return_date=2026-04-21&amp;currency=EUR&amp;startStation=34&amp;endStation=8", "Clic para verlo en la web de RoadSurfer")</f>
        <v/>
      </c>
    </row>
    <row r="685">
      <c r="A685" t="inlineStr">
        <is>
          <t>Italia</t>
        </is>
      </c>
      <c r="B685" t="inlineStr">
        <is>
          <t>Milán</t>
        </is>
      </c>
      <c r="C685" t="inlineStr">
        <is>
          <t>Alemania</t>
        </is>
      </c>
      <c r="D685" t="inlineStr">
        <is>
          <t>Leipzig</t>
        </is>
      </c>
      <c r="E685" t="inlineStr">
        <is>
          <t>2026-05-15</t>
        </is>
      </c>
      <c r="F685" t="inlineStr">
        <is>
          <t>2026-05-22</t>
        </is>
      </c>
      <c r="G685" t="inlineStr">
        <is>
          <t xml:space="preserve"> - Surfer Suite</t>
        </is>
      </c>
      <c r="H685">
        <f>HYPERLINK("https://booking.roadsurfer.com/es/rally/pick?pickup_date=2026-05-15&amp;return_date=2026-05-22&amp;currency=EUR&amp;startStation=34&amp;endStation=8", "Clic para verlo en la web de RoadSurfer")</f>
        <v/>
      </c>
    </row>
    <row r="686">
      <c r="A686" t="inlineStr">
        <is>
          <t>Italia</t>
        </is>
      </c>
      <c r="B686" t="inlineStr">
        <is>
          <t>Milán</t>
        </is>
      </c>
      <c r="C686" t="inlineStr">
        <is>
          <t>Alemania</t>
        </is>
      </c>
      <c r="D686" t="inlineStr">
        <is>
          <t>Leipzig</t>
        </is>
      </c>
      <c r="E686" t="inlineStr">
        <is>
          <t>2026-05-21</t>
        </is>
      </c>
      <c r="F686" t="inlineStr">
        <is>
          <t>2026-05-28</t>
        </is>
      </c>
      <c r="G686" t="inlineStr">
        <is>
          <t xml:space="preserve"> - Road House</t>
        </is>
      </c>
      <c r="H686">
        <f>HYPERLINK("https://booking.roadsurfer.com/es/rally/pick?pickup_date=2026-05-21&amp;return_date=2026-05-28&amp;currency=EUR&amp;startStation=34&amp;endStation=8", "Clic para verlo en la web de RoadSurfer")</f>
        <v/>
      </c>
    </row>
    <row r="687">
      <c r="A687" t="inlineStr">
        <is>
          <t>Italia</t>
        </is>
      </c>
      <c r="B687" t="inlineStr">
        <is>
          <t>Milán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2026-05-07</t>
        </is>
      </c>
      <c r="F687" t="inlineStr">
        <is>
          <t>2026-05-14</t>
        </is>
      </c>
      <c r="G687" t="inlineStr">
        <is>
          <t xml:space="preserve"> - No hay coche</t>
        </is>
      </c>
      <c r="H687">
        <f>HYPERLINK("https://booking.roadsurfer.com/es/rally/pick?pickup_date=2026-05-07&amp;return_date=2026-05-14&amp;currency=EUR&amp;startStation=34&amp;endStation=90", "Clic para verlo en la web de RoadSurfer")</f>
        <v/>
      </c>
    </row>
    <row r="688">
      <c r="A688" t="inlineStr">
        <is>
          <t>Italia</t>
        </is>
      </c>
      <c r="B688" t="inlineStr">
        <is>
          <t>Milán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Road House</t>
        </is>
      </c>
      <c r="H688">
        <f>HYPERLINK("https://booking.roadsurfer.com/es/rally/pick?pickup_date=2026-05-11&amp;return_date=2026-05-18&amp;currency=EUR&amp;startStation=34&amp;endStation=90", "Clic para verlo en la web de RoadSurfer")</f>
        <v/>
      </c>
    </row>
    <row r="689">
      <c r="A689" t="inlineStr">
        <is>
          <t>Italia</t>
        </is>
      </c>
      <c r="B689" t="inlineStr">
        <is>
          <t>Milán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2026-04-16</t>
        </is>
      </c>
      <c r="F689" t="inlineStr">
        <is>
          <t>2026-04-23</t>
        </is>
      </c>
      <c r="G689" t="inlineStr">
        <is>
          <t xml:space="preserve"> - Sunrise Suite</t>
        </is>
      </c>
      <c r="H689">
        <f>HYPERLINK("https://booking.roadsurfer.com/es/rally/pick?pickup_date=2026-04-16&amp;return_date=2026-04-23&amp;currency=EUR&amp;startStation=34&amp;endStation=90", "Clic para verlo en la web de RoadSurfer")</f>
        <v/>
      </c>
    </row>
    <row r="690">
      <c r="A690" t="inlineStr">
        <is>
          <t>Italia</t>
        </is>
      </c>
      <c r="B690" t="inlineStr">
        <is>
          <t>Milán</t>
        </is>
      </c>
      <c r="C690" t="inlineStr">
        <is>
          <t>Alemania</t>
        </is>
      </c>
      <c r="D690" t="inlineStr">
        <is>
          <t>Constanza (Aach)</t>
        </is>
      </c>
      <c r="E690" t="inlineStr">
        <is>
          <t>2026-05-08</t>
        </is>
      </c>
      <c r="F690" t="inlineStr">
        <is>
          <t>2026-05-15</t>
        </is>
      </c>
      <c r="G690" t="inlineStr">
        <is>
          <t xml:space="preserve"> - Road House</t>
        </is>
      </c>
      <c r="H690">
        <f>HYPERLINK("https://booking.roadsurfer.com/es/rally/pick?pickup_date=2026-05-08&amp;return_date=2026-05-15&amp;currency=EUR&amp;startStation=34&amp;endStation=10", "Clic para verlo en la web de RoadSurfer")</f>
        <v/>
      </c>
    </row>
    <row r="691">
      <c r="A691" t="inlineStr">
        <is>
          <t>Italia</t>
        </is>
      </c>
      <c r="B691" t="inlineStr">
        <is>
          <t>Milán</t>
        </is>
      </c>
      <c r="C691" t="inlineStr">
        <is>
          <t>Alemania</t>
        </is>
      </c>
      <c r="D691" t="inlineStr">
        <is>
          <t>Stuttgart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No hay coche</t>
        </is>
      </c>
      <c r="H691">
        <f>HYPERLINK("https://booking.roadsurfer.com/es/rally/pick?pickup_date=2026-05-04&amp;return_date=2026-05-11&amp;currency=EUR&amp;startStation=34&amp;endStation=5", "Clic para verlo en la web de RoadSurfer")</f>
        <v/>
      </c>
    </row>
    <row r="692">
      <c r="A692" t="inlineStr">
        <is>
          <t>Italia</t>
        </is>
      </c>
      <c r="B692" t="inlineStr">
        <is>
          <t>Milán</t>
        </is>
      </c>
      <c r="C692" t="inlineStr">
        <is>
          <t>Alemania</t>
        </is>
      </c>
      <c r="D692" t="inlineStr">
        <is>
          <t>Stuttgart</t>
        </is>
      </c>
      <c r="E692" t="inlineStr">
        <is>
          <t>2026-05-06</t>
        </is>
      </c>
      <c r="F692" t="inlineStr">
        <is>
          <t>2026-05-13</t>
        </is>
      </c>
      <c r="G692" t="inlineStr">
        <is>
          <t xml:space="preserve"> - Road House</t>
        </is>
      </c>
      <c r="H692">
        <f>HYPERLINK("https://booking.roadsurfer.com/es/rally/pick?pickup_date=2026-05-06&amp;return_date=2026-05-13&amp;currency=EUR&amp;startStation=34&amp;endStation=5",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Stuttgart</t>
        </is>
      </c>
      <c r="E693" t="inlineStr">
        <is>
          <t>2026-05-08</t>
        </is>
      </c>
      <c r="F693" t="inlineStr">
        <is>
          <t>2026-05-15</t>
        </is>
      </c>
      <c r="G693" t="inlineStr">
        <is>
          <t xml:space="preserve"> - No hay coche</t>
        </is>
      </c>
      <c r="H693">
        <f>HYPERLINK("https://booking.roadsurfer.com/es/rally/pick?pickup_date=2026-05-08&amp;return_date=2026-05-15&amp;currency=EUR&amp;startStation=34&amp;endStation=5",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Múnich</t>
        </is>
      </c>
      <c r="E694" t="inlineStr">
        <is>
          <t>2026-05-07</t>
        </is>
      </c>
      <c r="F694" t="inlineStr">
        <is>
          <t>2026-05-14</t>
        </is>
      </c>
      <c r="G694" t="inlineStr">
        <is>
          <t xml:space="preserve"> - No hay coche</t>
        </is>
      </c>
      <c r="H694">
        <f>HYPERLINK("https://booking.roadsurfer.com/es/rally/pick?pickup_date=2026-05-07&amp;return_date=2026-05-14&amp;currency=EUR&amp;startStation=34&amp;endStation=1",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Múnich</t>
        </is>
      </c>
      <c r="E695" t="inlineStr">
        <is>
          <t>2026-05-11</t>
        </is>
      </c>
      <c r="F695" t="inlineStr">
        <is>
          <t>2026-05-18</t>
        </is>
      </c>
      <c r="G695" t="inlineStr">
        <is>
          <t xml:space="preserve"> - Sunrise Suite</t>
        </is>
      </c>
      <c r="H695">
        <f>HYPERLINK("https://booking.roadsurfer.com/es/rally/pick?pickup_date=2026-05-11&amp;return_date=2026-05-18&amp;currency=EUR&amp;startStation=34&amp;endStation=1",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Núremberg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Family Finca - Sunrise Suite</t>
        </is>
      </c>
      <c r="H696">
        <f>HYPERLINK("https://booking.roadsurfer.com/es/rally/pick?pickup_date=2026-05-11&amp;return_date=2026-05-18&amp;currency=EUR&amp;startStation=34&amp;endStation=11",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Núremberg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Camper Castle</t>
        </is>
      </c>
      <c r="H697">
        <f>HYPERLINK("https://booking.roadsurfer.com/es/rally/pick?pickup_date=2026-05-12&amp;return_date=2026-05-19&amp;currency=EUR&amp;startStation=34&amp;endStation=11",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Dresde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Camper Castle</t>
        </is>
      </c>
      <c r="H698">
        <f>HYPERLINK("https://booking.roadsurfer.com/es/rally/pick?pickup_date=2026-05-04&amp;return_date=2026-05-11&amp;currency=EUR&amp;startStation=34&amp;endStation=56",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Dresde</t>
        </is>
      </c>
      <c r="E699" t="inlineStr">
        <is>
          <t>2026-05-13</t>
        </is>
      </c>
      <c r="F699" t="inlineStr">
        <is>
          <t>2026-05-20</t>
        </is>
      </c>
      <c r="G699" t="inlineStr">
        <is>
          <t xml:space="preserve"> - FAMILY FINCA</t>
        </is>
      </c>
      <c r="H699">
        <f>HYPERLINK("https://booking.roadsurfer.com/es/rally/pick?pickup_date=2026-05-13&amp;return_date=2026-05-20&amp;currency=EUR&amp;startStation=34&amp;endStation=56",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Dresde</t>
        </is>
      </c>
      <c r="E700" t="inlineStr">
        <is>
          <t>2026-05-07</t>
        </is>
      </c>
      <c r="F700" t="inlineStr">
        <is>
          <t>2026-05-14</t>
        </is>
      </c>
      <c r="G700" t="inlineStr">
        <is>
          <t xml:space="preserve"> - No hay coche</t>
        </is>
      </c>
      <c r="H700">
        <f>HYPERLINK("https://booking.roadsurfer.com/es/rally/pick?pickup_date=2026-05-07&amp;return_date=2026-05-14&amp;currency=EUR&amp;startStation=34&amp;endStation=56",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Colonia-Düsseldorf</t>
        </is>
      </c>
      <c r="E701" t="inlineStr">
        <is>
          <t>2026-04-07</t>
        </is>
      </c>
      <c r="F701" t="inlineStr">
        <is>
          <t>2026-04-14</t>
        </is>
      </c>
      <c r="G701" t="inlineStr">
        <is>
          <t xml:space="preserve"> - Cozy Cottage</t>
        </is>
      </c>
      <c r="H701">
        <f>HYPERLINK("https://booking.roadsurfer.com/es/rally/pick?pickup_date=2026-04-07&amp;return_date=2026-04-14&amp;currency=EUR&amp;startStation=34&amp;endStation=4",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Austria</t>
        </is>
      </c>
      <c r="D702" t="inlineStr">
        <is>
          <t>Graz</t>
        </is>
      </c>
      <c r="E702" t="inlineStr">
        <is>
          <t>2026-04-13</t>
        </is>
      </c>
      <c r="F702" t="inlineStr">
        <is>
          <t>2026-04-20</t>
        </is>
      </c>
      <c r="G702" t="inlineStr">
        <is>
          <t xml:space="preserve"> - Surfer Suite</t>
        </is>
      </c>
      <c r="H702">
        <f>HYPERLINK("https://booking.roadsurfer.com/es/rally/pick?pickup_date=2026-04-13&amp;return_date=2026-04-20&amp;currency=EUR&amp;startStation=1&amp;endStation=37",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Alemania</t>
        </is>
      </c>
      <c r="D703" t="inlineStr">
        <is>
          <t>Bochum</t>
        </is>
      </c>
      <c r="E703" t="inlineStr">
        <is>
          <t>2026-04-27</t>
        </is>
      </c>
      <c r="F703" t="inlineStr">
        <is>
          <t>2026-05-04</t>
        </is>
      </c>
      <c r="G703" t="inlineStr">
        <is>
          <t xml:space="preserve"> - Beach Hostel</t>
        </is>
      </c>
      <c r="H703">
        <f>HYPERLINK("https://booking.roadsurfer.com/es/rally/pick?pickup_date=2026-04-27&amp;return_date=2026-05-04&amp;currency=EUR&amp;startStation=1&amp;endStation=24",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Alemania</t>
        </is>
      </c>
      <c r="D704" t="inlineStr">
        <is>
          <t>Berlín-Schönefeld</t>
        </is>
      </c>
      <c r="E704" t="inlineStr">
        <is>
          <t>2026-04-30</t>
        </is>
      </c>
      <c r="F704" t="inlineStr">
        <is>
          <t>2026-05-07</t>
        </is>
      </c>
      <c r="G704" t="inlineStr">
        <is>
          <t xml:space="preserve"> - Beach Hostel</t>
        </is>
      </c>
      <c r="H704">
        <f>HYPERLINK("https://booking.roadsurfer.com/es/rally/pick?pickup_date=2026-04-30&amp;return_date=2026-05-07&amp;currency=EUR&amp;startStation=1&amp;endStation=51",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Alemania</t>
        </is>
      </c>
      <c r="D705" t="inlineStr">
        <is>
          <t>Berlín</t>
        </is>
      </c>
      <c r="E705" t="inlineStr">
        <is>
          <t>2026-04-27</t>
        </is>
      </c>
      <c r="F705" t="inlineStr">
        <is>
          <t>2026-05-04</t>
        </is>
      </c>
      <c r="G705" t="inlineStr">
        <is>
          <t xml:space="preserve"> - Beach Hostel</t>
        </is>
      </c>
      <c r="H705">
        <f>HYPERLINK("https://booking.roadsurfer.com/es/rally/pick?pickup_date=2026-04-27&amp;return_date=2026-05-04&amp;currency=EUR&amp;startStation=1&amp;endStation=6",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Bilbao</t>
        </is>
      </c>
      <c r="E706" t="inlineStr">
        <is>
          <t>2026-04-15</t>
        </is>
      </c>
      <c r="F706" t="inlineStr">
        <is>
          <t>2026-04-22</t>
        </is>
      </c>
      <c r="G706" t="inlineStr">
        <is>
          <t xml:space="preserve"> - Camper Cabin</t>
        </is>
      </c>
      <c r="H706">
        <f>HYPERLINK("https://booking.roadsurfer.com/es/rally/pick?pickup_date=2026-04-15&amp;return_date=2026-04-22&amp;currency=EUR&amp;startStation=1&amp;endStation=40",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Bilbao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Camper Castle</t>
        </is>
      </c>
      <c r="H707">
        <f>HYPERLINK("https://booking.roadsurfer.com/es/rally/pick?pickup_date=2026-05-11&amp;return_date=2026-05-18&amp;currency=EUR&amp;startStation=1&amp;endStation=40",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Francia</t>
        </is>
      </c>
      <c r="D708" t="inlineStr">
        <is>
          <t>Nantes</t>
        </is>
      </c>
      <c r="E708" t="inlineStr">
        <is>
          <t>2026-04-10</t>
        </is>
      </c>
      <c r="F708" t="inlineStr">
        <is>
          <t>2026-04-17</t>
        </is>
      </c>
      <c r="G708" t="inlineStr">
        <is>
          <t xml:space="preserve"> - Camper Castle</t>
        </is>
      </c>
      <c r="H708">
        <f>HYPERLINK("https://booking.roadsurfer.com/es/rally/pick?pickup_date=2026-04-10&amp;return_date=2026-04-17&amp;currency=EUR&amp;startStation=1&amp;endStation=31",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Alemania</t>
        </is>
      </c>
      <c r="D709" t="inlineStr">
        <is>
          <t>Ulm</t>
        </is>
      </c>
      <c r="E709" t="inlineStr">
        <is>
          <t>2026-04-11</t>
        </is>
      </c>
      <c r="F709" t="inlineStr">
        <is>
          <t>2026-04-18</t>
        </is>
      </c>
      <c r="G709" t="inlineStr">
        <is>
          <t xml:space="preserve"> - Camper Castle</t>
        </is>
      </c>
      <c r="H709">
        <f>HYPERLINK("https://booking.roadsurfer.com/es/rally/pick?pickup_date=2026-04-11&amp;return_date=2026-04-18&amp;currency=EUR&amp;startStation=1&amp;endStation=112",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Francia</t>
        </is>
      </c>
      <c r="D710" t="inlineStr">
        <is>
          <t>Lille</t>
        </is>
      </c>
      <c r="E710" t="inlineStr">
        <is>
          <t>2026-04-09</t>
        </is>
      </c>
      <c r="F710" t="inlineStr">
        <is>
          <t>2026-04-16</t>
        </is>
      </c>
      <c r="G710" t="inlineStr">
        <is>
          <t xml:space="preserve"> - COZY COTTAGE</t>
        </is>
      </c>
      <c r="H710">
        <f>HYPERLINK("https://booking.roadsurfer.com/es/rally/pick?pickup_date=2026-04-09&amp;return_date=2026-04-16&amp;currency=EUR&amp;startStation=1&amp;endStation=87",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Francia</t>
        </is>
      </c>
      <c r="D711" t="inlineStr">
        <is>
          <t>Lille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Family Finca</t>
        </is>
      </c>
      <c r="H711">
        <f>HYPERLINK("https://booking.roadsurfer.com/es/rally/pick?pickup_date=2026-04-27&amp;return_date=2026-05-04&amp;currency=EUR&amp;startStation=1&amp;endStation=87",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Francia</t>
        </is>
      </c>
      <c r="D712" t="inlineStr">
        <is>
          <t>Burdeos</t>
        </is>
      </c>
      <c r="E712" t="inlineStr">
        <is>
          <t>2026-04-17</t>
        </is>
      </c>
      <c r="F712" t="inlineStr">
        <is>
          <t>2026-04-24</t>
        </is>
      </c>
      <c r="G712" t="inlineStr">
        <is>
          <t xml:space="preserve"> - Sunrise Suite</t>
        </is>
      </c>
      <c r="H712">
        <f>HYPERLINK("https://booking.roadsurfer.com/es/rally/pick?pickup_date=2026-04-17&amp;return_date=2026-04-24&amp;currency=EUR&amp;startStation=1&amp;endStation=13",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Francia</t>
        </is>
      </c>
      <c r="D713" t="inlineStr">
        <is>
          <t>París Sur (Orly)</t>
        </is>
      </c>
      <c r="E713" t="inlineStr">
        <is>
          <t>2026-04-20</t>
        </is>
      </c>
      <c r="F713" t="inlineStr">
        <is>
          <t>2026-04-27</t>
        </is>
      </c>
      <c r="G713" t="inlineStr">
        <is>
          <t xml:space="preserve"> - Sunrise Suite</t>
        </is>
      </c>
      <c r="H713">
        <f>HYPERLINK("https://booking.roadsurfer.com/es/rally/pick?pickup_date=2026-04-20&amp;return_date=2026-04-27&amp;currency=EUR&amp;startStation=1&amp;endStation=12",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Colonia-Düsseldorf</t>
        </is>
      </c>
      <c r="E714" t="inlineStr">
        <is>
          <t>2026-04-13</t>
        </is>
      </c>
      <c r="F714" t="inlineStr">
        <is>
          <t>2026-04-20</t>
        </is>
      </c>
      <c r="G714" t="inlineStr">
        <is>
          <t xml:space="preserve"> - Surfer Suite</t>
        </is>
      </c>
      <c r="H714">
        <f>HYPERLINK("https://booking.roadsurfer.com/es/rally/pick?pickup_date=2026-04-13&amp;return_date=2026-04-20&amp;currency=EUR&amp;startStation=31&amp;endStation=4",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Colonia-Düsseldorf</t>
        </is>
      </c>
      <c r="E715" t="inlineStr">
        <is>
          <t>2026-05-15</t>
        </is>
      </c>
      <c r="F715" t="inlineStr">
        <is>
          <t>2026-05-22</t>
        </is>
      </c>
      <c r="G715" t="inlineStr">
        <is>
          <t xml:space="preserve"> - Beach Hostel</t>
        </is>
      </c>
      <c r="H715">
        <f>HYPERLINK("https://booking.roadsurfer.com/es/rally/pick?pickup_date=2026-05-15&amp;return_date=2026-05-22&amp;currency=EUR&amp;startStation=31&amp;endStation=4",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Colonia-Düsseldorf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Family Finca</t>
        </is>
      </c>
      <c r="H716">
        <f>HYPERLINK("https://booking.roadsurfer.com/es/rally/pick?pickup_date=2026-05-11&amp;return_date=2026-05-18&amp;currency=EUR&amp;startStation=31&amp;endStation=4",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Colonia-Düsseldorf</t>
        </is>
      </c>
      <c r="E717" t="inlineStr">
        <is>
          <t>2026-05-12</t>
        </is>
      </c>
      <c r="F717" t="inlineStr">
        <is>
          <t>2026-05-19</t>
        </is>
      </c>
      <c r="G717" t="inlineStr">
        <is>
          <t xml:space="preserve"> - Surfer Suite</t>
        </is>
      </c>
      <c r="H717">
        <f>HYPERLINK("https://booking.roadsurfer.com/es/rally/pick?pickup_date=2026-05-12&amp;return_date=2026-05-19&amp;currency=EUR&amp;startStation=31&amp;endStation=4",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Lindau-Wangen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Surfer Suite</t>
        </is>
      </c>
      <c r="H718">
        <f>HYPERLINK("https://booking.roadsurfer.com/es/rally/pick?pickup_date=2026-05-11&amp;return_date=2026-05-18&amp;currency=EUR&amp;startStation=31&amp;endStation=117",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Lindau-Wangen</t>
        </is>
      </c>
      <c r="E719" t="inlineStr">
        <is>
          <t>2026-05-18</t>
        </is>
      </c>
      <c r="F719" t="inlineStr">
        <is>
          <t>2026-05-25</t>
        </is>
      </c>
      <c r="G719" t="inlineStr">
        <is>
          <t xml:space="preserve"> - No hay coche</t>
        </is>
      </c>
      <c r="H719">
        <f>HYPERLINK("https://booking.roadsurfer.com/es/rally/pick?pickup_date=2026-05-18&amp;return_date=2026-05-25&amp;currency=EUR&amp;startStation=31&amp;endStation=117",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2026-05-15</t>
        </is>
      </c>
      <c r="F720" t="inlineStr">
        <is>
          <t>2026-05-22</t>
        </is>
      </c>
      <c r="G720" t="inlineStr">
        <is>
          <t xml:space="preserve"> - SURFER SUITE</t>
        </is>
      </c>
      <c r="H720">
        <f>HYPERLINK("https://booking.roadsurfer.com/es/rally/pick?pickup_date=2026-05-15&amp;return_date=2026-05-22&amp;currency=EUR&amp;startStation=31&amp;endStation=22",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Camper Cabin - Road House - Family Finca - Couple Cottage</t>
        </is>
      </c>
      <c r="H721">
        <f>HYPERLINK("https://booking.roadsurfer.com/es/rally/pick?pickup_date=2026-05-06&amp;return_date=2026-05-13&amp;currency=EUR&amp;startStation=31&amp;endStation=22",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Couple Cottage</t>
        </is>
      </c>
      <c r="H722">
        <f>HYPERLINK("https://booking.roadsurfer.com/es/rally/pick?pickup_date=2026-05-11&amp;return_date=2026-05-18&amp;currency=EUR&amp;startStation=31&amp;endStation=22",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2026-05-13</t>
        </is>
      </c>
      <c r="F723" t="inlineStr">
        <is>
          <t>2026-05-20</t>
        </is>
      </c>
      <c r="G723" t="inlineStr">
        <is>
          <t xml:space="preserve"> - No hay coche</t>
        </is>
      </c>
      <c r="H723">
        <f>HYPERLINK("https://booking.roadsurfer.com/es/rally/pick?pickup_date=2026-05-13&amp;return_date=2026-05-20&amp;currency=EUR&amp;startStation=31&amp;endStation=22",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2026-04-16</t>
        </is>
      </c>
      <c r="F724" t="inlineStr">
        <is>
          <t>2026-04-23</t>
        </is>
      </c>
      <c r="G724" t="inlineStr">
        <is>
          <t xml:space="preserve"> - Camper Castle</t>
        </is>
      </c>
      <c r="H724">
        <f>HYPERLINK("https://booking.roadsurfer.com/es/rally/pick?pickup_date=2026-04-16&amp;return_date=2026-04-23&amp;currency=EUR&amp;startStation=31&amp;endStation=22",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Ulm</t>
        </is>
      </c>
      <c r="E725" t="inlineStr">
        <is>
          <t>2026-04-14</t>
        </is>
      </c>
      <c r="F725" t="inlineStr">
        <is>
          <t>2026-04-21</t>
        </is>
      </c>
      <c r="G725" t="inlineStr">
        <is>
          <t xml:space="preserve"> - Beach Hostel</t>
        </is>
      </c>
      <c r="H725">
        <f>HYPERLINK("https://booking.roadsurfer.com/es/rally/pick?pickup_date=2026-04-14&amp;return_date=2026-04-21&amp;currency=EUR&amp;startStation=31&amp;endStation=112",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Kiel</t>
        </is>
      </c>
      <c r="E726" t="inlineStr">
        <is>
          <t>2026-04-09</t>
        </is>
      </c>
      <c r="F726" t="inlineStr">
        <is>
          <t>2026-04-16</t>
        </is>
      </c>
      <c r="G726" t="inlineStr">
        <is>
          <t xml:space="preserve"> - Camper Cabin</t>
        </is>
      </c>
      <c r="H726">
        <f>HYPERLINK("https://booking.roadsurfer.com/es/rally/pick?pickup_date=2026-04-09&amp;return_date=2026-04-16&amp;currency=EUR&amp;startStation=31&amp;endStation=111",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Constanza (Aach)</t>
        </is>
      </c>
      <c r="E727" t="inlineStr">
        <is>
          <t>2026-05-06</t>
        </is>
      </c>
      <c r="F727" t="inlineStr">
        <is>
          <t>2026-05-13</t>
        </is>
      </c>
      <c r="G727" t="inlineStr">
        <is>
          <t xml:space="preserve"> - Couple Cottage</t>
        </is>
      </c>
      <c r="H727">
        <f>HYPERLINK("https://booking.roadsurfer.com/es/rally/pick?pickup_date=2026-05-06&amp;return_date=2026-05-13&amp;currency=EUR&amp;startStation=31&amp;endStation=10",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Constanza (Aach)</t>
        </is>
      </c>
      <c r="E728" t="inlineStr">
        <is>
          <t>2026-05-13</t>
        </is>
      </c>
      <c r="F728" t="inlineStr">
        <is>
          <t>2026-05-20</t>
        </is>
      </c>
      <c r="G728" t="inlineStr">
        <is>
          <t xml:space="preserve"> - Camper Cabin</t>
        </is>
      </c>
      <c r="H728">
        <f>HYPERLINK("https://booking.roadsurfer.com/es/rally/pick?pickup_date=2026-05-13&amp;return_date=2026-05-20&amp;currency=EUR&amp;startStation=31&amp;endStation=10", "Clic para verlo en la web de RoadSurfer")</f>
        <v/>
      </c>
    </row>
    <row r="729">
      <c r="A729" t="inlineStr">
        <is>
          <t>Francia</t>
        </is>
      </c>
      <c r="B729" t="inlineStr">
        <is>
          <t>Niza</t>
        </is>
      </c>
      <c r="C729" t="inlineStr">
        <is>
          <t>Alemania</t>
        </is>
      </c>
      <c r="D729" t="inlineStr">
        <is>
          <t>Tréveris</t>
        </is>
      </c>
      <c r="E729" t="inlineStr">
        <is>
          <t>2026-04-13</t>
        </is>
      </c>
      <c r="F729" t="inlineStr">
        <is>
          <t>2026-04-20</t>
        </is>
      </c>
      <c r="G729" t="inlineStr">
        <is>
          <t xml:space="preserve"> - Road House</t>
        </is>
      </c>
      <c r="H729">
        <f>HYPERLINK("https://booking.roadsurfer.com/es/rally/pick?pickup_date=2026-04-13&amp;return_date=2026-04-20&amp;currency=EUR&amp;startStation=88&amp;endStation=28", "Clic para verlo en la web de RoadSurfer")</f>
        <v/>
      </c>
    </row>
    <row r="730">
      <c r="A730" t="inlineStr">
        <is>
          <t>Francia</t>
        </is>
      </c>
      <c r="B730" t="inlineStr">
        <is>
          <t>Niza</t>
        </is>
      </c>
      <c r="C730" t="inlineStr">
        <is>
          <t>Alemania</t>
        </is>
      </c>
      <c r="D730" t="inlineStr">
        <is>
          <t>Tréveris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Road House</t>
        </is>
      </c>
      <c r="H730">
        <f>HYPERLINK("https://booking.roadsurfer.com/es/rally/pick?pickup_date=2026-05-11&amp;return_date=2026-05-18&amp;currency=EUR&amp;startStation=88&amp;endStation=28", "Clic para verlo en la web de RoadSurfer")</f>
        <v/>
      </c>
    </row>
    <row r="731">
      <c r="A731" t="inlineStr">
        <is>
          <t>Francia</t>
        </is>
      </c>
      <c r="B731" t="inlineStr">
        <is>
          <t>Niza</t>
        </is>
      </c>
      <c r="C731" t="inlineStr">
        <is>
          <t>Alemania</t>
        </is>
      </c>
      <c r="D731" t="inlineStr">
        <is>
          <t>Tréveris</t>
        </is>
      </c>
      <c r="E731" t="inlineStr">
        <is>
          <t>2026-05-12</t>
        </is>
      </c>
      <c r="F731" t="inlineStr">
        <is>
          <t>2026-05-19</t>
        </is>
      </c>
      <c r="G731" t="inlineStr">
        <is>
          <t xml:space="preserve"> - Surfer Suite</t>
        </is>
      </c>
      <c r="H731">
        <f>HYPERLINK("https://booking.roadsurfer.com/es/rally/pick?pickup_date=2026-05-12&amp;return_date=2026-05-19&amp;currency=EUR&amp;startStation=88&amp;endStation=28", "Clic para verlo en la web de RoadSurfer")</f>
        <v/>
      </c>
    </row>
    <row r="732">
      <c r="A732" t="inlineStr">
        <is>
          <t>Francia</t>
        </is>
      </c>
      <c r="B732" t="inlineStr">
        <is>
          <t>Niza</t>
        </is>
      </c>
      <c r="C732" t="inlineStr">
        <is>
          <t>Alemania</t>
        </is>
      </c>
      <c r="D732" t="inlineStr">
        <is>
          <t>Tréveris</t>
        </is>
      </c>
      <c r="E732" t="inlineStr">
        <is>
          <t>2026-04-23</t>
        </is>
      </c>
      <c r="F732" t="inlineStr">
        <is>
          <t>2026-04-30</t>
        </is>
      </c>
      <c r="G732" t="inlineStr">
        <is>
          <t xml:space="preserve"> - Road House</t>
        </is>
      </c>
      <c r="H732">
        <f>HYPERLINK("https://booking.roadsurfer.com/es/rally/pick?pickup_date=2026-04-23&amp;return_date=2026-04-30&amp;currency=EUR&amp;startStation=88&amp;endStation=28", "Clic para verlo en la web de RoadSurfer")</f>
        <v/>
      </c>
    </row>
    <row r="733">
      <c r="A733" t="inlineStr">
        <is>
          <t>Francia</t>
        </is>
      </c>
      <c r="B733" t="inlineStr">
        <is>
          <t>Niza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2026-04-16</t>
        </is>
      </c>
      <c r="F733" t="inlineStr">
        <is>
          <t>2026-04-23</t>
        </is>
      </c>
      <c r="G733" t="inlineStr">
        <is>
          <t xml:space="preserve"> - Cozy Cottage</t>
        </is>
      </c>
      <c r="H733">
        <f>HYPERLINK("https://booking.roadsurfer.com/es/rally/pick?pickup_date=2026-04-16&amp;return_date=2026-04-23&amp;currency=EUR&amp;startStation=88&amp;endStation=22", "Clic para verlo en la web de RoadSurfer")</f>
        <v/>
      </c>
    </row>
    <row r="734">
      <c r="A734" t="inlineStr">
        <is>
          <t>Alemania</t>
        </is>
      </c>
      <c r="B734" t="inlineStr">
        <is>
          <t>Núremberg</t>
        </is>
      </c>
      <c r="C734" t="inlineStr">
        <is>
          <t>Austria</t>
        </is>
      </c>
      <c r="D734" t="inlineStr">
        <is>
          <t>Linz</t>
        </is>
      </c>
      <c r="E734" t="inlineStr">
        <is>
          <t>2026-04-13</t>
        </is>
      </c>
      <c r="F734" t="inlineStr">
        <is>
          <t>2026-04-20</t>
        </is>
      </c>
      <c r="G734" t="inlineStr">
        <is>
          <t xml:space="preserve"> - Surfer Suite</t>
        </is>
      </c>
      <c r="H734">
        <f>HYPERLINK("https://booking.roadsurfer.com/es/rally/pick?pickup_date=2026-04-13&amp;return_date=2026-04-20&amp;currency=EUR&amp;startStation=11&amp;endStation=116", "Clic para verlo en la web de RoadSurfer")</f>
        <v/>
      </c>
    </row>
    <row r="735">
      <c r="A735" t="inlineStr">
        <is>
          <t>Alemania</t>
        </is>
      </c>
      <c r="B735" t="inlineStr">
        <is>
          <t>Núremberg</t>
        </is>
      </c>
      <c r="C735" t="inlineStr">
        <is>
          <t>Francia</t>
        </is>
      </c>
      <c r="D735" t="inlineStr">
        <is>
          <t>Toulouse</t>
        </is>
      </c>
      <c r="E735" t="inlineStr">
        <is>
          <t>2026-04-20</t>
        </is>
      </c>
      <c r="F735" t="inlineStr">
        <is>
          <t>2026-04-27</t>
        </is>
      </c>
      <c r="G735" t="inlineStr">
        <is>
          <t xml:space="preserve"> - Camper Castle</t>
        </is>
      </c>
      <c r="H735">
        <f>HYPERLINK("https://booking.roadsurfer.com/es/rally/pick?pickup_date=2026-04-20&amp;return_date=2026-04-27&amp;currency=EUR&amp;startStation=11&amp;endStation=30", "Clic para verlo en la web de RoadSurfer")</f>
        <v/>
      </c>
    </row>
    <row r="736">
      <c r="A736" t="inlineStr">
        <is>
          <t>Alemania</t>
        </is>
      </c>
      <c r="B736" t="inlineStr">
        <is>
          <t>Núremberg</t>
        </is>
      </c>
      <c r="C736" t="inlineStr">
        <is>
          <t>Italia</t>
        </is>
      </c>
      <c r="D736" t="inlineStr">
        <is>
          <t>Milán</t>
        </is>
      </c>
      <c r="E736" t="inlineStr">
        <is>
          <t>2026-06-09</t>
        </is>
      </c>
      <c r="F736" t="inlineStr">
        <is>
          <t>2026-06-16</t>
        </is>
      </c>
      <c r="G736" t="inlineStr">
        <is>
          <t xml:space="preserve"> - Camper Castle</t>
        </is>
      </c>
      <c r="H736">
        <f>HYPERLINK("https://booking.roadsurfer.com/es/rally/pick?pickup_date=2026-06-09&amp;return_date=2026-06-16&amp;currency=EUR&amp;startStation=11&amp;endStation=34", "Clic para verlo en la web de RoadSurfer")</f>
        <v/>
      </c>
    </row>
    <row r="737">
      <c r="A737" t="inlineStr">
        <is>
          <t>Alemania</t>
        </is>
      </c>
      <c r="B737" t="inlineStr">
        <is>
          <t>Núremberg</t>
        </is>
      </c>
      <c r="C737" t="inlineStr">
        <is>
          <t>España</t>
        </is>
      </c>
      <c r="D737" t="inlineStr">
        <is>
          <t>Sevilla</t>
        </is>
      </c>
      <c r="E737" t="inlineStr">
        <is>
          <t>2026-04-23</t>
        </is>
      </c>
      <c r="F737" t="inlineStr">
        <is>
          <t>2026-04-30</t>
        </is>
      </c>
      <c r="G737" t="inlineStr">
        <is>
          <t xml:space="preserve"> - Cozy Cottage</t>
        </is>
      </c>
      <c r="H737">
        <f>HYPERLINK("https://booking.roadsurfer.com/es/rally/pick?pickup_date=2026-04-23&amp;return_date=2026-04-30&amp;currency=EUR&amp;startStation=11&amp;endStation=39",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Berlín</t>
        </is>
      </c>
      <c r="E738" t="inlineStr">
        <is>
          <t>2026-04-20</t>
        </is>
      </c>
      <c r="F738" t="inlineStr">
        <is>
          <t>2026-04-27</t>
        </is>
      </c>
      <c r="G738" t="inlineStr">
        <is>
          <t xml:space="preserve"> - Surfer Suite</t>
        </is>
      </c>
      <c r="H738">
        <f>HYPERLINK("https://booking.roadsurfer.com/es/rally/pick?pickup_date=2026-04-20&amp;return_date=2026-04-27&amp;currency=EUR&amp;startStation=12&amp;endStation=6",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Bochum</t>
        </is>
      </c>
      <c r="E739" t="inlineStr">
        <is>
          <t>2026-05-13</t>
        </is>
      </c>
      <c r="F739" t="inlineStr">
        <is>
          <t>2026-05-20</t>
        </is>
      </c>
      <c r="G739" t="inlineStr">
        <is>
          <t xml:space="preserve"> - Camper Cabin Deluxe</t>
        </is>
      </c>
      <c r="H739">
        <f>HYPERLINK("https://booking.roadsurfer.com/es/rally/pick?pickup_date=2026-05-13&amp;return_date=2026-05-20&amp;currency=EUR&amp;startStation=12&amp;endStation=24",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Bochum</t>
        </is>
      </c>
      <c r="E740" t="inlineStr">
        <is>
          <t>2026-05-12</t>
        </is>
      </c>
      <c r="F740" t="inlineStr">
        <is>
          <t>2026-05-19</t>
        </is>
      </c>
      <c r="G740" t="inlineStr">
        <is>
          <t xml:space="preserve"> - Couple Cottage</t>
        </is>
      </c>
      <c r="H740">
        <f>HYPERLINK("https://booking.roadsurfer.com/es/rally/pick?pickup_date=2026-05-12&amp;return_date=2026-05-19&amp;currency=EUR&amp;startStation=12&amp;endStation=24",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2026-05-26</t>
        </is>
      </c>
      <c r="F741" t="inlineStr">
        <is>
          <t>2026-06-02</t>
        </is>
      </c>
      <c r="G741" t="inlineStr">
        <is>
          <t xml:space="preserve"> - Beach Hostel</t>
        </is>
      </c>
      <c r="H741">
        <f>HYPERLINK("https://booking.roadsurfer.com/es/rally/pick?pickup_date=2026-05-26&amp;return_date=2026-06-02&amp;currency=EUR&amp;startStation=12&amp;endStation=24",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Bochum</t>
        </is>
      </c>
      <c r="E742" t="inlineStr">
        <is>
          <t>2026-05-21</t>
        </is>
      </c>
      <c r="F742" t="inlineStr">
        <is>
          <t>2026-05-28</t>
        </is>
      </c>
      <c r="G742" t="inlineStr">
        <is>
          <t xml:space="preserve"> - Couple Cottage</t>
        </is>
      </c>
      <c r="H742">
        <f>HYPERLINK("https://booking.roadsurfer.com/es/rally/pick?pickup_date=2026-05-21&amp;return_date=2026-05-28&amp;currency=EUR&amp;startStation=12&amp;endStation=24",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Bochum</t>
        </is>
      </c>
      <c r="E743" t="inlineStr">
        <is>
          <t>2026-05-20</t>
        </is>
      </c>
      <c r="F743" t="inlineStr">
        <is>
          <t>2026-05-27</t>
        </is>
      </c>
      <c r="G743" t="inlineStr">
        <is>
          <t xml:space="preserve"> - No hay coche</t>
        </is>
      </c>
      <c r="H743">
        <f>HYPERLINK("https://booking.roadsurfer.com/es/rally/pick?pickup_date=2026-05-20&amp;return_date=2026-05-27&amp;currency=EUR&amp;startStation=12&amp;endStation=24",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Aquisgrán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Beach Hostel - Camper Cabin</t>
        </is>
      </c>
      <c r="H744">
        <f>HYPERLINK("https://booking.roadsurfer.com/es/rally/pick?pickup_date=2026-05-04&amp;return_date=2026-05-11&amp;currency=EUR&amp;startStation=12&amp;endStation=114",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Beach Hostel</t>
        </is>
      </c>
      <c r="H745">
        <f>HYPERLINK("https://booking.roadsurfer.com/es/rally/pick?pickup_date=2026-05-04&amp;return_date=2026-05-11&amp;currency=EUR&amp;startStation=12&amp;endStation=91",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2026-05-06</t>
        </is>
      </c>
      <c r="F746" t="inlineStr">
        <is>
          <t>2026-05-13</t>
        </is>
      </c>
      <c r="G746" t="inlineStr">
        <is>
          <t xml:space="preserve"> - Sunrise Suite</t>
        </is>
      </c>
      <c r="H746">
        <f>HYPERLINK("https://booking.roadsurfer.com/es/rally/pick?pickup_date=2026-05-06&amp;return_date=2026-05-13&amp;currency=EUR&amp;startStation=12&amp;endStation=91",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2026-05-15</t>
        </is>
      </c>
      <c r="F747" t="inlineStr">
        <is>
          <t>2026-05-22</t>
        </is>
      </c>
      <c r="G747" t="inlineStr">
        <is>
          <t xml:space="preserve"> - Sunrise Suite</t>
        </is>
      </c>
      <c r="H747">
        <f>HYPERLINK("https://booking.roadsurfer.com/es/rally/pick?pickup_date=2026-05-15&amp;return_date=2026-05-22&amp;currency=EUR&amp;startStation=12&amp;endStation=91",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Bielefeld</t>
        </is>
      </c>
      <c r="E748" t="inlineStr">
        <is>
          <t>2026-05-08</t>
        </is>
      </c>
      <c r="F748" t="inlineStr">
        <is>
          <t>2026-05-15</t>
        </is>
      </c>
      <c r="G748" t="inlineStr">
        <is>
          <t xml:space="preserve"> - No hay coche</t>
        </is>
      </c>
      <c r="H748">
        <f>HYPERLINK("https://booking.roadsurfer.com/es/rally/pick?pickup_date=2026-05-08&amp;return_date=2026-05-15&amp;currency=EUR&amp;startStation=12&amp;endStation=91",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2026-05-19</t>
        </is>
      </c>
      <c r="F749" t="inlineStr">
        <is>
          <t>2026-05-26</t>
        </is>
      </c>
      <c r="G749" t="inlineStr">
        <is>
          <t xml:space="preserve"> - Sunrise Suite</t>
        </is>
      </c>
      <c r="H749">
        <f>HYPERLINK("https://booking.roadsurfer.com/es/rally/pick?pickup_date=2026-05-19&amp;return_date=2026-05-26&amp;currency=EUR&amp;startStation=12&amp;endStation=91",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2026-04-22</t>
        </is>
      </c>
      <c r="F750" t="inlineStr">
        <is>
          <t>2026-04-29</t>
        </is>
      </c>
      <c r="G750" t="inlineStr">
        <is>
          <t xml:space="preserve"> - Camper Cabin</t>
        </is>
      </c>
      <c r="H750">
        <f>HYPERLINK("https://booking.roadsurfer.com/es/rally/pick?pickup_date=2026-04-22&amp;return_date=2026-04-29&amp;currency=EUR&amp;startStation=12&amp;endStation=22",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Dresde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Couple Cottage</t>
        </is>
      </c>
      <c r="H751">
        <f>HYPERLINK("https://booking.roadsurfer.com/es/rally/pick?pickup_date=2026-05-04&amp;return_date=2026-05-11&amp;currency=EUR&amp;startStation=12&amp;endStation=56",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2026-05-08</t>
        </is>
      </c>
      <c r="F752" t="inlineStr">
        <is>
          <t>2026-05-15</t>
        </is>
      </c>
      <c r="G752" t="inlineStr">
        <is>
          <t xml:space="preserve"> - No hay coche</t>
        </is>
      </c>
      <c r="H752">
        <f>HYPERLINK("https://booking.roadsurfer.com/es/rally/pick?pickup_date=2026-05-08&amp;return_date=2026-05-15&amp;currency=EUR&amp;startStation=12&amp;endStation=56",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2026-05-19</t>
        </is>
      </c>
      <c r="F753" t="inlineStr">
        <is>
          <t>2026-05-26</t>
        </is>
      </c>
      <c r="G753" t="inlineStr">
        <is>
          <t xml:space="preserve"> - Camper Cabin</t>
        </is>
      </c>
      <c r="H753">
        <f>HYPERLINK("https://booking.roadsurfer.com/es/rally/pick?pickup_date=2026-05-19&amp;return_date=2026-05-26&amp;currency=EUR&amp;startStation=12&amp;endStation=56",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Dresde</t>
        </is>
      </c>
      <c r="E754" t="inlineStr">
        <is>
          <t>2026-05-07</t>
        </is>
      </c>
      <c r="F754" t="inlineStr">
        <is>
          <t>2026-05-14</t>
        </is>
      </c>
      <c r="G754" t="inlineStr">
        <is>
          <t xml:space="preserve"> - No hay coche</t>
        </is>
      </c>
      <c r="H754">
        <f>HYPERLINK("https://booking.roadsurfer.com/es/rally/pick?pickup_date=2026-05-07&amp;return_date=2026-05-14&amp;currency=EUR&amp;startStation=12&amp;endStation=56",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Camper Cabin</t>
        </is>
      </c>
      <c r="H755">
        <f>HYPERLINK("https://booking.roadsurfer.com/es/rally/pick?pickup_date=2026-05-11&amp;return_date=2026-05-18&amp;currency=EUR&amp;startStation=12&amp;endStation=56",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Erfurt</t>
        </is>
      </c>
      <c r="E756" t="inlineStr">
        <is>
          <t>2026-05-04</t>
        </is>
      </c>
      <c r="F756" t="inlineStr">
        <is>
          <t>2026-05-11</t>
        </is>
      </c>
      <c r="G756" t="inlineStr">
        <is>
          <t xml:space="preserve"> - COUPLE COTTAGE</t>
        </is>
      </c>
      <c r="H756">
        <f>HYPERLINK("https://booking.roadsurfer.com/es/rally/pick?pickup_date=2026-05-04&amp;return_date=2026-05-11&amp;currency=EUR&amp;startStation=12&amp;endStation=90",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Erfurt</t>
        </is>
      </c>
      <c r="E757" t="inlineStr">
        <is>
          <t>2026-05-06</t>
        </is>
      </c>
      <c r="F757" t="inlineStr">
        <is>
          <t>2026-05-13</t>
        </is>
      </c>
      <c r="G757" t="inlineStr">
        <is>
          <t xml:space="preserve"> - Camper Cabin</t>
        </is>
      </c>
      <c r="H757">
        <f>HYPERLINK("https://booking.roadsurfer.com/es/rally/pick?pickup_date=2026-05-06&amp;return_date=2026-05-13&amp;currency=EUR&amp;startStation=12&amp;endStation=90",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Karlsruhe</t>
        </is>
      </c>
      <c r="E758" t="inlineStr">
        <is>
          <t>2026-05-04</t>
        </is>
      </c>
      <c r="F758" t="inlineStr">
        <is>
          <t>2026-05-11</t>
        </is>
      </c>
      <c r="G758" t="inlineStr">
        <is>
          <t xml:space="preserve"> - Camper Cabin</t>
        </is>
      </c>
      <c r="H758">
        <f>HYPERLINK("https://booking.roadsurfer.com/es/rally/pick?pickup_date=2026-05-04&amp;return_date=2026-05-11&amp;currency=EUR&amp;startStation=12&amp;endStation=110",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Karlsruhe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No hay coche</t>
        </is>
      </c>
      <c r="H759">
        <f>HYPERLINK("https://booking.roadsurfer.com/es/rally/pick?pickup_date=2026-05-11&amp;return_date=2026-05-18&amp;currency=EUR&amp;startStation=12&amp;endStation=110",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2026-05-15</t>
        </is>
      </c>
      <c r="F760" t="inlineStr">
        <is>
          <t>2026-05-22</t>
        </is>
      </c>
      <c r="G760" t="inlineStr">
        <is>
          <t xml:space="preserve"> - Road House</t>
        </is>
      </c>
      <c r="H760">
        <f>HYPERLINK("https://booking.roadsurfer.com/es/rally/pick?pickup_date=2026-05-15&amp;return_date=2026-05-22&amp;currency=EUR&amp;startStation=12&amp;endStation=110",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Tréveris</t>
        </is>
      </c>
      <c r="E761" t="inlineStr">
        <is>
          <t>2026-05-15</t>
        </is>
      </c>
      <c r="F761" t="inlineStr">
        <is>
          <t>2026-05-22</t>
        </is>
      </c>
      <c r="G761" t="inlineStr">
        <is>
          <t xml:space="preserve"> - No hay coche</t>
        </is>
      </c>
      <c r="H761">
        <f>HYPERLINK("https://booking.roadsurfer.com/es/rally/pick?pickup_date=2026-05-15&amp;return_date=2026-05-22&amp;currency=EUR&amp;startStation=12&amp;endStation=28",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Kiel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Couple Cottage</t>
        </is>
      </c>
      <c r="H762">
        <f>HYPERLINK("https://booking.roadsurfer.com/es/rally/pick?pickup_date=2026-05-11&amp;return_date=2026-05-18&amp;currency=EUR&amp;startStation=12&amp;endStation=111",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Berlín-Schönefeld</t>
        </is>
      </c>
      <c r="E763" t="inlineStr">
        <is>
          <t>2026-05-06</t>
        </is>
      </c>
      <c r="F763" t="inlineStr">
        <is>
          <t>2026-05-13</t>
        </is>
      </c>
      <c r="G763" t="inlineStr">
        <is>
          <t xml:space="preserve"> - Sunrise Suite</t>
        </is>
      </c>
      <c r="H763">
        <f>HYPERLINK("https://booking.roadsurfer.com/es/rally/pick?pickup_date=2026-05-06&amp;return_date=2026-05-13&amp;currency=EUR&amp;startStation=12&amp;endStation=51",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Berlín-Schönefeld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Sunrise Suite</t>
        </is>
      </c>
      <c r="H764">
        <f>HYPERLINK("https://booking.roadsurfer.com/es/rally/pick?pickup_date=2026-05-04&amp;return_date=2026-05-11&amp;currency=EUR&amp;startStation=12&amp;endStation=51",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Alemania</t>
        </is>
      </c>
      <c r="D765" t="inlineStr">
        <is>
          <t>Berlín</t>
        </is>
      </c>
      <c r="E765" t="inlineStr">
        <is>
          <t>2026-05-15</t>
        </is>
      </c>
      <c r="F765" t="inlineStr">
        <is>
          <t>2026-05-22</t>
        </is>
      </c>
      <c r="G765" t="inlineStr">
        <is>
          <t xml:space="preserve"> - SURFER SUITE</t>
        </is>
      </c>
      <c r="H765">
        <f>HYPERLINK("https://booking.roadsurfer.com/es/rally/pick?pickup_date=2026-05-15&amp;return_date=2026-05-22&amp;currency=EUR&amp;startStation=48&amp;endStation=6",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Aquisgrán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Beach Hostel</t>
        </is>
      </c>
      <c r="H766">
        <f>HYPERLINK("https://booking.roadsurfer.com/es/rally/pick?pickup_date=2026-05-11&amp;return_date=2026-05-18&amp;currency=EUR&amp;startStation=48&amp;endStation=114",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Aquisgrán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Road House</t>
        </is>
      </c>
      <c r="H767">
        <f>HYPERLINK("https://booking.roadsurfer.com/es/rally/pick?pickup_date=2026-05-04&amp;return_date=2026-05-11&amp;currency=EUR&amp;startStation=48&amp;endStation=114",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Alemania</t>
        </is>
      </c>
      <c r="D768" t="inlineStr">
        <is>
          <t>Aquisgrán</t>
        </is>
      </c>
      <c r="E768" t="inlineStr">
        <is>
          <t>2026-05-26</t>
        </is>
      </c>
      <c r="F768" t="inlineStr">
        <is>
          <t>2026-06-02</t>
        </is>
      </c>
      <c r="G768" t="inlineStr">
        <is>
          <t xml:space="preserve"> - Couple Cottage</t>
        </is>
      </c>
      <c r="H768">
        <f>HYPERLINK("https://booking.roadsurfer.com/es/rally/pick?pickup_date=2026-05-26&amp;return_date=2026-06-02&amp;currency=EUR&amp;startStation=48&amp;endStation=114",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Alemania</t>
        </is>
      </c>
      <c r="D769" t="inlineStr">
        <is>
          <t>Bochum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Road House</t>
        </is>
      </c>
      <c r="H769">
        <f>HYPERLINK("https://booking.roadsurfer.com/es/rally/pick?pickup_date=2026-05-11&amp;return_date=2026-05-18&amp;currency=EUR&amp;startStation=48&amp;endStation=24",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Bochum</t>
        </is>
      </c>
      <c r="E770" t="inlineStr">
        <is>
          <t>2026-05-13</t>
        </is>
      </c>
      <c r="F770" t="inlineStr">
        <is>
          <t>2026-05-20</t>
        </is>
      </c>
      <c r="G770" t="inlineStr">
        <is>
          <t xml:space="preserve"> - Camper Castle</t>
        </is>
      </c>
      <c r="H770">
        <f>HYPERLINK("https://booking.roadsurfer.com/es/rally/pick?pickup_date=2026-05-13&amp;return_date=2026-05-20&amp;currency=EUR&amp;startStation=48&amp;endStation=24",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2026-05-15</t>
        </is>
      </c>
      <c r="F771" t="inlineStr">
        <is>
          <t>2026-05-22</t>
        </is>
      </c>
      <c r="G771" t="inlineStr">
        <is>
          <t xml:space="preserve"> - Road House</t>
        </is>
      </c>
      <c r="H771">
        <f>HYPERLINK("https://booking.roadsurfer.com/es/rally/pick?pickup_date=2026-05-15&amp;return_date=2026-05-22&amp;currency=EUR&amp;startStation=48&amp;endStation=22",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Colonia-Düsseldorf</t>
        </is>
      </c>
      <c r="E772" t="inlineStr">
        <is>
          <t>2026-05-15</t>
        </is>
      </c>
      <c r="F772" t="inlineStr">
        <is>
          <t>2026-05-22</t>
        </is>
      </c>
      <c r="G772" t="inlineStr">
        <is>
          <t xml:space="preserve"> - Camper Castle</t>
        </is>
      </c>
      <c r="H772">
        <f>HYPERLINK("https://booking.roadsurfer.com/es/rally/pick?pickup_date=2026-05-15&amp;return_date=2026-05-22&amp;currency=EUR&amp;startStation=48&amp;endStation=4",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Colonia-Düsseldorf</t>
        </is>
      </c>
      <c r="E773" t="inlineStr">
        <is>
          <t>2026-05-08</t>
        </is>
      </c>
      <c r="F773" t="inlineStr">
        <is>
          <t>2026-05-15</t>
        </is>
      </c>
      <c r="G773" t="inlineStr">
        <is>
          <t xml:space="preserve"> - No hay coche</t>
        </is>
      </c>
      <c r="H773">
        <f>HYPERLINK("https://booking.roadsurfer.com/es/rally/pick?pickup_date=2026-05-08&amp;return_date=2026-05-15&amp;currency=EUR&amp;startStation=48&amp;endStation=4",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Colonia-Düsseldorf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No hay coche</t>
        </is>
      </c>
      <c r="H774">
        <f>HYPERLINK("https://booking.roadsurfer.com/es/rally/pick?pickup_date=2026-05-04&amp;return_date=2026-05-11&amp;currency=EUR&amp;startStation=48&amp;endStation=4",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Colonia-Bonn</t>
        </is>
      </c>
      <c r="E775" t="inlineStr">
        <is>
          <t>2026-05-27</t>
        </is>
      </c>
      <c r="F775" t="inlineStr">
        <is>
          <t>2026-06-03</t>
        </is>
      </c>
      <c r="G775" t="inlineStr">
        <is>
          <t xml:space="preserve"> - Couple Cottage</t>
        </is>
      </c>
      <c r="H775">
        <f>HYPERLINK("https://booking.roadsurfer.com/es/rally/pick?pickup_date=2026-05-27&amp;return_date=2026-06-03&amp;currency=EUR&amp;startStation=48&amp;endStation=52",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Dresde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Couple Cottage</t>
        </is>
      </c>
      <c r="H776">
        <f>HYPERLINK("https://booking.roadsurfer.com/es/rally/pick?pickup_date=2026-05-11&amp;return_date=2026-05-18&amp;currency=EUR&amp;startStation=48&amp;endStation=56",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Francia</t>
        </is>
      </c>
      <c r="D777" t="inlineStr">
        <is>
          <t>Ginebra-Pays de Gex (Francia)</t>
        </is>
      </c>
      <c r="E777" t="inlineStr">
        <is>
          <t>2026-06-01</t>
        </is>
      </c>
      <c r="F777" t="inlineStr">
        <is>
          <t>2026-06-08</t>
        </is>
      </c>
      <c r="G777" t="inlineStr">
        <is>
          <t xml:space="preserve"> - Cozy Cottage</t>
        </is>
      </c>
      <c r="H777">
        <f>HYPERLINK("https://booking.roadsurfer.com/es/rally/pick?pickup_date=2026-06-01&amp;return_date=2026-06-08&amp;currency=EUR&amp;startStation=48&amp;endStation=29", "Clic para verlo en la web de RoadSurfer")</f>
        <v/>
      </c>
    </row>
    <row r="778">
      <c r="A778" t="inlineStr">
        <is>
          <t>Alemania</t>
        </is>
      </c>
      <c r="B778" t="inlineStr">
        <is>
          <t>Ratisbona</t>
        </is>
      </c>
      <c r="C778" t="inlineStr">
        <is>
          <t>Alemania</t>
        </is>
      </c>
      <c r="D778" t="inlineStr">
        <is>
          <t>Karlsruhe</t>
        </is>
      </c>
      <c r="E778" t="inlineStr">
        <is>
          <t>2026-04-23</t>
        </is>
      </c>
      <c r="F778" t="inlineStr">
        <is>
          <t>2026-04-30</t>
        </is>
      </c>
      <c r="G778" t="inlineStr">
        <is>
          <t xml:space="preserve"> - SURFER SUITE</t>
        </is>
      </c>
      <c r="H778">
        <f>HYPERLINK("https://booking.roadsurfer.com/es/rally/pick?pickup_date=2026-04-23&amp;return_date=2026-04-30&amp;currency=EUR&amp;startStation=89&amp;endStation=110", "Clic para verlo en la web de RoadSurfer")</f>
        <v/>
      </c>
    </row>
    <row r="779">
      <c r="A779" t="inlineStr">
        <is>
          <t>Alemania</t>
        </is>
      </c>
      <c r="B779" t="inlineStr">
        <is>
          <t>Ratisbona</t>
        </is>
      </c>
      <c r="C779" t="inlineStr">
        <is>
          <t>Alemania</t>
        </is>
      </c>
      <c r="D779" t="inlineStr">
        <is>
          <t>Karlsruhe</t>
        </is>
      </c>
      <c r="E779" t="inlineStr">
        <is>
          <t>2026-04-27</t>
        </is>
      </c>
      <c r="F779" t="inlineStr">
        <is>
          <t>2026-05-04</t>
        </is>
      </c>
      <c r="G779" t="inlineStr">
        <is>
          <t xml:space="preserve"> - Surfer Suite</t>
        </is>
      </c>
      <c r="H779">
        <f>HYPERLINK("https://booking.roadsurfer.com/es/rally/pick?pickup_date=2026-04-27&amp;return_date=2026-05-04&amp;currency=EUR&amp;startStation=89&amp;endStation=110", "Clic para verlo en la web de RoadSurfer")</f>
        <v/>
      </c>
    </row>
    <row r="780">
      <c r="A780" t="inlineStr">
        <is>
          <t>Italia</t>
        </is>
      </c>
      <c r="B780" t="inlineStr">
        <is>
          <t>Roma Aeropuerto Fiumicino</t>
        </is>
      </c>
      <c r="C780" t="inlineStr">
        <is>
          <t>Alemania</t>
        </is>
      </c>
      <c r="D780" t="inlineStr">
        <is>
          <t>Lindau-Wangen</t>
        </is>
      </c>
      <c r="E780" t="inlineStr">
        <is>
          <t>2026-05-18</t>
        </is>
      </c>
      <c r="F780" t="inlineStr">
        <is>
          <t>2026-05-25</t>
        </is>
      </c>
      <c r="G780" t="inlineStr">
        <is>
          <t xml:space="preserve"> - No hay coche</t>
        </is>
      </c>
      <c r="H780">
        <f>HYPERLINK("https://booking.roadsurfer.com/es/rally/pick?pickup_date=2026-05-18&amp;return_date=2026-05-25&amp;currency=EUR&amp;startStation=35&amp;endStation=117",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Lindau-Wangen</t>
        </is>
      </c>
      <c r="E781" t="inlineStr">
        <is>
          <t>2026-05-30</t>
        </is>
      </c>
      <c r="F781" t="inlineStr">
        <is>
          <t>2026-06-06</t>
        </is>
      </c>
      <c r="G781" t="inlineStr">
        <is>
          <t xml:space="preserve"> - Couple Cottage</t>
        </is>
      </c>
      <c r="H781">
        <f>HYPERLINK("https://booking.roadsurfer.com/es/rally/pick?pickup_date=2026-05-30&amp;return_date=2026-06-06&amp;currency=EUR&amp;startStation=35&amp;endStation=117", "Clic para verlo en la web de RoadSurfer")</f>
        <v/>
      </c>
    </row>
    <row r="782">
      <c r="A782" t="inlineStr">
        <is>
          <t>Italia</t>
        </is>
      </c>
      <c r="B782" t="inlineStr">
        <is>
          <t>Roma Aeropuerto Fiumicino</t>
        </is>
      </c>
      <c r="C782" t="inlineStr">
        <is>
          <t>Alemania</t>
        </is>
      </c>
      <c r="D782" t="inlineStr">
        <is>
          <t>Wurzburgo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ROAD HOUSE - COUPLE COTTAGE</t>
        </is>
      </c>
      <c r="H782">
        <f>HYPERLINK("https://booking.roadsurfer.com/es/rally/pick?pickup_date=2026-05-11&amp;return_date=2026-05-18&amp;currency=EUR&amp;startStation=35&amp;endStation=115",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Wurzburgo</t>
        </is>
      </c>
      <c r="E783" t="inlineStr">
        <is>
          <t>2026-05-15</t>
        </is>
      </c>
      <c r="F783" t="inlineStr">
        <is>
          <t>2026-05-22</t>
        </is>
      </c>
      <c r="G783" t="inlineStr">
        <is>
          <t xml:space="preserve"> - Beach Hostel</t>
        </is>
      </c>
      <c r="H783">
        <f>HYPERLINK("https://booking.roadsurfer.com/es/rally/pick?pickup_date=2026-05-15&amp;return_date=2026-05-22&amp;currency=EUR&amp;startStation=35&amp;endStation=115",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Augsburgo</t>
        </is>
      </c>
      <c r="E784" t="inlineStr">
        <is>
          <t>2026-05-15</t>
        </is>
      </c>
      <c r="F784" t="inlineStr">
        <is>
          <t>2026-05-22</t>
        </is>
      </c>
      <c r="G784" t="inlineStr">
        <is>
          <t xml:space="preserve"> - Road House</t>
        </is>
      </c>
      <c r="H784">
        <f>HYPERLINK("https://booking.roadsurfer.com/es/rally/pick?pickup_date=2026-05-15&amp;return_date=2026-05-22&amp;currency=EUR&amp;startStation=35&amp;endStation=108", "Clic para verlo en la web de RoadSurfer")</f>
        <v/>
      </c>
    </row>
    <row r="785">
      <c r="A785" t="inlineStr">
        <is>
          <t>Italia</t>
        </is>
      </c>
      <c r="B785" t="inlineStr">
        <is>
          <t>Roma Aeropuerto Fiumicino</t>
        </is>
      </c>
      <c r="C785" t="inlineStr">
        <is>
          <t>Alemania</t>
        </is>
      </c>
      <c r="D785" t="inlineStr">
        <is>
          <t>Augsburgo</t>
        </is>
      </c>
      <c r="E785" t="inlineStr">
        <is>
          <t>2026-05-11</t>
        </is>
      </c>
      <c r="F785" t="inlineStr">
        <is>
          <t>2026-05-18</t>
        </is>
      </c>
      <c r="G785" t="inlineStr">
        <is>
          <t xml:space="preserve"> - Road House</t>
        </is>
      </c>
      <c r="H785">
        <f>HYPERLINK("https://booking.roadsurfer.com/es/rally/pick?pickup_date=2026-05-11&amp;return_date=2026-05-18&amp;currency=EUR&amp;startStation=35&amp;endStation=108", "Clic para verlo en la web de RoadSurfer")</f>
        <v/>
      </c>
    </row>
    <row r="786">
      <c r="A786" t="inlineStr">
        <is>
          <t>Italia</t>
        </is>
      </c>
      <c r="B786" t="inlineStr">
        <is>
          <t>Roma Aeropuerto Fiumicino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2026-05-15</t>
        </is>
      </c>
      <c r="F786" t="inlineStr">
        <is>
          <t>2026-05-22</t>
        </is>
      </c>
      <c r="G786" t="inlineStr">
        <is>
          <t xml:space="preserve"> - Camper Castle</t>
        </is>
      </c>
      <c r="H786">
        <f>HYPERLINK("https://booking.roadsurfer.com/es/rally/pick?pickup_date=2026-05-15&amp;return_date=2026-05-22&amp;currency=EUR&amp;startStation=35&amp;endStation=1",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Múnich</t>
        </is>
      </c>
      <c r="E787" t="inlineStr">
        <is>
          <t>2026-05-13</t>
        </is>
      </c>
      <c r="F787" t="inlineStr">
        <is>
          <t>2026-05-20</t>
        </is>
      </c>
      <c r="G787" t="inlineStr">
        <is>
          <t xml:space="preserve"> - Road House</t>
        </is>
      </c>
      <c r="H787">
        <f>HYPERLINK("https://booking.roadsurfer.com/es/rally/pick?pickup_date=2026-05-13&amp;return_date=2026-05-20&amp;currency=EUR&amp;startStation=35&amp;endStation=1",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Núremberg</t>
        </is>
      </c>
      <c r="E788" t="inlineStr">
        <is>
          <t>2026-05-18</t>
        </is>
      </c>
      <c r="F788" t="inlineStr">
        <is>
          <t>2026-05-25</t>
        </is>
      </c>
      <c r="G788" t="inlineStr">
        <is>
          <t xml:space="preserve"> - No hay coche</t>
        </is>
      </c>
      <c r="H788">
        <f>HYPERLINK("https://booking.roadsurfer.com/es/rally/pick?pickup_date=2026-05-18&amp;return_date=2026-05-25&amp;currency=EUR&amp;startStation=35&amp;endStation=11",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Núremberg</t>
        </is>
      </c>
      <c r="E789" t="inlineStr">
        <is>
          <t>2026-05-19</t>
        </is>
      </c>
      <c r="F789" t="inlineStr">
        <is>
          <t>2026-05-26</t>
        </is>
      </c>
      <c r="G789" t="inlineStr">
        <is>
          <t xml:space="preserve"> - Camper Castle</t>
        </is>
      </c>
      <c r="H789">
        <f>HYPERLINK("https://booking.roadsurfer.com/es/rally/pick?pickup_date=2026-05-19&amp;return_date=2026-05-26&amp;currency=EUR&amp;startStation=35&amp;endStation=11",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2026-04-09</t>
        </is>
      </c>
      <c r="F790" t="inlineStr">
        <is>
          <t>2026-04-16</t>
        </is>
      </c>
      <c r="G790" t="inlineStr">
        <is>
          <t xml:space="preserve"> - Couple Cottage</t>
        </is>
      </c>
      <c r="H790">
        <f>HYPERLINK("https://booking.roadsurfer.com/es/rally/pick?pickup_date=2026-04-09&amp;return_date=2026-04-16&amp;currency=EUR&amp;startStation=35&amp;endStation=22", "Clic para verlo en la web de RoadSurfer")</f>
        <v/>
      </c>
    </row>
    <row r="791">
      <c r="A791" t="inlineStr">
        <is>
          <t>Italia</t>
        </is>
      </c>
      <c r="B791" t="inlineStr">
        <is>
          <t>Roma Aeropuerto Fiumicino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2026-04-14</t>
        </is>
      </c>
      <c r="F791" t="inlineStr">
        <is>
          <t>2026-04-21</t>
        </is>
      </c>
      <c r="G791" t="inlineStr">
        <is>
          <t xml:space="preserve"> - No hay coche</t>
        </is>
      </c>
      <c r="H791">
        <f>HYPERLINK("https://booking.roadsurfer.com/es/rally/pick?pickup_date=2026-04-14&amp;return_date=2026-04-21&amp;currency=EUR&amp;startStation=35&amp;endStation=22", "Clic para verlo en la web de RoadSurfer")</f>
        <v/>
      </c>
    </row>
    <row r="792">
      <c r="A792" t="inlineStr">
        <is>
          <t>Austria</t>
        </is>
      </c>
      <c r="B792" t="inlineStr">
        <is>
          <t>Salzburgo</t>
        </is>
      </c>
      <c r="C792" t="inlineStr">
        <is>
          <t>Alemania</t>
        </is>
      </c>
      <c r="D792" t="inlineStr">
        <is>
          <t>Colonia-Bonn</t>
        </is>
      </c>
      <c r="E792" t="inlineStr">
        <is>
          <t>2026-04-13</t>
        </is>
      </c>
      <c r="F792" t="inlineStr">
        <is>
          <t>2026-04-16</t>
        </is>
      </c>
      <c r="G792" t="inlineStr">
        <is>
          <t xml:space="preserve"> - Cozy Cottage</t>
        </is>
      </c>
      <c r="H792">
        <f>HYPERLINK("https://booking.roadsurfer.com/es/rally/pick?pickup_date=2026-04-13&amp;return_date=2026-04-16&amp;currency=EUR&amp;startStation=85&amp;endStation=52", "Clic para verlo en la web de RoadSurfer")</f>
        <v/>
      </c>
    </row>
    <row r="793">
      <c r="A793" t="inlineStr">
        <is>
          <t>España</t>
        </is>
      </c>
      <c r="B793" t="inlineStr">
        <is>
          <t>Sevilla</t>
        </is>
      </c>
      <c r="C793" t="inlineStr">
        <is>
          <t>Alemania</t>
        </is>
      </c>
      <c r="D793" t="inlineStr">
        <is>
          <t>Ulm</t>
        </is>
      </c>
      <c r="E793" t="inlineStr">
        <is>
          <t>2026-04-27</t>
        </is>
      </c>
      <c r="F793" t="inlineStr">
        <is>
          <t>2026-05-04</t>
        </is>
      </c>
      <c r="G793" t="inlineStr">
        <is>
          <t xml:space="preserve"> - Beach Hostel</t>
        </is>
      </c>
      <c r="H793">
        <f>HYPERLINK("https://booking.roadsurfer.com/es/rally/pick?pickup_date=2026-04-27&amp;return_date=2026-05-04&amp;currency=EUR&amp;startStation=39&amp;endStation=112", "Clic para verlo en la web de RoadSurfer")</f>
        <v/>
      </c>
    </row>
    <row r="794">
      <c r="A794" t="inlineStr">
        <is>
          <t>España</t>
        </is>
      </c>
      <c r="B794" t="inlineStr">
        <is>
          <t>Sevilla</t>
        </is>
      </c>
      <c r="C794" t="inlineStr">
        <is>
          <t>Alemania</t>
        </is>
      </c>
      <c r="D794" t="inlineStr">
        <is>
          <t>Karlsruhe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Beach Hostel</t>
        </is>
      </c>
      <c r="H794">
        <f>HYPERLINK("https://booking.roadsurfer.com/es/rally/pick?pickup_date=2026-04-27&amp;return_date=2026-05-04&amp;currency=EUR&amp;startStation=39&amp;endStation=110", "Clic para verlo en la web de RoadSurfer")</f>
        <v/>
      </c>
    </row>
    <row r="795">
      <c r="A795" t="inlineStr">
        <is>
          <t>España</t>
        </is>
      </c>
      <c r="B795" t="inlineStr">
        <is>
          <t>Sevilla</t>
        </is>
      </c>
      <c r="C795" t="inlineStr">
        <is>
          <t>Alemania</t>
        </is>
      </c>
      <c r="D795" t="inlineStr">
        <is>
          <t>Stuttgart</t>
        </is>
      </c>
      <c r="E795" t="inlineStr">
        <is>
          <t>2026-05-06</t>
        </is>
      </c>
      <c r="F795" t="inlineStr">
        <is>
          <t>2026-05-13</t>
        </is>
      </c>
      <c r="G795" t="inlineStr">
        <is>
          <t xml:space="preserve"> - Road House</t>
        </is>
      </c>
      <c r="H795">
        <f>HYPERLINK("https://booking.roadsurfer.com/es/rally/pick?pickup_date=2026-05-06&amp;return_date=2026-05-13&amp;currency=EUR&amp;startStation=39&amp;endStation=5", "Clic para verlo en la web de RoadSurfer")</f>
        <v/>
      </c>
    </row>
    <row r="796">
      <c r="A796" t="inlineStr">
        <is>
          <t>España</t>
        </is>
      </c>
      <c r="B796" t="inlineStr">
        <is>
          <t>Sevilla</t>
        </is>
      </c>
      <c r="C796" t="inlineStr">
        <is>
          <t>Alemania</t>
        </is>
      </c>
      <c r="D796" t="inlineStr">
        <is>
          <t>Stuttgart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Camper Castle</t>
        </is>
      </c>
      <c r="H796">
        <f>HYPERLINK("https://booking.roadsurfer.com/es/rally/pick?pickup_date=2026-05-11&amp;return_date=2026-05-18&amp;currency=EUR&amp;startStation=39&amp;endStation=5", "Clic para verlo en la web de RoadSurfer")</f>
        <v/>
      </c>
    </row>
    <row r="797">
      <c r="A797" t="inlineStr">
        <is>
          <t>España</t>
        </is>
      </c>
      <c r="B797" t="inlineStr">
        <is>
          <t>Sevilla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2026-04-18</t>
        </is>
      </c>
      <c r="F797" t="inlineStr">
        <is>
          <t>2026-04-25</t>
        </is>
      </c>
      <c r="G797" t="inlineStr">
        <is>
          <t xml:space="preserve"> - No hay coche</t>
        </is>
      </c>
      <c r="H797">
        <f>HYPERLINK("https://booking.roadsurfer.com/es/rally/pick?pickup_date=2026-04-18&amp;return_date=2026-04-25&amp;currency=EUR&amp;startStation=39&amp;endStation=22", "Clic para verlo en la web de RoadSurfer")</f>
        <v/>
      </c>
    </row>
    <row r="798">
      <c r="A798" t="inlineStr">
        <is>
          <t>España</t>
        </is>
      </c>
      <c r="B798" t="inlineStr">
        <is>
          <t>Sevilla</t>
        </is>
      </c>
      <c r="C798" t="inlineStr">
        <is>
          <t>Alemania</t>
        </is>
      </c>
      <c r="D798" t="inlineStr">
        <is>
          <t>Tréveris</t>
        </is>
      </c>
      <c r="E798" t="inlineStr">
        <is>
          <t>2026-05-15</t>
        </is>
      </c>
      <c r="F798" t="inlineStr">
        <is>
          <t>2026-05-22</t>
        </is>
      </c>
      <c r="G798" t="inlineStr">
        <is>
          <t xml:space="preserve"> - No hay coche</t>
        </is>
      </c>
      <c r="H798">
        <f>HYPERLINK("https://booking.roadsurfer.com/es/rally/pick?pickup_date=2026-05-15&amp;return_date=2026-05-22&amp;currency=EUR&amp;startStation=39&amp;endStation=28", "Clic para verlo en la web de RoadSurfer")</f>
        <v/>
      </c>
    </row>
    <row r="799">
      <c r="A799" t="inlineStr">
        <is>
          <t>España</t>
        </is>
      </c>
      <c r="B799" t="inlineStr">
        <is>
          <t>Sevilla</t>
        </is>
      </c>
      <c r="C799" t="inlineStr">
        <is>
          <t>Alemania</t>
        </is>
      </c>
      <c r="D799" t="inlineStr">
        <is>
          <t>Tréveris</t>
        </is>
      </c>
      <c r="E799" t="inlineStr">
        <is>
          <t>2026-05-16</t>
        </is>
      </c>
      <c r="F799" t="inlineStr">
        <is>
          <t>2026-05-23</t>
        </is>
      </c>
      <c r="G799" t="inlineStr">
        <is>
          <t xml:space="preserve"> - Couple Cottage</t>
        </is>
      </c>
      <c r="H799">
        <f>HYPERLINK("https://booking.roadsurfer.com/es/rally/pick?pickup_date=2026-05-16&amp;return_date=2026-05-23&amp;currency=EUR&amp;startStation=39&amp;endStation=28", "Clic para verlo en la web de RoadSurfer")</f>
        <v/>
      </c>
    </row>
    <row r="800">
      <c r="A800" t="inlineStr">
        <is>
          <t>España</t>
        </is>
      </c>
      <c r="B800" t="inlineStr">
        <is>
          <t>Sevilla</t>
        </is>
      </c>
      <c r="C800" t="inlineStr">
        <is>
          <t>Alemania</t>
        </is>
      </c>
      <c r="D800" t="inlineStr">
        <is>
          <t>Múnich</t>
        </is>
      </c>
      <c r="E800" t="inlineStr">
        <is>
          <t>2026-05-07</t>
        </is>
      </c>
      <c r="F800" t="inlineStr">
        <is>
          <t>2026-05-14</t>
        </is>
      </c>
      <c r="G800" t="inlineStr">
        <is>
          <t xml:space="preserve"> - No hay coche</t>
        </is>
      </c>
      <c r="H800">
        <f>HYPERLINK("https://booking.roadsurfer.com/es/rally/pick?pickup_date=2026-05-07&amp;return_date=2026-05-14&amp;currency=EUR&amp;startStation=39&amp;endStation=1", "Clic para verlo en la web de RoadSurfer")</f>
        <v/>
      </c>
    </row>
    <row r="801">
      <c r="A801" t="inlineStr">
        <is>
          <t>España</t>
        </is>
      </c>
      <c r="B801" t="inlineStr">
        <is>
          <t>Sevilla</t>
        </is>
      </c>
      <c r="C801" t="inlineStr">
        <is>
          <t>Alemania</t>
        </is>
      </c>
      <c r="D801" t="inlineStr">
        <is>
          <t>Berlín-Schönefeld</t>
        </is>
      </c>
      <c r="E801" t="inlineStr">
        <is>
          <t>2026-04-30</t>
        </is>
      </c>
      <c r="F801" t="inlineStr">
        <is>
          <t>2026-05-07</t>
        </is>
      </c>
      <c r="G801" t="inlineStr">
        <is>
          <t xml:space="preserve"> - Cozy Cottage</t>
        </is>
      </c>
      <c r="H801">
        <f>HYPERLINK("https://booking.roadsurfer.com/es/rally/pick?pickup_date=2026-04-30&amp;return_date=2026-05-07&amp;currency=EUR&amp;startStation=39&amp;endStation=51", "Clic para verlo en la web de RoadSurfer")</f>
        <v/>
      </c>
    </row>
    <row r="802">
      <c r="A802" t="inlineStr">
        <is>
          <t>España</t>
        </is>
      </c>
      <c r="B802" t="inlineStr">
        <is>
          <t>Sevilla</t>
        </is>
      </c>
      <c r="C802" t="inlineStr">
        <is>
          <t>Alemania</t>
        </is>
      </c>
      <c r="D802" t="inlineStr">
        <is>
          <t>Fráncfort</t>
        </is>
      </c>
      <c r="E802" t="inlineStr">
        <is>
          <t>2026-04-09</t>
        </is>
      </c>
      <c r="F802" t="inlineStr">
        <is>
          <t>2026-04-16</t>
        </is>
      </c>
      <c r="G802" t="inlineStr">
        <is>
          <t xml:space="preserve"> - Cozy Cottage</t>
        </is>
      </c>
      <c r="H802">
        <f>HYPERLINK("https://booking.roadsurfer.com/es/rally/pick?pickup_date=2026-04-09&amp;return_date=2026-04-16&amp;currency=EUR&amp;startStation=39&amp;endStation=2",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Karlsruhe</t>
        </is>
      </c>
      <c r="E803" t="inlineStr">
        <is>
          <t>2026-04-14</t>
        </is>
      </c>
      <c r="F803" t="inlineStr">
        <is>
          <t>2026-04-21</t>
        </is>
      </c>
      <c r="G803" t="inlineStr">
        <is>
          <t xml:space="preserve"> - Camper Castle</t>
        </is>
      </c>
      <c r="H803">
        <f>HYPERLINK("https://booking.roadsurfer.com/es/rally/pick?pickup_date=2026-04-14&amp;return_date=2026-04-21&amp;currency=EUR&amp;startStation=59&amp;endStation=110",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Karlsruhe</t>
        </is>
      </c>
      <c r="E804" t="inlineStr">
        <is>
          <t>2026-04-08</t>
        </is>
      </c>
      <c r="F804" t="inlineStr">
        <is>
          <t>2026-04-15</t>
        </is>
      </c>
      <c r="G804" t="inlineStr">
        <is>
          <t xml:space="preserve"> - Camper Castle</t>
        </is>
      </c>
      <c r="H804">
        <f>HYPERLINK("https://booking.roadsurfer.com/es/rally/pick?pickup_date=2026-04-08&amp;return_date=2026-04-15&amp;currency=EUR&amp;startStation=59&amp;endStation=110",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Karlsruhe</t>
        </is>
      </c>
      <c r="E805" t="inlineStr">
        <is>
          <t>2026-04-13</t>
        </is>
      </c>
      <c r="F805" t="inlineStr">
        <is>
          <t>2026-04-20</t>
        </is>
      </c>
      <c r="G805" t="inlineStr">
        <is>
          <t xml:space="preserve"> - Surfer Suite</t>
        </is>
      </c>
      <c r="H805">
        <f>HYPERLINK("https://booking.roadsurfer.com/es/rally/pick?pickup_date=2026-04-13&amp;return_date=2026-04-20&amp;currency=EUR&amp;startStation=59&amp;endStation=110",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Múnich</t>
        </is>
      </c>
      <c r="E806" t="inlineStr">
        <is>
          <t>2026-04-08</t>
        </is>
      </c>
      <c r="F806" t="inlineStr">
        <is>
          <t>2026-04-15</t>
        </is>
      </c>
      <c r="G806" t="inlineStr">
        <is>
          <t xml:space="preserve"> - Surfer Suite</t>
        </is>
      </c>
      <c r="H806">
        <f>HYPERLINK("https://booking.roadsurfer.com/es/rally/pick?pickup_date=2026-04-08&amp;return_date=2026-04-15&amp;currency=EUR&amp;startStation=59&amp;endStation=1",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Bochum</t>
        </is>
      </c>
      <c r="E807" t="inlineStr">
        <is>
          <t>2026-04-07</t>
        </is>
      </c>
      <c r="F807" t="inlineStr">
        <is>
          <t>2026-04-14</t>
        </is>
      </c>
      <c r="G807" t="inlineStr">
        <is>
          <t xml:space="preserve"> - Surfer Suite</t>
        </is>
      </c>
      <c r="H807">
        <f>HYPERLINK("https://booking.roadsurfer.com/es/rally/pick?pickup_date=2026-04-07&amp;return_date=2026-04-14&amp;currency=EUR&amp;startStation=59&amp;endStation=24",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Berlín</t>
        </is>
      </c>
      <c r="E808" t="inlineStr">
        <is>
          <t>2026-05-06</t>
        </is>
      </c>
      <c r="F808" t="inlineStr">
        <is>
          <t>2026-05-13</t>
        </is>
      </c>
      <c r="G808" t="inlineStr">
        <is>
          <t xml:space="preserve"> - Road House</t>
        </is>
      </c>
      <c r="H808">
        <f>HYPERLINK("https://booking.roadsurfer.com/es/rally/pick?pickup_date=2026-05-06&amp;return_date=2026-05-13&amp;currency=EUR&amp;startStation=59&amp;endStation=6",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Berlín</t>
        </is>
      </c>
      <c r="E809" t="inlineStr">
        <is>
          <t>2026-05-08</t>
        </is>
      </c>
      <c r="F809" t="inlineStr">
        <is>
          <t>2026-05-15</t>
        </is>
      </c>
      <c r="G809" t="inlineStr">
        <is>
          <t xml:space="preserve"> - Cozy Cottage</t>
        </is>
      </c>
      <c r="H809">
        <f>HYPERLINK("https://booking.roadsurfer.com/es/rally/pick?pickup_date=2026-05-08&amp;return_date=2026-05-15&amp;currency=EUR&amp;startStation=59&amp;endStation=6",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Sunrise Suite</t>
        </is>
      </c>
      <c r="H810">
        <f>HYPERLINK("https://booking.roadsurfer.com/es/rally/pick?pickup_date=2026-05-11&amp;return_date=2026-05-18&amp;currency=EUR&amp;startStation=59&amp;endStation=6",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</t>
        </is>
      </c>
      <c r="E811" t="inlineStr">
        <is>
          <t>2026-05-14</t>
        </is>
      </c>
      <c r="F811" t="inlineStr">
        <is>
          <t>2026-05-21</t>
        </is>
      </c>
      <c r="G811" t="inlineStr">
        <is>
          <t xml:space="preserve"> - No hay coche</t>
        </is>
      </c>
      <c r="H811">
        <f>HYPERLINK("https://booking.roadsurfer.com/es/rally/pick?pickup_date=2026-05-14&amp;return_date=2026-05-21&amp;currency=EUR&amp;startStation=59&amp;endStation=6",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</t>
        </is>
      </c>
      <c r="E812" t="inlineStr">
        <is>
          <t>2026-05-15</t>
        </is>
      </c>
      <c r="F812" t="inlineStr">
        <is>
          <t>2026-05-22</t>
        </is>
      </c>
      <c r="G812" t="inlineStr">
        <is>
          <t xml:space="preserve"> - Cozy Cottage</t>
        </is>
      </c>
      <c r="H812">
        <f>HYPERLINK("https://booking.roadsurfer.com/es/rally/pick?pickup_date=2026-05-15&amp;return_date=2026-05-22&amp;currency=EUR&amp;startStation=59&amp;endStation=6",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</t>
        </is>
      </c>
      <c r="E813" t="inlineStr">
        <is>
          <t>2026-05-19</t>
        </is>
      </c>
      <c r="F813" t="inlineStr">
        <is>
          <t>2026-05-26</t>
        </is>
      </c>
      <c r="G813" t="inlineStr">
        <is>
          <t xml:space="preserve"> - Family Finca</t>
        </is>
      </c>
      <c r="H813">
        <f>HYPERLINK("https://booking.roadsurfer.com/es/rally/pick?pickup_date=2026-05-19&amp;return_date=2026-05-26&amp;currency=EUR&amp;startStation=59&amp;endStation=6",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</t>
        </is>
      </c>
      <c r="E814" t="inlineStr">
        <is>
          <t>2026-04-10</t>
        </is>
      </c>
      <c r="F814" t="inlineStr">
        <is>
          <t>2026-04-17</t>
        </is>
      </c>
      <c r="G814" t="inlineStr">
        <is>
          <t xml:space="preserve"> - Surfer Suite</t>
        </is>
      </c>
      <c r="H814">
        <f>HYPERLINK("https://booking.roadsurfer.com/es/rally/pick?pickup_date=2026-04-10&amp;return_date=2026-04-17&amp;currency=EUR&amp;startStation=59&amp;endStation=6",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Ratisbona</t>
        </is>
      </c>
      <c r="E815" t="inlineStr">
        <is>
          <t>2026-04-08</t>
        </is>
      </c>
      <c r="F815" t="inlineStr">
        <is>
          <t>2026-04-15</t>
        </is>
      </c>
      <c r="G815" t="inlineStr">
        <is>
          <t xml:space="preserve"> - No hay coche</t>
        </is>
      </c>
      <c r="H815">
        <f>HYPERLINK("https://booking.roadsurfer.com/es/rally/pick?pickup_date=2026-04-08&amp;return_date=2026-04-15&amp;currency=EUR&amp;startStation=59&amp;endStation=89",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Ratisbona</t>
        </is>
      </c>
      <c r="E816" t="inlineStr">
        <is>
          <t>2026-04-07</t>
        </is>
      </c>
      <c r="F816" t="inlineStr">
        <is>
          <t>2026-04-14</t>
        </is>
      </c>
      <c r="G816" t="inlineStr">
        <is>
          <t xml:space="preserve"> - Surfer Suite</t>
        </is>
      </c>
      <c r="H816">
        <f>HYPERLINK("https://booking.roadsurfer.com/es/rally/pick?pickup_date=2026-04-07&amp;return_date=2026-04-14&amp;currency=EUR&amp;startStation=59&amp;endStation=89",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Ratisbona</t>
        </is>
      </c>
      <c r="E817" t="inlineStr">
        <is>
          <t>2026-04-14</t>
        </is>
      </c>
      <c r="F817" t="inlineStr">
        <is>
          <t>2026-04-21</t>
        </is>
      </c>
      <c r="G817" t="inlineStr">
        <is>
          <t xml:space="preserve"> - Surfer Suite</t>
        </is>
      </c>
      <c r="H817">
        <f>HYPERLINK("https://booking.roadsurfer.com/es/rally/pick?pickup_date=2026-04-14&amp;return_date=2026-04-21&amp;currency=EUR&amp;startStation=59&amp;endStation=89",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Maguncia</t>
        </is>
      </c>
      <c r="E818" t="inlineStr">
        <is>
          <t>2026-04-13</t>
        </is>
      </c>
      <c r="F818" t="inlineStr">
        <is>
          <t>2026-04-20</t>
        </is>
      </c>
      <c r="G818" t="inlineStr">
        <is>
          <t xml:space="preserve"> - Surfer Suite</t>
        </is>
      </c>
      <c r="H818">
        <f>HYPERLINK("https://booking.roadsurfer.com/es/rally/pick?pickup_date=2026-04-13&amp;return_date=2026-04-20&amp;currency=EUR&amp;startStation=59&amp;endStation=54",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2026-04-09</t>
        </is>
      </c>
      <c r="F819" t="inlineStr">
        <is>
          <t>2026-04-16</t>
        </is>
      </c>
      <c r="G819" t="inlineStr">
        <is>
          <t xml:space="preserve"> - Surfer Suite - Camper Castle</t>
        </is>
      </c>
      <c r="H819">
        <f>HYPERLINK("https://booking.roadsurfer.com/es/rally/pick?pickup_date=2026-04-09&amp;return_date=2026-04-16&amp;currency=EUR&amp;startStation=59&amp;endStation=22",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2026-04-08</t>
        </is>
      </c>
      <c r="F820" t="inlineStr">
        <is>
          <t>2026-04-15</t>
        </is>
      </c>
      <c r="G820" t="inlineStr">
        <is>
          <t xml:space="preserve"> - Sunrise Suite</t>
        </is>
      </c>
      <c r="H820">
        <f>HYPERLINK("https://booking.roadsurfer.com/es/rally/pick?pickup_date=2026-04-08&amp;return_date=2026-04-15&amp;currency=EUR&amp;startStation=59&amp;endStation=22",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2026-04-10</t>
        </is>
      </c>
      <c r="F821" t="inlineStr">
        <is>
          <t>2026-04-17</t>
        </is>
      </c>
      <c r="G821" t="inlineStr">
        <is>
          <t xml:space="preserve"> - Family Finca - Sunrise Suite</t>
        </is>
      </c>
      <c r="H821">
        <f>HYPERLINK("https://booking.roadsurfer.com/es/rally/pick?pickup_date=2026-04-10&amp;return_date=2026-04-17&amp;currency=EUR&amp;startStation=59&amp;endStation=22",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2026-04-20</t>
        </is>
      </c>
      <c r="F822" t="inlineStr">
        <is>
          <t>2026-04-27</t>
        </is>
      </c>
      <c r="G822" t="inlineStr">
        <is>
          <t xml:space="preserve"> - Camper Castle</t>
        </is>
      </c>
      <c r="H822">
        <f>HYPERLINK("https://booking.roadsurfer.com/es/rally/pick?pickup_date=2026-04-20&amp;return_date=2026-04-27&amp;currency=EUR&amp;startStation=59&amp;endStation=22",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2026-04-17</t>
        </is>
      </c>
      <c r="F823" t="inlineStr">
        <is>
          <t>2026-04-24</t>
        </is>
      </c>
      <c r="G823" t="inlineStr">
        <is>
          <t xml:space="preserve"> - Couple Cottage</t>
        </is>
      </c>
      <c r="H823">
        <f>HYPERLINK("https://booking.roadsurfer.com/es/rally/pick?pickup_date=2026-04-17&amp;return_date=2026-04-24&amp;currency=EUR&amp;startStation=59&amp;endStation=22",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Núremberg</t>
        </is>
      </c>
      <c r="E824" t="inlineStr">
        <is>
          <t>2026-04-08</t>
        </is>
      </c>
      <c r="F824" t="inlineStr">
        <is>
          <t>2026-04-15</t>
        </is>
      </c>
      <c r="G824" t="inlineStr">
        <is>
          <t xml:space="preserve"> - Surfer Suite</t>
        </is>
      </c>
      <c r="H824">
        <f>HYPERLINK("https://booking.roadsurfer.com/es/rally/pick?pickup_date=2026-04-08&amp;return_date=2026-04-15&amp;currency=EUR&amp;startStation=59&amp;endStation=11",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2026-04-10</t>
        </is>
      </c>
      <c r="F825" t="inlineStr">
        <is>
          <t>2026-04-17</t>
        </is>
      </c>
      <c r="G825" t="inlineStr">
        <is>
          <t xml:space="preserve"> - Surfer Suite</t>
        </is>
      </c>
      <c r="H825">
        <f>HYPERLINK("https://booking.roadsurfer.com/es/rally/pick?pickup_date=2026-04-10&amp;return_date=2026-04-17&amp;currency=EUR&amp;startStation=59&amp;endStation=11",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Núremberg</t>
        </is>
      </c>
      <c r="E826" t="inlineStr">
        <is>
          <t>2026-04-27</t>
        </is>
      </c>
      <c r="F826" t="inlineStr">
        <is>
          <t>2026-05-04</t>
        </is>
      </c>
      <c r="G826" t="inlineStr">
        <is>
          <t xml:space="preserve"> - Beach Hostel</t>
        </is>
      </c>
      <c r="H826">
        <f>HYPERLINK("https://booking.roadsurfer.com/es/rally/pick?pickup_date=2026-04-27&amp;return_date=2026-05-04&amp;currency=EUR&amp;startStation=59&amp;endStation=11",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2026-04-14</t>
        </is>
      </c>
      <c r="F827" t="inlineStr">
        <is>
          <t>2026-04-21</t>
        </is>
      </c>
      <c r="G827" t="inlineStr">
        <is>
          <t xml:space="preserve"> - Couple Cottage</t>
        </is>
      </c>
      <c r="H827">
        <f>HYPERLINK("https://booking.roadsurfer.com/es/rally/pick?pickup_date=2026-04-14&amp;return_date=2026-04-21&amp;currency=EUR&amp;startStation=59&amp;endStation=90",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2026-04-09</t>
        </is>
      </c>
      <c r="F828" t="inlineStr">
        <is>
          <t>2026-04-16</t>
        </is>
      </c>
      <c r="G828" t="inlineStr">
        <is>
          <t xml:space="preserve"> - Surfer Suite - Sunrise Suite</t>
        </is>
      </c>
      <c r="H828">
        <f>HYPERLINK("https://booking.roadsurfer.com/es/rally/pick?pickup_date=2026-04-09&amp;return_date=2026-04-16&amp;currency=EUR&amp;startStation=59&amp;endStation=90",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2026-04-16</t>
        </is>
      </c>
      <c r="F829" t="inlineStr">
        <is>
          <t>2026-04-23</t>
        </is>
      </c>
      <c r="G829" t="inlineStr">
        <is>
          <t xml:space="preserve"> - Road House</t>
        </is>
      </c>
      <c r="H829">
        <f>HYPERLINK("https://booking.roadsurfer.com/es/rally/pick?pickup_date=2026-04-16&amp;return_date=2026-04-23&amp;currency=EUR&amp;startStation=59&amp;endStation=90",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Erfurt</t>
        </is>
      </c>
      <c r="E830" t="inlineStr">
        <is>
          <t>2026-05-11</t>
        </is>
      </c>
      <c r="F830" t="inlineStr">
        <is>
          <t>2026-05-18</t>
        </is>
      </c>
      <c r="G830" t="inlineStr">
        <is>
          <t xml:space="preserve"> - Sunrise Suite</t>
        </is>
      </c>
      <c r="H830">
        <f>HYPERLINK("https://booking.roadsurfer.com/es/rally/pick?pickup_date=2026-05-11&amp;return_date=2026-05-18&amp;currency=EUR&amp;startStation=59&amp;endStation=90",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2026-05-12</t>
        </is>
      </c>
      <c r="F831" t="inlineStr">
        <is>
          <t>2026-05-19</t>
        </is>
      </c>
      <c r="G831" t="inlineStr">
        <is>
          <t xml:space="preserve"> - Sunrise Suite</t>
        </is>
      </c>
      <c r="H831">
        <f>HYPERLINK("https://booking.roadsurfer.com/es/rally/pick?pickup_date=2026-05-12&amp;return_date=2026-05-19&amp;currency=EUR&amp;startStation=59&amp;endStation=90",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2026-04-08</t>
        </is>
      </c>
      <c r="F832" t="inlineStr">
        <is>
          <t>2026-04-15</t>
        </is>
      </c>
      <c r="G832" t="inlineStr">
        <is>
          <t xml:space="preserve"> - Road House</t>
        </is>
      </c>
      <c r="H832">
        <f>HYPERLINK("https://booking.roadsurfer.com/es/rally/pick?pickup_date=2026-04-08&amp;return_date=2026-04-15&amp;currency=EUR&amp;startStation=59&amp;endStation=90",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Bremen</t>
        </is>
      </c>
      <c r="E833" t="inlineStr">
        <is>
          <t>2026-05-06</t>
        </is>
      </c>
      <c r="F833" t="inlineStr">
        <is>
          <t>2026-05-13</t>
        </is>
      </c>
      <c r="G833" t="inlineStr">
        <is>
          <t xml:space="preserve"> - Family Finca</t>
        </is>
      </c>
      <c r="H833">
        <f>HYPERLINK("https://booking.roadsurfer.com/es/rally/pick?pickup_date=2026-05-06&amp;return_date=2026-05-13&amp;currency=EUR&amp;startStation=59&amp;endStation=55",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Bremen</t>
        </is>
      </c>
      <c r="E834" t="inlineStr">
        <is>
          <t>2026-05-08</t>
        </is>
      </c>
      <c r="F834" t="inlineStr">
        <is>
          <t>2026-05-15</t>
        </is>
      </c>
      <c r="G834" t="inlineStr">
        <is>
          <t xml:space="preserve"> - Family Finca</t>
        </is>
      </c>
      <c r="H834">
        <f>HYPERLINK("https://booking.roadsurfer.com/es/rally/pick?pickup_date=2026-05-08&amp;return_date=2026-05-15&amp;currency=EUR&amp;startStation=59&amp;endStation=55",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Bremen</t>
        </is>
      </c>
      <c r="E835" t="inlineStr">
        <is>
          <t>2026-05-13</t>
        </is>
      </c>
      <c r="F835" t="inlineStr">
        <is>
          <t>2026-05-20</t>
        </is>
      </c>
      <c r="G835" t="inlineStr">
        <is>
          <t xml:space="preserve"> - Sunrise Suite</t>
        </is>
      </c>
      <c r="H835">
        <f>HYPERLINK("https://booking.roadsurfer.com/es/rally/pick?pickup_date=2026-05-13&amp;return_date=2026-05-20&amp;currency=EUR&amp;startStation=59&amp;endStation=55",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Bremen</t>
        </is>
      </c>
      <c r="E836" t="inlineStr">
        <is>
          <t>2026-05-19</t>
        </is>
      </c>
      <c r="F836" t="inlineStr">
        <is>
          <t>2026-05-26</t>
        </is>
      </c>
      <c r="G836" t="inlineStr">
        <is>
          <t xml:space="preserve"> - No hay coche</t>
        </is>
      </c>
      <c r="H836">
        <f>HYPERLINK("https://booking.roadsurfer.com/es/rally/pick?pickup_date=2026-05-19&amp;return_date=2026-05-26&amp;currency=EUR&amp;startStation=59&amp;endStation=55",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Bremen</t>
        </is>
      </c>
      <c r="E837" t="inlineStr">
        <is>
          <t>2026-04-22</t>
        </is>
      </c>
      <c r="F837" t="inlineStr">
        <is>
          <t>2026-04-29</t>
        </is>
      </c>
      <c r="G837" t="inlineStr">
        <is>
          <t xml:space="preserve"> - Beach Hostel</t>
        </is>
      </c>
      <c r="H837">
        <f>HYPERLINK("https://booking.roadsurfer.com/es/rally/pick?pickup_date=2026-04-22&amp;return_date=2026-04-29&amp;currency=EUR&amp;startStation=59&amp;endStation=55",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2026-04-09</t>
        </is>
      </c>
      <c r="F838" t="inlineStr">
        <is>
          <t>2026-04-16</t>
        </is>
      </c>
      <c r="G838" t="inlineStr">
        <is>
          <t xml:space="preserve"> - Road House</t>
        </is>
      </c>
      <c r="H838">
        <f>HYPERLINK("https://booking.roadsurfer.com/es/rally/pick?pickup_date=2026-04-09&amp;return_date=2026-04-16&amp;currency=EUR&amp;startStation=59&amp;endStation=56",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2026-05-08</t>
        </is>
      </c>
      <c r="F839" t="inlineStr">
        <is>
          <t>2026-05-15</t>
        </is>
      </c>
      <c r="G839" t="inlineStr">
        <is>
          <t xml:space="preserve"> - Camper Castle</t>
        </is>
      </c>
      <c r="H839">
        <f>HYPERLINK("https://booking.roadsurfer.com/es/rally/pick?pickup_date=2026-05-08&amp;return_date=2026-05-15&amp;currency=EUR&amp;startStation=59&amp;endStation=56",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Dresde</t>
        </is>
      </c>
      <c r="E840" t="inlineStr">
        <is>
          <t>2026-05-13</t>
        </is>
      </c>
      <c r="F840" t="inlineStr">
        <is>
          <t>2026-05-20</t>
        </is>
      </c>
      <c r="G840" t="inlineStr">
        <is>
          <t xml:space="preserve"> - Camper Castle</t>
        </is>
      </c>
      <c r="H840">
        <f>HYPERLINK("https://booking.roadsurfer.com/es/rally/pick?pickup_date=2026-05-13&amp;return_date=2026-05-20&amp;currency=EUR&amp;startStation=59&amp;endStation=56",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Dresde</t>
        </is>
      </c>
      <c r="E841" t="inlineStr">
        <is>
          <t>2026-05-04</t>
        </is>
      </c>
      <c r="F841" t="inlineStr">
        <is>
          <t>2026-05-11</t>
        </is>
      </c>
      <c r="G841" t="inlineStr">
        <is>
          <t xml:space="preserve"> - Road House</t>
        </is>
      </c>
      <c r="H841">
        <f>HYPERLINK("https://booking.roadsurfer.com/es/rally/pick?pickup_date=2026-05-04&amp;return_date=2026-05-11&amp;currency=EUR&amp;startStation=59&amp;endStation=56",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Kiel</t>
        </is>
      </c>
      <c r="E842" t="inlineStr">
        <is>
          <t>2026-05-15</t>
        </is>
      </c>
      <c r="F842" t="inlineStr">
        <is>
          <t>2026-05-22</t>
        </is>
      </c>
      <c r="G842" t="inlineStr">
        <is>
          <t xml:space="preserve"> - Road House - COUPLE COTTAGE</t>
        </is>
      </c>
      <c r="H842">
        <f>HYPERLINK("https://booking.roadsurfer.com/es/rally/pick?pickup_date=2026-05-15&amp;return_date=2026-05-22&amp;currency=EUR&amp;startStation=59&amp;endStation=111",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Kiel</t>
        </is>
      </c>
      <c r="E843" t="inlineStr">
        <is>
          <t>2026-05-20</t>
        </is>
      </c>
      <c r="F843" t="inlineStr">
        <is>
          <t>2026-05-27</t>
        </is>
      </c>
      <c r="G843" t="inlineStr">
        <is>
          <t xml:space="preserve"> - Couple Cottage</t>
        </is>
      </c>
      <c r="H843">
        <f>HYPERLINK("https://booking.roadsurfer.com/es/rally/pick?pickup_date=2026-05-20&amp;return_date=2026-05-27&amp;currency=EUR&amp;startStation=59&amp;endStation=111",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2026-04-14</t>
        </is>
      </c>
      <c r="F844" t="inlineStr">
        <is>
          <t>2026-04-21</t>
        </is>
      </c>
      <c r="G844" t="inlineStr">
        <is>
          <t xml:space="preserve"> - Road House</t>
        </is>
      </c>
      <c r="H844">
        <f>HYPERLINK("https://booking.roadsurfer.com/es/rally/pick?pickup_date=2026-04-14&amp;return_date=2026-04-21&amp;currency=EUR&amp;startStation=59&amp;endStation=91",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2026-05-04</t>
        </is>
      </c>
      <c r="F845" t="inlineStr">
        <is>
          <t>2026-05-11</t>
        </is>
      </c>
      <c r="G845" t="inlineStr">
        <is>
          <t xml:space="preserve"> - Sunrise Suite</t>
        </is>
      </c>
      <c r="H845">
        <f>HYPERLINK("https://booking.roadsurfer.com/es/rally/pick?pickup_date=2026-05-04&amp;return_date=2026-05-11&amp;currency=EUR&amp;startStation=59&amp;endStation=91",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Bielefeld</t>
        </is>
      </c>
      <c r="E846" t="inlineStr">
        <is>
          <t>2026-05-06</t>
        </is>
      </c>
      <c r="F846" t="inlineStr">
        <is>
          <t>2026-05-13</t>
        </is>
      </c>
      <c r="G846" t="inlineStr">
        <is>
          <t xml:space="preserve"> - Sunrise Suite</t>
        </is>
      </c>
      <c r="H846">
        <f>HYPERLINK("https://booking.roadsurfer.com/es/rally/pick?pickup_date=2026-05-06&amp;return_date=2026-05-13&amp;currency=EUR&amp;startStation=59&amp;endStation=91",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Bielefeld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No hay coche</t>
        </is>
      </c>
      <c r="H847">
        <f>HYPERLINK("https://booking.roadsurfer.com/es/rally/pick?pickup_date=2026-05-11&amp;return_date=2026-05-18&amp;currency=EUR&amp;startStation=59&amp;endStation=91",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Bielefeld</t>
        </is>
      </c>
      <c r="E848" t="inlineStr">
        <is>
          <t>2026-05-14</t>
        </is>
      </c>
      <c r="F848" t="inlineStr">
        <is>
          <t>2026-05-21</t>
        </is>
      </c>
      <c r="G848" t="inlineStr">
        <is>
          <t xml:space="preserve"> - No hay coche</t>
        </is>
      </c>
      <c r="H848">
        <f>HYPERLINK("https://booking.roadsurfer.com/es/rally/pick?pickup_date=2026-05-14&amp;return_date=2026-05-21&amp;currency=EUR&amp;startStation=59&amp;endStation=91",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Bielefeld</t>
        </is>
      </c>
      <c r="E849" t="inlineStr">
        <is>
          <t>2026-05-15</t>
        </is>
      </c>
      <c r="F849" t="inlineStr">
        <is>
          <t>2026-05-22</t>
        </is>
      </c>
      <c r="G849" t="inlineStr">
        <is>
          <t xml:space="preserve"> - Couple Cottage</t>
        </is>
      </c>
      <c r="H849">
        <f>HYPERLINK("https://booking.roadsurfer.com/es/rally/pick?pickup_date=2026-05-15&amp;return_date=2026-05-22&amp;currency=EUR&amp;startStation=59&amp;endStation=91",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Bielefeld</t>
        </is>
      </c>
      <c r="E850" t="inlineStr">
        <is>
          <t>2026-04-13</t>
        </is>
      </c>
      <c r="F850" t="inlineStr">
        <is>
          <t>2026-04-20</t>
        </is>
      </c>
      <c r="G850" t="inlineStr">
        <is>
          <t xml:space="preserve"> - Road House</t>
        </is>
      </c>
      <c r="H850">
        <f>HYPERLINK("https://booking.roadsurfer.com/es/rally/pick?pickup_date=2026-04-13&amp;return_date=2026-04-20&amp;currency=EUR&amp;startStation=59&amp;endStation=91",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Leipzig</t>
        </is>
      </c>
      <c r="E851" t="inlineStr">
        <is>
          <t>2026-04-16</t>
        </is>
      </c>
      <c r="F851" t="inlineStr">
        <is>
          <t>2026-04-23</t>
        </is>
      </c>
      <c r="G851" t="inlineStr">
        <is>
          <t xml:space="preserve"> - Road House</t>
        </is>
      </c>
      <c r="H851">
        <f>HYPERLINK("https://booking.roadsurfer.com/es/rally/pick?pickup_date=2026-04-16&amp;return_date=2026-04-23&amp;currency=EUR&amp;startStation=59&amp;endStation=8",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Leipzig</t>
        </is>
      </c>
      <c r="E852" t="inlineStr">
        <is>
          <t>2026-05-06</t>
        </is>
      </c>
      <c r="F852" t="inlineStr">
        <is>
          <t>2026-05-13</t>
        </is>
      </c>
      <c r="G852" t="inlineStr">
        <is>
          <t xml:space="preserve"> - Couple Cottage</t>
        </is>
      </c>
      <c r="H852">
        <f>HYPERLINK("https://booking.roadsurfer.com/es/rally/pick?pickup_date=2026-05-06&amp;return_date=2026-05-13&amp;currency=EUR&amp;startStation=59&amp;endStation=8",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Leipzig</t>
        </is>
      </c>
      <c r="E853" t="inlineStr">
        <is>
          <t>2026-05-08</t>
        </is>
      </c>
      <c r="F853" t="inlineStr">
        <is>
          <t>2026-05-15</t>
        </is>
      </c>
      <c r="G853" t="inlineStr">
        <is>
          <t xml:space="preserve"> - Couple Cottage</t>
        </is>
      </c>
      <c r="H853">
        <f>HYPERLINK("https://booking.roadsurfer.com/es/rally/pick?pickup_date=2026-05-08&amp;return_date=2026-05-15&amp;currency=EUR&amp;startStation=59&amp;endStation=8",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Leipzig</t>
        </is>
      </c>
      <c r="E854" t="inlineStr">
        <is>
          <t>2026-05-30</t>
        </is>
      </c>
      <c r="F854" t="inlineStr">
        <is>
          <t>2026-06-06</t>
        </is>
      </c>
      <c r="G854" t="inlineStr">
        <is>
          <t xml:space="preserve"> - Couple Cottage</t>
        </is>
      </c>
      <c r="H854">
        <f>HYPERLINK("https://booking.roadsurfer.com/es/rally/pick?pickup_date=2026-05-30&amp;return_date=2026-06-06&amp;currency=EUR&amp;startStation=59&amp;endStation=8",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Colonia-Bonn</t>
        </is>
      </c>
      <c r="E855" t="inlineStr">
        <is>
          <t>2026-04-14</t>
        </is>
      </c>
      <c r="F855" t="inlineStr">
        <is>
          <t>2026-04-21</t>
        </is>
      </c>
      <c r="G855" t="inlineStr">
        <is>
          <t xml:space="preserve"> - Road House</t>
        </is>
      </c>
      <c r="H855">
        <f>HYPERLINK("https://booking.roadsurfer.com/es/rally/pick?pickup_date=2026-04-14&amp;return_date=2026-04-21&amp;currency=EUR&amp;startStation=59&amp;endStation=52",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Lübeck</t>
        </is>
      </c>
      <c r="E856" t="inlineStr">
        <is>
          <t>2026-05-04</t>
        </is>
      </c>
      <c r="F856" t="inlineStr">
        <is>
          <t>2026-05-11</t>
        </is>
      </c>
      <c r="G856" t="inlineStr">
        <is>
          <t xml:space="preserve"> - Camper Castle</t>
        </is>
      </c>
      <c r="H856">
        <f>HYPERLINK("https://booking.roadsurfer.com/es/rally/pick?pickup_date=2026-05-04&amp;return_date=2026-05-11&amp;currency=EUR&amp;startStation=59&amp;endStation=109",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Lübeck</t>
        </is>
      </c>
      <c r="E857" t="inlineStr">
        <is>
          <t>2026-05-06</t>
        </is>
      </c>
      <c r="F857" t="inlineStr">
        <is>
          <t>2026-05-13</t>
        </is>
      </c>
      <c r="G857" t="inlineStr">
        <is>
          <t xml:space="preserve"> - Sunrise Suite</t>
        </is>
      </c>
      <c r="H857">
        <f>HYPERLINK("https://booking.roadsurfer.com/es/rally/pick?pickup_date=2026-05-06&amp;return_date=2026-05-13&amp;currency=EUR&amp;startStation=59&amp;endStation=109",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Lübeck</t>
        </is>
      </c>
      <c r="E858" t="inlineStr">
        <is>
          <t>2026-05-08</t>
        </is>
      </c>
      <c r="F858" t="inlineStr">
        <is>
          <t>2026-05-15</t>
        </is>
      </c>
      <c r="G858" t="inlineStr">
        <is>
          <t xml:space="preserve"> - Camper Castle</t>
        </is>
      </c>
      <c r="H858">
        <f>HYPERLINK("https://booking.roadsurfer.com/es/rally/pick?pickup_date=2026-05-08&amp;return_date=2026-05-15&amp;currency=EUR&amp;startStation=59&amp;endStation=109",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Lübeck</t>
        </is>
      </c>
      <c r="E859" t="inlineStr">
        <is>
          <t>2026-05-12</t>
        </is>
      </c>
      <c r="F859" t="inlineStr">
        <is>
          <t>2026-05-19</t>
        </is>
      </c>
      <c r="G859" t="inlineStr">
        <is>
          <t xml:space="preserve"> - Camper Castle</t>
        </is>
      </c>
      <c r="H859">
        <f>HYPERLINK("https://booking.roadsurfer.com/es/rally/pick?pickup_date=2026-05-12&amp;return_date=2026-05-19&amp;currency=EUR&amp;startStation=59&amp;endStation=109",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Augsburgo</t>
        </is>
      </c>
      <c r="E860" t="inlineStr">
        <is>
          <t>2026-04-15</t>
        </is>
      </c>
      <c r="F860" t="inlineStr">
        <is>
          <t>2026-04-22</t>
        </is>
      </c>
      <c r="G860" t="inlineStr">
        <is>
          <t xml:space="preserve"> - Camper Castle</t>
        </is>
      </c>
      <c r="H860">
        <f>HYPERLINK("https://booking.roadsurfer.com/es/rally/pick?pickup_date=2026-04-15&amp;return_date=2026-04-22&amp;currency=EUR&amp;startStation=59&amp;endStation=108",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Lindau-Wangen</t>
        </is>
      </c>
      <c r="E861" t="inlineStr">
        <is>
          <t>2026-04-15</t>
        </is>
      </c>
      <c r="F861" t="inlineStr">
        <is>
          <t>2026-04-22</t>
        </is>
      </c>
      <c r="G861" t="inlineStr">
        <is>
          <t xml:space="preserve"> - Camper Castle</t>
        </is>
      </c>
      <c r="H861">
        <f>HYPERLINK("https://booking.roadsurfer.com/es/rally/pick?pickup_date=2026-04-15&amp;return_date=2026-04-22&amp;currency=EUR&amp;startStation=59&amp;endStation=117",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Hannover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Cozy Cottage</t>
        </is>
      </c>
      <c r="H862">
        <f>HYPERLINK("https://booking.roadsurfer.com/es/rally/pick?pickup_date=2026-04-27&amp;return_date=2026-05-04&amp;currency=EUR&amp;startStation=59&amp;endStation=7",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Berlín-Schönefeld</t>
        </is>
      </c>
      <c r="E863" t="inlineStr">
        <is>
          <t>2026-05-08</t>
        </is>
      </c>
      <c r="F863" t="inlineStr">
        <is>
          <t>2026-05-15</t>
        </is>
      </c>
      <c r="G863" t="inlineStr">
        <is>
          <t xml:space="preserve"> - Van Villa</t>
        </is>
      </c>
      <c r="H863">
        <f>HYPERLINK("https://booking.roadsurfer.com/es/rally/pick?pickup_date=2026-05-08&amp;return_date=2026-05-15&amp;currency=EUR&amp;startStation=59&amp;endStation=51",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Berlín-Schönefeld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Van Villa</t>
        </is>
      </c>
      <c r="H864">
        <f>HYPERLINK("https://booking.roadsurfer.com/es/rally/pick?pickup_date=2026-05-11&amp;return_date=2026-05-18&amp;currency=EUR&amp;startStation=59&amp;endStation=51",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Fráncfort</t>
        </is>
      </c>
      <c r="E865" t="inlineStr">
        <is>
          <t>2026-04-07</t>
        </is>
      </c>
      <c r="F865" t="inlineStr">
        <is>
          <t>2026-04-14</t>
        </is>
      </c>
      <c r="G865" t="inlineStr">
        <is>
          <t xml:space="preserve"> - Sunrise Suite</t>
        </is>
      </c>
      <c r="H865">
        <f>HYPERLINK("https://booking.roadsurfer.com/es/rally/pick?pickup_date=2026-04-07&amp;return_date=2026-04-14&amp;currency=EUR&amp;startStation=59&amp;endStation=2",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Austria</t>
        </is>
      </c>
      <c r="D866" t="inlineStr">
        <is>
          <t>Graz</t>
        </is>
      </c>
      <c r="E866" t="inlineStr">
        <is>
          <t>2026-04-13</t>
        </is>
      </c>
      <c r="F866" t="inlineStr">
        <is>
          <t>2026-04-20</t>
        </is>
      </c>
      <c r="G866" t="inlineStr">
        <is>
          <t xml:space="preserve"> - Surfer Suite</t>
        </is>
      </c>
      <c r="H866">
        <f>HYPERLINK("https://booking.roadsurfer.com/es/rally/pick?pickup_date=2026-04-13&amp;return_date=2026-04-20&amp;currency=EUR&amp;startStation=5&amp;endStation=37",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Nantes</t>
        </is>
      </c>
      <c r="E867" t="inlineStr">
        <is>
          <t>2026-04-15</t>
        </is>
      </c>
      <c r="F867" t="inlineStr">
        <is>
          <t>2026-04-22</t>
        </is>
      </c>
      <c r="G867" t="inlineStr">
        <is>
          <t xml:space="preserve"> - Family Finca</t>
        </is>
      </c>
      <c r="H867">
        <f>HYPERLINK("https://booking.roadsurfer.com/es/rally/pick?pickup_date=2026-04-15&amp;return_date=2026-04-22&amp;currency=EUR&amp;startStation=5&amp;endStation=31",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Francia</t>
        </is>
      </c>
      <c r="D868" t="inlineStr">
        <is>
          <t>Nantes</t>
        </is>
      </c>
      <c r="E868" t="inlineStr">
        <is>
          <t>2026-04-28</t>
        </is>
      </c>
      <c r="F868" t="inlineStr">
        <is>
          <t>2026-05-05</t>
        </is>
      </c>
      <c r="G868" t="inlineStr">
        <is>
          <t xml:space="preserve"> - Surfer Suite</t>
        </is>
      </c>
      <c r="H868">
        <f>HYPERLINK("https://booking.roadsurfer.com/es/rally/pick?pickup_date=2026-04-28&amp;return_date=2026-05-05&amp;currency=EUR&amp;startStation=5&amp;endStation=31",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Nantes</t>
        </is>
      </c>
      <c r="E869" t="inlineStr">
        <is>
          <t>2026-04-13</t>
        </is>
      </c>
      <c r="F869" t="inlineStr">
        <is>
          <t>2026-04-20</t>
        </is>
      </c>
      <c r="G869" t="inlineStr">
        <is>
          <t xml:space="preserve"> - Camper Cabin</t>
        </is>
      </c>
      <c r="H869">
        <f>HYPERLINK("https://booking.roadsurfer.com/es/rally/pick?pickup_date=2026-04-13&amp;return_date=2026-04-20&amp;currency=EUR&amp;startStation=5&amp;endStation=31",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Francia</t>
        </is>
      </c>
      <c r="D870" t="inlineStr">
        <is>
          <t>Nantes</t>
        </is>
      </c>
      <c r="E870" t="inlineStr">
        <is>
          <t>2026-04-08</t>
        </is>
      </c>
      <c r="F870" t="inlineStr">
        <is>
          <t>2026-04-15</t>
        </is>
      </c>
      <c r="G870" t="inlineStr">
        <is>
          <t xml:space="preserve"> - Camper Cabin</t>
        </is>
      </c>
      <c r="H870">
        <f>HYPERLINK("https://booking.roadsurfer.com/es/rally/pick?pickup_date=2026-04-08&amp;return_date=2026-04-15&amp;currency=EUR&amp;startStation=5&amp;endStation=31",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Francia</t>
        </is>
      </c>
      <c r="D871" t="inlineStr">
        <is>
          <t>Nantes</t>
        </is>
      </c>
      <c r="E871" t="inlineStr">
        <is>
          <t>2026-04-23</t>
        </is>
      </c>
      <c r="F871" t="inlineStr">
        <is>
          <t>2026-04-30</t>
        </is>
      </c>
      <c r="G871" t="inlineStr">
        <is>
          <t xml:space="preserve"> - SURFER SUITE</t>
        </is>
      </c>
      <c r="H871">
        <f>HYPERLINK("https://booking.roadsurfer.com/es/rally/pick?pickup_date=2026-04-23&amp;return_date=2026-04-30&amp;currency=EUR&amp;startStation=5&amp;endStation=31",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Bilbao</t>
        </is>
      </c>
      <c r="E872" t="inlineStr">
        <is>
          <t>2026-04-27</t>
        </is>
      </c>
      <c r="F872" t="inlineStr">
        <is>
          <t>2026-05-04</t>
        </is>
      </c>
      <c r="G872" t="inlineStr">
        <is>
          <t xml:space="preserve"> - Beach Hostel</t>
        </is>
      </c>
      <c r="H872">
        <f>HYPERLINK("https://booking.roadsurfer.com/es/rally/pick?pickup_date=2026-04-27&amp;return_date=2026-05-04&amp;currency=EUR&amp;startStation=5&amp;endStation=40",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Alemania</t>
        </is>
      </c>
      <c r="D873" t="inlineStr">
        <is>
          <t>Múnich</t>
        </is>
      </c>
      <c r="E873" t="inlineStr">
        <is>
          <t>2026-05-11</t>
        </is>
      </c>
      <c r="F873" t="inlineStr">
        <is>
          <t>2026-05-18</t>
        </is>
      </c>
      <c r="G873" t="inlineStr">
        <is>
          <t xml:space="preserve"> - Camper Cabin</t>
        </is>
      </c>
      <c r="H873">
        <f>HYPERLINK("https://booking.roadsurfer.com/es/rally/pick?pickup_date=2026-05-11&amp;return_date=2026-05-18&amp;currency=EUR&amp;startStation=5&amp;endStation=1",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2026-05-04</t>
        </is>
      </c>
      <c r="F874" t="inlineStr">
        <is>
          <t>2026-05-11</t>
        </is>
      </c>
      <c r="G874" t="inlineStr">
        <is>
          <t xml:space="preserve"> - Camper Cabin</t>
        </is>
      </c>
      <c r="H874">
        <f>HYPERLINK("https://booking.roadsurfer.com/es/rally/pick?pickup_date=2026-05-04&amp;return_date=2026-05-11&amp;currency=EUR&amp;startStation=5&amp;endStation=1",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España</t>
        </is>
      </c>
      <c r="D875" t="inlineStr">
        <is>
          <t>Barcelona</t>
        </is>
      </c>
      <c r="E875" t="inlineStr">
        <is>
          <t>2026-04-10</t>
        </is>
      </c>
      <c r="F875" t="inlineStr">
        <is>
          <t>2026-04-17</t>
        </is>
      </c>
      <c r="G875" t="inlineStr">
        <is>
          <t xml:space="preserve"> - Road House</t>
        </is>
      </c>
      <c r="H875">
        <f>HYPERLINK("https://booking.roadsurfer.com/es/rally/pick?pickup_date=2026-04-10&amp;return_date=2026-04-17&amp;currency=EUR&amp;startStation=5&amp;endStation=17",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España</t>
        </is>
      </c>
      <c r="D876" t="inlineStr">
        <is>
          <t>Málaga</t>
        </is>
      </c>
      <c r="E876" t="inlineStr">
        <is>
          <t>2026-04-13</t>
        </is>
      </c>
      <c r="F876" t="inlineStr">
        <is>
          <t>2026-04-20</t>
        </is>
      </c>
      <c r="G876" t="inlineStr">
        <is>
          <t xml:space="preserve"> - Family Finca</t>
        </is>
      </c>
      <c r="H876">
        <f>HYPERLINK("https://booking.roadsurfer.com/es/rally/pick?pickup_date=2026-04-13&amp;return_date=2026-04-20&amp;currency=EUR&amp;startStation=5&amp;endStation=21",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España</t>
        </is>
      </c>
      <c r="D877" t="inlineStr">
        <is>
          <t>Málaga</t>
        </is>
      </c>
      <c r="E877" t="inlineStr">
        <is>
          <t>2026-05-21</t>
        </is>
      </c>
      <c r="F877" t="inlineStr">
        <is>
          <t>2026-05-28</t>
        </is>
      </c>
      <c r="G877" t="inlineStr">
        <is>
          <t xml:space="preserve"> - Camper Castle</t>
        </is>
      </c>
      <c r="H877">
        <f>HYPERLINK("https://booking.roadsurfer.com/es/rally/pick?pickup_date=2026-05-21&amp;return_date=2026-05-28&amp;currency=EUR&amp;startStation=5&amp;endStation=21",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Alemania</t>
        </is>
      </c>
      <c r="D878" t="inlineStr">
        <is>
          <t>Aquisgrán</t>
        </is>
      </c>
      <c r="E878" t="inlineStr">
        <is>
          <t>2026-04-23</t>
        </is>
      </c>
      <c r="F878" t="inlineStr">
        <is>
          <t>2026-04-30</t>
        </is>
      </c>
      <c r="G878" t="inlineStr">
        <is>
          <t xml:space="preserve"> - No hay coche</t>
        </is>
      </c>
      <c r="H878">
        <f>HYPERLINK("https://booking.roadsurfer.com/es/rally/pick?pickup_date=2026-04-23&amp;return_date=2026-04-30&amp;currency=EUR&amp;startStation=5&amp;endStation=114",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Italia</t>
        </is>
      </c>
      <c r="D879" t="inlineStr">
        <is>
          <t>Milán</t>
        </is>
      </c>
      <c r="E879" t="inlineStr">
        <is>
          <t>2026-05-11</t>
        </is>
      </c>
      <c r="F879" t="inlineStr">
        <is>
          <t>2026-05-18</t>
        </is>
      </c>
      <c r="G879" t="inlineStr">
        <is>
          <t xml:space="preserve"> - Family Finca</t>
        </is>
      </c>
      <c r="H879">
        <f>HYPERLINK("https://booking.roadsurfer.com/es/rally/pick?pickup_date=2026-05-11&amp;return_date=2026-05-18&amp;currency=EUR&amp;startStation=5&amp;endStation=34",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Francia</t>
        </is>
      </c>
      <c r="D880" t="inlineStr">
        <is>
          <t>París Sur (Orly)</t>
        </is>
      </c>
      <c r="E880" t="inlineStr">
        <is>
          <t>2026-04-20</t>
        </is>
      </c>
      <c r="F880" t="inlineStr">
        <is>
          <t>2026-04-27</t>
        </is>
      </c>
      <c r="G880" t="inlineStr">
        <is>
          <t xml:space="preserve"> - Couple Cottage</t>
        </is>
      </c>
      <c r="H880">
        <f>HYPERLINK("https://booking.roadsurfer.com/es/rally/pick?pickup_date=2026-04-20&amp;return_date=2026-04-27&amp;currency=EUR&amp;startStation=5&amp;endStation=12",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Austria</t>
        </is>
      </c>
      <c r="D881" t="inlineStr">
        <is>
          <t>Viena Sur</t>
        </is>
      </c>
      <c r="E881" t="inlineStr">
        <is>
          <t>2026-04-20</t>
        </is>
      </c>
      <c r="F881" t="inlineStr">
        <is>
          <t>2026-04-27</t>
        </is>
      </c>
      <c r="G881" t="inlineStr">
        <is>
          <t xml:space="preserve"> - Cozy Cottage</t>
        </is>
      </c>
      <c r="H881">
        <f>HYPERLINK("https://booking.roadsurfer.com/es/rally/pick?pickup_date=2026-04-20&amp;return_date=2026-04-27&amp;currency=EUR&amp;startStation=5&amp;endStation=45", "Clic para verlo en la web de RoadSurfer")</f>
        <v/>
      </c>
    </row>
    <row r="882">
      <c r="A882" t="inlineStr">
        <is>
          <t>EE.UU.</t>
        </is>
      </c>
      <c r="B882" t="inlineStr">
        <is>
          <t>Thor Industries, Elkhart</t>
        </is>
      </c>
      <c r="C882" t="inlineStr">
        <is>
          <t>EE.UU.</t>
        </is>
      </c>
      <c r="D882" t="inlineStr">
        <is>
          <t>Salt Lake City</t>
        </is>
      </c>
      <c r="E882" t="inlineStr">
        <is>
          <t>2026-04-20</t>
        </is>
      </c>
      <c r="F882" t="inlineStr">
        <is>
          <t>2026-05-08</t>
        </is>
      </c>
      <c r="G882" t="inlineStr">
        <is>
          <t xml:space="preserve"> - Family Freedom</t>
        </is>
      </c>
      <c r="H882">
        <f>HYPERLINK("https://booking.roadsurfer.com/es/rally/pick?pickup_date=2026-04-20&amp;return_date=2026-05-08&amp;currency=EUR&amp;startStation=74&amp;endStation=106", "Clic para verlo en la web de RoadSurfer")</f>
        <v/>
      </c>
    </row>
    <row r="883">
      <c r="A883" t="inlineStr">
        <is>
          <t>EE.UU.</t>
        </is>
      </c>
      <c r="B883" t="inlineStr">
        <is>
          <t>Thor Industries, Elkhart</t>
        </is>
      </c>
      <c r="C883" t="inlineStr">
        <is>
          <t>EE.UU.</t>
        </is>
      </c>
      <c r="D883" t="inlineStr">
        <is>
          <t>Salt Lake City</t>
        </is>
      </c>
      <c r="E883" t="inlineStr">
        <is>
          <t>2026-04-20</t>
        </is>
      </c>
      <c r="F883" t="inlineStr">
        <is>
          <t>2026-05-04</t>
        </is>
      </c>
      <c r="G883" t="inlineStr">
        <is>
          <t xml:space="preserve"> - Family Freedom</t>
        </is>
      </c>
      <c r="H883">
        <f>HYPERLINK("https://booking.roadsurfer.com/es/rally/pick?pickup_date=2026-04-20&amp;return_date=2026-05-04&amp;currency=EUR&amp;startStation=74&amp;endStation=106", "Clic para verlo en la web de RoadSurfer")</f>
        <v/>
      </c>
    </row>
    <row r="884">
      <c r="A884" t="inlineStr">
        <is>
          <t>EE.UU.</t>
        </is>
      </c>
      <c r="B884" t="inlineStr">
        <is>
          <t>Thor Industries, Elkhart</t>
        </is>
      </c>
      <c r="C884" t="inlineStr">
        <is>
          <t>EE.UU.</t>
        </is>
      </c>
      <c r="D884" t="inlineStr">
        <is>
          <t>Seattle</t>
        </is>
      </c>
      <c r="E884" t="inlineStr">
        <is>
          <t>2026-04-20</t>
        </is>
      </c>
      <c r="F884" t="inlineStr">
        <is>
          <t>2026-05-08</t>
        </is>
      </c>
      <c r="G884" t="inlineStr">
        <is>
          <t xml:space="preserve"> - Family Freedom</t>
        </is>
      </c>
      <c r="H884">
        <f>HYPERLINK("https://booking.roadsurfer.com/es/rally/pick?pickup_date=2026-04-20&amp;return_date=2026-05-08&amp;currency=EUR&amp;startStation=74&amp;endStation=107", "Clic para verlo en la web de RoadSurfer")</f>
        <v/>
      </c>
    </row>
    <row r="885">
      <c r="A885" t="inlineStr">
        <is>
          <t>EE.UU.</t>
        </is>
      </c>
      <c r="B885" t="inlineStr">
        <is>
          <t>Thor Industries, Elkhart</t>
        </is>
      </c>
      <c r="C885" t="inlineStr">
        <is>
          <t>EE.UU.</t>
        </is>
      </c>
      <c r="D885" t="inlineStr">
        <is>
          <t>Denver</t>
        </is>
      </c>
      <c r="E885" t="inlineStr">
        <is>
          <t>2026-04-20</t>
        </is>
      </c>
      <c r="F885" t="inlineStr">
        <is>
          <t>2026-05-08</t>
        </is>
      </c>
      <c r="G885" t="inlineStr">
        <is>
          <t xml:space="preserve"> - Family Freedom</t>
        </is>
      </c>
      <c r="H885">
        <f>HYPERLINK("https://booking.roadsurfer.com/es/rally/pick?pickup_date=2026-04-20&amp;return_date=2026-05-08&amp;currency=EUR&amp;startStation=74&amp;endStation=104", "Clic para verlo en la web de RoadSurfer")</f>
        <v/>
      </c>
    </row>
    <row r="886">
      <c r="A886" t="inlineStr">
        <is>
          <t>EE.UU.</t>
        </is>
      </c>
      <c r="B886" t="inlineStr">
        <is>
          <t>Thor Industries, Elkhart</t>
        </is>
      </c>
      <c r="C886" t="inlineStr">
        <is>
          <t>EE.UU.</t>
        </is>
      </c>
      <c r="D886" t="inlineStr">
        <is>
          <t>Denver</t>
        </is>
      </c>
      <c r="E886" t="inlineStr">
        <is>
          <t>2026-04-20</t>
        </is>
      </c>
      <c r="F886" t="inlineStr">
        <is>
          <t>2026-05-04</t>
        </is>
      </c>
      <c r="G886" t="inlineStr">
        <is>
          <t xml:space="preserve"> - Family Freedom</t>
        </is>
      </c>
      <c r="H886">
        <f>HYPERLINK("https://booking.roadsurfer.com/es/rally/pick?pickup_date=2026-04-20&amp;return_date=2026-05-04&amp;currency=EUR&amp;startStation=74&amp;endStation=104", "Clic para verlo en la web de RoadSurfer")</f>
        <v/>
      </c>
    </row>
    <row r="887">
      <c r="A887" t="inlineStr">
        <is>
          <t>EE.UU.</t>
        </is>
      </c>
      <c r="B887" t="inlineStr">
        <is>
          <t>Thor Industries, Elkhart</t>
        </is>
      </c>
      <c r="C887" t="inlineStr">
        <is>
          <t>EE.UU.</t>
        </is>
      </c>
      <c r="D887" t="inlineStr">
        <is>
          <t>San Francisco</t>
        </is>
      </c>
      <c r="E887" t="inlineStr">
        <is>
          <t>2026-04-20</t>
        </is>
      </c>
      <c r="F887" t="inlineStr">
        <is>
          <t>2026-05-08</t>
        </is>
      </c>
      <c r="G887" t="inlineStr">
        <is>
          <t xml:space="preserve"> - Family Freedom</t>
        </is>
      </c>
      <c r="H887">
        <f>HYPERLINK("https://booking.roadsurfer.com/es/rally/pick?pickup_date=2026-04-20&amp;return_date=2026-05-08&amp;currency=EUR&amp;startStation=74&amp;endStation=75",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Berlín</t>
        </is>
      </c>
      <c r="E888" t="inlineStr">
        <is>
          <t>2026-04-13</t>
        </is>
      </c>
      <c r="F888" t="inlineStr">
        <is>
          <t>2026-04-20</t>
        </is>
      </c>
      <c r="G888" t="inlineStr">
        <is>
          <t xml:space="preserve"> - Surfer Suite</t>
        </is>
      </c>
      <c r="H888">
        <f>HYPERLINK("https://booking.roadsurfer.com/es/rally/pick?pickup_date=2026-04-13&amp;return_date=2026-04-20&amp;currency=EUR&amp;startStation=30&amp;endStation=6",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Wurzburgo</t>
        </is>
      </c>
      <c r="E889" t="inlineStr">
        <is>
          <t>2026-05-04</t>
        </is>
      </c>
      <c r="F889" t="inlineStr">
        <is>
          <t>2026-05-11</t>
        </is>
      </c>
      <c r="G889" t="inlineStr">
        <is>
          <t xml:space="preserve"> - Surfer Suite</t>
        </is>
      </c>
      <c r="H889">
        <f>HYPERLINK("https://booking.roadsurfer.com/es/rally/pick?pickup_date=2026-05-04&amp;return_date=2026-05-11&amp;currency=EUR&amp;startStation=30&amp;endStation=115",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Constanza (Aach)</t>
        </is>
      </c>
      <c r="E890" t="inlineStr">
        <is>
          <t>2026-05-04</t>
        </is>
      </c>
      <c r="F890" t="inlineStr">
        <is>
          <t>2026-05-11</t>
        </is>
      </c>
      <c r="G890" t="inlineStr">
        <is>
          <t xml:space="preserve"> - Surfer Suite</t>
        </is>
      </c>
      <c r="H890">
        <f>HYPERLINK("https://booking.roadsurfer.com/es/rally/pick?pickup_date=2026-05-04&amp;return_date=2026-05-11&amp;currency=EUR&amp;startStation=30&amp;endStation=10",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2026-04-13</t>
        </is>
      </c>
      <c r="F891" t="inlineStr">
        <is>
          <t>2026-04-20</t>
        </is>
      </c>
      <c r="G891" t="inlineStr">
        <is>
          <t xml:space="preserve"> - Camper Castle</t>
        </is>
      </c>
      <c r="H891">
        <f>HYPERLINK("https://booking.roadsurfer.com/es/rally/pick?pickup_date=2026-04-13&amp;return_date=2026-04-20&amp;currency=EUR&amp;startStation=30&amp;endStation=90",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Erfurt</t>
        </is>
      </c>
      <c r="E892" t="inlineStr">
        <is>
          <t>2026-05-26</t>
        </is>
      </c>
      <c r="F892" t="inlineStr">
        <is>
          <t>2026-06-02</t>
        </is>
      </c>
      <c r="G892" t="inlineStr">
        <is>
          <t xml:space="preserve"> - Surfer Suite</t>
        </is>
      </c>
      <c r="H892">
        <f>HYPERLINK("https://booking.roadsurfer.com/es/rally/pick?pickup_date=2026-05-26&amp;return_date=2026-06-02&amp;currency=EUR&amp;startStation=30&amp;endStation=90", "Clic para verlo en la web de RoadSurfer")</f>
        <v/>
      </c>
    </row>
    <row r="893">
      <c r="A893" t="inlineStr">
        <is>
          <t>Francia</t>
        </is>
      </c>
      <c r="B893" t="inlineStr">
        <is>
          <t>Toulouse</t>
        </is>
      </c>
      <c r="C893" t="inlineStr">
        <is>
          <t>Francia</t>
        </is>
      </c>
      <c r="D893" t="inlineStr">
        <is>
          <t>Lille</t>
        </is>
      </c>
      <c r="E893" t="inlineStr">
        <is>
          <t>2026-04-27</t>
        </is>
      </c>
      <c r="F893" t="inlineStr">
        <is>
          <t>2026-05-04</t>
        </is>
      </c>
      <c r="G893" t="inlineStr">
        <is>
          <t xml:space="preserve"> - Beach Hostel</t>
        </is>
      </c>
      <c r="H893">
        <f>HYPERLINK("https://booking.roadsurfer.com/es/rally/pick?pickup_date=2026-04-27&amp;return_date=2026-05-04&amp;currency=EUR&amp;startStation=30&amp;endStation=87", "Clic para verlo en la web de RoadSurfer")</f>
        <v/>
      </c>
    </row>
    <row r="894">
      <c r="A894" t="inlineStr">
        <is>
          <t>Francia</t>
        </is>
      </c>
      <c r="B894" t="inlineStr">
        <is>
          <t>Toulouse</t>
        </is>
      </c>
      <c r="C894" t="inlineStr">
        <is>
          <t>Alemania</t>
        </is>
      </c>
      <c r="D894" t="inlineStr">
        <is>
          <t>Dresde</t>
        </is>
      </c>
      <c r="E894" t="inlineStr">
        <is>
          <t>2026-05-07</t>
        </is>
      </c>
      <c r="F894" t="inlineStr">
        <is>
          <t>2026-05-14</t>
        </is>
      </c>
      <c r="G894" t="inlineStr">
        <is>
          <t xml:space="preserve"> - No hay coche</t>
        </is>
      </c>
      <c r="H894">
        <f>HYPERLINK("https://booking.roadsurfer.com/es/rally/pick?pickup_date=2026-05-07&amp;return_date=2026-05-14&amp;currency=EUR&amp;startStation=30&amp;endStation=56", "Clic para verlo en la web de RoadSurfer")</f>
        <v/>
      </c>
    </row>
    <row r="895">
      <c r="A895" t="inlineStr">
        <is>
          <t>Francia</t>
        </is>
      </c>
      <c r="B895" t="inlineStr">
        <is>
          <t>Toulouse</t>
        </is>
      </c>
      <c r="C895" t="inlineStr">
        <is>
          <t>Alemania</t>
        </is>
      </c>
      <c r="D895" t="inlineStr">
        <is>
          <t>Múnich</t>
        </is>
      </c>
      <c r="E895" t="inlineStr">
        <is>
          <t>2026-05-04</t>
        </is>
      </c>
      <c r="F895" t="inlineStr">
        <is>
          <t>2026-05-11</t>
        </is>
      </c>
      <c r="G895" t="inlineStr">
        <is>
          <t xml:space="preserve"> - Camper Castle</t>
        </is>
      </c>
      <c r="H895">
        <f>HYPERLINK("https://booking.roadsurfer.com/es/rally/pick?pickup_date=2026-05-04&amp;return_date=2026-05-11&amp;currency=EUR&amp;startStation=30&amp;endStation=1", "Clic para verlo en la web de RoadSurfer")</f>
        <v/>
      </c>
    </row>
    <row r="896">
      <c r="A896" t="inlineStr">
        <is>
          <t>Francia</t>
        </is>
      </c>
      <c r="B896" t="inlineStr">
        <is>
          <t>Toulouse</t>
        </is>
      </c>
      <c r="C896" t="inlineStr">
        <is>
          <t>Alemania</t>
        </is>
      </c>
      <c r="D896" t="inlineStr">
        <is>
          <t>Múnich</t>
        </is>
      </c>
      <c r="E896" t="inlineStr">
        <is>
          <t>2026-05-06</t>
        </is>
      </c>
      <c r="F896" t="inlineStr">
        <is>
          <t>2026-05-13</t>
        </is>
      </c>
      <c r="G896" t="inlineStr">
        <is>
          <t xml:space="preserve"> - Camper Castle</t>
        </is>
      </c>
      <c r="H896">
        <f>HYPERLINK("https://booking.roadsurfer.com/es/rally/pick?pickup_date=2026-05-06&amp;return_date=2026-05-13&amp;currency=EUR&amp;startStation=30&amp;endStation=1", "Clic para verlo en la web de RoadSurfer")</f>
        <v/>
      </c>
    </row>
    <row r="897">
      <c r="A897" t="inlineStr">
        <is>
          <t>Francia</t>
        </is>
      </c>
      <c r="B897" t="inlineStr">
        <is>
          <t>Toulouse</t>
        </is>
      </c>
      <c r="C897" t="inlineStr">
        <is>
          <t>Alemania</t>
        </is>
      </c>
      <c r="D897" t="inlineStr">
        <is>
          <t>Kassel</t>
        </is>
      </c>
      <c r="E897" t="inlineStr">
        <is>
          <t>2026-04-07</t>
        </is>
      </c>
      <c r="F897" t="inlineStr">
        <is>
          <t>2026-04-14</t>
        </is>
      </c>
      <c r="G897" t="inlineStr">
        <is>
          <t xml:space="preserve"> - Family Finca</t>
        </is>
      </c>
      <c r="H897">
        <f>HYPERLINK("https://booking.roadsurfer.com/es/rally/pick?pickup_date=2026-04-07&amp;return_date=2026-04-14&amp;currency=EUR&amp;startStation=30&amp;endStation=92", "Clic para verlo en la web de RoadSurfer")</f>
        <v/>
      </c>
    </row>
    <row r="898">
      <c r="A898" t="inlineStr">
        <is>
          <t>Francia</t>
        </is>
      </c>
      <c r="B898" t="inlineStr">
        <is>
          <t>Toulouse</t>
        </is>
      </c>
      <c r="C898" t="inlineStr">
        <is>
          <t>Alemania</t>
        </is>
      </c>
      <c r="D898" t="inlineStr">
        <is>
          <t>Kassel</t>
        </is>
      </c>
      <c r="E898" t="inlineStr">
        <is>
          <t>2026-05-11</t>
        </is>
      </c>
      <c r="F898" t="inlineStr">
        <is>
          <t>2026-05-18</t>
        </is>
      </c>
      <c r="G898" t="inlineStr">
        <is>
          <t xml:space="preserve"> - Family Finca</t>
        </is>
      </c>
      <c r="H898">
        <f>HYPERLINK("https://booking.roadsurfer.com/es/rally/pick?pickup_date=2026-05-11&amp;return_date=2026-05-18&amp;currency=EUR&amp;startStation=30&amp;endStation=92", "Clic para verlo en la web de RoadSurfer")</f>
        <v/>
      </c>
    </row>
    <row r="899">
      <c r="A899" t="inlineStr">
        <is>
          <t>Francia</t>
        </is>
      </c>
      <c r="B899" t="inlineStr">
        <is>
          <t>Toulouse</t>
        </is>
      </c>
      <c r="C899" t="inlineStr">
        <is>
          <t>Alemania</t>
        </is>
      </c>
      <c r="D899" t="inlineStr">
        <is>
          <t>Kassel</t>
        </is>
      </c>
      <c r="E899" t="inlineStr">
        <is>
          <t>2026-04-27</t>
        </is>
      </c>
      <c r="F899" t="inlineStr">
        <is>
          <t>2026-05-04</t>
        </is>
      </c>
      <c r="G899" t="inlineStr">
        <is>
          <t xml:space="preserve"> - Family Finca</t>
        </is>
      </c>
      <c r="H899">
        <f>HYPERLINK("https://booking.roadsurfer.com/es/rally/pick?pickup_date=2026-04-27&amp;return_date=2026-05-04&amp;currency=EUR&amp;startStation=30&amp;endStation=92", "Clic para verlo en la web de RoadSurfer")</f>
        <v/>
      </c>
    </row>
    <row r="900">
      <c r="A900" t="inlineStr">
        <is>
          <t>Alemania</t>
        </is>
      </c>
      <c r="B900" t="inlineStr">
        <is>
          <t>Tréveris</t>
        </is>
      </c>
      <c r="C900" t="inlineStr">
        <is>
          <t>Alemania</t>
        </is>
      </c>
      <c r="D900" t="inlineStr">
        <is>
          <t>Colonia-Bonn</t>
        </is>
      </c>
      <c r="E900" t="inlineStr">
        <is>
          <t>2026-04-27</t>
        </is>
      </c>
      <c r="F900" t="inlineStr">
        <is>
          <t>2026-05-04</t>
        </is>
      </c>
      <c r="G900" t="inlineStr">
        <is>
          <t xml:space="preserve"> - Beach Hostel</t>
        </is>
      </c>
      <c r="H900">
        <f>HYPERLINK("https://booking.roadsurfer.com/es/rally/pick?pickup_date=2026-04-27&amp;return_date=2026-05-04&amp;currency=EUR&amp;startStation=28&amp;endStation=52", "Clic para verlo en la web de RoadSurfer")</f>
        <v/>
      </c>
    </row>
    <row r="901">
      <c r="A901" t="inlineStr">
        <is>
          <t>Alemania</t>
        </is>
      </c>
      <c r="B901" t="inlineStr">
        <is>
          <t>Tréveris</t>
        </is>
      </c>
      <c r="C901" t="inlineStr">
        <is>
          <t>Alemania</t>
        </is>
      </c>
      <c r="D901" t="inlineStr">
        <is>
          <t>Heidelberg</t>
        </is>
      </c>
      <c r="E901" t="inlineStr">
        <is>
          <t>2026-04-13</t>
        </is>
      </c>
      <c r="F901" t="inlineStr">
        <is>
          <t>2026-04-20</t>
        </is>
      </c>
      <c r="G901" t="inlineStr">
        <is>
          <t xml:space="preserve"> - Road House</t>
        </is>
      </c>
      <c r="H901">
        <f>HYPERLINK("https://booking.roadsurfer.com/es/rally/pick?pickup_date=2026-04-13&amp;return_date=2026-04-20&amp;currency=EUR&amp;startStation=28&amp;endStation=79", "Clic para verlo en la web de RoadSurfer")</f>
        <v/>
      </c>
    </row>
    <row r="902">
      <c r="A902" t="inlineStr">
        <is>
          <t>Italia</t>
        </is>
      </c>
      <c r="B902" t="inlineStr">
        <is>
          <t>Turín</t>
        </is>
      </c>
      <c r="C902" t="inlineStr">
        <is>
          <t>Alemania</t>
        </is>
      </c>
      <c r="D902" t="inlineStr">
        <is>
          <t>Wurzburgo</t>
        </is>
      </c>
      <c r="E902" t="inlineStr">
        <is>
          <t>2026-05-11</t>
        </is>
      </c>
      <c r="F902" t="inlineStr">
        <is>
          <t>2026-05-18</t>
        </is>
      </c>
      <c r="G902" t="inlineStr">
        <is>
          <t xml:space="preserve"> - SURFER SUITE</t>
        </is>
      </c>
      <c r="H902">
        <f>HYPERLINK("https://booking.roadsurfer.com/es/rally/pick?pickup_date=2026-05-11&amp;return_date=2026-05-18&amp;currency=EUR&amp;startStation=58&amp;endStation=115", "Clic para verlo en la web de RoadSurfer")</f>
        <v/>
      </c>
    </row>
    <row r="903">
      <c r="A903" t="inlineStr">
        <is>
          <t>Italia</t>
        </is>
      </c>
      <c r="B903" t="inlineStr">
        <is>
          <t>Turín</t>
        </is>
      </c>
      <c r="C903" t="inlineStr">
        <is>
          <t>Alemania</t>
        </is>
      </c>
      <c r="D903" t="inlineStr">
        <is>
          <t>Wurzburgo</t>
        </is>
      </c>
      <c r="E903" t="inlineStr">
        <is>
          <t>2026-05-12</t>
        </is>
      </c>
      <c r="F903" t="inlineStr">
        <is>
          <t>2026-05-19</t>
        </is>
      </c>
      <c r="G903" t="inlineStr">
        <is>
          <t xml:space="preserve"> - Road House</t>
        </is>
      </c>
      <c r="H903">
        <f>HYPERLINK("https://booking.roadsurfer.com/es/rally/pick?pickup_date=2026-05-12&amp;return_date=2026-05-19&amp;currency=EUR&amp;startStation=58&amp;endStation=115", "Clic para verlo en la web de RoadSurfer")</f>
        <v/>
      </c>
    </row>
    <row r="904">
      <c r="A904" t="inlineStr">
        <is>
          <t>Italia</t>
        </is>
      </c>
      <c r="B904" t="inlineStr">
        <is>
          <t>Turín</t>
        </is>
      </c>
      <c r="C904" t="inlineStr">
        <is>
          <t>Alemania</t>
        </is>
      </c>
      <c r="D904" t="inlineStr">
        <is>
          <t>Wurzburgo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Road House</t>
        </is>
      </c>
      <c r="H904">
        <f>HYPERLINK("https://booking.roadsurfer.com/es/rally/pick?pickup_date=2026-05-15&amp;return_date=2026-05-22&amp;currency=EUR&amp;startStation=58&amp;endStation=115",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Dresde</t>
        </is>
      </c>
      <c r="E905" t="inlineStr">
        <is>
          <t>2026-04-20</t>
        </is>
      </c>
      <c r="F905" t="inlineStr">
        <is>
          <t>2026-04-27</t>
        </is>
      </c>
      <c r="G905" t="inlineStr">
        <is>
          <t xml:space="preserve"> - Family Finca</t>
        </is>
      </c>
      <c r="H905">
        <f>HYPERLINK("https://booking.roadsurfer.com/es/rally/pick?pickup_date=2026-04-20&amp;return_date=2026-04-27&amp;currency=EUR&amp;startStation=58&amp;endStation=56", "Clic para verlo en la web de RoadSurfer")</f>
        <v/>
      </c>
    </row>
    <row r="906">
      <c r="A906" t="inlineStr">
        <is>
          <t>Italia</t>
        </is>
      </c>
      <c r="B906" t="inlineStr">
        <is>
          <t>Turín</t>
        </is>
      </c>
      <c r="C906" t="inlineStr">
        <is>
          <t>Alemania</t>
        </is>
      </c>
      <c r="D906" t="inlineStr">
        <is>
          <t>Marburg</t>
        </is>
      </c>
      <c r="E906" t="inlineStr">
        <is>
          <t>2026-05-08</t>
        </is>
      </c>
      <c r="F906" t="inlineStr">
        <is>
          <t>2026-05-15</t>
        </is>
      </c>
      <c r="G906" t="inlineStr">
        <is>
          <t xml:space="preserve"> - COUPLE COTTAGE</t>
        </is>
      </c>
      <c r="H906">
        <f>HYPERLINK("https://booking.roadsurfer.com/es/rally/pick?pickup_date=2026-05-08&amp;return_date=2026-05-15&amp;currency=EUR&amp;startStation=58&amp;endStation=22", "Clic para verlo en la web de RoadSurfer")</f>
        <v/>
      </c>
    </row>
    <row r="907">
      <c r="A907" t="inlineStr">
        <is>
          <t>Italia</t>
        </is>
      </c>
      <c r="B907" t="inlineStr">
        <is>
          <t>Turín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2026-05-12</t>
        </is>
      </c>
      <c r="F907" t="inlineStr">
        <is>
          <t>2026-05-19</t>
        </is>
      </c>
      <c r="G907" t="inlineStr">
        <is>
          <t xml:space="preserve"> - Couple Cottage</t>
        </is>
      </c>
      <c r="H907">
        <f>HYPERLINK("https://booking.roadsurfer.com/es/rally/pick?pickup_date=2026-05-12&amp;return_date=2026-05-19&amp;currency=EUR&amp;startStation=58&amp;endStation=22", "Clic para verlo en la web de RoadSurfer")</f>
        <v/>
      </c>
    </row>
    <row r="908">
      <c r="A908" t="inlineStr">
        <is>
          <t>Italia</t>
        </is>
      </c>
      <c r="B908" t="inlineStr">
        <is>
          <t>Turín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2026-05-11</t>
        </is>
      </c>
      <c r="F908" t="inlineStr">
        <is>
          <t>2026-05-18</t>
        </is>
      </c>
      <c r="G908" t="inlineStr">
        <is>
          <t xml:space="preserve"> - Couple Cottage</t>
        </is>
      </c>
      <c r="H908">
        <f>HYPERLINK("https://booking.roadsurfer.com/es/rally/pick?pickup_date=2026-05-11&amp;return_date=2026-05-18&amp;currency=EUR&amp;startStation=58&amp;endStation=1", "Clic para verlo en la web de RoadSurfer")</f>
        <v/>
      </c>
    </row>
    <row r="909">
      <c r="A909" t="inlineStr">
        <is>
          <t>Italia</t>
        </is>
      </c>
      <c r="B909" t="inlineStr">
        <is>
          <t>Turín</t>
        </is>
      </c>
      <c r="C909" t="inlineStr">
        <is>
          <t>Alemania</t>
        </is>
      </c>
      <c r="D909" t="inlineStr">
        <is>
          <t>Friburgo-Basilea (Alemania)</t>
        </is>
      </c>
      <c r="E909" t="inlineStr">
        <is>
          <t>2026-04-17</t>
        </is>
      </c>
      <c r="F909" t="inlineStr">
        <is>
          <t>2026-04-24</t>
        </is>
      </c>
      <c r="G909" t="inlineStr">
        <is>
          <t xml:space="preserve"> - Couple Cottage</t>
        </is>
      </c>
      <c r="H909">
        <f>HYPERLINK("https://booking.roadsurfer.com/es/rally/pick?pickup_date=2026-04-17&amp;return_date=2026-04-24&amp;currency=EUR&amp;startStation=58&amp;endStation=9", "Clic para verlo en la web de RoadSurfer")</f>
        <v/>
      </c>
    </row>
    <row r="910">
      <c r="A910" t="inlineStr">
        <is>
          <t>Italia</t>
        </is>
      </c>
      <c r="B910" t="inlineStr">
        <is>
          <t>Turín</t>
        </is>
      </c>
      <c r="C910" t="inlineStr">
        <is>
          <t>Alemania</t>
        </is>
      </c>
      <c r="D910" t="inlineStr">
        <is>
          <t>Colonia-Bonn</t>
        </is>
      </c>
      <c r="E910" t="inlineStr">
        <is>
          <t>2026-05-15</t>
        </is>
      </c>
      <c r="F910" t="inlineStr">
        <is>
          <t>2026-05-22</t>
        </is>
      </c>
      <c r="G910" t="inlineStr">
        <is>
          <t xml:space="preserve"> - Cozy Cottage</t>
        </is>
      </c>
      <c r="H910">
        <f>HYPERLINK("https://booking.roadsurfer.com/es/rally/pick?pickup_date=2026-05-15&amp;return_date=2026-05-22&amp;currency=EUR&amp;startStation=58&amp;endStation=52", "Clic para verlo en la web de RoadSurfer")</f>
        <v/>
      </c>
    </row>
    <row r="911">
      <c r="A911" t="inlineStr">
        <is>
          <t>Alemania</t>
        </is>
      </c>
      <c r="B911" t="inlineStr">
        <is>
          <t>Ulm</t>
        </is>
      </c>
      <c r="C911" t="inlineStr">
        <is>
          <t>Suecia</t>
        </is>
      </c>
      <c r="D911" t="inlineStr">
        <is>
          <t>Gotemburgo</t>
        </is>
      </c>
      <c r="E911" t="inlineStr">
        <is>
          <t>2026-04-25</t>
        </is>
      </c>
      <c r="F911" t="inlineStr">
        <is>
          <t>2026-05-02</t>
        </is>
      </c>
      <c r="G911" t="inlineStr">
        <is>
          <t xml:space="preserve"> - No hay coche</t>
        </is>
      </c>
      <c r="H911">
        <f>HYPERLINK("https://booking.roadsurfer.com/es/rally/pick?pickup_date=2026-04-25&amp;return_date=2026-05-02&amp;currency=EUR&amp;startStation=112&amp;endStation=77", "Clic para verlo en la web de RoadSurfer")</f>
        <v/>
      </c>
    </row>
    <row r="912">
      <c r="A912" t="inlineStr">
        <is>
          <t>Alemania</t>
        </is>
      </c>
      <c r="B912" t="inlineStr">
        <is>
          <t>Ulm</t>
        </is>
      </c>
      <c r="C912" t="inlineStr">
        <is>
          <t>Suecia</t>
        </is>
      </c>
      <c r="D912" t="inlineStr">
        <is>
          <t>Gotemburgo</t>
        </is>
      </c>
      <c r="E912" t="inlineStr">
        <is>
          <t>2026-04-27</t>
        </is>
      </c>
      <c r="F912" t="inlineStr">
        <is>
          <t>2026-05-04</t>
        </is>
      </c>
      <c r="G912" t="inlineStr">
        <is>
          <t xml:space="preserve"> - Family Finca</t>
        </is>
      </c>
      <c r="H912">
        <f>HYPERLINK("https://booking.roadsurfer.com/es/rally/pick?pickup_date=2026-04-27&amp;return_date=2026-05-04&amp;currency=EUR&amp;startStation=112&amp;endStation=77", "Clic para verlo en la web de RoadSurfer")</f>
        <v/>
      </c>
    </row>
    <row r="913">
      <c r="A913" t="inlineStr">
        <is>
          <t>Alemania</t>
        </is>
      </c>
      <c r="B913" t="inlineStr">
        <is>
          <t>Ulm</t>
        </is>
      </c>
      <c r="C913" t="inlineStr">
        <is>
          <t>Austria</t>
        </is>
      </c>
      <c r="D913" t="inlineStr">
        <is>
          <t>Graz</t>
        </is>
      </c>
      <c r="E913" t="inlineStr">
        <is>
          <t>2026-04-22</t>
        </is>
      </c>
      <c r="F913" t="inlineStr">
        <is>
          <t>2026-04-29</t>
        </is>
      </c>
      <c r="G913" t="inlineStr">
        <is>
          <t xml:space="preserve"> - Family Finca</t>
        </is>
      </c>
      <c r="H913">
        <f>HYPERLINK("https://booking.roadsurfer.com/es/rally/pick?pickup_date=2026-04-22&amp;return_date=2026-04-29&amp;currency=EUR&amp;startStation=112&amp;endStation=37", "Clic para verlo en la web de RoadSurfer")</f>
        <v/>
      </c>
    </row>
    <row r="914">
      <c r="A914" t="inlineStr">
        <is>
          <t>Alemania</t>
        </is>
      </c>
      <c r="B914" t="inlineStr">
        <is>
          <t>Ulm</t>
        </is>
      </c>
      <c r="C914" t="inlineStr">
        <is>
          <t>Austria</t>
        </is>
      </c>
      <c r="D914" t="inlineStr">
        <is>
          <t>Graz</t>
        </is>
      </c>
      <c r="E914" t="inlineStr">
        <is>
          <t>2026-04-07</t>
        </is>
      </c>
      <c r="F914" t="inlineStr">
        <is>
          <t>2026-04-14</t>
        </is>
      </c>
      <c r="G914" t="inlineStr">
        <is>
          <t xml:space="preserve"> - Surfer Suite</t>
        </is>
      </c>
      <c r="H914">
        <f>HYPERLINK("https://booking.roadsurfer.com/es/rally/pick?pickup_date=2026-04-07&amp;return_date=2026-04-14&amp;currency=EUR&amp;startStation=112&amp;endStation=37", "Clic para verlo en la web de RoadSurfer")</f>
        <v/>
      </c>
    </row>
    <row r="915">
      <c r="A915" t="inlineStr">
        <is>
          <t>España</t>
        </is>
      </c>
      <c r="B915" t="inlineStr">
        <is>
          <t>Valencia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2026-05-04</t>
        </is>
      </c>
      <c r="F915" t="inlineStr">
        <is>
          <t>2026-05-11</t>
        </is>
      </c>
      <c r="G915" t="inlineStr">
        <is>
          <t xml:space="preserve"> - Camper Castle</t>
        </is>
      </c>
      <c r="H915">
        <f>HYPERLINK("https://booking.roadsurfer.com/es/rally/pick?pickup_date=2026-05-04&amp;return_date=2026-05-11&amp;currency=EUR&amp;startStation=38&amp;endStation=22", "Clic para verlo en la web de RoadSurfer")</f>
        <v/>
      </c>
    </row>
    <row r="916">
      <c r="A916" t="inlineStr">
        <is>
          <t>España</t>
        </is>
      </c>
      <c r="B916" t="inlineStr">
        <is>
          <t>Valencia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2026-05-13</t>
        </is>
      </c>
      <c r="F916" t="inlineStr">
        <is>
          <t>2026-05-20</t>
        </is>
      </c>
      <c r="G916" t="inlineStr">
        <is>
          <t xml:space="preserve"> - Family Finca</t>
        </is>
      </c>
      <c r="H916">
        <f>HYPERLINK("https://booking.roadsurfer.com/es/rally/pick?pickup_date=2026-05-13&amp;return_date=2026-05-20&amp;currency=EUR&amp;startStation=38&amp;endStation=22", "Clic para verlo en la web de RoadSurfer")</f>
        <v/>
      </c>
    </row>
    <row r="917">
      <c r="A917" t="inlineStr">
        <is>
          <t>España</t>
        </is>
      </c>
      <c r="B917" t="inlineStr">
        <is>
          <t>Valencia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2026-05-08</t>
        </is>
      </c>
      <c r="F917" t="inlineStr">
        <is>
          <t>2026-05-15</t>
        </is>
      </c>
      <c r="G917" t="inlineStr">
        <is>
          <t xml:space="preserve"> - Beach Hostel</t>
        </is>
      </c>
      <c r="H917">
        <f>HYPERLINK("https://booking.roadsurfer.com/es/rally/pick?pickup_date=2026-05-08&amp;return_date=2026-05-15&amp;currency=EUR&amp;startStation=38&amp;endStation=22", "Clic para verlo en la web de RoadSurfer")</f>
        <v/>
      </c>
    </row>
    <row r="918">
      <c r="A918" t="inlineStr">
        <is>
          <t>España</t>
        </is>
      </c>
      <c r="B918" t="inlineStr">
        <is>
          <t>Valencia</t>
        </is>
      </c>
      <c r="C918" t="inlineStr">
        <is>
          <t>Alemania</t>
        </is>
      </c>
      <c r="D918" t="inlineStr">
        <is>
          <t>Wurzburgo</t>
        </is>
      </c>
      <c r="E918" t="inlineStr">
        <is>
          <t>2026-05-04</t>
        </is>
      </c>
      <c r="F918" t="inlineStr">
        <is>
          <t>2026-05-11</t>
        </is>
      </c>
      <c r="G918" t="inlineStr">
        <is>
          <t xml:space="preserve"> - Road House</t>
        </is>
      </c>
      <c r="H918">
        <f>HYPERLINK("https://booking.roadsurfer.com/es/rally/pick?pickup_date=2026-05-04&amp;return_date=2026-05-11&amp;currency=EUR&amp;startStation=38&amp;endStation=115", "Clic para verlo en la web de RoadSurfer")</f>
        <v/>
      </c>
    </row>
    <row r="919">
      <c r="A919" t="inlineStr">
        <is>
          <t>España</t>
        </is>
      </c>
      <c r="B919" t="inlineStr">
        <is>
          <t>Valencia</t>
        </is>
      </c>
      <c r="C919" t="inlineStr">
        <is>
          <t>Alemania</t>
        </is>
      </c>
      <c r="D919" t="inlineStr">
        <is>
          <t>Wurzburgo</t>
        </is>
      </c>
      <c r="E919" t="inlineStr">
        <is>
          <t>2026-05-23</t>
        </is>
      </c>
      <c r="F919" t="inlineStr">
        <is>
          <t>2026-05-30</t>
        </is>
      </c>
      <c r="G919" t="inlineStr">
        <is>
          <t xml:space="preserve"> - Road House</t>
        </is>
      </c>
      <c r="H919">
        <f>HYPERLINK("https://booking.roadsurfer.com/es/rally/pick?pickup_date=2026-05-23&amp;return_date=2026-05-30&amp;currency=EUR&amp;startStation=38&amp;endStation=115", "Clic para verlo en la web de RoadSurfer")</f>
        <v/>
      </c>
    </row>
    <row r="920">
      <c r="A920" t="inlineStr">
        <is>
          <t>España</t>
        </is>
      </c>
      <c r="B920" t="inlineStr">
        <is>
          <t>Valencia</t>
        </is>
      </c>
      <c r="C920" t="inlineStr">
        <is>
          <t>Alemania</t>
        </is>
      </c>
      <c r="D920" t="inlineStr">
        <is>
          <t>Núremberg</t>
        </is>
      </c>
      <c r="E920" t="inlineStr">
        <is>
          <t>2026-04-17</t>
        </is>
      </c>
      <c r="F920" t="inlineStr">
        <is>
          <t>2026-04-21</t>
        </is>
      </c>
      <c r="G920" t="inlineStr">
        <is>
          <t xml:space="preserve"> - Road House</t>
        </is>
      </c>
      <c r="H920">
        <f>HYPERLINK("https://booking.roadsurfer.com/es/rally/pick?pickup_date=2026-04-17&amp;return_date=2026-04-21&amp;currency=EUR&amp;startStation=38&amp;endStation=11", "Clic para verlo en la web de RoadSurfer")</f>
        <v/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Alemania</t>
        </is>
      </c>
      <c r="D921" t="inlineStr">
        <is>
          <t>Maguncia</t>
        </is>
      </c>
      <c r="E921" t="inlineStr">
        <is>
          <t>2026-05-14</t>
        </is>
      </c>
      <c r="F921" t="inlineStr">
        <is>
          <t>2026-05-21</t>
        </is>
      </c>
      <c r="G921" t="inlineStr">
        <is>
          <t xml:space="preserve"> - Couple Cottage</t>
        </is>
      </c>
      <c r="H921">
        <f>HYPERLINK("https://booking.roadsurfer.com/es/rally/pick?pickup_date=2026-05-14&amp;return_date=2026-05-21&amp;currency=EUR&amp;startStation=38&amp;endStation=54", "Clic para verlo en la web de RoadSurfer")</f>
        <v/>
      </c>
    </row>
    <row r="922">
      <c r="A922" t="inlineStr">
        <is>
          <t>España</t>
        </is>
      </c>
      <c r="B922" t="inlineStr">
        <is>
          <t>Valencia</t>
        </is>
      </c>
      <c r="C922" t="inlineStr">
        <is>
          <t>Alemania</t>
        </is>
      </c>
      <c r="D922" t="inlineStr">
        <is>
          <t>Karlsruhe</t>
        </is>
      </c>
      <c r="E922" t="inlineStr">
        <is>
          <t>2026-05-25</t>
        </is>
      </c>
      <c r="F922" t="inlineStr">
        <is>
          <t>2026-06-01</t>
        </is>
      </c>
      <c r="G922" t="inlineStr">
        <is>
          <t xml:space="preserve"> - Couple Cottage</t>
        </is>
      </c>
      <c r="H922">
        <f>HYPERLINK("https://booking.roadsurfer.com/es/rally/pick?pickup_date=2026-05-25&amp;return_date=2026-06-01&amp;currency=EUR&amp;startStation=38&amp;endStation=110", "Clic para verlo en la web de RoadSurfer")</f>
        <v/>
      </c>
    </row>
    <row r="923">
      <c r="A923" t="inlineStr">
        <is>
          <t>España</t>
        </is>
      </c>
      <c r="B923" t="inlineStr">
        <is>
          <t>Valencia</t>
        </is>
      </c>
      <c r="C923" t="inlineStr">
        <is>
          <t>Alemania</t>
        </is>
      </c>
      <c r="D923" t="inlineStr">
        <is>
          <t>Colonia-Bonn</t>
        </is>
      </c>
      <c r="E923" t="inlineStr">
        <is>
          <t>2026-04-14</t>
        </is>
      </c>
      <c r="F923" t="inlineStr">
        <is>
          <t>2026-04-21</t>
        </is>
      </c>
      <c r="G923" t="inlineStr">
        <is>
          <t xml:space="preserve"> - Couple Cottage</t>
        </is>
      </c>
      <c r="H923">
        <f>HYPERLINK("https://booking.roadsurfer.com/es/rally/pick?pickup_date=2026-04-14&amp;return_date=2026-04-21&amp;currency=EUR&amp;startStation=38&amp;endStation=52",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Italia</t>
        </is>
      </c>
      <c r="D924" t="inlineStr">
        <is>
          <t>Bérgamo</t>
        </is>
      </c>
      <c r="E924" t="inlineStr">
        <is>
          <t>2026-04-16</t>
        </is>
      </c>
      <c r="F924" t="inlineStr">
        <is>
          <t>2026-04-23</t>
        </is>
      </c>
      <c r="G924" t="inlineStr">
        <is>
          <t xml:space="preserve"> - Surfer Suite</t>
        </is>
      </c>
      <c r="H924">
        <f>HYPERLINK("https://booking.roadsurfer.com/es/rally/pick?pickup_date=2026-04-16&amp;return_date=2026-04-23&amp;currency=EUR&amp;startStation=78&amp;endStation=94",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Italia</t>
        </is>
      </c>
      <c r="D925" t="inlineStr">
        <is>
          <t>Bérgamo</t>
        </is>
      </c>
      <c r="E925" t="inlineStr">
        <is>
          <t>2026-04-07</t>
        </is>
      </c>
      <c r="F925" t="inlineStr">
        <is>
          <t>2026-04-14</t>
        </is>
      </c>
      <c r="G925" t="inlineStr">
        <is>
          <t xml:space="preserve"> - Surfer Suite</t>
        </is>
      </c>
      <c r="H925">
        <f>HYPERLINK("https://booking.roadsurfer.com/es/rally/pick?pickup_date=2026-04-07&amp;return_date=2026-04-14&amp;currency=EUR&amp;startStation=78&amp;endStation=94",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Italia</t>
        </is>
      </c>
      <c r="D926" t="inlineStr">
        <is>
          <t>Bérgamo</t>
        </is>
      </c>
      <c r="E926" t="inlineStr">
        <is>
          <t>2026-04-20</t>
        </is>
      </c>
      <c r="F926" t="inlineStr">
        <is>
          <t>2026-04-27</t>
        </is>
      </c>
      <c r="G926" t="inlineStr">
        <is>
          <t xml:space="preserve"> - Surfer Suite</t>
        </is>
      </c>
      <c r="H926">
        <f>HYPERLINK("https://booking.roadsurfer.com/es/rally/pick?pickup_date=2026-04-20&amp;return_date=2026-04-27&amp;currency=EUR&amp;startStation=78&amp;endStation=94",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Núremberg</t>
        </is>
      </c>
      <c r="E927" t="inlineStr">
        <is>
          <t>2026-05-11</t>
        </is>
      </c>
      <c r="F927" t="inlineStr">
        <is>
          <t>2026-05-18</t>
        </is>
      </c>
      <c r="G927" t="inlineStr">
        <is>
          <t xml:space="preserve"> - Surfer Suite</t>
        </is>
      </c>
      <c r="H927">
        <f>HYPERLINK("https://booking.roadsurfer.com/es/rally/pick?pickup_date=2026-05-11&amp;return_date=2026-05-18&amp;currency=EUR&amp;startStation=78&amp;endStation=11",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Núremberg</t>
        </is>
      </c>
      <c r="E928" t="inlineStr">
        <is>
          <t>2026-05-14</t>
        </is>
      </c>
      <c r="F928" t="inlineStr">
        <is>
          <t>2026-05-21</t>
        </is>
      </c>
      <c r="G928" t="inlineStr">
        <is>
          <t xml:space="preserve"> - Surfer Suite</t>
        </is>
      </c>
      <c r="H928">
        <f>HYPERLINK("https://booking.roadsurfer.com/es/rally/pick?pickup_date=2026-05-14&amp;return_date=2026-05-21&amp;currency=EUR&amp;startStation=78&amp;endStation=11",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Núremberg</t>
        </is>
      </c>
      <c r="E929" t="inlineStr">
        <is>
          <t>2026-05-18</t>
        </is>
      </c>
      <c r="F929" t="inlineStr">
        <is>
          <t>2026-05-25</t>
        </is>
      </c>
      <c r="G929" t="inlineStr">
        <is>
          <t xml:space="preserve"> - No hay coche</t>
        </is>
      </c>
      <c r="H929">
        <f>HYPERLINK("https://booking.roadsurfer.com/es/rally/pick?pickup_date=2026-05-18&amp;return_date=2026-05-25&amp;currency=EUR&amp;startStation=78&amp;endStation=11",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2026-05-11</t>
        </is>
      </c>
      <c r="F930" t="inlineStr">
        <is>
          <t>2026-05-18</t>
        </is>
      </c>
      <c r="G930" t="inlineStr">
        <is>
          <t xml:space="preserve"> - Surfer Suite - Couple Cottage</t>
        </is>
      </c>
      <c r="H930">
        <f>HYPERLINK("https://booking.roadsurfer.com/es/rally/pick?pickup_date=2026-05-11&amp;return_date=2026-05-18&amp;currency=EUR&amp;startStation=78&amp;endStation=90",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Stuttgart</t>
        </is>
      </c>
      <c r="E931" t="inlineStr">
        <is>
          <t>2026-05-11</t>
        </is>
      </c>
      <c r="F931" t="inlineStr">
        <is>
          <t>2026-05-18</t>
        </is>
      </c>
      <c r="G931" t="inlineStr">
        <is>
          <t xml:space="preserve"> - Surfer Suite</t>
        </is>
      </c>
      <c r="H931">
        <f>HYPERLINK("https://booking.roadsurfer.com/es/rally/pick?pickup_date=2026-05-11&amp;return_date=2026-05-18&amp;currency=EUR&amp;startStation=78&amp;endStation=5",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2026-05-06</t>
        </is>
      </c>
      <c r="F932" t="inlineStr">
        <is>
          <t>2026-05-13</t>
        </is>
      </c>
      <c r="G932" t="inlineStr">
        <is>
          <t xml:space="preserve"> - Beach Hostel</t>
        </is>
      </c>
      <c r="H932">
        <f>HYPERLINK("https://booking.roadsurfer.com/es/rally/pick?pickup_date=2026-05-06&amp;return_date=2026-05-13&amp;currency=EUR&amp;startStation=78&amp;endStation=22",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2026-05-08</t>
        </is>
      </c>
      <c r="F933" t="inlineStr">
        <is>
          <t>2026-05-15</t>
        </is>
      </c>
      <c r="G933" t="inlineStr">
        <is>
          <t xml:space="preserve"> - Beach Hostel</t>
        </is>
      </c>
      <c r="H933">
        <f>HYPERLINK("https://booking.roadsurfer.com/es/rally/pick?pickup_date=2026-05-08&amp;return_date=2026-05-15&amp;currency=EUR&amp;startStation=78&amp;endStation=22",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2026-05-04</t>
        </is>
      </c>
      <c r="F934" t="inlineStr">
        <is>
          <t>2026-05-11</t>
        </is>
      </c>
      <c r="G934" t="inlineStr">
        <is>
          <t xml:space="preserve"> - Sunrise Suite</t>
        </is>
      </c>
      <c r="H934">
        <f>HYPERLINK("https://booking.roadsurfer.com/es/rally/pick?pickup_date=2026-05-04&amp;return_date=2026-05-11&amp;currency=EUR&amp;startStation=78&amp;endStation=22",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Tréveris</t>
        </is>
      </c>
      <c r="E935" t="inlineStr">
        <is>
          <t>2026-05-06</t>
        </is>
      </c>
      <c r="F935" t="inlineStr">
        <is>
          <t>2026-05-13</t>
        </is>
      </c>
      <c r="G935" t="inlineStr">
        <is>
          <t xml:space="preserve"> - Couple Cottage</t>
        </is>
      </c>
      <c r="H935">
        <f>HYPERLINK("https://booking.roadsurfer.com/es/rally/pick?pickup_date=2026-05-06&amp;return_date=2026-05-13&amp;currency=EUR&amp;startStation=78&amp;endStation=28",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Tréveris</t>
        </is>
      </c>
      <c r="E936" t="inlineStr">
        <is>
          <t>2026-05-14</t>
        </is>
      </c>
      <c r="F936" t="inlineStr">
        <is>
          <t>2026-05-21</t>
        </is>
      </c>
      <c r="G936" t="inlineStr">
        <is>
          <t xml:space="preserve"> - CAMPER CABIN</t>
        </is>
      </c>
      <c r="H936">
        <f>HYPERLINK("https://booking.roadsurfer.com/es/rally/pick?pickup_date=2026-05-14&amp;return_date=2026-05-21&amp;currency=EUR&amp;startStation=78&amp;endStation=28",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Tréveris</t>
        </is>
      </c>
      <c r="E937" t="inlineStr">
        <is>
          <t>2026-05-13</t>
        </is>
      </c>
      <c r="F937" t="inlineStr">
        <is>
          <t>2026-05-20</t>
        </is>
      </c>
      <c r="G937" t="inlineStr">
        <is>
          <t xml:space="preserve"> - Road House</t>
        </is>
      </c>
      <c r="H937">
        <f>HYPERLINK("https://booking.roadsurfer.com/es/rally/pick?pickup_date=2026-05-13&amp;return_date=2026-05-20&amp;currency=EUR&amp;startStation=78&amp;endStation=28",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Wurzburgo</t>
        </is>
      </c>
      <c r="E938" t="inlineStr">
        <is>
          <t>2026-05-04</t>
        </is>
      </c>
      <c r="F938" t="inlineStr">
        <is>
          <t>2026-05-11</t>
        </is>
      </c>
      <c r="G938" t="inlineStr">
        <is>
          <t xml:space="preserve"> - Camper Castle</t>
        </is>
      </c>
      <c r="H938">
        <f>HYPERLINK("https://booking.roadsurfer.com/es/rally/pick?pickup_date=2026-05-04&amp;return_date=2026-05-11&amp;currency=EUR&amp;startStation=78&amp;endStation=115",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Wurzburgo</t>
        </is>
      </c>
      <c r="E939" t="inlineStr">
        <is>
          <t>2026-05-13</t>
        </is>
      </c>
      <c r="F939" t="inlineStr">
        <is>
          <t>2026-05-20</t>
        </is>
      </c>
      <c r="G939" t="inlineStr">
        <is>
          <t xml:space="preserve"> - Road House</t>
        </is>
      </c>
      <c r="H939">
        <f>HYPERLINK("https://booking.roadsurfer.com/es/rally/pick?pickup_date=2026-05-13&amp;return_date=2026-05-20&amp;currency=EUR&amp;startStation=78&amp;endStation=115",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Wurzburgo</t>
        </is>
      </c>
      <c r="E940" t="inlineStr">
        <is>
          <t>2026-05-16</t>
        </is>
      </c>
      <c r="F940" t="inlineStr">
        <is>
          <t>2026-05-23</t>
        </is>
      </c>
      <c r="G940" t="inlineStr">
        <is>
          <t xml:space="preserve"> - Couple Cottage</t>
        </is>
      </c>
      <c r="H940">
        <f>HYPERLINK("https://booking.roadsurfer.com/es/rally/pick?pickup_date=2026-05-16&amp;return_date=2026-05-23&amp;currency=EUR&amp;startStation=78&amp;endStation=115",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Leipzig</t>
        </is>
      </c>
      <c r="E941" t="inlineStr">
        <is>
          <t>2026-05-06</t>
        </is>
      </c>
      <c r="F941" t="inlineStr">
        <is>
          <t>2026-05-13</t>
        </is>
      </c>
      <c r="G941" t="inlineStr">
        <is>
          <t xml:space="preserve"> - Road House - Cozy Cottage - Sunrise Suite</t>
        </is>
      </c>
      <c r="H941">
        <f>HYPERLINK("https://booking.roadsurfer.com/es/rally/pick?pickup_date=2026-05-06&amp;return_date=2026-05-13&amp;currency=EUR&amp;startStation=78&amp;endStation=8",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Leipzig</t>
        </is>
      </c>
      <c r="E942" t="inlineStr">
        <is>
          <t>2026-05-29</t>
        </is>
      </c>
      <c r="F942" t="inlineStr">
        <is>
          <t>2026-06-05</t>
        </is>
      </c>
      <c r="G942" t="inlineStr">
        <is>
          <t xml:space="preserve"> - Couple Cottage</t>
        </is>
      </c>
      <c r="H942">
        <f>HYPERLINK("https://booking.roadsurfer.com/es/rally/pick?pickup_date=2026-05-29&amp;return_date=2026-06-05&amp;currency=EUR&amp;startStation=78&amp;endStation=8",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Dresde</t>
        </is>
      </c>
      <c r="E943" t="inlineStr">
        <is>
          <t>2026-05-04</t>
        </is>
      </c>
      <c r="F943" t="inlineStr">
        <is>
          <t>2026-05-11</t>
        </is>
      </c>
      <c r="G943" t="inlineStr">
        <is>
          <t xml:space="preserve"> - Road House - Camper Castle</t>
        </is>
      </c>
      <c r="H943">
        <f>HYPERLINK("https://booking.roadsurfer.com/es/rally/pick?pickup_date=2026-05-04&amp;return_date=2026-05-11&amp;currency=EUR&amp;startStation=78&amp;endStation=56",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Dresde</t>
        </is>
      </c>
      <c r="E944" t="inlineStr">
        <is>
          <t>2026-05-11</t>
        </is>
      </c>
      <c r="F944" t="inlineStr">
        <is>
          <t>2026-05-18</t>
        </is>
      </c>
      <c r="G944" t="inlineStr">
        <is>
          <t xml:space="preserve"> - Road House</t>
        </is>
      </c>
      <c r="H944">
        <f>HYPERLINK("https://booking.roadsurfer.com/es/rally/pick?pickup_date=2026-05-11&amp;return_date=2026-05-18&amp;currency=EUR&amp;startStation=78&amp;endStation=56",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Dresde</t>
        </is>
      </c>
      <c r="E945" t="inlineStr">
        <is>
          <t>2026-05-08</t>
        </is>
      </c>
      <c r="F945" t="inlineStr">
        <is>
          <t>2026-05-15</t>
        </is>
      </c>
      <c r="G945" t="inlineStr">
        <is>
          <t xml:space="preserve"> - Couple Cottage</t>
        </is>
      </c>
      <c r="H945">
        <f>HYPERLINK("https://booking.roadsurfer.com/es/rally/pick?pickup_date=2026-05-08&amp;return_date=2026-05-15&amp;currency=EUR&amp;startStation=78&amp;endStation=56",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Heidelberg</t>
        </is>
      </c>
      <c r="E946" t="inlineStr">
        <is>
          <t>2026-05-18</t>
        </is>
      </c>
      <c r="F946" t="inlineStr">
        <is>
          <t>2026-05-25</t>
        </is>
      </c>
      <c r="G946" t="inlineStr">
        <is>
          <t xml:space="preserve"> - No hay coche</t>
        </is>
      </c>
      <c r="H946">
        <f>HYPERLINK("https://booking.roadsurfer.com/es/rally/pick?pickup_date=2026-05-18&amp;return_date=2026-05-25&amp;currency=EUR&amp;startStation=78&amp;endStation=79", "Clic para verlo en la web de RoadSurfer")</f>
        <v/>
      </c>
    </row>
    <row r="947">
      <c r="A947" t="inlineStr">
        <is>
          <t>Austria</t>
        </is>
      </c>
      <c r="B947" t="inlineStr">
        <is>
          <t>Viena</t>
        </is>
      </c>
      <c r="C947" t="inlineStr">
        <is>
          <t>Alemania</t>
        </is>
      </c>
      <c r="D947" t="inlineStr">
        <is>
          <t>Dresde</t>
        </is>
      </c>
      <c r="E947" t="inlineStr">
        <is>
          <t>2026-05-13</t>
        </is>
      </c>
      <c r="F947" t="inlineStr">
        <is>
          <t>2026-05-20</t>
        </is>
      </c>
      <c r="G947" t="inlineStr">
        <is>
          <t xml:space="preserve"> - Surfer Suite</t>
        </is>
      </c>
      <c r="H947">
        <f>HYPERLINK("https://booking.roadsurfer.com/es/rally/pick?pickup_date=2026-05-13&amp;return_date=2026-05-20&amp;currency=EUR&amp;startStation=36&amp;endStation=56", "Clic para verlo en la web de RoadSurfer")</f>
        <v/>
      </c>
    </row>
    <row r="948">
      <c r="A948" t="inlineStr">
        <is>
          <t>Austria</t>
        </is>
      </c>
      <c r="B948" t="inlineStr">
        <is>
          <t>Viena</t>
        </is>
      </c>
      <c r="C948" t="inlineStr">
        <is>
          <t>Alemania</t>
        </is>
      </c>
      <c r="D948" t="inlineStr">
        <is>
          <t>Dresde</t>
        </is>
      </c>
      <c r="E948" t="inlineStr">
        <is>
          <t>2026-04-20</t>
        </is>
      </c>
      <c r="F948" t="inlineStr">
        <is>
          <t>2026-04-27</t>
        </is>
      </c>
      <c r="G948" t="inlineStr">
        <is>
          <t xml:space="preserve"> - Camper Castle</t>
        </is>
      </c>
      <c r="H948">
        <f>HYPERLINK("https://booking.roadsurfer.com/es/rally/pick?pickup_date=2026-04-20&amp;return_date=2026-04-27&amp;currency=EUR&amp;startStation=36&amp;endStation=56", "Clic para verlo en la web de RoadSurfer")</f>
        <v/>
      </c>
    </row>
    <row r="949">
      <c r="A949" t="inlineStr">
        <is>
          <t>Austria</t>
        </is>
      </c>
      <c r="B949" t="inlineStr">
        <is>
          <t>Viena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2026-05-11</t>
        </is>
      </c>
      <c r="F949" t="inlineStr">
        <is>
          <t>2026-05-18</t>
        </is>
      </c>
      <c r="G949" t="inlineStr">
        <is>
          <t xml:space="preserve"> - Camper Cabin Deluxe</t>
        </is>
      </c>
      <c r="H949">
        <f>HYPERLINK("https://booking.roadsurfer.com/es/rally/pick?pickup_date=2026-05-11&amp;return_date=2026-05-18&amp;currency=EUR&amp;startStation=36&amp;endStation=56", "Clic para verlo en la web de RoadSurfer")</f>
        <v/>
      </c>
    </row>
    <row r="950">
      <c r="A950" t="inlineStr">
        <is>
          <t>Austria</t>
        </is>
      </c>
      <c r="B950" t="inlineStr">
        <is>
          <t>Viena</t>
        </is>
      </c>
      <c r="C950" t="inlineStr">
        <is>
          <t>Alemania</t>
        </is>
      </c>
      <c r="D950" t="inlineStr">
        <is>
          <t>Berlín</t>
        </is>
      </c>
      <c r="E950" t="inlineStr">
        <is>
          <t>2026-05-07</t>
        </is>
      </c>
      <c r="F950" t="inlineStr">
        <is>
          <t>2026-05-14</t>
        </is>
      </c>
      <c r="G950" t="inlineStr">
        <is>
          <t xml:space="preserve"> - No hay coche</t>
        </is>
      </c>
      <c r="H950">
        <f>HYPERLINK("https://booking.roadsurfer.com/es/rally/pick?pickup_date=2026-05-07&amp;return_date=2026-05-14&amp;currency=EUR&amp;startStation=36&amp;endStation=6", "Clic para verlo en la web de RoadSurfer")</f>
        <v/>
      </c>
    </row>
    <row r="951">
      <c r="A951" t="inlineStr">
        <is>
          <t>Austria</t>
        </is>
      </c>
      <c r="B951" t="inlineStr">
        <is>
          <t>Viena</t>
        </is>
      </c>
      <c r="C951" t="inlineStr">
        <is>
          <t>Alemania</t>
        </is>
      </c>
      <c r="D951" t="inlineStr">
        <is>
          <t>Berlín</t>
        </is>
      </c>
      <c r="E951" t="inlineStr">
        <is>
          <t>2026-05-15</t>
        </is>
      </c>
      <c r="F951" t="inlineStr">
        <is>
          <t>2026-05-22</t>
        </is>
      </c>
      <c r="G951" t="inlineStr">
        <is>
          <t xml:space="preserve"> - Road House</t>
        </is>
      </c>
      <c r="H951">
        <f>HYPERLINK("https://booking.roadsurfer.com/es/rally/pick?pickup_date=2026-05-15&amp;return_date=2026-05-22&amp;currency=EUR&amp;startStation=36&amp;endStation=6", "Clic para verlo en la web de RoadSurfer")</f>
        <v/>
      </c>
    </row>
    <row r="952">
      <c r="A952" t="inlineStr">
        <is>
          <t>Austria</t>
        </is>
      </c>
      <c r="B952" t="inlineStr">
        <is>
          <t>Viena</t>
        </is>
      </c>
      <c r="C952" t="inlineStr">
        <is>
          <t>Alemania</t>
        </is>
      </c>
      <c r="D952" t="inlineStr">
        <is>
          <t>Berlín</t>
        </is>
      </c>
      <c r="E952" t="inlineStr">
        <is>
          <t>2026-05-16</t>
        </is>
      </c>
      <c r="F952" t="inlineStr">
        <is>
          <t>2026-05-23</t>
        </is>
      </c>
      <c r="G952" t="inlineStr">
        <is>
          <t xml:space="preserve"> - Couple Cottage</t>
        </is>
      </c>
      <c r="H952">
        <f>HYPERLINK("https://booking.roadsurfer.com/es/rally/pick?pickup_date=2026-05-16&amp;return_date=2026-05-23&amp;currency=EUR&amp;startStation=36&amp;endStation=6", "Clic para verlo en la web de RoadSurfer")</f>
        <v/>
      </c>
    </row>
    <row r="953">
      <c r="A953" t="inlineStr">
        <is>
          <t>Austria</t>
        </is>
      </c>
      <c r="B953" t="inlineStr">
        <is>
          <t>Viena</t>
        </is>
      </c>
      <c r="C953" t="inlineStr">
        <is>
          <t>Alemania</t>
        </is>
      </c>
      <c r="D953" t="inlineStr">
        <is>
          <t>Leipzig</t>
        </is>
      </c>
      <c r="E953" t="inlineStr">
        <is>
          <t>2026-04-14</t>
        </is>
      </c>
      <c r="F953" t="inlineStr">
        <is>
          <t>2026-04-21</t>
        </is>
      </c>
      <c r="G953" t="inlineStr">
        <is>
          <t xml:space="preserve"> - Cozy Cottage</t>
        </is>
      </c>
      <c r="H953">
        <f>HYPERLINK("https://booking.roadsurfer.com/es/rally/pick?pickup_date=2026-04-14&amp;return_date=2026-04-21&amp;currency=EUR&amp;startStation=36&amp;endStation=8", "Clic para verlo en la web de RoadSurfer")</f>
        <v/>
      </c>
    </row>
    <row r="954">
      <c r="A954" t="inlineStr">
        <is>
          <t>Austria</t>
        </is>
      </c>
      <c r="B954" t="inlineStr">
        <is>
          <t>Viena</t>
        </is>
      </c>
      <c r="C954" t="inlineStr">
        <is>
          <t>Alemania</t>
        </is>
      </c>
      <c r="D954" t="inlineStr">
        <is>
          <t>Leipzig</t>
        </is>
      </c>
      <c r="E954" t="inlineStr">
        <is>
          <t>2026-04-18</t>
        </is>
      </c>
      <c r="F954" t="inlineStr">
        <is>
          <t>2026-04-25</t>
        </is>
      </c>
      <c r="G954" t="inlineStr">
        <is>
          <t xml:space="preserve"> - Camper Cabin</t>
        </is>
      </c>
      <c r="H954">
        <f>HYPERLINK("https://booking.roadsurfer.com/es/rally/pick?pickup_date=2026-04-18&amp;return_date=2026-04-25&amp;currency=EUR&amp;startStation=36&amp;endStation=8", "Clic para verlo en la web de RoadSurfer")</f>
        <v/>
      </c>
    </row>
    <row r="955">
      <c r="A955" t="inlineStr">
        <is>
          <t>Austria</t>
        </is>
      </c>
      <c r="B955" t="inlineStr">
        <is>
          <t>Viena</t>
        </is>
      </c>
      <c r="C955" t="inlineStr">
        <is>
          <t>Alemania</t>
        </is>
      </c>
      <c r="D955" t="inlineStr">
        <is>
          <t>Karlsruhe</t>
        </is>
      </c>
      <c r="E955" t="inlineStr">
        <is>
          <t>2026-05-08</t>
        </is>
      </c>
      <c r="F955" t="inlineStr">
        <is>
          <t>2026-05-15</t>
        </is>
      </c>
      <c r="G955" t="inlineStr">
        <is>
          <t xml:space="preserve"> - Road House</t>
        </is>
      </c>
      <c r="H955">
        <f>HYPERLINK("https://booking.roadsurfer.com/es/rally/pick?pickup_date=2026-05-08&amp;return_date=2026-05-15&amp;currency=EUR&amp;startStation=36&amp;endStation=110", "Clic para verlo en la web de RoadSurfer")</f>
        <v/>
      </c>
    </row>
    <row r="956">
      <c r="A956" t="inlineStr">
        <is>
          <t>Austria</t>
        </is>
      </c>
      <c r="B956" t="inlineStr">
        <is>
          <t>Viena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2026-05-04</t>
        </is>
      </c>
      <c r="F956" t="inlineStr">
        <is>
          <t>2026-05-11</t>
        </is>
      </c>
      <c r="G956" t="inlineStr">
        <is>
          <t xml:space="preserve"> - Cozy Cottage</t>
        </is>
      </c>
      <c r="H956">
        <f>HYPERLINK("https://booking.roadsurfer.com/es/rally/pick?pickup_date=2026-05-04&amp;return_date=2026-05-11&amp;currency=EUR&amp;startStation=36&amp;endStation=22", "Clic para verlo en la web de RoadSurfer")</f>
        <v/>
      </c>
    </row>
    <row r="957">
      <c r="A957" t="inlineStr">
        <is>
          <t>Austria</t>
        </is>
      </c>
      <c r="B957" t="inlineStr">
        <is>
          <t>Viena Sur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2026-05-06</t>
        </is>
      </c>
      <c r="F957" t="inlineStr">
        <is>
          <t>2026-05-13</t>
        </is>
      </c>
      <c r="G957" t="inlineStr">
        <is>
          <t xml:space="preserve"> - Surfer Suite</t>
        </is>
      </c>
      <c r="H957">
        <f>HYPERLINK("https://booking.roadsurfer.com/es/rally/pick?pickup_date=2026-05-06&amp;return_date=2026-05-13&amp;currency=EUR&amp;startStation=45&amp;endStation=22", "Clic para verlo en la web de RoadSurfer")</f>
        <v/>
      </c>
    </row>
    <row r="958">
      <c r="A958" t="inlineStr">
        <is>
          <t>Austria</t>
        </is>
      </c>
      <c r="B958" t="inlineStr">
        <is>
          <t>Viena Sur</t>
        </is>
      </c>
      <c r="C958" t="inlineStr">
        <is>
          <t>Alemania</t>
        </is>
      </c>
      <c r="D958" t="inlineStr">
        <is>
          <t>Marburg</t>
        </is>
      </c>
      <c r="E958" t="inlineStr">
        <is>
          <t>2026-05-15</t>
        </is>
      </c>
      <c r="F958" t="inlineStr">
        <is>
          <t>2026-05-22</t>
        </is>
      </c>
      <c r="G958" t="inlineStr">
        <is>
          <t xml:space="preserve"> - SURFER SUITE</t>
        </is>
      </c>
      <c r="H958">
        <f>HYPERLINK("https://booking.roadsurfer.com/es/rally/pick?pickup_date=2026-05-15&amp;return_date=2026-05-22&amp;currency=EUR&amp;startStation=45&amp;endStation=22", "Clic para verlo en la web de RoadSurfer")</f>
        <v/>
      </c>
    </row>
    <row r="959">
      <c r="A959" t="inlineStr">
        <is>
          <t>Austria</t>
        </is>
      </c>
      <c r="B959" t="inlineStr">
        <is>
          <t>Viena Sur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2026-05-19</t>
        </is>
      </c>
      <c r="F959" t="inlineStr">
        <is>
          <t>2026-05-26</t>
        </is>
      </c>
      <c r="G959" t="inlineStr">
        <is>
          <t xml:space="preserve"> - Couple Cottage - Cozy Cottage</t>
        </is>
      </c>
      <c r="H959">
        <f>HYPERLINK("https://booking.roadsurfer.com/es/rally/pick?pickup_date=2026-05-19&amp;return_date=2026-05-26&amp;currency=EUR&amp;startStation=45&amp;endStation=22", "Clic para verlo en la web de RoadSurfer")</f>
        <v/>
      </c>
    </row>
    <row r="960">
      <c r="A960" t="inlineStr">
        <is>
          <t>Austria</t>
        </is>
      </c>
      <c r="B960" t="inlineStr">
        <is>
          <t>Viena Sur</t>
        </is>
      </c>
      <c r="C960" t="inlineStr">
        <is>
          <t>Alemania</t>
        </is>
      </c>
      <c r="D960" t="inlineStr">
        <is>
          <t>Marburg</t>
        </is>
      </c>
      <c r="E960" t="inlineStr">
        <is>
          <t>2026-05-26</t>
        </is>
      </c>
      <c r="F960" t="inlineStr">
        <is>
          <t>2026-06-02</t>
        </is>
      </c>
      <c r="G960" t="inlineStr">
        <is>
          <t xml:space="preserve"> - Cozy Cottage</t>
        </is>
      </c>
      <c r="H960">
        <f>HYPERLINK("https://booking.roadsurfer.com/es/rally/pick?pickup_date=2026-05-26&amp;return_date=2026-06-02&amp;currency=EUR&amp;startStation=45&amp;endStation=22", "Clic para verlo en la web de RoadSurfer")</f>
        <v/>
      </c>
    </row>
    <row r="961">
      <c r="A961" t="inlineStr">
        <is>
          <t>Austria</t>
        </is>
      </c>
      <c r="B961" t="inlineStr">
        <is>
          <t>Viena Sur</t>
        </is>
      </c>
      <c r="C961" t="inlineStr">
        <is>
          <t>Alemania</t>
        </is>
      </c>
      <c r="D961" t="inlineStr">
        <is>
          <t>Múnich</t>
        </is>
      </c>
      <c r="E961" t="inlineStr">
        <is>
          <t>2026-05-11</t>
        </is>
      </c>
      <c r="F961" t="inlineStr">
        <is>
          <t>2026-05-18</t>
        </is>
      </c>
      <c r="G961" t="inlineStr">
        <is>
          <t xml:space="preserve"> - Road House</t>
        </is>
      </c>
      <c r="H961">
        <f>HYPERLINK("https://booking.roadsurfer.com/es/rally/pick?pickup_date=2026-05-11&amp;return_date=2026-05-18&amp;currency=EUR&amp;startStation=45&amp;endStation=1", "Clic para verlo en la web de RoadSurfer")</f>
        <v/>
      </c>
    </row>
    <row r="962">
      <c r="A962" t="inlineStr">
        <is>
          <t>Austria</t>
        </is>
      </c>
      <c r="B962" t="inlineStr">
        <is>
          <t>Viena Sur</t>
        </is>
      </c>
      <c r="C962" t="inlineStr">
        <is>
          <t>Alemania</t>
        </is>
      </c>
      <c r="D962" t="inlineStr">
        <is>
          <t>Múnich</t>
        </is>
      </c>
      <c r="E962" t="inlineStr">
        <is>
          <t>2026-05-27</t>
        </is>
      </c>
      <c r="F962" t="inlineStr">
        <is>
          <t>2026-06-03</t>
        </is>
      </c>
      <c r="G962" t="inlineStr">
        <is>
          <t xml:space="preserve"> - Camper Cabin</t>
        </is>
      </c>
      <c r="H962">
        <f>HYPERLINK("https://booking.roadsurfer.com/es/rally/pick?pickup_date=2026-05-27&amp;return_date=2026-06-03&amp;currency=EUR&amp;startStation=45&amp;endStation=1",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Múnich</t>
        </is>
      </c>
      <c r="E963" t="inlineStr">
        <is>
          <t>2026-04-14</t>
        </is>
      </c>
      <c r="F963" t="inlineStr">
        <is>
          <t>2026-04-21</t>
        </is>
      </c>
      <c r="G963" t="inlineStr">
        <is>
          <t xml:space="preserve"> - Couple Cottage</t>
        </is>
      </c>
      <c r="H963">
        <f>HYPERLINK("https://booking.roadsurfer.com/es/rally/pick?pickup_date=2026-04-14&amp;return_date=2026-04-21&amp;currency=EUR&amp;startStation=45&amp;endStation=1",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Augsburgo</t>
        </is>
      </c>
      <c r="E964" t="inlineStr">
        <is>
          <t>2026-05-11</t>
        </is>
      </c>
      <c r="F964" t="inlineStr">
        <is>
          <t>2026-05-18</t>
        </is>
      </c>
      <c r="G964" t="inlineStr">
        <is>
          <t xml:space="preserve"> - ROAD HOUSE - Family Finca</t>
        </is>
      </c>
      <c r="H964">
        <f>HYPERLINK("https://booking.roadsurfer.com/es/rally/pick?pickup_date=2026-05-11&amp;return_date=2026-05-18&amp;currency=EUR&amp;startStation=45&amp;endStation=108",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Augsburgo</t>
        </is>
      </c>
      <c r="E965" t="inlineStr">
        <is>
          <t>2026-04-18</t>
        </is>
      </c>
      <c r="F965" t="inlineStr">
        <is>
          <t>2026-04-25</t>
        </is>
      </c>
      <c r="G965" t="inlineStr">
        <is>
          <t xml:space="preserve"> - Camper Cabin</t>
        </is>
      </c>
      <c r="H965">
        <f>HYPERLINK("https://booking.roadsurfer.com/es/rally/pick?pickup_date=2026-04-18&amp;return_date=2026-04-25&amp;currency=EUR&amp;startStation=45&amp;endStation=108",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Colonia-Düsseldorf</t>
        </is>
      </c>
      <c r="E966" t="inlineStr">
        <is>
          <t>2026-05-08</t>
        </is>
      </c>
      <c r="F966" t="inlineStr">
        <is>
          <t>2026-05-15</t>
        </is>
      </c>
      <c r="G966" t="inlineStr">
        <is>
          <t xml:space="preserve"> - COUPLE COTTAGE</t>
        </is>
      </c>
      <c r="H966">
        <f>HYPERLINK("https://booking.roadsurfer.com/es/rally/pick?pickup_date=2026-05-08&amp;return_date=2026-05-15&amp;currency=EUR&amp;startStation=45&amp;endStation=4",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Colonia-Düsseldorf</t>
        </is>
      </c>
      <c r="E967" t="inlineStr">
        <is>
          <t>2026-05-13</t>
        </is>
      </c>
      <c r="F967" t="inlineStr">
        <is>
          <t>2026-05-20</t>
        </is>
      </c>
      <c r="G967" t="inlineStr">
        <is>
          <t xml:space="preserve"> - Road House</t>
        </is>
      </c>
      <c r="H967">
        <f>HYPERLINK("https://booking.roadsurfer.com/es/rally/pick?pickup_date=2026-05-13&amp;return_date=2026-05-20&amp;currency=EUR&amp;startStation=45&amp;endStation=4",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Colonia-Düsseldorf</t>
        </is>
      </c>
      <c r="E968" t="inlineStr">
        <is>
          <t>2026-05-22</t>
        </is>
      </c>
      <c r="F968" t="inlineStr">
        <is>
          <t>2026-05-29</t>
        </is>
      </c>
      <c r="G968" t="inlineStr">
        <is>
          <t xml:space="preserve"> - Couple Cottage</t>
        </is>
      </c>
      <c r="H968">
        <f>HYPERLINK("https://booking.roadsurfer.com/es/rally/pick?pickup_date=2026-05-22&amp;return_date=2026-05-29&amp;currency=EUR&amp;startStation=45&amp;endStation=4",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España</t>
        </is>
      </c>
      <c r="D969" t="inlineStr">
        <is>
          <t>Valencia</t>
        </is>
      </c>
      <c r="E969" t="inlineStr">
        <is>
          <t>2026-04-14</t>
        </is>
      </c>
      <c r="F969" t="inlineStr">
        <is>
          <t>2026-04-21</t>
        </is>
      </c>
      <c r="G969" t="inlineStr">
        <is>
          <t xml:space="preserve"> - Camper Castle</t>
        </is>
      </c>
      <c r="H969">
        <f>HYPERLINK("https://booking.roadsurfer.com/es/rally/pick?pickup_date=2026-04-14&amp;return_date=2026-04-21&amp;currency=EUR&amp;startStation=45&amp;endStation=38",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Leipzig</t>
        </is>
      </c>
      <c r="E970" t="inlineStr">
        <is>
          <t>2026-04-13</t>
        </is>
      </c>
      <c r="F970" t="inlineStr">
        <is>
          <t>2026-04-20</t>
        </is>
      </c>
      <c r="G970" t="inlineStr">
        <is>
          <t xml:space="preserve"> - Family Finca</t>
        </is>
      </c>
      <c r="H970">
        <f>HYPERLINK("https://booking.roadsurfer.com/es/rally/pick?pickup_date=2026-04-13&amp;return_date=2026-04-20&amp;currency=EUR&amp;startStation=45&amp;endStation=8", "Clic para verlo en la web de RoadSurfer")</f>
        <v/>
      </c>
    </row>
    <row r="971">
      <c r="A971" t="inlineStr">
        <is>
          <t>Austria</t>
        </is>
      </c>
      <c r="B971" t="inlineStr">
        <is>
          <t>Viena Sur</t>
        </is>
      </c>
      <c r="C971" t="inlineStr">
        <is>
          <t>Alemania</t>
        </is>
      </c>
      <c r="D971" t="inlineStr">
        <is>
          <t>Leipzig</t>
        </is>
      </c>
      <c r="E971" t="inlineStr">
        <is>
          <t>2026-04-14</t>
        </is>
      </c>
      <c r="F971" t="inlineStr">
        <is>
          <t>2026-04-21</t>
        </is>
      </c>
      <c r="G971" t="inlineStr">
        <is>
          <t xml:space="preserve"> - Family Finca</t>
        </is>
      </c>
      <c r="H971">
        <f>HYPERLINK("https://booking.roadsurfer.com/es/rally/pick?pickup_date=2026-04-14&amp;return_date=2026-04-21&amp;currency=EUR&amp;startStation=45&amp;endStation=8", "Clic para verlo en la web de RoadSurfer")</f>
        <v/>
      </c>
    </row>
    <row r="972">
      <c r="A972" t="inlineStr">
        <is>
          <t>Austria</t>
        </is>
      </c>
      <c r="B972" t="inlineStr">
        <is>
          <t>Viena Sur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2026-04-15</t>
        </is>
      </c>
      <c r="F972" t="inlineStr">
        <is>
          <t>2026-04-22</t>
        </is>
      </c>
      <c r="G972" t="inlineStr">
        <is>
          <t xml:space="preserve"> - Cozy Cottage</t>
        </is>
      </c>
      <c r="H972">
        <f>HYPERLINK("https://booking.roadsurfer.com/es/rally/pick?pickup_date=2026-04-15&amp;return_date=2026-04-22&amp;currency=EUR&amp;startStation=45&amp;endStation=90", "Clic para verlo en la web de RoadSurfer")</f>
        <v/>
      </c>
    </row>
    <row r="973">
      <c r="A973" t="inlineStr">
        <is>
          <t>Austria</t>
        </is>
      </c>
      <c r="B973" t="inlineStr">
        <is>
          <t>Viena Sur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2026-05-11</t>
        </is>
      </c>
      <c r="F973" t="inlineStr">
        <is>
          <t>2026-05-18</t>
        </is>
      </c>
      <c r="G973" t="inlineStr">
        <is>
          <t xml:space="preserve"> - Cozy Cottage</t>
        </is>
      </c>
      <c r="H973">
        <f>HYPERLINK("https://booking.roadsurfer.com/es/rally/pick?pickup_date=2026-05-11&amp;return_date=2026-05-18&amp;currency=EUR&amp;startStation=45&amp;endStation=90",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Erfurt</t>
        </is>
      </c>
      <c r="E974" t="inlineStr">
        <is>
          <t>2026-04-13</t>
        </is>
      </c>
      <c r="F974" t="inlineStr">
        <is>
          <t>2026-04-20</t>
        </is>
      </c>
      <c r="G974" t="inlineStr">
        <is>
          <t xml:space="preserve"> - Couple Cottage</t>
        </is>
      </c>
      <c r="H974">
        <f>HYPERLINK("https://booking.roadsurfer.com/es/rally/pick?pickup_date=2026-04-13&amp;return_date=2026-04-20&amp;currency=EUR&amp;startStation=45&amp;endStation=90", "Clic para verlo en la web de RoadSurfer")</f>
        <v/>
      </c>
    </row>
    <row r="975">
      <c r="A975" t="inlineStr">
        <is>
          <t>Austria</t>
        </is>
      </c>
      <c r="B975" t="inlineStr">
        <is>
          <t>Viena Sur</t>
        </is>
      </c>
      <c r="C975" t="inlineStr">
        <is>
          <t>Alemania</t>
        </is>
      </c>
      <c r="D975" t="inlineStr">
        <is>
          <t>Núremberg</t>
        </is>
      </c>
      <c r="E975" t="inlineStr">
        <is>
          <t>2026-04-15</t>
        </is>
      </c>
      <c r="F975" t="inlineStr">
        <is>
          <t>2026-04-22</t>
        </is>
      </c>
      <c r="G975" t="inlineStr">
        <is>
          <t xml:space="preserve"> - Cozy Cottage</t>
        </is>
      </c>
      <c r="H975">
        <f>HYPERLINK("https://booking.roadsurfer.com/es/rally/pick?pickup_date=2026-04-15&amp;return_date=2026-04-22&amp;currency=EUR&amp;startStation=45&amp;endStation=11", "Clic para verlo en la web de RoadSurfer")</f>
        <v/>
      </c>
    </row>
    <row r="976">
      <c r="A976" t="inlineStr">
        <is>
          <t>EE.UU.</t>
        </is>
      </c>
      <c r="B976" t="inlineStr">
        <is>
          <t>Winnebago Industries</t>
        </is>
      </c>
      <c r="C976" t="inlineStr">
        <is>
          <t>EE.UU.</t>
        </is>
      </c>
      <c r="D976" t="inlineStr">
        <is>
          <t>Denver</t>
        </is>
      </c>
      <c r="E976" t="inlineStr">
        <is>
          <t>2026-04-13</t>
        </is>
      </c>
      <c r="F976" t="inlineStr">
        <is>
          <t>2026-04-27</t>
        </is>
      </c>
      <c r="G976" t="inlineStr">
        <is>
          <t xml:space="preserve"> - Liberty Lodge</t>
        </is>
      </c>
      <c r="H976">
        <f>HYPERLINK("https://booking.roadsurfer.com/es/rally/pick?pickup_date=2026-04-13&amp;return_date=2026-04-27&amp;currency=EUR&amp;startStation=81&amp;endStation=104", "Clic para verlo en la web de RoadSurfer")</f>
        <v/>
      </c>
    </row>
    <row r="977">
      <c r="A977" t="inlineStr">
        <is>
          <t>EE.UU.</t>
        </is>
      </c>
      <c r="B977" t="inlineStr">
        <is>
          <t>Winnebago Industries</t>
        </is>
      </c>
      <c r="C977" t="inlineStr">
        <is>
          <t>EE.UU.</t>
        </is>
      </c>
      <c r="D977" t="inlineStr">
        <is>
          <t>Denver</t>
        </is>
      </c>
      <c r="E977" t="inlineStr">
        <is>
          <t>2026-04-08</t>
        </is>
      </c>
      <c r="F977" t="inlineStr">
        <is>
          <t>2026-04-22</t>
        </is>
      </c>
      <c r="G977" t="inlineStr">
        <is>
          <t xml:space="preserve"> - Liberty Lodge</t>
        </is>
      </c>
      <c r="H977">
        <f>HYPERLINK("https://booking.roadsurfer.com/es/rally/pick?pickup_date=2026-04-08&amp;return_date=2026-04-22&amp;currency=EUR&amp;startStation=81&amp;endStation=104", "Clic para verlo en la web de RoadSurfer")</f>
        <v/>
      </c>
    </row>
    <row r="978">
      <c r="A978" t="inlineStr">
        <is>
          <t>EE.UU.</t>
        </is>
      </c>
      <c r="B978" t="inlineStr">
        <is>
          <t>Winnebago Industries</t>
        </is>
      </c>
      <c r="C978" t="inlineStr">
        <is>
          <t>EE.UU.</t>
        </is>
      </c>
      <c r="D978" t="inlineStr">
        <is>
          <t>Denver</t>
        </is>
      </c>
      <c r="E978" t="inlineStr">
        <is>
          <t>2026-04-10</t>
        </is>
      </c>
      <c r="F978" t="inlineStr">
        <is>
          <t>2026-04-24</t>
        </is>
      </c>
      <c r="G978" t="inlineStr">
        <is>
          <t xml:space="preserve"> - Liberty Lodge - Couple Condo</t>
        </is>
      </c>
      <c r="H978">
        <f>HYPERLINK("https://booking.roadsurfer.com/es/rally/pick?pickup_date=2026-04-10&amp;return_date=2026-04-24&amp;currency=EUR&amp;startStation=81&amp;endStation=104", "Clic para verlo en la web de RoadSurfer")</f>
        <v/>
      </c>
    </row>
    <row r="979">
      <c r="A979" t="inlineStr">
        <is>
          <t>EE.UU.</t>
        </is>
      </c>
      <c r="B979" t="inlineStr">
        <is>
          <t>Winnebago Industries</t>
        </is>
      </c>
      <c r="C979" t="inlineStr">
        <is>
          <t>EE.UU.</t>
        </is>
      </c>
      <c r="D979" t="inlineStr">
        <is>
          <t>Denver</t>
        </is>
      </c>
      <c r="E979" t="inlineStr">
        <is>
          <t>2026-03-31</t>
        </is>
      </c>
      <c r="F979" t="inlineStr">
        <is>
          <t>2026-04-14</t>
        </is>
      </c>
      <c r="G979" t="inlineStr">
        <is>
          <t xml:space="preserve"> - Couple Condo</t>
        </is>
      </c>
      <c r="H979">
        <f>HYPERLINK("https://booking.roadsurfer.com/es/rally/pick?pickup_date=2026-03-31&amp;return_date=2026-04-14&amp;currency=EUR&amp;startStation=81&amp;endStation=104", "Clic para verlo en la web de RoadSurfer")</f>
        <v/>
      </c>
    </row>
    <row r="980">
      <c r="A980" t="inlineStr">
        <is>
          <t>EE.UU.</t>
        </is>
      </c>
      <c r="B980" t="inlineStr">
        <is>
          <t>Winnebago Industries</t>
        </is>
      </c>
      <c r="C980" t="inlineStr">
        <is>
          <t>EE.UU.</t>
        </is>
      </c>
      <c r="D980" t="inlineStr">
        <is>
          <t>Denver</t>
        </is>
      </c>
      <c r="E980" t="inlineStr">
        <is>
          <t>2026-04-15</t>
        </is>
      </c>
      <c r="F980" t="inlineStr">
        <is>
          <t>2026-04-29</t>
        </is>
      </c>
      <c r="G980" t="inlineStr">
        <is>
          <t xml:space="preserve"> - Couple Condo</t>
        </is>
      </c>
      <c r="H980">
        <f>HYPERLINK("https://booking.roadsurfer.com/es/rally/pick?pickup_date=2026-04-15&amp;return_date=2026-04-29&amp;currency=EUR&amp;startStation=81&amp;endStation=104", "Clic para verlo en la web de RoadSurfer")</f>
        <v/>
      </c>
    </row>
    <row r="981">
      <c r="A981" t="inlineStr">
        <is>
          <t>EE.UU.</t>
        </is>
      </c>
      <c r="B981" t="inlineStr">
        <is>
          <t>Winnebago Industries</t>
        </is>
      </c>
      <c r="C981" t="inlineStr">
        <is>
          <t>EE.UU.</t>
        </is>
      </c>
      <c r="D981" t="inlineStr">
        <is>
          <t>Denver</t>
        </is>
      </c>
      <c r="E981" t="inlineStr">
        <is>
          <t>2026-04-09</t>
        </is>
      </c>
      <c r="F981" t="inlineStr">
        <is>
          <t>2026-04-23</t>
        </is>
      </c>
      <c r="G981" t="inlineStr">
        <is>
          <t xml:space="preserve"> - Liberty Lodge</t>
        </is>
      </c>
      <c r="H981">
        <f>HYPERLINK("https://booking.roadsurfer.com/es/rally/pick?pickup_date=2026-04-09&amp;return_date=2026-04-23&amp;currency=EUR&amp;startStation=81&amp;endStation=104", "Clic para verlo en la web de RoadSurfer")</f>
        <v/>
      </c>
    </row>
    <row r="982">
      <c r="A982" t="inlineStr">
        <is>
          <t>EE.UU.</t>
        </is>
      </c>
      <c r="B982" t="inlineStr">
        <is>
          <t>Winnebago Industries</t>
        </is>
      </c>
      <c r="C982" t="inlineStr">
        <is>
          <t>EE.UU.</t>
        </is>
      </c>
      <c r="D982" t="inlineStr">
        <is>
          <t>San Francisco</t>
        </is>
      </c>
      <c r="E982" t="inlineStr">
        <is>
          <t>2026-04-13</t>
        </is>
      </c>
      <c r="F982" t="inlineStr">
        <is>
          <t>2026-04-27</t>
        </is>
      </c>
      <c r="G982" t="inlineStr">
        <is>
          <t xml:space="preserve"> - Liberty Lodge</t>
        </is>
      </c>
      <c r="H982">
        <f>HYPERLINK("https://booking.roadsurfer.com/es/rally/pick?pickup_date=2026-04-13&amp;return_date=2026-04-27&amp;currency=EUR&amp;startStation=81&amp;endStation=75", "Clic para verlo en la web de RoadSurfer")</f>
        <v/>
      </c>
    </row>
    <row r="983">
      <c r="A983" t="inlineStr">
        <is>
          <t>EE.UU.</t>
        </is>
      </c>
      <c r="B983" t="inlineStr">
        <is>
          <t>Winnebago Industries</t>
        </is>
      </c>
      <c r="C983" t="inlineStr">
        <is>
          <t>EE.UU.</t>
        </is>
      </c>
      <c r="D983" t="inlineStr">
        <is>
          <t>San Francisco</t>
        </is>
      </c>
      <c r="E983" t="inlineStr">
        <is>
          <t>2026-04-08</t>
        </is>
      </c>
      <c r="F983" t="inlineStr">
        <is>
          <t>2026-04-22</t>
        </is>
      </c>
      <c r="G983" t="inlineStr">
        <is>
          <t xml:space="preserve"> - Liberty Lodge</t>
        </is>
      </c>
      <c r="H983">
        <f>HYPERLINK("https://booking.roadsurfer.com/es/rally/pick?pickup_date=2026-04-08&amp;return_date=2026-04-22&amp;currency=EUR&amp;startStation=81&amp;endStation=75", "Clic para verlo en la web de RoadSurfer")</f>
        <v/>
      </c>
    </row>
    <row r="984">
      <c r="A984" t="inlineStr">
        <is>
          <t>EE.UU.</t>
        </is>
      </c>
      <c r="B984" t="inlineStr">
        <is>
          <t>Winnebago Industries</t>
        </is>
      </c>
      <c r="C984" t="inlineStr">
        <is>
          <t>EE.UU.</t>
        </is>
      </c>
      <c r="D984" t="inlineStr">
        <is>
          <t>San Francisco</t>
        </is>
      </c>
      <c r="E984" t="inlineStr">
        <is>
          <t>2026-04-10</t>
        </is>
      </c>
      <c r="F984" t="inlineStr">
        <is>
          <t>2026-04-24</t>
        </is>
      </c>
      <c r="G984" t="inlineStr">
        <is>
          <t xml:space="preserve"> - Couple Condo</t>
        </is>
      </c>
      <c r="H984">
        <f>HYPERLINK("https://booking.roadsurfer.com/es/rally/pick?pickup_date=2026-04-10&amp;return_date=2026-04-24&amp;currency=EUR&amp;startStation=81&amp;endStation=75", "Clic para verlo en la web de RoadSurfer")</f>
        <v/>
      </c>
    </row>
    <row r="985">
      <c r="A985" t="inlineStr">
        <is>
          <t>EE.UU.</t>
        </is>
      </c>
      <c r="B985" t="inlineStr">
        <is>
          <t>Winnebago Industries</t>
        </is>
      </c>
      <c r="C985" t="inlineStr">
        <is>
          <t>EE.UU.</t>
        </is>
      </c>
      <c r="D985" t="inlineStr">
        <is>
          <t>San Francisco</t>
        </is>
      </c>
      <c r="E985" t="inlineStr">
        <is>
          <t>2026-04-09</t>
        </is>
      </c>
      <c r="F985" t="inlineStr">
        <is>
          <t>2026-04-23</t>
        </is>
      </c>
      <c r="G985" t="inlineStr">
        <is>
          <t xml:space="preserve"> - Couple Condo</t>
        </is>
      </c>
      <c r="H985">
        <f>HYPERLINK("https://booking.roadsurfer.com/es/rally/pick?pickup_date=2026-04-09&amp;return_date=2026-04-23&amp;currency=EUR&amp;startStation=81&amp;endStation=75", "Clic para verlo en la web de RoadSurfer")</f>
        <v/>
      </c>
    </row>
    <row r="986">
      <c r="A986" t="inlineStr">
        <is>
          <t>EE.UU.</t>
        </is>
      </c>
      <c r="B986" t="inlineStr">
        <is>
          <t>Winnebago Industries</t>
        </is>
      </c>
      <c r="C986" t="inlineStr">
        <is>
          <t>EE.UU.</t>
        </is>
      </c>
      <c r="D986" t="inlineStr">
        <is>
          <t>Las Vegas</t>
        </is>
      </c>
      <c r="E986" t="inlineStr">
        <is>
          <t>2026-04-13</t>
        </is>
      </c>
      <c r="F986" t="inlineStr">
        <is>
          <t>2026-04-27</t>
        </is>
      </c>
      <c r="G986" t="inlineStr">
        <is>
          <t xml:space="preserve"> - Liberty Lodge</t>
        </is>
      </c>
      <c r="H986">
        <f>HYPERLINK("https://booking.roadsurfer.com/es/rally/pick?pickup_date=2026-04-13&amp;return_date=2026-04-27&amp;currency=EUR&amp;startStation=81&amp;endStation=76", "Clic para verlo en la web de RoadSurfer")</f>
        <v/>
      </c>
    </row>
    <row r="987">
      <c r="A987" t="inlineStr">
        <is>
          <t>EE.UU.</t>
        </is>
      </c>
      <c r="B987" t="inlineStr">
        <is>
          <t>Winnebago Industries</t>
        </is>
      </c>
      <c r="C987" t="inlineStr">
        <is>
          <t>EE.UU.</t>
        </is>
      </c>
      <c r="D987" t="inlineStr">
        <is>
          <t>Seattle</t>
        </is>
      </c>
      <c r="E987" t="inlineStr">
        <is>
          <t>2026-04-14</t>
        </is>
      </c>
      <c r="F987" t="inlineStr">
        <is>
          <t>2026-04-28</t>
        </is>
      </c>
      <c r="G987" t="inlineStr">
        <is>
          <t xml:space="preserve"> - Liberty Lodge</t>
        </is>
      </c>
      <c r="H987">
        <f>HYPERLINK("https://booking.roadsurfer.com/es/rally/pick?pickup_date=2026-04-14&amp;return_date=2026-04-28&amp;currency=EUR&amp;startStation=81&amp;endStation=107", "Clic para verlo en la web de RoadSurfer")</f>
        <v/>
      </c>
    </row>
    <row r="988">
      <c r="A988" t="inlineStr">
        <is>
          <t>EE.UU.</t>
        </is>
      </c>
      <c r="B988" t="inlineStr">
        <is>
          <t>Winnebago Industries</t>
        </is>
      </c>
      <c r="C988" t="inlineStr">
        <is>
          <t>EE.UU.</t>
        </is>
      </c>
      <c r="D988" t="inlineStr">
        <is>
          <t>Seattle</t>
        </is>
      </c>
      <c r="E988" t="inlineStr">
        <is>
          <t>2026-04-15</t>
        </is>
      </c>
      <c r="F988" t="inlineStr">
        <is>
          <t>2026-04-29</t>
        </is>
      </c>
      <c r="G988" t="inlineStr">
        <is>
          <t xml:space="preserve"> - Liberty Lodge</t>
        </is>
      </c>
      <c r="H988">
        <f>HYPERLINK("https://booking.roadsurfer.com/es/rally/pick?pickup_date=2026-04-15&amp;return_date=2026-04-29&amp;currency=EUR&amp;startStation=81&amp;endStation=107", "Clic para verlo en la web de RoadSurfer")</f>
        <v/>
      </c>
    </row>
    <row r="989">
      <c r="A989" t="inlineStr">
        <is>
          <t>EE.UU.</t>
        </is>
      </c>
      <c r="B989" t="inlineStr">
        <is>
          <t>Winnebago Industries</t>
        </is>
      </c>
      <c r="C989" t="inlineStr">
        <is>
          <t>EE.UU.</t>
        </is>
      </c>
      <c r="D989" t="inlineStr">
        <is>
          <t>Phoenix</t>
        </is>
      </c>
      <c r="E989" t="inlineStr">
        <is>
          <t>2026-04-07</t>
        </is>
      </c>
      <c r="F989" t="inlineStr">
        <is>
          <t>2026-04-21</t>
        </is>
      </c>
      <c r="G989" t="inlineStr">
        <is>
          <t xml:space="preserve"> - Liberty Lodge</t>
        </is>
      </c>
      <c r="H989">
        <f>HYPERLINK("https://booking.roadsurfer.com/es/rally/pick?pickup_date=2026-04-07&amp;return_date=2026-04-21&amp;currency=EUR&amp;startStation=81&amp;endStation=105", "Clic para verlo en la web de RoadSurfer")</f>
        <v/>
      </c>
    </row>
    <row r="990">
      <c r="A990" t="inlineStr">
        <is>
          <t>EE.UU.</t>
        </is>
      </c>
      <c r="B990" t="inlineStr">
        <is>
          <t>Winnebago Industries</t>
        </is>
      </c>
      <c r="C990" t="inlineStr">
        <is>
          <t>EE.UU.</t>
        </is>
      </c>
      <c r="D990" t="inlineStr">
        <is>
          <t>Phoenix</t>
        </is>
      </c>
      <c r="E990" t="inlineStr">
        <is>
          <t>2026-04-15</t>
        </is>
      </c>
      <c r="F990" t="inlineStr">
        <is>
          <t>2026-04-29</t>
        </is>
      </c>
      <c r="G990" t="inlineStr">
        <is>
          <t xml:space="preserve"> - Liberty Lodge</t>
        </is>
      </c>
      <c r="H990">
        <f>HYPERLINK("https://booking.roadsurfer.com/es/rally/pick?pickup_date=2026-04-15&amp;return_date=2026-04-29&amp;currency=EUR&amp;startStation=81&amp;endStation=105", "Clic para verlo en la web de RoadSurfer")</f>
        <v/>
      </c>
    </row>
    <row r="991">
      <c r="A991" t="inlineStr">
        <is>
          <t>EE.UU.</t>
        </is>
      </c>
      <c r="B991" t="inlineStr">
        <is>
          <t>Winnebago Industries</t>
        </is>
      </c>
      <c r="C991" t="inlineStr">
        <is>
          <t>EE.UU.</t>
        </is>
      </c>
      <c r="D991" t="inlineStr">
        <is>
          <t>Phoenix</t>
        </is>
      </c>
      <c r="E991" t="inlineStr">
        <is>
          <t>2026-04-10</t>
        </is>
      </c>
      <c r="F991" t="inlineStr">
        <is>
          <t>2026-04-24</t>
        </is>
      </c>
      <c r="G991" t="inlineStr">
        <is>
          <t xml:space="preserve"> - Liberty Lodge</t>
        </is>
      </c>
      <c r="H991">
        <f>HYPERLINK("https://booking.roadsurfer.com/es/rally/pick?pickup_date=2026-04-10&amp;return_date=2026-04-24&amp;currency=EUR&amp;startStation=81&amp;endStation=105", "Clic para verlo en la web de RoadSurfer")</f>
        <v/>
      </c>
    </row>
    <row r="992">
      <c r="A992" t="inlineStr">
        <is>
          <t>EE.UU.</t>
        </is>
      </c>
      <c r="B992" t="inlineStr">
        <is>
          <t>Winnebago Industries</t>
        </is>
      </c>
      <c r="C992" t="inlineStr">
        <is>
          <t>EE.UU.</t>
        </is>
      </c>
      <c r="D992" t="inlineStr">
        <is>
          <t>Salt Lake City</t>
        </is>
      </c>
      <c r="E992" t="inlineStr">
        <is>
          <t>2026-04-13</t>
        </is>
      </c>
      <c r="F992" t="inlineStr">
        <is>
          <t>2026-04-28</t>
        </is>
      </c>
      <c r="G992" t="inlineStr">
        <is>
          <t xml:space="preserve"> - Liberty Lodge</t>
        </is>
      </c>
      <c r="H992">
        <f>HYPERLINK("https://booking.roadsurfer.com/es/rally/pick?pickup_date=2026-04-13&amp;return_date=2026-04-28&amp;currency=EUR&amp;startStation=81&amp;endStation=106", "Clic para verlo en la web de RoadSurfer")</f>
        <v/>
      </c>
    </row>
    <row r="993">
      <c r="A993" t="inlineStr">
        <is>
          <t>Alemania</t>
        </is>
      </c>
      <c r="B993" t="inlineStr">
        <is>
          <t>Wurzburgo</t>
        </is>
      </c>
      <c r="C993" t="inlineStr">
        <is>
          <t>Italia</t>
        </is>
      </c>
      <c r="D993" t="inlineStr">
        <is>
          <t>Bérgamo</t>
        </is>
      </c>
      <c r="E993" t="inlineStr">
        <is>
          <t>2026-05-21</t>
        </is>
      </c>
      <c r="F993" t="inlineStr">
        <is>
          <t>2026-05-28</t>
        </is>
      </c>
      <c r="G993" t="inlineStr">
        <is>
          <t xml:space="preserve"> - Cozy Cottage</t>
        </is>
      </c>
      <c r="H993">
        <f>HYPERLINK("https://booking.roadsurfer.com/es/rally/pick?pickup_date=2026-05-21&amp;return_date=2026-05-28&amp;currency=EUR&amp;startStation=115&amp;endStation=94", "Clic para verlo en la web de RoadSurfer")</f>
        <v/>
      </c>
    </row>
    <row r="994">
      <c r="A994" t="inlineStr">
        <is>
          <t>Alemania</t>
        </is>
      </c>
      <c r="B994" t="inlineStr">
        <is>
          <t>Wurzburgo</t>
        </is>
      </c>
      <c r="C994" t="inlineStr">
        <is>
          <t>España</t>
        </is>
      </c>
      <c r="D994" t="inlineStr">
        <is>
          <t>Madrid</t>
        </is>
      </c>
      <c r="E994" t="inlineStr">
        <is>
          <t>2026-04-27</t>
        </is>
      </c>
      <c r="F994" t="inlineStr">
        <is>
          <t>2026-05-04</t>
        </is>
      </c>
      <c r="G994" t="inlineStr">
        <is>
          <t xml:space="preserve"> - No hay coche</t>
        </is>
      </c>
      <c r="H994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2026-04-02T15:20:50Z</dcterms:created>
  <dcterms:modified xsi:type="dcterms:W3CDTF">2026-04-02T15:20:50Z</dcterms:modified>
</cp:coreProperties>
</file>